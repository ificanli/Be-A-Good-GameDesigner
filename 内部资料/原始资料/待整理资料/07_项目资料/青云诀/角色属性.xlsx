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战斗力计算" sheetId="1" r:id="rId1"/>
    <sheet name="角色属性" sheetId="2" r:id="rId2"/>
  </sheets>
  <calcPr calcId="152511"/>
</workbook>
</file>

<file path=xl/calcChain.xml><?xml version="1.0" encoding="utf-8"?>
<calcChain xmlns="http://schemas.openxmlformats.org/spreadsheetml/2006/main">
  <c r="AW12" i="2" l="1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11" i="2"/>
  <c r="E10" i="1" l="1"/>
  <c r="E8" i="1"/>
  <c r="AD12" i="2" l="1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O567" i="2" s="1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11" i="2"/>
  <c r="AC12" i="2"/>
  <c r="AC13" i="2"/>
  <c r="AC14" i="2"/>
  <c r="AC15" i="2"/>
  <c r="AC16" i="2"/>
  <c r="AC17" i="2"/>
  <c r="AC18" i="2"/>
  <c r="K18" i="2" s="1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J31" i="2" s="1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H57" i="2" s="1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G70" i="2" s="1"/>
  <c r="AC71" i="2"/>
  <c r="AC72" i="2"/>
  <c r="AC73" i="2"/>
  <c r="AC74" i="2"/>
  <c r="AC75" i="2"/>
  <c r="AC76" i="2"/>
  <c r="AC77" i="2"/>
  <c r="AC78" i="2"/>
  <c r="AC79" i="2"/>
  <c r="AC80" i="2"/>
  <c r="AC81" i="2"/>
  <c r="AC82" i="2"/>
  <c r="K82" i="2" s="1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I108" i="2" s="1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H121" i="2" s="1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G134" i="2" s="1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H185" i="2" s="1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J213" i="2" s="1"/>
  <c r="AC214" i="2"/>
  <c r="AC215" i="2"/>
  <c r="AC216" i="2"/>
  <c r="AC217" i="2"/>
  <c r="AC218" i="2"/>
  <c r="AC219" i="2"/>
  <c r="AC220" i="2"/>
  <c r="AC221" i="2"/>
  <c r="AC222" i="2"/>
  <c r="AC223" i="2"/>
  <c r="H223" i="2" s="1"/>
  <c r="AC224" i="2"/>
  <c r="AC225" i="2"/>
  <c r="AC226" i="2"/>
  <c r="I226" i="2" s="1"/>
  <c r="AC227" i="2"/>
  <c r="AC228" i="2"/>
  <c r="AC229" i="2"/>
  <c r="J229" i="2" s="1"/>
  <c r="AC230" i="2"/>
  <c r="AC231" i="2"/>
  <c r="AC232" i="2"/>
  <c r="AC233" i="2"/>
  <c r="AC234" i="2"/>
  <c r="AC235" i="2"/>
  <c r="AC236" i="2"/>
  <c r="AC237" i="2"/>
  <c r="AC238" i="2"/>
  <c r="AC239" i="2"/>
  <c r="H239" i="2" s="1"/>
  <c r="AC240" i="2"/>
  <c r="AC241" i="2"/>
  <c r="AC242" i="2"/>
  <c r="I242" i="2" s="1"/>
  <c r="AC243" i="2"/>
  <c r="AC244" i="2"/>
  <c r="AC245" i="2"/>
  <c r="AC246" i="2"/>
  <c r="AC247" i="2"/>
  <c r="AC248" i="2"/>
  <c r="AC249" i="2"/>
  <c r="AC250" i="2"/>
  <c r="AC251" i="2"/>
  <c r="AC252" i="2"/>
  <c r="G252" i="2" s="1"/>
  <c r="AC253" i="2"/>
  <c r="AC254" i="2"/>
  <c r="AC255" i="2"/>
  <c r="H255" i="2" s="1"/>
  <c r="AC256" i="2"/>
  <c r="AC257" i="2"/>
  <c r="AC258" i="2"/>
  <c r="AC259" i="2"/>
  <c r="AC260" i="2"/>
  <c r="AC261" i="2"/>
  <c r="J261" i="2" s="1"/>
  <c r="AC262" i="2"/>
  <c r="AC263" i="2"/>
  <c r="AC264" i="2"/>
  <c r="K264" i="2" s="1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J277" i="2" s="1"/>
  <c r="AC278" i="2"/>
  <c r="AC279" i="2"/>
  <c r="AC280" i="2"/>
  <c r="AC281" i="2"/>
  <c r="AC282" i="2"/>
  <c r="AC283" i="2"/>
  <c r="AC284" i="2"/>
  <c r="AC285" i="2"/>
  <c r="AC286" i="2"/>
  <c r="AC287" i="2"/>
  <c r="H287" i="2" s="1"/>
  <c r="AC288" i="2"/>
  <c r="AC289" i="2"/>
  <c r="AC290" i="2"/>
  <c r="I290" i="2" s="1"/>
  <c r="AC291" i="2"/>
  <c r="AC292" i="2"/>
  <c r="AC293" i="2"/>
  <c r="J293" i="2" s="1"/>
  <c r="AC294" i="2"/>
  <c r="AC295" i="2"/>
  <c r="AC296" i="2"/>
  <c r="AC297" i="2"/>
  <c r="AC298" i="2"/>
  <c r="AC299" i="2"/>
  <c r="AC300" i="2"/>
  <c r="AC301" i="2"/>
  <c r="AC302" i="2"/>
  <c r="AC303" i="2"/>
  <c r="H303" i="2" s="1"/>
  <c r="AC304" i="2"/>
  <c r="AC305" i="2"/>
  <c r="AC306" i="2"/>
  <c r="I306" i="2" s="1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H319" i="2" s="1"/>
  <c r="AC320" i="2"/>
  <c r="AC321" i="2"/>
  <c r="AC322" i="2"/>
  <c r="AC323" i="2"/>
  <c r="AC324" i="2"/>
  <c r="AC325" i="2"/>
  <c r="J325" i="2" s="1"/>
  <c r="AC326" i="2"/>
  <c r="AC327" i="2"/>
  <c r="AC328" i="2"/>
  <c r="K328" i="2" s="1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J341" i="2" s="1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I354" i="2" s="1"/>
  <c r="AC355" i="2"/>
  <c r="AC356" i="2"/>
  <c r="AC357" i="2"/>
  <c r="J357" i="2" s="1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I370" i="2" s="1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H383" i="2" s="1"/>
  <c r="AC384" i="2"/>
  <c r="AC385" i="2"/>
  <c r="AC386" i="2"/>
  <c r="AC387" i="2"/>
  <c r="AC388" i="2"/>
  <c r="AC389" i="2"/>
  <c r="J389" i="2" s="1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J405" i="2" s="1"/>
  <c r="AC406" i="2"/>
  <c r="AC407" i="2"/>
  <c r="AC408" i="2"/>
  <c r="AC409" i="2"/>
  <c r="AC410" i="2"/>
  <c r="AC411" i="2"/>
  <c r="AC412" i="2"/>
  <c r="AC413" i="2"/>
  <c r="AC414" i="2"/>
  <c r="AC415" i="2"/>
  <c r="AC416" i="2"/>
  <c r="K416" i="2" s="1"/>
  <c r="AC417" i="2"/>
  <c r="AC418" i="2"/>
  <c r="AC419" i="2"/>
  <c r="AC420" i="2"/>
  <c r="AC421" i="2"/>
  <c r="J421" i="2" s="1"/>
  <c r="AC422" i="2"/>
  <c r="I422" i="2" s="1"/>
  <c r="AC423" i="2"/>
  <c r="H423" i="2" s="1"/>
  <c r="AC424" i="2"/>
  <c r="AC425" i="2"/>
  <c r="J425" i="2" s="1"/>
  <c r="AC426" i="2"/>
  <c r="I426" i="2" s="1"/>
  <c r="AC427" i="2"/>
  <c r="AC428" i="2"/>
  <c r="AC429" i="2"/>
  <c r="J429" i="2" s="1"/>
  <c r="AC430" i="2"/>
  <c r="AC431" i="2"/>
  <c r="AC432" i="2"/>
  <c r="K432" i="2" s="1"/>
  <c r="AC433" i="2"/>
  <c r="AC434" i="2"/>
  <c r="AC435" i="2"/>
  <c r="AC436" i="2"/>
  <c r="AC437" i="2"/>
  <c r="J437" i="2" s="1"/>
  <c r="AC438" i="2"/>
  <c r="I438" i="2" s="1"/>
  <c r="AC439" i="2"/>
  <c r="H439" i="2" s="1"/>
  <c r="AC440" i="2"/>
  <c r="AC441" i="2"/>
  <c r="J441" i="2" s="1"/>
  <c r="AC442" i="2"/>
  <c r="I442" i="2" s="1"/>
  <c r="AC443" i="2"/>
  <c r="AC444" i="2"/>
  <c r="G444" i="2" s="1"/>
  <c r="AC445" i="2"/>
  <c r="J445" i="2" s="1"/>
  <c r="AC446" i="2"/>
  <c r="AC447" i="2"/>
  <c r="AC448" i="2"/>
  <c r="AC449" i="2"/>
  <c r="AC450" i="2"/>
  <c r="AC451" i="2"/>
  <c r="AC452" i="2"/>
  <c r="AC453" i="2"/>
  <c r="J453" i="2" s="1"/>
  <c r="AC454" i="2"/>
  <c r="I454" i="2" s="1"/>
  <c r="AC455" i="2"/>
  <c r="H455" i="2" s="1"/>
  <c r="AC456" i="2"/>
  <c r="K456" i="2" s="1"/>
  <c r="AC457" i="2"/>
  <c r="J457" i="2" s="1"/>
  <c r="AC458" i="2"/>
  <c r="I458" i="2" s="1"/>
  <c r="AC459" i="2"/>
  <c r="AC460" i="2"/>
  <c r="AC461" i="2"/>
  <c r="J461" i="2" s="1"/>
  <c r="AC462" i="2"/>
  <c r="AC463" i="2"/>
  <c r="AC464" i="2"/>
  <c r="K464" i="2" s="1"/>
  <c r="AC465" i="2"/>
  <c r="AC466" i="2"/>
  <c r="AC467" i="2"/>
  <c r="AC468" i="2"/>
  <c r="AC469" i="2"/>
  <c r="J469" i="2" s="1"/>
  <c r="AC470" i="2"/>
  <c r="I470" i="2" s="1"/>
  <c r="AC471" i="2"/>
  <c r="H471" i="2" s="1"/>
  <c r="AC472" i="2"/>
  <c r="AC473" i="2"/>
  <c r="J473" i="2" s="1"/>
  <c r="AC474" i="2"/>
  <c r="I474" i="2" s="1"/>
  <c r="AC475" i="2"/>
  <c r="AC476" i="2"/>
  <c r="G476" i="2" s="1"/>
  <c r="AC477" i="2"/>
  <c r="J477" i="2" s="1"/>
  <c r="AC478" i="2"/>
  <c r="AC479" i="2"/>
  <c r="AC480" i="2"/>
  <c r="AC481" i="2"/>
  <c r="AC482" i="2"/>
  <c r="AC483" i="2"/>
  <c r="AC484" i="2"/>
  <c r="AC485" i="2"/>
  <c r="J485" i="2" s="1"/>
  <c r="AC486" i="2"/>
  <c r="I486" i="2" s="1"/>
  <c r="AC487" i="2"/>
  <c r="H487" i="2" s="1"/>
  <c r="AC488" i="2"/>
  <c r="K488" i="2" s="1"/>
  <c r="AC489" i="2"/>
  <c r="J489" i="2" s="1"/>
  <c r="AC490" i="2"/>
  <c r="I490" i="2" s="1"/>
  <c r="AC491" i="2"/>
  <c r="AC492" i="2"/>
  <c r="AC493" i="2"/>
  <c r="J493" i="2" s="1"/>
  <c r="AC494" i="2"/>
  <c r="AC495" i="2"/>
  <c r="AC496" i="2"/>
  <c r="G496" i="2" s="1"/>
  <c r="AC497" i="2"/>
  <c r="AC498" i="2"/>
  <c r="AC499" i="2"/>
  <c r="AC500" i="2"/>
  <c r="AC501" i="2"/>
  <c r="J501" i="2" s="1"/>
  <c r="AC502" i="2"/>
  <c r="I502" i="2" s="1"/>
  <c r="AC503" i="2"/>
  <c r="H503" i="2" s="1"/>
  <c r="AC504" i="2"/>
  <c r="AC505" i="2"/>
  <c r="J505" i="2" s="1"/>
  <c r="AC506" i="2"/>
  <c r="I506" i="2" s="1"/>
  <c r="AC507" i="2"/>
  <c r="AC508" i="2"/>
  <c r="G508" i="2" s="1"/>
  <c r="AC509" i="2"/>
  <c r="J509" i="2" s="1"/>
  <c r="AC510" i="2"/>
  <c r="AC511" i="2"/>
  <c r="AC512" i="2"/>
  <c r="AC513" i="2"/>
  <c r="AC514" i="2"/>
  <c r="AC515" i="2"/>
  <c r="AC516" i="2"/>
  <c r="AC517" i="2"/>
  <c r="J517" i="2" s="1"/>
  <c r="AC518" i="2"/>
  <c r="I518" i="2" s="1"/>
  <c r="AC519" i="2"/>
  <c r="H519" i="2" s="1"/>
  <c r="AC520" i="2"/>
  <c r="K520" i="2" s="1"/>
  <c r="AC521" i="2"/>
  <c r="J521" i="2" s="1"/>
  <c r="AC522" i="2"/>
  <c r="I522" i="2" s="1"/>
  <c r="AC523" i="2"/>
  <c r="AC524" i="2"/>
  <c r="AC525" i="2"/>
  <c r="J525" i="2" s="1"/>
  <c r="AC526" i="2"/>
  <c r="AC527" i="2"/>
  <c r="AC528" i="2"/>
  <c r="AC529" i="2"/>
  <c r="AC530" i="2"/>
  <c r="I530" i="2" s="1"/>
  <c r="AC531" i="2"/>
  <c r="AC532" i="2"/>
  <c r="G532" i="2" s="1"/>
  <c r="AC533" i="2"/>
  <c r="J533" i="2" s="1"/>
  <c r="AC534" i="2"/>
  <c r="I534" i="2" s="1"/>
  <c r="AC535" i="2"/>
  <c r="H535" i="2" s="1"/>
  <c r="AC536" i="2"/>
  <c r="AC537" i="2"/>
  <c r="J537" i="2" s="1"/>
  <c r="AC538" i="2"/>
  <c r="I538" i="2" s="1"/>
  <c r="AC539" i="2"/>
  <c r="AC540" i="2"/>
  <c r="AC541" i="2"/>
  <c r="J541" i="2" s="1"/>
  <c r="AC542" i="2"/>
  <c r="AC543" i="2"/>
  <c r="AC544" i="2"/>
  <c r="K544" i="2" s="1"/>
  <c r="AC545" i="2"/>
  <c r="AC546" i="2"/>
  <c r="AC547" i="2"/>
  <c r="AC548" i="2"/>
  <c r="G548" i="2" s="1"/>
  <c r="AC549" i="2"/>
  <c r="J549" i="2" s="1"/>
  <c r="AC550" i="2"/>
  <c r="I550" i="2" s="1"/>
  <c r="AC551" i="2"/>
  <c r="H551" i="2" s="1"/>
  <c r="AC552" i="2"/>
  <c r="AC553" i="2"/>
  <c r="J553" i="2" s="1"/>
  <c r="AC554" i="2"/>
  <c r="I554" i="2" s="1"/>
  <c r="AC555" i="2"/>
  <c r="AC556" i="2"/>
  <c r="AC557" i="2"/>
  <c r="J557" i="2" s="1"/>
  <c r="AC558" i="2"/>
  <c r="AC559" i="2"/>
  <c r="AC560" i="2"/>
  <c r="K560" i="2" s="1"/>
  <c r="AC561" i="2"/>
  <c r="AC562" i="2"/>
  <c r="AC563" i="2"/>
  <c r="AC564" i="2"/>
  <c r="AC565" i="2"/>
  <c r="J565" i="2" s="1"/>
  <c r="AC566" i="2"/>
  <c r="I566" i="2" s="1"/>
  <c r="AC567" i="2"/>
  <c r="H567" i="2" s="1"/>
  <c r="AC568" i="2"/>
  <c r="AC569" i="2"/>
  <c r="J569" i="2" s="1"/>
  <c r="AC570" i="2"/>
  <c r="I570" i="2" s="1"/>
  <c r="AC571" i="2"/>
  <c r="AC572" i="2"/>
  <c r="G572" i="2" s="1"/>
  <c r="AC573" i="2"/>
  <c r="J573" i="2" s="1"/>
  <c r="AC574" i="2"/>
  <c r="AC575" i="2"/>
  <c r="AC576" i="2"/>
  <c r="AC577" i="2"/>
  <c r="AC578" i="2"/>
  <c r="AC579" i="2"/>
  <c r="AC580" i="2"/>
  <c r="AC581" i="2"/>
  <c r="J581" i="2" s="1"/>
  <c r="AC582" i="2"/>
  <c r="I582" i="2" s="1"/>
  <c r="AC583" i="2"/>
  <c r="H583" i="2" s="1"/>
  <c r="AC584" i="2"/>
  <c r="K584" i="2" s="1"/>
  <c r="AC585" i="2"/>
  <c r="J585" i="2" s="1"/>
  <c r="AC586" i="2"/>
  <c r="I586" i="2" s="1"/>
  <c r="AC587" i="2"/>
  <c r="AC588" i="2"/>
  <c r="AC589" i="2"/>
  <c r="J589" i="2" s="1"/>
  <c r="AC590" i="2"/>
  <c r="AC591" i="2"/>
  <c r="AC592" i="2"/>
  <c r="K592" i="2" s="1"/>
  <c r="AC593" i="2"/>
  <c r="AC594" i="2"/>
  <c r="AC595" i="2"/>
  <c r="AC596" i="2"/>
  <c r="AC597" i="2"/>
  <c r="J597" i="2" s="1"/>
  <c r="AC598" i="2"/>
  <c r="I598" i="2" s="1"/>
  <c r="AC599" i="2"/>
  <c r="H599" i="2" s="1"/>
  <c r="AC600" i="2"/>
  <c r="AC601" i="2"/>
  <c r="J601" i="2" s="1"/>
  <c r="AC602" i="2"/>
  <c r="I602" i="2" s="1"/>
  <c r="AC603" i="2"/>
  <c r="AC604" i="2"/>
  <c r="G604" i="2" s="1"/>
  <c r="AC605" i="2"/>
  <c r="J605" i="2" s="1"/>
  <c r="AC606" i="2"/>
  <c r="AC607" i="2"/>
  <c r="AC608" i="2"/>
  <c r="AC609" i="2"/>
  <c r="AC610" i="2"/>
  <c r="I610" i="2" s="1"/>
  <c r="AC11" i="2"/>
  <c r="J608" i="2" l="1"/>
  <c r="H608" i="2"/>
  <c r="I608" i="2"/>
  <c r="J596" i="2"/>
  <c r="H596" i="2"/>
  <c r="I596" i="2"/>
  <c r="J580" i="2"/>
  <c r="H580" i="2"/>
  <c r="I580" i="2"/>
  <c r="J568" i="2"/>
  <c r="H568" i="2"/>
  <c r="I568" i="2"/>
  <c r="J556" i="2"/>
  <c r="H556" i="2"/>
  <c r="I556" i="2"/>
  <c r="J536" i="2"/>
  <c r="H536" i="2"/>
  <c r="I536" i="2"/>
  <c r="J524" i="2"/>
  <c r="H524" i="2"/>
  <c r="I524" i="2"/>
  <c r="J512" i="2"/>
  <c r="H512" i="2"/>
  <c r="I512" i="2"/>
  <c r="J500" i="2"/>
  <c r="H500" i="2"/>
  <c r="I500" i="2"/>
  <c r="J484" i="2"/>
  <c r="H484" i="2"/>
  <c r="I484" i="2"/>
  <c r="J468" i="2"/>
  <c r="H468" i="2"/>
  <c r="I468" i="2"/>
  <c r="J452" i="2"/>
  <c r="H452" i="2"/>
  <c r="I452" i="2"/>
  <c r="J436" i="2"/>
  <c r="H436" i="2"/>
  <c r="I436" i="2"/>
  <c r="J424" i="2"/>
  <c r="H424" i="2"/>
  <c r="I424" i="2"/>
  <c r="J412" i="2"/>
  <c r="H412" i="2"/>
  <c r="I412" i="2"/>
  <c r="K412" i="2"/>
  <c r="J396" i="2"/>
  <c r="H396" i="2"/>
  <c r="I396" i="2"/>
  <c r="K396" i="2"/>
  <c r="J380" i="2"/>
  <c r="H380" i="2"/>
  <c r="I380" i="2"/>
  <c r="K380" i="2"/>
  <c r="J368" i="2"/>
  <c r="H368" i="2"/>
  <c r="I368" i="2"/>
  <c r="G368" i="2"/>
  <c r="K368" i="2"/>
  <c r="J352" i="2"/>
  <c r="H352" i="2"/>
  <c r="I352" i="2"/>
  <c r="G352" i="2"/>
  <c r="K352" i="2"/>
  <c r="J336" i="2"/>
  <c r="H336" i="2"/>
  <c r="I336" i="2"/>
  <c r="G336" i="2"/>
  <c r="K336" i="2"/>
  <c r="J316" i="2"/>
  <c r="H316" i="2"/>
  <c r="I316" i="2"/>
  <c r="K316" i="2"/>
  <c r="J304" i="2"/>
  <c r="H304" i="2"/>
  <c r="I304" i="2"/>
  <c r="G304" i="2"/>
  <c r="K304" i="2"/>
  <c r="J288" i="2"/>
  <c r="H288" i="2"/>
  <c r="I288" i="2"/>
  <c r="G288" i="2"/>
  <c r="K288" i="2"/>
  <c r="J272" i="2"/>
  <c r="H272" i="2"/>
  <c r="I272" i="2"/>
  <c r="G272" i="2"/>
  <c r="K272" i="2"/>
  <c r="J260" i="2"/>
  <c r="H260" i="2"/>
  <c r="I260" i="2"/>
  <c r="K260" i="2"/>
  <c r="G260" i="2"/>
  <c r="J244" i="2"/>
  <c r="H244" i="2"/>
  <c r="I244" i="2"/>
  <c r="K244" i="2"/>
  <c r="G244" i="2"/>
  <c r="J228" i="2"/>
  <c r="H228" i="2"/>
  <c r="I228" i="2"/>
  <c r="K228" i="2"/>
  <c r="G228" i="2"/>
  <c r="J216" i="2"/>
  <c r="H216" i="2"/>
  <c r="I216" i="2"/>
  <c r="G216" i="2"/>
  <c r="H200" i="2"/>
  <c r="J200" i="2"/>
  <c r="G200" i="2"/>
  <c r="K200" i="2"/>
  <c r="I200" i="2"/>
  <c r="H188" i="2"/>
  <c r="J188" i="2"/>
  <c r="G188" i="2"/>
  <c r="K188" i="2"/>
  <c r="I188" i="2"/>
  <c r="H172" i="2"/>
  <c r="J172" i="2"/>
  <c r="G172" i="2"/>
  <c r="K172" i="2"/>
  <c r="H156" i="2"/>
  <c r="J156" i="2"/>
  <c r="G156" i="2"/>
  <c r="K156" i="2"/>
  <c r="I156" i="2"/>
  <c r="H144" i="2"/>
  <c r="J144" i="2"/>
  <c r="G144" i="2"/>
  <c r="K144" i="2"/>
  <c r="I144" i="2"/>
  <c r="H132" i="2"/>
  <c r="J132" i="2"/>
  <c r="G132" i="2"/>
  <c r="K132" i="2"/>
  <c r="I132" i="2"/>
  <c r="H120" i="2"/>
  <c r="J120" i="2"/>
  <c r="G120" i="2"/>
  <c r="K120" i="2"/>
  <c r="I120" i="2"/>
  <c r="H104" i="2"/>
  <c r="J104" i="2"/>
  <c r="G104" i="2"/>
  <c r="K104" i="2"/>
  <c r="I104" i="2"/>
  <c r="H88" i="2"/>
  <c r="J88" i="2"/>
  <c r="G88" i="2"/>
  <c r="K88" i="2"/>
  <c r="I88" i="2"/>
  <c r="H76" i="2"/>
  <c r="J76" i="2"/>
  <c r="G76" i="2"/>
  <c r="K76" i="2"/>
  <c r="I76" i="2"/>
  <c r="H60" i="2"/>
  <c r="J60" i="2"/>
  <c r="G60" i="2"/>
  <c r="K60" i="2"/>
  <c r="I60" i="2"/>
  <c r="H44" i="2"/>
  <c r="J44" i="2"/>
  <c r="G44" i="2"/>
  <c r="K44" i="2"/>
  <c r="H32" i="2"/>
  <c r="J32" i="2"/>
  <c r="G32" i="2"/>
  <c r="K32" i="2"/>
  <c r="I32" i="2"/>
  <c r="H12" i="2"/>
  <c r="J12" i="2"/>
  <c r="G12" i="2"/>
  <c r="K12" i="2"/>
  <c r="I12" i="2"/>
  <c r="M596" i="2"/>
  <c r="O596" i="2"/>
  <c r="L596" i="2"/>
  <c r="P596" i="2"/>
  <c r="N596" i="2"/>
  <c r="M584" i="2"/>
  <c r="O584" i="2"/>
  <c r="L584" i="2"/>
  <c r="P584" i="2"/>
  <c r="N584" i="2"/>
  <c r="M568" i="2"/>
  <c r="O568" i="2"/>
  <c r="L568" i="2"/>
  <c r="P568" i="2"/>
  <c r="N568" i="2"/>
  <c r="M552" i="2"/>
  <c r="O552" i="2"/>
  <c r="L552" i="2"/>
  <c r="P552" i="2"/>
  <c r="N552" i="2"/>
  <c r="O536" i="2"/>
  <c r="L536" i="2"/>
  <c r="P536" i="2"/>
  <c r="M536" i="2"/>
  <c r="N536" i="2"/>
  <c r="O524" i="2"/>
  <c r="L524" i="2"/>
  <c r="P524" i="2"/>
  <c r="M524" i="2"/>
  <c r="N524" i="2"/>
  <c r="O508" i="2"/>
  <c r="L508" i="2"/>
  <c r="P508" i="2"/>
  <c r="M508" i="2"/>
  <c r="N508" i="2"/>
  <c r="O492" i="2"/>
  <c r="L492" i="2"/>
  <c r="P492" i="2"/>
  <c r="M492" i="2"/>
  <c r="N492" i="2"/>
  <c r="O476" i="2"/>
  <c r="L476" i="2"/>
  <c r="P476" i="2"/>
  <c r="M476" i="2"/>
  <c r="N476" i="2"/>
  <c r="O464" i="2"/>
  <c r="L464" i="2"/>
  <c r="P464" i="2"/>
  <c r="M464" i="2"/>
  <c r="N464" i="2"/>
  <c r="O448" i="2"/>
  <c r="L448" i="2"/>
  <c r="P448" i="2"/>
  <c r="M448" i="2"/>
  <c r="N448" i="2"/>
  <c r="O432" i="2"/>
  <c r="L432" i="2"/>
  <c r="P432" i="2"/>
  <c r="N432" i="2"/>
  <c r="M432" i="2"/>
  <c r="O416" i="2"/>
  <c r="L416" i="2"/>
  <c r="P416" i="2"/>
  <c r="N416" i="2"/>
  <c r="M416" i="2"/>
  <c r="O404" i="2"/>
  <c r="L404" i="2"/>
  <c r="P404" i="2"/>
  <c r="N404" i="2"/>
  <c r="M404" i="2"/>
  <c r="O392" i="2"/>
  <c r="L392" i="2"/>
  <c r="P392" i="2"/>
  <c r="N392" i="2"/>
  <c r="M392" i="2"/>
  <c r="O380" i="2"/>
  <c r="L380" i="2"/>
  <c r="P380" i="2"/>
  <c r="N380" i="2"/>
  <c r="M380" i="2"/>
  <c r="O360" i="2"/>
  <c r="L360" i="2"/>
  <c r="P360" i="2"/>
  <c r="N360" i="2"/>
  <c r="M360" i="2"/>
  <c r="L348" i="2"/>
  <c r="P348" i="2"/>
  <c r="O348" i="2"/>
  <c r="N348" i="2"/>
  <c r="M348" i="2"/>
  <c r="L332" i="2"/>
  <c r="P332" i="2"/>
  <c r="O332" i="2"/>
  <c r="N332" i="2"/>
  <c r="M332" i="2"/>
  <c r="L320" i="2"/>
  <c r="P320" i="2"/>
  <c r="M320" i="2"/>
  <c r="O320" i="2"/>
  <c r="N320" i="2"/>
  <c r="L304" i="2"/>
  <c r="P304" i="2"/>
  <c r="M304" i="2"/>
  <c r="O304" i="2"/>
  <c r="N304" i="2"/>
  <c r="L288" i="2"/>
  <c r="P288" i="2"/>
  <c r="M288" i="2"/>
  <c r="O288" i="2"/>
  <c r="N288" i="2"/>
  <c r="L276" i="2"/>
  <c r="P276" i="2"/>
  <c r="M276" i="2"/>
  <c r="N276" i="2"/>
  <c r="O276" i="2"/>
  <c r="L264" i="2"/>
  <c r="P264" i="2"/>
  <c r="M264" i="2"/>
  <c r="N264" i="2"/>
  <c r="O264" i="2"/>
  <c r="L248" i="2"/>
  <c r="P248" i="2"/>
  <c r="M248" i="2"/>
  <c r="N248" i="2"/>
  <c r="O248" i="2"/>
  <c r="L232" i="2"/>
  <c r="P232" i="2"/>
  <c r="M232" i="2"/>
  <c r="N232" i="2"/>
  <c r="O232" i="2"/>
  <c r="L220" i="2"/>
  <c r="P220" i="2"/>
  <c r="M220" i="2"/>
  <c r="O220" i="2"/>
  <c r="N220" i="2"/>
  <c r="L204" i="2"/>
  <c r="P204" i="2"/>
  <c r="M204" i="2"/>
  <c r="O204" i="2"/>
  <c r="N204" i="2"/>
  <c r="L188" i="2"/>
  <c r="P188" i="2"/>
  <c r="M188" i="2"/>
  <c r="O188" i="2"/>
  <c r="N188" i="2"/>
  <c r="L172" i="2"/>
  <c r="P172" i="2"/>
  <c r="M172" i="2"/>
  <c r="O172" i="2"/>
  <c r="N172" i="2"/>
  <c r="L160" i="2"/>
  <c r="P160" i="2"/>
  <c r="M160" i="2"/>
  <c r="O160" i="2"/>
  <c r="N160" i="2"/>
  <c r="L144" i="2"/>
  <c r="P144" i="2"/>
  <c r="M144" i="2"/>
  <c r="O144" i="2"/>
  <c r="N144" i="2"/>
  <c r="O128" i="2"/>
  <c r="L128" i="2"/>
  <c r="P128" i="2"/>
  <c r="N128" i="2"/>
  <c r="M128" i="2"/>
  <c r="O112" i="2"/>
  <c r="L112" i="2"/>
  <c r="P112" i="2"/>
  <c r="N112" i="2"/>
  <c r="M112" i="2"/>
  <c r="O100" i="2"/>
  <c r="L100" i="2"/>
  <c r="P100" i="2"/>
  <c r="N100" i="2"/>
  <c r="M100" i="2"/>
  <c r="O88" i="2"/>
  <c r="L88" i="2"/>
  <c r="P88" i="2"/>
  <c r="N88" i="2"/>
  <c r="M88" i="2"/>
  <c r="L76" i="2"/>
  <c r="P76" i="2"/>
  <c r="M76" i="2"/>
  <c r="O76" i="2"/>
  <c r="N76" i="2"/>
  <c r="L60" i="2"/>
  <c r="P60" i="2"/>
  <c r="M60" i="2"/>
  <c r="O60" i="2"/>
  <c r="N60" i="2"/>
  <c r="L52" i="2"/>
  <c r="P52" i="2"/>
  <c r="M52" i="2"/>
  <c r="O52" i="2"/>
  <c r="N52" i="2"/>
  <c r="L36" i="2"/>
  <c r="P36" i="2"/>
  <c r="M36" i="2"/>
  <c r="O36" i="2"/>
  <c r="N36" i="2"/>
  <c r="J600" i="2"/>
  <c r="H600" i="2"/>
  <c r="I600" i="2"/>
  <c r="J588" i="2"/>
  <c r="H588" i="2"/>
  <c r="I588" i="2"/>
  <c r="J576" i="2"/>
  <c r="H576" i="2"/>
  <c r="I576" i="2"/>
  <c r="J564" i="2"/>
  <c r="H564" i="2"/>
  <c r="I564" i="2"/>
  <c r="J552" i="2"/>
  <c r="H552" i="2"/>
  <c r="I552" i="2"/>
  <c r="J540" i="2"/>
  <c r="H540" i="2"/>
  <c r="I540" i="2"/>
  <c r="J528" i="2"/>
  <c r="H528" i="2"/>
  <c r="I528" i="2"/>
  <c r="J516" i="2"/>
  <c r="H516" i="2"/>
  <c r="I516" i="2"/>
  <c r="J504" i="2"/>
  <c r="H504" i="2"/>
  <c r="I504" i="2"/>
  <c r="J492" i="2"/>
  <c r="H492" i="2"/>
  <c r="I492" i="2"/>
  <c r="J480" i="2"/>
  <c r="H480" i="2"/>
  <c r="I480" i="2"/>
  <c r="J472" i="2"/>
  <c r="H472" i="2"/>
  <c r="I472" i="2"/>
  <c r="J460" i="2"/>
  <c r="H460" i="2"/>
  <c r="I460" i="2"/>
  <c r="J448" i="2"/>
  <c r="H448" i="2"/>
  <c r="I448" i="2"/>
  <c r="J440" i="2"/>
  <c r="H440" i="2"/>
  <c r="I440" i="2"/>
  <c r="J428" i="2"/>
  <c r="H428" i="2"/>
  <c r="I428" i="2"/>
  <c r="J420" i="2"/>
  <c r="H420" i="2"/>
  <c r="I420" i="2"/>
  <c r="J408" i="2"/>
  <c r="H408" i="2"/>
  <c r="I408" i="2"/>
  <c r="G408" i="2"/>
  <c r="J400" i="2"/>
  <c r="H400" i="2"/>
  <c r="I400" i="2"/>
  <c r="G400" i="2"/>
  <c r="K400" i="2"/>
  <c r="J388" i="2"/>
  <c r="H388" i="2"/>
  <c r="I388" i="2"/>
  <c r="K388" i="2"/>
  <c r="G388" i="2"/>
  <c r="J376" i="2"/>
  <c r="H376" i="2"/>
  <c r="I376" i="2"/>
  <c r="G376" i="2"/>
  <c r="J364" i="2"/>
  <c r="H364" i="2"/>
  <c r="I364" i="2"/>
  <c r="K364" i="2"/>
  <c r="J356" i="2"/>
  <c r="H356" i="2"/>
  <c r="I356" i="2"/>
  <c r="K356" i="2"/>
  <c r="G356" i="2"/>
  <c r="J344" i="2"/>
  <c r="H344" i="2"/>
  <c r="I344" i="2"/>
  <c r="G344" i="2"/>
  <c r="J332" i="2"/>
  <c r="H332" i="2"/>
  <c r="I332" i="2"/>
  <c r="K332" i="2"/>
  <c r="J324" i="2"/>
  <c r="H324" i="2"/>
  <c r="I324" i="2"/>
  <c r="K324" i="2"/>
  <c r="G324" i="2"/>
  <c r="J312" i="2"/>
  <c r="H312" i="2"/>
  <c r="I312" i="2"/>
  <c r="G312" i="2"/>
  <c r="J300" i="2"/>
  <c r="H300" i="2"/>
  <c r="I300" i="2"/>
  <c r="K300" i="2"/>
  <c r="J292" i="2"/>
  <c r="H292" i="2"/>
  <c r="I292" i="2"/>
  <c r="K292" i="2"/>
  <c r="G292" i="2"/>
  <c r="J280" i="2"/>
  <c r="H280" i="2"/>
  <c r="I280" i="2"/>
  <c r="G280" i="2"/>
  <c r="J268" i="2"/>
  <c r="H268" i="2"/>
  <c r="I268" i="2"/>
  <c r="K268" i="2"/>
  <c r="J256" i="2"/>
  <c r="H256" i="2"/>
  <c r="I256" i="2"/>
  <c r="G256" i="2"/>
  <c r="K256" i="2"/>
  <c r="J248" i="2"/>
  <c r="H248" i="2"/>
  <c r="I248" i="2"/>
  <c r="G248" i="2"/>
  <c r="J236" i="2"/>
  <c r="H236" i="2"/>
  <c r="I236" i="2"/>
  <c r="K236" i="2"/>
  <c r="J220" i="2"/>
  <c r="H220" i="2"/>
  <c r="I220" i="2"/>
  <c r="K220" i="2"/>
  <c r="H208" i="2"/>
  <c r="J208" i="2"/>
  <c r="G208" i="2"/>
  <c r="K208" i="2"/>
  <c r="I208" i="2"/>
  <c r="H192" i="2"/>
  <c r="J192" i="2"/>
  <c r="G192" i="2"/>
  <c r="K192" i="2"/>
  <c r="I192" i="2"/>
  <c r="H180" i="2"/>
  <c r="J180" i="2"/>
  <c r="G180" i="2"/>
  <c r="K180" i="2"/>
  <c r="I180" i="2"/>
  <c r="H168" i="2"/>
  <c r="J168" i="2"/>
  <c r="G168" i="2"/>
  <c r="K168" i="2"/>
  <c r="I168" i="2"/>
  <c r="H160" i="2"/>
  <c r="J160" i="2"/>
  <c r="G160" i="2"/>
  <c r="K160" i="2"/>
  <c r="I160" i="2"/>
  <c r="H148" i="2"/>
  <c r="J148" i="2"/>
  <c r="G148" i="2"/>
  <c r="K148" i="2"/>
  <c r="I148" i="2"/>
  <c r="H136" i="2"/>
  <c r="J136" i="2"/>
  <c r="G136" i="2"/>
  <c r="K136" i="2"/>
  <c r="I136" i="2"/>
  <c r="H124" i="2"/>
  <c r="J124" i="2"/>
  <c r="G124" i="2"/>
  <c r="K124" i="2"/>
  <c r="I124" i="2"/>
  <c r="H112" i="2"/>
  <c r="J112" i="2"/>
  <c r="G112" i="2"/>
  <c r="K112" i="2"/>
  <c r="I112" i="2"/>
  <c r="H100" i="2"/>
  <c r="J100" i="2"/>
  <c r="G100" i="2"/>
  <c r="K100" i="2"/>
  <c r="I100" i="2"/>
  <c r="H92" i="2"/>
  <c r="J92" i="2"/>
  <c r="G92" i="2"/>
  <c r="K92" i="2"/>
  <c r="I92" i="2"/>
  <c r="H80" i="2"/>
  <c r="J80" i="2"/>
  <c r="G80" i="2"/>
  <c r="K80" i="2"/>
  <c r="I80" i="2"/>
  <c r="H72" i="2"/>
  <c r="J72" i="2"/>
  <c r="G72" i="2"/>
  <c r="K72" i="2"/>
  <c r="I72" i="2"/>
  <c r="H64" i="2"/>
  <c r="J64" i="2"/>
  <c r="G64" i="2"/>
  <c r="K64" i="2"/>
  <c r="I64" i="2"/>
  <c r="H52" i="2"/>
  <c r="J52" i="2"/>
  <c r="G52" i="2"/>
  <c r="K52" i="2"/>
  <c r="I52" i="2"/>
  <c r="H40" i="2"/>
  <c r="J40" i="2"/>
  <c r="G40" i="2"/>
  <c r="K40" i="2"/>
  <c r="I40" i="2"/>
  <c r="H28" i="2"/>
  <c r="J28" i="2"/>
  <c r="G28" i="2"/>
  <c r="K28" i="2"/>
  <c r="I28" i="2"/>
  <c r="H20" i="2"/>
  <c r="J20" i="2"/>
  <c r="G20" i="2"/>
  <c r="K20" i="2"/>
  <c r="I20" i="2"/>
  <c r="M608" i="2"/>
  <c r="O608" i="2"/>
  <c r="L608" i="2"/>
  <c r="P608" i="2"/>
  <c r="N608" i="2"/>
  <c r="M600" i="2"/>
  <c r="O600" i="2"/>
  <c r="L600" i="2"/>
  <c r="P600" i="2"/>
  <c r="N600" i="2"/>
  <c r="M592" i="2"/>
  <c r="O592" i="2"/>
  <c r="L592" i="2"/>
  <c r="P592" i="2"/>
  <c r="N592" i="2"/>
  <c r="M580" i="2"/>
  <c r="O580" i="2"/>
  <c r="L580" i="2"/>
  <c r="P580" i="2"/>
  <c r="M572" i="2"/>
  <c r="O572" i="2"/>
  <c r="L572" i="2"/>
  <c r="P572" i="2"/>
  <c r="N572" i="2"/>
  <c r="M560" i="2"/>
  <c r="O560" i="2"/>
  <c r="L560" i="2"/>
  <c r="P560" i="2"/>
  <c r="N560" i="2"/>
  <c r="M548" i="2"/>
  <c r="O548" i="2"/>
  <c r="L548" i="2"/>
  <c r="P548" i="2"/>
  <c r="N548" i="2"/>
  <c r="M540" i="2"/>
  <c r="O540" i="2"/>
  <c r="L540" i="2"/>
  <c r="P540" i="2"/>
  <c r="N540" i="2"/>
  <c r="O532" i="2"/>
  <c r="L532" i="2"/>
  <c r="P532" i="2"/>
  <c r="M532" i="2"/>
  <c r="N532" i="2"/>
  <c r="O520" i="2"/>
  <c r="L520" i="2"/>
  <c r="P520" i="2"/>
  <c r="M520" i="2"/>
  <c r="N520" i="2"/>
  <c r="O512" i="2"/>
  <c r="L512" i="2"/>
  <c r="P512" i="2"/>
  <c r="M512" i="2"/>
  <c r="N512" i="2"/>
  <c r="O500" i="2"/>
  <c r="L500" i="2"/>
  <c r="P500" i="2"/>
  <c r="M500" i="2"/>
  <c r="N500" i="2"/>
  <c r="O488" i="2"/>
  <c r="L488" i="2"/>
  <c r="P488" i="2"/>
  <c r="M488" i="2"/>
  <c r="N488" i="2"/>
  <c r="O480" i="2"/>
  <c r="L480" i="2"/>
  <c r="P480" i="2"/>
  <c r="M480" i="2"/>
  <c r="N480" i="2"/>
  <c r="O468" i="2"/>
  <c r="L468" i="2"/>
  <c r="P468" i="2"/>
  <c r="M468" i="2"/>
  <c r="N468" i="2"/>
  <c r="O460" i="2"/>
  <c r="L460" i="2"/>
  <c r="P460" i="2"/>
  <c r="M460" i="2"/>
  <c r="N460" i="2"/>
  <c r="O452" i="2"/>
  <c r="L452" i="2"/>
  <c r="P452" i="2"/>
  <c r="M452" i="2"/>
  <c r="N452" i="2"/>
  <c r="O440" i="2"/>
  <c r="L440" i="2"/>
  <c r="P440" i="2"/>
  <c r="M440" i="2"/>
  <c r="N440" i="2"/>
  <c r="O428" i="2"/>
  <c r="L428" i="2"/>
  <c r="P428" i="2"/>
  <c r="N428" i="2"/>
  <c r="M428" i="2"/>
  <c r="O420" i="2"/>
  <c r="L420" i="2"/>
  <c r="P420" i="2"/>
  <c r="N420" i="2"/>
  <c r="M420" i="2"/>
  <c r="O412" i="2"/>
  <c r="L412" i="2"/>
  <c r="P412" i="2"/>
  <c r="N412" i="2"/>
  <c r="M412" i="2"/>
  <c r="O400" i="2"/>
  <c r="L400" i="2"/>
  <c r="P400" i="2"/>
  <c r="N400" i="2"/>
  <c r="M400" i="2"/>
  <c r="O388" i="2"/>
  <c r="L388" i="2"/>
  <c r="P388" i="2"/>
  <c r="N388" i="2"/>
  <c r="M388" i="2"/>
  <c r="O376" i="2"/>
  <c r="L376" i="2"/>
  <c r="P376" i="2"/>
  <c r="N376" i="2"/>
  <c r="M376" i="2"/>
  <c r="O368" i="2"/>
  <c r="L368" i="2"/>
  <c r="P368" i="2"/>
  <c r="N368" i="2"/>
  <c r="M368" i="2"/>
  <c r="L356" i="2"/>
  <c r="P356" i="2"/>
  <c r="M356" i="2"/>
  <c r="N356" i="2"/>
  <c r="O356" i="2"/>
  <c r="L344" i="2"/>
  <c r="P344" i="2"/>
  <c r="N344" i="2"/>
  <c r="O344" i="2"/>
  <c r="M344" i="2"/>
  <c r="L336" i="2"/>
  <c r="P336" i="2"/>
  <c r="M336" i="2"/>
  <c r="O336" i="2"/>
  <c r="N336" i="2"/>
  <c r="L324" i="2"/>
  <c r="P324" i="2"/>
  <c r="M324" i="2"/>
  <c r="N324" i="2"/>
  <c r="O324" i="2"/>
  <c r="L312" i="2"/>
  <c r="P312" i="2"/>
  <c r="N312" i="2"/>
  <c r="O312" i="2"/>
  <c r="M312" i="2"/>
  <c r="L308" i="2"/>
  <c r="P308" i="2"/>
  <c r="M308" i="2"/>
  <c r="N308" i="2"/>
  <c r="O308" i="2"/>
  <c r="L296" i="2"/>
  <c r="P296" i="2"/>
  <c r="N296" i="2"/>
  <c r="O296" i="2"/>
  <c r="M296" i="2"/>
  <c r="L284" i="2"/>
  <c r="P284" i="2"/>
  <c r="O284" i="2"/>
  <c r="N284" i="2"/>
  <c r="M284" i="2"/>
  <c r="L272" i="2"/>
  <c r="P272" i="2"/>
  <c r="M272" i="2"/>
  <c r="N272" i="2"/>
  <c r="O272" i="2"/>
  <c r="L260" i="2"/>
  <c r="P260" i="2"/>
  <c r="M260" i="2"/>
  <c r="N260" i="2"/>
  <c r="O260" i="2"/>
  <c r="L252" i="2"/>
  <c r="P252" i="2"/>
  <c r="M252" i="2"/>
  <c r="N252" i="2"/>
  <c r="O252" i="2"/>
  <c r="L240" i="2"/>
  <c r="P240" i="2"/>
  <c r="M240" i="2"/>
  <c r="N240" i="2"/>
  <c r="O240" i="2"/>
  <c r="L228" i="2"/>
  <c r="P228" i="2"/>
  <c r="M228" i="2"/>
  <c r="O228" i="2"/>
  <c r="N228" i="2"/>
  <c r="L216" i="2"/>
  <c r="P216" i="2"/>
  <c r="M216" i="2"/>
  <c r="O216" i="2"/>
  <c r="N216" i="2"/>
  <c r="L208" i="2"/>
  <c r="P208" i="2"/>
  <c r="M208" i="2"/>
  <c r="O208" i="2"/>
  <c r="N208" i="2"/>
  <c r="L200" i="2"/>
  <c r="P200" i="2"/>
  <c r="M200" i="2"/>
  <c r="O200" i="2"/>
  <c r="N200" i="2"/>
  <c r="L192" i="2"/>
  <c r="P192" i="2"/>
  <c r="M192" i="2"/>
  <c r="O192" i="2"/>
  <c r="N192" i="2"/>
  <c r="L180" i="2"/>
  <c r="P180" i="2"/>
  <c r="M180" i="2"/>
  <c r="O180" i="2"/>
  <c r="N180" i="2"/>
  <c r="L168" i="2"/>
  <c r="P168" i="2"/>
  <c r="M168" i="2"/>
  <c r="O168" i="2"/>
  <c r="N168" i="2"/>
  <c r="L156" i="2"/>
  <c r="P156" i="2"/>
  <c r="M156" i="2"/>
  <c r="O156" i="2"/>
  <c r="N156" i="2"/>
  <c r="L148" i="2"/>
  <c r="P148" i="2"/>
  <c r="M148" i="2"/>
  <c r="O148" i="2"/>
  <c r="N148" i="2"/>
  <c r="L136" i="2"/>
  <c r="P136" i="2"/>
  <c r="M136" i="2"/>
  <c r="O136" i="2"/>
  <c r="N136" i="2"/>
  <c r="O124" i="2"/>
  <c r="L124" i="2"/>
  <c r="P124" i="2"/>
  <c r="N124" i="2"/>
  <c r="M124" i="2"/>
  <c r="O116" i="2"/>
  <c r="L116" i="2"/>
  <c r="P116" i="2"/>
  <c r="N116" i="2"/>
  <c r="M116" i="2"/>
  <c r="O108" i="2"/>
  <c r="L108" i="2"/>
  <c r="P108" i="2"/>
  <c r="N108" i="2"/>
  <c r="M108" i="2"/>
  <c r="O96" i="2"/>
  <c r="L96" i="2"/>
  <c r="P96" i="2"/>
  <c r="N96" i="2"/>
  <c r="M96" i="2"/>
  <c r="O84" i="2"/>
  <c r="L84" i="2"/>
  <c r="P84" i="2"/>
  <c r="N84" i="2"/>
  <c r="M84" i="2"/>
  <c r="L72" i="2"/>
  <c r="P72" i="2"/>
  <c r="M72" i="2"/>
  <c r="O72" i="2"/>
  <c r="N72" i="2"/>
  <c r="L64" i="2"/>
  <c r="P64" i="2"/>
  <c r="M64" i="2"/>
  <c r="O64" i="2"/>
  <c r="N64" i="2"/>
  <c r="L56" i="2"/>
  <c r="P56" i="2"/>
  <c r="M56" i="2"/>
  <c r="O56" i="2"/>
  <c r="N56" i="2"/>
  <c r="L44" i="2"/>
  <c r="P44" i="2"/>
  <c r="M44" i="2"/>
  <c r="O44" i="2"/>
  <c r="N44" i="2"/>
  <c r="L40" i="2"/>
  <c r="P40" i="2"/>
  <c r="M40" i="2"/>
  <c r="O40" i="2"/>
  <c r="N40" i="2"/>
  <c r="L32" i="2"/>
  <c r="P32" i="2"/>
  <c r="M32" i="2"/>
  <c r="O32" i="2"/>
  <c r="N32" i="2"/>
  <c r="L24" i="2"/>
  <c r="P24" i="2"/>
  <c r="M24" i="2"/>
  <c r="O24" i="2"/>
  <c r="N24" i="2"/>
  <c r="L20" i="2"/>
  <c r="P20" i="2"/>
  <c r="M20" i="2"/>
  <c r="O20" i="2"/>
  <c r="N20" i="2"/>
  <c r="L16" i="2"/>
  <c r="P16" i="2"/>
  <c r="M16" i="2"/>
  <c r="O16" i="2"/>
  <c r="N16" i="2"/>
  <c r="L12" i="2"/>
  <c r="P12" i="2"/>
  <c r="M12" i="2"/>
  <c r="O12" i="2"/>
  <c r="N12" i="2"/>
  <c r="K608" i="2"/>
  <c r="G596" i="2"/>
  <c r="G580" i="2"/>
  <c r="K576" i="2"/>
  <c r="G564" i="2"/>
  <c r="K528" i="2"/>
  <c r="G516" i="2"/>
  <c r="K512" i="2"/>
  <c r="G500" i="2"/>
  <c r="K496" i="2"/>
  <c r="G484" i="2"/>
  <c r="K480" i="2"/>
  <c r="G468" i="2"/>
  <c r="G452" i="2"/>
  <c r="K448" i="2"/>
  <c r="G436" i="2"/>
  <c r="G420" i="2"/>
  <c r="K408" i="2"/>
  <c r="G396" i="2"/>
  <c r="K344" i="2"/>
  <c r="G332" i="2"/>
  <c r="K280" i="2"/>
  <c r="G268" i="2"/>
  <c r="K216" i="2"/>
  <c r="N580" i="2"/>
  <c r="H11" i="2"/>
  <c r="G11" i="2"/>
  <c r="J11" i="2"/>
  <c r="K11" i="2"/>
  <c r="G607" i="2"/>
  <c r="K607" i="2"/>
  <c r="I607" i="2"/>
  <c r="J607" i="2"/>
  <c r="G603" i="2"/>
  <c r="K603" i="2"/>
  <c r="I603" i="2"/>
  <c r="J603" i="2"/>
  <c r="G599" i="2"/>
  <c r="K599" i="2"/>
  <c r="I599" i="2"/>
  <c r="J599" i="2"/>
  <c r="G595" i="2"/>
  <c r="K595" i="2"/>
  <c r="I595" i="2"/>
  <c r="J595" i="2"/>
  <c r="G591" i="2"/>
  <c r="K591" i="2"/>
  <c r="I591" i="2"/>
  <c r="J591" i="2"/>
  <c r="G587" i="2"/>
  <c r="K587" i="2"/>
  <c r="I587" i="2"/>
  <c r="J587" i="2"/>
  <c r="G583" i="2"/>
  <c r="K583" i="2"/>
  <c r="I583" i="2"/>
  <c r="J583" i="2"/>
  <c r="G579" i="2"/>
  <c r="K579" i="2"/>
  <c r="I579" i="2"/>
  <c r="J579" i="2"/>
  <c r="G575" i="2"/>
  <c r="K575" i="2"/>
  <c r="I575" i="2"/>
  <c r="J575" i="2"/>
  <c r="G571" i="2"/>
  <c r="K571" i="2"/>
  <c r="I571" i="2"/>
  <c r="J571" i="2"/>
  <c r="G567" i="2"/>
  <c r="K567" i="2"/>
  <c r="I567" i="2"/>
  <c r="J567" i="2"/>
  <c r="G563" i="2"/>
  <c r="K563" i="2"/>
  <c r="I563" i="2"/>
  <c r="J563" i="2"/>
  <c r="G559" i="2"/>
  <c r="K559" i="2"/>
  <c r="I559" i="2"/>
  <c r="J559" i="2"/>
  <c r="G555" i="2"/>
  <c r="K555" i="2"/>
  <c r="I555" i="2"/>
  <c r="J555" i="2"/>
  <c r="G551" i="2"/>
  <c r="K551" i="2"/>
  <c r="I551" i="2"/>
  <c r="J551" i="2"/>
  <c r="G547" i="2"/>
  <c r="K547" i="2"/>
  <c r="I547" i="2"/>
  <c r="J547" i="2"/>
  <c r="G543" i="2"/>
  <c r="K543" i="2"/>
  <c r="I543" i="2"/>
  <c r="J543" i="2"/>
  <c r="G539" i="2"/>
  <c r="K539" i="2"/>
  <c r="I539" i="2"/>
  <c r="J539" i="2"/>
  <c r="G535" i="2"/>
  <c r="K535" i="2"/>
  <c r="I535" i="2"/>
  <c r="J535" i="2"/>
  <c r="G531" i="2"/>
  <c r="K531" i="2"/>
  <c r="I531" i="2"/>
  <c r="J531" i="2"/>
  <c r="G527" i="2"/>
  <c r="K527" i="2"/>
  <c r="I527" i="2"/>
  <c r="J527" i="2"/>
  <c r="G523" i="2"/>
  <c r="K523" i="2"/>
  <c r="I523" i="2"/>
  <c r="J523" i="2"/>
  <c r="G519" i="2"/>
  <c r="K519" i="2"/>
  <c r="I519" i="2"/>
  <c r="J519" i="2"/>
  <c r="G515" i="2"/>
  <c r="K515" i="2"/>
  <c r="I515" i="2"/>
  <c r="J515" i="2"/>
  <c r="G511" i="2"/>
  <c r="K511" i="2"/>
  <c r="I511" i="2"/>
  <c r="J511" i="2"/>
  <c r="G507" i="2"/>
  <c r="K507" i="2"/>
  <c r="I507" i="2"/>
  <c r="J507" i="2"/>
  <c r="G503" i="2"/>
  <c r="K503" i="2"/>
  <c r="I503" i="2"/>
  <c r="J503" i="2"/>
  <c r="G499" i="2"/>
  <c r="K499" i="2"/>
  <c r="I499" i="2"/>
  <c r="J499" i="2"/>
  <c r="G495" i="2"/>
  <c r="K495" i="2"/>
  <c r="I495" i="2"/>
  <c r="J495" i="2"/>
  <c r="G491" i="2"/>
  <c r="K491" i="2"/>
  <c r="I491" i="2"/>
  <c r="J491" i="2"/>
  <c r="G487" i="2"/>
  <c r="K487" i="2"/>
  <c r="I487" i="2"/>
  <c r="J487" i="2"/>
  <c r="G483" i="2"/>
  <c r="K483" i="2"/>
  <c r="I483" i="2"/>
  <c r="J483" i="2"/>
  <c r="G479" i="2"/>
  <c r="K479" i="2"/>
  <c r="I479" i="2"/>
  <c r="J479" i="2"/>
  <c r="G475" i="2"/>
  <c r="K475" i="2"/>
  <c r="I475" i="2"/>
  <c r="J475" i="2"/>
  <c r="G471" i="2"/>
  <c r="K471" i="2"/>
  <c r="I471" i="2"/>
  <c r="J471" i="2"/>
  <c r="G467" i="2"/>
  <c r="K467" i="2"/>
  <c r="I467" i="2"/>
  <c r="J467" i="2"/>
  <c r="G463" i="2"/>
  <c r="K463" i="2"/>
  <c r="I463" i="2"/>
  <c r="J463" i="2"/>
  <c r="G459" i="2"/>
  <c r="K459" i="2"/>
  <c r="I459" i="2"/>
  <c r="J459" i="2"/>
  <c r="G455" i="2"/>
  <c r="K455" i="2"/>
  <c r="I455" i="2"/>
  <c r="J455" i="2"/>
  <c r="G451" i="2"/>
  <c r="K451" i="2"/>
  <c r="I451" i="2"/>
  <c r="J451" i="2"/>
  <c r="G447" i="2"/>
  <c r="K447" i="2"/>
  <c r="I447" i="2"/>
  <c r="J447" i="2"/>
  <c r="G443" i="2"/>
  <c r="K443" i="2"/>
  <c r="I443" i="2"/>
  <c r="J443" i="2"/>
  <c r="G439" i="2"/>
  <c r="K439" i="2"/>
  <c r="I439" i="2"/>
  <c r="J439" i="2"/>
  <c r="G435" i="2"/>
  <c r="K435" i="2"/>
  <c r="I435" i="2"/>
  <c r="J435" i="2"/>
  <c r="G431" i="2"/>
  <c r="K431" i="2"/>
  <c r="I431" i="2"/>
  <c r="J431" i="2"/>
  <c r="G427" i="2"/>
  <c r="K427" i="2"/>
  <c r="I427" i="2"/>
  <c r="J427" i="2"/>
  <c r="G423" i="2"/>
  <c r="K423" i="2"/>
  <c r="I423" i="2"/>
  <c r="J423" i="2"/>
  <c r="G419" i="2"/>
  <c r="K419" i="2"/>
  <c r="I419" i="2"/>
  <c r="J419" i="2"/>
  <c r="G415" i="2"/>
  <c r="K415" i="2"/>
  <c r="I415" i="2"/>
  <c r="J415" i="2"/>
  <c r="G411" i="2"/>
  <c r="K411" i="2"/>
  <c r="I411" i="2"/>
  <c r="J411" i="2"/>
  <c r="H411" i="2"/>
  <c r="G407" i="2"/>
  <c r="K407" i="2"/>
  <c r="I407" i="2"/>
  <c r="J407" i="2"/>
  <c r="H407" i="2"/>
  <c r="G403" i="2"/>
  <c r="K403" i="2"/>
  <c r="I403" i="2"/>
  <c r="J403" i="2"/>
  <c r="H403" i="2"/>
  <c r="G399" i="2"/>
  <c r="K399" i="2"/>
  <c r="I399" i="2"/>
  <c r="J399" i="2"/>
  <c r="G395" i="2"/>
  <c r="K395" i="2"/>
  <c r="I395" i="2"/>
  <c r="J395" i="2"/>
  <c r="H395" i="2"/>
  <c r="G391" i="2"/>
  <c r="K391" i="2"/>
  <c r="I391" i="2"/>
  <c r="J391" i="2"/>
  <c r="H391" i="2"/>
  <c r="G387" i="2"/>
  <c r="K387" i="2"/>
  <c r="I387" i="2"/>
  <c r="J387" i="2"/>
  <c r="H387" i="2"/>
  <c r="G383" i="2"/>
  <c r="K383" i="2"/>
  <c r="I383" i="2"/>
  <c r="J383" i="2"/>
  <c r="G379" i="2"/>
  <c r="K379" i="2"/>
  <c r="I379" i="2"/>
  <c r="J379" i="2"/>
  <c r="H379" i="2"/>
  <c r="G375" i="2"/>
  <c r="K375" i="2"/>
  <c r="I375" i="2"/>
  <c r="J375" i="2"/>
  <c r="H375" i="2"/>
  <c r="G371" i="2"/>
  <c r="K371" i="2"/>
  <c r="I371" i="2"/>
  <c r="J371" i="2"/>
  <c r="H371" i="2"/>
  <c r="G367" i="2"/>
  <c r="K367" i="2"/>
  <c r="I367" i="2"/>
  <c r="J367" i="2"/>
  <c r="G363" i="2"/>
  <c r="K363" i="2"/>
  <c r="I363" i="2"/>
  <c r="J363" i="2"/>
  <c r="H363" i="2"/>
  <c r="G359" i="2"/>
  <c r="K359" i="2"/>
  <c r="I359" i="2"/>
  <c r="J359" i="2"/>
  <c r="H359" i="2"/>
  <c r="G355" i="2"/>
  <c r="K355" i="2"/>
  <c r="I355" i="2"/>
  <c r="J355" i="2"/>
  <c r="H355" i="2"/>
  <c r="G351" i="2"/>
  <c r="K351" i="2"/>
  <c r="I351" i="2"/>
  <c r="J351" i="2"/>
  <c r="G347" i="2"/>
  <c r="K347" i="2"/>
  <c r="I347" i="2"/>
  <c r="J347" i="2"/>
  <c r="H347" i="2"/>
  <c r="I203" i="2"/>
  <c r="G203" i="2"/>
  <c r="K203" i="2"/>
  <c r="H203" i="2"/>
  <c r="J203" i="2"/>
  <c r="I195" i="2"/>
  <c r="G195" i="2"/>
  <c r="K195" i="2"/>
  <c r="H195" i="2"/>
  <c r="J195" i="2"/>
  <c r="I187" i="2"/>
  <c r="G187" i="2"/>
  <c r="K187" i="2"/>
  <c r="H187" i="2"/>
  <c r="J187" i="2"/>
  <c r="I183" i="2"/>
  <c r="G183" i="2"/>
  <c r="K183" i="2"/>
  <c r="H183" i="2"/>
  <c r="J183" i="2"/>
  <c r="I175" i="2"/>
  <c r="G175" i="2"/>
  <c r="K175" i="2"/>
  <c r="H175" i="2"/>
  <c r="J175" i="2"/>
  <c r="I167" i="2"/>
  <c r="G167" i="2"/>
  <c r="K167" i="2"/>
  <c r="H167" i="2"/>
  <c r="J167" i="2"/>
  <c r="I159" i="2"/>
  <c r="G159" i="2"/>
  <c r="K159" i="2"/>
  <c r="H159" i="2"/>
  <c r="I151" i="2"/>
  <c r="G151" i="2"/>
  <c r="K151" i="2"/>
  <c r="H151" i="2"/>
  <c r="J151" i="2"/>
  <c r="I139" i="2"/>
  <c r="G139" i="2"/>
  <c r="K139" i="2"/>
  <c r="H139" i="2"/>
  <c r="J139" i="2"/>
  <c r="I131" i="2"/>
  <c r="G131" i="2"/>
  <c r="K131" i="2"/>
  <c r="H131" i="2"/>
  <c r="J131" i="2"/>
  <c r="I123" i="2"/>
  <c r="G123" i="2"/>
  <c r="K123" i="2"/>
  <c r="H123" i="2"/>
  <c r="J123" i="2"/>
  <c r="I115" i="2"/>
  <c r="G115" i="2"/>
  <c r="K115" i="2"/>
  <c r="H115" i="2"/>
  <c r="J115" i="2"/>
  <c r="I107" i="2"/>
  <c r="G107" i="2"/>
  <c r="K107" i="2"/>
  <c r="H107" i="2"/>
  <c r="J107" i="2"/>
  <c r="I99" i="2"/>
  <c r="G99" i="2"/>
  <c r="K99" i="2"/>
  <c r="H99" i="2"/>
  <c r="J99" i="2"/>
  <c r="I91" i="2"/>
  <c r="G91" i="2"/>
  <c r="K91" i="2"/>
  <c r="H91" i="2"/>
  <c r="J91" i="2"/>
  <c r="I87" i="2"/>
  <c r="G87" i="2"/>
  <c r="K87" i="2"/>
  <c r="H87" i="2"/>
  <c r="J87" i="2"/>
  <c r="I79" i="2"/>
  <c r="G79" i="2"/>
  <c r="K79" i="2"/>
  <c r="H79" i="2"/>
  <c r="J79" i="2"/>
  <c r="I71" i="2"/>
  <c r="G71" i="2"/>
  <c r="K71" i="2"/>
  <c r="H71" i="2"/>
  <c r="J71" i="2"/>
  <c r="I59" i="2"/>
  <c r="G59" i="2"/>
  <c r="K59" i="2"/>
  <c r="H59" i="2"/>
  <c r="J59" i="2"/>
  <c r="I51" i="2"/>
  <c r="G51" i="2"/>
  <c r="K51" i="2"/>
  <c r="H51" i="2"/>
  <c r="J51" i="2"/>
  <c r="I43" i="2"/>
  <c r="G43" i="2"/>
  <c r="K43" i="2"/>
  <c r="H43" i="2"/>
  <c r="J43" i="2"/>
  <c r="I35" i="2"/>
  <c r="G35" i="2"/>
  <c r="K35" i="2"/>
  <c r="H35" i="2"/>
  <c r="J35" i="2"/>
  <c r="I27" i="2"/>
  <c r="G27" i="2"/>
  <c r="K27" i="2"/>
  <c r="H27" i="2"/>
  <c r="J27" i="2"/>
  <c r="I19" i="2"/>
  <c r="G19" i="2"/>
  <c r="K19" i="2"/>
  <c r="H19" i="2"/>
  <c r="J19" i="2"/>
  <c r="O11" i="2"/>
  <c r="M11" i="2"/>
  <c r="L11" i="2"/>
  <c r="N11" i="2"/>
  <c r="P11" i="2"/>
  <c r="N603" i="2"/>
  <c r="L603" i="2"/>
  <c r="P603" i="2"/>
  <c r="M603" i="2"/>
  <c r="O603" i="2"/>
  <c r="N591" i="2"/>
  <c r="L591" i="2"/>
  <c r="P591" i="2"/>
  <c r="M591" i="2"/>
  <c r="O591" i="2"/>
  <c r="N583" i="2"/>
  <c r="L583" i="2"/>
  <c r="P583" i="2"/>
  <c r="M583" i="2"/>
  <c r="O583" i="2"/>
  <c r="N579" i="2"/>
  <c r="L579" i="2"/>
  <c r="P579" i="2"/>
  <c r="M579" i="2"/>
  <c r="O579" i="2"/>
  <c r="N571" i="2"/>
  <c r="L571" i="2"/>
  <c r="P571" i="2"/>
  <c r="M571" i="2"/>
  <c r="O571" i="2"/>
  <c r="N563" i="2"/>
  <c r="L563" i="2"/>
  <c r="P563" i="2"/>
  <c r="M563" i="2"/>
  <c r="O563" i="2"/>
  <c r="N555" i="2"/>
  <c r="L555" i="2"/>
  <c r="P555" i="2"/>
  <c r="M555" i="2"/>
  <c r="O555" i="2"/>
  <c r="N547" i="2"/>
  <c r="L547" i="2"/>
  <c r="P547" i="2"/>
  <c r="M547" i="2"/>
  <c r="O547" i="2"/>
  <c r="N539" i="2"/>
  <c r="L539" i="2"/>
  <c r="P539" i="2"/>
  <c r="M539" i="2"/>
  <c r="O539" i="2"/>
  <c r="L531" i="2"/>
  <c r="P531" i="2"/>
  <c r="M531" i="2"/>
  <c r="N531" i="2"/>
  <c r="O531" i="2"/>
  <c r="L523" i="2"/>
  <c r="P523" i="2"/>
  <c r="M523" i="2"/>
  <c r="N523" i="2"/>
  <c r="O523" i="2"/>
  <c r="L515" i="2"/>
  <c r="P515" i="2"/>
  <c r="M515" i="2"/>
  <c r="N515" i="2"/>
  <c r="O515" i="2"/>
  <c r="L507" i="2"/>
  <c r="P507" i="2"/>
  <c r="M507" i="2"/>
  <c r="N507" i="2"/>
  <c r="O507" i="2"/>
  <c r="L499" i="2"/>
  <c r="P499" i="2"/>
  <c r="M499" i="2"/>
  <c r="N499" i="2"/>
  <c r="O499" i="2"/>
  <c r="L491" i="2"/>
  <c r="P491" i="2"/>
  <c r="M491" i="2"/>
  <c r="N491" i="2"/>
  <c r="O491" i="2"/>
  <c r="L483" i="2"/>
  <c r="P483" i="2"/>
  <c r="M483" i="2"/>
  <c r="N483" i="2"/>
  <c r="O483" i="2"/>
  <c r="L475" i="2"/>
  <c r="P475" i="2"/>
  <c r="M475" i="2"/>
  <c r="N475" i="2"/>
  <c r="O475" i="2"/>
  <c r="L467" i="2"/>
  <c r="P467" i="2"/>
  <c r="M467" i="2"/>
  <c r="N467" i="2"/>
  <c r="O467" i="2"/>
  <c r="L459" i="2"/>
  <c r="P459" i="2"/>
  <c r="M459" i="2"/>
  <c r="N459" i="2"/>
  <c r="O459" i="2"/>
  <c r="L451" i="2"/>
  <c r="P451" i="2"/>
  <c r="M451" i="2"/>
  <c r="N451" i="2"/>
  <c r="O451" i="2"/>
  <c r="L443" i="2"/>
  <c r="P443" i="2"/>
  <c r="M443" i="2"/>
  <c r="N443" i="2"/>
  <c r="O443" i="2"/>
  <c r="L435" i="2"/>
  <c r="M435" i="2"/>
  <c r="P435" i="2"/>
  <c r="N435" i="2"/>
  <c r="O435" i="2"/>
  <c r="L427" i="2"/>
  <c r="P427" i="2"/>
  <c r="M427" i="2"/>
  <c r="O427" i="2"/>
  <c r="N427" i="2"/>
  <c r="L419" i="2"/>
  <c r="P419" i="2"/>
  <c r="M419" i="2"/>
  <c r="O419" i="2"/>
  <c r="N419" i="2"/>
  <c r="L411" i="2"/>
  <c r="P411" i="2"/>
  <c r="M411" i="2"/>
  <c r="O411" i="2"/>
  <c r="N411" i="2"/>
  <c r="L403" i="2"/>
  <c r="P403" i="2"/>
  <c r="M403" i="2"/>
  <c r="O403" i="2"/>
  <c r="N403" i="2"/>
  <c r="L395" i="2"/>
  <c r="P395" i="2"/>
  <c r="M395" i="2"/>
  <c r="O395" i="2"/>
  <c r="N395" i="2"/>
  <c r="L387" i="2"/>
  <c r="P387" i="2"/>
  <c r="M387" i="2"/>
  <c r="O387" i="2"/>
  <c r="N387" i="2"/>
  <c r="L379" i="2"/>
  <c r="P379" i="2"/>
  <c r="M379" i="2"/>
  <c r="O379" i="2"/>
  <c r="N379" i="2"/>
  <c r="L371" i="2"/>
  <c r="P371" i="2"/>
  <c r="M371" i="2"/>
  <c r="O371" i="2"/>
  <c r="N371" i="2"/>
  <c r="L363" i="2"/>
  <c r="P363" i="2"/>
  <c r="M363" i="2"/>
  <c r="O363" i="2"/>
  <c r="N363" i="2"/>
  <c r="M355" i="2"/>
  <c r="L355" i="2"/>
  <c r="N355" i="2"/>
  <c r="P355" i="2"/>
  <c r="O355" i="2"/>
  <c r="M347" i="2"/>
  <c r="O347" i="2"/>
  <c r="P347" i="2"/>
  <c r="N347" i="2"/>
  <c r="L347" i="2"/>
  <c r="M339" i="2"/>
  <c r="L339" i="2"/>
  <c r="N339" i="2"/>
  <c r="P339" i="2"/>
  <c r="O339" i="2"/>
  <c r="M331" i="2"/>
  <c r="O331" i="2"/>
  <c r="P331" i="2"/>
  <c r="N331" i="2"/>
  <c r="L331" i="2"/>
  <c r="M323" i="2"/>
  <c r="L323" i="2"/>
  <c r="N323" i="2"/>
  <c r="P323" i="2"/>
  <c r="O323" i="2"/>
  <c r="M315" i="2"/>
  <c r="O315" i="2"/>
  <c r="P315" i="2"/>
  <c r="N315" i="2"/>
  <c r="L315" i="2"/>
  <c r="M307" i="2"/>
  <c r="L307" i="2"/>
  <c r="N307" i="2"/>
  <c r="P307" i="2"/>
  <c r="O307" i="2"/>
  <c r="M299" i="2"/>
  <c r="O299" i="2"/>
  <c r="P299" i="2"/>
  <c r="N299" i="2"/>
  <c r="L299" i="2"/>
  <c r="M291" i="2"/>
  <c r="L291" i="2"/>
  <c r="N291" i="2"/>
  <c r="P291" i="2"/>
  <c r="O291" i="2"/>
  <c r="M283" i="2"/>
  <c r="O283" i="2"/>
  <c r="P283" i="2"/>
  <c r="N283" i="2"/>
  <c r="L283" i="2"/>
  <c r="M275" i="2"/>
  <c r="N275" i="2"/>
  <c r="O275" i="2"/>
  <c r="L275" i="2"/>
  <c r="P275" i="2"/>
  <c r="M267" i="2"/>
  <c r="N267" i="2"/>
  <c r="O267" i="2"/>
  <c r="L267" i="2"/>
  <c r="P267" i="2"/>
  <c r="M259" i="2"/>
  <c r="N259" i="2"/>
  <c r="O259" i="2"/>
  <c r="L259" i="2"/>
  <c r="P259" i="2"/>
  <c r="M251" i="2"/>
  <c r="N251" i="2"/>
  <c r="O251" i="2"/>
  <c r="L251" i="2"/>
  <c r="P251" i="2"/>
  <c r="M243" i="2"/>
  <c r="N243" i="2"/>
  <c r="L243" i="2"/>
  <c r="O243" i="2"/>
  <c r="P243" i="2"/>
  <c r="M235" i="2"/>
  <c r="N235" i="2"/>
  <c r="L235" i="2"/>
  <c r="O235" i="2"/>
  <c r="P235" i="2"/>
  <c r="M227" i="2"/>
  <c r="N227" i="2"/>
  <c r="L227" i="2"/>
  <c r="P227" i="2"/>
  <c r="O227" i="2"/>
  <c r="M219" i="2"/>
  <c r="N219" i="2"/>
  <c r="L219" i="2"/>
  <c r="P219" i="2"/>
  <c r="O219" i="2"/>
  <c r="M211" i="2"/>
  <c r="N211" i="2"/>
  <c r="L211" i="2"/>
  <c r="P211" i="2"/>
  <c r="O211" i="2"/>
  <c r="M203" i="2"/>
  <c r="N203" i="2"/>
  <c r="L203" i="2"/>
  <c r="P203" i="2"/>
  <c r="O203" i="2"/>
  <c r="M195" i="2"/>
  <c r="N195" i="2"/>
  <c r="L195" i="2"/>
  <c r="P195" i="2"/>
  <c r="O195" i="2"/>
  <c r="M187" i="2"/>
  <c r="N187" i="2"/>
  <c r="L187" i="2"/>
  <c r="P187" i="2"/>
  <c r="O187" i="2"/>
  <c r="M179" i="2"/>
  <c r="N179" i="2"/>
  <c r="L179" i="2"/>
  <c r="P179" i="2"/>
  <c r="O179" i="2"/>
  <c r="M171" i="2"/>
  <c r="N171" i="2"/>
  <c r="L171" i="2"/>
  <c r="P171" i="2"/>
  <c r="O171" i="2"/>
  <c r="M163" i="2"/>
  <c r="N163" i="2"/>
  <c r="L163" i="2"/>
  <c r="P163" i="2"/>
  <c r="O163" i="2"/>
  <c r="M155" i="2"/>
  <c r="N155" i="2"/>
  <c r="L155" i="2"/>
  <c r="P155" i="2"/>
  <c r="O155" i="2"/>
  <c r="M147" i="2"/>
  <c r="N147" i="2"/>
  <c r="L147" i="2"/>
  <c r="P147" i="2"/>
  <c r="O147" i="2"/>
  <c r="M135" i="2"/>
  <c r="N135" i="2"/>
  <c r="L135" i="2"/>
  <c r="P135" i="2"/>
  <c r="O135" i="2"/>
  <c r="L127" i="2"/>
  <c r="P127" i="2"/>
  <c r="M127" i="2"/>
  <c r="O127" i="2"/>
  <c r="N127" i="2"/>
  <c r="H595" i="2"/>
  <c r="H579" i="2"/>
  <c r="K572" i="2"/>
  <c r="H563" i="2"/>
  <c r="H547" i="2"/>
  <c r="H531" i="2"/>
  <c r="H515" i="2"/>
  <c r="H499" i="2"/>
  <c r="K492" i="2"/>
  <c r="H467" i="2"/>
  <c r="G380" i="2"/>
  <c r="I172" i="2"/>
  <c r="H602" i="2"/>
  <c r="J602" i="2"/>
  <c r="G602" i="2"/>
  <c r="K602" i="2"/>
  <c r="H594" i="2"/>
  <c r="J594" i="2"/>
  <c r="G594" i="2"/>
  <c r="K594" i="2"/>
  <c r="H586" i="2"/>
  <c r="J586" i="2"/>
  <c r="G586" i="2"/>
  <c r="K586" i="2"/>
  <c r="H578" i="2"/>
  <c r="J578" i="2"/>
  <c r="G578" i="2"/>
  <c r="K578" i="2"/>
  <c r="H570" i="2"/>
  <c r="J570" i="2"/>
  <c r="G570" i="2"/>
  <c r="K570" i="2"/>
  <c r="H566" i="2"/>
  <c r="J566" i="2"/>
  <c r="G566" i="2"/>
  <c r="K566" i="2"/>
  <c r="H562" i="2"/>
  <c r="J562" i="2"/>
  <c r="G562" i="2"/>
  <c r="K562" i="2"/>
  <c r="H558" i="2"/>
  <c r="J558" i="2"/>
  <c r="G558" i="2"/>
  <c r="K558" i="2"/>
  <c r="H554" i="2"/>
  <c r="J554" i="2"/>
  <c r="G554" i="2"/>
  <c r="K554" i="2"/>
  <c r="H546" i="2"/>
  <c r="J546" i="2"/>
  <c r="G546" i="2"/>
  <c r="K546" i="2"/>
  <c r="H538" i="2"/>
  <c r="J538" i="2"/>
  <c r="G538" i="2"/>
  <c r="K538" i="2"/>
  <c r="H534" i="2"/>
  <c r="J534" i="2"/>
  <c r="G534" i="2"/>
  <c r="K534" i="2"/>
  <c r="H526" i="2"/>
  <c r="J526" i="2"/>
  <c r="G526" i="2"/>
  <c r="K526" i="2"/>
  <c r="H522" i="2"/>
  <c r="J522" i="2"/>
  <c r="G522" i="2"/>
  <c r="K522" i="2"/>
  <c r="H518" i="2"/>
  <c r="J518" i="2"/>
  <c r="G518" i="2"/>
  <c r="K518" i="2"/>
  <c r="H514" i="2"/>
  <c r="J514" i="2"/>
  <c r="G514" i="2"/>
  <c r="K514" i="2"/>
  <c r="H510" i="2"/>
  <c r="J510" i="2"/>
  <c r="G510" i="2"/>
  <c r="K510" i="2"/>
  <c r="H506" i="2"/>
  <c r="J506" i="2"/>
  <c r="G506" i="2"/>
  <c r="K506" i="2"/>
  <c r="H502" i="2"/>
  <c r="J502" i="2"/>
  <c r="G502" i="2"/>
  <c r="K502" i="2"/>
  <c r="H498" i="2"/>
  <c r="J498" i="2"/>
  <c r="G498" i="2"/>
  <c r="K498" i="2"/>
  <c r="H494" i="2"/>
  <c r="J494" i="2"/>
  <c r="G494" i="2"/>
  <c r="K494" i="2"/>
  <c r="H490" i="2"/>
  <c r="J490" i="2"/>
  <c r="G490" i="2"/>
  <c r="K490" i="2"/>
  <c r="H486" i="2"/>
  <c r="J486" i="2"/>
  <c r="G486" i="2"/>
  <c r="K486" i="2"/>
  <c r="H482" i="2"/>
  <c r="J482" i="2"/>
  <c r="G482" i="2"/>
  <c r="K482" i="2"/>
  <c r="H478" i="2"/>
  <c r="J478" i="2"/>
  <c r="G478" i="2"/>
  <c r="K478" i="2"/>
  <c r="H474" i="2"/>
  <c r="J474" i="2"/>
  <c r="G474" i="2"/>
  <c r="K474" i="2"/>
  <c r="H470" i="2"/>
  <c r="J470" i="2"/>
  <c r="G470" i="2"/>
  <c r="K470" i="2"/>
  <c r="H466" i="2"/>
  <c r="J466" i="2"/>
  <c r="G466" i="2"/>
  <c r="K466" i="2"/>
  <c r="H462" i="2"/>
  <c r="J462" i="2"/>
  <c r="G462" i="2"/>
  <c r="K462" i="2"/>
  <c r="H458" i="2"/>
  <c r="J458" i="2"/>
  <c r="G458" i="2"/>
  <c r="K458" i="2"/>
  <c r="H454" i="2"/>
  <c r="J454" i="2"/>
  <c r="G454" i="2"/>
  <c r="K454" i="2"/>
  <c r="H450" i="2"/>
  <c r="J450" i="2"/>
  <c r="G450" i="2"/>
  <c r="K450" i="2"/>
  <c r="H446" i="2"/>
  <c r="J446" i="2"/>
  <c r="G446" i="2"/>
  <c r="K446" i="2"/>
  <c r="H442" i="2"/>
  <c r="J442" i="2"/>
  <c r="G442" i="2"/>
  <c r="K442" i="2"/>
  <c r="H438" i="2"/>
  <c r="J438" i="2"/>
  <c r="G438" i="2"/>
  <c r="K438" i="2"/>
  <c r="H434" i="2"/>
  <c r="J434" i="2"/>
  <c r="G434" i="2"/>
  <c r="K434" i="2"/>
  <c r="H430" i="2"/>
  <c r="J430" i="2"/>
  <c r="G430" i="2"/>
  <c r="K430" i="2"/>
  <c r="H426" i="2"/>
  <c r="J426" i="2"/>
  <c r="G426" i="2"/>
  <c r="K426" i="2"/>
  <c r="H422" i="2"/>
  <c r="J422" i="2"/>
  <c r="G422" i="2"/>
  <c r="K422" i="2"/>
  <c r="H418" i="2"/>
  <c r="J418" i="2"/>
  <c r="G418" i="2"/>
  <c r="K418" i="2"/>
  <c r="H414" i="2"/>
  <c r="J414" i="2"/>
  <c r="G414" i="2"/>
  <c r="K414" i="2"/>
  <c r="I414" i="2"/>
  <c r="H410" i="2"/>
  <c r="J410" i="2"/>
  <c r="G410" i="2"/>
  <c r="K410" i="2"/>
  <c r="I410" i="2"/>
  <c r="H406" i="2"/>
  <c r="J406" i="2"/>
  <c r="G406" i="2"/>
  <c r="K406" i="2"/>
  <c r="I406" i="2"/>
  <c r="H402" i="2"/>
  <c r="J402" i="2"/>
  <c r="G402" i="2"/>
  <c r="K402" i="2"/>
  <c r="H398" i="2"/>
  <c r="J398" i="2"/>
  <c r="G398" i="2"/>
  <c r="K398" i="2"/>
  <c r="I398" i="2"/>
  <c r="H394" i="2"/>
  <c r="J394" i="2"/>
  <c r="G394" i="2"/>
  <c r="K394" i="2"/>
  <c r="I394" i="2"/>
  <c r="H390" i="2"/>
  <c r="J390" i="2"/>
  <c r="G390" i="2"/>
  <c r="K390" i="2"/>
  <c r="I390" i="2"/>
  <c r="H386" i="2"/>
  <c r="J386" i="2"/>
  <c r="G386" i="2"/>
  <c r="K386" i="2"/>
  <c r="H382" i="2"/>
  <c r="J382" i="2"/>
  <c r="G382" i="2"/>
  <c r="K382" i="2"/>
  <c r="I382" i="2"/>
  <c r="H378" i="2"/>
  <c r="J378" i="2"/>
  <c r="G378" i="2"/>
  <c r="K378" i="2"/>
  <c r="I378" i="2"/>
  <c r="H374" i="2"/>
  <c r="J374" i="2"/>
  <c r="G374" i="2"/>
  <c r="K374" i="2"/>
  <c r="I374" i="2"/>
  <c r="H370" i="2"/>
  <c r="J370" i="2"/>
  <c r="G370" i="2"/>
  <c r="K370" i="2"/>
  <c r="H366" i="2"/>
  <c r="J366" i="2"/>
  <c r="G366" i="2"/>
  <c r="K366" i="2"/>
  <c r="I366" i="2"/>
  <c r="H362" i="2"/>
  <c r="J362" i="2"/>
  <c r="G362" i="2"/>
  <c r="K362" i="2"/>
  <c r="I362" i="2"/>
  <c r="H358" i="2"/>
  <c r="J358" i="2"/>
  <c r="G358" i="2"/>
  <c r="K358" i="2"/>
  <c r="I358" i="2"/>
  <c r="H354" i="2"/>
  <c r="J354" i="2"/>
  <c r="G354" i="2"/>
  <c r="K354" i="2"/>
  <c r="H350" i="2"/>
  <c r="J350" i="2"/>
  <c r="G350" i="2"/>
  <c r="K350" i="2"/>
  <c r="I350" i="2"/>
  <c r="H346" i="2"/>
  <c r="J346" i="2"/>
  <c r="G346" i="2"/>
  <c r="K346" i="2"/>
  <c r="I346" i="2"/>
  <c r="H342" i="2"/>
  <c r="J342" i="2"/>
  <c r="G342" i="2"/>
  <c r="K342" i="2"/>
  <c r="I342" i="2"/>
  <c r="H338" i="2"/>
  <c r="J338" i="2"/>
  <c r="G338" i="2"/>
  <c r="K338" i="2"/>
  <c r="H334" i="2"/>
  <c r="J334" i="2"/>
  <c r="G334" i="2"/>
  <c r="K334" i="2"/>
  <c r="I334" i="2"/>
  <c r="H330" i="2"/>
  <c r="J330" i="2"/>
  <c r="G330" i="2"/>
  <c r="K330" i="2"/>
  <c r="I330" i="2"/>
  <c r="H326" i="2"/>
  <c r="J326" i="2"/>
  <c r="G326" i="2"/>
  <c r="K326" i="2"/>
  <c r="I326" i="2"/>
  <c r="H322" i="2"/>
  <c r="J322" i="2"/>
  <c r="G322" i="2"/>
  <c r="K322" i="2"/>
  <c r="H318" i="2"/>
  <c r="J318" i="2"/>
  <c r="G318" i="2"/>
  <c r="K318" i="2"/>
  <c r="I318" i="2"/>
  <c r="H314" i="2"/>
  <c r="J314" i="2"/>
  <c r="G314" i="2"/>
  <c r="K314" i="2"/>
  <c r="I314" i="2"/>
  <c r="H310" i="2"/>
  <c r="J310" i="2"/>
  <c r="G310" i="2"/>
  <c r="K310" i="2"/>
  <c r="I310" i="2"/>
  <c r="H306" i="2"/>
  <c r="J306" i="2"/>
  <c r="G306" i="2"/>
  <c r="K306" i="2"/>
  <c r="H302" i="2"/>
  <c r="J302" i="2"/>
  <c r="G302" i="2"/>
  <c r="K302" i="2"/>
  <c r="I302" i="2"/>
  <c r="H298" i="2"/>
  <c r="J298" i="2"/>
  <c r="G298" i="2"/>
  <c r="K298" i="2"/>
  <c r="I298" i="2"/>
  <c r="H294" i="2"/>
  <c r="J294" i="2"/>
  <c r="G294" i="2"/>
  <c r="K294" i="2"/>
  <c r="I294" i="2"/>
  <c r="H290" i="2"/>
  <c r="J290" i="2"/>
  <c r="G290" i="2"/>
  <c r="K290" i="2"/>
  <c r="H286" i="2"/>
  <c r="J286" i="2"/>
  <c r="G286" i="2"/>
  <c r="K286" i="2"/>
  <c r="I286" i="2"/>
  <c r="H282" i="2"/>
  <c r="J282" i="2"/>
  <c r="G282" i="2"/>
  <c r="K282" i="2"/>
  <c r="I282" i="2"/>
  <c r="H278" i="2"/>
  <c r="J278" i="2"/>
  <c r="G278" i="2"/>
  <c r="K278" i="2"/>
  <c r="I278" i="2"/>
  <c r="H274" i="2"/>
  <c r="J274" i="2"/>
  <c r="G274" i="2"/>
  <c r="K274" i="2"/>
  <c r="H270" i="2"/>
  <c r="J270" i="2"/>
  <c r="G270" i="2"/>
  <c r="K270" i="2"/>
  <c r="I270" i="2"/>
  <c r="H266" i="2"/>
  <c r="J266" i="2"/>
  <c r="G266" i="2"/>
  <c r="K266" i="2"/>
  <c r="I266" i="2"/>
  <c r="H262" i="2"/>
  <c r="J262" i="2"/>
  <c r="G262" i="2"/>
  <c r="K262" i="2"/>
  <c r="I262" i="2"/>
  <c r="H258" i="2"/>
  <c r="J258" i="2"/>
  <c r="G258" i="2"/>
  <c r="K258" i="2"/>
  <c r="H254" i="2"/>
  <c r="J254" i="2"/>
  <c r="G254" i="2"/>
  <c r="K254" i="2"/>
  <c r="I254" i="2"/>
  <c r="H250" i="2"/>
  <c r="J250" i="2"/>
  <c r="G250" i="2"/>
  <c r="K250" i="2"/>
  <c r="I250" i="2"/>
  <c r="H246" i="2"/>
  <c r="J246" i="2"/>
  <c r="G246" i="2"/>
  <c r="K246" i="2"/>
  <c r="I246" i="2"/>
  <c r="H242" i="2"/>
  <c r="J242" i="2"/>
  <c r="G242" i="2"/>
  <c r="K242" i="2"/>
  <c r="H238" i="2"/>
  <c r="J238" i="2"/>
  <c r="G238" i="2"/>
  <c r="K238" i="2"/>
  <c r="I238" i="2"/>
  <c r="H234" i="2"/>
  <c r="J234" i="2"/>
  <c r="G234" i="2"/>
  <c r="K234" i="2"/>
  <c r="I234" i="2"/>
  <c r="H230" i="2"/>
  <c r="J230" i="2"/>
  <c r="G230" i="2"/>
  <c r="K230" i="2"/>
  <c r="I230" i="2"/>
  <c r="H226" i="2"/>
  <c r="J226" i="2"/>
  <c r="G226" i="2"/>
  <c r="K226" i="2"/>
  <c r="H222" i="2"/>
  <c r="J222" i="2"/>
  <c r="G222" i="2"/>
  <c r="K222" i="2"/>
  <c r="I222" i="2"/>
  <c r="H218" i="2"/>
  <c r="J218" i="2"/>
  <c r="G218" i="2"/>
  <c r="K218" i="2"/>
  <c r="I218" i="2"/>
  <c r="H214" i="2"/>
  <c r="J214" i="2"/>
  <c r="G214" i="2"/>
  <c r="K214" i="2"/>
  <c r="I214" i="2"/>
  <c r="H210" i="2"/>
  <c r="G210" i="2"/>
  <c r="J210" i="2"/>
  <c r="K210" i="2"/>
  <c r="J206" i="2"/>
  <c r="H206" i="2"/>
  <c r="I206" i="2"/>
  <c r="K206" i="2"/>
  <c r="G206" i="2"/>
  <c r="J202" i="2"/>
  <c r="H202" i="2"/>
  <c r="I202" i="2"/>
  <c r="G202" i="2"/>
  <c r="K202" i="2"/>
  <c r="J198" i="2"/>
  <c r="H198" i="2"/>
  <c r="I198" i="2"/>
  <c r="K198" i="2"/>
  <c r="J194" i="2"/>
  <c r="H194" i="2"/>
  <c r="I194" i="2"/>
  <c r="G194" i="2"/>
  <c r="K194" i="2"/>
  <c r="J190" i="2"/>
  <c r="H190" i="2"/>
  <c r="I190" i="2"/>
  <c r="K190" i="2"/>
  <c r="G190" i="2"/>
  <c r="J186" i="2"/>
  <c r="H186" i="2"/>
  <c r="I186" i="2"/>
  <c r="G186" i="2"/>
  <c r="K186" i="2"/>
  <c r="J182" i="2"/>
  <c r="H182" i="2"/>
  <c r="I182" i="2"/>
  <c r="K182" i="2"/>
  <c r="G182" i="2"/>
  <c r="J178" i="2"/>
  <c r="H178" i="2"/>
  <c r="I178" i="2"/>
  <c r="G178" i="2"/>
  <c r="K178" i="2"/>
  <c r="J174" i="2"/>
  <c r="H174" i="2"/>
  <c r="I174" i="2"/>
  <c r="K174" i="2"/>
  <c r="G174" i="2"/>
  <c r="J170" i="2"/>
  <c r="H170" i="2"/>
  <c r="I170" i="2"/>
  <c r="G170" i="2"/>
  <c r="K170" i="2"/>
  <c r="J166" i="2"/>
  <c r="H166" i="2"/>
  <c r="I166" i="2"/>
  <c r="K166" i="2"/>
  <c r="G166" i="2"/>
  <c r="J162" i="2"/>
  <c r="H162" i="2"/>
  <c r="I162" i="2"/>
  <c r="G162" i="2"/>
  <c r="K162" i="2"/>
  <c r="J158" i="2"/>
  <c r="H158" i="2"/>
  <c r="I158" i="2"/>
  <c r="K158" i="2"/>
  <c r="G158" i="2"/>
  <c r="J154" i="2"/>
  <c r="H154" i="2"/>
  <c r="I154" i="2"/>
  <c r="G154" i="2"/>
  <c r="K154" i="2"/>
  <c r="J150" i="2"/>
  <c r="H150" i="2"/>
  <c r="I150" i="2"/>
  <c r="K150" i="2"/>
  <c r="G150" i="2"/>
  <c r="J146" i="2"/>
  <c r="H146" i="2"/>
  <c r="I146" i="2"/>
  <c r="G146" i="2"/>
  <c r="J142" i="2"/>
  <c r="H142" i="2"/>
  <c r="I142" i="2"/>
  <c r="K142" i="2"/>
  <c r="G142" i="2"/>
  <c r="J138" i="2"/>
  <c r="H138" i="2"/>
  <c r="I138" i="2"/>
  <c r="G138" i="2"/>
  <c r="K138" i="2"/>
  <c r="J134" i="2"/>
  <c r="H134" i="2"/>
  <c r="I134" i="2"/>
  <c r="K134" i="2"/>
  <c r="J130" i="2"/>
  <c r="H130" i="2"/>
  <c r="I130" i="2"/>
  <c r="G130" i="2"/>
  <c r="K130" i="2"/>
  <c r="J126" i="2"/>
  <c r="H126" i="2"/>
  <c r="I126" i="2"/>
  <c r="K126" i="2"/>
  <c r="G126" i="2"/>
  <c r="J122" i="2"/>
  <c r="H122" i="2"/>
  <c r="I122" i="2"/>
  <c r="G122" i="2"/>
  <c r="K122" i="2"/>
  <c r="J118" i="2"/>
  <c r="H118" i="2"/>
  <c r="I118" i="2"/>
  <c r="K118" i="2"/>
  <c r="G118" i="2"/>
  <c r="J114" i="2"/>
  <c r="H114" i="2"/>
  <c r="I114" i="2"/>
  <c r="G114" i="2"/>
  <c r="K114" i="2"/>
  <c r="J110" i="2"/>
  <c r="H110" i="2"/>
  <c r="I110" i="2"/>
  <c r="K110" i="2"/>
  <c r="G110" i="2"/>
  <c r="J106" i="2"/>
  <c r="H106" i="2"/>
  <c r="I106" i="2"/>
  <c r="G106" i="2"/>
  <c r="K106" i="2"/>
  <c r="J102" i="2"/>
  <c r="H102" i="2"/>
  <c r="I102" i="2"/>
  <c r="K102" i="2"/>
  <c r="G102" i="2"/>
  <c r="J98" i="2"/>
  <c r="H98" i="2"/>
  <c r="I98" i="2"/>
  <c r="G98" i="2"/>
  <c r="K98" i="2"/>
  <c r="J94" i="2"/>
  <c r="H94" i="2"/>
  <c r="I94" i="2"/>
  <c r="K94" i="2"/>
  <c r="G94" i="2"/>
  <c r="J90" i="2"/>
  <c r="H90" i="2"/>
  <c r="I90" i="2"/>
  <c r="G90" i="2"/>
  <c r="K90" i="2"/>
  <c r="J86" i="2"/>
  <c r="H86" i="2"/>
  <c r="I86" i="2"/>
  <c r="K86" i="2"/>
  <c r="G86" i="2"/>
  <c r="J82" i="2"/>
  <c r="H82" i="2"/>
  <c r="I82" i="2"/>
  <c r="G82" i="2"/>
  <c r="J78" i="2"/>
  <c r="H78" i="2"/>
  <c r="I78" i="2"/>
  <c r="K78" i="2"/>
  <c r="G78" i="2"/>
  <c r="J74" i="2"/>
  <c r="H74" i="2"/>
  <c r="I74" i="2"/>
  <c r="G74" i="2"/>
  <c r="K74" i="2"/>
  <c r="J70" i="2"/>
  <c r="H70" i="2"/>
  <c r="I70" i="2"/>
  <c r="K70" i="2"/>
  <c r="J66" i="2"/>
  <c r="H66" i="2"/>
  <c r="I66" i="2"/>
  <c r="G66" i="2"/>
  <c r="K66" i="2"/>
  <c r="J62" i="2"/>
  <c r="H62" i="2"/>
  <c r="I62" i="2"/>
  <c r="K62" i="2"/>
  <c r="G62" i="2"/>
  <c r="J58" i="2"/>
  <c r="H58" i="2"/>
  <c r="I58" i="2"/>
  <c r="G58" i="2"/>
  <c r="K58" i="2"/>
  <c r="J54" i="2"/>
  <c r="H54" i="2"/>
  <c r="I54" i="2"/>
  <c r="K54" i="2"/>
  <c r="G54" i="2"/>
  <c r="J50" i="2"/>
  <c r="H50" i="2"/>
  <c r="I50" i="2"/>
  <c r="G50" i="2"/>
  <c r="K50" i="2"/>
  <c r="J46" i="2"/>
  <c r="H46" i="2"/>
  <c r="I46" i="2"/>
  <c r="K46" i="2"/>
  <c r="G46" i="2"/>
  <c r="J42" i="2"/>
  <c r="H42" i="2"/>
  <c r="I42" i="2"/>
  <c r="G42" i="2"/>
  <c r="K42" i="2"/>
  <c r="J38" i="2"/>
  <c r="H38" i="2"/>
  <c r="I38" i="2"/>
  <c r="K38" i="2"/>
  <c r="G38" i="2"/>
  <c r="J34" i="2"/>
  <c r="H34" i="2"/>
  <c r="I34" i="2"/>
  <c r="G34" i="2"/>
  <c r="K34" i="2"/>
  <c r="J30" i="2"/>
  <c r="H30" i="2"/>
  <c r="I30" i="2"/>
  <c r="K30" i="2"/>
  <c r="G30" i="2"/>
  <c r="J26" i="2"/>
  <c r="H26" i="2"/>
  <c r="I26" i="2"/>
  <c r="G26" i="2"/>
  <c r="K26" i="2"/>
  <c r="J22" i="2"/>
  <c r="H22" i="2"/>
  <c r="I22" i="2"/>
  <c r="K22" i="2"/>
  <c r="G22" i="2"/>
  <c r="J18" i="2"/>
  <c r="H18" i="2"/>
  <c r="I18" i="2"/>
  <c r="G18" i="2"/>
  <c r="J14" i="2"/>
  <c r="H14" i="2"/>
  <c r="I14" i="2"/>
  <c r="K14" i="2"/>
  <c r="G14" i="2"/>
  <c r="O610" i="2"/>
  <c r="M610" i="2"/>
  <c r="N610" i="2"/>
  <c r="L610" i="2"/>
  <c r="P610" i="2"/>
  <c r="O606" i="2"/>
  <c r="M606" i="2"/>
  <c r="N606" i="2"/>
  <c r="P606" i="2"/>
  <c r="O602" i="2"/>
  <c r="M602" i="2"/>
  <c r="N602" i="2"/>
  <c r="L602" i="2"/>
  <c r="P602" i="2"/>
  <c r="O598" i="2"/>
  <c r="M598" i="2"/>
  <c r="N598" i="2"/>
  <c r="P598" i="2"/>
  <c r="L598" i="2"/>
  <c r="O594" i="2"/>
  <c r="M594" i="2"/>
  <c r="N594" i="2"/>
  <c r="L594" i="2"/>
  <c r="P594" i="2"/>
  <c r="O590" i="2"/>
  <c r="M590" i="2"/>
  <c r="N590" i="2"/>
  <c r="P590" i="2"/>
  <c r="L590" i="2"/>
  <c r="O586" i="2"/>
  <c r="M586" i="2"/>
  <c r="N586" i="2"/>
  <c r="L586" i="2"/>
  <c r="P586" i="2"/>
  <c r="O582" i="2"/>
  <c r="M582" i="2"/>
  <c r="N582" i="2"/>
  <c r="P582" i="2"/>
  <c r="L582" i="2"/>
  <c r="O578" i="2"/>
  <c r="M578" i="2"/>
  <c r="N578" i="2"/>
  <c r="L578" i="2"/>
  <c r="P578" i="2"/>
  <c r="O574" i="2"/>
  <c r="M574" i="2"/>
  <c r="N574" i="2"/>
  <c r="P574" i="2"/>
  <c r="L574" i="2"/>
  <c r="O570" i="2"/>
  <c r="M570" i="2"/>
  <c r="N570" i="2"/>
  <c r="L570" i="2"/>
  <c r="P570" i="2"/>
  <c r="O566" i="2"/>
  <c r="M566" i="2"/>
  <c r="N566" i="2"/>
  <c r="P566" i="2"/>
  <c r="L566" i="2"/>
  <c r="O562" i="2"/>
  <c r="M562" i="2"/>
  <c r="N562" i="2"/>
  <c r="L562" i="2"/>
  <c r="P562" i="2"/>
  <c r="O558" i="2"/>
  <c r="M558" i="2"/>
  <c r="N558" i="2"/>
  <c r="P558" i="2"/>
  <c r="L558" i="2"/>
  <c r="O554" i="2"/>
  <c r="M554" i="2"/>
  <c r="N554" i="2"/>
  <c r="L554" i="2"/>
  <c r="O550" i="2"/>
  <c r="M550" i="2"/>
  <c r="N550" i="2"/>
  <c r="P550" i="2"/>
  <c r="L550" i="2"/>
  <c r="O546" i="2"/>
  <c r="M546" i="2"/>
  <c r="N546" i="2"/>
  <c r="L546" i="2"/>
  <c r="P546" i="2"/>
  <c r="O542" i="2"/>
  <c r="M542" i="2"/>
  <c r="N542" i="2"/>
  <c r="P542" i="2"/>
  <c r="O538" i="2"/>
  <c r="M538" i="2"/>
  <c r="N538" i="2"/>
  <c r="L538" i="2"/>
  <c r="P538" i="2"/>
  <c r="M534" i="2"/>
  <c r="N534" i="2"/>
  <c r="O534" i="2"/>
  <c r="L534" i="2"/>
  <c r="P534" i="2"/>
  <c r="M530" i="2"/>
  <c r="N530" i="2"/>
  <c r="O530" i="2"/>
  <c r="L530" i="2"/>
  <c r="P530" i="2"/>
  <c r="M526" i="2"/>
  <c r="N526" i="2"/>
  <c r="O526" i="2"/>
  <c r="L526" i="2"/>
  <c r="P526" i="2"/>
  <c r="M522" i="2"/>
  <c r="N522" i="2"/>
  <c r="O522" i="2"/>
  <c r="L522" i="2"/>
  <c r="P522" i="2"/>
  <c r="M518" i="2"/>
  <c r="N518" i="2"/>
  <c r="O518" i="2"/>
  <c r="L518" i="2"/>
  <c r="P518" i="2"/>
  <c r="M514" i="2"/>
  <c r="N514" i="2"/>
  <c r="O514" i="2"/>
  <c r="L514" i="2"/>
  <c r="P514" i="2"/>
  <c r="M510" i="2"/>
  <c r="N510" i="2"/>
  <c r="O510" i="2"/>
  <c r="L510" i="2"/>
  <c r="P510" i="2"/>
  <c r="M506" i="2"/>
  <c r="N506" i="2"/>
  <c r="O506" i="2"/>
  <c r="L506" i="2"/>
  <c r="P506" i="2"/>
  <c r="M502" i="2"/>
  <c r="N502" i="2"/>
  <c r="O502" i="2"/>
  <c r="L502" i="2"/>
  <c r="P502" i="2"/>
  <c r="M498" i="2"/>
  <c r="N498" i="2"/>
  <c r="O498" i="2"/>
  <c r="L498" i="2"/>
  <c r="P498" i="2"/>
  <c r="M494" i="2"/>
  <c r="N494" i="2"/>
  <c r="O494" i="2"/>
  <c r="L494" i="2"/>
  <c r="P494" i="2"/>
  <c r="M490" i="2"/>
  <c r="N490" i="2"/>
  <c r="O490" i="2"/>
  <c r="L490" i="2"/>
  <c r="P490" i="2"/>
  <c r="M486" i="2"/>
  <c r="N486" i="2"/>
  <c r="O486" i="2"/>
  <c r="L486" i="2"/>
  <c r="P486" i="2"/>
  <c r="M482" i="2"/>
  <c r="N482" i="2"/>
  <c r="O482" i="2"/>
  <c r="L482" i="2"/>
  <c r="P482" i="2"/>
  <c r="M478" i="2"/>
  <c r="N478" i="2"/>
  <c r="O478" i="2"/>
  <c r="L478" i="2"/>
  <c r="P478" i="2"/>
  <c r="M474" i="2"/>
  <c r="N474" i="2"/>
  <c r="O474" i="2"/>
  <c r="L474" i="2"/>
  <c r="P474" i="2"/>
  <c r="M470" i="2"/>
  <c r="N470" i="2"/>
  <c r="O470" i="2"/>
  <c r="L470" i="2"/>
  <c r="P470" i="2"/>
  <c r="M466" i="2"/>
  <c r="N466" i="2"/>
  <c r="O466" i="2"/>
  <c r="L466" i="2"/>
  <c r="P466" i="2"/>
  <c r="M462" i="2"/>
  <c r="N462" i="2"/>
  <c r="O462" i="2"/>
  <c r="L462" i="2"/>
  <c r="P462" i="2"/>
  <c r="M458" i="2"/>
  <c r="N458" i="2"/>
  <c r="O458" i="2"/>
  <c r="L458" i="2"/>
  <c r="P458" i="2"/>
  <c r="M454" i="2"/>
  <c r="N454" i="2"/>
  <c r="O454" i="2"/>
  <c r="L454" i="2"/>
  <c r="P454" i="2"/>
  <c r="M450" i="2"/>
  <c r="N450" i="2"/>
  <c r="O450" i="2"/>
  <c r="L450" i="2"/>
  <c r="P450" i="2"/>
  <c r="M446" i="2"/>
  <c r="N446" i="2"/>
  <c r="O446" i="2"/>
  <c r="L446" i="2"/>
  <c r="P446" i="2"/>
  <c r="M442" i="2"/>
  <c r="N442" i="2"/>
  <c r="O442" i="2"/>
  <c r="L442" i="2"/>
  <c r="P442" i="2"/>
  <c r="M438" i="2"/>
  <c r="N438" i="2"/>
  <c r="O438" i="2"/>
  <c r="L438" i="2"/>
  <c r="P438" i="2"/>
  <c r="M434" i="2"/>
  <c r="N434" i="2"/>
  <c r="L434" i="2"/>
  <c r="P434" i="2"/>
  <c r="O434" i="2"/>
  <c r="M430" i="2"/>
  <c r="N430" i="2"/>
  <c r="L430" i="2"/>
  <c r="P430" i="2"/>
  <c r="O430" i="2"/>
  <c r="M426" i="2"/>
  <c r="N426" i="2"/>
  <c r="L426" i="2"/>
  <c r="P426" i="2"/>
  <c r="O426" i="2"/>
  <c r="M422" i="2"/>
  <c r="N422" i="2"/>
  <c r="L422" i="2"/>
  <c r="P422" i="2"/>
  <c r="O422" i="2"/>
  <c r="M418" i="2"/>
  <c r="N418" i="2"/>
  <c r="L418" i="2"/>
  <c r="P418" i="2"/>
  <c r="O418" i="2"/>
  <c r="M414" i="2"/>
  <c r="N414" i="2"/>
  <c r="L414" i="2"/>
  <c r="P414" i="2"/>
  <c r="O414" i="2"/>
  <c r="M410" i="2"/>
  <c r="N410" i="2"/>
  <c r="L410" i="2"/>
  <c r="P410" i="2"/>
  <c r="O410" i="2"/>
  <c r="M406" i="2"/>
  <c r="N406" i="2"/>
  <c r="L406" i="2"/>
  <c r="P406" i="2"/>
  <c r="O406" i="2"/>
  <c r="M402" i="2"/>
  <c r="N402" i="2"/>
  <c r="L402" i="2"/>
  <c r="P402" i="2"/>
  <c r="O402" i="2"/>
  <c r="M398" i="2"/>
  <c r="N398" i="2"/>
  <c r="L398" i="2"/>
  <c r="P398" i="2"/>
  <c r="O398" i="2"/>
  <c r="M394" i="2"/>
  <c r="N394" i="2"/>
  <c r="L394" i="2"/>
  <c r="P394" i="2"/>
  <c r="O394" i="2"/>
  <c r="M390" i="2"/>
  <c r="N390" i="2"/>
  <c r="L390" i="2"/>
  <c r="P390" i="2"/>
  <c r="O390" i="2"/>
  <c r="M386" i="2"/>
  <c r="N386" i="2"/>
  <c r="L386" i="2"/>
  <c r="P386" i="2"/>
  <c r="O386" i="2"/>
  <c r="M382" i="2"/>
  <c r="N382" i="2"/>
  <c r="L382" i="2"/>
  <c r="P382" i="2"/>
  <c r="O382" i="2"/>
  <c r="M378" i="2"/>
  <c r="N378" i="2"/>
  <c r="L378" i="2"/>
  <c r="P378" i="2"/>
  <c r="O378" i="2"/>
  <c r="M374" i="2"/>
  <c r="N374" i="2"/>
  <c r="L374" i="2"/>
  <c r="P374" i="2"/>
  <c r="O374" i="2"/>
  <c r="M370" i="2"/>
  <c r="N370" i="2"/>
  <c r="L370" i="2"/>
  <c r="P370" i="2"/>
  <c r="O370" i="2"/>
  <c r="M366" i="2"/>
  <c r="N366" i="2"/>
  <c r="L366" i="2"/>
  <c r="P366" i="2"/>
  <c r="O366" i="2"/>
  <c r="M362" i="2"/>
  <c r="N362" i="2"/>
  <c r="L362" i="2"/>
  <c r="P362" i="2"/>
  <c r="O362" i="2"/>
  <c r="M358" i="2"/>
  <c r="N358" i="2"/>
  <c r="L358" i="2"/>
  <c r="P358" i="2"/>
  <c r="O358" i="2"/>
  <c r="N354" i="2"/>
  <c r="L354" i="2"/>
  <c r="M354" i="2"/>
  <c r="P354" i="2"/>
  <c r="O354" i="2"/>
  <c r="N350" i="2"/>
  <c r="P350" i="2"/>
  <c r="L350" i="2"/>
  <c r="O350" i="2"/>
  <c r="M350" i="2"/>
  <c r="N346" i="2"/>
  <c r="O346" i="2"/>
  <c r="P346" i="2"/>
  <c r="M346" i="2"/>
  <c r="L346" i="2"/>
  <c r="N342" i="2"/>
  <c r="M342" i="2"/>
  <c r="O342" i="2"/>
  <c r="L342" i="2"/>
  <c r="P342" i="2"/>
  <c r="N338" i="2"/>
  <c r="L338" i="2"/>
  <c r="M338" i="2"/>
  <c r="P338" i="2"/>
  <c r="O338" i="2"/>
  <c r="N334" i="2"/>
  <c r="P334" i="2"/>
  <c r="L334" i="2"/>
  <c r="O334" i="2"/>
  <c r="M334" i="2"/>
  <c r="N330" i="2"/>
  <c r="O330" i="2"/>
  <c r="P330" i="2"/>
  <c r="M330" i="2"/>
  <c r="L330" i="2"/>
  <c r="N326" i="2"/>
  <c r="M326" i="2"/>
  <c r="O326" i="2"/>
  <c r="L326" i="2"/>
  <c r="P326" i="2"/>
  <c r="N322" i="2"/>
  <c r="L322" i="2"/>
  <c r="M322" i="2"/>
  <c r="P322" i="2"/>
  <c r="O322" i="2"/>
  <c r="N318" i="2"/>
  <c r="P318" i="2"/>
  <c r="L318" i="2"/>
  <c r="O318" i="2"/>
  <c r="M318" i="2"/>
  <c r="N314" i="2"/>
  <c r="O314" i="2"/>
  <c r="P314" i="2"/>
  <c r="M314" i="2"/>
  <c r="L314" i="2"/>
  <c r="N310" i="2"/>
  <c r="M310" i="2"/>
  <c r="O310" i="2"/>
  <c r="L310" i="2"/>
  <c r="P310" i="2"/>
  <c r="N306" i="2"/>
  <c r="L306" i="2"/>
  <c r="M306" i="2"/>
  <c r="P306" i="2"/>
  <c r="O306" i="2"/>
  <c r="N302" i="2"/>
  <c r="P302" i="2"/>
  <c r="L302" i="2"/>
  <c r="O302" i="2"/>
  <c r="M302" i="2"/>
  <c r="N298" i="2"/>
  <c r="O298" i="2"/>
  <c r="P298" i="2"/>
  <c r="M298" i="2"/>
  <c r="L298" i="2"/>
  <c r="N294" i="2"/>
  <c r="M294" i="2"/>
  <c r="O294" i="2"/>
  <c r="L294" i="2"/>
  <c r="P294" i="2"/>
  <c r="N290" i="2"/>
  <c r="L290" i="2"/>
  <c r="M290" i="2"/>
  <c r="P290" i="2"/>
  <c r="O290" i="2"/>
  <c r="N286" i="2"/>
  <c r="P286" i="2"/>
  <c r="L286" i="2"/>
  <c r="O286" i="2"/>
  <c r="M286" i="2"/>
  <c r="N282" i="2"/>
  <c r="O282" i="2"/>
  <c r="P282" i="2"/>
  <c r="M282" i="2"/>
  <c r="L282" i="2"/>
  <c r="N278" i="2"/>
  <c r="L278" i="2"/>
  <c r="P278" i="2"/>
  <c r="M278" i="2"/>
  <c r="O278" i="2"/>
  <c r="N274" i="2"/>
  <c r="O274" i="2"/>
  <c r="L274" i="2"/>
  <c r="P274" i="2"/>
  <c r="M274" i="2"/>
  <c r="N270" i="2"/>
  <c r="O270" i="2"/>
  <c r="L270" i="2"/>
  <c r="P270" i="2"/>
  <c r="M270" i="2"/>
  <c r="N266" i="2"/>
  <c r="O266" i="2"/>
  <c r="L266" i="2"/>
  <c r="P266" i="2"/>
  <c r="M266" i="2"/>
  <c r="N262" i="2"/>
  <c r="O262" i="2"/>
  <c r="L262" i="2"/>
  <c r="P262" i="2"/>
  <c r="M262" i="2"/>
  <c r="N258" i="2"/>
  <c r="O258" i="2"/>
  <c r="L258" i="2"/>
  <c r="P258" i="2"/>
  <c r="M258" i="2"/>
  <c r="N254" i="2"/>
  <c r="O254" i="2"/>
  <c r="L254" i="2"/>
  <c r="P254" i="2"/>
  <c r="M254" i="2"/>
  <c r="N250" i="2"/>
  <c r="O250" i="2"/>
  <c r="L250" i="2"/>
  <c r="P250" i="2"/>
  <c r="M250" i="2"/>
  <c r="N246" i="2"/>
  <c r="O246" i="2"/>
  <c r="L246" i="2"/>
  <c r="M246" i="2"/>
  <c r="P246" i="2"/>
  <c r="N242" i="2"/>
  <c r="O242" i="2"/>
  <c r="P242" i="2"/>
  <c r="L242" i="2"/>
  <c r="M242" i="2"/>
  <c r="N238" i="2"/>
  <c r="O238" i="2"/>
  <c r="L238" i="2"/>
  <c r="M238" i="2"/>
  <c r="P238" i="2"/>
  <c r="N234" i="2"/>
  <c r="O234" i="2"/>
  <c r="P234" i="2"/>
  <c r="L234" i="2"/>
  <c r="M234" i="2"/>
  <c r="N230" i="2"/>
  <c r="O230" i="2"/>
  <c r="L230" i="2"/>
  <c r="M230" i="2"/>
  <c r="P230" i="2"/>
  <c r="N226" i="2"/>
  <c r="O226" i="2"/>
  <c r="M226" i="2"/>
  <c r="P226" i="2"/>
  <c r="L226" i="2"/>
  <c r="N222" i="2"/>
  <c r="O222" i="2"/>
  <c r="M222" i="2"/>
  <c r="L222" i="2"/>
  <c r="P222" i="2"/>
  <c r="N218" i="2"/>
  <c r="O218" i="2"/>
  <c r="M218" i="2"/>
  <c r="L218" i="2"/>
  <c r="P218" i="2"/>
  <c r="N214" i="2"/>
  <c r="O214" i="2"/>
  <c r="M214" i="2"/>
  <c r="L214" i="2"/>
  <c r="P214" i="2"/>
  <c r="N210" i="2"/>
  <c r="O210" i="2"/>
  <c r="M210" i="2"/>
  <c r="P210" i="2"/>
  <c r="L210" i="2"/>
  <c r="N206" i="2"/>
  <c r="O206" i="2"/>
  <c r="M206" i="2"/>
  <c r="L206" i="2"/>
  <c r="P206" i="2"/>
  <c r="N202" i="2"/>
  <c r="O202" i="2"/>
  <c r="M202" i="2"/>
  <c r="L202" i="2"/>
  <c r="P202" i="2"/>
  <c r="N198" i="2"/>
  <c r="O198" i="2"/>
  <c r="M198" i="2"/>
  <c r="L198" i="2"/>
  <c r="P198" i="2"/>
  <c r="N194" i="2"/>
  <c r="O194" i="2"/>
  <c r="M194" i="2"/>
  <c r="P194" i="2"/>
  <c r="L194" i="2"/>
  <c r="N190" i="2"/>
  <c r="O190" i="2"/>
  <c r="M190" i="2"/>
  <c r="L190" i="2"/>
  <c r="P190" i="2"/>
  <c r="N186" i="2"/>
  <c r="O186" i="2"/>
  <c r="M186" i="2"/>
  <c r="L186" i="2"/>
  <c r="P186" i="2"/>
  <c r="N182" i="2"/>
  <c r="O182" i="2"/>
  <c r="M182" i="2"/>
  <c r="L182" i="2"/>
  <c r="P182" i="2"/>
  <c r="N178" i="2"/>
  <c r="O178" i="2"/>
  <c r="M178" i="2"/>
  <c r="P178" i="2"/>
  <c r="L178" i="2"/>
  <c r="N174" i="2"/>
  <c r="O174" i="2"/>
  <c r="M174" i="2"/>
  <c r="L174" i="2"/>
  <c r="P174" i="2"/>
  <c r="N170" i="2"/>
  <c r="O170" i="2"/>
  <c r="M170" i="2"/>
  <c r="L170" i="2"/>
  <c r="P170" i="2"/>
  <c r="N166" i="2"/>
  <c r="O166" i="2"/>
  <c r="M166" i="2"/>
  <c r="L166" i="2"/>
  <c r="P166" i="2"/>
  <c r="N162" i="2"/>
  <c r="O162" i="2"/>
  <c r="M162" i="2"/>
  <c r="P162" i="2"/>
  <c r="L162" i="2"/>
  <c r="N158" i="2"/>
  <c r="O158" i="2"/>
  <c r="M158" i="2"/>
  <c r="L158" i="2"/>
  <c r="P158" i="2"/>
  <c r="N154" i="2"/>
  <c r="O154" i="2"/>
  <c r="M154" i="2"/>
  <c r="L154" i="2"/>
  <c r="P154" i="2"/>
  <c r="N150" i="2"/>
  <c r="O150" i="2"/>
  <c r="M150" i="2"/>
  <c r="L150" i="2"/>
  <c r="P150" i="2"/>
  <c r="N146" i="2"/>
  <c r="O146" i="2"/>
  <c r="M146" i="2"/>
  <c r="P146" i="2"/>
  <c r="L146" i="2"/>
  <c r="N142" i="2"/>
  <c r="O142" i="2"/>
  <c r="M142" i="2"/>
  <c r="L142" i="2"/>
  <c r="P142" i="2"/>
  <c r="N138" i="2"/>
  <c r="O138" i="2"/>
  <c r="M138" i="2"/>
  <c r="L138" i="2"/>
  <c r="P138" i="2"/>
  <c r="N134" i="2"/>
  <c r="O134" i="2"/>
  <c r="M134" i="2"/>
  <c r="L134" i="2"/>
  <c r="P134" i="2"/>
  <c r="M130" i="2"/>
  <c r="N130" i="2"/>
  <c r="L130" i="2"/>
  <c r="P130" i="2"/>
  <c r="O130" i="2"/>
  <c r="M126" i="2"/>
  <c r="N126" i="2"/>
  <c r="L126" i="2"/>
  <c r="P126" i="2"/>
  <c r="O126" i="2"/>
  <c r="M122" i="2"/>
  <c r="N122" i="2"/>
  <c r="L122" i="2"/>
  <c r="P122" i="2"/>
  <c r="O122" i="2"/>
  <c r="M118" i="2"/>
  <c r="N118" i="2"/>
  <c r="L118" i="2"/>
  <c r="P118" i="2"/>
  <c r="O118" i="2"/>
  <c r="M114" i="2"/>
  <c r="N114" i="2"/>
  <c r="L114" i="2"/>
  <c r="P114" i="2"/>
  <c r="O114" i="2"/>
  <c r="M110" i="2"/>
  <c r="N110" i="2"/>
  <c r="L110" i="2"/>
  <c r="P110" i="2"/>
  <c r="O110" i="2"/>
  <c r="M106" i="2"/>
  <c r="N106" i="2"/>
  <c r="L106" i="2"/>
  <c r="P106" i="2"/>
  <c r="O106" i="2"/>
  <c r="M102" i="2"/>
  <c r="N102" i="2"/>
  <c r="L102" i="2"/>
  <c r="P102" i="2"/>
  <c r="O102" i="2"/>
  <c r="M98" i="2"/>
  <c r="N98" i="2"/>
  <c r="L98" i="2"/>
  <c r="P98" i="2"/>
  <c r="O98" i="2"/>
  <c r="M94" i="2"/>
  <c r="N94" i="2"/>
  <c r="L94" i="2"/>
  <c r="P94" i="2"/>
  <c r="O94" i="2"/>
  <c r="M90" i="2"/>
  <c r="N90" i="2"/>
  <c r="L90" i="2"/>
  <c r="P90" i="2"/>
  <c r="O90" i="2"/>
  <c r="M86" i="2"/>
  <c r="N86" i="2"/>
  <c r="L86" i="2"/>
  <c r="P86" i="2"/>
  <c r="O86" i="2"/>
  <c r="M82" i="2"/>
  <c r="N82" i="2"/>
  <c r="L82" i="2"/>
  <c r="P82" i="2"/>
  <c r="O82" i="2"/>
  <c r="N78" i="2"/>
  <c r="O78" i="2"/>
  <c r="M78" i="2"/>
  <c r="P78" i="2"/>
  <c r="L78" i="2"/>
  <c r="N74" i="2"/>
  <c r="O74" i="2"/>
  <c r="M74" i="2"/>
  <c r="L74" i="2"/>
  <c r="P74" i="2"/>
  <c r="N70" i="2"/>
  <c r="O70" i="2"/>
  <c r="M70" i="2"/>
  <c r="L70" i="2"/>
  <c r="P70" i="2"/>
  <c r="N66" i="2"/>
  <c r="O66" i="2"/>
  <c r="M66" i="2"/>
  <c r="P66" i="2"/>
  <c r="L66" i="2"/>
  <c r="N62" i="2"/>
  <c r="O62" i="2"/>
  <c r="M62" i="2"/>
  <c r="P62" i="2"/>
  <c r="L62" i="2"/>
  <c r="N58" i="2"/>
  <c r="O58" i="2"/>
  <c r="M58" i="2"/>
  <c r="L58" i="2"/>
  <c r="P58" i="2"/>
  <c r="N54" i="2"/>
  <c r="O54" i="2"/>
  <c r="M54" i="2"/>
  <c r="L54" i="2"/>
  <c r="P54" i="2"/>
  <c r="N50" i="2"/>
  <c r="O50" i="2"/>
  <c r="M50" i="2"/>
  <c r="P50" i="2"/>
  <c r="L50" i="2"/>
  <c r="N46" i="2"/>
  <c r="O46" i="2"/>
  <c r="M46" i="2"/>
  <c r="P46" i="2"/>
  <c r="L46" i="2"/>
  <c r="N42" i="2"/>
  <c r="O42" i="2"/>
  <c r="M42" i="2"/>
  <c r="L42" i="2"/>
  <c r="P42" i="2"/>
  <c r="N38" i="2"/>
  <c r="O38" i="2"/>
  <c r="M38" i="2"/>
  <c r="L38" i="2"/>
  <c r="P38" i="2"/>
  <c r="N34" i="2"/>
  <c r="O34" i="2"/>
  <c r="M34" i="2"/>
  <c r="P34" i="2"/>
  <c r="L34" i="2"/>
  <c r="N30" i="2"/>
  <c r="O30" i="2"/>
  <c r="M30" i="2"/>
  <c r="P30" i="2"/>
  <c r="L30" i="2"/>
  <c r="N26" i="2"/>
  <c r="O26" i="2"/>
  <c r="M26" i="2"/>
  <c r="L26" i="2"/>
  <c r="P26" i="2"/>
  <c r="N22" i="2"/>
  <c r="O22" i="2"/>
  <c r="M22" i="2"/>
  <c r="L22" i="2"/>
  <c r="P22" i="2"/>
  <c r="N18" i="2"/>
  <c r="O18" i="2"/>
  <c r="M18" i="2"/>
  <c r="P18" i="2"/>
  <c r="L18" i="2"/>
  <c r="H607" i="2"/>
  <c r="K600" i="2"/>
  <c r="I594" i="2"/>
  <c r="H591" i="2"/>
  <c r="G588" i="2"/>
  <c r="I578" i="2"/>
  <c r="H575" i="2"/>
  <c r="K568" i="2"/>
  <c r="I562" i="2"/>
  <c r="H559" i="2"/>
  <c r="G556" i="2"/>
  <c r="K552" i="2"/>
  <c r="I546" i="2"/>
  <c r="H543" i="2"/>
  <c r="G540" i="2"/>
  <c r="K536" i="2"/>
  <c r="H527" i="2"/>
  <c r="G524" i="2"/>
  <c r="I514" i="2"/>
  <c r="H511" i="2"/>
  <c r="K504" i="2"/>
  <c r="I498" i="2"/>
  <c r="H495" i="2"/>
  <c r="G492" i="2"/>
  <c r="I482" i="2"/>
  <c r="H479" i="2"/>
  <c r="K472" i="2"/>
  <c r="I466" i="2"/>
  <c r="H463" i="2"/>
  <c r="G460" i="2"/>
  <c r="I450" i="2"/>
  <c r="H447" i="2"/>
  <c r="K440" i="2"/>
  <c r="I434" i="2"/>
  <c r="H431" i="2"/>
  <c r="G428" i="2"/>
  <c r="K424" i="2"/>
  <c r="I418" i="2"/>
  <c r="H415" i="2"/>
  <c r="I402" i="2"/>
  <c r="K376" i="2"/>
  <c r="G364" i="2"/>
  <c r="H351" i="2"/>
  <c r="I338" i="2"/>
  <c r="K312" i="2"/>
  <c r="G300" i="2"/>
  <c r="I274" i="2"/>
  <c r="K248" i="2"/>
  <c r="G236" i="2"/>
  <c r="I210" i="2"/>
  <c r="J159" i="2"/>
  <c r="L606" i="2"/>
  <c r="P554" i="2"/>
  <c r="J604" i="2"/>
  <c r="H604" i="2"/>
  <c r="I604" i="2"/>
  <c r="J592" i="2"/>
  <c r="H592" i="2"/>
  <c r="I592" i="2"/>
  <c r="J584" i="2"/>
  <c r="H584" i="2"/>
  <c r="I584" i="2"/>
  <c r="J572" i="2"/>
  <c r="H572" i="2"/>
  <c r="I572" i="2"/>
  <c r="J560" i="2"/>
  <c r="H560" i="2"/>
  <c r="I560" i="2"/>
  <c r="J548" i="2"/>
  <c r="H548" i="2"/>
  <c r="I548" i="2"/>
  <c r="J544" i="2"/>
  <c r="H544" i="2"/>
  <c r="I544" i="2"/>
  <c r="J532" i="2"/>
  <c r="H532" i="2"/>
  <c r="I532" i="2"/>
  <c r="J520" i="2"/>
  <c r="H520" i="2"/>
  <c r="I520" i="2"/>
  <c r="J508" i="2"/>
  <c r="H508" i="2"/>
  <c r="I508" i="2"/>
  <c r="J496" i="2"/>
  <c r="H496" i="2"/>
  <c r="I496" i="2"/>
  <c r="J488" i="2"/>
  <c r="H488" i="2"/>
  <c r="I488" i="2"/>
  <c r="J476" i="2"/>
  <c r="H476" i="2"/>
  <c r="I476" i="2"/>
  <c r="J464" i="2"/>
  <c r="H464" i="2"/>
  <c r="I464" i="2"/>
  <c r="J456" i="2"/>
  <c r="H456" i="2"/>
  <c r="I456" i="2"/>
  <c r="J444" i="2"/>
  <c r="H444" i="2"/>
  <c r="I444" i="2"/>
  <c r="J432" i="2"/>
  <c r="H432" i="2"/>
  <c r="I432" i="2"/>
  <c r="J416" i="2"/>
  <c r="H416" i="2"/>
  <c r="I416" i="2"/>
  <c r="J404" i="2"/>
  <c r="H404" i="2"/>
  <c r="I404" i="2"/>
  <c r="K404" i="2"/>
  <c r="G404" i="2"/>
  <c r="J392" i="2"/>
  <c r="H392" i="2"/>
  <c r="I392" i="2"/>
  <c r="G392" i="2"/>
  <c r="J384" i="2"/>
  <c r="H384" i="2"/>
  <c r="I384" i="2"/>
  <c r="G384" i="2"/>
  <c r="K384" i="2"/>
  <c r="J372" i="2"/>
  <c r="H372" i="2"/>
  <c r="I372" i="2"/>
  <c r="K372" i="2"/>
  <c r="G372" i="2"/>
  <c r="J360" i="2"/>
  <c r="H360" i="2"/>
  <c r="I360" i="2"/>
  <c r="G360" i="2"/>
  <c r="J348" i="2"/>
  <c r="H348" i="2"/>
  <c r="I348" i="2"/>
  <c r="K348" i="2"/>
  <c r="J340" i="2"/>
  <c r="H340" i="2"/>
  <c r="I340" i="2"/>
  <c r="K340" i="2"/>
  <c r="G340" i="2"/>
  <c r="J328" i="2"/>
  <c r="H328" i="2"/>
  <c r="I328" i="2"/>
  <c r="G328" i="2"/>
  <c r="J320" i="2"/>
  <c r="H320" i="2"/>
  <c r="I320" i="2"/>
  <c r="G320" i="2"/>
  <c r="K320" i="2"/>
  <c r="J308" i="2"/>
  <c r="H308" i="2"/>
  <c r="I308" i="2"/>
  <c r="K308" i="2"/>
  <c r="G308" i="2"/>
  <c r="J296" i="2"/>
  <c r="H296" i="2"/>
  <c r="I296" i="2"/>
  <c r="G296" i="2"/>
  <c r="J284" i="2"/>
  <c r="H284" i="2"/>
  <c r="I284" i="2"/>
  <c r="K284" i="2"/>
  <c r="J276" i="2"/>
  <c r="H276" i="2"/>
  <c r="I276" i="2"/>
  <c r="K276" i="2"/>
  <c r="G276" i="2"/>
  <c r="J264" i="2"/>
  <c r="H264" i="2"/>
  <c r="I264" i="2"/>
  <c r="G264" i="2"/>
  <c r="J252" i="2"/>
  <c r="H252" i="2"/>
  <c r="I252" i="2"/>
  <c r="K252" i="2"/>
  <c r="J240" i="2"/>
  <c r="H240" i="2"/>
  <c r="I240" i="2"/>
  <c r="G240" i="2"/>
  <c r="K240" i="2"/>
  <c r="J232" i="2"/>
  <c r="H232" i="2"/>
  <c r="I232" i="2"/>
  <c r="G232" i="2"/>
  <c r="J224" i="2"/>
  <c r="H224" i="2"/>
  <c r="I224" i="2"/>
  <c r="G224" i="2"/>
  <c r="K224" i="2"/>
  <c r="J212" i="2"/>
  <c r="H212" i="2"/>
  <c r="I212" i="2"/>
  <c r="K212" i="2"/>
  <c r="G212" i="2"/>
  <c r="H204" i="2"/>
  <c r="J204" i="2"/>
  <c r="G204" i="2"/>
  <c r="K204" i="2"/>
  <c r="I204" i="2"/>
  <c r="H196" i="2"/>
  <c r="J196" i="2"/>
  <c r="G196" i="2"/>
  <c r="K196" i="2"/>
  <c r="I196" i="2"/>
  <c r="H184" i="2"/>
  <c r="J184" i="2"/>
  <c r="G184" i="2"/>
  <c r="K184" i="2"/>
  <c r="I184" i="2"/>
  <c r="H176" i="2"/>
  <c r="J176" i="2"/>
  <c r="G176" i="2"/>
  <c r="K176" i="2"/>
  <c r="I176" i="2"/>
  <c r="H164" i="2"/>
  <c r="J164" i="2"/>
  <c r="G164" i="2"/>
  <c r="K164" i="2"/>
  <c r="I164" i="2"/>
  <c r="H152" i="2"/>
  <c r="J152" i="2"/>
  <c r="G152" i="2"/>
  <c r="K152" i="2"/>
  <c r="I152" i="2"/>
  <c r="H140" i="2"/>
  <c r="J140" i="2"/>
  <c r="G140" i="2"/>
  <c r="K140" i="2"/>
  <c r="I140" i="2"/>
  <c r="H128" i="2"/>
  <c r="J128" i="2"/>
  <c r="G128" i="2"/>
  <c r="K128" i="2"/>
  <c r="I128" i="2"/>
  <c r="H116" i="2"/>
  <c r="J116" i="2"/>
  <c r="G116" i="2"/>
  <c r="K116" i="2"/>
  <c r="I116" i="2"/>
  <c r="H108" i="2"/>
  <c r="J108" i="2"/>
  <c r="G108" i="2"/>
  <c r="K108" i="2"/>
  <c r="H96" i="2"/>
  <c r="J96" i="2"/>
  <c r="G96" i="2"/>
  <c r="K96" i="2"/>
  <c r="I96" i="2"/>
  <c r="H84" i="2"/>
  <c r="J84" i="2"/>
  <c r="G84" i="2"/>
  <c r="K84" i="2"/>
  <c r="I84" i="2"/>
  <c r="H68" i="2"/>
  <c r="J68" i="2"/>
  <c r="G68" i="2"/>
  <c r="K68" i="2"/>
  <c r="I68" i="2"/>
  <c r="H56" i="2"/>
  <c r="J56" i="2"/>
  <c r="G56" i="2"/>
  <c r="K56" i="2"/>
  <c r="I56" i="2"/>
  <c r="H48" i="2"/>
  <c r="J48" i="2"/>
  <c r="G48" i="2"/>
  <c r="K48" i="2"/>
  <c r="I48" i="2"/>
  <c r="H36" i="2"/>
  <c r="J36" i="2"/>
  <c r="G36" i="2"/>
  <c r="K36" i="2"/>
  <c r="I36" i="2"/>
  <c r="H24" i="2"/>
  <c r="J24" i="2"/>
  <c r="G24" i="2"/>
  <c r="K24" i="2"/>
  <c r="I24" i="2"/>
  <c r="H16" i="2"/>
  <c r="J16" i="2"/>
  <c r="G16" i="2"/>
  <c r="K16" i="2"/>
  <c r="I16" i="2"/>
  <c r="M604" i="2"/>
  <c r="O604" i="2"/>
  <c r="L604" i="2"/>
  <c r="P604" i="2"/>
  <c r="N604" i="2"/>
  <c r="M588" i="2"/>
  <c r="O588" i="2"/>
  <c r="L588" i="2"/>
  <c r="P588" i="2"/>
  <c r="N588" i="2"/>
  <c r="M576" i="2"/>
  <c r="O576" i="2"/>
  <c r="L576" i="2"/>
  <c r="P576" i="2"/>
  <c r="N576" i="2"/>
  <c r="M564" i="2"/>
  <c r="O564" i="2"/>
  <c r="L564" i="2"/>
  <c r="P564" i="2"/>
  <c r="N564" i="2"/>
  <c r="M556" i="2"/>
  <c r="O556" i="2"/>
  <c r="L556" i="2"/>
  <c r="P556" i="2"/>
  <c r="N556" i="2"/>
  <c r="M544" i="2"/>
  <c r="O544" i="2"/>
  <c r="L544" i="2"/>
  <c r="P544" i="2"/>
  <c r="N544" i="2"/>
  <c r="O528" i="2"/>
  <c r="L528" i="2"/>
  <c r="P528" i="2"/>
  <c r="M528" i="2"/>
  <c r="N528" i="2"/>
  <c r="O516" i="2"/>
  <c r="L516" i="2"/>
  <c r="P516" i="2"/>
  <c r="M516" i="2"/>
  <c r="N516" i="2"/>
  <c r="O504" i="2"/>
  <c r="L504" i="2"/>
  <c r="P504" i="2"/>
  <c r="M504" i="2"/>
  <c r="N504" i="2"/>
  <c r="O496" i="2"/>
  <c r="L496" i="2"/>
  <c r="P496" i="2"/>
  <c r="M496" i="2"/>
  <c r="N496" i="2"/>
  <c r="O484" i="2"/>
  <c r="L484" i="2"/>
  <c r="P484" i="2"/>
  <c r="M484" i="2"/>
  <c r="N484" i="2"/>
  <c r="O472" i="2"/>
  <c r="L472" i="2"/>
  <c r="P472" i="2"/>
  <c r="M472" i="2"/>
  <c r="N472" i="2"/>
  <c r="O456" i="2"/>
  <c r="L456" i="2"/>
  <c r="P456" i="2"/>
  <c r="M456" i="2"/>
  <c r="N456" i="2"/>
  <c r="O444" i="2"/>
  <c r="L444" i="2"/>
  <c r="P444" i="2"/>
  <c r="M444" i="2"/>
  <c r="N444" i="2"/>
  <c r="O436" i="2"/>
  <c r="L436" i="2"/>
  <c r="P436" i="2"/>
  <c r="M436" i="2"/>
  <c r="N436" i="2"/>
  <c r="O424" i="2"/>
  <c r="L424" i="2"/>
  <c r="P424" i="2"/>
  <c r="N424" i="2"/>
  <c r="M424" i="2"/>
  <c r="O408" i="2"/>
  <c r="L408" i="2"/>
  <c r="P408" i="2"/>
  <c r="N408" i="2"/>
  <c r="M408" i="2"/>
  <c r="O396" i="2"/>
  <c r="L396" i="2"/>
  <c r="P396" i="2"/>
  <c r="N396" i="2"/>
  <c r="M396" i="2"/>
  <c r="O384" i="2"/>
  <c r="L384" i="2"/>
  <c r="P384" i="2"/>
  <c r="N384" i="2"/>
  <c r="M384" i="2"/>
  <c r="O372" i="2"/>
  <c r="L372" i="2"/>
  <c r="P372" i="2"/>
  <c r="N372" i="2"/>
  <c r="M372" i="2"/>
  <c r="O364" i="2"/>
  <c r="L364" i="2"/>
  <c r="P364" i="2"/>
  <c r="N364" i="2"/>
  <c r="M364" i="2"/>
  <c r="L352" i="2"/>
  <c r="P352" i="2"/>
  <c r="M352" i="2"/>
  <c r="O352" i="2"/>
  <c r="N352" i="2"/>
  <c r="L340" i="2"/>
  <c r="P340" i="2"/>
  <c r="M340" i="2"/>
  <c r="N340" i="2"/>
  <c r="O340" i="2"/>
  <c r="L328" i="2"/>
  <c r="P328" i="2"/>
  <c r="N328" i="2"/>
  <c r="O328" i="2"/>
  <c r="M328" i="2"/>
  <c r="L316" i="2"/>
  <c r="P316" i="2"/>
  <c r="O316" i="2"/>
  <c r="N316" i="2"/>
  <c r="M316" i="2"/>
  <c r="L300" i="2"/>
  <c r="P300" i="2"/>
  <c r="O300" i="2"/>
  <c r="N300" i="2"/>
  <c r="M300" i="2"/>
  <c r="L292" i="2"/>
  <c r="P292" i="2"/>
  <c r="M292" i="2"/>
  <c r="N292" i="2"/>
  <c r="O292" i="2"/>
  <c r="L280" i="2"/>
  <c r="P280" i="2"/>
  <c r="N280" i="2"/>
  <c r="O280" i="2"/>
  <c r="M280" i="2"/>
  <c r="L268" i="2"/>
  <c r="P268" i="2"/>
  <c r="M268" i="2"/>
  <c r="N268" i="2"/>
  <c r="O268" i="2"/>
  <c r="L256" i="2"/>
  <c r="P256" i="2"/>
  <c r="M256" i="2"/>
  <c r="N256" i="2"/>
  <c r="O256" i="2"/>
  <c r="L244" i="2"/>
  <c r="P244" i="2"/>
  <c r="M244" i="2"/>
  <c r="N244" i="2"/>
  <c r="O244" i="2"/>
  <c r="L236" i="2"/>
  <c r="P236" i="2"/>
  <c r="M236" i="2"/>
  <c r="N236" i="2"/>
  <c r="O236" i="2"/>
  <c r="L224" i="2"/>
  <c r="P224" i="2"/>
  <c r="M224" i="2"/>
  <c r="O224" i="2"/>
  <c r="N224" i="2"/>
  <c r="L212" i="2"/>
  <c r="P212" i="2"/>
  <c r="M212" i="2"/>
  <c r="O212" i="2"/>
  <c r="N212" i="2"/>
  <c r="L196" i="2"/>
  <c r="P196" i="2"/>
  <c r="M196" i="2"/>
  <c r="O196" i="2"/>
  <c r="N196" i="2"/>
  <c r="L184" i="2"/>
  <c r="P184" i="2"/>
  <c r="M184" i="2"/>
  <c r="O184" i="2"/>
  <c r="N184" i="2"/>
  <c r="L176" i="2"/>
  <c r="P176" i="2"/>
  <c r="M176" i="2"/>
  <c r="O176" i="2"/>
  <c r="N176" i="2"/>
  <c r="L164" i="2"/>
  <c r="P164" i="2"/>
  <c r="M164" i="2"/>
  <c r="O164" i="2"/>
  <c r="N164" i="2"/>
  <c r="L152" i="2"/>
  <c r="P152" i="2"/>
  <c r="M152" i="2"/>
  <c r="O152" i="2"/>
  <c r="N152" i="2"/>
  <c r="L140" i="2"/>
  <c r="P140" i="2"/>
  <c r="M140" i="2"/>
  <c r="O140" i="2"/>
  <c r="N140" i="2"/>
  <c r="L132" i="2"/>
  <c r="P132" i="2"/>
  <c r="M132" i="2"/>
  <c r="O132" i="2"/>
  <c r="N132" i="2"/>
  <c r="O120" i="2"/>
  <c r="L120" i="2"/>
  <c r="P120" i="2"/>
  <c r="N120" i="2"/>
  <c r="M120" i="2"/>
  <c r="O104" i="2"/>
  <c r="L104" i="2"/>
  <c r="P104" i="2"/>
  <c r="N104" i="2"/>
  <c r="M104" i="2"/>
  <c r="O92" i="2"/>
  <c r="L92" i="2"/>
  <c r="P92" i="2"/>
  <c r="N92" i="2"/>
  <c r="M92" i="2"/>
  <c r="O80" i="2"/>
  <c r="L80" i="2"/>
  <c r="P80" i="2"/>
  <c r="N80" i="2"/>
  <c r="M80" i="2"/>
  <c r="L68" i="2"/>
  <c r="P68" i="2"/>
  <c r="M68" i="2"/>
  <c r="O68" i="2"/>
  <c r="N68" i="2"/>
  <c r="L48" i="2"/>
  <c r="P48" i="2"/>
  <c r="M48" i="2"/>
  <c r="O48" i="2"/>
  <c r="N48" i="2"/>
  <c r="L28" i="2"/>
  <c r="P28" i="2"/>
  <c r="M28" i="2"/>
  <c r="O28" i="2"/>
  <c r="N28" i="2"/>
  <c r="G343" i="2"/>
  <c r="K343" i="2"/>
  <c r="I343" i="2"/>
  <c r="J343" i="2"/>
  <c r="H343" i="2"/>
  <c r="G339" i="2"/>
  <c r="K339" i="2"/>
  <c r="I339" i="2"/>
  <c r="J339" i="2"/>
  <c r="H339" i="2"/>
  <c r="G335" i="2"/>
  <c r="K335" i="2"/>
  <c r="I335" i="2"/>
  <c r="J335" i="2"/>
  <c r="G331" i="2"/>
  <c r="K331" i="2"/>
  <c r="I331" i="2"/>
  <c r="J331" i="2"/>
  <c r="H331" i="2"/>
  <c r="G327" i="2"/>
  <c r="K327" i="2"/>
  <c r="I327" i="2"/>
  <c r="J327" i="2"/>
  <c r="H327" i="2"/>
  <c r="G323" i="2"/>
  <c r="K323" i="2"/>
  <c r="I323" i="2"/>
  <c r="J323" i="2"/>
  <c r="H323" i="2"/>
  <c r="G319" i="2"/>
  <c r="K319" i="2"/>
  <c r="I319" i="2"/>
  <c r="J319" i="2"/>
  <c r="G315" i="2"/>
  <c r="K315" i="2"/>
  <c r="I315" i="2"/>
  <c r="J315" i="2"/>
  <c r="H315" i="2"/>
  <c r="G311" i="2"/>
  <c r="K311" i="2"/>
  <c r="I311" i="2"/>
  <c r="J311" i="2"/>
  <c r="H311" i="2"/>
  <c r="G307" i="2"/>
  <c r="K307" i="2"/>
  <c r="I307" i="2"/>
  <c r="J307" i="2"/>
  <c r="H307" i="2"/>
  <c r="G303" i="2"/>
  <c r="K303" i="2"/>
  <c r="I303" i="2"/>
  <c r="J303" i="2"/>
  <c r="G299" i="2"/>
  <c r="K299" i="2"/>
  <c r="I299" i="2"/>
  <c r="J299" i="2"/>
  <c r="H299" i="2"/>
  <c r="G295" i="2"/>
  <c r="K295" i="2"/>
  <c r="I295" i="2"/>
  <c r="J295" i="2"/>
  <c r="H295" i="2"/>
  <c r="G291" i="2"/>
  <c r="K291" i="2"/>
  <c r="I291" i="2"/>
  <c r="J291" i="2"/>
  <c r="H291" i="2"/>
  <c r="G287" i="2"/>
  <c r="K287" i="2"/>
  <c r="I287" i="2"/>
  <c r="J287" i="2"/>
  <c r="G283" i="2"/>
  <c r="K283" i="2"/>
  <c r="I283" i="2"/>
  <c r="J283" i="2"/>
  <c r="H283" i="2"/>
  <c r="G279" i="2"/>
  <c r="K279" i="2"/>
  <c r="I279" i="2"/>
  <c r="J279" i="2"/>
  <c r="H279" i="2"/>
  <c r="G275" i="2"/>
  <c r="K275" i="2"/>
  <c r="I275" i="2"/>
  <c r="J275" i="2"/>
  <c r="H275" i="2"/>
  <c r="G271" i="2"/>
  <c r="K271" i="2"/>
  <c r="I271" i="2"/>
  <c r="J271" i="2"/>
  <c r="G267" i="2"/>
  <c r="K267" i="2"/>
  <c r="I267" i="2"/>
  <c r="J267" i="2"/>
  <c r="H267" i="2"/>
  <c r="G263" i="2"/>
  <c r="K263" i="2"/>
  <c r="I263" i="2"/>
  <c r="J263" i="2"/>
  <c r="H263" i="2"/>
  <c r="G259" i="2"/>
  <c r="K259" i="2"/>
  <c r="I259" i="2"/>
  <c r="J259" i="2"/>
  <c r="H259" i="2"/>
  <c r="G255" i="2"/>
  <c r="K255" i="2"/>
  <c r="I255" i="2"/>
  <c r="J255" i="2"/>
  <c r="G251" i="2"/>
  <c r="K251" i="2"/>
  <c r="I251" i="2"/>
  <c r="J251" i="2"/>
  <c r="H251" i="2"/>
  <c r="G247" i="2"/>
  <c r="K247" i="2"/>
  <c r="I247" i="2"/>
  <c r="J247" i="2"/>
  <c r="H247" i="2"/>
  <c r="G243" i="2"/>
  <c r="K243" i="2"/>
  <c r="I243" i="2"/>
  <c r="J243" i="2"/>
  <c r="H243" i="2"/>
  <c r="G239" i="2"/>
  <c r="K239" i="2"/>
  <c r="I239" i="2"/>
  <c r="J239" i="2"/>
  <c r="G235" i="2"/>
  <c r="K235" i="2"/>
  <c r="I235" i="2"/>
  <c r="J235" i="2"/>
  <c r="H235" i="2"/>
  <c r="G231" i="2"/>
  <c r="K231" i="2"/>
  <c r="I231" i="2"/>
  <c r="J231" i="2"/>
  <c r="H231" i="2"/>
  <c r="G227" i="2"/>
  <c r="K227" i="2"/>
  <c r="I227" i="2"/>
  <c r="J227" i="2"/>
  <c r="H227" i="2"/>
  <c r="G223" i="2"/>
  <c r="K223" i="2"/>
  <c r="I223" i="2"/>
  <c r="J223" i="2"/>
  <c r="G219" i="2"/>
  <c r="K219" i="2"/>
  <c r="I219" i="2"/>
  <c r="J219" i="2"/>
  <c r="H219" i="2"/>
  <c r="G215" i="2"/>
  <c r="K215" i="2"/>
  <c r="I215" i="2"/>
  <c r="J215" i="2"/>
  <c r="H215" i="2"/>
  <c r="G211" i="2"/>
  <c r="K211" i="2"/>
  <c r="I211" i="2"/>
  <c r="J211" i="2"/>
  <c r="H211" i="2"/>
  <c r="I207" i="2"/>
  <c r="G207" i="2"/>
  <c r="K207" i="2"/>
  <c r="H207" i="2"/>
  <c r="J207" i="2"/>
  <c r="I199" i="2"/>
  <c r="G199" i="2"/>
  <c r="K199" i="2"/>
  <c r="H199" i="2"/>
  <c r="J199" i="2"/>
  <c r="I191" i="2"/>
  <c r="G191" i="2"/>
  <c r="K191" i="2"/>
  <c r="H191" i="2"/>
  <c r="J191" i="2"/>
  <c r="I179" i="2"/>
  <c r="G179" i="2"/>
  <c r="K179" i="2"/>
  <c r="H179" i="2"/>
  <c r="J179" i="2"/>
  <c r="I171" i="2"/>
  <c r="G171" i="2"/>
  <c r="K171" i="2"/>
  <c r="H171" i="2"/>
  <c r="J171" i="2"/>
  <c r="I163" i="2"/>
  <c r="G163" i="2"/>
  <c r="K163" i="2"/>
  <c r="H163" i="2"/>
  <c r="J163" i="2"/>
  <c r="I155" i="2"/>
  <c r="G155" i="2"/>
  <c r="K155" i="2"/>
  <c r="H155" i="2"/>
  <c r="J155" i="2"/>
  <c r="I147" i="2"/>
  <c r="G147" i="2"/>
  <c r="K147" i="2"/>
  <c r="H147" i="2"/>
  <c r="J147" i="2"/>
  <c r="I143" i="2"/>
  <c r="G143" i="2"/>
  <c r="K143" i="2"/>
  <c r="H143" i="2"/>
  <c r="J143" i="2"/>
  <c r="I135" i="2"/>
  <c r="G135" i="2"/>
  <c r="K135" i="2"/>
  <c r="H135" i="2"/>
  <c r="J135" i="2"/>
  <c r="I127" i="2"/>
  <c r="G127" i="2"/>
  <c r="K127" i="2"/>
  <c r="H127" i="2"/>
  <c r="J127" i="2"/>
  <c r="I119" i="2"/>
  <c r="G119" i="2"/>
  <c r="K119" i="2"/>
  <c r="H119" i="2"/>
  <c r="J119" i="2"/>
  <c r="I111" i="2"/>
  <c r="G111" i="2"/>
  <c r="K111" i="2"/>
  <c r="H111" i="2"/>
  <c r="J111" i="2"/>
  <c r="I103" i="2"/>
  <c r="G103" i="2"/>
  <c r="K103" i="2"/>
  <c r="H103" i="2"/>
  <c r="J103" i="2"/>
  <c r="I95" i="2"/>
  <c r="G95" i="2"/>
  <c r="K95" i="2"/>
  <c r="H95" i="2"/>
  <c r="I83" i="2"/>
  <c r="G83" i="2"/>
  <c r="K83" i="2"/>
  <c r="H83" i="2"/>
  <c r="J83" i="2"/>
  <c r="I75" i="2"/>
  <c r="G75" i="2"/>
  <c r="K75" i="2"/>
  <c r="H75" i="2"/>
  <c r="J75" i="2"/>
  <c r="I67" i="2"/>
  <c r="G67" i="2"/>
  <c r="K67" i="2"/>
  <c r="H67" i="2"/>
  <c r="J67" i="2"/>
  <c r="I63" i="2"/>
  <c r="G63" i="2"/>
  <c r="K63" i="2"/>
  <c r="H63" i="2"/>
  <c r="J63" i="2"/>
  <c r="I55" i="2"/>
  <c r="G55" i="2"/>
  <c r="K55" i="2"/>
  <c r="H55" i="2"/>
  <c r="J55" i="2"/>
  <c r="I47" i="2"/>
  <c r="G47" i="2"/>
  <c r="K47" i="2"/>
  <c r="H47" i="2"/>
  <c r="J47" i="2"/>
  <c r="I39" i="2"/>
  <c r="G39" i="2"/>
  <c r="K39" i="2"/>
  <c r="H39" i="2"/>
  <c r="J39" i="2"/>
  <c r="I31" i="2"/>
  <c r="G31" i="2"/>
  <c r="K31" i="2"/>
  <c r="H31" i="2"/>
  <c r="I23" i="2"/>
  <c r="G23" i="2"/>
  <c r="K23" i="2"/>
  <c r="H23" i="2"/>
  <c r="J23" i="2"/>
  <c r="I15" i="2"/>
  <c r="G15" i="2"/>
  <c r="K15" i="2"/>
  <c r="H15" i="2"/>
  <c r="J15" i="2"/>
  <c r="N607" i="2"/>
  <c r="L607" i="2"/>
  <c r="P607" i="2"/>
  <c r="M607" i="2"/>
  <c r="O607" i="2"/>
  <c r="N599" i="2"/>
  <c r="L599" i="2"/>
  <c r="P599" i="2"/>
  <c r="M599" i="2"/>
  <c r="O599" i="2"/>
  <c r="N595" i="2"/>
  <c r="L595" i="2"/>
  <c r="P595" i="2"/>
  <c r="M595" i="2"/>
  <c r="O595" i="2"/>
  <c r="N587" i="2"/>
  <c r="L587" i="2"/>
  <c r="P587" i="2"/>
  <c r="M587" i="2"/>
  <c r="O587" i="2"/>
  <c r="N575" i="2"/>
  <c r="L575" i="2"/>
  <c r="P575" i="2"/>
  <c r="M575" i="2"/>
  <c r="O575" i="2"/>
  <c r="N567" i="2"/>
  <c r="L567" i="2"/>
  <c r="P567" i="2"/>
  <c r="M567" i="2"/>
  <c r="N559" i="2"/>
  <c r="L559" i="2"/>
  <c r="P559" i="2"/>
  <c r="M559" i="2"/>
  <c r="O559" i="2"/>
  <c r="N551" i="2"/>
  <c r="L551" i="2"/>
  <c r="P551" i="2"/>
  <c r="M551" i="2"/>
  <c r="O551" i="2"/>
  <c r="N543" i="2"/>
  <c r="L543" i="2"/>
  <c r="P543" i="2"/>
  <c r="M543" i="2"/>
  <c r="O543" i="2"/>
  <c r="L535" i="2"/>
  <c r="P535" i="2"/>
  <c r="M535" i="2"/>
  <c r="N535" i="2"/>
  <c r="O535" i="2"/>
  <c r="L527" i="2"/>
  <c r="P527" i="2"/>
  <c r="M527" i="2"/>
  <c r="N527" i="2"/>
  <c r="O527" i="2"/>
  <c r="L519" i="2"/>
  <c r="P519" i="2"/>
  <c r="M519" i="2"/>
  <c r="N519" i="2"/>
  <c r="O519" i="2"/>
  <c r="L511" i="2"/>
  <c r="P511" i="2"/>
  <c r="M511" i="2"/>
  <c r="N511" i="2"/>
  <c r="O511" i="2"/>
  <c r="L503" i="2"/>
  <c r="P503" i="2"/>
  <c r="M503" i="2"/>
  <c r="N503" i="2"/>
  <c r="O503" i="2"/>
  <c r="L495" i="2"/>
  <c r="P495" i="2"/>
  <c r="M495" i="2"/>
  <c r="N495" i="2"/>
  <c r="O495" i="2"/>
  <c r="L487" i="2"/>
  <c r="P487" i="2"/>
  <c r="M487" i="2"/>
  <c r="N487" i="2"/>
  <c r="O487" i="2"/>
  <c r="L479" i="2"/>
  <c r="P479" i="2"/>
  <c r="M479" i="2"/>
  <c r="N479" i="2"/>
  <c r="O479" i="2"/>
  <c r="L471" i="2"/>
  <c r="P471" i="2"/>
  <c r="M471" i="2"/>
  <c r="N471" i="2"/>
  <c r="O471" i="2"/>
  <c r="L463" i="2"/>
  <c r="P463" i="2"/>
  <c r="M463" i="2"/>
  <c r="N463" i="2"/>
  <c r="O463" i="2"/>
  <c r="L455" i="2"/>
  <c r="P455" i="2"/>
  <c r="M455" i="2"/>
  <c r="N455" i="2"/>
  <c r="O455" i="2"/>
  <c r="L447" i="2"/>
  <c r="P447" i="2"/>
  <c r="M447" i="2"/>
  <c r="N447" i="2"/>
  <c r="O447" i="2"/>
  <c r="L439" i="2"/>
  <c r="P439" i="2"/>
  <c r="M439" i="2"/>
  <c r="N439" i="2"/>
  <c r="O439" i="2"/>
  <c r="L431" i="2"/>
  <c r="P431" i="2"/>
  <c r="M431" i="2"/>
  <c r="O431" i="2"/>
  <c r="N431" i="2"/>
  <c r="L423" i="2"/>
  <c r="P423" i="2"/>
  <c r="M423" i="2"/>
  <c r="O423" i="2"/>
  <c r="N423" i="2"/>
  <c r="L415" i="2"/>
  <c r="P415" i="2"/>
  <c r="M415" i="2"/>
  <c r="O415" i="2"/>
  <c r="N415" i="2"/>
  <c r="L407" i="2"/>
  <c r="P407" i="2"/>
  <c r="M407" i="2"/>
  <c r="O407" i="2"/>
  <c r="N407" i="2"/>
  <c r="L399" i="2"/>
  <c r="P399" i="2"/>
  <c r="M399" i="2"/>
  <c r="O399" i="2"/>
  <c r="N399" i="2"/>
  <c r="L391" i="2"/>
  <c r="P391" i="2"/>
  <c r="M391" i="2"/>
  <c r="O391" i="2"/>
  <c r="N391" i="2"/>
  <c r="L383" i="2"/>
  <c r="P383" i="2"/>
  <c r="M383" i="2"/>
  <c r="O383" i="2"/>
  <c r="N383" i="2"/>
  <c r="L375" i="2"/>
  <c r="P375" i="2"/>
  <c r="M375" i="2"/>
  <c r="O375" i="2"/>
  <c r="N375" i="2"/>
  <c r="L367" i="2"/>
  <c r="P367" i="2"/>
  <c r="M367" i="2"/>
  <c r="O367" i="2"/>
  <c r="N367" i="2"/>
  <c r="L359" i="2"/>
  <c r="P359" i="2"/>
  <c r="M359" i="2"/>
  <c r="O359" i="2"/>
  <c r="N359" i="2"/>
  <c r="M351" i="2"/>
  <c r="P351" i="2"/>
  <c r="L351" i="2"/>
  <c r="O351" i="2"/>
  <c r="N351" i="2"/>
  <c r="M343" i="2"/>
  <c r="N343" i="2"/>
  <c r="O343" i="2"/>
  <c r="L343" i="2"/>
  <c r="P343" i="2"/>
  <c r="M335" i="2"/>
  <c r="P335" i="2"/>
  <c r="L335" i="2"/>
  <c r="O335" i="2"/>
  <c r="N335" i="2"/>
  <c r="M327" i="2"/>
  <c r="N327" i="2"/>
  <c r="O327" i="2"/>
  <c r="L327" i="2"/>
  <c r="P327" i="2"/>
  <c r="M319" i="2"/>
  <c r="P319" i="2"/>
  <c r="L319" i="2"/>
  <c r="O319" i="2"/>
  <c r="N319" i="2"/>
  <c r="M311" i="2"/>
  <c r="N311" i="2"/>
  <c r="O311" i="2"/>
  <c r="L311" i="2"/>
  <c r="P311" i="2"/>
  <c r="M303" i="2"/>
  <c r="P303" i="2"/>
  <c r="L303" i="2"/>
  <c r="O303" i="2"/>
  <c r="N303" i="2"/>
  <c r="M295" i="2"/>
  <c r="N295" i="2"/>
  <c r="O295" i="2"/>
  <c r="L295" i="2"/>
  <c r="P295" i="2"/>
  <c r="M287" i="2"/>
  <c r="P287" i="2"/>
  <c r="L287" i="2"/>
  <c r="O287" i="2"/>
  <c r="N287" i="2"/>
  <c r="M279" i="2"/>
  <c r="L279" i="2"/>
  <c r="P279" i="2"/>
  <c r="N279" i="2"/>
  <c r="O279" i="2"/>
  <c r="M271" i="2"/>
  <c r="N271" i="2"/>
  <c r="O271" i="2"/>
  <c r="L271" i="2"/>
  <c r="P271" i="2"/>
  <c r="M263" i="2"/>
  <c r="N263" i="2"/>
  <c r="O263" i="2"/>
  <c r="L263" i="2"/>
  <c r="P263" i="2"/>
  <c r="M255" i="2"/>
  <c r="N255" i="2"/>
  <c r="O255" i="2"/>
  <c r="L255" i="2"/>
  <c r="P255" i="2"/>
  <c r="M247" i="2"/>
  <c r="N247" i="2"/>
  <c r="O247" i="2"/>
  <c r="P247" i="2"/>
  <c r="L247" i="2"/>
  <c r="M239" i="2"/>
  <c r="N239" i="2"/>
  <c r="O239" i="2"/>
  <c r="P239" i="2"/>
  <c r="L239" i="2"/>
  <c r="M231" i="2"/>
  <c r="N231" i="2"/>
  <c r="O231" i="2"/>
  <c r="P231" i="2"/>
  <c r="L231" i="2"/>
  <c r="M223" i="2"/>
  <c r="N223" i="2"/>
  <c r="L223" i="2"/>
  <c r="P223" i="2"/>
  <c r="O223" i="2"/>
  <c r="M215" i="2"/>
  <c r="N215" i="2"/>
  <c r="L215" i="2"/>
  <c r="P215" i="2"/>
  <c r="O215" i="2"/>
  <c r="M207" i="2"/>
  <c r="N207" i="2"/>
  <c r="L207" i="2"/>
  <c r="P207" i="2"/>
  <c r="O207" i="2"/>
  <c r="M199" i="2"/>
  <c r="N199" i="2"/>
  <c r="L199" i="2"/>
  <c r="P199" i="2"/>
  <c r="O199" i="2"/>
  <c r="M191" i="2"/>
  <c r="N191" i="2"/>
  <c r="L191" i="2"/>
  <c r="P191" i="2"/>
  <c r="O191" i="2"/>
  <c r="M183" i="2"/>
  <c r="N183" i="2"/>
  <c r="L183" i="2"/>
  <c r="P183" i="2"/>
  <c r="O183" i="2"/>
  <c r="M175" i="2"/>
  <c r="N175" i="2"/>
  <c r="L175" i="2"/>
  <c r="P175" i="2"/>
  <c r="O175" i="2"/>
  <c r="M167" i="2"/>
  <c r="N167" i="2"/>
  <c r="L167" i="2"/>
  <c r="P167" i="2"/>
  <c r="O167" i="2"/>
  <c r="M159" i="2"/>
  <c r="N159" i="2"/>
  <c r="L159" i="2"/>
  <c r="P159" i="2"/>
  <c r="O159" i="2"/>
  <c r="M151" i="2"/>
  <c r="N151" i="2"/>
  <c r="L151" i="2"/>
  <c r="P151" i="2"/>
  <c r="O151" i="2"/>
  <c r="M143" i="2"/>
  <c r="N143" i="2"/>
  <c r="L143" i="2"/>
  <c r="P143" i="2"/>
  <c r="O143" i="2"/>
  <c r="M139" i="2"/>
  <c r="N139" i="2"/>
  <c r="L139" i="2"/>
  <c r="P139" i="2"/>
  <c r="O139" i="2"/>
  <c r="L131" i="2"/>
  <c r="M131" i="2"/>
  <c r="N131" i="2"/>
  <c r="P131" i="2"/>
  <c r="O131" i="2"/>
  <c r="I11" i="2"/>
  <c r="G608" i="2"/>
  <c r="K604" i="2"/>
  <c r="G592" i="2"/>
  <c r="K588" i="2"/>
  <c r="G576" i="2"/>
  <c r="G560" i="2"/>
  <c r="K556" i="2"/>
  <c r="G544" i="2"/>
  <c r="K540" i="2"/>
  <c r="G528" i="2"/>
  <c r="K524" i="2"/>
  <c r="G512" i="2"/>
  <c r="K508" i="2"/>
  <c r="H483" i="2"/>
  <c r="G480" i="2"/>
  <c r="K476" i="2"/>
  <c r="G464" i="2"/>
  <c r="K460" i="2"/>
  <c r="H451" i="2"/>
  <c r="G448" i="2"/>
  <c r="K444" i="2"/>
  <c r="H435" i="2"/>
  <c r="G432" i="2"/>
  <c r="K428" i="2"/>
  <c r="H419" i="2"/>
  <c r="G416" i="2"/>
  <c r="K392" i="2"/>
  <c r="H367" i="2"/>
  <c r="G316" i="2"/>
  <c r="H610" i="2"/>
  <c r="J610" i="2"/>
  <c r="G610" i="2"/>
  <c r="K610" i="2"/>
  <c r="H606" i="2"/>
  <c r="J606" i="2"/>
  <c r="G606" i="2"/>
  <c r="K606" i="2"/>
  <c r="H598" i="2"/>
  <c r="J598" i="2"/>
  <c r="G598" i="2"/>
  <c r="K598" i="2"/>
  <c r="H590" i="2"/>
  <c r="J590" i="2"/>
  <c r="G590" i="2"/>
  <c r="K590" i="2"/>
  <c r="H582" i="2"/>
  <c r="J582" i="2"/>
  <c r="G582" i="2"/>
  <c r="K582" i="2"/>
  <c r="H574" i="2"/>
  <c r="J574" i="2"/>
  <c r="G574" i="2"/>
  <c r="K574" i="2"/>
  <c r="H550" i="2"/>
  <c r="J550" i="2"/>
  <c r="G550" i="2"/>
  <c r="K550" i="2"/>
  <c r="H542" i="2"/>
  <c r="J542" i="2"/>
  <c r="G542" i="2"/>
  <c r="K542" i="2"/>
  <c r="H530" i="2"/>
  <c r="J530" i="2"/>
  <c r="G530" i="2"/>
  <c r="K530" i="2"/>
  <c r="I609" i="2"/>
  <c r="G609" i="2"/>
  <c r="K609" i="2"/>
  <c r="H609" i="2"/>
  <c r="I605" i="2"/>
  <c r="G605" i="2"/>
  <c r="K605" i="2"/>
  <c r="H605" i="2"/>
  <c r="I601" i="2"/>
  <c r="G601" i="2"/>
  <c r="K601" i="2"/>
  <c r="H601" i="2"/>
  <c r="I597" i="2"/>
  <c r="G597" i="2"/>
  <c r="K597" i="2"/>
  <c r="H597" i="2"/>
  <c r="I593" i="2"/>
  <c r="G593" i="2"/>
  <c r="K593" i="2"/>
  <c r="H593" i="2"/>
  <c r="I589" i="2"/>
  <c r="G589" i="2"/>
  <c r="K589" i="2"/>
  <c r="H589" i="2"/>
  <c r="I585" i="2"/>
  <c r="G585" i="2"/>
  <c r="K585" i="2"/>
  <c r="H585" i="2"/>
  <c r="I581" i="2"/>
  <c r="G581" i="2"/>
  <c r="K581" i="2"/>
  <c r="H581" i="2"/>
  <c r="I577" i="2"/>
  <c r="G577" i="2"/>
  <c r="K577" i="2"/>
  <c r="H577" i="2"/>
  <c r="I573" i="2"/>
  <c r="G573" i="2"/>
  <c r="K573" i="2"/>
  <c r="H573" i="2"/>
  <c r="I569" i="2"/>
  <c r="G569" i="2"/>
  <c r="K569" i="2"/>
  <c r="H569" i="2"/>
  <c r="I565" i="2"/>
  <c r="G565" i="2"/>
  <c r="K565" i="2"/>
  <c r="H565" i="2"/>
  <c r="I561" i="2"/>
  <c r="G561" i="2"/>
  <c r="K561" i="2"/>
  <c r="H561" i="2"/>
  <c r="I557" i="2"/>
  <c r="G557" i="2"/>
  <c r="K557" i="2"/>
  <c r="H557" i="2"/>
  <c r="I553" i="2"/>
  <c r="G553" i="2"/>
  <c r="K553" i="2"/>
  <c r="H553" i="2"/>
  <c r="I549" i="2"/>
  <c r="G549" i="2"/>
  <c r="K549" i="2"/>
  <c r="H549" i="2"/>
  <c r="I545" i="2"/>
  <c r="G545" i="2"/>
  <c r="K545" i="2"/>
  <c r="H545" i="2"/>
  <c r="I541" i="2"/>
  <c r="G541" i="2"/>
  <c r="K541" i="2"/>
  <c r="H541" i="2"/>
  <c r="I537" i="2"/>
  <c r="G537" i="2"/>
  <c r="K537" i="2"/>
  <c r="H537" i="2"/>
  <c r="I533" i="2"/>
  <c r="G533" i="2"/>
  <c r="K533" i="2"/>
  <c r="H533" i="2"/>
  <c r="I529" i="2"/>
  <c r="G529" i="2"/>
  <c r="K529" i="2"/>
  <c r="H529" i="2"/>
  <c r="I525" i="2"/>
  <c r="G525" i="2"/>
  <c r="K525" i="2"/>
  <c r="H525" i="2"/>
  <c r="I521" i="2"/>
  <c r="G521" i="2"/>
  <c r="K521" i="2"/>
  <c r="H521" i="2"/>
  <c r="I517" i="2"/>
  <c r="G517" i="2"/>
  <c r="K517" i="2"/>
  <c r="H517" i="2"/>
  <c r="I513" i="2"/>
  <c r="G513" i="2"/>
  <c r="K513" i="2"/>
  <c r="H513" i="2"/>
  <c r="I509" i="2"/>
  <c r="G509" i="2"/>
  <c r="K509" i="2"/>
  <c r="H509" i="2"/>
  <c r="I505" i="2"/>
  <c r="G505" i="2"/>
  <c r="K505" i="2"/>
  <c r="H505" i="2"/>
  <c r="I501" i="2"/>
  <c r="G501" i="2"/>
  <c r="K501" i="2"/>
  <c r="H501" i="2"/>
  <c r="I497" i="2"/>
  <c r="G497" i="2"/>
  <c r="K497" i="2"/>
  <c r="H497" i="2"/>
  <c r="I493" i="2"/>
  <c r="G493" i="2"/>
  <c r="K493" i="2"/>
  <c r="H493" i="2"/>
  <c r="I489" i="2"/>
  <c r="G489" i="2"/>
  <c r="K489" i="2"/>
  <c r="H489" i="2"/>
  <c r="I485" i="2"/>
  <c r="G485" i="2"/>
  <c r="K485" i="2"/>
  <c r="H485" i="2"/>
  <c r="I481" i="2"/>
  <c r="G481" i="2"/>
  <c r="K481" i="2"/>
  <c r="H481" i="2"/>
  <c r="I477" i="2"/>
  <c r="G477" i="2"/>
  <c r="K477" i="2"/>
  <c r="H477" i="2"/>
  <c r="I473" i="2"/>
  <c r="G473" i="2"/>
  <c r="K473" i="2"/>
  <c r="H473" i="2"/>
  <c r="I469" i="2"/>
  <c r="G469" i="2"/>
  <c r="K469" i="2"/>
  <c r="H469" i="2"/>
  <c r="I465" i="2"/>
  <c r="G465" i="2"/>
  <c r="K465" i="2"/>
  <c r="H465" i="2"/>
  <c r="I461" i="2"/>
  <c r="G461" i="2"/>
  <c r="K461" i="2"/>
  <c r="H461" i="2"/>
  <c r="I457" i="2"/>
  <c r="G457" i="2"/>
  <c r="K457" i="2"/>
  <c r="H457" i="2"/>
  <c r="I453" i="2"/>
  <c r="G453" i="2"/>
  <c r="K453" i="2"/>
  <c r="H453" i="2"/>
  <c r="I449" i="2"/>
  <c r="G449" i="2"/>
  <c r="K449" i="2"/>
  <c r="H449" i="2"/>
  <c r="I445" i="2"/>
  <c r="G445" i="2"/>
  <c r="K445" i="2"/>
  <c r="H445" i="2"/>
  <c r="I441" i="2"/>
  <c r="G441" i="2"/>
  <c r="K441" i="2"/>
  <c r="H441" i="2"/>
  <c r="I437" i="2"/>
  <c r="G437" i="2"/>
  <c r="K437" i="2"/>
  <c r="H437" i="2"/>
  <c r="I433" i="2"/>
  <c r="G433" i="2"/>
  <c r="K433" i="2"/>
  <c r="H433" i="2"/>
  <c r="I429" i="2"/>
  <c r="G429" i="2"/>
  <c r="K429" i="2"/>
  <c r="H429" i="2"/>
  <c r="I425" i="2"/>
  <c r="G425" i="2"/>
  <c r="K425" i="2"/>
  <c r="H425" i="2"/>
  <c r="I421" i="2"/>
  <c r="G421" i="2"/>
  <c r="K421" i="2"/>
  <c r="H421" i="2"/>
  <c r="I417" i="2"/>
  <c r="G417" i="2"/>
  <c r="K417" i="2"/>
  <c r="H417" i="2"/>
  <c r="I413" i="2"/>
  <c r="G413" i="2"/>
  <c r="K413" i="2"/>
  <c r="H413" i="2"/>
  <c r="J413" i="2"/>
  <c r="I409" i="2"/>
  <c r="G409" i="2"/>
  <c r="K409" i="2"/>
  <c r="H409" i="2"/>
  <c r="J409" i="2"/>
  <c r="I405" i="2"/>
  <c r="G405" i="2"/>
  <c r="K405" i="2"/>
  <c r="H405" i="2"/>
  <c r="I401" i="2"/>
  <c r="G401" i="2"/>
  <c r="K401" i="2"/>
  <c r="H401" i="2"/>
  <c r="J401" i="2"/>
  <c r="I397" i="2"/>
  <c r="G397" i="2"/>
  <c r="K397" i="2"/>
  <c r="H397" i="2"/>
  <c r="J397" i="2"/>
  <c r="I393" i="2"/>
  <c r="G393" i="2"/>
  <c r="K393" i="2"/>
  <c r="H393" i="2"/>
  <c r="J393" i="2"/>
  <c r="I389" i="2"/>
  <c r="G389" i="2"/>
  <c r="K389" i="2"/>
  <c r="H389" i="2"/>
  <c r="I385" i="2"/>
  <c r="G385" i="2"/>
  <c r="K385" i="2"/>
  <c r="H385" i="2"/>
  <c r="J385" i="2"/>
  <c r="I381" i="2"/>
  <c r="G381" i="2"/>
  <c r="K381" i="2"/>
  <c r="H381" i="2"/>
  <c r="J381" i="2"/>
  <c r="I377" i="2"/>
  <c r="G377" i="2"/>
  <c r="K377" i="2"/>
  <c r="H377" i="2"/>
  <c r="J377" i="2"/>
  <c r="I373" i="2"/>
  <c r="G373" i="2"/>
  <c r="K373" i="2"/>
  <c r="H373" i="2"/>
  <c r="I369" i="2"/>
  <c r="G369" i="2"/>
  <c r="K369" i="2"/>
  <c r="H369" i="2"/>
  <c r="J369" i="2"/>
  <c r="I365" i="2"/>
  <c r="G365" i="2"/>
  <c r="K365" i="2"/>
  <c r="H365" i="2"/>
  <c r="J365" i="2"/>
  <c r="I361" i="2"/>
  <c r="G361" i="2"/>
  <c r="K361" i="2"/>
  <c r="H361" i="2"/>
  <c r="J361" i="2"/>
  <c r="I357" i="2"/>
  <c r="G357" i="2"/>
  <c r="K357" i="2"/>
  <c r="H357" i="2"/>
  <c r="I353" i="2"/>
  <c r="G353" i="2"/>
  <c r="K353" i="2"/>
  <c r="H353" i="2"/>
  <c r="J353" i="2"/>
  <c r="I349" i="2"/>
  <c r="G349" i="2"/>
  <c r="K349" i="2"/>
  <c r="H349" i="2"/>
  <c r="J349" i="2"/>
  <c r="I345" i="2"/>
  <c r="G345" i="2"/>
  <c r="K345" i="2"/>
  <c r="H345" i="2"/>
  <c r="J345" i="2"/>
  <c r="I341" i="2"/>
  <c r="G341" i="2"/>
  <c r="K341" i="2"/>
  <c r="H341" i="2"/>
  <c r="I337" i="2"/>
  <c r="G337" i="2"/>
  <c r="K337" i="2"/>
  <c r="H337" i="2"/>
  <c r="J337" i="2"/>
  <c r="I333" i="2"/>
  <c r="G333" i="2"/>
  <c r="K333" i="2"/>
  <c r="H333" i="2"/>
  <c r="J333" i="2"/>
  <c r="I329" i="2"/>
  <c r="G329" i="2"/>
  <c r="K329" i="2"/>
  <c r="H329" i="2"/>
  <c r="J329" i="2"/>
  <c r="I325" i="2"/>
  <c r="G325" i="2"/>
  <c r="K325" i="2"/>
  <c r="H325" i="2"/>
  <c r="I321" i="2"/>
  <c r="G321" i="2"/>
  <c r="K321" i="2"/>
  <c r="H321" i="2"/>
  <c r="J321" i="2"/>
  <c r="I317" i="2"/>
  <c r="G317" i="2"/>
  <c r="K317" i="2"/>
  <c r="H317" i="2"/>
  <c r="J317" i="2"/>
  <c r="I313" i="2"/>
  <c r="G313" i="2"/>
  <c r="K313" i="2"/>
  <c r="H313" i="2"/>
  <c r="J313" i="2"/>
  <c r="I309" i="2"/>
  <c r="G309" i="2"/>
  <c r="K309" i="2"/>
  <c r="H309" i="2"/>
  <c r="I305" i="2"/>
  <c r="G305" i="2"/>
  <c r="K305" i="2"/>
  <c r="H305" i="2"/>
  <c r="J305" i="2"/>
  <c r="I301" i="2"/>
  <c r="G301" i="2"/>
  <c r="K301" i="2"/>
  <c r="H301" i="2"/>
  <c r="J301" i="2"/>
  <c r="I297" i="2"/>
  <c r="G297" i="2"/>
  <c r="K297" i="2"/>
  <c r="H297" i="2"/>
  <c r="J297" i="2"/>
  <c r="I293" i="2"/>
  <c r="G293" i="2"/>
  <c r="K293" i="2"/>
  <c r="H293" i="2"/>
  <c r="I289" i="2"/>
  <c r="G289" i="2"/>
  <c r="K289" i="2"/>
  <c r="H289" i="2"/>
  <c r="J289" i="2"/>
  <c r="I285" i="2"/>
  <c r="G285" i="2"/>
  <c r="K285" i="2"/>
  <c r="H285" i="2"/>
  <c r="J285" i="2"/>
  <c r="I281" i="2"/>
  <c r="G281" i="2"/>
  <c r="K281" i="2"/>
  <c r="H281" i="2"/>
  <c r="J281" i="2"/>
  <c r="I277" i="2"/>
  <c r="G277" i="2"/>
  <c r="K277" i="2"/>
  <c r="H277" i="2"/>
  <c r="I273" i="2"/>
  <c r="G273" i="2"/>
  <c r="K273" i="2"/>
  <c r="H273" i="2"/>
  <c r="J273" i="2"/>
  <c r="I269" i="2"/>
  <c r="G269" i="2"/>
  <c r="K269" i="2"/>
  <c r="H269" i="2"/>
  <c r="J269" i="2"/>
  <c r="I265" i="2"/>
  <c r="G265" i="2"/>
  <c r="K265" i="2"/>
  <c r="H265" i="2"/>
  <c r="J265" i="2"/>
  <c r="I261" i="2"/>
  <c r="G261" i="2"/>
  <c r="K261" i="2"/>
  <c r="H261" i="2"/>
  <c r="I257" i="2"/>
  <c r="G257" i="2"/>
  <c r="K257" i="2"/>
  <c r="H257" i="2"/>
  <c r="J257" i="2"/>
  <c r="I253" i="2"/>
  <c r="G253" i="2"/>
  <c r="K253" i="2"/>
  <c r="H253" i="2"/>
  <c r="J253" i="2"/>
  <c r="I249" i="2"/>
  <c r="G249" i="2"/>
  <c r="K249" i="2"/>
  <c r="H249" i="2"/>
  <c r="J249" i="2"/>
  <c r="I245" i="2"/>
  <c r="G245" i="2"/>
  <c r="K245" i="2"/>
  <c r="H245" i="2"/>
  <c r="I241" i="2"/>
  <c r="G241" i="2"/>
  <c r="K241" i="2"/>
  <c r="H241" i="2"/>
  <c r="J241" i="2"/>
  <c r="I237" i="2"/>
  <c r="G237" i="2"/>
  <c r="K237" i="2"/>
  <c r="H237" i="2"/>
  <c r="J237" i="2"/>
  <c r="I233" i="2"/>
  <c r="G233" i="2"/>
  <c r="K233" i="2"/>
  <c r="H233" i="2"/>
  <c r="J233" i="2"/>
  <c r="I229" i="2"/>
  <c r="G229" i="2"/>
  <c r="K229" i="2"/>
  <c r="H229" i="2"/>
  <c r="I225" i="2"/>
  <c r="G225" i="2"/>
  <c r="K225" i="2"/>
  <c r="H225" i="2"/>
  <c r="J225" i="2"/>
  <c r="I221" i="2"/>
  <c r="G221" i="2"/>
  <c r="K221" i="2"/>
  <c r="H221" i="2"/>
  <c r="J221" i="2"/>
  <c r="I217" i="2"/>
  <c r="G217" i="2"/>
  <c r="K217" i="2"/>
  <c r="H217" i="2"/>
  <c r="J217" i="2"/>
  <c r="I213" i="2"/>
  <c r="G213" i="2"/>
  <c r="K213" i="2"/>
  <c r="H213" i="2"/>
  <c r="G209" i="2"/>
  <c r="K209" i="2"/>
  <c r="I209" i="2"/>
  <c r="J209" i="2"/>
  <c r="H209" i="2"/>
  <c r="G205" i="2"/>
  <c r="K205" i="2"/>
  <c r="I205" i="2"/>
  <c r="J205" i="2"/>
  <c r="H205" i="2"/>
  <c r="G201" i="2"/>
  <c r="K201" i="2"/>
  <c r="I201" i="2"/>
  <c r="J201" i="2"/>
  <c r="H201" i="2"/>
  <c r="G197" i="2"/>
  <c r="K197" i="2"/>
  <c r="I197" i="2"/>
  <c r="J197" i="2"/>
  <c r="H197" i="2"/>
  <c r="G193" i="2"/>
  <c r="K193" i="2"/>
  <c r="I193" i="2"/>
  <c r="J193" i="2"/>
  <c r="H193" i="2"/>
  <c r="G189" i="2"/>
  <c r="K189" i="2"/>
  <c r="I189" i="2"/>
  <c r="J189" i="2"/>
  <c r="H189" i="2"/>
  <c r="G185" i="2"/>
  <c r="K185" i="2"/>
  <c r="I185" i="2"/>
  <c r="J185" i="2"/>
  <c r="G181" i="2"/>
  <c r="K181" i="2"/>
  <c r="I181" i="2"/>
  <c r="J181" i="2"/>
  <c r="H181" i="2"/>
  <c r="G177" i="2"/>
  <c r="K177" i="2"/>
  <c r="I177" i="2"/>
  <c r="J177" i="2"/>
  <c r="H177" i="2"/>
  <c r="G173" i="2"/>
  <c r="K173" i="2"/>
  <c r="I173" i="2"/>
  <c r="J173" i="2"/>
  <c r="H173" i="2"/>
  <c r="G169" i="2"/>
  <c r="K169" i="2"/>
  <c r="I169" i="2"/>
  <c r="J169" i="2"/>
  <c r="H169" i="2"/>
  <c r="G165" i="2"/>
  <c r="K165" i="2"/>
  <c r="I165" i="2"/>
  <c r="J165" i="2"/>
  <c r="H165" i="2"/>
  <c r="G161" i="2"/>
  <c r="K161" i="2"/>
  <c r="I161" i="2"/>
  <c r="J161" i="2"/>
  <c r="H161" i="2"/>
  <c r="G157" i="2"/>
  <c r="K157" i="2"/>
  <c r="I157" i="2"/>
  <c r="J157" i="2"/>
  <c r="H157" i="2"/>
  <c r="G153" i="2"/>
  <c r="K153" i="2"/>
  <c r="I153" i="2"/>
  <c r="J153" i="2"/>
  <c r="H153" i="2"/>
  <c r="G149" i="2"/>
  <c r="K149" i="2"/>
  <c r="I149" i="2"/>
  <c r="J149" i="2"/>
  <c r="H149" i="2"/>
  <c r="G145" i="2"/>
  <c r="K145" i="2"/>
  <c r="I145" i="2"/>
  <c r="J145" i="2"/>
  <c r="H145" i="2"/>
  <c r="G141" i="2"/>
  <c r="K141" i="2"/>
  <c r="I141" i="2"/>
  <c r="J141" i="2"/>
  <c r="H141" i="2"/>
  <c r="G137" i="2"/>
  <c r="K137" i="2"/>
  <c r="I137" i="2"/>
  <c r="J137" i="2"/>
  <c r="H137" i="2"/>
  <c r="G133" i="2"/>
  <c r="K133" i="2"/>
  <c r="I133" i="2"/>
  <c r="J133" i="2"/>
  <c r="H133" i="2"/>
  <c r="G129" i="2"/>
  <c r="K129" i="2"/>
  <c r="I129" i="2"/>
  <c r="J129" i="2"/>
  <c r="H129" i="2"/>
  <c r="G125" i="2"/>
  <c r="K125" i="2"/>
  <c r="I125" i="2"/>
  <c r="J125" i="2"/>
  <c r="H125" i="2"/>
  <c r="G121" i="2"/>
  <c r="K121" i="2"/>
  <c r="I121" i="2"/>
  <c r="J121" i="2"/>
  <c r="G117" i="2"/>
  <c r="K117" i="2"/>
  <c r="I117" i="2"/>
  <c r="J117" i="2"/>
  <c r="H117" i="2"/>
  <c r="G113" i="2"/>
  <c r="K113" i="2"/>
  <c r="I113" i="2"/>
  <c r="J113" i="2"/>
  <c r="H113" i="2"/>
  <c r="G109" i="2"/>
  <c r="K109" i="2"/>
  <c r="I109" i="2"/>
  <c r="J109" i="2"/>
  <c r="H109" i="2"/>
  <c r="G105" i="2"/>
  <c r="K105" i="2"/>
  <c r="I105" i="2"/>
  <c r="J105" i="2"/>
  <c r="H105" i="2"/>
  <c r="G101" i="2"/>
  <c r="K101" i="2"/>
  <c r="I101" i="2"/>
  <c r="J101" i="2"/>
  <c r="H101" i="2"/>
  <c r="G97" i="2"/>
  <c r="K97" i="2"/>
  <c r="I97" i="2"/>
  <c r="J97" i="2"/>
  <c r="H97" i="2"/>
  <c r="G93" i="2"/>
  <c r="K93" i="2"/>
  <c r="I93" i="2"/>
  <c r="J93" i="2"/>
  <c r="H93" i="2"/>
  <c r="G89" i="2"/>
  <c r="K89" i="2"/>
  <c r="I89" i="2"/>
  <c r="J89" i="2"/>
  <c r="H89" i="2"/>
  <c r="G85" i="2"/>
  <c r="K85" i="2"/>
  <c r="I85" i="2"/>
  <c r="J85" i="2"/>
  <c r="H85" i="2"/>
  <c r="G81" i="2"/>
  <c r="K81" i="2"/>
  <c r="I81" i="2"/>
  <c r="J81" i="2"/>
  <c r="H81" i="2"/>
  <c r="G77" i="2"/>
  <c r="K77" i="2"/>
  <c r="I77" i="2"/>
  <c r="J77" i="2"/>
  <c r="H77" i="2"/>
  <c r="G73" i="2"/>
  <c r="K73" i="2"/>
  <c r="I73" i="2"/>
  <c r="J73" i="2"/>
  <c r="H73" i="2"/>
  <c r="G69" i="2"/>
  <c r="K69" i="2"/>
  <c r="I69" i="2"/>
  <c r="J69" i="2"/>
  <c r="H69" i="2"/>
  <c r="G65" i="2"/>
  <c r="K65" i="2"/>
  <c r="I65" i="2"/>
  <c r="J65" i="2"/>
  <c r="H65" i="2"/>
  <c r="G61" i="2"/>
  <c r="K61" i="2"/>
  <c r="I61" i="2"/>
  <c r="J61" i="2"/>
  <c r="H61" i="2"/>
  <c r="G57" i="2"/>
  <c r="K57" i="2"/>
  <c r="I57" i="2"/>
  <c r="J57" i="2"/>
  <c r="G53" i="2"/>
  <c r="K53" i="2"/>
  <c r="I53" i="2"/>
  <c r="J53" i="2"/>
  <c r="H53" i="2"/>
  <c r="G49" i="2"/>
  <c r="K49" i="2"/>
  <c r="I49" i="2"/>
  <c r="J49" i="2"/>
  <c r="H49" i="2"/>
  <c r="G45" i="2"/>
  <c r="K45" i="2"/>
  <c r="I45" i="2"/>
  <c r="J45" i="2"/>
  <c r="H45" i="2"/>
  <c r="G41" i="2"/>
  <c r="K41" i="2"/>
  <c r="I41" i="2"/>
  <c r="J41" i="2"/>
  <c r="H41" i="2"/>
  <c r="G37" i="2"/>
  <c r="K37" i="2"/>
  <c r="I37" i="2"/>
  <c r="J37" i="2"/>
  <c r="H37" i="2"/>
  <c r="G33" i="2"/>
  <c r="K33" i="2"/>
  <c r="I33" i="2"/>
  <c r="J33" i="2"/>
  <c r="H33" i="2"/>
  <c r="G29" i="2"/>
  <c r="K29" i="2"/>
  <c r="I29" i="2"/>
  <c r="J29" i="2"/>
  <c r="H29" i="2"/>
  <c r="G25" i="2"/>
  <c r="K25" i="2"/>
  <c r="I25" i="2"/>
  <c r="J25" i="2"/>
  <c r="H25" i="2"/>
  <c r="G21" i="2"/>
  <c r="K21" i="2"/>
  <c r="I21" i="2"/>
  <c r="J21" i="2"/>
  <c r="H21" i="2"/>
  <c r="G17" i="2"/>
  <c r="K17" i="2"/>
  <c r="I17" i="2"/>
  <c r="J17" i="2"/>
  <c r="H17" i="2"/>
  <c r="G13" i="2"/>
  <c r="K13" i="2"/>
  <c r="I13" i="2"/>
  <c r="J13" i="2"/>
  <c r="H13" i="2"/>
  <c r="L609" i="2"/>
  <c r="P609" i="2"/>
  <c r="N609" i="2"/>
  <c r="O609" i="2"/>
  <c r="M609" i="2"/>
  <c r="L605" i="2"/>
  <c r="P605" i="2"/>
  <c r="N605" i="2"/>
  <c r="O605" i="2"/>
  <c r="M605" i="2"/>
  <c r="L601" i="2"/>
  <c r="P601" i="2"/>
  <c r="N601" i="2"/>
  <c r="O601" i="2"/>
  <c r="M601" i="2"/>
  <c r="L597" i="2"/>
  <c r="P597" i="2"/>
  <c r="N597" i="2"/>
  <c r="O597" i="2"/>
  <c r="M597" i="2"/>
  <c r="L593" i="2"/>
  <c r="P593" i="2"/>
  <c r="N593" i="2"/>
  <c r="O593" i="2"/>
  <c r="L589" i="2"/>
  <c r="P589" i="2"/>
  <c r="N589" i="2"/>
  <c r="O589" i="2"/>
  <c r="M589" i="2"/>
  <c r="L585" i="2"/>
  <c r="P585" i="2"/>
  <c r="N585" i="2"/>
  <c r="O585" i="2"/>
  <c r="M585" i="2"/>
  <c r="L581" i="2"/>
  <c r="P581" i="2"/>
  <c r="N581" i="2"/>
  <c r="O581" i="2"/>
  <c r="M581" i="2"/>
  <c r="L577" i="2"/>
  <c r="P577" i="2"/>
  <c r="N577" i="2"/>
  <c r="O577" i="2"/>
  <c r="M577" i="2"/>
  <c r="L573" i="2"/>
  <c r="P573" i="2"/>
  <c r="N573" i="2"/>
  <c r="O573" i="2"/>
  <c r="M573" i="2"/>
  <c r="L569" i="2"/>
  <c r="P569" i="2"/>
  <c r="N569" i="2"/>
  <c r="O569" i="2"/>
  <c r="M569" i="2"/>
  <c r="L565" i="2"/>
  <c r="P565" i="2"/>
  <c r="N565" i="2"/>
  <c r="O565" i="2"/>
  <c r="M565" i="2"/>
  <c r="L561" i="2"/>
  <c r="P561" i="2"/>
  <c r="N561" i="2"/>
  <c r="O561" i="2"/>
  <c r="M561" i="2"/>
  <c r="L557" i="2"/>
  <c r="P557" i="2"/>
  <c r="N557" i="2"/>
  <c r="O557" i="2"/>
  <c r="M557" i="2"/>
  <c r="L553" i="2"/>
  <c r="P553" i="2"/>
  <c r="N553" i="2"/>
  <c r="O553" i="2"/>
  <c r="M553" i="2"/>
  <c r="L549" i="2"/>
  <c r="P549" i="2"/>
  <c r="N549" i="2"/>
  <c r="O549" i="2"/>
  <c r="M549" i="2"/>
  <c r="L545" i="2"/>
  <c r="P545" i="2"/>
  <c r="N545" i="2"/>
  <c r="O545" i="2"/>
  <c r="M545" i="2"/>
  <c r="L541" i="2"/>
  <c r="P541" i="2"/>
  <c r="N541" i="2"/>
  <c r="O541" i="2"/>
  <c r="M541" i="2"/>
  <c r="N537" i="2"/>
  <c r="O537" i="2"/>
  <c r="L537" i="2"/>
  <c r="M537" i="2"/>
  <c r="P537" i="2"/>
  <c r="N533" i="2"/>
  <c r="O533" i="2"/>
  <c r="L533" i="2"/>
  <c r="P533" i="2"/>
  <c r="M533" i="2"/>
  <c r="N529" i="2"/>
  <c r="O529" i="2"/>
  <c r="L529" i="2"/>
  <c r="P529" i="2"/>
  <c r="M529" i="2"/>
  <c r="N525" i="2"/>
  <c r="O525" i="2"/>
  <c r="L525" i="2"/>
  <c r="P525" i="2"/>
  <c r="M525" i="2"/>
  <c r="N521" i="2"/>
  <c r="O521" i="2"/>
  <c r="L521" i="2"/>
  <c r="P521" i="2"/>
  <c r="M521" i="2"/>
  <c r="N517" i="2"/>
  <c r="O517" i="2"/>
  <c r="L517" i="2"/>
  <c r="P517" i="2"/>
  <c r="M517" i="2"/>
  <c r="N513" i="2"/>
  <c r="O513" i="2"/>
  <c r="L513" i="2"/>
  <c r="P513" i="2"/>
  <c r="M513" i="2"/>
  <c r="N509" i="2"/>
  <c r="O509" i="2"/>
  <c r="L509" i="2"/>
  <c r="P509" i="2"/>
  <c r="M509" i="2"/>
  <c r="N505" i="2"/>
  <c r="O505" i="2"/>
  <c r="L505" i="2"/>
  <c r="P505" i="2"/>
  <c r="M505" i="2"/>
  <c r="N501" i="2"/>
  <c r="O501" i="2"/>
  <c r="L501" i="2"/>
  <c r="P501" i="2"/>
  <c r="M501" i="2"/>
  <c r="N497" i="2"/>
  <c r="O497" i="2"/>
  <c r="L497" i="2"/>
  <c r="P497" i="2"/>
  <c r="M497" i="2"/>
  <c r="N493" i="2"/>
  <c r="O493" i="2"/>
  <c r="L493" i="2"/>
  <c r="P493" i="2"/>
  <c r="M493" i="2"/>
  <c r="N489" i="2"/>
  <c r="O489" i="2"/>
  <c r="L489" i="2"/>
  <c r="P489" i="2"/>
  <c r="M489" i="2"/>
  <c r="N485" i="2"/>
  <c r="O485" i="2"/>
  <c r="L485" i="2"/>
  <c r="P485" i="2"/>
  <c r="M485" i="2"/>
  <c r="N481" i="2"/>
  <c r="O481" i="2"/>
  <c r="L481" i="2"/>
  <c r="P481" i="2"/>
  <c r="M481" i="2"/>
  <c r="N477" i="2"/>
  <c r="O477" i="2"/>
  <c r="L477" i="2"/>
  <c r="P477" i="2"/>
  <c r="M477" i="2"/>
  <c r="N473" i="2"/>
  <c r="O473" i="2"/>
  <c r="L473" i="2"/>
  <c r="P473" i="2"/>
  <c r="M473" i="2"/>
  <c r="N469" i="2"/>
  <c r="O469" i="2"/>
  <c r="L469" i="2"/>
  <c r="P469" i="2"/>
  <c r="M469" i="2"/>
  <c r="N465" i="2"/>
  <c r="O465" i="2"/>
  <c r="L465" i="2"/>
  <c r="P465" i="2"/>
  <c r="M465" i="2"/>
  <c r="N461" i="2"/>
  <c r="O461" i="2"/>
  <c r="L461" i="2"/>
  <c r="P461" i="2"/>
  <c r="M461" i="2"/>
  <c r="N457" i="2"/>
  <c r="O457" i="2"/>
  <c r="L457" i="2"/>
  <c r="P457" i="2"/>
  <c r="M457" i="2"/>
  <c r="N453" i="2"/>
  <c r="O453" i="2"/>
  <c r="L453" i="2"/>
  <c r="P453" i="2"/>
  <c r="M453" i="2"/>
  <c r="N449" i="2"/>
  <c r="O449" i="2"/>
  <c r="L449" i="2"/>
  <c r="P449" i="2"/>
  <c r="M449" i="2"/>
  <c r="N445" i="2"/>
  <c r="O445" i="2"/>
  <c r="L445" i="2"/>
  <c r="P445" i="2"/>
  <c r="M445" i="2"/>
  <c r="N441" i="2"/>
  <c r="O441" i="2"/>
  <c r="L441" i="2"/>
  <c r="P441" i="2"/>
  <c r="M441" i="2"/>
  <c r="N437" i="2"/>
  <c r="O437" i="2"/>
  <c r="L437" i="2"/>
  <c r="P437" i="2"/>
  <c r="M437" i="2"/>
  <c r="N433" i="2"/>
  <c r="O433" i="2"/>
  <c r="M433" i="2"/>
  <c r="P433" i="2"/>
  <c r="L433" i="2"/>
  <c r="N429" i="2"/>
  <c r="O429" i="2"/>
  <c r="M429" i="2"/>
  <c r="L429" i="2"/>
  <c r="P429" i="2"/>
  <c r="N425" i="2"/>
  <c r="O425" i="2"/>
  <c r="M425" i="2"/>
  <c r="L425" i="2"/>
  <c r="P425" i="2"/>
  <c r="N421" i="2"/>
  <c r="O421" i="2"/>
  <c r="M421" i="2"/>
  <c r="L421" i="2"/>
  <c r="P421" i="2"/>
  <c r="N417" i="2"/>
  <c r="O417" i="2"/>
  <c r="M417" i="2"/>
  <c r="P417" i="2"/>
  <c r="L417" i="2"/>
  <c r="N413" i="2"/>
  <c r="O413" i="2"/>
  <c r="M413" i="2"/>
  <c r="L413" i="2"/>
  <c r="P413" i="2"/>
  <c r="N409" i="2"/>
  <c r="O409" i="2"/>
  <c r="M409" i="2"/>
  <c r="L409" i="2"/>
  <c r="P409" i="2"/>
  <c r="N405" i="2"/>
  <c r="O405" i="2"/>
  <c r="M405" i="2"/>
  <c r="L405" i="2"/>
  <c r="P405" i="2"/>
  <c r="N401" i="2"/>
  <c r="O401" i="2"/>
  <c r="M401" i="2"/>
  <c r="P401" i="2"/>
  <c r="L401" i="2"/>
  <c r="N397" i="2"/>
  <c r="O397" i="2"/>
  <c r="M397" i="2"/>
  <c r="L397" i="2"/>
  <c r="P397" i="2"/>
  <c r="N393" i="2"/>
  <c r="O393" i="2"/>
  <c r="M393" i="2"/>
  <c r="L393" i="2"/>
  <c r="P393" i="2"/>
  <c r="N389" i="2"/>
  <c r="O389" i="2"/>
  <c r="M389" i="2"/>
  <c r="L389" i="2"/>
  <c r="P389" i="2"/>
  <c r="N385" i="2"/>
  <c r="O385" i="2"/>
  <c r="M385" i="2"/>
  <c r="P385" i="2"/>
  <c r="L385" i="2"/>
  <c r="N381" i="2"/>
  <c r="O381" i="2"/>
  <c r="M381" i="2"/>
  <c r="L381" i="2"/>
  <c r="P381" i="2"/>
  <c r="N377" i="2"/>
  <c r="O377" i="2"/>
  <c r="M377" i="2"/>
  <c r="L377" i="2"/>
  <c r="P377" i="2"/>
  <c r="N373" i="2"/>
  <c r="O373" i="2"/>
  <c r="M373" i="2"/>
  <c r="L373" i="2"/>
  <c r="P373" i="2"/>
  <c r="N369" i="2"/>
  <c r="O369" i="2"/>
  <c r="M369" i="2"/>
  <c r="P369" i="2"/>
  <c r="L369" i="2"/>
  <c r="N365" i="2"/>
  <c r="O365" i="2"/>
  <c r="M365" i="2"/>
  <c r="L365" i="2"/>
  <c r="P365" i="2"/>
  <c r="N361" i="2"/>
  <c r="O361" i="2"/>
  <c r="M361" i="2"/>
  <c r="L361" i="2"/>
  <c r="P361" i="2"/>
  <c r="O357" i="2"/>
  <c r="M357" i="2"/>
  <c r="N357" i="2"/>
  <c r="L357" i="2"/>
  <c r="P357" i="2"/>
  <c r="O353" i="2"/>
  <c r="L353" i="2"/>
  <c r="M353" i="2"/>
  <c r="P353" i="2"/>
  <c r="N353" i="2"/>
  <c r="O349" i="2"/>
  <c r="P349" i="2"/>
  <c r="L349" i="2"/>
  <c r="N349" i="2"/>
  <c r="M349" i="2"/>
  <c r="O345" i="2"/>
  <c r="N345" i="2"/>
  <c r="P345" i="2"/>
  <c r="M345" i="2"/>
  <c r="L345" i="2"/>
  <c r="O341" i="2"/>
  <c r="M341" i="2"/>
  <c r="N341" i="2"/>
  <c r="L341" i="2"/>
  <c r="P341" i="2"/>
  <c r="O337" i="2"/>
  <c r="L337" i="2"/>
  <c r="M337" i="2"/>
  <c r="P337" i="2"/>
  <c r="N337" i="2"/>
  <c r="O333" i="2"/>
  <c r="P333" i="2"/>
  <c r="L333" i="2"/>
  <c r="N333" i="2"/>
  <c r="M333" i="2"/>
  <c r="O329" i="2"/>
  <c r="N329" i="2"/>
  <c r="P329" i="2"/>
  <c r="M329" i="2"/>
  <c r="L329" i="2"/>
  <c r="O325" i="2"/>
  <c r="M325" i="2"/>
  <c r="N325" i="2"/>
  <c r="L325" i="2"/>
  <c r="P325" i="2"/>
  <c r="O321" i="2"/>
  <c r="L321" i="2"/>
  <c r="M321" i="2"/>
  <c r="P321" i="2"/>
  <c r="N321" i="2"/>
  <c r="O317" i="2"/>
  <c r="P317" i="2"/>
  <c r="L317" i="2"/>
  <c r="N317" i="2"/>
  <c r="M317" i="2"/>
  <c r="O313" i="2"/>
  <c r="N313" i="2"/>
  <c r="P313" i="2"/>
  <c r="M313" i="2"/>
  <c r="L313" i="2"/>
  <c r="O309" i="2"/>
  <c r="M309" i="2"/>
  <c r="N309" i="2"/>
  <c r="L309" i="2"/>
  <c r="P309" i="2"/>
  <c r="O305" i="2"/>
  <c r="L305" i="2"/>
  <c r="M305" i="2"/>
  <c r="P305" i="2"/>
  <c r="N305" i="2"/>
  <c r="O301" i="2"/>
  <c r="P301" i="2"/>
  <c r="L301" i="2"/>
  <c r="N301" i="2"/>
  <c r="M301" i="2"/>
  <c r="O297" i="2"/>
  <c r="N297" i="2"/>
  <c r="P297" i="2"/>
  <c r="M297" i="2"/>
  <c r="L297" i="2"/>
  <c r="O293" i="2"/>
  <c r="M293" i="2"/>
  <c r="N293" i="2"/>
  <c r="L293" i="2"/>
  <c r="P293" i="2"/>
  <c r="O289" i="2"/>
  <c r="L289" i="2"/>
  <c r="M289" i="2"/>
  <c r="P289" i="2"/>
  <c r="N289" i="2"/>
  <c r="O285" i="2"/>
  <c r="P285" i="2"/>
  <c r="L285" i="2"/>
  <c r="N285" i="2"/>
  <c r="M285" i="2"/>
  <c r="O281" i="2"/>
  <c r="N281" i="2"/>
  <c r="P281" i="2"/>
  <c r="M281" i="2"/>
  <c r="L281" i="2"/>
  <c r="O277" i="2"/>
  <c r="L277" i="2"/>
  <c r="P277" i="2"/>
  <c r="M277" i="2"/>
  <c r="N277" i="2"/>
  <c r="O273" i="2"/>
  <c r="L273" i="2"/>
  <c r="P273" i="2"/>
  <c r="M273" i="2"/>
  <c r="N273" i="2"/>
  <c r="O269" i="2"/>
  <c r="L269" i="2"/>
  <c r="P269" i="2"/>
  <c r="M269" i="2"/>
  <c r="N269" i="2"/>
  <c r="O265" i="2"/>
  <c r="L265" i="2"/>
  <c r="P265" i="2"/>
  <c r="M265" i="2"/>
  <c r="N265" i="2"/>
  <c r="O261" i="2"/>
  <c r="L261" i="2"/>
  <c r="P261" i="2"/>
  <c r="M261" i="2"/>
  <c r="N261" i="2"/>
  <c r="O257" i="2"/>
  <c r="L257" i="2"/>
  <c r="P257" i="2"/>
  <c r="M257" i="2"/>
  <c r="N257" i="2"/>
  <c r="O253" i="2"/>
  <c r="L253" i="2"/>
  <c r="P253" i="2"/>
  <c r="M253" i="2"/>
  <c r="N253" i="2"/>
  <c r="O249" i="2"/>
  <c r="L249" i="2"/>
  <c r="P249" i="2"/>
  <c r="M249" i="2"/>
  <c r="N249" i="2"/>
  <c r="O245" i="2"/>
  <c r="L245" i="2"/>
  <c r="P245" i="2"/>
  <c r="M245" i="2"/>
  <c r="N245" i="2"/>
  <c r="O241" i="2"/>
  <c r="L241" i="2"/>
  <c r="P241" i="2"/>
  <c r="M241" i="2"/>
  <c r="N241" i="2"/>
  <c r="O237" i="2"/>
  <c r="L237" i="2"/>
  <c r="P237" i="2"/>
  <c r="M237" i="2"/>
  <c r="N237" i="2"/>
  <c r="O233" i="2"/>
  <c r="L233" i="2"/>
  <c r="P233" i="2"/>
  <c r="M233" i="2"/>
  <c r="N233" i="2"/>
  <c r="O229" i="2"/>
  <c r="L229" i="2"/>
  <c r="P229" i="2"/>
  <c r="N229" i="2"/>
  <c r="M229" i="2"/>
  <c r="O225" i="2"/>
  <c r="L225" i="2"/>
  <c r="P225" i="2"/>
  <c r="N225" i="2"/>
  <c r="M225" i="2"/>
  <c r="O221" i="2"/>
  <c r="L221" i="2"/>
  <c r="P221" i="2"/>
  <c r="N221" i="2"/>
  <c r="M221" i="2"/>
  <c r="O217" i="2"/>
  <c r="L217" i="2"/>
  <c r="P217" i="2"/>
  <c r="N217" i="2"/>
  <c r="M217" i="2"/>
  <c r="O213" i="2"/>
  <c r="L213" i="2"/>
  <c r="P213" i="2"/>
  <c r="N213" i="2"/>
  <c r="M213" i="2"/>
  <c r="O209" i="2"/>
  <c r="L209" i="2"/>
  <c r="P209" i="2"/>
  <c r="N209" i="2"/>
  <c r="M209" i="2"/>
  <c r="O205" i="2"/>
  <c r="L205" i="2"/>
  <c r="P205" i="2"/>
  <c r="N205" i="2"/>
  <c r="M205" i="2"/>
  <c r="O201" i="2"/>
  <c r="L201" i="2"/>
  <c r="P201" i="2"/>
  <c r="N201" i="2"/>
  <c r="M201" i="2"/>
  <c r="O197" i="2"/>
  <c r="L197" i="2"/>
  <c r="P197" i="2"/>
  <c r="N197" i="2"/>
  <c r="M197" i="2"/>
  <c r="O193" i="2"/>
  <c r="L193" i="2"/>
  <c r="P193" i="2"/>
  <c r="N193" i="2"/>
  <c r="M193" i="2"/>
  <c r="O189" i="2"/>
  <c r="L189" i="2"/>
  <c r="P189" i="2"/>
  <c r="N189" i="2"/>
  <c r="M189" i="2"/>
  <c r="O185" i="2"/>
  <c r="L185" i="2"/>
  <c r="P185" i="2"/>
  <c r="N185" i="2"/>
  <c r="M185" i="2"/>
  <c r="O181" i="2"/>
  <c r="L181" i="2"/>
  <c r="P181" i="2"/>
  <c r="N181" i="2"/>
  <c r="M181" i="2"/>
  <c r="O177" i="2"/>
  <c r="L177" i="2"/>
  <c r="P177" i="2"/>
  <c r="N177" i="2"/>
  <c r="M177" i="2"/>
  <c r="O173" i="2"/>
  <c r="L173" i="2"/>
  <c r="P173" i="2"/>
  <c r="N173" i="2"/>
  <c r="M173" i="2"/>
  <c r="O169" i="2"/>
  <c r="L169" i="2"/>
  <c r="P169" i="2"/>
  <c r="N169" i="2"/>
  <c r="M169" i="2"/>
  <c r="O165" i="2"/>
  <c r="L165" i="2"/>
  <c r="P165" i="2"/>
  <c r="N165" i="2"/>
  <c r="M165" i="2"/>
  <c r="O161" i="2"/>
  <c r="L161" i="2"/>
  <c r="P161" i="2"/>
  <c r="N161" i="2"/>
  <c r="M161" i="2"/>
  <c r="O157" i="2"/>
  <c r="L157" i="2"/>
  <c r="P157" i="2"/>
  <c r="N157" i="2"/>
  <c r="M157" i="2"/>
  <c r="O153" i="2"/>
  <c r="L153" i="2"/>
  <c r="P153" i="2"/>
  <c r="N153" i="2"/>
  <c r="M153" i="2"/>
  <c r="O149" i="2"/>
  <c r="L149" i="2"/>
  <c r="P149" i="2"/>
  <c r="N149" i="2"/>
  <c r="M149" i="2"/>
  <c r="O145" i="2"/>
  <c r="L145" i="2"/>
  <c r="P145" i="2"/>
  <c r="N145" i="2"/>
  <c r="M145" i="2"/>
  <c r="O141" i="2"/>
  <c r="L141" i="2"/>
  <c r="P141" i="2"/>
  <c r="N141" i="2"/>
  <c r="M141" i="2"/>
  <c r="O137" i="2"/>
  <c r="L137" i="2"/>
  <c r="P137" i="2"/>
  <c r="N137" i="2"/>
  <c r="M137" i="2"/>
  <c r="O133" i="2"/>
  <c r="L133" i="2"/>
  <c r="P133" i="2"/>
  <c r="N133" i="2"/>
  <c r="M133" i="2"/>
  <c r="N129" i="2"/>
  <c r="O129" i="2"/>
  <c r="M129" i="2"/>
  <c r="P129" i="2"/>
  <c r="L129" i="2"/>
  <c r="J609" i="2"/>
  <c r="I606" i="2"/>
  <c r="H603" i="2"/>
  <c r="G600" i="2"/>
  <c r="K596" i="2"/>
  <c r="J593" i="2"/>
  <c r="I590" i="2"/>
  <c r="H587" i="2"/>
  <c r="G584" i="2"/>
  <c r="K580" i="2"/>
  <c r="J577" i="2"/>
  <c r="I574" i="2"/>
  <c r="H571" i="2"/>
  <c r="G568" i="2"/>
  <c r="K564" i="2"/>
  <c r="J561" i="2"/>
  <c r="I558" i="2"/>
  <c r="H555" i="2"/>
  <c r="G552" i="2"/>
  <c r="K548" i="2"/>
  <c r="J545" i="2"/>
  <c r="I542" i="2"/>
  <c r="H539" i="2"/>
  <c r="G536" i="2"/>
  <c r="K532" i="2"/>
  <c r="J529" i="2"/>
  <c r="I526" i="2"/>
  <c r="H523" i="2"/>
  <c r="G520" i="2"/>
  <c r="K516" i="2"/>
  <c r="J513" i="2"/>
  <c r="I510" i="2"/>
  <c r="H507" i="2"/>
  <c r="G504" i="2"/>
  <c r="K500" i="2"/>
  <c r="J497" i="2"/>
  <c r="I494" i="2"/>
  <c r="H491" i="2"/>
  <c r="G488" i="2"/>
  <c r="K484" i="2"/>
  <c r="J481" i="2"/>
  <c r="I478" i="2"/>
  <c r="H475" i="2"/>
  <c r="G472" i="2"/>
  <c r="K468" i="2"/>
  <c r="J465" i="2"/>
  <c r="I462" i="2"/>
  <c r="H459" i="2"/>
  <c r="G456" i="2"/>
  <c r="K452" i="2"/>
  <c r="J449" i="2"/>
  <c r="I446" i="2"/>
  <c r="H443" i="2"/>
  <c r="G440" i="2"/>
  <c r="K436" i="2"/>
  <c r="J433" i="2"/>
  <c r="I430" i="2"/>
  <c r="H427" i="2"/>
  <c r="G424" i="2"/>
  <c r="K420" i="2"/>
  <c r="J417" i="2"/>
  <c r="G412" i="2"/>
  <c r="H399" i="2"/>
  <c r="I386" i="2"/>
  <c r="J373" i="2"/>
  <c r="K360" i="2"/>
  <c r="G348" i="2"/>
  <c r="H335" i="2"/>
  <c r="I322" i="2"/>
  <c r="J309" i="2"/>
  <c r="K296" i="2"/>
  <c r="G284" i="2"/>
  <c r="H271" i="2"/>
  <c r="I258" i="2"/>
  <c r="J245" i="2"/>
  <c r="K232" i="2"/>
  <c r="G220" i="2"/>
  <c r="G198" i="2"/>
  <c r="K146" i="2"/>
  <c r="J95" i="2"/>
  <c r="I44" i="2"/>
  <c r="M593" i="2"/>
  <c r="L542" i="2"/>
  <c r="N14" i="2"/>
  <c r="O14" i="2"/>
  <c r="M14" i="2"/>
  <c r="P14" i="2"/>
  <c r="L14" i="2"/>
  <c r="N125" i="2"/>
  <c r="O125" i="2"/>
  <c r="M125" i="2"/>
  <c r="L125" i="2"/>
  <c r="P125" i="2"/>
  <c r="N121" i="2"/>
  <c r="O121" i="2"/>
  <c r="M121" i="2"/>
  <c r="L121" i="2"/>
  <c r="P121" i="2"/>
  <c r="N117" i="2"/>
  <c r="O117" i="2"/>
  <c r="M117" i="2"/>
  <c r="P117" i="2"/>
  <c r="L117" i="2"/>
  <c r="N113" i="2"/>
  <c r="O113" i="2"/>
  <c r="M113" i="2"/>
  <c r="P113" i="2"/>
  <c r="L113" i="2"/>
  <c r="N109" i="2"/>
  <c r="O109" i="2"/>
  <c r="M109" i="2"/>
  <c r="L109" i="2"/>
  <c r="P109" i="2"/>
  <c r="N105" i="2"/>
  <c r="O105" i="2"/>
  <c r="M105" i="2"/>
  <c r="L105" i="2"/>
  <c r="P105" i="2"/>
  <c r="N101" i="2"/>
  <c r="O101" i="2"/>
  <c r="M101" i="2"/>
  <c r="P101" i="2"/>
  <c r="L101" i="2"/>
  <c r="N97" i="2"/>
  <c r="O97" i="2"/>
  <c r="M97" i="2"/>
  <c r="P97" i="2"/>
  <c r="L97" i="2"/>
  <c r="N93" i="2"/>
  <c r="O93" i="2"/>
  <c r="M93" i="2"/>
  <c r="L93" i="2"/>
  <c r="P93" i="2"/>
  <c r="N89" i="2"/>
  <c r="O89" i="2"/>
  <c r="M89" i="2"/>
  <c r="L89" i="2"/>
  <c r="P89" i="2"/>
  <c r="N85" i="2"/>
  <c r="O85" i="2"/>
  <c r="M85" i="2"/>
  <c r="P85" i="2"/>
  <c r="L85" i="2"/>
  <c r="N81" i="2"/>
  <c r="O81" i="2"/>
  <c r="M81" i="2"/>
  <c r="P81" i="2"/>
  <c r="L81" i="2"/>
  <c r="O77" i="2"/>
  <c r="L77" i="2"/>
  <c r="P77" i="2"/>
  <c r="N77" i="2"/>
  <c r="M77" i="2"/>
  <c r="O73" i="2"/>
  <c r="L73" i="2"/>
  <c r="P73" i="2"/>
  <c r="N73" i="2"/>
  <c r="M73" i="2"/>
  <c r="O69" i="2"/>
  <c r="L69" i="2"/>
  <c r="P69" i="2"/>
  <c r="N69" i="2"/>
  <c r="M69" i="2"/>
  <c r="O65" i="2"/>
  <c r="L65" i="2"/>
  <c r="P65" i="2"/>
  <c r="N65" i="2"/>
  <c r="M65" i="2"/>
  <c r="O61" i="2"/>
  <c r="L61" i="2"/>
  <c r="P61" i="2"/>
  <c r="N61" i="2"/>
  <c r="M61" i="2"/>
  <c r="O57" i="2"/>
  <c r="L57" i="2"/>
  <c r="P57" i="2"/>
  <c r="N57" i="2"/>
  <c r="M57" i="2"/>
  <c r="O53" i="2"/>
  <c r="L53" i="2"/>
  <c r="P53" i="2"/>
  <c r="N53" i="2"/>
  <c r="M53" i="2"/>
  <c r="O49" i="2"/>
  <c r="L49" i="2"/>
  <c r="P49" i="2"/>
  <c r="N49" i="2"/>
  <c r="M49" i="2"/>
  <c r="O45" i="2"/>
  <c r="L45" i="2"/>
  <c r="P45" i="2"/>
  <c r="N45" i="2"/>
  <c r="M45" i="2"/>
  <c r="O41" i="2"/>
  <c r="L41" i="2"/>
  <c r="P41" i="2"/>
  <c r="N41" i="2"/>
  <c r="M41" i="2"/>
  <c r="O37" i="2"/>
  <c r="L37" i="2"/>
  <c r="P37" i="2"/>
  <c r="N37" i="2"/>
  <c r="M37" i="2"/>
  <c r="O33" i="2"/>
  <c r="L33" i="2"/>
  <c r="P33" i="2"/>
  <c r="N33" i="2"/>
  <c r="M33" i="2"/>
  <c r="O29" i="2"/>
  <c r="L29" i="2"/>
  <c r="P29" i="2"/>
  <c r="N29" i="2"/>
  <c r="M29" i="2"/>
  <c r="O25" i="2"/>
  <c r="L25" i="2"/>
  <c r="P25" i="2"/>
  <c r="N25" i="2"/>
  <c r="M25" i="2"/>
  <c r="O21" i="2"/>
  <c r="L21" i="2"/>
  <c r="P21" i="2"/>
  <c r="N21" i="2"/>
  <c r="M21" i="2"/>
  <c r="O17" i="2"/>
  <c r="L17" i="2"/>
  <c r="P17" i="2"/>
  <c r="N17" i="2"/>
  <c r="M17" i="2"/>
  <c r="O13" i="2"/>
  <c r="L13" i="2"/>
  <c r="P13" i="2"/>
  <c r="N13" i="2"/>
  <c r="M13" i="2"/>
  <c r="L123" i="2"/>
  <c r="P123" i="2"/>
  <c r="M123" i="2"/>
  <c r="O123" i="2"/>
  <c r="N123" i="2"/>
  <c r="L119" i="2"/>
  <c r="P119" i="2"/>
  <c r="M119" i="2"/>
  <c r="O119" i="2"/>
  <c r="N119" i="2"/>
  <c r="L115" i="2"/>
  <c r="P115" i="2"/>
  <c r="M115" i="2"/>
  <c r="O115" i="2"/>
  <c r="N115" i="2"/>
  <c r="L111" i="2"/>
  <c r="P111" i="2"/>
  <c r="M111" i="2"/>
  <c r="O111" i="2"/>
  <c r="N111" i="2"/>
  <c r="L107" i="2"/>
  <c r="P107" i="2"/>
  <c r="M107" i="2"/>
  <c r="O107" i="2"/>
  <c r="N107" i="2"/>
  <c r="L103" i="2"/>
  <c r="P103" i="2"/>
  <c r="M103" i="2"/>
  <c r="O103" i="2"/>
  <c r="N103" i="2"/>
  <c r="L99" i="2"/>
  <c r="P99" i="2"/>
  <c r="M99" i="2"/>
  <c r="O99" i="2"/>
  <c r="N99" i="2"/>
  <c r="L95" i="2"/>
  <c r="P95" i="2"/>
  <c r="M95" i="2"/>
  <c r="O95" i="2"/>
  <c r="N95" i="2"/>
  <c r="L91" i="2"/>
  <c r="P91" i="2"/>
  <c r="M91" i="2"/>
  <c r="O91" i="2"/>
  <c r="N91" i="2"/>
  <c r="L87" i="2"/>
  <c r="P87" i="2"/>
  <c r="M87" i="2"/>
  <c r="O87" i="2"/>
  <c r="N87" i="2"/>
  <c r="L83" i="2"/>
  <c r="P83" i="2"/>
  <c r="M83" i="2"/>
  <c r="O83" i="2"/>
  <c r="N83" i="2"/>
  <c r="M79" i="2"/>
  <c r="N79" i="2"/>
  <c r="L79" i="2"/>
  <c r="P79" i="2"/>
  <c r="O79" i="2"/>
  <c r="M75" i="2"/>
  <c r="N75" i="2"/>
  <c r="L75" i="2"/>
  <c r="P75" i="2"/>
  <c r="O75" i="2"/>
  <c r="M71" i="2"/>
  <c r="N71" i="2"/>
  <c r="L71" i="2"/>
  <c r="P71" i="2"/>
  <c r="O71" i="2"/>
  <c r="M67" i="2"/>
  <c r="N67" i="2"/>
  <c r="L67" i="2"/>
  <c r="P67" i="2"/>
  <c r="O67" i="2"/>
  <c r="M63" i="2"/>
  <c r="N63" i="2"/>
  <c r="L63" i="2"/>
  <c r="P63" i="2"/>
  <c r="O63" i="2"/>
  <c r="M59" i="2"/>
  <c r="N59" i="2"/>
  <c r="L59" i="2"/>
  <c r="P59" i="2"/>
  <c r="O59" i="2"/>
  <c r="M55" i="2"/>
  <c r="N55" i="2"/>
  <c r="L55" i="2"/>
  <c r="P55" i="2"/>
  <c r="O55" i="2"/>
  <c r="M51" i="2"/>
  <c r="N51" i="2"/>
  <c r="L51" i="2"/>
  <c r="P51" i="2"/>
  <c r="O51" i="2"/>
  <c r="M47" i="2"/>
  <c r="N47" i="2"/>
  <c r="L47" i="2"/>
  <c r="P47" i="2"/>
  <c r="O47" i="2"/>
  <c r="M43" i="2"/>
  <c r="N43" i="2"/>
  <c r="L43" i="2"/>
  <c r="P43" i="2"/>
  <c r="O43" i="2"/>
  <c r="M39" i="2"/>
  <c r="N39" i="2"/>
  <c r="L39" i="2"/>
  <c r="P39" i="2"/>
  <c r="O39" i="2"/>
  <c r="M35" i="2"/>
  <c r="N35" i="2"/>
  <c r="L35" i="2"/>
  <c r="P35" i="2"/>
  <c r="O35" i="2"/>
  <c r="M31" i="2"/>
  <c r="N31" i="2"/>
  <c r="L31" i="2"/>
  <c r="P31" i="2"/>
  <c r="O31" i="2"/>
  <c r="M27" i="2"/>
  <c r="N27" i="2"/>
  <c r="L27" i="2"/>
  <c r="P27" i="2"/>
  <c r="O27" i="2"/>
  <c r="M23" i="2"/>
  <c r="N23" i="2"/>
  <c r="L23" i="2"/>
  <c r="P23" i="2"/>
  <c r="O23" i="2"/>
  <c r="M19" i="2"/>
  <c r="N19" i="2"/>
  <c r="L19" i="2"/>
  <c r="P19" i="2"/>
  <c r="O19" i="2"/>
  <c r="M15" i="2"/>
  <c r="N15" i="2"/>
  <c r="L15" i="2"/>
  <c r="P15" i="2"/>
  <c r="O15" i="2"/>
  <c r="C3" i="2"/>
  <c r="C6" i="2" s="1"/>
  <c r="B3" i="2"/>
  <c r="B6" i="2" s="1"/>
  <c r="B7" i="2"/>
  <c r="E4" i="1"/>
  <c r="C11" i="2"/>
  <c r="C161" i="2"/>
  <c r="D161" i="2"/>
  <c r="AM161" i="2" s="1"/>
  <c r="C162" i="2"/>
  <c r="D162" i="2"/>
  <c r="AM162" i="2" s="1"/>
  <c r="C163" i="2"/>
  <c r="D163" i="2"/>
  <c r="AM163" i="2" s="1"/>
  <c r="C164" i="2"/>
  <c r="D164" i="2"/>
  <c r="AM164" i="2" s="1"/>
  <c r="C165" i="2"/>
  <c r="D165" i="2"/>
  <c r="AM165" i="2" s="1"/>
  <c r="C166" i="2"/>
  <c r="D166" i="2"/>
  <c r="AM166" i="2" s="1"/>
  <c r="C167" i="2"/>
  <c r="D167" i="2"/>
  <c r="AM167" i="2" s="1"/>
  <c r="C168" i="2"/>
  <c r="D168" i="2"/>
  <c r="AM168" i="2" s="1"/>
  <c r="C169" i="2"/>
  <c r="D169" i="2"/>
  <c r="AM169" i="2" s="1"/>
  <c r="C170" i="2"/>
  <c r="D170" i="2"/>
  <c r="AM170" i="2" s="1"/>
  <c r="C171" i="2"/>
  <c r="D171" i="2"/>
  <c r="AM171" i="2" s="1"/>
  <c r="C172" i="2"/>
  <c r="D172" i="2"/>
  <c r="AM172" i="2" s="1"/>
  <c r="C173" i="2"/>
  <c r="D173" i="2"/>
  <c r="AM173" i="2" s="1"/>
  <c r="C174" i="2"/>
  <c r="D174" i="2"/>
  <c r="AM174" i="2" s="1"/>
  <c r="C175" i="2"/>
  <c r="D175" i="2"/>
  <c r="AM175" i="2" s="1"/>
  <c r="C176" i="2"/>
  <c r="D176" i="2"/>
  <c r="AM176" i="2" s="1"/>
  <c r="C177" i="2"/>
  <c r="D177" i="2"/>
  <c r="AM177" i="2" s="1"/>
  <c r="C178" i="2"/>
  <c r="D178" i="2"/>
  <c r="AM178" i="2" s="1"/>
  <c r="C179" i="2"/>
  <c r="D179" i="2"/>
  <c r="AM179" i="2" s="1"/>
  <c r="C180" i="2"/>
  <c r="D180" i="2"/>
  <c r="AM180" i="2" s="1"/>
  <c r="C181" i="2"/>
  <c r="D181" i="2"/>
  <c r="AM181" i="2" s="1"/>
  <c r="C182" i="2"/>
  <c r="D182" i="2"/>
  <c r="AM182" i="2" s="1"/>
  <c r="C183" i="2"/>
  <c r="D183" i="2"/>
  <c r="AM183" i="2" s="1"/>
  <c r="C184" i="2"/>
  <c r="D184" i="2"/>
  <c r="AM184" i="2" s="1"/>
  <c r="C185" i="2"/>
  <c r="D185" i="2"/>
  <c r="AM185" i="2" s="1"/>
  <c r="C186" i="2"/>
  <c r="D186" i="2"/>
  <c r="AM186" i="2" s="1"/>
  <c r="C187" i="2"/>
  <c r="D187" i="2"/>
  <c r="AM187" i="2" s="1"/>
  <c r="C188" i="2"/>
  <c r="D188" i="2"/>
  <c r="AM188" i="2" s="1"/>
  <c r="C189" i="2"/>
  <c r="D189" i="2"/>
  <c r="AM189" i="2" s="1"/>
  <c r="C190" i="2"/>
  <c r="D190" i="2"/>
  <c r="AM190" i="2" s="1"/>
  <c r="C191" i="2"/>
  <c r="D191" i="2"/>
  <c r="AM191" i="2" s="1"/>
  <c r="C192" i="2"/>
  <c r="D192" i="2"/>
  <c r="AM192" i="2" s="1"/>
  <c r="C193" i="2"/>
  <c r="D193" i="2"/>
  <c r="AM193" i="2" s="1"/>
  <c r="C194" i="2"/>
  <c r="D194" i="2"/>
  <c r="AM194" i="2" s="1"/>
  <c r="C195" i="2"/>
  <c r="D195" i="2"/>
  <c r="AM195" i="2" s="1"/>
  <c r="C196" i="2"/>
  <c r="D196" i="2"/>
  <c r="AM196" i="2" s="1"/>
  <c r="C197" i="2"/>
  <c r="D197" i="2"/>
  <c r="AM197" i="2" s="1"/>
  <c r="C198" i="2"/>
  <c r="D198" i="2"/>
  <c r="AM198" i="2" s="1"/>
  <c r="C199" i="2"/>
  <c r="D199" i="2"/>
  <c r="AM199" i="2" s="1"/>
  <c r="C200" i="2"/>
  <c r="D200" i="2"/>
  <c r="AM200" i="2" s="1"/>
  <c r="C201" i="2"/>
  <c r="D201" i="2"/>
  <c r="AM201" i="2" s="1"/>
  <c r="C202" i="2"/>
  <c r="D202" i="2"/>
  <c r="AM202" i="2" s="1"/>
  <c r="C203" i="2"/>
  <c r="D203" i="2"/>
  <c r="AM203" i="2" s="1"/>
  <c r="C204" i="2"/>
  <c r="D204" i="2"/>
  <c r="AM204" i="2" s="1"/>
  <c r="C205" i="2"/>
  <c r="D205" i="2"/>
  <c r="AM205" i="2" s="1"/>
  <c r="C206" i="2"/>
  <c r="D206" i="2"/>
  <c r="AM206" i="2" s="1"/>
  <c r="C207" i="2"/>
  <c r="D207" i="2"/>
  <c r="AM207" i="2" s="1"/>
  <c r="C208" i="2"/>
  <c r="D208" i="2"/>
  <c r="AM208" i="2" s="1"/>
  <c r="C209" i="2"/>
  <c r="D209" i="2"/>
  <c r="AM209" i="2" s="1"/>
  <c r="C210" i="2"/>
  <c r="D210" i="2"/>
  <c r="AM210" i="2" s="1"/>
  <c r="C211" i="2"/>
  <c r="D211" i="2"/>
  <c r="AM211" i="2" s="1"/>
  <c r="C212" i="2"/>
  <c r="D212" i="2"/>
  <c r="AM212" i="2" s="1"/>
  <c r="C213" i="2"/>
  <c r="D213" i="2"/>
  <c r="AM213" i="2" s="1"/>
  <c r="C214" i="2"/>
  <c r="D214" i="2"/>
  <c r="AM214" i="2" s="1"/>
  <c r="C215" i="2"/>
  <c r="D215" i="2"/>
  <c r="AM215" i="2" s="1"/>
  <c r="C216" i="2"/>
  <c r="D216" i="2"/>
  <c r="AM216" i="2" s="1"/>
  <c r="C217" i="2"/>
  <c r="D217" i="2"/>
  <c r="AM217" i="2" s="1"/>
  <c r="C218" i="2"/>
  <c r="D218" i="2"/>
  <c r="AM218" i="2" s="1"/>
  <c r="C219" i="2"/>
  <c r="D219" i="2"/>
  <c r="AM219" i="2" s="1"/>
  <c r="C220" i="2"/>
  <c r="D220" i="2"/>
  <c r="AM220" i="2" s="1"/>
  <c r="C221" i="2"/>
  <c r="D221" i="2"/>
  <c r="AM221" i="2" s="1"/>
  <c r="C222" i="2"/>
  <c r="D222" i="2"/>
  <c r="AM222" i="2" s="1"/>
  <c r="C223" i="2"/>
  <c r="D223" i="2"/>
  <c r="AM223" i="2" s="1"/>
  <c r="C224" i="2"/>
  <c r="D224" i="2"/>
  <c r="AM224" i="2" s="1"/>
  <c r="C225" i="2"/>
  <c r="D225" i="2"/>
  <c r="AM225" i="2" s="1"/>
  <c r="C226" i="2"/>
  <c r="D226" i="2"/>
  <c r="AM226" i="2" s="1"/>
  <c r="C227" i="2"/>
  <c r="D227" i="2"/>
  <c r="AM227" i="2" s="1"/>
  <c r="C228" i="2"/>
  <c r="D228" i="2"/>
  <c r="AM228" i="2" s="1"/>
  <c r="C229" i="2"/>
  <c r="D229" i="2"/>
  <c r="AM229" i="2" s="1"/>
  <c r="C230" i="2"/>
  <c r="D230" i="2"/>
  <c r="AM230" i="2" s="1"/>
  <c r="C231" i="2"/>
  <c r="D231" i="2"/>
  <c r="AM231" i="2" s="1"/>
  <c r="C232" i="2"/>
  <c r="D232" i="2"/>
  <c r="AM232" i="2" s="1"/>
  <c r="C233" i="2"/>
  <c r="D233" i="2"/>
  <c r="AM233" i="2" s="1"/>
  <c r="C234" i="2"/>
  <c r="D234" i="2"/>
  <c r="AM234" i="2" s="1"/>
  <c r="C235" i="2"/>
  <c r="D235" i="2"/>
  <c r="AM235" i="2" s="1"/>
  <c r="C236" i="2"/>
  <c r="D236" i="2"/>
  <c r="AM236" i="2" s="1"/>
  <c r="C237" i="2"/>
  <c r="D237" i="2"/>
  <c r="AM237" i="2" s="1"/>
  <c r="C238" i="2"/>
  <c r="D238" i="2"/>
  <c r="AM238" i="2" s="1"/>
  <c r="C239" i="2"/>
  <c r="D239" i="2"/>
  <c r="AM239" i="2" s="1"/>
  <c r="C240" i="2"/>
  <c r="D240" i="2"/>
  <c r="AM240" i="2" s="1"/>
  <c r="C241" i="2"/>
  <c r="D241" i="2"/>
  <c r="AM241" i="2" s="1"/>
  <c r="C242" i="2"/>
  <c r="D242" i="2"/>
  <c r="AM242" i="2" s="1"/>
  <c r="C243" i="2"/>
  <c r="D243" i="2"/>
  <c r="AM243" i="2" s="1"/>
  <c r="C244" i="2"/>
  <c r="D244" i="2"/>
  <c r="AM244" i="2" s="1"/>
  <c r="C245" i="2"/>
  <c r="D245" i="2"/>
  <c r="AM245" i="2" s="1"/>
  <c r="C246" i="2"/>
  <c r="D246" i="2"/>
  <c r="AM246" i="2" s="1"/>
  <c r="C247" i="2"/>
  <c r="D247" i="2"/>
  <c r="AM247" i="2" s="1"/>
  <c r="C248" i="2"/>
  <c r="D248" i="2"/>
  <c r="AM248" i="2" s="1"/>
  <c r="C249" i="2"/>
  <c r="D249" i="2"/>
  <c r="AM249" i="2" s="1"/>
  <c r="C250" i="2"/>
  <c r="D250" i="2"/>
  <c r="AM250" i="2" s="1"/>
  <c r="C251" i="2"/>
  <c r="D251" i="2"/>
  <c r="AM251" i="2" s="1"/>
  <c r="C252" i="2"/>
  <c r="D252" i="2"/>
  <c r="AM252" i="2" s="1"/>
  <c r="C253" i="2"/>
  <c r="D253" i="2"/>
  <c r="AM253" i="2" s="1"/>
  <c r="C254" i="2"/>
  <c r="D254" i="2"/>
  <c r="AM254" i="2" s="1"/>
  <c r="C255" i="2"/>
  <c r="D255" i="2"/>
  <c r="AM255" i="2" s="1"/>
  <c r="C256" i="2"/>
  <c r="D256" i="2"/>
  <c r="AM256" i="2" s="1"/>
  <c r="C257" i="2"/>
  <c r="D257" i="2"/>
  <c r="AM257" i="2" s="1"/>
  <c r="C258" i="2"/>
  <c r="D258" i="2"/>
  <c r="AM258" i="2" s="1"/>
  <c r="C259" i="2"/>
  <c r="D259" i="2"/>
  <c r="AM259" i="2" s="1"/>
  <c r="C260" i="2"/>
  <c r="D260" i="2"/>
  <c r="AM260" i="2" s="1"/>
  <c r="C261" i="2"/>
  <c r="D261" i="2"/>
  <c r="AM261" i="2" s="1"/>
  <c r="C262" i="2"/>
  <c r="D262" i="2"/>
  <c r="AM262" i="2" s="1"/>
  <c r="C263" i="2"/>
  <c r="D263" i="2"/>
  <c r="AM263" i="2" s="1"/>
  <c r="C264" i="2"/>
  <c r="D264" i="2"/>
  <c r="AM264" i="2" s="1"/>
  <c r="C265" i="2"/>
  <c r="D265" i="2"/>
  <c r="AM265" i="2" s="1"/>
  <c r="C266" i="2"/>
  <c r="D266" i="2"/>
  <c r="AM266" i="2" s="1"/>
  <c r="C267" i="2"/>
  <c r="D267" i="2"/>
  <c r="AM267" i="2" s="1"/>
  <c r="C268" i="2"/>
  <c r="D268" i="2"/>
  <c r="AM268" i="2" s="1"/>
  <c r="C269" i="2"/>
  <c r="D269" i="2"/>
  <c r="AM269" i="2" s="1"/>
  <c r="C270" i="2"/>
  <c r="D270" i="2"/>
  <c r="AM270" i="2" s="1"/>
  <c r="C271" i="2"/>
  <c r="D271" i="2"/>
  <c r="AM271" i="2" s="1"/>
  <c r="C272" i="2"/>
  <c r="D272" i="2"/>
  <c r="AM272" i="2" s="1"/>
  <c r="C273" i="2"/>
  <c r="D273" i="2"/>
  <c r="AM273" i="2" s="1"/>
  <c r="C274" i="2"/>
  <c r="D274" i="2"/>
  <c r="AM274" i="2" s="1"/>
  <c r="C275" i="2"/>
  <c r="D275" i="2"/>
  <c r="AM275" i="2" s="1"/>
  <c r="C276" i="2"/>
  <c r="D276" i="2"/>
  <c r="AM276" i="2" s="1"/>
  <c r="C277" i="2"/>
  <c r="D277" i="2"/>
  <c r="AM277" i="2" s="1"/>
  <c r="C278" i="2"/>
  <c r="D278" i="2"/>
  <c r="AM278" i="2" s="1"/>
  <c r="C279" i="2"/>
  <c r="D279" i="2"/>
  <c r="AM279" i="2" s="1"/>
  <c r="C280" i="2"/>
  <c r="D280" i="2"/>
  <c r="AM280" i="2" s="1"/>
  <c r="C281" i="2"/>
  <c r="D281" i="2"/>
  <c r="AM281" i="2" s="1"/>
  <c r="C282" i="2"/>
  <c r="D282" i="2"/>
  <c r="AM282" i="2" s="1"/>
  <c r="C283" i="2"/>
  <c r="D283" i="2"/>
  <c r="AM283" i="2" s="1"/>
  <c r="C284" i="2"/>
  <c r="D284" i="2"/>
  <c r="AM284" i="2" s="1"/>
  <c r="C285" i="2"/>
  <c r="D285" i="2"/>
  <c r="AM285" i="2" s="1"/>
  <c r="C286" i="2"/>
  <c r="D286" i="2"/>
  <c r="AM286" i="2" s="1"/>
  <c r="C287" i="2"/>
  <c r="D287" i="2"/>
  <c r="AM287" i="2" s="1"/>
  <c r="C288" i="2"/>
  <c r="D288" i="2"/>
  <c r="AM288" i="2" s="1"/>
  <c r="C289" i="2"/>
  <c r="D289" i="2"/>
  <c r="AM289" i="2" s="1"/>
  <c r="C290" i="2"/>
  <c r="D290" i="2"/>
  <c r="AM290" i="2" s="1"/>
  <c r="C291" i="2"/>
  <c r="D291" i="2"/>
  <c r="AM291" i="2" s="1"/>
  <c r="C292" i="2"/>
  <c r="D292" i="2"/>
  <c r="AM292" i="2" s="1"/>
  <c r="C293" i="2"/>
  <c r="D293" i="2"/>
  <c r="AM293" i="2" s="1"/>
  <c r="C294" i="2"/>
  <c r="D294" i="2"/>
  <c r="AM294" i="2" s="1"/>
  <c r="C295" i="2"/>
  <c r="D295" i="2"/>
  <c r="AM295" i="2" s="1"/>
  <c r="C296" i="2"/>
  <c r="D296" i="2"/>
  <c r="AM296" i="2" s="1"/>
  <c r="C297" i="2"/>
  <c r="D297" i="2"/>
  <c r="AM297" i="2" s="1"/>
  <c r="C298" i="2"/>
  <c r="D298" i="2"/>
  <c r="AM298" i="2" s="1"/>
  <c r="C299" i="2"/>
  <c r="D299" i="2"/>
  <c r="AM299" i="2" s="1"/>
  <c r="C300" i="2"/>
  <c r="D300" i="2"/>
  <c r="AM300" i="2" s="1"/>
  <c r="C301" i="2"/>
  <c r="D301" i="2"/>
  <c r="AM301" i="2" s="1"/>
  <c r="C302" i="2"/>
  <c r="D302" i="2"/>
  <c r="AM302" i="2" s="1"/>
  <c r="C303" i="2"/>
  <c r="D303" i="2"/>
  <c r="AM303" i="2" s="1"/>
  <c r="C304" i="2"/>
  <c r="D304" i="2"/>
  <c r="AM304" i="2" s="1"/>
  <c r="C305" i="2"/>
  <c r="D305" i="2"/>
  <c r="AM305" i="2" s="1"/>
  <c r="C306" i="2"/>
  <c r="D306" i="2"/>
  <c r="AM306" i="2" s="1"/>
  <c r="C307" i="2"/>
  <c r="D307" i="2"/>
  <c r="AM307" i="2" s="1"/>
  <c r="C308" i="2"/>
  <c r="D308" i="2"/>
  <c r="AM308" i="2" s="1"/>
  <c r="C309" i="2"/>
  <c r="D309" i="2"/>
  <c r="AM309" i="2" s="1"/>
  <c r="C310" i="2"/>
  <c r="D310" i="2"/>
  <c r="AM310" i="2" s="1"/>
  <c r="C311" i="2"/>
  <c r="D311" i="2"/>
  <c r="AM311" i="2" s="1"/>
  <c r="C312" i="2"/>
  <c r="D312" i="2"/>
  <c r="AM312" i="2" s="1"/>
  <c r="C313" i="2"/>
  <c r="D313" i="2"/>
  <c r="AM313" i="2" s="1"/>
  <c r="C314" i="2"/>
  <c r="D314" i="2"/>
  <c r="AM314" i="2" s="1"/>
  <c r="C315" i="2"/>
  <c r="D315" i="2"/>
  <c r="AM315" i="2" s="1"/>
  <c r="C316" i="2"/>
  <c r="D316" i="2"/>
  <c r="AM316" i="2" s="1"/>
  <c r="C317" i="2"/>
  <c r="D317" i="2"/>
  <c r="AM317" i="2" s="1"/>
  <c r="C318" i="2"/>
  <c r="D318" i="2"/>
  <c r="AM318" i="2" s="1"/>
  <c r="C319" i="2"/>
  <c r="D319" i="2"/>
  <c r="AM319" i="2" s="1"/>
  <c r="C320" i="2"/>
  <c r="D320" i="2"/>
  <c r="AM320" i="2" s="1"/>
  <c r="C321" i="2"/>
  <c r="D321" i="2"/>
  <c r="AM321" i="2" s="1"/>
  <c r="C322" i="2"/>
  <c r="D322" i="2"/>
  <c r="AM322" i="2" s="1"/>
  <c r="C323" i="2"/>
  <c r="D323" i="2"/>
  <c r="AM323" i="2" s="1"/>
  <c r="C324" i="2"/>
  <c r="D324" i="2"/>
  <c r="AM324" i="2" s="1"/>
  <c r="C325" i="2"/>
  <c r="D325" i="2"/>
  <c r="AM325" i="2" s="1"/>
  <c r="C326" i="2"/>
  <c r="D326" i="2"/>
  <c r="AM326" i="2" s="1"/>
  <c r="C327" i="2"/>
  <c r="D327" i="2"/>
  <c r="AM327" i="2" s="1"/>
  <c r="C328" i="2"/>
  <c r="D328" i="2"/>
  <c r="AM328" i="2" s="1"/>
  <c r="C329" i="2"/>
  <c r="D329" i="2"/>
  <c r="AM329" i="2" s="1"/>
  <c r="C330" i="2"/>
  <c r="D330" i="2"/>
  <c r="AM330" i="2" s="1"/>
  <c r="C331" i="2"/>
  <c r="D331" i="2"/>
  <c r="AM331" i="2" s="1"/>
  <c r="C332" i="2"/>
  <c r="D332" i="2"/>
  <c r="AM332" i="2" s="1"/>
  <c r="C333" i="2"/>
  <c r="D333" i="2"/>
  <c r="AM333" i="2" s="1"/>
  <c r="C334" i="2"/>
  <c r="D334" i="2"/>
  <c r="AM334" i="2" s="1"/>
  <c r="C335" i="2"/>
  <c r="D335" i="2"/>
  <c r="AM335" i="2" s="1"/>
  <c r="C336" i="2"/>
  <c r="D336" i="2"/>
  <c r="AM336" i="2" s="1"/>
  <c r="C337" i="2"/>
  <c r="D337" i="2"/>
  <c r="AM337" i="2" s="1"/>
  <c r="C338" i="2"/>
  <c r="D338" i="2"/>
  <c r="AM338" i="2" s="1"/>
  <c r="C339" i="2"/>
  <c r="D339" i="2"/>
  <c r="AM339" i="2" s="1"/>
  <c r="C340" i="2"/>
  <c r="D340" i="2"/>
  <c r="AM340" i="2" s="1"/>
  <c r="C341" i="2"/>
  <c r="D341" i="2"/>
  <c r="AM341" i="2" s="1"/>
  <c r="C342" i="2"/>
  <c r="D342" i="2"/>
  <c r="AM342" i="2" s="1"/>
  <c r="C343" i="2"/>
  <c r="D343" i="2"/>
  <c r="AM343" i="2" s="1"/>
  <c r="C344" i="2"/>
  <c r="D344" i="2"/>
  <c r="AM344" i="2" s="1"/>
  <c r="C345" i="2"/>
  <c r="D345" i="2"/>
  <c r="AM345" i="2" s="1"/>
  <c r="C346" i="2"/>
  <c r="D346" i="2"/>
  <c r="AM346" i="2" s="1"/>
  <c r="C347" i="2"/>
  <c r="D347" i="2"/>
  <c r="AM347" i="2" s="1"/>
  <c r="C348" i="2"/>
  <c r="D348" i="2"/>
  <c r="AM348" i="2" s="1"/>
  <c r="C349" i="2"/>
  <c r="D349" i="2"/>
  <c r="AM349" i="2" s="1"/>
  <c r="C350" i="2"/>
  <c r="D350" i="2"/>
  <c r="AM350" i="2" s="1"/>
  <c r="C351" i="2"/>
  <c r="D351" i="2"/>
  <c r="AM351" i="2" s="1"/>
  <c r="C352" i="2"/>
  <c r="D352" i="2"/>
  <c r="AM352" i="2" s="1"/>
  <c r="C353" i="2"/>
  <c r="D353" i="2"/>
  <c r="AM353" i="2" s="1"/>
  <c r="C354" i="2"/>
  <c r="D354" i="2"/>
  <c r="AM354" i="2" s="1"/>
  <c r="C355" i="2"/>
  <c r="D355" i="2"/>
  <c r="AM355" i="2" s="1"/>
  <c r="C356" i="2"/>
  <c r="D356" i="2"/>
  <c r="AM356" i="2" s="1"/>
  <c r="C357" i="2"/>
  <c r="D357" i="2"/>
  <c r="AM357" i="2" s="1"/>
  <c r="C358" i="2"/>
  <c r="D358" i="2"/>
  <c r="AM358" i="2" s="1"/>
  <c r="C359" i="2"/>
  <c r="D359" i="2"/>
  <c r="AM359" i="2" s="1"/>
  <c r="C360" i="2"/>
  <c r="D360" i="2"/>
  <c r="AM360" i="2" s="1"/>
  <c r="C361" i="2"/>
  <c r="D361" i="2"/>
  <c r="AM361" i="2" s="1"/>
  <c r="C362" i="2"/>
  <c r="D362" i="2"/>
  <c r="AM362" i="2" s="1"/>
  <c r="C363" i="2"/>
  <c r="D363" i="2"/>
  <c r="AM363" i="2" s="1"/>
  <c r="C364" i="2"/>
  <c r="D364" i="2"/>
  <c r="AM364" i="2" s="1"/>
  <c r="C365" i="2"/>
  <c r="D365" i="2"/>
  <c r="AM365" i="2" s="1"/>
  <c r="C366" i="2"/>
  <c r="D366" i="2"/>
  <c r="AM366" i="2" s="1"/>
  <c r="C367" i="2"/>
  <c r="D367" i="2"/>
  <c r="AM367" i="2" s="1"/>
  <c r="C368" i="2"/>
  <c r="D368" i="2"/>
  <c r="AM368" i="2" s="1"/>
  <c r="C369" i="2"/>
  <c r="D369" i="2"/>
  <c r="AM369" i="2" s="1"/>
  <c r="C370" i="2"/>
  <c r="D370" i="2"/>
  <c r="AM370" i="2" s="1"/>
  <c r="C371" i="2"/>
  <c r="D371" i="2"/>
  <c r="AM371" i="2" s="1"/>
  <c r="C372" i="2"/>
  <c r="D372" i="2"/>
  <c r="AM372" i="2" s="1"/>
  <c r="C373" i="2"/>
  <c r="D373" i="2"/>
  <c r="AM373" i="2" s="1"/>
  <c r="C374" i="2"/>
  <c r="D374" i="2"/>
  <c r="AM374" i="2" s="1"/>
  <c r="C375" i="2"/>
  <c r="D375" i="2"/>
  <c r="AM375" i="2" s="1"/>
  <c r="C376" i="2"/>
  <c r="D376" i="2"/>
  <c r="AM376" i="2" s="1"/>
  <c r="C377" i="2"/>
  <c r="D377" i="2"/>
  <c r="AM377" i="2" s="1"/>
  <c r="C378" i="2"/>
  <c r="D378" i="2"/>
  <c r="AM378" i="2" s="1"/>
  <c r="C379" i="2"/>
  <c r="D379" i="2"/>
  <c r="AM379" i="2" s="1"/>
  <c r="C380" i="2"/>
  <c r="D380" i="2"/>
  <c r="AM380" i="2" s="1"/>
  <c r="C381" i="2"/>
  <c r="D381" i="2"/>
  <c r="AM381" i="2" s="1"/>
  <c r="C382" i="2"/>
  <c r="D382" i="2"/>
  <c r="AM382" i="2" s="1"/>
  <c r="C383" i="2"/>
  <c r="D383" i="2"/>
  <c r="AM383" i="2" s="1"/>
  <c r="C384" i="2"/>
  <c r="D384" i="2"/>
  <c r="AM384" i="2" s="1"/>
  <c r="C385" i="2"/>
  <c r="D385" i="2"/>
  <c r="AM385" i="2" s="1"/>
  <c r="C386" i="2"/>
  <c r="D386" i="2"/>
  <c r="AM386" i="2" s="1"/>
  <c r="C387" i="2"/>
  <c r="D387" i="2"/>
  <c r="AM387" i="2" s="1"/>
  <c r="C388" i="2"/>
  <c r="D388" i="2"/>
  <c r="AM388" i="2" s="1"/>
  <c r="C389" i="2"/>
  <c r="D389" i="2"/>
  <c r="AM389" i="2" s="1"/>
  <c r="C390" i="2"/>
  <c r="D390" i="2"/>
  <c r="AM390" i="2" s="1"/>
  <c r="C391" i="2"/>
  <c r="D391" i="2"/>
  <c r="AM391" i="2" s="1"/>
  <c r="C392" i="2"/>
  <c r="D392" i="2"/>
  <c r="AM392" i="2" s="1"/>
  <c r="C393" i="2"/>
  <c r="D393" i="2"/>
  <c r="AM393" i="2" s="1"/>
  <c r="C394" i="2"/>
  <c r="D394" i="2"/>
  <c r="AM394" i="2" s="1"/>
  <c r="C395" i="2"/>
  <c r="D395" i="2"/>
  <c r="AM395" i="2" s="1"/>
  <c r="C396" i="2"/>
  <c r="D396" i="2"/>
  <c r="AM396" i="2" s="1"/>
  <c r="C397" i="2"/>
  <c r="D397" i="2"/>
  <c r="AM397" i="2" s="1"/>
  <c r="C398" i="2"/>
  <c r="D398" i="2"/>
  <c r="AM398" i="2" s="1"/>
  <c r="C399" i="2"/>
  <c r="D399" i="2"/>
  <c r="AM399" i="2" s="1"/>
  <c r="C400" i="2"/>
  <c r="D400" i="2"/>
  <c r="AM400" i="2" s="1"/>
  <c r="C401" i="2"/>
  <c r="D401" i="2"/>
  <c r="AM401" i="2" s="1"/>
  <c r="C402" i="2"/>
  <c r="D402" i="2"/>
  <c r="AM402" i="2" s="1"/>
  <c r="C403" i="2"/>
  <c r="D403" i="2"/>
  <c r="AM403" i="2" s="1"/>
  <c r="C404" i="2"/>
  <c r="D404" i="2"/>
  <c r="AM404" i="2" s="1"/>
  <c r="C405" i="2"/>
  <c r="D405" i="2"/>
  <c r="AM405" i="2" s="1"/>
  <c r="C406" i="2"/>
  <c r="D406" i="2"/>
  <c r="AM406" i="2" s="1"/>
  <c r="C407" i="2"/>
  <c r="D407" i="2"/>
  <c r="AM407" i="2" s="1"/>
  <c r="C408" i="2"/>
  <c r="D408" i="2"/>
  <c r="AM408" i="2" s="1"/>
  <c r="C409" i="2"/>
  <c r="D409" i="2"/>
  <c r="AM409" i="2" s="1"/>
  <c r="C410" i="2"/>
  <c r="D410" i="2"/>
  <c r="AM410" i="2" s="1"/>
  <c r="C411" i="2"/>
  <c r="D411" i="2"/>
  <c r="AM411" i="2" s="1"/>
  <c r="C412" i="2"/>
  <c r="D412" i="2"/>
  <c r="AM412" i="2" s="1"/>
  <c r="C413" i="2"/>
  <c r="D413" i="2"/>
  <c r="AM413" i="2" s="1"/>
  <c r="C414" i="2"/>
  <c r="D414" i="2"/>
  <c r="AM414" i="2" s="1"/>
  <c r="C415" i="2"/>
  <c r="D415" i="2"/>
  <c r="AM415" i="2" s="1"/>
  <c r="C416" i="2"/>
  <c r="D416" i="2"/>
  <c r="AM416" i="2" s="1"/>
  <c r="C417" i="2"/>
  <c r="D417" i="2"/>
  <c r="AM417" i="2" s="1"/>
  <c r="C418" i="2"/>
  <c r="D418" i="2"/>
  <c r="AM418" i="2" s="1"/>
  <c r="C419" i="2"/>
  <c r="D419" i="2"/>
  <c r="AM419" i="2" s="1"/>
  <c r="C420" i="2"/>
  <c r="D420" i="2"/>
  <c r="AM420" i="2" s="1"/>
  <c r="C421" i="2"/>
  <c r="D421" i="2"/>
  <c r="AM421" i="2" s="1"/>
  <c r="C422" i="2"/>
  <c r="D422" i="2"/>
  <c r="AM422" i="2" s="1"/>
  <c r="C423" i="2"/>
  <c r="D423" i="2"/>
  <c r="AM423" i="2" s="1"/>
  <c r="C424" i="2"/>
  <c r="D424" i="2"/>
  <c r="AM424" i="2" s="1"/>
  <c r="C425" i="2"/>
  <c r="D425" i="2"/>
  <c r="AM425" i="2" s="1"/>
  <c r="C426" i="2"/>
  <c r="D426" i="2"/>
  <c r="AM426" i="2" s="1"/>
  <c r="C427" i="2"/>
  <c r="D427" i="2"/>
  <c r="AM427" i="2" s="1"/>
  <c r="C428" i="2"/>
  <c r="D428" i="2"/>
  <c r="AM428" i="2" s="1"/>
  <c r="C429" i="2"/>
  <c r="D429" i="2"/>
  <c r="AM429" i="2" s="1"/>
  <c r="C430" i="2"/>
  <c r="D430" i="2"/>
  <c r="AM430" i="2" s="1"/>
  <c r="C431" i="2"/>
  <c r="D431" i="2"/>
  <c r="AM431" i="2" s="1"/>
  <c r="C432" i="2"/>
  <c r="D432" i="2"/>
  <c r="AM432" i="2" s="1"/>
  <c r="C433" i="2"/>
  <c r="D433" i="2"/>
  <c r="AM433" i="2" s="1"/>
  <c r="C434" i="2"/>
  <c r="D434" i="2"/>
  <c r="AM434" i="2" s="1"/>
  <c r="C435" i="2"/>
  <c r="D435" i="2"/>
  <c r="AM435" i="2" s="1"/>
  <c r="C436" i="2"/>
  <c r="D436" i="2"/>
  <c r="AM436" i="2" s="1"/>
  <c r="C437" i="2"/>
  <c r="D437" i="2"/>
  <c r="AM437" i="2" s="1"/>
  <c r="C438" i="2"/>
  <c r="D438" i="2"/>
  <c r="AM438" i="2" s="1"/>
  <c r="C439" i="2"/>
  <c r="D439" i="2"/>
  <c r="AM439" i="2" s="1"/>
  <c r="C440" i="2"/>
  <c r="D440" i="2"/>
  <c r="AM440" i="2" s="1"/>
  <c r="C441" i="2"/>
  <c r="D441" i="2"/>
  <c r="AM441" i="2" s="1"/>
  <c r="C442" i="2"/>
  <c r="D442" i="2"/>
  <c r="AM442" i="2" s="1"/>
  <c r="C443" i="2"/>
  <c r="D443" i="2"/>
  <c r="AM443" i="2" s="1"/>
  <c r="C444" i="2"/>
  <c r="D444" i="2"/>
  <c r="AM444" i="2" s="1"/>
  <c r="C445" i="2"/>
  <c r="D445" i="2"/>
  <c r="AM445" i="2" s="1"/>
  <c r="C446" i="2"/>
  <c r="D446" i="2"/>
  <c r="AM446" i="2" s="1"/>
  <c r="C447" i="2"/>
  <c r="D447" i="2"/>
  <c r="AM447" i="2" s="1"/>
  <c r="C448" i="2"/>
  <c r="D448" i="2"/>
  <c r="AM448" i="2" s="1"/>
  <c r="C449" i="2"/>
  <c r="D449" i="2"/>
  <c r="AM449" i="2" s="1"/>
  <c r="C450" i="2"/>
  <c r="D450" i="2"/>
  <c r="AM450" i="2" s="1"/>
  <c r="C451" i="2"/>
  <c r="D451" i="2"/>
  <c r="AM451" i="2" s="1"/>
  <c r="C452" i="2"/>
  <c r="D452" i="2"/>
  <c r="AM452" i="2" s="1"/>
  <c r="C453" i="2"/>
  <c r="D453" i="2"/>
  <c r="AM453" i="2" s="1"/>
  <c r="C454" i="2"/>
  <c r="D454" i="2"/>
  <c r="AM454" i="2" s="1"/>
  <c r="C455" i="2"/>
  <c r="D455" i="2"/>
  <c r="AM455" i="2" s="1"/>
  <c r="C456" i="2"/>
  <c r="D456" i="2"/>
  <c r="AM456" i="2" s="1"/>
  <c r="C457" i="2"/>
  <c r="D457" i="2"/>
  <c r="AM457" i="2" s="1"/>
  <c r="C458" i="2"/>
  <c r="D458" i="2"/>
  <c r="AM458" i="2" s="1"/>
  <c r="E458" i="2"/>
  <c r="C459" i="2"/>
  <c r="AL459" i="2" s="1"/>
  <c r="D459" i="2"/>
  <c r="AM459" i="2" s="1"/>
  <c r="E459" i="2"/>
  <c r="C460" i="2"/>
  <c r="D460" i="2"/>
  <c r="AM460" i="2" s="1"/>
  <c r="E460" i="2"/>
  <c r="C461" i="2"/>
  <c r="D461" i="2"/>
  <c r="AM461" i="2" s="1"/>
  <c r="E461" i="2"/>
  <c r="C462" i="2"/>
  <c r="D462" i="2"/>
  <c r="AM462" i="2" s="1"/>
  <c r="E462" i="2"/>
  <c r="C463" i="2"/>
  <c r="AL463" i="2" s="1"/>
  <c r="D463" i="2"/>
  <c r="AM463" i="2" s="1"/>
  <c r="E463" i="2"/>
  <c r="C464" i="2"/>
  <c r="D464" i="2"/>
  <c r="AM464" i="2" s="1"/>
  <c r="E464" i="2"/>
  <c r="C465" i="2"/>
  <c r="D465" i="2"/>
  <c r="AM465" i="2" s="1"/>
  <c r="E465" i="2"/>
  <c r="C466" i="2"/>
  <c r="D466" i="2"/>
  <c r="AM466" i="2" s="1"/>
  <c r="E466" i="2"/>
  <c r="C467" i="2"/>
  <c r="AL467" i="2" s="1"/>
  <c r="D467" i="2"/>
  <c r="AM467" i="2" s="1"/>
  <c r="E467" i="2"/>
  <c r="C468" i="2"/>
  <c r="D468" i="2"/>
  <c r="AM468" i="2" s="1"/>
  <c r="E468" i="2"/>
  <c r="C469" i="2"/>
  <c r="D469" i="2"/>
  <c r="AM469" i="2" s="1"/>
  <c r="E469" i="2"/>
  <c r="C470" i="2"/>
  <c r="D470" i="2"/>
  <c r="AM470" i="2" s="1"/>
  <c r="E470" i="2"/>
  <c r="C471" i="2"/>
  <c r="AL471" i="2" s="1"/>
  <c r="D471" i="2"/>
  <c r="AM471" i="2" s="1"/>
  <c r="E471" i="2"/>
  <c r="C472" i="2"/>
  <c r="D472" i="2"/>
  <c r="AM472" i="2" s="1"/>
  <c r="E472" i="2"/>
  <c r="C473" i="2"/>
  <c r="D473" i="2"/>
  <c r="AM473" i="2" s="1"/>
  <c r="E473" i="2"/>
  <c r="C474" i="2"/>
  <c r="D474" i="2"/>
  <c r="AM474" i="2" s="1"/>
  <c r="E474" i="2"/>
  <c r="C475" i="2"/>
  <c r="AL475" i="2" s="1"/>
  <c r="D475" i="2"/>
  <c r="AM475" i="2" s="1"/>
  <c r="E475" i="2"/>
  <c r="C476" i="2"/>
  <c r="D476" i="2"/>
  <c r="AM476" i="2" s="1"/>
  <c r="E476" i="2"/>
  <c r="C477" i="2"/>
  <c r="D477" i="2"/>
  <c r="AM477" i="2" s="1"/>
  <c r="E477" i="2"/>
  <c r="C478" i="2"/>
  <c r="D478" i="2"/>
  <c r="AM478" i="2" s="1"/>
  <c r="E478" i="2"/>
  <c r="C479" i="2"/>
  <c r="AL479" i="2" s="1"/>
  <c r="D479" i="2"/>
  <c r="AM479" i="2" s="1"/>
  <c r="E479" i="2"/>
  <c r="C480" i="2"/>
  <c r="D480" i="2"/>
  <c r="AM480" i="2" s="1"/>
  <c r="E480" i="2"/>
  <c r="C481" i="2"/>
  <c r="D481" i="2"/>
  <c r="AM481" i="2" s="1"/>
  <c r="E481" i="2"/>
  <c r="C482" i="2"/>
  <c r="D482" i="2"/>
  <c r="AM482" i="2" s="1"/>
  <c r="E482" i="2"/>
  <c r="C483" i="2"/>
  <c r="AL483" i="2" s="1"/>
  <c r="D483" i="2"/>
  <c r="AM483" i="2" s="1"/>
  <c r="E483" i="2"/>
  <c r="C484" i="2"/>
  <c r="D484" i="2"/>
  <c r="AM484" i="2" s="1"/>
  <c r="E484" i="2"/>
  <c r="C485" i="2"/>
  <c r="D485" i="2"/>
  <c r="AM485" i="2" s="1"/>
  <c r="E485" i="2"/>
  <c r="C486" i="2"/>
  <c r="D486" i="2"/>
  <c r="AM486" i="2" s="1"/>
  <c r="E486" i="2"/>
  <c r="C487" i="2"/>
  <c r="AL487" i="2" s="1"/>
  <c r="D487" i="2"/>
  <c r="AM487" i="2" s="1"/>
  <c r="E487" i="2"/>
  <c r="C488" i="2"/>
  <c r="D488" i="2"/>
  <c r="AM488" i="2" s="1"/>
  <c r="E488" i="2"/>
  <c r="C489" i="2"/>
  <c r="D489" i="2"/>
  <c r="AM489" i="2" s="1"/>
  <c r="E489" i="2"/>
  <c r="C490" i="2"/>
  <c r="D490" i="2"/>
  <c r="AM490" i="2" s="1"/>
  <c r="E490" i="2"/>
  <c r="C491" i="2"/>
  <c r="AL491" i="2" s="1"/>
  <c r="D491" i="2"/>
  <c r="AM491" i="2" s="1"/>
  <c r="E491" i="2"/>
  <c r="C492" i="2"/>
  <c r="D492" i="2"/>
  <c r="AM492" i="2" s="1"/>
  <c r="E492" i="2"/>
  <c r="C493" i="2"/>
  <c r="D493" i="2"/>
  <c r="AM493" i="2" s="1"/>
  <c r="E493" i="2"/>
  <c r="C494" i="2"/>
  <c r="D494" i="2"/>
  <c r="AM494" i="2" s="1"/>
  <c r="E494" i="2"/>
  <c r="C495" i="2"/>
  <c r="AL495" i="2" s="1"/>
  <c r="D495" i="2"/>
  <c r="AM495" i="2" s="1"/>
  <c r="E495" i="2"/>
  <c r="C496" i="2"/>
  <c r="D496" i="2"/>
  <c r="AM496" i="2" s="1"/>
  <c r="E496" i="2"/>
  <c r="C497" i="2"/>
  <c r="D497" i="2"/>
  <c r="AM497" i="2" s="1"/>
  <c r="E497" i="2"/>
  <c r="C498" i="2"/>
  <c r="D498" i="2"/>
  <c r="AM498" i="2" s="1"/>
  <c r="E498" i="2"/>
  <c r="C499" i="2"/>
  <c r="AL499" i="2" s="1"/>
  <c r="D499" i="2"/>
  <c r="AM499" i="2" s="1"/>
  <c r="E499" i="2"/>
  <c r="C500" i="2"/>
  <c r="D500" i="2"/>
  <c r="AM500" i="2" s="1"/>
  <c r="E500" i="2"/>
  <c r="C501" i="2"/>
  <c r="D501" i="2"/>
  <c r="AM501" i="2" s="1"/>
  <c r="E501" i="2"/>
  <c r="C502" i="2"/>
  <c r="D502" i="2"/>
  <c r="AM502" i="2" s="1"/>
  <c r="E502" i="2"/>
  <c r="C503" i="2"/>
  <c r="AL503" i="2" s="1"/>
  <c r="D503" i="2"/>
  <c r="AM503" i="2" s="1"/>
  <c r="E503" i="2"/>
  <c r="C504" i="2"/>
  <c r="D504" i="2"/>
  <c r="AM504" i="2" s="1"/>
  <c r="E504" i="2"/>
  <c r="C505" i="2"/>
  <c r="D505" i="2"/>
  <c r="AM505" i="2" s="1"/>
  <c r="E505" i="2"/>
  <c r="C506" i="2"/>
  <c r="D506" i="2"/>
  <c r="AM506" i="2" s="1"/>
  <c r="E506" i="2"/>
  <c r="C507" i="2"/>
  <c r="AL507" i="2" s="1"/>
  <c r="D507" i="2"/>
  <c r="AM507" i="2" s="1"/>
  <c r="E507" i="2"/>
  <c r="C508" i="2"/>
  <c r="D508" i="2"/>
  <c r="AM508" i="2" s="1"/>
  <c r="E508" i="2"/>
  <c r="C509" i="2"/>
  <c r="D509" i="2"/>
  <c r="AM509" i="2" s="1"/>
  <c r="E509" i="2"/>
  <c r="C510" i="2"/>
  <c r="D510" i="2"/>
  <c r="AM510" i="2" s="1"/>
  <c r="E510" i="2"/>
  <c r="C511" i="2"/>
  <c r="AL511" i="2" s="1"/>
  <c r="D511" i="2"/>
  <c r="AM511" i="2" s="1"/>
  <c r="E511" i="2"/>
  <c r="C512" i="2"/>
  <c r="D512" i="2"/>
  <c r="AM512" i="2" s="1"/>
  <c r="E512" i="2"/>
  <c r="C513" i="2"/>
  <c r="D513" i="2"/>
  <c r="AM513" i="2" s="1"/>
  <c r="E513" i="2"/>
  <c r="C514" i="2"/>
  <c r="D514" i="2"/>
  <c r="AM514" i="2" s="1"/>
  <c r="E514" i="2"/>
  <c r="C515" i="2"/>
  <c r="AL515" i="2" s="1"/>
  <c r="D515" i="2"/>
  <c r="AM515" i="2" s="1"/>
  <c r="E515" i="2"/>
  <c r="C516" i="2"/>
  <c r="D516" i="2"/>
  <c r="AM516" i="2" s="1"/>
  <c r="E516" i="2"/>
  <c r="C517" i="2"/>
  <c r="D517" i="2"/>
  <c r="AM517" i="2" s="1"/>
  <c r="E517" i="2"/>
  <c r="C518" i="2"/>
  <c r="D518" i="2"/>
  <c r="AM518" i="2" s="1"/>
  <c r="E518" i="2"/>
  <c r="C519" i="2"/>
  <c r="AL519" i="2" s="1"/>
  <c r="D519" i="2"/>
  <c r="AM519" i="2" s="1"/>
  <c r="E519" i="2"/>
  <c r="C520" i="2"/>
  <c r="D520" i="2"/>
  <c r="AM520" i="2" s="1"/>
  <c r="E520" i="2"/>
  <c r="C521" i="2"/>
  <c r="D521" i="2"/>
  <c r="AM521" i="2" s="1"/>
  <c r="E521" i="2"/>
  <c r="C522" i="2"/>
  <c r="D522" i="2"/>
  <c r="AM522" i="2" s="1"/>
  <c r="E522" i="2"/>
  <c r="C523" i="2"/>
  <c r="AL523" i="2" s="1"/>
  <c r="D523" i="2"/>
  <c r="AM523" i="2" s="1"/>
  <c r="E523" i="2"/>
  <c r="C524" i="2"/>
  <c r="D524" i="2"/>
  <c r="AM524" i="2" s="1"/>
  <c r="E524" i="2"/>
  <c r="C525" i="2"/>
  <c r="D525" i="2"/>
  <c r="AM525" i="2" s="1"/>
  <c r="E525" i="2"/>
  <c r="C526" i="2"/>
  <c r="D526" i="2"/>
  <c r="AM526" i="2" s="1"/>
  <c r="E526" i="2"/>
  <c r="C527" i="2"/>
  <c r="AL527" i="2" s="1"/>
  <c r="D527" i="2"/>
  <c r="AM527" i="2" s="1"/>
  <c r="E527" i="2"/>
  <c r="C528" i="2"/>
  <c r="D528" i="2"/>
  <c r="AM528" i="2" s="1"/>
  <c r="E528" i="2"/>
  <c r="C529" i="2"/>
  <c r="D529" i="2"/>
  <c r="AM529" i="2" s="1"/>
  <c r="E529" i="2"/>
  <c r="C530" i="2"/>
  <c r="D530" i="2"/>
  <c r="AM530" i="2" s="1"/>
  <c r="E530" i="2"/>
  <c r="C531" i="2"/>
  <c r="AL531" i="2" s="1"/>
  <c r="D531" i="2"/>
  <c r="AM531" i="2" s="1"/>
  <c r="E531" i="2"/>
  <c r="C532" i="2"/>
  <c r="D532" i="2"/>
  <c r="AM532" i="2" s="1"/>
  <c r="E532" i="2"/>
  <c r="C533" i="2"/>
  <c r="D533" i="2"/>
  <c r="AM533" i="2" s="1"/>
  <c r="E533" i="2"/>
  <c r="C534" i="2"/>
  <c r="D534" i="2"/>
  <c r="AM534" i="2" s="1"/>
  <c r="E534" i="2"/>
  <c r="C535" i="2"/>
  <c r="AL535" i="2" s="1"/>
  <c r="D535" i="2"/>
  <c r="AM535" i="2" s="1"/>
  <c r="E535" i="2"/>
  <c r="C536" i="2"/>
  <c r="D536" i="2"/>
  <c r="AM536" i="2" s="1"/>
  <c r="E536" i="2"/>
  <c r="C537" i="2"/>
  <c r="D537" i="2"/>
  <c r="AM537" i="2" s="1"/>
  <c r="E537" i="2"/>
  <c r="C538" i="2"/>
  <c r="D538" i="2"/>
  <c r="AM538" i="2" s="1"/>
  <c r="E538" i="2"/>
  <c r="C539" i="2"/>
  <c r="AL539" i="2" s="1"/>
  <c r="D539" i="2"/>
  <c r="AM539" i="2" s="1"/>
  <c r="E539" i="2"/>
  <c r="C540" i="2"/>
  <c r="D540" i="2"/>
  <c r="AM540" i="2" s="1"/>
  <c r="E540" i="2"/>
  <c r="C541" i="2"/>
  <c r="D541" i="2"/>
  <c r="AM541" i="2" s="1"/>
  <c r="E541" i="2"/>
  <c r="C542" i="2"/>
  <c r="D542" i="2"/>
  <c r="AM542" i="2" s="1"/>
  <c r="E542" i="2"/>
  <c r="C543" i="2"/>
  <c r="AL543" i="2" s="1"/>
  <c r="D543" i="2"/>
  <c r="AM543" i="2" s="1"/>
  <c r="E543" i="2"/>
  <c r="C544" i="2"/>
  <c r="D544" i="2"/>
  <c r="AM544" i="2" s="1"/>
  <c r="E544" i="2"/>
  <c r="C545" i="2"/>
  <c r="D545" i="2"/>
  <c r="AM545" i="2" s="1"/>
  <c r="E545" i="2"/>
  <c r="C546" i="2"/>
  <c r="D546" i="2"/>
  <c r="AM546" i="2" s="1"/>
  <c r="E546" i="2"/>
  <c r="C547" i="2"/>
  <c r="AL547" i="2" s="1"/>
  <c r="D547" i="2"/>
  <c r="AM547" i="2" s="1"/>
  <c r="E547" i="2"/>
  <c r="C548" i="2"/>
  <c r="D548" i="2"/>
  <c r="AM548" i="2" s="1"/>
  <c r="E548" i="2"/>
  <c r="C549" i="2"/>
  <c r="D549" i="2"/>
  <c r="AM549" i="2" s="1"/>
  <c r="E549" i="2"/>
  <c r="C550" i="2"/>
  <c r="D550" i="2"/>
  <c r="AM550" i="2" s="1"/>
  <c r="E550" i="2"/>
  <c r="C551" i="2"/>
  <c r="AL551" i="2" s="1"/>
  <c r="D551" i="2"/>
  <c r="AM551" i="2" s="1"/>
  <c r="E551" i="2"/>
  <c r="C552" i="2"/>
  <c r="D552" i="2"/>
  <c r="AM552" i="2" s="1"/>
  <c r="E552" i="2"/>
  <c r="C553" i="2"/>
  <c r="D553" i="2"/>
  <c r="AM553" i="2" s="1"/>
  <c r="E553" i="2"/>
  <c r="C554" i="2"/>
  <c r="D554" i="2"/>
  <c r="AM554" i="2" s="1"/>
  <c r="E554" i="2"/>
  <c r="C555" i="2"/>
  <c r="AL555" i="2" s="1"/>
  <c r="D555" i="2"/>
  <c r="AM555" i="2" s="1"/>
  <c r="E555" i="2"/>
  <c r="C556" i="2"/>
  <c r="D556" i="2"/>
  <c r="AM556" i="2" s="1"/>
  <c r="E556" i="2"/>
  <c r="C557" i="2"/>
  <c r="D557" i="2"/>
  <c r="AM557" i="2" s="1"/>
  <c r="E557" i="2"/>
  <c r="C558" i="2"/>
  <c r="D558" i="2"/>
  <c r="AM558" i="2" s="1"/>
  <c r="E558" i="2"/>
  <c r="C559" i="2"/>
  <c r="AL559" i="2" s="1"/>
  <c r="D559" i="2"/>
  <c r="AM559" i="2" s="1"/>
  <c r="E559" i="2"/>
  <c r="C560" i="2"/>
  <c r="D560" i="2"/>
  <c r="AM560" i="2" s="1"/>
  <c r="E560" i="2"/>
  <c r="C561" i="2"/>
  <c r="D561" i="2"/>
  <c r="AM561" i="2" s="1"/>
  <c r="E561" i="2"/>
  <c r="C562" i="2"/>
  <c r="D562" i="2"/>
  <c r="AM562" i="2" s="1"/>
  <c r="E562" i="2"/>
  <c r="C563" i="2"/>
  <c r="AL563" i="2" s="1"/>
  <c r="D563" i="2"/>
  <c r="AM563" i="2" s="1"/>
  <c r="E563" i="2"/>
  <c r="C564" i="2"/>
  <c r="D564" i="2"/>
  <c r="AM564" i="2" s="1"/>
  <c r="E564" i="2"/>
  <c r="C565" i="2"/>
  <c r="D565" i="2"/>
  <c r="AM565" i="2" s="1"/>
  <c r="E565" i="2"/>
  <c r="C566" i="2"/>
  <c r="D566" i="2"/>
  <c r="AM566" i="2" s="1"/>
  <c r="E566" i="2"/>
  <c r="C567" i="2"/>
  <c r="AL567" i="2" s="1"/>
  <c r="D567" i="2"/>
  <c r="AM567" i="2" s="1"/>
  <c r="E567" i="2"/>
  <c r="C568" i="2"/>
  <c r="D568" i="2"/>
  <c r="AM568" i="2" s="1"/>
  <c r="E568" i="2"/>
  <c r="C569" i="2"/>
  <c r="D569" i="2"/>
  <c r="AM569" i="2" s="1"/>
  <c r="E569" i="2"/>
  <c r="C570" i="2"/>
  <c r="D570" i="2"/>
  <c r="AM570" i="2" s="1"/>
  <c r="E570" i="2"/>
  <c r="C571" i="2"/>
  <c r="AL571" i="2" s="1"/>
  <c r="D571" i="2"/>
  <c r="AM571" i="2" s="1"/>
  <c r="E571" i="2"/>
  <c r="C572" i="2"/>
  <c r="D572" i="2"/>
  <c r="AM572" i="2" s="1"/>
  <c r="E572" i="2"/>
  <c r="C573" i="2"/>
  <c r="D573" i="2"/>
  <c r="AM573" i="2" s="1"/>
  <c r="E573" i="2"/>
  <c r="C574" i="2"/>
  <c r="D574" i="2"/>
  <c r="AM574" i="2" s="1"/>
  <c r="E574" i="2"/>
  <c r="C575" i="2"/>
  <c r="AL575" i="2" s="1"/>
  <c r="D575" i="2"/>
  <c r="AM575" i="2" s="1"/>
  <c r="E575" i="2"/>
  <c r="C576" i="2"/>
  <c r="D576" i="2"/>
  <c r="AM576" i="2" s="1"/>
  <c r="E576" i="2"/>
  <c r="C577" i="2"/>
  <c r="D577" i="2"/>
  <c r="AM577" i="2" s="1"/>
  <c r="E577" i="2"/>
  <c r="C578" i="2"/>
  <c r="D578" i="2"/>
  <c r="AM578" i="2" s="1"/>
  <c r="E578" i="2"/>
  <c r="C579" i="2"/>
  <c r="AL579" i="2" s="1"/>
  <c r="D579" i="2"/>
  <c r="AM579" i="2" s="1"/>
  <c r="E579" i="2"/>
  <c r="C580" i="2"/>
  <c r="D580" i="2"/>
  <c r="AM580" i="2" s="1"/>
  <c r="E580" i="2"/>
  <c r="C581" i="2"/>
  <c r="D581" i="2"/>
  <c r="AM581" i="2" s="1"/>
  <c r="E581" i="2"/>
  <c r="C582" i="2"/>
  <c r="D582" i="2"/>
  <c r="AM582" i="2" s="1"/>
  <c r="E582" i="2"/>
  <c r="C583" i="2"/>
  <c r="AL583" i="2" s="1"/>
  <c r="D583" i="2"/>
  <c r="AM583" i="2" s="1"/>
  <c r="E583" i="2"/>
  <c r="C584" i="2"/>
  <c r="D584" i="2"/>
  <c r="AM584" i="2" s="1"/>
  <c r="E584" i="2"/>
  <c r="C585" i="2"/>
  <c r="D585" i="2"/>
  <c r="AM585" i="2" s="1"/>
  <c r="E585" i="2"/>
  <c r="C586" i="2"/>
  <c r="D586" i="2"/>
  <c r="AM586" i="2" s="1"/>
  <c r="E586" i="2"/>
  <c r="C587" i="2"/>
  <c r="AL587" i="2" s="1"/>
  <c r="D587" i="2"/>
  <c r="AM587" i="2" s="1"/>
  <c r="E587" i="2"/>
  <c r="C588" i="2"/>
  <c r="D588" i="2"/>
  <c r="AM588" i="2" s="1"/>
  <c r="E588" i="2"/>
  <c r="C589" i="2"/>
  <c r="D589" i="2"/>
  <c r="AM589" i="2" s="1"/>
  <c r="E589" i="2"/>
  <c r="C590" i="2"/>
  <c r="D590" i="2"/>
  <c r="AM590" i="2" s="1"/>
  <c r="E590" i="2"/>
  <c r="C591" i="2"/>
  <c r="AL591" i="2" s="1"/>
  <c r="D591" i="2"/>
  <c r="AM591" i="2" s="1"/>
  <c r="E591" i="2"/>
  <c r="C592" i="2"/>
  <c r="D592" i="2"/>
  <c r="AM592" i="2" s="1"/>
  <c r="E592" i="2"/>
  <c r="C593" i="2"/>
  <c r="D593" i="2"/>
  <c r="AM593" i="2" s="1"/>
  <c r="E593" i="2"/>
  <c r="C594" i="2"/>
  <c r="D594" i="2"/>
  <c r="AM594" i="2" s="1"/>
  <c r="E594" i="2"/>
  <c r="C595" i="2"/>
  <c r="AL595" i="2" s="1"/>
  <c r="D595" i="2"/>
  <c r="AM595" i="2" s="1"/>
  <c r="E595" i="2"/>
  <c r="C596" i="2"/>
  <c r="D596" i="2"/>
  <c r="AM596" i="2" s="1"/>
  <c r="E596" i="2"/>
  <c r="C597" i="2"/>
  <c r="D597" i="2"/>
  <c r="AM597" i="2" s="1"/>
  <c r="E597" i="2"/>
  <c r="C598" i="2"/>
  <c r="D598" i="2"/>
  <c r="AM598" i="2" s="1"/>
  <c r="E598" i="2"/>
  <c r="C599" i="2"/>
  <c r="AL599" i="2" s="1"/>
  <c r="D599" i="2"/>
  <c r="AM599" i="2" s="1"/>
  <c r="E599" i="2"/>
  <c r="C600" i="2"/>
  <c r="D600" i="2"/>
  <c r="AM600" i="2" s="1"/>
  <c r="E600" i="2"/>
  <c r="C601" i="2"/>
  <c r="D601" i="2"/>
  <c r="AM601" i="2" s="1"/>
  <c r="E601" i="2"/>
  <c r="C602" i="2"/>
  <c r="D602" i="2"/>
  <c r="AM602" i="2" s="1"/>
  <c r="E602" i="2"/>
  <c r="C603" i="2"/>
  <c r="AL603" i="2" s="1"/>
  <c r="D603" i="2"/>
  <c r="AM603" i="2" s="1"/>
  <c r="E603" i="2"/>
  <c r="C604" i="2"/>
  <c r="D604" i="2"/>
  <c r="AM604" i="2" s="1"/>
  <c r="E604" i="2"/>
  <c r="C605" i="2"/>
  <c r="D605" i="2"/>
  <c r="AM605" i="2" s="1"/>
  <c r="E605" i="2"/>
  <c r="C606" i="2"/>
  <c r="D606" i="2"/>
  <c r="AM606" i="2" s="1"/>
  <c r="E606" i="2"/>
  <c r="C607" i="2"/>
  <c r="AL607" i="2" s="1"/>
  <c r="D607" i="2"/>
  <c r="AM607" i="2" s="1"/>
  <c r="E607" i="2"/>
  <c r="C608" i="2"/>
  <c r="D608" i="2"/>
  <c r="AM608" i="2" s="1"/>
  <c r="E608" i="2"/>
  <c r="C609" i="2"/>
  <c r="D609" i="2"/>
  <c r="AM609" i="2" s="1"/>
  <c r="E609" i="2"/>
  <c r="C610" i="2"/>
  <c r="D610" i="2"/>
  <c r="AM610" i="2" s="1"/>
  <c r="E610" i="2"/>
  <c r="C12" i="2"/>
  <c r="AL12" i="2" s="1"/>
  <c r="D12" i="2"/>
  <c r="AM12" i="2" s="1"/>
  <c r="E12" i="2"/>
  <c r="C13" i="2"/>
  <c r="D13" i="2"/>
  <c r="AM13" i="2" s="1"/>
  <c r="E13" i="2"/>
  <c r="C14" i="2"/>
  <c r="D14" i="2"/>
  <c r="AM14" i="2" s="1"/>
  <c r="E14" i="2"/>
  <c r="C15" i="2"/>
  <c r="D15" i="2"/>
  <c r="AM15" i="2" s="1"/>
  <c r="E15" i="2"/>
  <c r="C16" i="2"/>
  <c r="AL16" i="2" s="1"/>
  <c r="D16" i="2"/>
  <c r="AM16" i="2" s="1"/>
  <c r="E16" i="2"/>
  <c r="C17" i="2"/>
  <c r="D17" i="2"/>
  <c r="AM17" i="2" s="1"/>
  <c r="E17" i="2"/>
  <c r="C18" i="2"/>
  <c r="D18" i="2"/>
  <c r="AM18" i="2" s="1"/>
  <c r="E18" i="2"/>
  <c r="C19" i="2"/>
  <c r="D19" i="2"/>
  <c r="AM19" i="2" s="1"/>
  <c r="E19" i="2"/>
  <c r="C20" i="2"/>
  <c r="AL20" i="2" s="1"/>
  <c r="D20" i="2"/>
  <c r="AM20" i="2" s="1"/>
  <c r="E20" i="2"/>
  <c r="C21" i="2"/>
  <c r="D21" i="2"/>
  <c r="AM21" i="2" s="1"/>
  <c r="E21" i="2"/>
  <c r="C22" i="2"/>
  <c r="D22" i="2"/>
  <c r="AM22" i="2" s="1"/>
  <c r="E22" i="2"/>
  <c r="C23" i="2"/>
  <c r="D23" i="2"/>
  <c r="AM23" i="2" s="1"/>
  <c r="E23" i="2"/>
  <c r="C24" i="2"/>
  <c r="AL24" i="2" s="1"/>
  <c r="D24" i="2"/>
  <c r="AM24" i="2" s="1"/>
  <c r="E24" i="2"/>
  <c r="C25" i="2"/>
  <c r="D25" i="2"/>
  <c r="AM25" i="2" s="1"/>
  <c r="E25" i="2"/>
  <c r="C26" i="2"/>
  <c r="D26" i="2"/>
  <c r="AM26" i="2" s="1"/>
  <c r="E26" i="2"/>
  <c r="C27" i="2"/>
  <c r="D27" i="2"/>
  <c r="AM27" i="2" s="1"/>
  <c r="E27" i="2"/>
  <c r="C28" i="2"/>
  <c r="AL28" i="2" s="1"/>
  <c r="D28" i="2"/>
  <c r="AM28" i="2" s="1"/>
  <c r="E28" i="2"/>
  <c r="C29" i="2"/>
  <c r="D29" i="2"/>
  <c r="AM29" i="2" s="1"/>
  <c r="E29" i="2"/>
  <c r="C30" i="2"/>
  <c r="D30" i="2"/>
  <c r="AM30" i="2" s="1"/>
  <c r="E30" i="2"/>
  <c r="C31" i="2"/>
  <c r="D31" i="2"/>
  <c r="AM31" i="2" s="1"/>
  <c r="E31" i="2"/>
  <c r="C32" i="2"/>
  <c r="AL32" i="2" s="1"/>
  <c r="D32" i="2"/>
  <c r="AM32" i="2" s="1"/>
  <c r="E32" i="2"/>
  <c r="C33" i="2"/>
  <c r="D33" i="2"/>
  <c r="AM33" i="2" s="1"/>
  <c r="E33" i="2"/>
  <c r="C34" i="2"/>
  <c r="D34" i="2"/>
  <c r="AM34" i="2" s="1"/>
  <c r="E34" i="2"/>
  <c r="C35" i="2"/>
  <c r="D35" i="2"/>
  <c r="AM35" i="2" s="1"/>
  <c r="E35" i="2"/>
  <c r="C36" i="2"/>
  <c r="AL36" i="2" s="1"/>
  <c r="D36" i="2"/>
  <c r="AM36" i="2" s="1"/>
  <c r="E36" i="2"/>
  <c r="C37" i="2"/>
  <c r="D37" i="2"/>
  <c r="AM37" i="2" s="1"/>
  <c r="E37" i="2"/>
  <c r="C38" i="2"/>
  <c r="D38" i="2"/>
  <c r="AM38" i="2" s="1"/>
  <c r="E38" i="2"/>
  <c r="C39" i="2"/>
  <c r="D39" i="2"/>
  <c r="AM39" i="2" s="1"/>
  <c r="E39" i="2"/>
  <c r="C40" i="2"/>
  <c r="AL40" i="2" s="1"/>
  <c r="D40" i="2"/>
  <c r="AM40" i="2" s="1"/>
  <c r="E40" i="2"/>
  <c r="C41" i="2"/>
  <c r="D41" i="2"/>
  <c r="AM41" i="2" s="1"/>
  <c r="E41" i="2"/>
  <c r="C42" i="2"/>
  <c r="D42" i="2"/>
  <c r="AM42" i="2" s="1"/>
  <c r="E42" i="2"/>
  <c r="C43" i="2"/>
  <c r="D43" i="2"/>
  <c r="AM43" i="2" s="1"/>
  <c r="E43" i="2"/>
  <c r="C44" i="2"/>
  <c r="AL44" i="2" s="1"/>
  <c r="D44" i="2"/>
  <c r="AM44" i="2" s="1"/>
  <c r="E44" i="2"/>
  <c r="C45" i="2"/>
  <c r="D45" i="2"/>
  <c r="AM45" i="2" s="1"/>
  <c r="E45" i="2"/>
  <c r="C46" i="2"/>
  <c r="D46" i="2"/>
  <c r="AM46" i="2" s="1"/>
  <c r="E46" i="2"/>
  <c r="C47" i="2"/>
  <c r="D47" i="2"/>
  <c r="AM47" i="2" s="1"/>
  <c r="E47" i="2"/>
  <c r="C48" i="2"/>
  <c r="AL48" i="2" s="1"/>
  <c r="D48" i="2"/>
  <c r="AM48" i="2" s="1"/>
  <c r="E48" i="2"/>
  <c r="C49" i="2"/>
  <c r="D49" i="2"/>
  <c r="AM49" i="2" s="1"/>
  <c r="E49" i="2"/>
  <c r="C50" i="2"/>
  <c r="D50" i="2"/>
  <c r="AM50" i="2" s="1"/>
  <c r="E50" i="2"/>
  <c r="C51" i="2"/>
  <c r="D51" i="2"/>
  <c r="AM51" i="2" s="1"/>
  <c r="E51" i="2"/>
  <c r="C52" i="2"/>
  <c r="AL52" i="2" s="1"/>
  <c r="D52" i="2"/>
  <c r="AM52" i="2" s="1"/>
  <c r="E52" i="2"/>
  <c r="C53" i="2"/>
  <c r="D53" i="2"/>
  <c r="AM53" i="2" s="1"/>
  <c r="E53" i="2"/>
  <c r="C54" i="2"/>
  <c r="D54" i="2"/>
  <c r="AM54" i="2" s="1"/>
  <c r="E54" i="2"/>
  <c r="C55" i="2"/>
  <c r="D55" i="2"/>
  <c r="AM55" i="2" s="1"/>
  <c r="E55" i="2"/>
  <c r="C56" i="2"/>
  <c r="AL56" i="2" s="1"/>
  <c r="D56" i="2"/>
  <c r="AM56" i="2" s="1"/>
  <c r="E56" i="2"/>
  <c r="C57" i="2"/>
  <c r="D57" i="2"/>
  <c r="AM57" i="2" s="1"/>
  <c r="E57" i="2"/>
  <c r="C58" i="2"/>
  <c r="D58" i="2"/>
  <c r="AM58" i="2" s="1"/>
  <c r="E58" i="2"/>
  <c r="C59" i="2"/>
  <c r="D59" i="2"/>
  <c r="AM59" i="2" s="1"/>
  <c r="E59" i="2"/>
  <c r="C60" i="2"/>
  <c r="AL60" i="2" s="1"/>
  <c r="D60" i="2"/>
  <c r="AM60" i="2" s="1"/>
  <c r="E60" i="2"/>
  <c r="C61" i="2"/>
  <c r="D61" i="2"/>
  <c r="AM61" i="2" s="1"/>
  <c r="E61" i="2"/>
  <c r="C62" i="2"/>
  <c r="D62" i="2"/>
  <c r="AM62" i="2" s="1"/>
  <c r="E62" i="2"/>
  <c r="C63" i="2"/>
  <c r="D63" i="2"/>
  <c r="AM63" i="2" s="1"/>
  <c r="E63" i="2"/>
  <c r="C64" i="2"/>
  <c r="AL64" i="2" s="1"/>
  <c r="D64" i="2"/>
  <c r="AM64" i="2" s="1"/>
  <c r="E64" i="2"/>
  <c r="C65" i="2"/>
  <c r="D65" i="2"/>
  <c r="AM65" i="2" s="1"/>
  <c r="E65" i="2"/>
  <c r="C66" i="2"/>
  <c r="D66" i="2"/>
  <c r="AM66" i="2" s="1"/>
  <c r="E66" i="2"/>
  <c r="C67" i="2"/>
  <c r="D67" i="2"/>
  <c r="AM67" i="2" s="1"/>
  <c r="E67" i="2"/>
  <c r="C68" i="2"/>
  <c r="AL68" i="2" s="1"/>
  <c r="D68" i="2"/>
  <c r="AM68" i="2" s="1"/>
  <c r="E68" i="2"/>
  <c r="C69" i="2"/>
  <c r="D69" i="2"/>
  <c r="AM69" i="2" s="1"/>
  <c r="E69" i="2"/>
  <c r="C70" i="2"/>
  <c r="D70" i="2"/>
  <c r="AM70" i="2" s="1"/>
  <c r="E70" i="2"/>
  <c r="C71" i="2"/>
  <c r="D71" i="2"/>
  <c r="AM71" i="2" s="1"/>
  <c r="E71" i="2"/>
  <c r="C72" i="2"/>
  <c r="AL72" i="2" s="1"/>
  <c r="D72" i="2"/>
  <c r="AM72" i="2" s="1"/>
  <c r="E72" i="2"/>
  <c r="C73" i="2"/>
  <c r="D73" i="2"/>
  <c r="AM73" i="2" s="1"/>
  <c r="E73" i="2"/>
  <c r="C74" i="2"/>
  <c r="D74" i="2"/>
  <c r="AM74" i="2" s="1"/>
  <c r="E74" i="2"/>
  <c r="C75" i="2"/>
  <c r="D75" i="2"/>
  <c r="AM75" i="2" s="1"/>
  <c r="E75" i="2"/>
  <c r="C76" i="2"/>
  <c r="AL76" i="2" s="1"/>
  <c r="D76" i="2"/>
  <c r="AM76" i="2" s="1"/>
  <c r="E76" i="2"/>
  <c r="C77" i="2"/>
  <c r="D77" i="2"/>
  <c r="AM77" i="2" s="1"/>
  <c r="E77" i="2"/>
  <c r="C78" i="2"/>
  <c r="D78" i="2"/>
  <c r="AM78" i="2" s="1"/>
  <c r="E78" i="2"/>
  <c r="C79" i="2"/>
  <c r="D79" i="2"/>
  <c r="AM79" i="2" s="1"/>
  <c r="E79" i="2"/>
  <c r="C80" i="2"/>
  <c r="AL80" i="2" s="1"/>
  <c r="D80" i="2"/>
  <c r="AM80" i="2" s="1"/>
  <c r="E80" i="2"/>
  <c r="C81" i="2"/>
  <c r="D81" i="2"/>
  <c r="AM81" i="2" s="1"/>
  <c r="E81" i="2"/>
  <c r="C82" i="2"/>
  <c r="D82" i="2"/>
  <c r="AM82" i="2" s="1"/>
  <c r="E82" i="2"/>
  <c r="C83" i="2"/>
  <c r="D83" i="2"/>
  <c r="AM83" i="2" s="1"/>
  <c r="E83" i="2"/>
  <c r="C84" i="2"/>
  <c r="AL84" i="2" s="1"/>
  <c r="D84" i="2"/>
  <c r="AM84" i="2" s="1"/>
  <c r="E84" i="2"/>
  <c r="C85" i="2"/>
  <c r="D85" i="2"/>
  <c r="AM85" i="2" s="1"/>
  <c r="E85" i="2"/>
  <c r="C86" i="2"/>
  <c r="D86" i="2"/>
  <c r="AM86" i="2" s="1"/>
  <c r="E86" i="2"/>
  <c r="C87" i="2"/>
  <c r="D87" i="2"/>
  <c r="AM87" i="2" s="1"/>
  <c r="E87" i="2"/>
  <c r="C88" i="2"/>
  <c r="AL88" i="2" s="1"/>
  <c r="D88" i="2"/>
  <c r="AM88" i="2" s="1"/>
  <c r="E88" i="2"/>
  <c r="C89" i="2"/>
  <c r="D89" i="2"/>
  <c r="AM89" i="2" s="1"/>
  <c r="E89" i="2"/>
  <c r="C90" i="2"/>
  <c r="D90" i="2"/>
  <c r="AM90" i="2" s="1"/>
  <c r="E90" i="2"/>
  <c r="C91" i="2"/>
  <c r="D91" i="2"/>
  <c r="AM91" i="2" s="1"/>
  <c r="E91" i="2"/>
  <c r="C92" i="2"/>
  <c r="AL92" i="2" s="1"/>
  <c r="D92" i="2"/>
  <c r="AM92" i="2" s="1"/>
  <c r="E92" i="2"/>
  <c r="C93" i="2"/>
  <c r="D93" i="2"/>
  <c r="AM93" i="2" s="1"/>
  <c r="E93" i="2"/>
  <c r="C94" i="2"/>
  <c r="D94" i="2"/>
  <c r="AM94" i="2" s="1"/>
  <c r="E94" i="2"/>
  <c r="C95" i="2"/>
  <c r="D95" i="2"/>
  <c r="AM95" i="2" s="1"/>
  <c r="E95" i="2"/>
  <c r="C96" i="2"/>
  <c r="AL96" i="2" s="1"/>
  <c r="D96" i="2"/>
  <c r="AM96" i="2" s="1"/>
  <c r="E96" i="2"/>
  <c r="C97" i="2"/>
  <c r="D97" i="2"/>
  <c r="AM97" i="2" s="1"/>
  <c r="E97" i="2"/>
  <c r="C98" i="2"/>
  <c r="D98" i="2"/>
  <c r="AM98" i="2" s="1"/>
  <c r="E98" i="2"/>
  <c r="C99" i="2"/>
  <c r="D99" i="2"/>
  <c r="AM99" i="2" s="1"/>
  <c r="E99" i="2"/>
  <c r="C100" i="2"/>
  <c r="AL100" i="2" s="1"/>
  <c r="D100" i="2"/>
  <c r="AM100" i="2" s="1"/>
  <c r="E100" i="2"/>
  <c r="C101" i="2"/>
  <c r="D101" i="2"/>
  <c r="AM101" i="2" s="1"/>
  <c r="E101" i="2"/>
  <c r="C102" i="2"/>
  <c r="D102" i="2"/>
  <c r="AM102" i="2" s="1"/>
  <c r="E102" i="2"/>
  <c r="C103" i="2"/>
  <c r="D103" i="2"/>
  <c r="AM103" i="2" s="1"/>
  <c r="E103" i="2"/>
  <c r="C104" i="2"/>
  <c r="AL104" i="2" s="1"/>
  <c r="D104" i="2"/>
  <c r="AM104" i="2" s="1"/>
  <c r="E104" i="2"/>
  <c r="C105" i="2"/>
  <c r="D105" i="2"/>
  <c r="AM105" i="2" s="1"/>
  <c r="E105" i="2"/>
  <c r="C106" i="2"/>
  <c r="D106" i="2"/>
  <c r="AM106" i="2" s="1"/>
  <c r="E106" i="2"/>
  <c r="C107" i="2"/>
  <c r="D107" i="2"/>
  <c r="AM107" i="2" s="1"/>
  <c r="E107" i="2"/>
  <c r="C108" i="2"/>
  <c r="AL108" i="2" s="1"/>
  <c r="D108" i="2"/>
  <c r="AM108" i="2" s="1"/>
  <c r="E108" i="2"/>
  <c r="C109" i="2"/>
  <c r="D109" i="2"/>
  <c r="AM109" i="2" s="1"/>
  <c r="E109" i="2"/>
  <c r="C110" i="2"/>
  <c r="D110" i="2"/>
  <c r="AM110" i="2" s="1"/>
  <c r="E110" i="2"/>
  <c r="C111" i="2"/>
  <c r="AL111" i="2" s="1"/>
  <c r="D111" i="2"/>
  <c r="AM111" i="2" s="1"/>
  <c r="E111" i="2"/>
  <c r="C112" i="2"/>
  <c r="AL112" i="2" s="1"/>
  <c r="D112" i="2"/>
  <c r="AM112" i="2" s="1"/>
  <c r="E112" i="2"/>
  <c r="C113" i="2"/>
  <c r="D113" i="2"/>
  <c r="AM113" i="2" s="1"/>
  <c r="E113" i="2"/>
  <c r="C114" i="2"/>
  <c r="D114" i="2"/>
  <c r="AM114" i="2" s="1"/>
  <c r="E114" i="2"/>
  <c r="C115" i="2"/>
  <c r="AL115" i="2" s="1"/>
  <c r="D115" i="2"/>
  <c r="AM115" i="2" s="1"/>
  <c r="E115" i="2"/>
  <c r="C116" i="2"/>
  <c r="AL116" i="2" s="1"/>
  <c r="D116" i="2"/>
  <c r="AM116" i="2" s="1"/>
  <c r="E116" i="2"/>
  <c r="C117" i="2"/>
  <c r="D117" i="2"/>
  <c r="AM117" i="2" s="1"/>
  <c r="E117" i="2"/>
  <c r="C118" i="2"/>
  <c r="D118" i="2"/>
  <c r="AM118" i="2" s="1"/>
  <c r="E118" i="2"/>
  <c r="C119" i="2"/>
  <c r="AL119" i="2" s="1"/>
  <c r="D119" i="2"/>
  <c r="AM119" i="2" s="1"/>
  <c r="E119" i="2"/>
  <c r="C120" i="2"/>
  <c r="AL120" i="2" s="1"/>
  <c r="D120" i="2"/>
  <c r="AM120" i="2" s="1"/>
  <c r="E120" i="2"/>
  <c r="C121" i="2"/>
  <c r="D121" i="2"/>
  <c r="AM121" i="2" s="1"/>
  <c r="E121" i="2"/>
  <c r="C122" i="2"/>
  <c r="D122" i="2"/>
  <c r="AM122" i="2" s="1"/>
  <c r="E122" i="2"/>
  <c r="C123" i="2"/>
  <c r="AL123" i="2" s="1"/>
  <c r="D123" i="2"/>
  <c r="AM123" i="2" s="1"/>
  <c r="E123" i="2"/>
  <c r="C124" i="2"/>
  <c r="AL124" i="2" s="1"/>
  <c r="D124" i="2"/>
  <c r="AM124" i="2" s="1"/>
  <c r="E124" i="2"/>
  <c r="C125" i="2"/>
  <c r="D125" i="2"/>
  <c r="AM125" i="2" s="1"/>
  <c r="E125" i="2"/>
  <c r="C126" i="2"/>
  <c r="D126" i="2"/>
  <c r="AM126" i="2" s="1"/>
  <c r="E126" i="2"/>
  <c r="C127" i="2"/>
  <c r="AL127" i="2" s="1"/>
  <c r="D127" i="2"/>
  <c r="AM127" i="2" s="1"/>
  <c r="E127" i="2"/>
  <c r="C128" i="2"/>
  <c r="AL128" i="2" s="1"/>
  <c r="D128" i="2"/>
  <c r="AM128" i="2" s="1"/>
  <c r="E128" i="2"/>
  <c r="C129" i="2"/>
  <c r="D129" i="2"/>
  <c r="AM129" i="2" s="1"/>
  <c r="E129" i="2"/>
  <c r="C130" i="2"/>
  <c r="D130" i="2"/>
  <c r="AM130" i="2" s="1"/>
  <c r="E130" i="2"/>
  <c r="C131" i="2"/>
  <c r="AL131" i="2" s="1"/>
  <c r="D131" i="2"/>
  <c r="AM131" i="2" s="1"/>
  <c r="E131" i="2"/>
  <c r="C132" i="2"/>
  <c r="AL132" i="2" s="1"/>
  <c r="D132" i="2"/>
  <c r="AM132" i="2" s="1"/>
  <c r="E132" i="2"/>
  <c r="C133" i="2"/>
  <c r="D133" i="2"/>
  <c r="AM133" i="2" s="1"/>
  <c r="E133" i="2"/>
  <c r="C134" i="2"/>
  <c r="D134" i="2"/>
  <c r="AM134" i="2" s="1"/>
  <c r="E134" i="2"/>
  <c r="C135" i="2"/>
  <c r="AL135" i="2" s="1"/>
  <c r="D135" i="2"/>
  <c r="AM135" i="2" s="1"/>
  <c r="E135" i="2"/>
  <c r="C136" i="2"/>
  <c r="AL136" i="2" s="1"/>
  <c r="D136" i="2"/>
  <c r="AM136" i="2" s="1"/>
  <c r="E136" i="2"/>
  <c r="C137" i="2"/>
  <c r="D137" i="2"/>
  <c r="AM137" i="2" s="1"/>
  <c r="E137" i="2"/>
  <c r="C138" i="2"/>
  <c r="D138" i="2"/>
  <c r="AM138" i="2" s="1"/>
  <c r="E138" i="2"/>
  <c r="C139" i="2"/>
  <c r="AL139" i="2" s="1"/>
  <c r="D139" i="2"/>
  <c r="AM139" i="2" s="1"/>
  <c r="E139" i="2"/>
  <c r="C140" i="2"/>
  <c r="AL140" i="2" s="1"/>
  <c r="D140" i="2"/>
  <c r="AM140" i="2" s="1"/>
  <c r="E140" i="2"/>
  <c r="C141" i="2"/>
  <c r="D141" i="2"/>
  <c r="AM141" i="2" s="1"/>
  <c r="E141" i="2"/>
  <c r="C142" i="2"/>
  <c r="D142" i="2"/>
  <c r="AM142" i="2" s="1"/>
  <c r="E142" i="2"/>
  <c r="C143" i="2"/>
  <c r="AL143" i="2" s="1"/>
  <c r="D143" i="2"/>
  <c r="AM143" i="2" s="1"/>
  <c r="E143" i="2"/>
  <c r="C144" i="2"/>
  <c r="AL144" i="2" s="1"/>
  <c r="D144" i="2"/>
  <c r="AM144" i="2" s="1"/>
  <c r="E144" i="2"/>
  <c r="C145" i="2"/>
  <c r="D145" i="2"/>
  <c r="AM145" i="2" s="1"/>
  <c r="E145" i="2"/>
  <c r="C146" i="2"/>
  <c r="D146" i="2"/>
  <c r="AM146" i="2" s="1"/>
  <c r="E146" i="2"/>
  <c r="C147" i="2"/>
  <c r="AL147" i="2" s="1"/>
  <c r="D147" i="2"/>
  <c r="AM147" i="2" s="1"/>
  <c r="E147" i="2"/>
  <c r="C148" i="2"/>
  <c r="AL148" i="2" s="1"/>
  <c r="D148" i="2"/>
  <c r="AM148" i="2" s="1"/>
  <c r="E148" i="2"/>
  <c r="C149" i="2"/>
  <c r="D149" i="2"/>
  <c r="AM149" i="2" s="1"/>
  <c r="E149" i="2"/>
  <c r="C150" i="2"/>
  <c r="D150" i="2"/>
  <c r="AM150" i="2" s="1"/>
  <c r="E150" i="2"/>
  <c r="C151" i="2"/>
  <c r="AL151" i="2" s="1"/>
  <c r="D151" i="2"/>
  <c r="AM151" i="2" s="1"/>
  <c r="E151" i="2"/>
  <c r="C152" i="2"/>
  <c r="AL152" i="2" s="1"/>
  <c r="D152" i="2"/>
  <c r="AM152" i="2" s="1"/>
  <c r="E152" i="2"/>
  <c r="C153" i="2"/>
  <c r="D153" i="2"/>
  <c r="AM153" i="2" s="1"/>
  <c r="E153" i="2"/>
  <c r="C154" i="2"/>
  <c r="D154" i="2"/>
  <c r="AM154" i="2" s="1"/>
  <c r="E154" i="2"/>
  <c r="C155" i="2"/>
  <c r="AL155" i="2" s="1"/>
  <c r="D155" i="2"/>
  <c r="AM155" i="2" s="1"/>
  <c r="E155" i="2"/>
  <c r="C156" i="2"/>
  <c r="AL156" i="2" s="1"/>
  <c r="D156" i="2"/>
  <c r="AM156" i="2" s="1"/>
  <c r="E156" i="2"/>
  <c r="C157" i="2"/>
  <c r="D157" i="2"/>
  <c r="AM157" i="2" s="1"/>
  <c r="E157" i="2"/>
  <c r="C158" i="2"/>
  <c r="D158" i="2"/>
  <c r="AM158" i="2" s="1"/>
  <c r="E158" i="2"/>
  <c r="C159" i="2"/>
  <c r="AL159" i="2" s="1"/>
  <c r="D159" i="2"/>
  <c r="AM159" i="2" s="1"/>
  <c r="E159" i="2"/>
  <c r="C160" i="2"/>
  <c r="AL160" i="2" s="1"/>
  <c r="D160" i="2"/>
  <c r="AM160" i="2" s="1"/>
  <c r="E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D11" i="2"/>
  <c r="AM11" i="2" s="1"/>
  <c r="B11" i="2"/>
  <c r="B4" i="1"/>
  <c r="B11" i="1" s="1"/>
  <c r="B12" i="1" s="1"/>
  <c r="B10" i="1"/>
  <c r="B9" i="1"/>
  <c r="AL107" i="2" l="1"/>
  <c r="AL103" i="2"/>
  <c r="AL99" i="2"/>
  <c r="AL95" i="2"/>
  <c r="AL91" i="2"/>
  <c r="AL87" i="2"/>
  <c r="AL83" i="2"/>
  <c r="AL79" i="2"/>
  <c r="AL75" i="2"/>
  <c r="AL71" i="2"/>
  <c r="AL67" i="2"/>
  <c r="AL63" i="2"/>
  <c r="AL59" i="2"/>
  <c r="AL55" i="2"/>
  <c r="AL51" i="2"/>
  <c r="AL47" i="2"/>
  <c r="AL43" i="2"/>
  <c r="AL39" i="2"/>
  <c r="AL35" i="2"/>
  <c r="AL31" i="2"/>
  <c r="AL27" i="2"/>
  <c r="AL23" i="2"/>
  <c r="AL19" i="2"/>
  <c r="AL15" i="2"/>
  <c r="AL344" i="2"/>
  <c r="AL342" i="2"/>
  <c r="AL340" i="2"/>
  <c r="AL338" i="2"/>
  <c r="AL336" i="2"/>
  <c r="AL334" i="2"/>
  <c r="AL332" i="2"/>
  <c r="AL330" i="2"/>
  <c r="AL328" i="2"/>
  <c r="AL326" i="2"/>
  <c r="AL324" i="2"/>
  <c r="AL322" i="2"/>
  <c r="AL320" i="2"/>
  <c r="AL318" i="2"/>
  <c r="AL316" i="2"/>
  <c r="AL314" i="2"/>
  <c r="AL312" i="2"/>
  <c r="AL310" i="2"/>
  <c r="AL308" i="2"/>
  <c r="AL306" i="2"/>
  <c r="AL304" i="2"/>
  <c r="AL302" i="2"/>
  <c r="AL300" i="2"/>
  <c r="AL298" i="2"/>
  <c r="AL158" i="2"/>
  <c r="AL154" i="2"/>
  <c r="AL150" i="2"/>
  <c r="AL146" i="2"/>
  <c r="AL142" i="2"/>
  <c r="AL138" i="2"/>
  <c r="AL134" i="2"/>
  <c r="AL130" i="2"/>
  <c r="AL126" i="2"/>
  <c r="AL122" i="2"/>
  <c r="AL118" i="2"/>
  <c r="AL114" i="2"/>
  <c r="AL110" i="2"/>
  <c r="AL106" i="2"/>
  <c r="AL102" i="2"/>
  <c r="AL98" i="2"/>
  <c r="AL94" i="2"/>
  <c r="AL90" i="2"/>
  <c r="AL86" i="2"/>
  <c r="AL82" i="2"/>
  <c r="AL78" i="2"/>
  <c r="AL74" i="2"/>
  <c r="AL70" i="2"/>
  <c r="AL66" i="2"/>
  <c r="AL62" i="2"/>
  <c r="AL58" i="2"/>
  <c r="AL54" i="2"/>
  <c r="AL50" i="2"/>
  <c r="AL46" i="2"/>
  <c r="AL42" i="2"/>
  <c r="AL38" i="2"/>
  <c r="AL34" i="2"/>
  <c r="AL30" i="2"/>
  <c r="AL26" i="2"/>
  <c r="AL22" i="2"/>
  <c r="AL589" i="2"/>
  <c r="AL585" i="2"/>
  <c r="AL581" i="2"/>
  <c r="AL577" i="2"/>
  <c r="AL573" i="2"/>
  <c r="AL569" i="2"/>
  <c r="AL565" i="2"/>
  <c r="AL561" i="2"/>
  <c r="AL557" i="2"/>
  <c r="AL553" i="2"/>
  <c r="AL549" i="2"/>
  <c r="AL545" i="2"/>
  <c r="AL541" i="2"/>
  <c r="AL537" i="2"/>
  <c r="AL533" i="2"/>
  <c r="AL529" i="2"/>
  <c r="AL525" i="2"/>
  <c r="AL521" i="2"/>
  <c r="AL517" i="2"/>
  <c r="AL513" i="2"/>
  <c r="AL509" i="2"/>
  <c r="AL505" i="2"/>
  <c r="AL501" i="2"/>
  <c r="AL497" i="2"/>
  <c r="AL493" i="2"/>
  <c r="AL489" i="2"/>
  <c r="AL485" i="2"/>
  <c r="AL481" i="2"/>
  <c r="AL477" i="2"/>
  <c r="AL473" i="2"/>
  <c r="AL469" i="2"/>
  <c r="AL465" i="2"/>
  <c r="AL461" i="2"/>
  <c r="AK151" i="2"/>
  <c r="AK135" i="2"/>
  <c r="AK119" i="2"/>
  <c r="AK103" i="2"/>
  <c r="AK87" i="2"/>
  <c r="AK79" i="2"/>
  <c r="AK67" i="2"/>
  <c r="AK51" i="2"/>
  <c r="AK35" i="2"/>
  <c r="AK19" i="2"/>
  <c r="AK602" i="2"/>
  <c r="AK586" i="2"/>
  <c r="AK570" i="2"/>
  <c r="AK558" i="2"/>
  <c r="AK542" i="2"/>
  <c r="AK526" i="2"/>
  <c r="AK514" i="2"/>
  <c r="AK502" i="2"/>
  <c r="AK486" i="2"/>
  <c r="AK470" i="2"/>
  <c r="AK454" i="2"/>
  <c r="AK442" i="2"/>
  <c r="AK426" i="2"/>
  <c r="AK410" i="2"/>
  <c r="AK394" i="2"/>
  <c r="AK378" i="2"/>
  <c r="AK362" i="2"/>
  <c r="AK346" i="2"/>
  <c r="AK334" i="2"/>
  <c r="AK322" i="2"/>
  <c r="AK310" i="2"/>
  <c r="AK294" i="2"/>
  <c r="AK278" i="2"/>
  <c r="AK262" i="2"/>
  <c r="AK246" i="2"/>
  <c r="AK230" i="2"/>
  <c r="AK218" i="2"/>
  <c r="AK202" i="2"/>
  <c r="AK186" i="2"/>
  <c r="AK170" i="2"/>
  <c r="AK160" i="2"/>
  <c r="AK156" i="2"/>
  <c r="AK152" i="2"/>
  <c r="AK148" i="2"/>
  <c r="AK144" i="2"/>
  <c r="AK140" i="2"/>
  <c r="AK136" i="2"/>
  <c r="AK132" i="2"/>
  <c r="AK128" i="2"/>
  <c r="AK124" i="2"/>
  <c r="AK120" i="2"/>
  <c r="AK116" i="2"/>
  <c r="AK112" i="2"/>
  <c r="AK108" i="2"/>
  <c r="AK104" i="2"/>
  <c r="AK100" i="2"/>
  <c r="AK96" i="2"/>
  <c r="AK92" i="2"/>
  <c r="AK88" i="2"/>
  <c r="AK84" i="2"/>
  <c r="AK80" i="2"/>
  <c r="AK76" i="2"/>
  <c r="AK72" i="2"/>
  <c r="AK68" i="2"/>
  <c r="AK64" i="2"/>
  <c r="AK60" i="2"/>
  <c r="AK56" i="2"/>
  <c r="AK52" i="2"/>
  <c r="AK48" i="2"/>
  <c r="AK44" i="2"/>
  <c r="AK40" i="2"/>
  <c r="AK36" i="2"/>
  <c r="AK32" i="2"/>
  <c r="AK28" i="2"/>
  <c r="AK24" i="2"/>
  <c r="AK20" i="2"/>
  <c r="AK16" i="2"/>
  <c r="AK12" i="2"/>
  <c r="AK607" i="2"/>
  <c r="AK603" i="2"/>
  <c r="AK599" i="2"/>
  <c r="AK595" i="2"/>
  <c r="AK591" i="2"/>
  <c r="AK587" i="2"/>
  <c r="AK583" i="2"/>
  <c r="AK579" i="2"/>
  <c r="AK575" i="2"/>
  <c r="AK571" i="2"/>
  <c r="AK567" i="2"/>
  <c r="AK563" i="2"/>
  <c r="AK559" i="2"/>
  <c r="AK555" i="2"/>
  <c r="AK551" i="2"/>
  <c r="AK547" i="2"/>
  <c r="AK543" i="2"/>
  <c r="AK539" i="2"/>
  <c r="AK535" i="2"/>
  <c r="AK531" i="2"/>
  <c r="AK527" i="2"/>
  <c r="AK523" i="2"/>
  <c r="AK519" i="2"/>
  <c r="AK515" i="2"/>
  <c r="AK511" i="2"/>
  <c r="AK507" i="2"/>
  <c r="AK503" i="2"/>
  <c r="AK499" i="2"/>
  <c r="AK495" i="2"/>
  <c r="AK491" i="2"/>
  <c r="AK487" i="2"/>
  <c r="AK483" i="2"/>
  <c r="AK479" i="2"/>
  <c r="AK475" i="2"/>
  <c r="AK471" i="2"/>
  <c r="AK467" i="2"/>
  <c r="AK463" i="2"/>
  <c r="AK459" i="2"/>
  <c r="AK455" i="2"/>
  <c r="AK451" i="2"/>
  <c r="AK447" i="2"/>
  <c r="AK443" i="2"/>
  <c r="AK439" i="2"/>
  <c r="AK435" i="2"/>
  <c r="AK431" i="2"/>
  <c r="AK427" i="2"/>
  <c r="AK423" i="2"/>
  <c r="AK419" i="2"/>
  <c r="AK415" i="2"/>
  <c r="AK411" i="2"/>
  <c r="AK407" i="2"/>
  <c r="AK403" i="2"/>
  <c r="AK399" i="2"/>
  <c r="AK395" i="2"/>
  <c r="AK391" i="2"/>
  <c r="AK387" i="2"/>
  <c r="AK383" i="2"/>
  <c r="AK379" i="2"/>
  <c r="AK375" i="2"/>
  <c r="AK371" i="2"/>
  <c r="AK367" i="2"/>
  <c r="AK363" i="2"/>
  <c r="AK359" i="2"/>
  <c r="AK355" i="2"/>
  <c r="AK351" i="2"/>
  <c r="AK347" i="2"/>
  <c r="AK343" i="2"/>
  <c r="AK339" i="2"/>
  <c r="AK335" i="2"/>
  <c r="AK331" i="2"/>
  <c r="AK327" i="2"/>
  <c r="AK323" i="2"/>
  <c r="AK319" i="2"/>
  <c r="AK315" i="2"/>
  <c r="AK311" i="2"/>
  <c r="AK307" i="2"/>
  <c r="AK303" i="2"/>
  <c r="AK299" i="2"/>
  <c r="AK295" i="2"/>
  <c r="AK291" i="2"/>
  <c r="AK287" i="2"/>
  <c r="AK283" i="2"/>
  <c r="AK279" i="2"/>
  <c r="AK275" i="2"/>
  <c r="AK271" i="2"/>
  <c r="AK267" i="2"/>
  <c r="AK263" i="2"/>
  <c r="AK259" i="2"/>
  <c r="AK255" i="2"/>
  <c r="AK251" i="2"/>
  <c r="AK247" i="2"/>
  <c r="AK243" i="2"/>
  <c r="AK239" i="2"/>
  <c r="AK235" i="2"/>
  <c r="AK231" i="2"/>
  <c r="AK227" i="2"/>
  <c r="AK223" i="2"/>
  <c r="AK219" i="2"/>
  <c r="AK215" i="2"/>
  <c r="AK211" i="2"/>
  <c r="AK207" i="2"/>
  <c r="AK203" i="2"/>
  <c r="AK199" i="2"/>
  <c r="AK195" i="2"/>
  <c r="AK191" i="2"/>
  <c r="AK187" i="2"/>
  <c r="AK183" i="2"/>
  <c r="AK179" i="2"/>
  <c r="AK175" i="2"/>
  <c r="AK171" i="2"/>
  <c r="AK167" i="2"/>
  <c r="AK163" i="2"/>
  <c r="AL610" i="2"/>
  <c r="AL606" i="2"/>
  <c r="AL602" i="2"/>
  <c r="AL598" i="2"/>
  <c r="AL594" i="2"/>
  <c r="AL590" i="2"/>
  <c r="AL586" i="2"/>
  <c r="AL582" i="2"/>
  <c r="AL578" i="2"/>
  <c r="AL574" i="2"/>
  <c r="AL570" i="2"/>
  <c r="AL566" i="2"/>
  <c r="AL562" i="2"/>
  <c r="AL558" i="2"/>
  <c r="AL554" i="2"/>
  <c r="AL550" i="2"/>
  <c r="AL546" i="2"/>
  <c r="AL542" i="2"/>
  <c r="AL538" i="2"/>
  <c r="AL534" i="2"/>
  <c r="AL530" i="2"/>
  <c r="AL526" i="2"/>
  <c r="AL522" i="2"/>
  <c r="AK147" i="2"/>
  <c r="AK131" i="2"/>
  <c r="AK115" i="2"/>
  <c r="AK91" i="2"/>
  <c r="AK71" i="2"/>
  <c r="AK55" i="2"/>
  <c r="AK39" i="2"/>
  <c r="AK23" i="2"/>
  <c r="AK606" i="2"/>
  <c r="AK590" i="2"/>
  <c r="AK574" i="2"/>
  <c r="AK554" i="2"/>
  <c r="AK538" i="2"/>
  <c r="AK522" i="2"/>
  <c r="AK506" i="2"/>
  <c r="AK490" i="2"/>
  <c r="AK474" i="2"/>
  <c r="AK458" i="2"/>
  <c r="AK438" i="2"/>
  <c r="AK422" i="2"/>
  <c r="AK406" i="2"/>
  <c r="AK390" i="2"/>
  <c r="AK374" i="2"/>
  <c r="AK358" i="2"/>
  <c r="AK338" i="2"/>
  <c r="AK318" i="2"/>
  <c r="AK298" i="2"/>
  <c r="AK282" i="2"/>
  <c r="AK266" i="2"/>
  <c r="AK250" i="2"/>
  <c r="AK234" i="2"/>
  <c r="AK214" i="2"/>
  <c r="AK198" i="2"/>
  <c r="AK182" i="2"/>
  <c r="AK162" i="2"/>
  <c r="AK155" i="2"/>
  <c r="AK139" i="2"/>
  <c r="AK123" i="2"/>
  <c r="AK107" i="2"/>
  <c r="AK95" i="2"/>
  <c r="AK75" i="2"/>
  <c r="AK59" i="2"/>
  <c r="AK43" i="2"/>
  <c r="AK27" i="2"/>
  <c r="AK610" i="2"/>
  <c r="AK594" i="2"/>
  <c r="AK578" i="2"/>
  <c r="AK562" i="2"/>
  <c r="AK546" i="2"/>
  <c r="AK530" i="2"/>
  <c r="AK510" i="2"/>
  <c r="AK494" i="2"/>
  <c r="AK478" i="2"/>
  <c r="AK462" i="2"/>
  <c r="AK446" i="2"/>
  <c r="AK430" i="2"/>
  <c r="AK414" i="2"/>
  <c r="AK398" i="2"/>
  <c r="AK382" i="2"/>
  <c r="AK366" i="2"/>
  <c r="AK350" i="2"/>
  <c r="AK330" i="2"/>
  <c r="AK314" i="2"/>
  <c r="AK302" i="2"/>
  <c r="AK286" i="2"/>
  <c r="AK274" i="2"/>
  <c r="AK258" i="2"/>
  <c r="AK242" i="2"/>
  <c r="AK226" i="2"/>
  <c r="AK210" i="2"/>
  <c r="AK194" i="2"/>
  <c r="AK178" i="2"/>
  <c r="AK166" i="2"/>
  <c r="AK11" i="2"/>
  <c r="AK158" i="2"/>
  <c r="AK154" i="2"/>
  <c r="AK150" i="2"/>
  <c r="AK146" i="2"/>
  <c r="AK142" i="2"/>
  <c r="AK138" i="2"/>
  <c r="AK134" i="2"/>
  <c r="AK130" i="2"/>
  <c r="AK126" i="2"/>
  <c r="AK122" i="2"/>
  <c r="AK118" i="2"/>
  <c r="AK114" i="2"/>
  <c r="AK110" i="2"/>
  <c r="AK106" i="2"/>
  <c r="AK102" i="2"/>
  <c r="AK98" i="2"/>
  <c r="AK94" i="2"/>
  <c r="AK90" i="2"/>
  <c r="AK86" i="2"/>
  <c r="AK82" i="2"/>
  <c r="AK78" i="2"/>
  <c r="AK74" i="2"/>
  <c r="AK70" i="2"/>
  <c r="AK66" i="2"/>
  <c r="AK62" i="2"/>
  <c r="AK58" i="2"/>
  <c r="AK54" i="2"/>
  <c r="AK50" i="2"/>
  <c r="AK46" i="2"/>
  <c r="AK42" i="2"/>
  <c r="AK38" i="2"/>
  <c r="AK34" i="2"/>
  <c r="AK30" i="2"/>
  <c r="AK26" i="2"/>
  <c r="AK22" i="2"/>
  <c r="AK18" i="2"/>
  <c r="AK14" i="2"/>
  <c r="AK609" i="2"/>
  <c r="AK605" i="2"/>
  <c r="AK601" i="2"/>
  <c r="AK597" i="2"/>
  <c r="AK593" i="2"/>
  <c r="AK589" i="2"/>
  <c r="AK585" i="2"/>
  <c r="AK581" i="2"/>
  <c r="AK577" i="2"/>
  <c r="AK573" i="2"/>
  <c r="AK569" i="2"/>
  <c r="AK565" i="2"/>
  <c r="AK561" i="2"/>
  <c r="AK557" i="2"/>
  <c r="AK553" i="2"/>
  <c r="AK549" i="2"/>
  <c r="AK545" i="2"/>
  <c r="AK541" i="2"/>
  <c r="AK537" i="2"/>
  <c r="AK533" i="2"/>
  <c r="AK529" i="2"/>
  <c r="AK525" i="2"/>
  <c r="AK521" i="2"/>
  <c r="AK517" i="2"/>
  <c r="AK513" i="2"/>
  <c r="AK509" i="2"/>
  <c r="AK505" i="2"/>
  <c r="AK501" i="2"/>
  <c r="AK497" i="2"/>
  <c r="AK493" i="2"/>
  <c r="AK489" i="2"/>
  <c r="AK485" i="2"/>
  <c r="AK481" i="2"/>
  <c r="AK477" i="2"/>
  <c r="AK473" i="2"/>
  <c r="AK469" i="2"/>
  <c r="AK465" i="2"/>
  <c r="AK461" i="2"/>
  <c r="AK457" i="2"/>
  <c r="AK453" i="2"/>
  <c r="AK449" i="2"/>
  <c r="AK445" i="2"/>
  <c r="AK441" i="2"/>
  <c r="AK437" i="2"/>
  <c r="AK433" i="2"/>
  <c r="AK429" i="2"/>
  <c r="AK425" i="2"/>
  <c r="AK421" i="2"/>
  <c r="AK417" i="2"/>
  <c r="AK413" i="2"/>
  <c r="AK409" i="2"/>
  <c r="AK405" i="2"/>
  <c r="AK401" i="2"/>
  <c r="AK397" i="2"/>
  <c r="AK393" i="2"/>
  <c r="AK389" i="2"/>
  <c r="AK385" i="2"/>
  <c r="AK381" i="2"/>
  <c r="AK377" i="2"/>
  <c r="AK373" i="2"/>
  <c r="AK369" i="2"/>
  <c r="AK365" i="2"/>
  <c r="AK361" i="2"/>
  <c r="AK357" i="2"/>
  <c r="AK353" i="2"/>
  <c r="AK349" i="2"/>
  <c r="AK345" i="2"/>
  <c r="AK341" i="2"/>
  <c r="AK337" i="2"/>
  <c r="AK333" i="2"/>
  <c r="AK329" i="2"/>
  <c r="AK325" i="2"/>
  <c r="AK321" i="2"/>
  <c r="AK317" i="2"/>
  <c r="AK313" i="2"/>
  <c r="AK309" i="2"/>
  <c r="AK305" i="2"/>
  <c r="AK301" i="2"/>
  <c r="AK297" i="2"/>
  <c r="AK293" i="2"/>
  <c r="AK289" i="2"/>
  <c r="AK285" i="2"/>
  <c r="AK281" i="2"/>
  <c r="AK277" i="2"/>
  <c r="AK273" i="2"/>
  <c r="AK269" i="2"/>
  <c r="AK265" i="2"/>
  <c r="AK261" i="2"/>
  <c r="AK257" i="2"/>
  <c r="AK253" i="2"/>
  <c r="AK249" i="2"/>
  <c r="AK245" i="2"/>
  <c r="AK241" i="2"/>
  <c r="AK237" i="2"/>
  <c r="AK233" i="2"/>
  <c r="AK229" i="2"/>
  <c r="AK225" i="2"/>
  <c r="AK221" i="2"/>
  <c r="AK217" i="2"/>
  <c r="AK213" i="2"/>
  <c r="AK209" i="2"/>
  <c r="AK205" i="2"/>
  <c r="AK201" i="2"/>
  <c r="AK197" i="2"/>
  <c r="AK193" i="2"/>
  <c r="AK189" i="2"/>
  <c r="AK185" i="2"/>
  <c r="AK181" i="2"/>
  <c r="AK177" i="2"/>
  <c r="AK173" i="2"/>
  <c r="AK169" i="2"/>
  <c r="AK165" i="2"/>
  <c r="AK161" i="2"/>
  <c r="AL157" i="2"/>
  <c r="AL153" i="2"/>
  <c r="AL149" i="2"/>
  <c r="AL145" i="2"/>
  <c r="AL141" i="2"/>
  <c r="AL137" i="2"/>
  <c r="AL133" i="2"/>
  <c r="AL129" i="2"/>
  <c r="AL125" i="2"/>
  <c r="AL121" i="2"/>
  <c r="AL117" i="2"/>
  <c r="AL113" i="2"/>
  <c r="AL109" i="2"/>
  <c r="AL105" i="2"/>
  <c r="AL101" i="2"/>
  <c r="AL97" i="2"/>
  <c r="AL93" i="2"/>
  <c r="AL89" i="2"/>
  <c r="AL85" i="2"/>
  <c r="AL81" i="2"/>
  <c r="AL77" i="2"/>
  <c r="AL73" i="2"/>
  <c r="AL69" i="2"/>
  <c r="AL65" i="2"/>
  <c r="AL61" i="2"/>
  <c r="AL57" i="2"/>
  <c r="AL53" i="2"/>
  <c r="AL49" i="2"/>
  <c r="AL45" i="2"/>
  <c r="AL41" i="2"/>
  <c r="AL37" i="2"/>
  <c r="AL33" i="2"/>
  <c r="AL29" i="2"/>
  <c r="AL25" i="2"/>
  <c r="AL21" i="2"/>
  <c r="AL17" i="2"/>
  <c r="AL13" i="2"/>
  <c r="AL608" i="2"/>
  <c r="AL604" i="2"/>
  <c r="AL600" i="2"/>
  <c r="AL596" i="2"/>
  <c r="AL592" i="2"/>
  <c r="AL588" i="2"/>
  <c r="AL584" i="2"/>
  <c r="AL580" i="2"/>
  <c r="AL576" i="2"/>
  <c r="AL572" i="2"/>
  <c r="AL568" i="2"/>
  <c r="AL564" i="2"/>
  <c r="AL560" i="2"/>
  <c r="AL556" i="2"/>
  <c r="AL552" i="2"/>
  <c r="AL548" i="2"/>
  <c r="AL544" i="2"/>
  <c r="AK159" i="2"/>
  <c r="AK143" i="2"/>
  <c r="AK127" i="2"/>
  <c r="AK111" i="2"/>
  <c r="AK99" i="2"/>
  <c r="AK83" i="2"/>
  <c r="AK63" i="2"/>
  <c r="AK47" i="2"/>
  <c r="AK31" i="2"/>
  <c r="AK15" i="2"/>
  <c r="AK598" i="2"/>
  <c r="AK582" i="2"/>
  <c r="AK566" i="2"/>
  <c r="AK550" i="2"/>
  <c r="AK534" i="2"/>
  <c r="AK518" i="2"/>
  <c r="AK498" i="2"/>
  <c r="AK482" i="2"/>
  <c r="AK466" i="2"/>
  <c r="AK450" i="2"/>
  <c r="AK434" i="2"/>
  <c r="AK418" i="2"/>
  <c r="AK402" i="2"/>
  <c r="AK386" i="2"/>
  <c r="AK370" i="2"/>
  <c r="AK354" i="2"/>
  <c r="AK342" i="2"/>
  <c r="AK326" i="2"/>
  <c r="AK306" i="2"/>
  <c r="AK290" i="2"/>
  <c r="AK270" i="2"/>
  <c r="AK254" i="2"/>
  <c r="AK238" i="2"/>
  <c r="AK222" i="2"/>
  <c r="AK206" i="2"/>
  <c r="AK190" i="2"/>
  <c r="AK174" i="2"/>
  <c r="AK157" i="2"/>
  <c r="AK153" i="2"/>
  <c r="AK149" i="2"/>
  <c r="AK145" i="2"/>
  <c r="AK141" i="2"/>
  <c r="AK137" i="2"/>
  <c r="AK133" i="2"/>
  <c r="AK129" i="2"/>
  <c r="AK125" i="2"/>
  <c r="AK121" i="2"/>
  <c r="AK117" i="2"/>
  <c r="AK113" i="2"/>
  <c r="AK109" i="2"/>
  <c r="AK105" i="2"/>
  <c r="AK101" i="2"/>
  <c r="AK97" i="2"/>
  <c r="AK93" i="2"/>
  <c r="AK89" i="2"/>
  <c r="AK85" i="2"/>
  <c r="AK81" i="2"/>
  <c r="AK77" i="2"/>
  <c r="AK73" i="2"/>
  <c r="AK69" i="2"/>
  <c r="AK65" i="2"/>
  <c r="AK61" i="2"/>
  <c r="AK57" i="2"/>
  <c r="AK53" i="2"/>
  <c r="AK49" i="2"/>
  <c r="AK45" i="2"/>
  <c r="AK41" i="2"/>
  <c r="AK37" i="2"/>
  <c r="AK33" i="2"/>
  <c r="AK29" i="2"/>
  <c r="AK25" i="2"/>
  <c r="AK21" i="2"/>
  <c r="AK17" i="2"/>
  <c r="AK13" i="2"/>
  <c r="AK608" i="2"/>
  <c r="AK604" i="2"/>
  <c r="AK600" i="2"/>
  <c r="AK596" i="2"/>
  <c r="AK592" i="2"/>
  <c r="AK588" i="2"/>
  <c r="AK584" i="2"/>
  <c r="AK580" i="2"/>
  <c r="AK576" i="2"/>
  <c r="AK572" i="2"/>
  <c r="AK568" i="2"/>
  <c r="AK564" i="2"/>
  <c r="AK560" i="2"/>
  <c r="AK556" i="2"/>
  <c r="AK552" i="2"/>
  <c r="AK548" i="2"/>
  <c r="AK544" i="2"/>
  <c r="AK540" i="2"/>
  <c r="AK536" i="2"/>
  <c r="AK532" i="2"/>
  <c r="AK528" i="2"/>
  <c r="AK524" i="2"/>
  <c r="AK520" i="2"/>
  <c r="AK516" i="2"/>
  <c r="AK512" i="2"/>
  <c r="AK508" i="2"/>
  <c r="AK504" i="2"/>
  <c r="AK500" i="2"/>
  <c r="AK496" i="2"/>
  <c r="AK492" i="2"/>
  <c r="AK488" i="2"/>
  <c r="AK484" i="2"/>
  <c r="AK480" i="2"/>
  <c r="AK476" i="2"/>
  <c r="AK472" i="2"/>
  <c r="AK468" i="2"/>
  <c r="AK464" i="2"/>
  <c r="AK460" i="2"/>
  <c r="AK456" i="2"/>
  <c r="AK452" i="2"/>
  <c r="AK448" i="2"/>
  <c r="AK444" i="2"/>
  <c r="AK440" i="2"/>
  <c r="AK436" i="2"/>
  <c r="AK432" i="2"/>
  <c r="AK428" i="2"/>
  <c r="AK424" i="2"/>
  <c r="AK420" i="2"/>
  <c r="AK416" i="2"/>
  <c r="AK412" i="2"/>
  <c r="AK408" i="2"/>
  <c r="AK404" i="2"/>
  <c r="AK400" i="2"/>
  <c r="AK396" i="2"/>
  <c r="AK392" i="2"/>
  <c r="AK388" i="2"/>
  <c r="AK384" i="2"/>
  <c r="AK380" i="2"/>
  <c r="AK376" i="2"/>
  <c r="AK372" i="2"/>
  <c r="AK368" i="2"/>
  <c r="AK364" i="2"/>
  <c r="AK360" i="2"/>
  <c r="AK356" i="2"/>
  <c r="AK352" i="2"/>
  <c r="AK348" i="2"/>
  <c r="AK344" i="2"/>
  <c r="AK340" i="2"/>
  <c r="AK336" i="2"/>
  <c r="AK332" i="2"/>
  <c r="AK328" i="2"/>
  <c r="AK324" i="2"/>
  <c r="AK320" i="2"/>
  <c r="AK316" i="2"/>
  <c r="AK312" i="2"/>
  <c r="AK308" i="2"/>
  <c r="AK304" i="2"/>
  <c r="AK300" i="2"/>
  <c r="AK296" i="2"/>
  <c r="AK292" i="2"/>
  <c r="AK288" i="2"/>
  <c r="AK284" i="2"/>
  <c r="AK280" i="2"/>
  <c r="AK276" i="2"/>
  <c r="AK272" i="2"/>
  <c r="AK268" i="2"/>
  <c r="AK264" i="2"/>
  <c r="AK260" i="2"/>
  <c r="AK256" i="2"/>
  <c r="AK252" i="2"/>
  <c r="AK248" i="2"/>
  <c r="AK244" i="2"/>
  <c r="AK240" i="2"/>
  <c r="AK236" i="2"/>
  <c r="AK232" i="2"/>
  <c r="AK228" i="2"/>
  <c r="AK224" i="2"/>
  <c r="AK220" i="2"/>
  <c r="AK216" i="2"/>
  <c r="AK212" i="2"/>
  <c r="AK208" i="2"/>
  <c r="AK204" i="2"/>
  <c r="AK200" i="2"/>
  <c r="AK196" i="2"/>
  <c r="AK192" i="2"/>
  <c r="AK188" i="2"/>
  <c r="AK184" i="2"/>
  <c r="AK180" i="2"/>
  <c r="AK176" i="2"/>
  <c r="AK172" i="2"/>
  <c r="AK168" i="2"/>
  <c r="AK164" i="2"/>
  <c r="AL18" i="2"/>
  <c r="AL14" i="2"/>
  <c r="AL609" i="2"/>
  <c r="AL605" i="2"/>
  <c r="AL601" i="2"/>
  <c r="AL597" i="2"/>
  <c r="AL593" i="2"/>
  <c r="AL518" i="2"/>
  <c r="AL514" i="2"/>
  <c r="AL510" i="2"/>
  <c r="AL506" i="2"/>
  <c r="AL502" i="2"/>
  <c r="AL498" i="2"/>
  <c r="AL494" i="2"/>
  <c r="AL490" i="2"/>
  <c r="AL486" i="2"/>
  <c r="AL482" i="2"/>
  <c r="AL478" i="2"/>
  <c r="AL474" i="2"/>
  <c r="AL470" i="2"/>
  <c r="AL466" i="2"/>
  <c r="AL462" i="2"/>
  <c r="AL458" i="2"/>
  <c r="AL456" i="2"/>
  <c r="AL454" i="2"/>
  <c r="AL452" i="2"/>
  <c r="AL450" i="2"/>
  <c r="AL448" i="2"/>
  <c r="AL446" i="2"/>
  <c r="AL444" i="2"/>
  <c r="AL442" i="2"/>
  <c r="AL440" i="2"/>
  <c r="AL438" i="2"/>
  <c r="AL436" i="2"/>
  <c r="AL434" i="2"/>
  <c r="AL432" i="2"/>
  <c r="AL430" i="2"/>
  <c r="AL428" i="2"/>
  <c r="AL426" i="2"/>
  <c r="AL424" i="2"/>
  <c r="AL422" i="2"/>
  <c r="AL420" i="2"/>
  <c r="AL418" i="2"/>
  <c r="AL416" i="2"/>
  <c r="AL414" i="2"/>
  <c r="AL412" i="2"/>
  <c r="AL410" i="2"/>
  <c r="AL408" i="2"/>
  <c r="AL406" i="2"/>
  <c r="AL404" i="2"/>
  <c r="AL402" i="2"/>
  <c r="AL400" i="2"/>
  <c r="AL398" i="2"/>
  <c r="AL396" i="2"/>
  <c r="AL394" i="2"/>
  <c r="AL392" i="2"/>
  <c r="AL390" i="2"/>
  <c r="AL388" i="2"/>
  <c r="AL386" i="2"/>
  <c r="AL384" i="2"/>
  <c r="AL382" i="2"/>
  <c r="AL380" i="2"/>
  <c r="AL378" i="2"/>
  <c r="AL376" i="2"/>
  <c r="AL374" i="2"/>
  <c r="AL372" i="2"/>
  <c r="AL370" i="2"/>
  <c r="AL368" i="2"/>
  <c r="AL366" i="2"/>
  <c r="AL364" i="2"/>
  <c r="AL362" i="2"/>
  <c r="AL360" i="2"/>
  <c r="AL358" i="2"/>
  <c r="AL356" i="2"/>
  <c r="AL354" i="2"/>
  <c r="AL352" i="2"/>
  <c r="AL350" i="2"/>
  <c r="AL348" i="2"/>
  <c r="AL346" i="2"/>
  <c r="AL296" i="2"/>
  <c r="AL294" i="2"/>
  <c r="AL292" i="2"/>
  <c r="AL290" i="2"/>
  <c r="AL288" i="2"/>
  <c r="AL286" i="2"/>
  <c r="AL284" i="2"/>
  <c r="AL282" i="2"/>
  <c r="AL280" i="2"/>
  <c r="AL278" i="2"/>
  <c r="AL276" i="2"/>
  <c r="AL274" i="2"/>
  <c r="AL272" i="2"/>
  <c r="AL270" i="2"/>
  <c r="AL268" i="2"/>
  <c r="AL266" i="2"/>
  <c r="AL264" i="2"/>
  <c r="AL262" i="2"/>
  <c r="AL260" i="2"/>
  <c r="AL258" i="2"/>
  <c r="AL256" i="2"/>
  <c r="AL254" i="2"/>
  <c r="AL252" i="2"/>
  <c r="AL250" i="2"/>
  <c r="AL248" i="2"/>
  <c r="AL246" i="2"/>
  <c r="AL244" i="2"/>
  <c r="AL242" i="2"/>
  <c r="AL240" i="2"/>
  <c r="AL238" i="2"/>
  <c r="AL236" i="2"/>
  <c r="AL234" i="2"/>
  <c r="AL232" i="2"/>
  <c r="AL230" i="2"/>
  <c r="AL228" i="2"/>
  <c r="AL226" i="2"/>
  <c r="AL224" i="2"/>
  <c r="AL222" i="2"/>
  <c r="AL220" i="2"/>
  <c r="AL218" i="2"/>
  <c r="AL216" i="2"/>
  <c r="AL214" i="2"/>
  <c r="AL212" i="2"/>
  <c r="AL210" i="2"/>
  <c r="AL208" i="2"/>
  <c r="AL206" i="2"/>
  <c r="AL204" i="2"/>
  <c r="AL202" i="2"/>
  <c r="AL200" i="2"/>
  <c r="AL198" i="2"/>
  <c r="AL196" i="2"/>
  <c r="AL194" i="2"/>
  <c r="AL192" i="2"/>
  <c r="AL190" i="2"/>
  <c r="AL188" i="2"/>
  <c r="AL186" i="2"/>
  <c r="AL184" i="2"/>
  <c r="AL182" i="2"/>
  <c r="AL180" i="2"/>
  <c r="AL178" i="2"/>
  <c r="AL176" i="2"/>
  <c r="AL174" i="2"/>
  <c r="AL172" i="2"/>
  <c r="AL170" i="2"/>
  <c r="AL168" i="2"/>
  <c r="AL166" i="2"/>
  <c r="AL164" i="2"/>
  <c r="AL162" i="2"/>
  <c r="AL540" i="2"/>
  <c r="AL536" i="2"/>
  <c r="AL532" i="2"/>
  <c r="AL528" i="2"/>
  <c r="AL524" i="2"/>
  <c r="AL520" i="2"/>
  <c r="AL516" i="2"/>
  <c r="AL512" i="2"/>
  <c r="AL508" i="2"/>
  <c r="AL504" i="2"/>
  <c r="AL500" i="2"/>
  <c r="AL496" i="2"/>
  <c r="AL492" i="2"/>
  <c r="AL488" i="2"/>
  <c r="AL484" i="2"/>
  <c r="AL480" i="2"/>
  <c r="AL476" i="2"/>
  <c r="AL472" i="2"/>
  <c r="AL468" i="2"/>
  <c r="AL464" i="2"/>
  <c r="AL460" i="2"/>
  <c r="AL457" i="2"/>
  <c r="AL455" i="2"/>
  <c r="AL453" i="2"/>
  <c r="AL451" i="2"/>
  <c r="AL449" i="2"/>
  <c r="AL447" i="2"/>
  <c r="AL445" i="2"/>
  <c r="AL443" i="2"/>
  <c r="AL441" i="2"/>
  <c r="AL439" i="2"/>
  <c r="AL437" i="2"/>
  <c r="AL435" i="2"/>
  <c r="AL433" i="2"/>
  <c r="AL431" i="2"/>
  <c r="AL429" i="2"/>
  <c r="AL427" i="2"/>
  <c r="AL425" i="2"/>
  <c r="AL423" i="2"/>
  <c r="AL421" i="2"/>
  <c r="AL419" i="2"/>
  <c r="AL417" i="2"/>
  <c r="AL415" i="2"/>
  <c r="AL413" i="2"/>
  <c r="AL411" i="2"/>
  <c r="AL409" i="2"/>
  <c r="AL407" i="2"/>
  <c r="AL405" i="2"/>
  <c r="AL403" i="2"/>
  <c r="AL401" i="2"/>
  <c r="AL399" i="2"/>
  <c r="AL397" i="2"/>
  <c r="AL395" i="2"/>
  <c r="AL393" i="2"/>
  <c r="AL391" i="2"/>
  <c r="AL389" i="2"/>
  <c r="AL387" i="2"/>
  <c r="AL385" i="2"/>
  <c r="AL383" i="2"/>
  <c r="AL381" i="2"/>
  <c r="AL379" i="2"/>
  <c r="AL377" i="2"/>
  <c r="AL375" i="2"/>
  <c r="AL373" i="2"/>
  <c r="AL371" i="2"/>
  <c r="AL369" i="2"/>
  <c r="AL367" i="2"/>
  <c r="AL365" i="2"/>
  <c r="AL363" i="2"/>
  <c r="AL361" i="2"/>
  <c r="AL359" i="2"/>
  <c r="AL357" i="2"/>
  <c r="AL355" i="2"/>
  <c r="AL353" i="2"/>
  <c r="AL351" i="2"/>
  <c r="AL349" i="2"/>
  <c r="AL347" i="2"/>
  <c r="AL345" i="2"/>
  <c r="AL343" i="2"/>
  <c r="AL341" i="2"/>
  <c r="AL339" i="2"/>
  <c r="AL337" i="2"/>
  <c r="AL335" i="2"/>
  <c r="AL333" i="2"/>
  <c r="AL331" i="2"/>
  <c r="AL329" i="2"/>
  <c r="AL327" i="2"/>
  <c r="AL325" i="2"/>
  <c r="AL323" i="2"/>
  <c r="AL321" i="2"/>
  <c r="AL319" i="2"/>
  <c r="AL317" i="2"/>
  <c r="AL315" i="2"/>
  <c r="AL313" i="2"/>
  <c r="AL311" i="2"/>
  <c r="AL309" i="2"/>
  <c r="AL307" i="2"/>
  <c r="AL305" i="2"/>
  <c r="AL303" i="2"/>
  <c r="AL301" i="2"/>
  <c r="AL299" i="2"/>
  <c r="AL297" i="2"/>
  <c r="AL295" i="2"/>
  <c r="AL293" i="2"/>
  <c r="AL291" i="2"/>
  <c r="AL289" i="2"/>
  <c r="AL287" i="2"/>
  <c r="AL285" i="2"/>
  <c r="AL283" i="2"/>
  <c r="AL281" i="2"/>
  <c r="AL279" i="2"/>
  <c r="AL277" i="2"/>
  <c r="AL275" i="2"/>
  <c r="AL273" i="2"/>
  <c r="AL271" i="2"/>
  <c r="AL269" i="2"/>
  <c r="AL267" i="2"/>
  <c r="AL265" i="2"/>
  <c r="AL263" i="2"/>
  <c r="AL261" i="2"/>
  <c r="AL259" i="2"/>
  <c r="AL257" i="2"/>
  <c r="AL255" i="2"/>
  <c r="AL253" i="2"/>
  <c r="AL251" i="2"/>
  <c r="AL249" i="2"/>
  <c r="AL247" i="2"/>
  <c r="AL245" i="2"/>
  <c r="AL243" i="2"/>
  <c r="AL241" i="2"/>
  <c r="AL239" i="2"/>
  <c r="AL237" i="2"/>
  <c r="AL235" i="2"/>
  <c r="AL233" i="2"/>
  <c r="AL231" i="2"/>
  <c r="AL229" i="2"/>
  <c r="AL227" i="2"/>
  <c r="AL225" i="2"/>
  <c r="AL223" i="2"/>
  <c r="AL221" i="2"/>
  <c r="AL219" i="2"/>
  <c r="AL217" i="2"/>
  <c r="AL215" i="2"/>
  <c r="AL213" i="2"/>
  <c r="AL211" i="2"/>
  <c r="AL209" i="2"/>
  <c r="AL207" i="2"/>
  <c r="AL205" i="2"/>
  <c r="AL203" i="2"/>
  <c r="AL201" i="2"/>
  <c r="AL199" i="2"/>
  <c r="AL197" i="2"/>
  <c r="AL195" i="2"/>
  <c r="AL193" i="2"/>
  <c r="AL191" i="2"/>
  <c r="AL189" i="2"/>
  <c r="AL187" i="2"/>
  <c r="AL185" i="2"/>
  <c r="AL183" i="2"/>
  <c r="AL181" i="2"/>
  <c r="AL179" i="2"/>
  <c r="AL177" i="2"/>
  <c r="AL175" i="2"/>
  <c r="AL173" i="2"/>
  <c r="AL171" i="2"/>
  <c r="AL169" i="2"/>
  <c r="AL167" i="2"/>
  <c r="AL165" i="2"/>
  <c r="AL163" i="2"/>
  <c r="AL161" i="2"/>
  <c r="AL11" i="2"/>
  <c r="C7" i="2"/>
  <c r="F449" i="2" s="1"/>
  <c r="F262" i="2"/>
  <c r="F410" i="2"/>
  <c r="F222" i="2"/>
  <c r="F280" i="2"/>
  <c r="F334" i="2"/>
  <c r="F376" i="2"/>
  <c r="F404" i="2"/>
  <c r="F456" i="2"/>
  <c r="F345" i="2"/>
  <c r="F226" i="2"/>
  <c r="F204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F337" i="2"/>
  <c r="F317" i="2"/>
  <c r="F293" i="2"/>
  <c r="F273" i="2"/>
  <c r="F253" i="2"/>
  <c r="F229" i="2"/>
  <c r="F209" i="2"/>
  <c r="F189" i="2"/>
  <c r="F165" i="2"/>
  <c r="E161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11" i="2"/>
  <c r="E172" i="2"/>
  <c r="E171" i="2"/>
  <c r="E170" i="2"/>
  <c r="E169" i="2"/>
  <c r="E168" i="2"/>
  <c r="E167" i="2"/>
  <c r="E166" i="2"/>
  <c r="E165" i="2"/>
  <c r="V165" i="2" s="1"/>
  <c r="E164" i="2"/>
  <c r="E163" i="2"/>
  <c r="E162" i="2"/>
  <c r="AP232" i="2"/>
  <c r="AP260" i="2"/>
  <c r="AP258" i="2"/>
  <c r="AP256" i="2"/>
  <c r="AP254" i="2"/>
  <c r="AP252" i="2"/>
  <c r="AP250" i="2"/>
  <c r="AP247" i="2"/>
  <c r="AP245" i="2"/>
  <c r="AP243" i="2"/>
  <c r="AP241" i="2"/>
  <c r="AP239" i="2"/>
  <c r="AP237" i="2"/>
  <c r="AP235" i="2"/>
  <c r="AP233" i="2"/>
  <c r="AP230" i="2"/>
  <c r="AP228" i="2"/>
  <c r="AP226" i="2"/>
  <c r="AP224" i="2"/>
  <c r="AP222" i="2"/>
  <c r="AP220" i="2"/>
  <c r="AP218" i="2"/>
  <c r="AP215" i="2"/>
  <c r="AP213" i="2"/>
  <c r="AP211" i="2"/>
  <c r="AP209" i="2"/>
  <c r="AP207" i="2"/>
  <c r="AP205" i="2"/>
  <c r="AP203" i="2"/>
  <c r="AP201" i="2"/>
  <c r="AP198" i="2"/>
  <c r="AP196" i="2"/>
  <c r="AP194" i="2"/>
  <c r="AP192" i="2"/>
  <c r="AP190" i="2"/>
  <c r="AP188" i="2"/>
  <c r="AP186" i="2"/>
  <c r="AP183" i="2"/>
  <c r="AP181" i="2"/>
  <c r="AP179" i="2"/>
  <c r="AP177" i="2"/>
  <c r="AP175" i="2"/>
  <c r="AP173" i="2"/>
  <c r="AP171" i="2"/>
  <c r="AP169" i="2"/>
  <c r="AP166" i="2"/>
  <c r="AP164" i="2"/>
  <c r="AP162" i="2"/>
  <c r="AP264" i="2"/>
  <c r="AP200" i="2"/>
  <c r="AP184" i="2"/>
  <c r="AP216" i="2" l="1"/>
  <c r="F181" i="2"/>
  <c r="F205" i="2"/>
  <c r="F225" i="2"/>
  <c r="F245" i="2"/>
  <c r="F269" i="2"/>
  <c r="F289" i="2"/>
  <c r="F309" i="2"/>
  <c r="F333" i="2"/>
  <c r="F161" i="2"/>
  <c r="F191" i="2"/>
  <c r="F175" i="2"/>
  <c r="F316" i="2"/>
  <c r="F448" i="2"/>
  <c r="F408" i="2"/>
  <c r="AR408" i="2" s="1"/>
  <c r="F384" i="2"/>
  <c r="F344" i="2"/>
  <c r="F286" i="2"/>
  <c r="F232" i="2"/>
  <c r="F418" i="2"/>
  <c r="F320" i="2"/>
  <c r="F428" i="2"/>
  <c r="AR251" i="2"/>
  <c r="AR226" i="2"/>
  <c r="F173" i="2"/>
  <c r="F193" i="2"/>
  <c r="F213" i="2"/>
  <c r="F237" i="2"/>
  <c r="F257" i="2"/>
  <c r="F277" i="2"/>
  <c r="F301" i="2"/>
  <c r="F321" i="2"/>
  <c r="F341" i="2"/>
  <c r="AR424" i="2"/>
  <c r="AR420" i="2"/>
  <c r="AR404" i="2"/>
  <c r="AR400" i="2"/>
  <c r="AR376" i="2"/>
  <c r="AR344" i="2"/>
  <c r="AR456" i="2"/>
  <c r="AR448" i="2"/>
  <c r="AR444" i="2"/>
  <c r="AR428" i="2"/>
  <c r="F255" i="2"/>
  <c r="F239" i="2"/>
  <c r="F393" i="2"/>
  <c r="F424" i="2"/>
  <c r="F400" i="2"/>
  <c r="F368" i="2"/>
  <c r="F315" i="2"/>
  <c r="F254" i="2"/>
  <c r="F203" i="2"/>
  <c r="F378" i="2"/>
  <c r="F208" i="2"/>
  <c r="AR337" i="2"/>
  <c r="AR321" i="2"/>
  <c r="AR293" i="2"/>
  <c r="AR273" i="2"/>
  <c r="AR261" i="2"/>
  <c r="AR257" i="2"/>
  <c r="AR245" i="2"/>
  <c r="AR241" i="2"/>
  <c r="AR229" i="2"/>
  <c r="AR209" i="2"/>
  <c r="AR193" i="2"/>
  <c r="F177" i="2"/>
  <c r="F197" i="2"/>
  <c r="F221" i="2"/>
  <c r="F241" i="2"/>
  <c r="F261" i="2"/>
  <c r="F285" i="2"/>
  <c r="F305" i="2"/>
  <c r="F325" i="2"/>
  <c r="F178" i="2"/>
  <c r="F268" i="2"/>
  <c r="F303" i="2"/>
  <c r="F409" i="2"/>
  <c r="F420" i="2"/>
  <c r="F388" i="2"/>
  <c r="AR388" i="2" s="1"/>
  <c r="F360" i="2"/>
  <c r="F312" i="2"/>
  <c r="F251" i="2"/>
  <c r="F190" i="2"/>
  <c r="F366" i="2"/>
  <c r="F444" i="2"/>
  <c r="F252" i="2"/>
  <c r="F377" i="2"/>
  <c r="F452" i="2"/>
  <c r="AR452" i="2" s="1"/>
  <c r="F416" i="2"/>
  <c r="F392" i="2"/>
  <c r="AR392" i="2" s="1"/>
  <c r="F372" i="2"/>
  <c r="F352" i="2"/>
  <c r="F318" i="2"/>
  <c r="F296" i="2"/>
  <c r="F267" i="2"/>
  <c r="F235" i="2"/>
  <c r="F206" i="2"/>
  <c r="F168" i="2"/>
  <c r="F386" i="2"/>
  <c r="F346" i="2"/>
  <c r="F291" i="2"/>
  <c r="F230" i="2"/>
  <c r="F179" i="2"/>
  <c r="F436" i="2"/>
  <c r="AR436" i="2" s="1"/>
  <c r="F347" i="2"/>
  <c r="AR232" i="2"/>
  <c r="AR280" i="2"/>
  <c r="AR296" i="2"/>
  <c r="AR312" i="2"/>
  <c r="AR320" i="2"/>
  <c r="AR161" i="2"/>
  <c r="AR345" i="2"/>
  <c r="AR377" i="2"/>
  <c r="AR179" i="2"/>
  <c r="AP262" i="2"/>
  <c r="AP265" i="2"/>
  <c r="AP267" i="2"/>
  <c r="AP269" i="2"/>
  <c r="AP271" i="2"/>
  <c r="AP273" i="2"/>
  <c r="AP42" i="2"/>
  <c r="AR410" i="2"/>
  <c r="AR378" i="2"/>
  <c r="F336" i="2"/>
  <c r="F275" i="2"/>
  <c r="F224" i="2"/>
  <c r="F163" i="2"/>
  <c r="F434" i="2"/>
  <c r="F220" i="2"/>
  <c r="AR275" i="2"/>
  <c r="AR267" i="2"/>
  <c r="AR255" i="2"/>
  <c r="AR239" i="2"/>
  <c r="AR235" i="2"/>
  <c r="AR191" i="2"/>
  <c r="AR175" i="2"/>
  <c r="AR409" i="2"/>
  <c r="AR393" i="2"/>
  <c r="AR449" i="2"/>
  <c r="AR204" i="2"/>
  <c r="AR220" i="2"/>
  <c r="AR252" i="2"/>
  <c r="AR316" i="2"/>
  <c r="AR190" i="2"/>
  <c r="AR222" i="2"/>
  <c r="AR254" i="2"/>
  <c r="AR386" i="2"/>
  <c r="AR418" i="2"/>
  <c r="AR165" i="2"/>
  <c r="AR173" i="2"/>
  <c r="AR181" i="2"/>
  <c r="AR189" i="2"/>
  <c r="AR205" i="2"/>
  <c r="AR213" i="2"/>
  <c r="AR221" i="2"/>
  <c r="AR237" i="2"/>
  <c r="AR253" i="2"/>
  <c r="AR269" i="2"/>
  <c r="AR277" i="2"/>
  <c r="AR285" i="2"/>
  <c r="AR301" i="2"/>
  <c r="AR309" i="2"/>
  <c r="AR317" i="2"/>
  <c r="AR325" i="2"/>
  <c r="AR333" i="2"/>
  <c r="AR341" i="2"/>
  <c r="AR366" i="2"/>
  <c r="AR163" i="2"/>
  <c r="AO161" i="2"/>
  <c r="AP161" i="2"/>
  <c r="AP163" i="2"/>
  <c r="AP165" i="2"/>
  <c r="AP167" i="2"/>
  <c r="AP170" i="2"/>
  <c r="AP172" i="2"/>
  <c r="AP174" i="2"/>
  <c r="AP176" i="2"/>
  <c r="AP178" i="2"/>
  <c r="AP180" i="2"/>
  <c r="AP182" i="2"/>
  <c r="AP185" i="2"/>
  <c r="AP187" i="2"/>
  <c r="AP189" i="2"/>
  <c r="AP191" i="2"/>
  <c r="AP193" i="2"/>
  <c r="AP195" i="2"/>
  <c r="AP197" i="2"/>
  <c r="AP199" i="2"/>
  <c r="AP202" i="2"/>
  <c r="AP204" i="2"/>
  <c r="AP206" i="2"/>
  <c r="AP208" i="2"/>
  <c r="AP210" i="2"/>
  <c r="AP212" i="2"/>
  <c r="AP214" i="2"/>
  <c r="AP217" i="2"/>
  <c r="AP219" i="2"/>
  <c r="AP221" i="2"/>
  <c r="AP223" i="2"/>
  <c r="AP225" i="2"/>
  <c r="AP227" i="2"/>
  <c r="AP229" i="2"/>
  <c r="AP231" i="2"/>
  <c r="AP234" i="2"/>
  <c r="AP236" i="2"/>
  <c r="AP238" i="2"/>
  <c r="AP240" i="2"/>
  <c r="AP242" i="2"/>
  <c r="AP244" i="2"/>
  <c r="AP246" i="2"/>
  <c r="AP249" i="2"/>
  <c r="AP251" i="2"/>
  <c r="AP253" i="2"/>
  <c r="AP255" i="2"/>
  <c r="AP257" i="2"/>
  <c r="AP259" i="2"/>
  <c r="AP261" i="2"/>
  <c r="AP263" i="2"/>
  <c r="AP266" i="2"/>
  <c r="AP268" i="2"/>
  <c r="AP270" i="2"/>
  <c r="AP272" i="2"/>
  <c r="AP274" i="2"/>
  <c r="AP65" i="2"/>
  <c r="AP81" i="2"/>
  <c r="AP113" i="2"/>
  <c r="AP129" i="2"/>
  <c r="AP145" i="2"/>
  <c r="AR334" i="2"/>
  <c r="AR286" i="2"/>
  <c r="AR262" i="2"/>
  <c r="AR230" i="2"/>
  <c r="F356" i="2"/>
  <c r="F331" i="2"/>
  <c r="F299" i="2"/>
  <c r="F270" i="2"/>
  <c r="F248" i="2"/>
  <c r="F216" i="2"/>
  <c r="AR216" i="2" s="1"/>
  <c r="F184" i="2"/>
  <c r="F398" i="2"/>
  <c r="AR398" i="2" s="1"/>
  <c r="F354" i="2"/>
  <c r="F307" i="2"/>
  <c r="F246" i="2"/>
  <c r="AR246" i="2" s="1"/>
  <c r="F192" i="2"/>
  <c r="AR192" i="2" s="1"/>
  <c r="F442" i="2"/>
  <c r="F367" i="2"/>
  <c r="AP248" i="2"/>
  <c r="AP275" i="2"/>
  <c r="AP277" i="2"/>
  <c r="AP279" i="2"/>
  <c r="AP281" i="2"/>
  <c r="AP283" i="2"/>
  <c r="AP285" i="2"/>
  <c r="AP287" i="2"/>
  <c r="AP289" i="2"/>
  <c r="AP291" i="2"/>
  <c r="AP293" i="2"/>
  <c r="AP295" i="2"/>
  <c r="AP297" i="2"/>
  <c r="AP299" i="2"/>
  <c r="AP301" i="2"/>
  <c r="AP303" i="2"/>
  <c r="AP305" i="2"/>
  <c r="AP307" i="2"/>
  <c r="AP309" i="2"/>
  <c r="AP311" i="2"/>
  <c r="AP313" i="2"/>
  <c r="AP315" i="2"/>
  <c r="AP317" i="2"/>
  <c r="AP319" i="2"/>
  <c r="AP321" i="2"/>
  <c r="AP323" i="2"/>
  <c r="AP325" i="2"/>
  <c r="AP327" i="2"/>
  <c r="AP329" i="2"/>
  <c r="AP331" i="2"/>
  <c r="AP333" i="2"/>
  <c r="AP335" i="2"/>
  <c r="AP337" i="2"/>
  <c r="AP339" i="2"/>
  <c r="AP341" i="2"/>
  <c r="AP343" i="2"/>
  <c r="AP345" i="2"/>
  <c r="AP347" i="2"/>
  <c r="AP349" i="2"/>
  <c r="AP351" i="2"/>
  <c r="AP353" i="2"/>
  <c r="AP355" i="2"/>
  <c r="AP357" i="2"/>
  <c r="AP359" i="2"/>
  <c r="AP361" i="2"/>
  <c r="AP363" i="2"/>
  <c r="AP365" i="2"/>
  <c r="AP367" i="2"/>
  <c r="AP369" i="2"/>
  <c r="AP371" i="2"/>
  <c r="AP373" i="2"/>
  <c r="AP375" i="2"/>
  <c r="AP377" i="2"/>
  <c r="AP379" i="2"/>
  <c r="AP381" i="2"/>
  <c r="AP383" i="2"/>
  <c r="AP385" i="2"/>
  <c r="AP387" i="2"/>
  <c r="AP389" i="2"/>
  <c r="AP391" i="2"/>
  <c r="AP393" i="2"/>
  <c r="AP395" i="2"/>
  <c r="AP397" i="2"/>
  <c r="AP399" i="2"/>
  <c r="AP401" i="2"/>
  <c r="AP403" i="2"/>
  <c r="AP405" i="2"/>
  <c r="AP407" i="2"/>
  <c r="AP409" i="2"/>
  <c r="AP411" i="2"/>
  <c r="AP413" i="2"/>
  <c r="AP415" i="2"/>
  <c r="AP417" i="2"/>
  <c r="AP419" i="2"/>
  <c r="AP421" i="2"/>
  <c r="AP423" i="2"/>
  <c r="AP425" i="2"/>
  <c r="AP427" i="2"/>
  <c r="AP429" i="2"/>
  <c r="AP431" i="2"/>
  <c r="AP433" i="2"/>
  <c r="AP435" i="2"/>
  <c r="AP437" i="2"/>
  <c r="AP439" i="2"/>
  <c r="AP441" i="2"/>
  <c r="AP443" i="2"/>
  <c r="AP445" i="2"/>
  <c r="AP447" i="2"/>
  <c r="AP449" i="2"/>
  <c r="AP451" i="2"/>
  <c r="AP453" i="2"/>
  <c r="AP455" i="2"/>
  <c r="AP457" i="2"/>
  <c r="AP459" i="2"/>
  <c r="AP461" i="2"/>
  <c r="AP463" i="2"/>
  <c r="AP465" i="2"/>
  <c r="AP467" i="2"/>
  <c r="AP469" i="2"/>
  <c r="AP471" i="2"/>
  <c r="AP473" i="2"/>
  <c r="AP475" i="2"/>
  <c r="AP477" i="2"/>
  <c r="AP479" i="2"/>
  <c r="AP481" i="2"/>
  <c r="AP483" i="2"/>
  <c r="AP485" i="2"/>
  <c r="AP487" i="2"/>
  <c r="AP489" i="2"/>
  <c r="AP491" i="2"/>
  <c r="AP168" i="2"/>
  <c r="AP276" i="2"/>
  <c r="AP278" i="2"/>
  <c r="AP280" i="2"/>
  <c r="AP282" i="2"/>
  <c r="AP284" i="2"/>
  <c r="AP286" i="2"/>
  <c r="AP288" i="2"/>
  <c r="AP290" i="2"/>
  <c r="AP292" i="2"/>
  <c r="AP294" i="2"/>
  <c r="AP296" i="2"/>
  <c r="AP298" i="2"/>
  <c r="AP300" i="2"/>
  <c r="AP302" i="2"/>
  <c r="AP304" i="2"/>
  <c r="AP306" i="2"/>
  <c r="AP308" i="2"/>
  <c r="AP310" i="2"/>
  <c r="AP312" i="2"/>
  <c r="AP314" i="2"/>
  <c r="AP316" i="2"/>
  <c r="AP318" i="2"/>
  <c r="AP320" i="2"/>
  <c r="AP322" i="2"/>
  <c r="AP324" i="2"/>
  <c r="AP326" i="2"/>
  <c r="AP328" i="2"/>
  <c r="AP330" i="2"/>
  <c r="AP332" i="2"/>
  <c r="AP334" i="2"/>
  <c r="AP336" i="2"/>
  <c r="AP338" i="2"/>
  <c r="AP340" i="2"/>
  <c r="AP342" i="2"/>
  <c r="AP344" i="2"/>
  <c r="AP346" i="2"/>
  <c r="AP348" i="2"/>
  <c r="AP350" i="2"/>
  <c r="AP352" i="2"/>
  <c r="AP354" i="2"/>
  <c r="AP356" i="2"/>
  <c r="AP358" i="2"/>
  <c r="AP360" i="2"/>
  <c r="AP362" i="2"/>
  <c r="AP364" i="2"/>
  <c r="AP366" i="2"/>
  <c r="AP368" i="2"/>
  <c r="AP370" i="2"/>
  <c r="AP372" i="2"/>
  <c r="AP374" i="2"/>
  <c r="AP376" i="2"/>
  <c r="AP378" i="2"/>
  <c r="AP380" i="2"/>
  <c r="AP382" i="2"/>
  <c r="AP384" i="2"/>
  <c r="AP386" i="2"/>
  <c r="AP388" i="2"/>
  <c r="AP390" i="2"/>
  <c r="AP392" i="2"/>
  <c r="AP394" i="2"/>
  <c r="AP396" i="2"/>
  <c r="AP398" i="2"/>
  <c r="AP400" i="2"/>
  <c r="AP402" i="2"/>
  <c r="AP404" i="2"/>
  <c r="AP406" i="2"/>
  <c r="AP408" i="2"/>
  <c r="AP410" i="2"/>
  <c r="AP412" i="2"/>
  <c r="AP414" i="2"/>
  <c r="AP416" i="2"/>
  <c r="AP418" i="2"/>
  <c r="AP420" i="2"/>
  <c r="AP422" i="2"/>
  <c r="AP424" i="2"/>
  <c r="AP426" i="2"/>
  <c r="AP428" i="2"/>
  <c r="AP430" i="2"/>
  <c r="AP432" i="2"/>
  <c r="AP434" i="2"/>
  <c r="AP436" i="2"/>
  <c r="AP438" i="2"/>
  <c r="AP440" i="2"/>
  <c r="AP442" i="2"/>
  <c r="AP444" i="2"/>
  <c r="AP446" i="2"/>
  <c r="AP448" i="2"/>
  <c r="AP450" i="2"/>
  <c r="AP452" i="2"/>
  <c r="AP454" i="2"/>
  <c r="AP456" i="2"/>
  <c r="AP458" i="2"/>
  <c r="AP460" i="2"/>
  <c r="AP462" i="2"/>
  <c r="AP464" i="2"/>
  <c r="AP466" i="2"/>
  <c r="AP468" i="2"/>
  <c r="AP470" i="2"/>
  <c r="AP472" i="2"/>
  <c r="AP474" i="2"/>
  <c r="AP476" i="2"/>
  <c r="AP478" i="2"/>
  <c r="AP480" i="2"/>
  <c r="AP482" i="2"/>
  <c r="AP484" i="2"/>
  <c r="AP486" i="2"/>
  <c r="AP488" i="2"/>
  <c r="AP490" i="2"/>
  <c r="AP492" i="2"/>
  <c r="AP493" i="2"/>
  <c r="AP495" i="2"/>
  <c r="AP497" i="2"/>
  <c r="AP499" i="2"/>
  <c r="AP501" i="2"/>
  <c r="AP503" i="2"/>
  <c r="AP505" i="2"/>
  <c r="AP507" i="2"/>
  <c r="AP509" i="2"/>
  <c r="AP511" i="2"/>
  <c r="AP513" i="2"/>
  <c r="AP515" i="2"/>
  <c r="AP517" i="2"/>
  <c r="AP519" i="2"/>
  <c r="AP521" i="2"/>
  <c r="AP523" i="2"/>
  <c r="AP525" i="2"/>
  <c r="AP527" i="2"/>
  <c r="AP529" i="2"/>
  <c r="AP531" i="2"/>
  <c r="AP533" i="2"/>
  <c r="AP535" i="2"/>
  <c r="AP537" i="2"/>
  <c r="AP539" i="2"/>
  <c r="AP541" i="2"/>
  <c r="AP543" i="2"/>
  <c r="AP545" i="2"/>
  <c r="AP547" i="2"/>
  <c r="AP549" i="2"/>
  <c r="AP551" i="2"/>
  <c r="AP553" i="2"/>
  <c r="AP555" i="2"/>
  <c r="AP557" i="2"/>
  <c r="AP559" i="2"/>
  <c r="AP561" i="2"/>
  <c r="AP563" i="2"/>
  <c r="AP565" i="2"/>
  <c r="AP567" i="2"/>
  <c r="AP569" i="2"/>
  <c r="AP571" i="2"/>
  <c r="AP573" i="2"/>
  <c r="AP575" i="2"/>
  <c r="AP577" i="2"/>
  <c r="AP579" i="2"/>
  <c r="AP581" i="2"/>
  <c r="AP583" i="2"/>
  <c r="AP585" i="2"/>
  <c r="AP587" i="2"/>
  <c r="AP589" i="2"/>
  <c r="AP591" i="2"/>
  <c r="AP593" i="2"/>
  <c r="AP595" i="2"/>
  <c r="AP597" i="2"/>
  <c r="AP599" i="2"/>
  <c r="AP601" i="2"/>
  <c r="AP603" i="2"/>
  <c r="AP605" i="2"/>
  <c r="AP607" i="2"/>
  <c r="AP609" i="2"/>
  <c r="AP12" i="2"/>
  <c r="AP14" i="2"/>
  <c r="AP16" i="2"/>
  <c r="AP18" i="2"/>
  <c r="AP20" i="2"/>
  <c r="AP22" i="2"/>
  <c r="AP24" i="2"/>
  <c r="AP26" i="2"/>
  <c r="AP28" i="2"/>
  <c r="AP30" i="2"/>
  <c r="AP32" i="2"/>
  <c r="AP34" i="2"/>
  <c r="AP36" i="2"/>
  <c r="AP38" i="2"/>
  <c r="AP40" i="2"/>
  <c r="AP44" i="2"/>
  <c r="AP494" i="2"/>
  <c r="AP496" i="2"/>
  <c r="AP498" i="2"/>
  <c r="AP500" i="2"/>
  <c r="AP502" i="2"/>
  <c r="AP504" i="2"/>
  <c r="AP506" i="2"/>
  <c r="AP508" i="2"/>
  <c r="AP510" i="2"/>
  <c r="AP512" i="2"/>
  <c r="AP514" i="2"/>
  <c r="AP516" i="2"/>
  <c r="AP518" i="2"/>
  <c r="AP520" i="2"/>
  <c r="AP522" i="2"/>
  <c r="AP524" i="2"/>
  <c r="AP526" i="2"/>
  <c r="AP528" i="2"/>
  <c r="AP530" i="2"/>
  <c r="AP532" i="2"/>
  <c r="AP534" i="2"/>
  <c r="AP536" i="2"/>
  <c r="AP538" i="2"/>
  <c r="AP540" i="2"/>
  <c r="AP542" i="2"/>
  <c r="AP544" i="2"/>
  <c r="AP546" i="2"/>
  <c r="AP548" i="2"/>
  <c r="AP550" i="2"/>
  <c r="AP552" i="2"/>
  <c r="AP554" i="2"/>
  <c r="AP556" i="2"/>
  <c r="AP558" i="2"/>
  <c r="AP560" i="2"/>
  <c r="AP562" i="2"/>
  <c r="AP564" i="2"/>
  <c r="AP566" i="2"/>
  <c r="AP568" i="2"/>
  <c r="AP570" i="2"/>
  <c r="AP572" i="2"/>
  <c r="AP574" i="2"/>
  <c r="AP576" i="2"/>
  <c r="AP578" i="2"/>
  <c r="AP580" i="2"/>
  <c r="AP582" i="2"/>
  <c r="AP584" i="2"/>
  <c r="AP586" i="2"/>
  <c r="AP588" i="2"/>
  <c r="AP590" i="2"/>
  <c r="AP592" i="2"/>
  <c r="AP594" i="2"/>
  <c r="AP596" i="2"/>
  <c r="AP598" i="2"/>
  <c r="AP600" i="2"/>
  <c r="AP602" i="2"/>
  <c r="AP604" i="2"/>
  <c r="AP606" i="2"/>
  <c r="AP608" i="2"/>
  <c r="AP610" i="2"/>
  <c r="AP13" i="2"/>
  <c r="AP15" i="2"/>
  <c r="AP17" i="2"/>
  <c r="AP19" i="2"/>
  <c r="AP21" i="2"/>
  <c r="AP23" i="2"/>
  <c r="AP25" i="2"/>
  <c r="AP27" i="2"/>
  <c r="AP29" i="2"/>
  <c r="AP31" i="2"/>
  <c r="AP33" i="2"/>
  <c r="AP35" i="2"/>
  <c r="AP37" i="2"/>
  <c r="AP39" i="2"/>
  <c r="AP41" i="2"/>
  <c r="AP43" i="2"/>
  <c r="AP45" i="2"/>
  <c r="AP47" i="2"/>
  <c r="AP49" i="2"/>
  <c r="AP51" i="2"/>
  <c r="AP53" i="2"/>
  <c r="AP55" i="2"/>
  <c r="AP57" i="2"/>
  <c r="AP59" i="2"/>
  <c r="AP61" i="2"/>
  <c r="AP63" i="2"/>
  <c r="AP46" i="2"/>
  <c r="AP48" i="2"/>
  <c r="AP50" i="2"/>
  <c r="AP52" i="2"/>
  <c r="AP54" i="2"/>
  <c r="AP56" i="2"/>
  <c r="AP58" i="2"/>
  <c r="AP60" i="2"/>
  <c r="AP62" i="2"/>
  <c r="AP64" i="2"/>
  <c r="AP66" i="2"/>
  <c r="AP68" i="2"/>
  <c r="AP70" i="2"/>
  <c r="AP72" i="2"/>
  <c r="AP74" i="2"/>
  <c r="AP76" i="2"/>
  <c r="AP78" i="2"/>
  <c r="AP80" i="2"/>
  <c r="AP82" i="2"/>
  <c r="AP84" i="2"/>
  <c r="AP86" i="2"/>
  <c r="AP88" i="2"/>
  <c r="AP90" i="2"/>
  <c r="AP92" i="2"/>
  <c r="AP94" i="2"/>
  <c r="AP96" i="2"/>
  <c r="AP98" i="2"/>
  <c r="AP100" i="2"/>
  <c r="AP102" i="2"/>
  <c r="AP104" i="2"/>
  <c r="AP106" i="2"/>
  <c r="AP108" i="2"/>
  <c r="AP110" i="2"/>
  <c r="AP112" i="2"/>
  <c r="AP114" i="2"/>
  <c r="AP116" i="2"/>
  <c r="AP118" i="2"/>
  <c r="AP120" i="2"/>
  <c r="AP122" i="2"/>
  <c r="AP124" i="2"/>
  <c r="AP126" i="2"/>
  <c r="AP128" i="2"/>
  <c r="AP130" i="2"/>
  <c r="AP132" i="2"/>
  <c r="AP134" i="2"/>
  <c r="AP136" i="2"/>
  <c r="AP138" i="2"/>
  <c r="AP140" i="2"/>
  <c r="AP142" i="2"/>
  <c r="AP144" i="2"/>
  <c r="AP146" i="2"/>
  <c r="AP148" i="2"/>
  <c r="AP150" i="2"/>
  <c r="AP152" i="2"/>
  <c r="AP154" i="2"/>
  <c r="AP156" i="2"/>
  <c r="AP158" i="2"/>
  <c r="AP160" i="2"/>
  <c r="AO163" i="2"/>
  <c r="AO165" i="2"/>
  <c r="AO167" i="2"/>
  <c r="AO185" i="2"/>
  <c r="AO187" i="2"/>
  <c r="AO189" i="2"/>
  <c r="AO191" i="2"/>
  <c r="AO193" i="2"/>
  <c r="AO195" i="2"/>
  <c r="AO197" i="2"/>
  <c r="AO199" i="2"/>
  <c r="AO217" i="2"/>
  <c r="AO219" i="2"/>
  <c r="AO221" i="2"/>
  <c r="AO223" i="2"/>
  <c r="AO225" i="2"/>
  <c r="AO227" i="2"/>
  <c r="AO229" i="2"/>
  <c r="AO231" i="2"/>
  <c r="AO249" i="2"/>
  <c r="AO251" i="2"/>
  <c r="AO253" i="2"/>
  <c r="AO255" i="2"/>
  <c r="AO257" i="2"/>
  <c r="AO259" i="2"/>
  <c r="AO261" i="2"/>
  <c r="AO263" i="2"/>
  <c r="AP67" i="2"/>
  <c r="AP69" i="2"/>
  <c r="AP71" i="2"/>
  <c r="AP73" i="2"/>
  <c r="AP75" i="2"/>
  <c r="AP77" i="2"/>
  <c r="AP79" i="2"/>
  <c r="AP83" i="2"/>
  <c r="AP85" i="2"/>
  <c r="AP87" i="2"/>
  <c r="AP89" i="2"/>
  <c r="AP91" i="2"/>
  <c r="AP93" i="2"/>
  <c r="AP95" i="2"/>
  <c r="AP97" i="2"/>
  <c r="AP99" i="2"/>
  <c r="AP101" i="2"/>
  <c r="AP103" i="2"/>
  <c r="AP105" i="2"/>
  <c r="AP107" i="2"/>
  <c r="AP109" i="2"/>
  <c r="AP111" i="2"/>
  <c r="AP115" i="2"/>
  <c r="AP117" i="2"/>
  <c r="AP119" i="2"/>
  <c r="AP121" i="2"/>
  <c r="AP123" i="2"/>
  <c r="AP125" i="2"/>
  <c r="AP127" i="2"/>
  <c r="AP131" i="2"/>
  <c r="AP133" i="2"/>
  <c r="AP135" i="2"/>
  <c r="AP137" i="2"/>
  <c r="AP139" i="2"/>
  <c r="AP141" i="2"/>
  <c r="AP143" i="2"/>
  <c r="AP147" i="2"/>
  <c r="AP149" i="2"/>
  <c r="AP151" i="2"/>
  <c r="AP153" i="2"/>
  <c r="AP155" i="2"/>
  <c r="AP157" i="2"/>
  <c r="AP159" i="2"/>
  <c r="AP11" i="2"/>
  <c r="AO277" i="2"/>
  <c r="AO283" i="2"/>
  <c r="AO289" i="2"/>
  <c r="AO295" i="2"/>
  <c r="AO301" i="2"/>
  <c r="AO307" i="2"/>
  <c r="AO313" i="2"/>
  <c r="AO319" i="2"/>
  <c r="AO323" i="2"/>
  <c r="AO329" i="2"/>
  <c r="AO335" i="2"/>
  <c r="AO343" i="2"/>
  <c r="AO349" i="2"/>
  <c r="AO355" i="2"/>
  <c r="AO361" i="2"/>
  <c r="AO367" i="2"/>
  <c r="AO373" i="2"/>
  <c r="AO379" i="2"/>
  <c r="AO385" i="2"/>
  <c r="AO391" i="2"/>
  <c r="AO397" i="2"/>
  <c r="AO403" i="2"/>
  <c r="AO409" i="2"/>
  <c r="AO415" i="2"/>
  <c r="AO423" i="2"/>
  <c r="AO427" i="2"/>
  <c r="AO433" i="2"/>
  <c r="AO441" i="2"/>
  <c r="AO447" i="2"/>
  <c r="AO453" i="2"/>
  <c r="AO461" i="2"/>
  <c r="AO465" i="2"/>
  <c r="AO469" i="2"/>
  <c r="AO475" i="2"/>
  <c r="AO481" i="2"/>
  <c r="AO489" i="2"/>
  <c r="AO495" i="2"/>
  <c r="AO501" i="2"/>
  <c r="AO507" i="2"/>
  <c r="AO513" i="2"/>
  <c r="AO519" i="2"/>
  <c r="AO529" i="2"/>
  <c r="AO535" i="2"/>
  <c r="AO541" i="2"/>
  <c r="AO547" i="2"/>
  <c r="AO553" i="2"/>
  <c r="AO559" i="2"/>
  <c r="AO565" i="2"/>
  <c r="AO571" i="2"/>
  <c r="AO579" i="2"/>
  <c r="AO275" i="2"/>
  <c r="AO281" i="2"/>
  <c r="AO287" i="2"/>
  <c r="AO293" i="2"/>
  <c r="AO299" i="2"/>
  <c r="AO305" i="2"/>
  <c r="AO311" i="2"/>
  <c r="AO317" i="2"/>
  <c r="AO325" i="2"/>
  <c r="AO331" i="2"/>
  <c r="AO337" i="2"/>
  <c r="AO341" i="2"/>
  <c r="AO347" i="2"/>
  <c r="AO353" i="2"/>
  <c r="AO359" i="2"/>
  <c r="AO363" i="2"/>
  <c r="AO369" i="2"/>
  <c r="AO377" i="2"/>
  <c r="AO383" i="2"/>
  <c r="AO389" i="2"/>
  <c r="AO393" i="2"/>
  <c r="AO399" i="2"/>
  <c r="AO405" i="2"/>
  <c r="AO411" i="2"/>
  <c r="AO417" i="2"/>
  <c r="AO421" i="2"/>
  <c r="AO429" i="2"/>
  <c r="AO435" i="2"/>
  <c r="AO439" i="2"/>
  <c r="AO445" i="2"/>
  <c r="AO451" i="2"/>
  <c r="AO459" i="2"/>
  <c r="AO467" i="2"/>
  <c r="AO473" i="2"/>
  <c r="AO479" i="2"/>
  <c r="AO483" i="2"/>
  <c r="AO487" i="2"/>
  <c r="AO493" i="2"/>
  <c r="AO499" i="2"/>
  <c r="AO505" i="2"/>
  <c r="AO509" i="2"/>
  <c r="AO517" i="2"/>
  <c r="AO523" i="2"/>
  <c r="AO525" i="2"/>
  <c r="AO533" i="2"/>
  <c r="AO539" i="2"/>
  <c r="AO543" i="2"/>
  <c r="AO549" i="2"/>
  <c r="AO555" i="2"/>
  <c r="AO561" i="2"/>
  <c r="AO567" i="2"/>
  <c r="AO575" i="2"/>
  <c r="AO577" i="2"/>
  <c r="AO279" i="2"/>
  <c r="AO285" i="2"/>
  <c r="AO291" i="2"/>
  <c r="AO297" i="2"/>
  <c r="AO303" i="2"/>
  <c r="AO309" i="2"/>
  <c r="AO315" i="2"/>
  <c r="AO321" i="2"/>
  <c r="AO327" i="2"/>
  <c r="AO333" i="2"/>
  <c r="AO339" i="2"/>
  <c r="AO345" i="2"/>
  <c r="AO351" i="2"/>
  <c r="AO357" i="2"/>
  <c r="AO365" i="2"/>
  <c r="AO371" i="2"/>
  <c r="AO375" i="2"/>
  <c r="AO381" i="2"/>
  <c r="AO387" i="2"/>
  <c r="AO395" i="2"/>
  <c r="AO401" i="2"/>
  <c r="AO407" i="2"/>
  <c r="AO413" i="2"/>
  <c r="AO419" i="2"/>
  <c r="AO425" i="2"/>
  <c r="AO431" i="2"/>
  <c r="AO437" i="2"/>
  <c r="AO443" i="2"/>
  <c r="AO449" i="2"/>
  <c r="AO457" i="2"/>
  <c r="AO463" i="2"/>
  <c r="AO471" i="2"/>
  <c r="AO477" i="2"/>
  <c r="AO485" i="2"/>
  <c r="AO491" i="2"/>
  <c r="AO497" i="2"/>
  <c r="AO503" i="2"/>
  <c r="AO511" i="2"/>
  <c r="AO515" i="2"/>
  <c r="AO521" i="2"/>
  <c r="AO527" i="2"/>
  <c r="AO531" i="2"/>
  <c r="AO537" i="2"/>
  <c r="AO545" i="2"/>
  <c r="AO551" i="2"/>
  <c r="AO557" i="2"/>
  <c r="AO563" i="2"/>
  <c r="AO569" i="2"/>
  <c r="AO573" i="2"/>
  <c r="AO581" i="2"/>
  <c r="AO455" i="2"/>
  <c r="AO78" i="2"/>
  <c r="AO142" i="2"/>
  <c r="AN462" i="2"/>
  <c r="AN228" i="2"/>
  <c r="AN479" i="2"/>
  <c r="AN74" i="2"/>
  <c r="AN170" i="2"/>
  <c r="AN186" i="2"/>
  <c r="AN210" i="2"/>
  <c r="AN234" i="2"/>
  <c r="AN258" i="2"/>
  <c r="AN282" i="2"/>
  <c r="AN306" i="2"/>
  <c r="AN330" i="2"/>
  <c r="AN354" i="2"/>
  <c r="AN378" i="2"/>
  <c r="AN402" i="2"/>
  <c r="AN426" i="2"/>
  <c r="AN454" i="2"/>
  <c r="AN474" i="2"/>
  <c r="AN506" i="2"/>
  <c r="AN530" i="2"/>
  <c r="AN562" i="2"/>
  <c r="AN578" i="2"/>
  <c r="AN610" i="2"/>
  <c r="AN35" i="2"/>
  <c r="AN59" i="2"/>
  <c r="AN75" i="2"/>
  <c r="AN99" i="2"/>
  <c r="AN123" i="2"/>
  <c r="AN175" i="2"/>
  <c r="AN223" i="2"/>
  <c r="AN271" i="2"/>
  <c r="AN459" i="2"/>
  <c r="AN284" i="2"/>
  <c r="AN317" i="2"/>
  <c r="AN441" i="2"/>
  <c r="AN511" i="2"/>
  <c r="AN575" i="2"/>
  <c r="AN42" i="2"/>
  <c r="AN106" i="2"/>
  <c r="AN349" i="2"/>
  <c r="AN527" i="2"/>
  <c r="AN122" i="2"/>
  <c r="AN18" i="2"/>
  <c r="AN146" i="2"/>
  <c r="AN180" i="2"/>
  <c r="AN252" i="2"/>
  <c r="AN276" i="2"/>
  <c r="AN324" i="2"/>
  <c r="AN348" i="2"/>
  <c r="AN372" i="2"/>
  <c r="AN396" i="2"/>
  <c r="AN420" i="2"/>
  <c r="AN444" i="2"/>
  <c r="AN464" i="2"/>
  <c r="AN488" i="2"/>
  <c r="AN512" i="2"/>
  <c r="AN536" i="2"/>
  <c r="AN560" i="2"/>
  <c r="AN584" i="2"/>
  <c r="AN608" i="2"/>
  <c r="AN29" i="2"/>
  <c r="AN53" i="2"/>
  <c r="AN77" i="2"/>
  <c r="AN101" i="2"/>
  <c r="AN125" i="2"/>
  <c r="AN149" i="2"/>
  <c r="AN389" i="2"/>
  <c r="AN483" i="2"/>
  <c r="AN547" i="2"/>
  <c r="AN14" i="2"/>
  <c r="AN78" i="2"/>
  <c r="AN142" i="2"/>
  <c r="AN171" i="2"/>
  <c r="AN187" i="2"/>
  <c r="AN203" i="2"/>
  <c r="AN219" i="2"/>
  <c r="AN235" i="2"/>
  <c r="AN251" i="2"/>
  <c r="AN267" i="2"/>
  <c r="AN283" i="2"/>
  <c r="AN303" i="2"/>
  <c r="AN319" i="2"/>
  <c r="AN335" i="2"/>
  <c r="AN351" i="2"/>
  <c r="AN367" i="2"/>
  <c r="AN383" i="2"/>
  <c r="AN399" i="2"/>
  <c r="AN415" i="2"/>
  <c r="AN431" i="2"/>
  <c r="AN447" i="2"/>
  <c r="AN463" i="2"/>
  <c r="AN16" i="2"/>
  <c r="AN32" i="2"/>
  <c r="AN48" i="2"/>
  <c r="AN68" i="2"/>
  <c r="AN84" i="2"/>
  <c r="AN100" i="2"/>
  <c r="AN116" i="2"/>
  <c r="AN132" i="2"/>
  <c r="AN148" i="2"/>
  <c r="AN365" i="2"/>
  <c r="AN98" i="2"/>
  <c r="AN373" i="2"/>
  <c r="AN475" i="2"/>
  <c r="AN539" i="2"/>
  <c r="AN603" i="2"/>
  <c r="AN70" i="2"/>
  <c r="AN134" i="2"/>
  <c r="AO169" i="2"/>
  <c r="AO171" i="2"/>
  <c r="AO173" i="2"/>
  <c r="AO175" i="2"/>
  <c r="AO177" i="2"/>
  <c r="AO179" i="2"/>
  <c r="AO181" i="2"/>
  <c r="AO183" i="2"/>
  <c r="AO201" i="2"/>
  <c r="AO203" i="2"/>
  <c r="AO205" i="2"/>
  <c r="AO207" i="2"/>
  <c r="AO209" i="2"/>
  <c r="AO211" i="2"/>
  <c r="AO213" i="2"/>
  <c r="AO215" i="2"/>
  <c r="AO233" i="2"/>
  <c r="AO235" i="2"/>
  <c r="AO237" i="2"/>
  <c r="AO239" i="2"/>
  <c r="AO241" i="2"/>
  <c r="AO243" i="2"/>
  <c r="AO245" i="2"/>
  <c r="AO247" i="2"/>
  <c r="AO265" i="2"/>
  <c r="AO267" i="2"/>
  <c r="AO269" i="2"/>
  <c r="AO271" i="2"/>
  <c r="AO273" i="2"/>
  <c r="Q58" i="2"/>
  <c r="AN58" i="2"/>
  <c r="AN204" i="2"/>
  <c r="AN543" i="2"/>
  <c r="AN138" i="2"/>
  <c r="AN162" i="2"/>
  <c r="AN194" i="2"/>
  <c r="AN226" i="2"/>
  <c r="AN250" i="2"/>
  <c r="AN274" i="2"/>
  <c r="AN298" i="2"/>
  <c r="AN322" i="2"/>
  <c r="AN346" i="2"/>
  <c r="AN386" i="2"/>
  <c r="AN410" i="2"/>
  <c r="AN434" i="2"/>
  <c r="AN466" i="2"/>
  <c r="AN498" i="2"/>
  <c r="AN522" i="2"/>
  <c r="AN546" i="2"/>
  <c r="AN570" i="2"/>
  <c r="AN594" i="2"/>
  <c r="AN27" i="2"/>
  <c r="AN51" i="2"/>
  <c r="AN83" i="2"/>
  <c r="AN115" i="2"/>
  <c r="AN139" i="2"/>
  <c r="AN155" i="2"/>
  <c r="AN191" i="2"/>
  <c r="AN255" i="2"/>
  <c r="AN299" i="2"/>
  <c r="AN315" i="2"/>
  <c r="AN347" i="2"/>
  <c r="AN363" i="2"/>
  <c r="AN379" i="2"/>
  <c r="AN395" i="2"/>
  <c r="AN411" i="2"/>
  <c r="AN427" i="2"/>
  <c r="AN443" i="2"/>
  <c r="AN28" i="2"/>
  <c r="AN56" i="2"/>
  <c r="AN72" i="2"/>
  <c r="AN88" i="2"/>
  <c r="AN104" i="2"/>
  <c r="AN120" i="2"/>
  <c r="AN136" i="2"/>
  <c r="AN152" i="2"/>
  <c r="AN333" i="2"/>
  <c r="AN50" i="2"/>
  <c r="AN421" i="2"/>
  <c r="AN499" i="2"/>
  <c r="AN563" i="2"/>
  <c r="AN30" i="2"/>
  <c r="AN94" i="2"/>
  <c r="AN158" i="2"/>
  <c r="AN429" i="2"/>
  <c r="AN130" i="2"/>
  <c r="AN164" i="2"/>
  <c r="AN188" i="2"/>
  <c r="AN212" i="2"/>
  <c r="AN236" i="2"/>
  <c r="AN260" i="2"/>
  <c r="AN308" i="2"/>
  <c r="AN356" i="2"/>
  <c r="AN380" i="2"/>
  <c r="AN404" i="2"/>
  <c r="AN428" i="2"/>
  <c r="AN468" i="2"/>
  <c r="AN492" i="2"/>
  <c r="AN516" i="2"/>
  <c r="AN540" i="2"/>
  <c r="AN564" i="2"/>
  <c r="AN588" i="2"/>
  <c r="AN33" i="2"/>
  <c r="AN57" i="2"/>
  <c r="AN81" i="2"/>
  <c r="AN105" i="2"/>
  <c r="AN129" i="2"/>
  <c r="AN153" i="2"/>
  <c r="AN405" i="2"/>
  <c r="AN491" i="2"/>
  <c r="AN555" i="2"/>
  <c r="AN22" i="2"/>
  <c r="AN86" i="2"/>
  <c r="AN150" i="2"/>
  <c r="AN487" i="2"/>
  <c r="AN591" i="2"/>
  <c r="AN300" i="2"/>
  <c r="AN381" i="2"/>
  <c r="AN607" i="2"/>
  <c r="AN178" i="2"/>
  <c r="AN202" i="2"/>
  <c r="AN218" i="2"/>
  <c r="AN242" i="2"/>
  <c r="AN266" i="2"/>
  <c r="AN290" i="2"/>
  <c r="AN314" i="2"/>
  <c r="AN338" i="2"/>
  <c r="AN362" i="2"/>
  <c r="AN370" i="2"/>
  <c r="AN394" i="2"/>
  <c r="AN418" i="2"/>
  <c r="AN442" i="2"/>
  <c r="AN482" i="2"/>
  <c r="AN490" i="2"/>
  <c r="AN514" i="2"/>
  <c r="AN538" i="2"/>
  <c r="AN554" i="2"/>
  <c r="AN586" i="2"/>
  <c r="AN602" i="2"/>
  <c r="AN19" i="2"/>
  <c r="AN43" i="2"/>
  <c r="AN67" i="2"/>
  <c r="AN91" i="2"/>
  <c r="AN107" i="2"/>
  <c r="AN131" i="2"/>
  <c r="AN147" i="2"/>
  <c r="AN207" i="2"/>
  <c r="AN239" i="2"/>
  <c r="AN287" i="2"/>
  <c r="AN331" i="2"/>
  <c r="AN44" i="2"/>
  <c r="AN332" i="2"/>
  <c r="AN413" i="2"/>
  <c r="AN495" i="2"/>
  <c r="AN559" i="2"/>
  <c r="Q26" i="2"/>
  <c r="AN26" i="2"/>
  <c r="AN90" i="2"/>
  <c r="AN154" i="2"/>
  <c r="AN397" i="2"/>
  <c r="AN82" i="2"/>
  <c r="AN168" i="2"/>
  <c r="AN166" i="2"/>
  <c r="AN174" i="2"/>
  <c r="AN182" i="2"/>
  <c r="AN190" i="2"/>
  <c r="AN198" i="2"/>
  <c r="AN206" i="2"/>
  <c r="AN214" i="2"/>
  <c r="AN222" i="2"/>
  <c r="AN230" i="2"/>
  <c r="AN238" i="2"/>
  <c r="AN246" i="2"/>
  <c r="AN254" i="2"/>
  <c r="AN262" i="2"/>
  <c r="AN270" i="2"/>
  <c r="AN278" i="2"/>
  <c r="AN286" i="2"/>
  <c r="AN294" i="2"/>
  <c r="AN302" i="2"/>
  <c r="AN310" i="2"/>
  <c r="AN318" i="2"/>
  <c r="AN326" i="2"/>
  <c r="AN334" i="2"/>
  <c r="AN342" i="2"/>
  <c r="AN350" i="2"/>
  <c r="AN358" i="2"/>
  <c r="AN366" i="2"/>
  <c r="AN374" i="2"/>
  <c r="AN382" i="2"/>
  <c r="AN390" i="2"/>
  <c r="AN398" i="2"/>
  <c r="AN406" i="2"/>
  <c r="AN414" i="2"/>
  <c r="AN422" i="2"/>
  <c r="AN430" i="2"/>
  <c r="AN438" i="2"/>
  <c r="AN450" i="2"/>
  <c r="AN458" i="2"/>
  <c r="AN470" i="2"/>
  <c r="AN478" i="2"/>
  <c r="AN486" i="2"/>
  <c r="AN494" i="2"/>
  <c r="AN502" i="2"/>
  <c r="AN510" i="2"/>
  <c r="AN518" i="2"/>
  <c r="AN526" i="2"/>
  <c r="AN534" i="2"/>
  <c r="AN542" i="2"/>
  <c r="AN550" i="2"/>
  <c r="AN558" i="2"/>
  <c r="AN566" i="2"/>
  <c r="AN574" i="2"/>
  <c r="AN582" i="2"/>
  <c r="AN590" i="2"/>
  <c r="AN598" i="2"/>
  <c r="AN606" i="2"/>
  <c r="AN15" i="2"/>
  <c r="AN23" i="2"/>
  <c r="AN31" i="2"/>
  <c r="AN39" i="2"/>
  <c r="AN47" i="2"/>
  <c r="AN55" i="2"/>
  <c r="AN63" i="2"/>
  <c r="AN71" i="2"/>
  <c r="AN79" i="2"/>
  <c r="AN87" i="2"/>
  <c r="AN95" i="2"/>
  <c r="AN103" i="2"/>
  <c r="AN111" i="2"/>
  <c r="AN119" i="2"/>
  <c r="AN127" i="2"/>
  <c r="AN135" i="2"/>
  <c r="AN143" i="2"/>
  <c r="AN151" i="2"/>
  <c r="AN159" i="2"/>
  <c r="AN11" i="2"/>
  <c r="AN167" i="2"/>
  <c r="AN183" i="2"/>
  <c r="AN199" i="2"/>
  <c r="AN215" i="2"/>
  <c r="AN231" i="2"/>
  <c r="AN247" i="2"/>
  <c r="AN263" i="2"/>
  <c r="AN279" i="2"/>
  <c r="AN295" i="2"/>
  <c r="AN307" i="2"/>
  <c r="AN323" i="2"/>
  <c r="AN339" i="2"/>
  <c r="AN355" i="2"/>
  <c r="AN371" i="2"/>
  <c r="AN387" i="2"/>
  <c r="AN403" i="2"/>
  <c r="AN419" i="2"/>
  <c r="AN435" i="2"/>
  <c r="AN451" i="2"/>
  <c r="AN20" i="2"/>
  <c r="AN36" i="2"/>
  <c r="AN52" i="2"/>
  <c r="AN64" i="2"/>
  <c r="AN80" i="2"/>
  <c r="AN96" i="2"/>
  <c r="AN112" i="2"/>
  <c r="AN128" i="2"/>
  <c r="AN144" i="2"/>
  <c r="AN160" i="2"/>
  <c r="AN452" i="2"/>
  <c r="AN114" i="2"/>
  <c r="AN357" i="2"/>
  <c r="AN467" i="2"/>
  <c r="AN531" i="2"/>
  <c r="AN595" i="2"/>
  <c r="AN62" i="2"/>
  <c r="AN126" i="2"/>
  <c r="AN66" i="2"/>
  <c r="AN176" i="2"/>
  <c r="AN200" i="2"/>
  <c r="AN224" i="2"/>
  <c r="AN248" i="2"/>
  <c r="AN272" i="2"/>
  <c r="AN296" i="2"/>
  <c r="AN320" i="2"/>
  <c r="AN344" i="2"/>
  <c r="AN368" i="2"/>
  <c r="AN392" i="2"/>
  <c r="AN416" i="2"/>
  <c r="AN440" i="2"/>
  <c r="AN480" i="2"/>
  <c r="AN504" i="2"/>
  <c r="AN528" i="2"/>
  <c r="AN552" i="2"/>
  <c r="AN576" i="2"/>
  <c r="AN600" i="2"/>
  <c r="AN45" i="2"/>
  <c r="AN69" i="2"/>
  <c r="AN93" i="2"/>
  <c r="AN117" i="2"/>
  <c r="AN141" i="2"/>
  <c r="AN341" i="2"/>
  <c r="AN457" i="2"/>
  <c r="AN523" i="2"/>
  <c r="AN587" i="2"/>
  <c r="AN54" i="2"/>
  <c r="AN118" i="2"/>
  <c r="AO552" i="2"/>
  <c r="AO568" i="2"/>
  <c r="AO17" i="2"/>
  <c r="AO33" i="2"/>
  <c r="AO55" i="2"/>
  <c r="AN535" i="2"/>
  <c r="AN519" i="2"/>
  <c r="AN567" i="2"/>
  <c r="AO583" i="2"/>
  <c r="AO585" i="2"/>
  <c r="AO587" i="2"/>
  <c r="AO589" i="2"/>
  <c r="AO591" i="2"/>
  <c r="AO593" i="2"/>
  <c r="AO595" i="2"/>
  <c r="AO597" i="2"/>
  <c r="AO599" i="2"/>
  <c r="AO601" i="2"/>
  <c r="AO603" i="2"/>
  <c r="AO605" i="2"/>
  <c r="AO607" i="2"/>
  <c r="AO609" i="2"/>
  <c r="AO12" i="2"/>
  <c r="AO14" i="2"/>
  <c r="AO16" i="2"/>
  <c r="AO18" i="2"/>
  <c r="AO20" i="2"/>
  <c r="AO22" i="2"/>
  <c r="AO24" i="2"/>
  <c r="AO26" i="2"/>
  <c r="AO28" i="2"/>
  <c r="AO30" i="2"/>
  <c r="AO32" i="2"/>
  <c r="AO34" i="2"/>
  <c r="AO36" i="2"/>
  <c r="AO38" i="2"/>
  <c r="AO40" i="2"/>
  <c r="AO42" i="2"/>
  <c r="AO44" i="2"/>
  <c r="AO46" i="2"/>
  <c r="AO48" i="2"/>
  <c r="AO50" i="2"/>
  <c r="AO52" i="2"/>
  <c r="AO54" i="2"/>
  <c r="AO56" i="2"/>
  <c r="AO58" i="2"/>
  <c r="AO60" i="2"/>
  <c r="AO62" i="2"/>
  <c r="AO64" i="2"/>
  <c r="AO66" i="2"/>
  <c r="AO68" i="2"/>
  <c r="AO70" i="2"/>
  <c r="AO72" i="2"/>
  <c r="AO74" i="2"/>
  <c r="AO76" i="2"/>
  <c r="AO80" i="2"/>
  <c r="AO82" i="2"/>
  <c r="AO84" i="2"/>
  <c r="AO86" i="2"/>
  <c r="AO88" i="2"/>
  <c r="AO90" i="2"/>
  <c r="AO92" i="2"/>
  <c r="AO94" i="2"/>
  <c r="AO96" i="2"/>
  <c r="AO98" i="2"/>
  <c r="AO100" i="2"/>
  <c r="AO102" i="2"/>
  <c r="AO104" i="2"/>
  <c r="AO106" i="2"/>
  <c r="AO108" i="2"/>
  <c r="AO110" i="2"/>
  <c r="AO112" i="2"/>
  <c r="AO114" i="2"/>
  <c r="AO116" i="2"/>
  <c r="AO118" i="2"/>
  <c r="AO120" i="2"/>
  <c r="AO122" i="2"/>
  <c r="AO124" i="2"/>
  <c r="AO126" i="2"/>
  <c r="AO128" i="2"/>
  <c r="AO130" i="2"/>
  <c r="AO132" i="2"/>
  <c r="AO134" i="2"/>
  <c r="AO136" i="2"/>
  <c r="AO138" i="2"/>
  <c r="AO140" i="2"/>
  <c r="AO144" i="2"/>
  <c r="AO146" i="2"/>
  <c r="AO148" i="2"/>
  <c r="AO150" i="2"/>
  <c r="AO152" i="2"/>
  <c r="AO154" i="2"/>
  <c r="AO156" i="2"/>
  <c r="AO158" i="2"/>
  <c r="AO160" i="2"/>
  <c r="AN165" i="2"/>
  <c r="AN173" i="2"/>
  <c r="AN181" i="2"/>
  <c r="AN189" i="2"/>
  <c r="AN197" i="2"/>
  <c r="AN205" i="2"/>
  <c r="AN213" i="2"/>
  <c r="AN221" i="2"/>
  <c r="AN229" i="2"/>
  <c r="AN237" i="2"/>
  <c r="AN245" i="2"/>
  <c r="AN253" i="2"/>
  <c r="AN261" i="2"/>
  <c r="AN269" i="2"/>
  <c r="AN277" i="2"/>
  <c r="AN285" i="2"/>
  <c r="AN293" i="2"/>
  <c r="AN301" i="2"/>
  <c r="AN309" i="2"/>
  <c r="AN321" i="2"/>
  <c r="AN337" i="2"/>
  <c r="AN353" i="2"/>
  <c r="AN369" i="2"/>
  <c r="AN385" i="2"/>
  <c r="AN401" i="2"/>
  <c r="AN417" i="2"/>
  <c r="AN433" i="2"/>
  <c r="AN445" i="2"/>
  <c r="AN453" i="2"/>
  <c r="AN465" i="2"/>
  <c r="AN473" i="2"/>
  <c r="AN481" i="2"/>
  <c r="AN489" i="2"/>
  <c r="AN497" i="2"/>
  <c r="AN505" i="2"/>
  <c r="AN513" i="2"/>
  <c r="AN521" i="2"/>
  <c r="AN529" i="2"/>
  <c r="AN537" i="2"/>
  <c r="AN545" i="2"/>
  <c r="AN553" i="2"/>
  <c r="AN561" i="2"/>
  <c r="AN569" i="2"/>
  <c r="AN577" i="2"/>
  <c r="AN585" i="2"/>
  <c r="AN593" i="2"/>
  <c r="AN601" i="2"/>
  <c r="AN609" i="2"/>
  <c r="AN172" i="2"/>
  <c r="AN196" i="2"/>
  <c r="AN220" i="2"/>
  <c r="AN244" i="2"/>
  <c r="AN268" i="2"/>
  <c r="AN292" i="2"/>
  <c r="AN316" i="2"/>
  <c r="AN340" i="2"/>
  <c r="AN364" i="2"/>
  <c r="AN388" i="2"/>
  <c r="AN412" i="2"/>
  <c r="AN448" i="2"/>
  <c r="AN472" i="2"/>
  <c r="AN496" i="2"/>
  <c r="AN520" i="2"/>
  <c r="AN544" i="2"/>
  <c r="AN568" i="2"/>
  <c r="AN592" i="2"/>
  <c r="AN17" i="2"/>
  <c r="AN37" i="2"/>
  <c r="AN61" i="2"/>
  <c r="AN85" i="2"/>
  <c r="AN109" i="2"/>
  <c r="AN133" i="2"/>
  <c r="AN157" i="2"/>
  <c r="AN599" i="2"/>
  <c r="AN583" i="2"/>
  <c r="AN192" i="2"/>
  <c r="AN216" i="2"/>
  <c r="AN240" i="2"/>
  <c r="AN264" i="2"/>
  <c r="AN288" i="2"/>
  <c r="AN312" i="2"/>
  <c r="AN336" i="2"/>
  <c r="AN360" i="2"/>
  <c r="AN384" i="2"/>
  <c r="AN408" i="2"/>
  <c r="AN432" i="2"/>
  <c r="AN456" i="2"/>
  <c r="AN476" i="2"/>
  <c r="AN500" i="2"/>
  <c r="AN524" i="2"/>
  <c r="AN548" i="2"/>
  <c r="AN572" i="2"/>
  <c r="AN596" i="2"/>
  <c r="AN21" i="2"/>
  <c r="AN41" i="2"/>
  <c r="AN65" i="2"/>
  <c r="AN89" i="2"/>
  <c r="AN113" i="2"/>
  <c r="AN137" i="2"/>
  <c r="AN325" i="2"/>
  <c r="AN446" i="2"/>
  <c r="AN515" i="2"/>
  <c r="AN579" i="2"/>
  <c r="AN46" i="2"/>
  <c r="AN110" i="2"/>
  <c r="AN163" i="2"/>
  <c r="AN179" i="2"/>
  <c r="AN195" i="2"/>
  <c r="AN211" i="2"/>
  <c r="AN227" i="2"/>
  <c r="AN243" i="2"/>
  <c r="AN259" i="2"/>
  <c r="AN275" i="2"/>
  <c r="AN291" i="2"/>
  <c r="AN311" i="2"/>
  <c r="AN327" i="2"/>
  <c r="AN343" i="2"/>
  <c r="AN359" i="2"/>
  <c r="AN375" i="2"/>
  <c r="AN391" i="2"/>
  <c r="AN407" i="2"/>
  <c r="AN423" i="2"/>
  <c r="AN439" i="2"/>
  <c r="AN455" i="2"/>
  <c r="AN12" i="2"/>
  <c r="AN24" i="2"/>
  <c r="AN40" i="2"/>
  <c r="AN60" i="2"/>
  <c r="AN76" i="2"/>
  <c r="AN92" i="2"/>
  <c r="AN108" i="2"/>
  <c r="AN124" i="2"/>
  <c r="AN140" i="2"/>
  <c r="AN156" i="2"/>
  <c r="AN34" i="2"/>
  <c r="AN13" i="2"/>
  <c r="AN436" i="2"/>
  <c r="AN507" i="2"/>
  <c r="AN571" i="2"/>
  <c r="AN38" i="2"/>
  <c r="AN102" i="2"/>
  <c r="AO162" i="2"/>
  <c r="AO164" i="2"/>
  <c r="AO166" i="2"/>
  <c r="AO168" i="2"/>
  <c r="AO170" i="2"/>
  <c r="AO172" i="2"/>
  <c r="AO174" i="2"/>
  <c r="AO176" i="2"/>
  <c r="AO178" i="2"/>
  <c r="AO180" i="2"/>
  <c r="AO182" i="2"/>
  <c r="AO184" i="2"/>
  <c r="AO186" i="2"/>
  <c r="AO188" i="2"/>
  <c r="AO190" i="2"/>
  <c r="AO192" i="2"/>
  <c r="AO194" i="2"/>
  <c r="AO196" i="2"/>
  <c r="AO198" i="2"/>
  <c r="AO200" i="2"/>
  <c r="AO202" i="2"/>
  <c r="AO204" i="2"/>
  <c r="AO206" i="2"/>
  <c r="AO208" i="2"/>
  <c r="AO210" i="2"/>
  <c r="AO212" i="2"/>
  <c r="AO214" i="2"/>
  <c r="AO216" i="2"/>
  <c r="AO218" i="2"/>
  <c r="AO220" i="2"/>
  <c r="AO222" i="2"/>
  <c r="AO224" i="2"/>
  <c r="AO226" i="2"/>
  <c r="AO228" i="2"/>
  <c r="AO230" i="2"/>
  <c r="AO232" i="2"/>
  <c r="AO234" i="2"/>
  <c r="AO236" i="2"/>
  <c r="AO238" i="2"/>
  <c r="AO240" i="2"/>
  <c r="AO242" i="2"/>
  <c r="AO244" i="2"/>
  <c r="AO246" i="2"/>
  <c r="AO248" i="2"/>
  <c r="AO250" i="2"/>
  <c r="AO252" i="2"/>
  <c r="AO254" i="2"/>
  <c r="AO256" i="2"/>
  <c r="AO258" i="2"/>
  <c r="AO260" i="2"/>
  <c r="AO262" i="2"/>
  <c r="AO264" i="2"/>
  <c r="AO266" i="2"/>
  <c r="AO268" i="2"/>
  <c r="AO270" i="2"/>
  <c r="AO272" i="2"/>
  <c r="AO274" i="2"/>
  <c r="AO276" i="2"/>
  <c r="AO278" i="2"/>
  <c r="AO280" i="2"/>
  <c r="AO282" i="2"/>
  <c r="AO284" i="2"/>
  <c r="AO286" i="2"/>
  <c r="AO288" i="2"/>
  <c r="AO290" i="2"/>
  <c r="AO292" i="2"/>
  <c r="AO294" i="2"/>
  <c r="AO296" i="2"/>
  <c r="AO298" i="2"/>
  <c r="AO300" i="2"/>
  <c r="AO302" i="2"/>
  <c r="AO304" i="2"/>
  <c r="AO306" i="2"/>
  <c r="AO308" i="2"/>
  <c r="AO310" i="2"/>
  <c r="AO312" i="2"/>
  <c r="AO314" i="2"/>
  <c r="AO316" i="2"/>
  <c r="AO318" i="2"/>
  <c r="AO320" i="2"/>
  <c r="AO322" i="2"/>
  <c r="AO324" i="2"/>
  <c r="AO326" i="2"/>
  <c r="AO328" i="2"/>
  <c r="AO330" i="2"/>
  <c r="AO332" i="2"/>
  <c r="AO334" i="2"/>
  <c r="AO336" i="2"/>
  <c r="AO338" i="2"/>
  <c r="AO340" i="2"/>
  <c r="AO342" i="2"/>
  <c r="AO344" i="2"/>
  <c r="AO346" i="2"/>
  <c r="AO348" i="2"/>
  <c r="AO350" i="2"/>
  <c r="AO352" i="2"/>
  <c r="AO354" i="2"/>
  <c r="AO356" i="2"/>
  <c r="AO358" i="2"/>
  <c r="AO360" i="2"/>
  <c r="AO362" i="2"/>
  <c r="AO364" i="2"/>
  <c r="AO366" i="2"/>
  <c r="AO368" i="2"/>
  <c r="AO370" i="2"/>
  <c r="AO372" i="2"/>
  <c r="AO374" i="2"/>
  <c r="AO376" i="2"/>
  <c r="AO378" i="2"/>
  <c r="AO380" i="2"/>
  <c r="AO382" i="2"/>
  <c r="AO384" i="2"/>
  <c r="AO386" i="2"/>
  <c r="AO388" i="2"/>
  <c r="AO390" i="2"/>
  <c r="AO392" i="2"/>
  <c r="AO394" i="2"/>
  <c r="AO396" i="2"/>
  <c r="AO398" i="2"/>
  <c r="AO400" i="2"/>
  <c r="AO402" i="2"/>
  <c r="AO404" i="2"/>
  <c r="AO406" i="2"/>
  <c r="AO408" i="2"/>
  <c r="AO410" i="2"/>
  <c r="AO412" i="2"/>
  <c r="AO414" i="2"/>
  <c r="AO416" i="2"/>
  <c r="AO418" i="2"/>
  <c r="AO420" i="2"/>
  <c r="AO422" i="2"/>
  <c r="AO424" i="2"/>
  <c r="AO426" i="2"/>
  <c r="AO428" i="2"/>
  <c r="AO430" i="2"/>
  <c r="AO432" i="2"/>
  <c r="AO434" i="2"/>
  <c r="AO436" i="2"/>
  <c r="AO438" i="2"/>
  <c r="AO440" i="2"/>
  <c r="AO442" i="2"/>
  <c r="AO444" i="2"/>
  <c r="AO446" i="2"/>
  <c r="AO448" i="2"/>
  <c r="AO450" i="2"/>
  <c r="AO452" i="2"/>
  <c r="AO454" i="2"/>
  <c r="AO456" i="2"/>
  <c r="AO458" i="2"/>
  <c r="AO460" i="2"/>
  <c r="AO462" i="2"/>
  <c r="AO464" i="2"/>
  <c r="AO466" i="2"/>
  <c r="AO468" i="2"/>
  <c r="AO470" i="2"/>
  <c r="AO472" i="2"/>
  <c r="AO474" i="2"/>
  <c r="AO476" i="2"/>
  <c r="AO478" i="2"/>
  <c r="AO480" i="2"/>
  <c r="AO482" i="2"/>
  <c r="AO484" i="2"/>
  <c r="AO486" i="2"/>
  <c r="AO488" i="2"/>
  <c r="AO490" i="2"/>
  <c r="AO492" i="2"/>
  <c r="AO494" i="2"/>
  <c r="AO496" i="2"/>
  <c r="AO498" i="2"/>
  <c r="AO500" i="2"/>
  <c r="AO502" i="2"/>
  <c r="AO504" i="2"/>
  <c r="AO506" i="2"/>
  <c r="AO508" i="2"/>
  <c r="AO510" i="2"/>
  <c r="AO512" i="2"/>
  <c r="AO514" i="2"/>
  <c r="AO516" i="2"/>
  <c r="AO518" i="2"/>
  <c r="AO520" i="2"/>
  <c r="AO522" i="2"/>
  <c r="AO524" i="2"/>
  <c r="AO526" i="2"/>
  <c r="AO528" i="2"/>
  <c r="AO530" i="2"/>
  <c r="AO532" i="2"/>
  <c r="AO534" i="2"/>
  <c r="AO536" i="2"/>
  <c r="AO538" i="2"/>
  <c r="AO540" i="2"/>
  <c r="AO542" i="2"/>
  <c r="AO544" i="2"/>
  <c r="AO546" i="2"/>
  <c r="AO548" i="2"/>
  <c r="AO550" i="2"/>
  <c r="AO554" i="2"/>
  <c r="AO556" i="2"/>
  <c r="AO558" i="2"/>
  <c r="AO560" i="2"/>
  <c r="AO562" i="2"/>
  <c r="AO564" i="2"/>
  <c r="AO566" i="2"/>
  <c r="AO570" i="2"/>
  <c r="AO572" i="2"/>
  <c r="AO574" i="2"/>
  <c r="AO576" i="2"/>
  <c r="AO578" i="2"/>
  <c r="AO580" i="2"/>
  <c r="AO582" i="2"/>
  <c r="AO584" i="2"/>
  <c r="AO586" i="2"/>
  <c r="AO588" i="2"/>
  <c r="AO590" i="2"/>
  <c r="AO592" i="2"/>
  <c r="AO594" i="2"/>
  <c r="AO596" i="2"/>
  <c r="AO598" i="2"/>
  <c r="AO600" i="2"/>
  <c r="AO602" i="2"/>
  <c r="AO604" i="2"/>
  <c r="AO606" i="2"/>
  <c r="AO608" i="2"/>
  <c r="AO610" i="2"/>
  <c r="AO13" i="2"/>
  <c r="AO15" i="2"/>
  <c r="AO19" i="2"/>
  <c r="AO21" i="2"/>
  <c r="AO23" i="2"/>
  <c r="AO25" i="2"/>
  <c r="AO27" i="2"/>
  <c r="AO29" i="2"/>
  <c r="AO31" i="2"/>
  <c r="AO35" i="2"/>
  <c r="AO37" i="2"/>
  <c r="AO39" i="2"/>
  <c r="AO41" i="2"/>
  <c r="AO43" i="2"/>
  <c r="AO45" i="2"/>
  <c r="AO47" i="2"/>
  <c r="AO49" i="2"/>
  <c r="AO51" i="2"/>
  <c r="AO53" i="2"/>
  <c r="AO57" i="2"/>
  <c r="AO59" i="2"/>
  <c r="AO61" i="2"/>
  <c r="AO63" i="2"/>
  <c r="AO65" i="2"/>
  <c r="AO67" i="2"/>
  <c r="AO69" i="2"/>
  <c r="AO71" i="2"/>
  <c r="AO73" i="2"/>
  <c r="AO75" i="2"/>
  <c r="AO77" i="2"/>
  <c r="AO79" i="2"/>
  <c r="AO81" i="2"/>
  <c r="AO83" i="2"/>
  <c r="AO85" i="2"/>
  <c r="AO87" i="2"/>
  <c r="AO89" i="2"/>
  <c r="AO91" i="2"/>
  <c r="AO93" i="2"/>
  <c r="AO95" i="2"/>
  <c r="AO97" i="2"/>
  <c r="AO99" i="2"/>
  <c r="AO101" i="2"/>
  <c r="AO103" i="2"/>
  <c r="AO105" i="2"/>
  <c r="AO107" i="2"/>
  <c r="AO109" i="2"/>
  <c r="AO111" i="2"/>
  <c r="AO113" i="2"/>
  <c r="AO115" i="2"/>
  <c r="AO117" i="2"/>
  <c r="AO119" i="2"/>
  <c r="AO121" i="2"/>
  <c r="AO123" i="2"/>
  <c r="AO125" i="2"/>
  <c r="AO127" i="2"/>
  <c r="AO129" i="2"/>
  <c r="AO131" i="2"/>
  <c r="R133" i="2"/>
  <c r="AO133" i="2"/>
  <c r="AO135" i="2"/>
  <c r="AO137" i="2"/>
  <c r="AO139" i="2"/>
  <c r="AO141" i="2"/>
  <c r="AO143" i="2"/>
  <c r="AO145" i="2"/>
  <c r="AO147" i="2"/>
  <c r="AO149" i="2"/>
  <c r="AO151" i="2"/>
  <c r="AO153" i="2"/>
  <c r="R155" i="2"/>
  <c r="AO155" i="2"/>
  <c r="AO157" i="2"/>
  <c r="AO159" i="2"/>
  <c r="AN161" i="2"/>
  <c r="AN169" i="2"/>
  <c r="AN177" i="2"/>
  <c r="AN185" i="2"/>
  <c r="AN193" i="2"/>
  <c r="AN201" i="2"/>
  <c r="AN209" i="2"/>
  <c r="AN217" i="2"/>
  <c r="AN225" i="2"/>
  <c r="AN233" i="2"/>
  <c r="AN241" i="2"/>
  <c r="AN249" i="2"/>
  <c r="AN257" i="2"/>
  <c r="AN265" i="2"/>
  <c r="AN273" i="2"/>
  <c r="AN281" i="2"/>
  <c r="AN289" i="2"/>
  <c r="AN297" i="2"/>
  <c r="AN305" i="2"/>
  <c r="AN313" i="2"/>
  <c r="AN329" i="2"/>
  <c r="AN345" i="2"/>
  <c r="AN361" i="2"/>
  <c r="AN377" i="2"/>
  <c r="AN393" i="2"/>
  <c r="AN409" i="2"/>
  <c r="AN425" i="2"/>
  <c r="AN437" i="2"/>
  <c r="AN449" i="2"/>
  <c r="AN461" i="2"/>
  <c r="AN469" i="2"/>
  <c r="AN477" i="2"/>
  <c r="AN485" i="2"/>
  <c r="AN493" i="2"/>
  <c r="AN501" i="2"/>
  <c r="AN509" i="2"/>
  <c r="AN517" i="2"/>
  <c r="AN525" i="2"/>
  <c r="AN533" i="2"/>
  <c r="AN541" i="2"/>
  <c r="AN549" i="2"/>
  <c r="AN557" i="2"/>
  <c r="AN565" i="2"/>
  <c r="AN573" i="2"/>
  <c r="AN581" i="2"/>
  <c r="AN589" i="2"/>
  <c r="AN597" i="2"/>
  <c r="AN605" i="2"/>
  <c r="AO11" i="2"/>
  <c r="AN184" i="2"/>
  <c r="AN208" i="2"/>
  <c r="AN232" i="2"/>
  <c r="AN256" i="2"/>
  <c r="AN280" i="2"/>
  <c r="AN304" i="2"/>
  <c r="AN328" i="2"/>
  <c r="AN352" i="2"/>
  <c r="AN376" i="2"/>
  <c r="AN400" i="2"/>
  <c r="AN424" i="2"/>
  <c r="AN460" i="2"/>
  <c r="AN484" i="2"/>
  <c r="AN508" i="2"/>
  <c r="AN532" i="2"/>
  <c r="AN556" i="2"/>
  <c r="AN580" i="2"/>
  <c r="AN604" i="2"/>
  <c r="AN25" i="2"/>
  <c r="AN49" i="2"/>
  <c r="AN73" i="2"/>
  <c r="AN97" i="2"/>
  <c r="AN121" i="2"/>
  <c r="AN145" i="2"/>
  <c r="AN471" i="2"/>
  <c r="AN551" i="2"/>
  <c r="AN503" i="2"/>
  <c r="U177" i="2"/>
  <c r="F308" i="2"/>
  <c r="U251" i="2"/>
  <c r="T457" i="2"/>
  <c r="F319" i="2"/>
  <c r="T453" i="2"/>
  <c r="F439" i="2"/>
  <c r="F399" i="2"/>
  <c r="F234" i="2"/>
  <c r="U232" i="2"/>
  <c r="U315" i="2"/>
  <c r="F263" i="2"/>
  <c r="V263" i="2" s="1"/>
  <c r="F353" i="2"/>
  <c r="T418" i="2"/>
  <c r="U286" i="2"/>
  <c r="F196" i="2"/>
  <c r="V196" i="2" s="1"/>
  <c r="F306" i="2"/>
  <c r="U203" i="2"/>
  <c r="U204" i="2"/>
  <c r="F411" i="2"/>
  <c r="F359" i="2"/>
  <c r="F292" i="2"/>
  <c r="F202" i="2"/>
  <c r="F284" i="2"/>
  <c r="F357" i="2"/>
  <c r="V357" i="2" s="1"/>
  <c r="U409" i="2"/>
  <c r="T271" i="2"/>
  <c r="T449" i="2"/>
  <c r="U434" i="2"/>
  <c r="F431" i="2"/>
  <c r="V431" i="2" s="1"/>
  <c r="F391" i="2"/>
  <c r="V391" i="2" s="1"/>
  <c r="F324" i="2"/>
  <c r="AR324" i="2" s="1"/>
  <c r="F247" i="2"/>
  <c r="F180" i="2"/>
  <c r="V180" i="2" s="1"/>
  <c r="F450" i="2"/>
  <c r="F451" i="2"/>
  <c r="T445" i="2"/>
  <c r="U267" i="2"/>
  <c r="U234" i="2"/>
  <c r="U346" i="2"/>
  <c r="F397" i="2"/>
  <c r="AR397" i="2" s="1"/>
  <c r="S248" i="2"/>
  <c r="U179" i="2"/>
  <c r="U197" i="2"/>
  <c r="U220" i="2"/>
  <c r="V168" i="2"/>
  <c r="F223" i="2"/>
  <c r="U325" i="2"/>
  <c r="U225" i="2"/>
  <c r="T228" i="2"/>
  <c r="T328" i="2"/>
  <c r="T346" i="2"/>
  <c r="T362" i="2"/>
  <c r="T402" i="2"/>
  <c r="F210" i="2"/>
  <c r="T184" i="2"/>
  <c r="T354" i="2"/>
  <c r="T370" i="2"/>
  <c r="V203" i="2"/>
  <c r="U393" i="2"/>
  <c r="T192" i="2"/>
  <c r="T320" i="2"/>
  <c r="T386" i="2"/>
  <c r="T442" i="2"/>
  <c r="U336" i="2"/>
  <c r="U222" i="2"/>
  <c r="T195" i="2"/>
  <c r="T239" i="2"/>
  <c r="T433" i="2"/>
  <c r="T437" i="2"/>
  <c r="T441" i="2"/>
  <c r="F423" i="2"/>
  <c r="V423" i="2" s="1"/>
  <c r="F379" i="2"/>
  <c r="F330" i="2"/>
  <c r="F279" i="2"/>
  <c r="V279" i="2" s="1"/>
  <c r="F218" i="2"/>
  <c r="F164" i="2"/>
  <c r="F385" i="2"/>
  <c r="V385" i="2" s="1"/>
  <c r="F453" i="2"/>
  <c r="F381" i="2"/>
  <c r="U209" i="2"/>
  <c r="T335" i="2"/>
  <c r="T429" i="2"/>
  <c r="U262" i="2"/>
  <c r="T227" i="2"/>
  <c r="T259" i="2"/>
  <c r="T291" i="2"/>
  <c r="V452" i="2"/>
  <c r="F187" i="2"/>
  <c r="F426" i="2"/>
  <c r="AR426" i="2" s="1"/>
  <c r="F402" i="2"/>
  <c r="F382" i="2"/>
  <c r="F362" i="2"/>
  <c r="V362" i="2" s="1"/>
  <c r="F339" i="2"/>
  <c r="F310" i="2"/>
  <c r="F288" i="2"/>
  <c r="V288" i="2" s="1"/>
  <c r="F256" i="2"/>
  <c r="F227" i="2"/>
  <c r="V227" i="2" s="1"/>
  <c r="F198" i="2"/>
  <c r="V198" i="2" s="1"/>
  <c r="F166" i="2"/>
  <c r="F443" i="2"/>
  <c r="AR443" i="2" s="1"/>
  <c r="F438" i="2"/>
  <c r="AR438" i="2" s="1"/>
  <c r="F432" i="2"/>
  <c r="F427" i="2"/>
  <c r="V427" i="2" s="1"/>
  <c r="F407" i="2"/>
  <c r="V407" i="2" s="1"/>
  <c r="F383" i="2"/>
  <c r="AR383" i="2" s="1"/>
  <c r="F363" i="2"/>
  <c r="F343" i="2"/>
  <c r="V343" i="2" s="1"/>
  <c r="F311" i="2"/>
  <c r="F282" i="2"/>
  <c r="AR282" i="2" s="1"/>
  <c r="F260" i="2"/>
  <c r="V260" i="2" s="1"/>
  <c r="F228" i="2"/>
  <c r="F199" i="2"/>
  <c r="V199" i="2" s="1"/>
  <c r="F170" i="2"/>
  <c r="AR170" i="2" s="1"/>
  <c r="F271" i="2"/>
  <c r="F369" i="2"/>
  <c r="F454" i="2"/>
  <c r="V454" i="2" s="1"/>
  <c r="F421" i="2"/>
  <c r="V421" i="2" s="1"/>
  <c r="F365" i="2"/>
  <c r="V365" i="2" s="1"/>
  <c r="F332" i="2"/>
  <c r="V332" i="2" s="1"/>
  <c r="F405" i="2"/>
  <c r="V405" i="2" s="1"/>
  <c r="V296" i="2"/>
  <c r="V268" i="2"/>
  <c r="V208" i="2"/>
  <c r="V204" i="2"/>
  <c r="V366" i="2"/>
  <c r="F171" i="2"/>
  <c r="F414" i="2"/>
  <c r="F394" i="2"/>
  <c r="F370" i="2"/>
  <c r="AR370" i="2" s="1"/>
  <c r="F350" i="2"/>
  <c r="F326" i="2"/>
  <c r="V326" i="2" s="1"/>
  <c r="F294" i="2"/>
  <c r="F272" i="2"/>
  <c r="F243" i="2"/>
  <c r="V243" i="2" s="1"/>
  <c r="F211" i="2"/>
  <c r="F182" i="2"/>
  <c r="F446" i="2"/>
  <c r="AR446" i="2" s="1"/>
  <c r="F440" i="2"/>
  <c r="F435" i="2"/>
  <c r="V435" i="2" s="1"/>
  <c r="F430" i="2"/>
  <c r="V430" i="2" s="1"/>
  <c r="F415" i="2"/>
  <c r="AR415" i="2" s="1"/>
  <c r="F395" i="2"/>
  <c r="F375" i="2"/>
  <c r="V375" i="2" s="1"/>
  <c r="F351" i="2"/>
  <c r="F327" i="2"/>
  <c r="AR327" i="2" s="1"/>
  <c r="F298" i="2"/>
  <c r="AR298" i="2" s="1"/>
  <c r="F266" i="2"/>
  <c r="F244" i="2"/>
  <c r="F215" i="2"/>
  <c r="AR215" i="2" s="1"/>
  <c r="F183" i="2"/>
  <c r="F207" i="2"/>
  <c r="V207" i="2" s="1"/>
  <c r="F322" i="2"/>
  <c r="V322" i="2" s="1"/>
  <c r="F417" i="2"/>
  <c r="AR417" i="2" s="1"/>
  <c r="F338" i="2"/>
  <c r="F236" i="2"/>
  <c r="V236" i="2" s="1"/>
  <c r="F455" i="2"/>
  <c r="F413" i="2"/>
  <c r="V413" i="2" s="1"/>
  <c r="V267" i="2"/>
  <c r="V449" i="2"/>
  <c r="F373" i="2"/>
  <c r="AR373" i="2" s="1"/>
  <c r="F274" i="2"/>
  <c r="AR274" i="2" s="1"/>
  <c r="F349" i="2"/>
  <c r="V349" i="2" s="1"/>
  <c r="F447" i="2"/>
  <c r="V447" i="2" s="1"/>
  <c r="F287" i="2"/>
  <c r="AR287" i="2" s="1"/>
  <c r="F389" i="2"/>
  <c r="AR389" i="2" s="1"/>
  <c r="F300" i="2"/>
  <c r="V300" i="2" s="1"/>
  <c r="F401" i="2"/>
  <c r="AR401" i="2" s="1"/>
  <c r="F335" i="2"/>
  <c r="AR335" i="2" s="1"/>
  <c r="F258" i="2"/>
  <c r="AR258" i="2" s="1"/>
  <c r="F167" i="2"/>
  <c r="V167" i="2" s="1"/>
  <c r="F186" i="2"/>
  <c r="AR186" i="2" s="1"/>
  <c r="F212" i="2"/>
  <c r="AR212" i="2" s="1"/>
  <c r="F231" i="2"/>
  <c r="AR231" i="2" s="1"/>
  <c r="F250" i="2"/>
  <c r="AR250" i="2" s="1"/>
  <c r="F276" i="2"/>
  <c r="V276" i="2" s="1"/>
  <c r="F295" i="2"/>
  <c r="V295" i="2" s="1"/>
  <c r="F314" i="2"/>
  <c r="AR314" i="2" s="1"/>
  <c r="F340" i="2"/>
  <c r="V340" i="2" s="1"/>
  <c r="F355" i="2"/>
  <c r="V355" i="2" s="1"/>
  <c r="F371" i="2"/>
  <c r="AR371" i="2" s="1"/>
  <c r="F387" i="2"/>
  <c r="AR387" i="2" s="1"/>
  <c r="F403" i="2"/>
  <c r="V403" i="2" s="1"/>
  <c r="F419" i="2"/>
  <c r="V419" i="2" s="1"/>
  <c r="F429" i="2"/>
  <c r="AR429" i="2" s="1"/>
  <c r="F433" i="2"/>
  <c r="AR433" i="2" s="1"/>
  <c r="F437" i="2"/>
  <c r="V437" i="2" s="1"/>
  <c r="F441" i="2"/>
  <c r="AR441" i="2" s="1"/>
  <c r="F445" i="2"/>
  <c r="AR445" i="2" s="1"/>
  <c r="F176" i="2"/>
  <c r="AR176" i="2" s="1"/>
  <c r="F195" i="2"/>
  <c r="AR195" i="2" s="1"/>
  <c r="F214" i="2"/>
  <c r="V214" i="2" s="1"/>
  <c r="F240" i="2"/>
  <c r="AR240" i="2" s="1"/>
  <c r="F259" i="2"/>
  <c r="AR259" i="2" s="1"/>
  <c r="F278" i="2"/>
  <c r="V278" i="2" s="1"/>
  <c r="F304" i="2"/>
  <c r="V304" i="2" s="1"/>
  <c r="F323" i="2"/>
  <c r="V323" i="2" s="1"/>
  <c r="F342" i="2"/>
  <c r="AR342" i="2" s="1"/>
  <c r="F358" i="2"/>
  <c r="V358" i="2" s="1"/>
  <c r="F374" i="2"/>
  <c r="V374" i="2" s="1"/>
  <c r="F390" i="2"/>
  <c r="AR390" i="2" s="1"/>
  <c r="F406" i="2"/>
  <c r="AR406" i="2" s="1"/>
  <c r="F422" i="2"/>
  <c r="V422" i="2" s="1"/>
  <c r="F174" i="2"/>
  <c r="V174" i="2" s="1"/>
  <c r="F200" i="2"/>
  <c r="AR200" i="2" s="1"/>
  <c r="F219" i="2"/>
  <c r="AR219" i="2" s="1"/>
  <c r="F238" i="2"/>
  <c r="V238" i="2" s="1"/>
  <c r="F264" i="2"/>
  <c r="AR264" i="2" s="1"/>
  <c r="F283" i="2"/>
  <c r="AR283" i="2" s="1"/>
  <c r="F302" i="2"/>
  <c r="AR302" i="2" s="1"/>
  <c r="F328" i="2"/>
  <c r="AR328" i="2" s="1"/>
  <c r="F348" i="2"/>
  <c r="AR348" i="2" s="1"/>
  <c r="F364" i="2"/>
  <c r="AR364" i="2" s="1"/>
  <c r="F380" i="2"/>
  <c r="AR380" i="2" s="1"/>
  <c r="F396" i="2"/>
  <c r="AR396" i="2" s="1"/>
  <c r="F412" i="2"/>
  <c r="AR412" i="2" s="1"/>
  <c r="F11" i="2"/>
  <c r="AR11" i="2" s="1"/>
  <c r="F425" i="2"/>
  <c r="AR425" i="2" s="1"/>
  <c r="F361" i="2"/>
  <c r="V361" i="2" s="1"/>
  <c r="F290" i="2"/>
  <c r="AR290" i="2" s="1"/>
  <c r="F188" i="2"/>
  <c r="V188" i="2" s="1"/>
  <c r="F242" i="2"/>
  <c r="AR242" i="2" s="1"/>
  <c r="F162" i="2"/>
  <c r="AR162" i="2" s="1"/>
  <c r="F329" i="2"/>
  <c r="V329" i="2" s="1"/>
  <c r="F313" i="2"/>
  <c r="AR313" i="2" s="1"/>
  <c r="F297" i="2"/>
  <c r="AR297" i="2" s="1"/>
  <c r="F281" i="2"/>
  <c r="V281" i="2" s="1"/>
  <c r="F265" i="2"/>
  <c r="V265" i="2" s="1"/>
  <c r="F249" i="2"/>
  <c r="AR249" i="2" s="1"/>
  <c r="F233" i="2"/>
  <c r="V233" i="2" s="1"/>
  <c r="F217" i="2"/>
  <c r="V217" i="2" s="1"/>
  <c r="F201" i="2"/>
  <c r="V201" i="2" s="1"/>
  <c r="F185" i="2"/>
  <c r="AR185" i="2" s="1"/>
  <c r="F169" i="2"/>
  <c r="AR169" i="2" s="1"/>
  <c r="V162" i="2"/>
  <c r="V290" i="2"/>
  <c r="V404" i="2"/>
  <c r="V218" i="2"/>
  <c r="F194" i="2"/>
  <c r="AR194" i="2" s="1"/>
  <c r="F457" i="2"/>
  <c r="V457" i="2" s="1"/>
  <c r="F458" i="2"/>
  <c r="AR458" i="2" s="1"/>
  <c r="F459" i="2"/>
  <c r="AR459" i="2" s="1"/>
  <c r="F460" i="2"/>
  <c r="AR460" i="2" s="1"/>
  <c r="F461" i="2"/>
  <c r="AR461" i="2" s="1"/>
  <c r="F462" i="2"/>
  <c r="AR462" i="2" s="1"/>
  <c r="F463" i="2"/>
  <c r="AR463" i="2" s="1"/>
  <c r="F464" i="2"/>
  <c r="AR464" i="2" s="1"/>
  <c r="F465" i="2"/>
  <c r="AR465" i="2" s="1"/>
  <c r="F466" i="2"/>
  <c r="AR466" i="2" s="1"/>
  <c r="F467" i="2"/>
  <c r="AR467" i="2" s="1"/>
  <c r="F468" i="2"/>
  <c r="AR468" i="2" s="1"/>
  <c r="F469" i="2"/>
  <c r="AR469" i="2" s="1"/>
  <c r="F470" i="2"/>
  <c r="AR470" i="2" s="1"/>
  <c r="F471" i="2"/>
  <c r="AR471" i="2" s="1"/>
  <c r="F472" i="2"/>
  <c r="AR472" i="2" s="1"/>
  <c r="F473" i="2"/>
  <c r="AR473" i="2" s="1"/>
  <c r="F474" i="2"/>
  <c r="AR474" i="2" s="1"/>
  <c r="F475" i="2"/>
  <c r="AR475" i="2" s="1"/>
  <c r="F476" i="2"/>
  <c r="AR476" i="2" s="1"/>
  <c r="F477" i="2"/>
  <c r="AR477" i="2" s="1"/>
  <c r="F478" i="2"/>
  <c r="AR478" i="2" s="1"/>
  <c r="F479" i="2"/>
  <c r="AR479" i="2" s="1"/>
  <c r="F480" i="2"/>
  <c r="AR480" i="2" s="1"/>
  <c r="F481" i="2"/>
  <c r="AR481" i="2" s="1"/>
  <c r="F482" i="2"/>
  <c r="AR482" i="2" s="1"/>
  <c r="F483" i="2"/>
  <c r="AR483" i="2" s="1"/>
  <c r="F484" i="2"/>
  <c r="AR484" i="2" s="1"/>
  <c r="F485" i="2"/>
  <c r="AR485" i="2" s="1"/>
  <c r="F486" i="2"/>
  <c r="AR486" i="2" s="1"/>
  <c r="F487" i="2"/>
  <c r="AR487" i="2" s="1"/>
  <c r="F488" i="2"/>
  <c r="AR488" i="2" s="1"/>
  <c r="F489" i="2"/>
  <c r="AR489" i="2" s="1"/>
  <c r="F490" i="2"/>
  <c r="AR490" i="2" s="1"/>
  <c r="F491" i="2"/>
  <c r="AR491" i="2" s="1"/>
  <c r="F492" i="2"/>
  <c r="AR492" i="2" s="1"/>
  <c r="F493" i="2"/>
  <c r="AR493" i="2" s="1"/>
  <c r="F494" i="2"/>
  <c r="AR494" i="2" s="1"/>
  <c r="F495" i="2"/>
  <c r="AR495" i="2" s="1"/>
  <c r="F496" i="2"/>
  <c r="AR496" i="2" s="1"/>
  <c r="F497" i="2"/>
  <c r="AR497" i="2" s="1"/>
  <c r="F498" i="2"/>
  <c r="AR498" i="2" s="1"/>
  <c r="F499" i="2"/>
  <c r="AR499" i="2" s="1"/>
  <c r="F500" i="2"/>
  <c r="AR500" i="2" s="1"/>
  <c r="F501" i="2"/>
  <c r="AR501" i="2" s="1"/>
  <c r="F502" i="2"/>
  <c r="AR502" i="2" s="1"/>
  <c r="F503" i="2"/>
  <c r="AR503" i="2" s="1"/>
  <c r="F504" i="2"/>
  <c r="AR504" i="2" s="1"/>
  <c r="F505" i="2"/>
  <c r="AR505" i="2" s="1"/>
  <c r="F506" i="2"/>
  <c r="AR506" i="2" s="1"/>
  <c r="F507" i="2"/>
  <c r="AR507" i="2" s="1"/>
  <c r="F508" i="2"/>
  <c r="AR508" i="2" s="1"/>
  <c r="F509" i="2"/>
  <c r="AR509" i="2" s="1"/>
  <c r="F510" i="2"/>
  <c r="AR510" i="2" s="1"/>
  <c r="F511" i="2"/>
  <c r="AR511" i="2" s="1"/>
  <c r="F512" i="2"/>
  <c r="AR512" i="2" s="1"/>
  <c r="F513" i="2"/>
  <c r="AR513" i="2" s="1"/>
  <c r="F514" i="2"/>
  <c r="AR514" i="2" s="1"/>
  <c r="F515" i="2"/>
  <c r="AR515" i="2" s="1"/>
  <c r="F516" i="2"/>
  <c r="AR516" i="2" s="1"/>
  <c r="F517" i="2"/>
  <c r="AR517" i="2" s="1"/>
  <c r="F518" i="2"/>
  <c r="AR518" i="2" s="1"/>
  <c r="F519" i="2"/>
  <c r="AR519" i="2" s="1"/>
  <c r="F520" i="2"/>
  <c r="AR520" i="2" s="1"/>
  <c r="F521" i="2"/>
  <c r="AR521" i="2" s="1"/>
  <c r="F522" i="2"/>
  <c r="AR522" i="2" s="1"/>
  <c r="F523" i="2"/>
  <c r="AR523" i="2" s="1"/>
  <c r="F524" i="2"/>
  <c r="AR524" i="2" s="1"/>
  <c r="F525" i="2"/>
  <c r="AR525" i="2" s="1"/>
  <c r="F526" i="2"/>
  <c r="AR526" i="2" s="1"/>
  <c r="F527" i="2"/>
  <c r="AR527" i="2" s="1"/>
  <c r="F528" i="2"/>
  <c r="AR528" i="2" s="1"/>
  <c r="F529" i="2"/>
  <c r="AR529" i="2" s="1"/>
  <c r="F530" i="2"/>
  <c r="AR530" i="2" s="1"/>
  <c r="F531" i="2"/>
  <c r="AR531" i="2" s="1"/>
  <c r="F532" i="2"/>
  <c r="AR532" i="2" s="1"/>
  <c r="F533" i="2"/>
  <c r="AR533" i="2" s="1"/>
  <c r="F534" i="2"/>
  <c r="AR534" i="2" s="1"/>
  <c r="F535" i="2"/>
  <c r="AR535" i="2" s="1"/>
  <c r="F536" i="2"/>
  <c r="AR536" i="2" s="1"/>
  <c r="F537" i="2"/>
  <c r="AR537" i="2" s="1"/>
  <c r="F538" i="2"/>
  <c r="AR538" i="2" s="1"/>
  <c r="F539" i="2"/>
  <c r="AR539" i="2" s="1"/>
  <c r="F540" i="2"/>
  <c r="AR540" i="2" s="1"/>
  <c r="F541" i="2"/>
  <c r="AR541" i="2" s="1"/>
  <c r="F172" i="2"/>
  <c r="AR172" i="2" s="1"/>
  <c r="F542" i="2"/>
  <c r="AR542" i="2" s="1"/>
  <c r="F543" i="2"/>
  <c r="AR543" i="2" s="1"/>
  <c r="F544" i="2"/>
  <c r="AR544" i="2" s="1"/>
  <c r="F545" i="2"/>
  <c r="AR545" i="2" s="1"/>
  <c r="F546" i="2"/>
  <c r="AR546" i="2" s="1"/>
  <c r="F547" i="2"/>
  <c r="AR547" i="2" s="1"/>
  <c r="F548" i="2"/>
  <c r="AR548" i="2" s="1"/>
  <c r="F549" i="2"/>
  <c r="AR549" i="2" s="1"/>
  <c r="F550" i="2"/>
  <c r="AR550" i="2" s="1"/>
  <c r="F551" i="2"/>
  <c r="AR551" i="2" s="1"/>
  <c r="F552" i="2"/>
  <c r="AR552" i="2" s="1"/>
  <c r="F553" i="2"/>
  <c r="AR553" i="2" s="1"/>
  <c r="F554" i="2"/>
  <c r="AR554" i="2" s="1"/>
  <c r="F555" i="2"/>
  <c r="AR555" i="2" s="1"/>
  <c r="F556" i="2"/>
  <c r="AR556" i="2" s="1"/>
  <c r="F557" i="2"/>
  <c r="AR557" i="2" s="1"/>
  <c r="F558" i="2"/>
  <c r="AR558" i="2" s="1"/>
  <c r="F559" i="2"/>
  <c r="AR559" i="2" s="1"/>
  <c r="F560" i="2"/>
  <c r="AR560" i="2" s="1"/>
  <c r="F561" i="2"/>
  <c r="AR561" i="2" s="1"/>
  <c r="F562" i="2"/>
  <c r="AR562" i="2" s="1"/>
  <c r="F563" i="2"/>
  <c r="AR563" i="2" s="1"/>
  <c r="F564" i="2"/>
  <c r="AR564" i="2" s="1"/>
  <c r="F565" i="2"/>
  <c r="AR565" i="2" s="1"/>
  <c r="F566" i="2"/>
  <c r="AR566" i="2" s="1"/>
  <c r="F567" i="2"/>
  <c r="AR567" i="2" s="1"/>
  <c r="F568" i="2"/>
  <c r="AR568" i="2" s="1"/>
  <c r="F569" i="2"/>
  <c r="AR569" i="2" s="1"/>
  <c r="F570" i="2"/>
  <c r="AR570" i="2" s="1"/>
  <c r="F571" i="2"/>
  <c r="AR571" i="2" s="1"/>
  <c r="F572" i="2"/>
  <c r="AR572" i="2" s="1"/>
  <c r="F573" i="2"/>
  <c r="AR573" i="2" s="1"/>
  <c r="F574" i="2"/>
  <c r="AR574" i="2" s="1"/>
  <c r="F575" i="2"/>
  <c r="AR575" i="2" s="1"/>
  <c r="F576" i="2"/>
  <c r="AR576" i="2" s="1"/>
  <c r="F577" i="2"/>
  <c r="AR577" i="2" s="1"/>
  <c r="F578" i="2"/>
  <c r="AR578" i="2" s="1"/>
  <c r="F579" i="2"/>
  <c r="AR579" i="2" s="1"/>
  <c r="F580" i="2"/>
  <c r="AR580" i="2" s="1"/>
  <c r="F581" i="2"/>
  <c r="AR581" i="2" s="1"/>
  <c r="F582" i="2"/>
  <c r="AR582" i="2" s="1"/>
  <c r="F583" i="2"/>
  <c r="AR583" i="2" s="1"/>
  <c r="F584" i="2"/>
  <c r="AR584" i="2" s="1"/>
  <c r="F585" i="2"/>
  <c r="AR585" i="2" s="1"/>
  <c r="F586" i="2"/>
  <c r="AR586" i="2" s="1"/>
  <c r="F587" i="2"/>
  <c r="AR587" i="2" s="1"/>
  <c r="F588" i="2"/>
  <c r="AR588" i="2" s="1"/>
  <c r="F589" i="2"/>
  <c r="AR589" i="2" s="1"/>
  <c r="F590" i="2"/>
  <c r="AR590" i="2" s="1"/>
  <c r="F591" i="2"/>
  <c r="AR591" i="2" s="1"/>
  <c r="F592" i="2"/>
  <c r="AR592" i="2" s="1"/>
  <c r="F593" i="2"/>
  <c r="AR593" i="2" s="1"/>
  <c r="F594" i="2"/>
  <c r="AR594" i="2" s="1"/>
  <c r="F595" i="2"/>
  <c r="AR595" i="2" s="1"/>
  <c r="F596" i="2"/>
  <c r="AR596" i="2" s="1"/>
  <c r="F597" i="2"/>
  <c r="AR597" i="2" s="1"/>
  <c r="F598" i="2"/>
  <c r="AR598" i="2" s="1"/>
  <c r="F599" i="2"/>
  <c r="AR599" i="2" s="1"/>
  <c r="F600" i="2"/>
  <c r="AR600" i="2" s="1"/>
  <c r="F601" i="2"/>
  <c r="AR601" i="2" s="1"/>
  <c r="F602" i="2"/>
  <c r="AR602" i="2" s="1"/>
  <c r="F603" i="2"/>
  <c r="AR603" i="2" s="1"/>
  <c r="F604" i="2"/>
  <c r="AR604" i="2" s="1"/>
  <c r="F605" i="2"/>
  <c r="AR605" i="2" s="1"/>
  <c r="F606" i="2"/>
  <c r="AR606" i="2" s="1"/>
  <c r="F607" i="2"/>
  <c r="AR607" i="2" s="1"/>
  <c r="F608" i="2"/>
  <c r="AR608" i="2" s="1"/>
  <c r="F609" i="2"/>
  <c r="AR609" i="2" s="1"/>
  <c r="F610" i="2"/>
  <c r="AR610" i="2" s="1"/>
  <c r="F12" i="2"/>
  <c r="AR12" i="2" s="1"/>
  <c r="F13" i="2"/>
  <c r="AR13" i="2" s="1"/>
  <c r="F14" i="2"/>
  <c r="AR14" i="2" s="1"/>
  <c r="F15" i="2"/>
  <c r="AR15" i="2" s="1"/>
  <c r="F16" i="2"/>
  <c r="AR16" i="2" s="1"/>
  <c r="F17" i="2"/>
  <c r="AR17" i="2" s="1"/>
  <c r="F18" i="2"/>
  <c r="AR18" i="2" s="1"/>
  <c r="F19" i="2"/>
  <c r="AR19" i="2" s="1"/>
  <c r="F20" i="2"/>
  <c r="AR20" i="2" s="1"/>
  <c r="F21" i="2"/>
  <c r="AR21" i="2" s="1"/>
  <c r="F22" i="2"/>
  <c r="AR22" i="2" s="1"/>
  <c r="F23" i="2"/>
  <c r="AR23" i="2" s="1"/>
  <c r="F24" i="2"/>
  <c r="AR24" i="2" s="1"/>
  <c r="F25" i="2"/>
  <c r="AR25" i="2" s="1"/>
  <c r="F26" i="2"/>
  <c r="AR26" i="2" s="1"/>
  <c r="F27" i="2"/>
  <c r="AR27" i="2" s="1"/>
  <c r="F28" i="2"/>
  <c r="AR28" i="2" s="1"/>
  <c r="F29" i="2"/>
  <c r="AR29" i="2" s="1"/>
  <c r="F30" i="2"/>
  <c r="AR30" i="2" s="1"/>
  <c r="F31" i="2"/>
  <c r="AR31" i="2" s="1"/>
  <c r="F32" i="2"/>
  <c r="AR32" i="2" s="1"/>
  <c r="F33" i="2"/>
  <c r="AR33" i="2" s="1"/>
  <c r="F34" i="2"/>
  <c r="AR34" i="2" s="1"/>
  <c r="F35" i="2"/>
  <c r="AR35" i="2" s="1"/>
  <c r="F36" i="2"/>
  <c r="AR36" i="2" s="1"/>
  <c r="F37" i="2"/>
  <c r="AR37" i="2" s="1"/>
  <c r="F38" i="2"/>
  <c r="AR38" i="2" s="1"/>
  <c r="F39" i="2"/>
  <c r="AR39" i="2" s="1"/>
  <c r="F40" i="2"/>
  <c r="AR40" i="2" s="1"/>
  <c r="F41" i="2"/>
  <c r="AR41" i="2" s="1"/>
  <c r="F42" i="2"/>
  <c r="AR42" i="2" s="1"/>
  <c r="F43" i="2"/>
  <c r="AR43" i="2" s="1"/>
  <c r="F44" i="2"/>
  <c r="AR44" i="2" s="1"/>
  <c r="F45" i="2"/>
  <c r="AR45" i="2" s="1"/>
  <c r="F46" i="2"/>
  <c r="AR46" i="2" s="1"/>
  <c r="F47" i="2"/>
  <c r="AR47" i="2" s="1"/>
  <c r="F48" i="2"/>
  <c r="AR48" i="2" s="1"/>
  <c r="F49" i="2"/>
  <c r="AR49" i="2" s="1"/>
  <c r="F50" i="2"/>
  <c r="AR50" i="2" s="1"/>
  <c r="F51" i="2"/>
  <c r="AR51" i="2" s="1"/>
  <c r="F52" i="2"/>
  <c r="AR52" i="2" s="1"/>
  <c r="F53" i="2"/>
  <c r="AR53" i="2" s="1"/>
  <c r="F54" i="2"/>
  <c r="AR54" i="2" s="1"/>
  <c r="F55" i="2"/>
  <c r="AR55" i="2" s="1"/>
  <c r="F56" i="2"/>
  <c r="AR56" i="2" s="1"/>
  <c r="F57" i="2"/>
  <c r="AR57" i="2" s="1"/>
  <c r="F58" i="2"/>
  <c r="AR58" i="2" s="1"/>
  <c r="F59" i="2"/>
  <c r="AR59" i="2" s="1"/>
  <c r="F60" i="2"/>
  <c r="AR60" i="2" s="1"/>
  <c r="F61" i="2"/>
  <c r="AR61" i="2" s="1"/>
  <c r="F62" i="2"/>
  <c r="AR62" i="2" s="1"/>
  <c r="F63" i="2"/>
  <c r="AR63" i="2" s="1"/>
  <c r="F64" i="2"/>
  <c r="AR64" i="2" s="1"/>
  <c r="F65" i="2"/>
  <c r="AR65" i="2" s="1"/>
  <c r="F66" i="2"/>
  <c r="AR66" i="2" s="1"/>
  <c r="F67" i="2"/>
  <c r="AR67" i="2" s="1"/>
  <c r="F68" i="2"/>
  <c r="AR68" i="2" s="1"/>
  <c r="F69" i="2"/>
  <c r="AR69" i="2" s="1"/>
  <c r="F70" i="2"/>
  <c r="AR70" i="2" s="1"/>
  <c r="F71" i="2"/>
  <c r="AR71" i="2" s="1"/>
  <c r="F72" i="2"/>
  <c r="AR72" i="2" s="1"/>
  <c r="F73" i="2"/>
  <c r="AR73" i="2" s="1"/>
  <c r="F74" i="2"/>
  <c r="AR74" i="2" s="1"/>
  <c r="F75" i="2"/>
  <c r="AR75" i="2" s="1"/>
  <c r="F76" i="2"/>
  <c r="AR76" i="2" s="1"/>
  <c r="F77" i="2"/>
  <c r="AR77" i="2" s="1"/>
  <c r="F78" i="2"/>
  <c r="AR78" i="2" s="1"/>
  <c r="F79" i="2"/>
  <c r="AR79" i="2" s="1"/>
  <c r="F80" i="2"/>
  <c r="AR80" i="2" s="1"/>
  <c r="F81" i="2"/>
  <c r="AR81" i="2" s="1"/>
  <c r="F82" i="2"/>
  <c r="AR82" i="2" s="1"/>
  <c r="F83" i="2"/>
  <c r="AR83" i="2" s="1"/>
  <c r="F84" i="2"/>
  <c r="AR84" i="2" s="1"/>
  <c r="F85" i="2"/>
  <c r="AR85" i="2" s="1"/>
  <c r="F86" i="2"/>
  <c r="AR86" i="2" s="1"/>
  <c r="F87" i="2"/>
  <c r="AR87" i="2" s="1"/>
  <c r="F88" i="2"/>
  <c r="AR88" i="2" s="1"/>
  <c r="F89" i="2"/>
  <c r="AR89" i="2" s="1"/>
  <c r="F90" i="2"/>
  <c r="AR90" i="2" s="1"/>
  <c r="F91" i="2"/>
  <c r="AR91" i="2" s="1"/>
  <c r="F92" i="2"/>
  <c r="AR92" i="2" s="1"/>
  <c r="F93" i="2"/>
  <c r="AR93" i="2" s="1"/>
  <c r="F94" i="2"/>
  <c r="AR94" i="2" s="1"/>
  <c r="F95" i="2"/>
  <c r="AR95" i="2" s="1"/>
  <c r="F96" i="2"/>
  <c r="AR96" i="2" s="1"/>
  <c r="F97" i="2"/>
  <c r="AR97" i="2" s="1"/>
  <c r="F98" i="2"/>
  <c r="AR98" i="2" s="1"/>
  <c r="F99" i="2"/>
  <c r="AR99" i="2" s="1"/>
  <c r="F100" i="2"/>
  <c r="AR100" i="2" s="1"/>
  <c r="F101" i="2"/>
  <c r="AR101" i="2" s="1"/>
  <c r="F102" i="2"/>
  <c r="AR102" i="2" s="1"/>
  <c r="F103" i="2"/>
  <c r="AR103" i="2" s="1"/>
  <c r="F104" i="2"/>
  <c r="AR104" i="2" s="1"/>
  <c r="F105" i="2"/>
  <c r="AR105" i="2" s="1"/>
  <c r="F106" i="2"/>
  <c r="AR106" i="2" s="1"/>
  <c r="F107" i="2"/>
  <c r="AR107" i="2" s="1"/>
  <c r="F108" i="2"/>
  <c r="AR108" i="2" s="1"/>
  <c r="F109" i="2"/>
  <c r="AR109" i="2" s="1"/>
  <c r="F110" i="2"/>
  <c r="AR110" i="2" s="1"/>
  <c r="F111" i="2"/>
  <c r="AR111" i="2" s="1"/>
  <c r="F112" i="2"/>
  <c r="AR112" i="2" s="1"/>
  <c r="F113" i="2"/>
  <c r="AR113" i="2" s="1"/>
  <c r="F114" i="2"/>
  <c r="AR114" i="2" s="1"/>
  <c r="F115" i="2"/>
  <c r="AR115" i="2" s="1"/>
  <c r="F116" i="2"/>
  <c r="AR116" i="2" s="1"/>
  <c r="F117" i="2"/>
  <c r="AR117" i="2" s="1"/>
  <c r="F118" i="2"/>
  <c r="AR118" i="2" s="1"/>
  <c r="F119" i="2"/>
  <c r="AR119" i="2" s="1"/>
  <c r="F120" i="2"/>
  <c r="AR120" i="2" s="1"/>
  <c r="F121" i="2"/>
  <c r="AR121" i="2" s="1"/>
  <c r="F122" i="2"/>
  <c r="AR122" i="2" s="1"/>
  <c r="F123" i="2"/>
  <c r="AR123" i="2" s="1"/>
  <c r="F124" i="2"/>
  <c r="AR124" i="2" s="1"/>
  <c r="F125" i="2"/>
  <c r="AR125" i="2" s="1"/>
  <c r="F126" i="2"/>
  <c r="AR126" i="2" s="1"/>
  <c r="F127" i="2"/>
  <c r="AR127" i="2" s="1"/>
  <c r="F128" i="2"/>
  <c r="AR128" i="2" s="1"/>
  <c r="F129" i="2"/>
  <c r="AR129" i="2" s="1"/>
  <c r="F130" i="2"/>
  <c r="AR130" i="2" s="1"/>
  <c r="F131" i="2"/>
  <c r="AR131" i="2" s="1"/>
  <c r="F132" i="2"/>
  <c r="AR132" i="2" s="1"/>
  <c r="F133" i="2"/>
  <c r="AR133" i="2" s="1"/>
  <c r="F134" i="2"/>
  <c r="AR134" i="2" s="1"/>
  <c r="F135" i="2"/>
  <c r="AR135" i="2" s="1"/>
  <c r="F136" i="2"/>
  <c r="AR136" i="2" s="1"/>
  <c r="F137" i="2"/>
  <c r="AR137" i="2" s="1"/>
  <c r="F138" i="2"/>
  <c r="AR138" i="2" s="1"/>
  <c r="F139" i="2"/>
  <c r="AR139" i="2" s="1"/>
  <c r="F140" i="2"/>
  <c r="AR140" i="2" s="1"/>
  <c r="F141" i="2"/>
  <c r="AR141" i="2" s="1"/>
  <c r="F142" i="2"/>
  <c r="AR142" i="2" s="1"/>
  <c r="F143" i="2"/>
  <c r="AR143" i="2" s="1"/>
  <c r="F144" i="2"/>
  <c r="AR144" i="2" s="1"/>
  <c r="F145" i="2"/>
  <c r="AR145" i="2" s="1"/>
  <c r="F146" i="2"/>
  <c r="AR146" i="2" s="1"/>
  <c r="F147" i="2"/>
  <c r="AR147" i="2" s="1"/>
  <c r="F148" i="2"/>
  <c r="AR148" i="2" s="1"/>
  <c r="F149" i="2"/>
  <c r="AR149" i="2" s="1"/>
  <c r="F150" i="2"/>
  <c r="AR150" i="2" s="1"/>
  <c r="F151" i="2"/>
  <c r="AR151" i="2" s="1"/>
  <c r="F152" i="2"/>
  <c r="AR152" i="2" s="1"/>
  <c r="F153" i="2"/>
  <c r="AR153" i="2" s="1"/>
  <c r="F154" i="2"/>
  <c r="AR154" i="2" s="1"/>
  <c r="F155" i="2"/>
  <c r="AR155" i="2" s="1"/>
  <c r="F156" i="2"/>
  <c r="AR156" i="2" s="1"/>
  <c r="F157" i="2"/>
  <c r="AR157" i="2" s="1"/>
  <c r="F158" i="2"/>
  <c r="AR158" i="2" s="1"/>
  <c r="F159" i="2"/>
  <c r="AR159" i="2" s="1"/>
  <c r="F160" i="2"/>
  <c r="AR160" i="2" s="1"/>
  <c r="U191" i="2"/>
  <c r="U241" i="2"/>
  <c r="U321" i="2"/>
  <c r="T208" i="2"/>
  <c r="T216" i="2"/>
  <c r="T280" i="2"/>
  <c r="T292" i="2"/>
  <c r="T304" i="2"/>
  <c r="T358" i="2"/>
  <c r="T366" i="2"/>
  <c r="T390" i="2"/>
  <c r="T422" i="2"/>
  <c r="T430" i="2"/>
  <c r="U268" i="2"/>
  <c r="U316" i="2"/>
  <c r="U334" i="2"/>
  <c r="U366" i="2"/>
  <c r="V259" i="2"/>
  <c r="U161" i="2"/>
  <c r="U163" i="2"/>
  <c r="U208" i="2"/>
  <c r="U289" i="2"/>
  <c r="U305" i="2"/>
  <c r="Q467" i="2"/>
  <c r="T204" i="2"/>
  <c r="T236" i="2"/>
  <c r="T248" i="2"/>
  <c r="T256" i="2"/>
  <c r="T260" i="2"/>
  <c r="T288" i="2"/>
  <c r="T312" i="2"/>
  <c r="T434" i="2"/>
  <c r="T164" i="2"/>
  <c r="T378" i="2"/>
  <c r="T394" i="2"/>
  <c r="T410" i="2"/>
  <c r="T438" i="2"/>
  <c r="V336" i="2"/>
  <c r="T336" i="2"/>
  <c r="V316" i="2"/>
  <c r="T316" i="2"/>
  <c r="V308" i="2"/>
  <c r="T308" i="2"/>
  <c r="T300" i="2"/>
  <c r="T272" i="2"/>
  <c r="V264" i="2"/>
  <c r="T264" i="2"/>
  <c r="T252" i="2"/>
  <c r="V252" i="2"/>
  <c r="V244" i="2"/>
  <c r="T244" i="2"/>
  <c r="T232" i="2"/>
  <c r="V232" i="2"/>
  <c r="V220" i="2"/>
  <c r="V212" i="2"/>
  <c r="T212" i="2"/>
  <c r="T414" i="2"/>
  <c r="V406" i="2"/>
  <c r="V398" i="2"/>
  <c r="T398" i="2"/>
  <c r="T382" i="2"/>
  <c r="T374" i="2"/>
  <c r="T450" i="2"/>
  <c r="V420" i="2"/>
  <c r="V388" i="2"/>
  <c r="AT388" i="2"/>
  <c r="V372" i="2"/>
  <c r="V356" i="2"/>
  <c r="T284" i="2"/>
  <c r="T296" i="2"/>
  <c r="T340" i="2"/>
  <c r="V390" i="2"/>
  <c r="V216" i="2"/>
  <c r="V192" i="2"/>
  <c r="R85" i="2"/>
  <c r="R91" i="2"/>
  <c r="R93" i="2"/>
  <c r="R95" i="2"/>
  <c r="R99" i="2"/>
  <c r="R107" i="2"/>
  <c r="R115" i="2"/>
  <c r="R141" i="2"/>
  <c r="Q17" i="2"/>
  <c r="Q37" i="2"/>
  <c r="Q133" i="2"/>
  <c r="V315" i="2"/>
  <c r="V251" i="2"/>
  <c r="V453" i="2"/>
  <c r="V456" i="2"/>
  <c r="U303" i="2"/>
  <c r="U367" i="2"/>
  <c r="Q599" i="2"/>
  <c r="Q583" i="2"/>
  <c r="U173" i="2"/>
  <c r="U235" i="2"/>
  <c r="U306" i="2"/>
  <c r="W428" i="2"/>
  <c r="U190" i="2"/>
  <c r="R153" i="2"/>
  <c r="V416" i="2"/>
  <c r="V400" i="2"/>
  <c r="V384" i="2"/>
  <c r="V368" i="2"/>
  <c r="V352" i="2"/>
  <c r="V312" i="2"/>
  <c r="V184" i="2"/>
  <c r="V410" i="2"/>
  <c r="V378" i="2"/>
  <c r="V346" i="2"/>
  <c r="V442" i="2"/>
  <c r="V434" i="2"/>
  <c r="U205" i="2"/>
  <c r="U253" i="2"/>
  <c r="T395" i="2"/>
  <c r="T411" i="2"/>
  <c r="T427" i="2"/>
  <c r="T443" i="2"/>
  <c r="U226" i="2"/>
  <c r="V443" i="2"/>
  <c r="V305" i="2"/>
  <c r="T281" i="2"/>
  <c r="V273" i="2"/>
  <c r="V245" i="2"/>
  <c r="V241" i="2"/>
  <c r="V209" i="2"/>
  <c r="T185" i="2"/>
  <c r="V185" i="2"/>
  <c r="V177" i="2"/>
  <c r="T415" i="2"/>
  <c r="V371" i="2"/>
  <c r="V347" i="2"/>
  <c r="T347" i="2"/>
  <c r="T455" i="2"/>
  <c r="V448" i="2"/>
  <c r="W448" i="2"/>
  <c r="V408" i="2"/>
  <c r="V376" i="2"/>
  <c r="V344" i="2"/>
  <c r="W344" i="2"/>
  <c r="V280" i="2"/>
  <c r="V402" i="2"/>
  <c r="V354" i="2"/>
  <c r="V320" i="2"/>
  <c r="V444" i="2"/>
  <c r="U444" i="2"/>
  <c r="V436" i="2"/>
  <c r="U178" i="2"/>
  <c r="U189" i="2"/>
  <c r="U202" i="2"/>
  <c r="U269" i="2"/>
  <c r="U230" i="2"/>
  <c r="V337" i="2"/>
  <c r="V321" i="2"/>
  <c r="T313" i="2"/>
  <c r="V313" i="2"/>
  <c r="V289" i="2"/>
  <c r="V257" i="2"/>
  <c r="T249" i="2"/>
  <c r="V249" i="2"/>
  <c r="V225" i="2"/>
  <c r="V193" i="2"/>
  <c r="T383" i="2"/>
  <c r="V367" i="2"/>
  <c r="T363" i="2"/>
  <c r="T355" i="2"/>
  <c r="T439" i="2"/>
  <c r="V439" i="2"/>
  <c r="V424" i="2"/>
  <c r="V392" i="2"/>
  <c r="V360" i="2"/>
  <c r="W360" i="2"/>
  <c r="V418" i="2"/>
  <c r="V386" i="2"/>
  <c r="U221" i="2"/>
  <c r="U377" i="2"/>
  <c r="AT192" i="2"/>
  <c r="U237" i="2"/>
  <c r="U301" i="2"/>
  <c r="U317" i="2"/>
  <c r="T217" i="2"/>
  <c r="T343" i="2"/>
  <c r="AT408" i="2"/>
  <c r="V359" i="2"/>
  <c r="V428" i="2"/>
  <c r="U312" i="2"/>
  <c r="U352" i="2"/>
  <c r="W368" i="2"/>
  <c r="U384" i="2"/>
  <c r="U400" i="2"/>
  <c r="U416" i="2"/>
  <c r="U456" i="2"/>
  <c r="Q134" i="2"/>
  <c r="V275" i="2"/>
  <c r="V226" i="2"/>
  <c r="V178" i="2"/>
  <c r="W410" i="2"/>
  <c r="V179" i="2"/>
  <c r="V307" i="2"/>
  <c r="Q519" i="2"/>
  <c r="V299" i="2"/>
  <c r="V235" i="2"/>
  <c r="V181" i="2"/>
  <c r="V213" i="2"/>
  <c r="V277" i="2"/>
  <c r="V309" i="2"/>
  <c r="U165" i="2"/>
  <c r="U213" i="2"/>
  <c r="Q527" i="2"/>
  <c r="Q122" i="2"/>
  <c r="U229" i="2"/>
  <c r="U277" i="2"/>
  <c r="U293" i="2"/>
  <c r="Q46" i="2"/>
  <c r="T199" i="2"/>
  <c r="W223" i="2"/>
  <c r="T231" i="2"/>
  <c r="T287" i="2"/>
  <c r="T319" i="2"/>
  <c r="V175" i="2"/>
  <c r="V191" i="2"/>
  <c r="V239" i="2"/>
  <c r="V255" i="2"/>
  <c r="V287" i="2"/>
  <c r="V303" i="2"/>
  <c r="V319" i="2"/>
  <c r="V335" i="2"/>
  <c r="V345" i="2"/>
  <c r="V377" i="2"/>
  <c r="V409" i="2"/>
  <c r="V397" i="2"/>
  <c r="Q90" i="2"/>
  <c r="Q397" i="2"/>
  <c r="U245" i="2"/>
  <c r="T179" i="2"/>
  <c r="T183" i="2"/>
  <c r="T211" i="2"/>
  <c r="T215" i="2"/>
  <c r="T235" i="2"/>
  <c r="T243" i="2"/>
  <c r="T247" i="2"/>
  <c r="T275" i="2"/>
  <c r="T279" i="2"/>
  <c r="T299" i="2"/>
  <c r="T311" i="2"/>
  <c r="T339" i="2"/>
  <c r="T345" i="2"/>
  <c r="T349" i="2"/>
  <c r="T353" i="2"/>
  <c r="T361" i="2"/>
  <c r="T365" i="2"/>
  <c r="T373" i="2"/>
  <c r="T377" i="2"/>
  <c r="T381" i="2"/>
  <c r="T385" i="2"/>
  <c r="T389" i="2"/>
  <c r="T393" i="2"/>
  <c r="T397" i="2"/>
  <c r="T405" i="2"/>
  <c r="T409" i="2"/>
  <c r="T413" i="2"/>
  <c r="T417" i="2"/>
  <c r="T425" i="2"/>
  <c r="V183" i="2"/>
  <c r="V393" i="2"/>
  <c r="V373" i="2"/>
  <c r="Q30" i="2"/>
  <c r="AT251" i="2"/>
  <c r="V293" i="2"/>
  <c r="V261" i="2"/>
  <c r="V229" i="2"/>
  <c r="V197" i="2"/>
  <c r="W289" i="2"/>
  <c r="Q70" i="2"/>
  <c r="V173" i="2"/>
  <c r="V205" i="2"/>
  <c r="V237" i="2"/>
  <c r="V269" i="2"/>
  <c r="V301" i="2"/>
  <c r="V325" i="2"/>
  <c r="V341" i="2"/>
  <c r="T163" i="2"/>
  <c r="T171" i="2"/>
  <c r="T173" i="2"/>
  <c r="T181" i="2"/>
  <c r="T189" i="2"/>
  <c r="AT205" i="2"/>
  <c r="T213" i="2"/>
  <c r="AT221" i="2"/>
  <c r="T237" i="2"/>
  <c r="T253" i="2"/>
  <c r="T269" i="2"/>
  <c r="T277" i="2"/>
  <c r="T285" i="2"/>
  <c r="AT301" i="2"/>
  <c r="T309" i="2"/>
  <c r="T325" i="2"/>
  <c r="T333" i="2"/>
  <c r="T341" i="2"/>
  <c r="V163" i="2"/>
  <c r="V189" i="2"/>
  <c r="V221" i="2"/>
  <c r="V253" i="2"/>
  <c r="V285" i="2"/>
  <c r="V317" i="2"/>
  <c r="V333" i="2"/>
  <c r="V182" i="2"/>
  <c r="V230" i="2"/>
  <c r="V246" i="2"/>
  <c r="V262" i="2"/>
  <c r="T182" i="2"/>
  <c r="T190" i="2"/>
  <c r="T198" i="2"/>
  <c r="T202" i="2"/>
  <c r="T214" i="2"/>
  <c r="T222" i="2"/>
  <c r="AT234" i="2"/>
  <c r="T238" i="2"/>
  <c r="T246" i="2"/>
  <c r="T250" i="2"/>
  <c r="T262" i="2"/>
  <c r="T266" i="2"/>
  <c r="T270" i="2"/>
  <c r="T282" i="2"/>
  <c r="AT286" i="2"/>
  <c r="T302" i="2"/>
  <c r="T326" i="2"/>
  <c r="T334" i="2"/>
  <c r="V190" i="2"/>
  <c r="V206" i="2"/>
  <c r="V222" i="2"/>
  <c r="V254" i="2"/>
  <c r="V270" i="2"/>
  <c r="V286" i="2"/>
  <c r="V334" i="2"/>
  <c r="Q87" i="2"/>
  <c r="T109" i="2"/>
  <c r="Q60" i="2"/>
  <c r="Q559" i="2"/>
  <c r="R64" i="2"/>
  <c r="S11" i="2"/>
  <c r="T98" i="2"/>
  <c r="R117" i="2"/>
  <c r="R131" i="2"/>
  <c r="R135" i="2"/>
  <c r="R137" i="2"/>
  <c r="R143" i="2"/>
  <c r="R147" i="2"/>
  <c r="R149" i="2"/>
  <c r="R151" i="2"/>
  <c r="R159" i="2"/>
  <c r="R11" i="2"/>
  <c r="Q61" i="2"/>
  <c r="Q85" i="2"/>
  <c r="Q109" i="2"/>
  <c r="Q157" i="2"/>
  <c r="S168" i="2"/>
  <c r="Q45" i="2"/>
  <c r="Q69" i="2"/>
  <c r="S232" i="2"/>
  <c r="S184" i="2"/>
  <c r="Q94" i="2"/>
  <c r="Q66" i="2"/>
  <c r="S53" i="2"/>
  <c r="S83" i="2"/>
  <c r="Q43" i="2"/>
  <c r="T67" i="2"/>
  <c r="T71" i="2"/>
  <c r="T75" i="2"/>
  <c r="T79" i="2"/>
  <c r="T83" i="2"/>
  <c r="T102" i="2"/>
  <c r="T130" i="2"/>
  <c r="T134" i="2"/>
  <c r="T138" i="2"/>
  <c r="T142" i="2"/>
  <c r="T146" i="2"/>
  <c r="T150" i="2"/>
  <c r="T154" i="2"/>
  <c r="T158" i="2"/>
  <c r="Q20" i="2"/>
  <c r="Q64" i="2"/>
  <c r="Q96" i="2"/>
  <c r="Q112" i="2"/>
  <c r="Q144" i="2"/>
  <c r="Q18" i="2"/>
  <c r="Q113" i="2"/>
  <c r="T15" i="2"/>
  <c r="T28" i="2"/>
  <c r="T36" i="2"/>
  <c r="T84" i="2"/>
  <c r="T97" i="2"/>
  <c r="T121" i="2"/>
  <c r="T129" i="2"/>
  <c r="R455" i="2"/>
  <c r="Q142" i="2"/>
  <c r="R162" i="2"/>
  <c r="R164" i="2"/>
  <c r="R166" i="2"/>
  <c r="R168" i="2"/>
  <c r="R170" i="2"/>
  <c r="R172" i="2"/>
  <c r="R174" i="2"/>
  <c r="R176" i="2"/>
  <c r="S201" i="2"/>
  <c r="R178" i="2"/>
  <c r="R180" i="2"/>
  <c r="R182" i="2"/>
  <c r="R184" i="2"/>
  <c r="R186" i="2"/>
  <c r="R188" i="2"/>
  <c r="R190" i="2"/>
  <c r="R192" i="2"/>
  <c r="R194" i="2"/>
  <c r="R196" i="2"/>
  <c r="R198" i="2"/>
  <c r="R200" i="2"/>
  <c r="R202" i="2"/>
  <c r="R204" i="2"/>
  <c r="R206" i="2"/>
  <c r="R208" i="2"/>
  <c r="R210" i="2"/>
  <c r="R212" i="2"/>
  <c r="R214" i="2"/>
  <c r="R216" i="2"/>
  <c r="R218" i="2"/>
  <c r="R220" i="2"/>
  <c r="R222" i="2"/>
  <c r="R224" i="2"/>
  <c r="R226" i="2"/>
  <c r="R228" i="2"/>
  <c r="R230" i="2"/>
  <c r="R232" i="2"/>
  <c r="R234" i="2"/>
  <c r="R236" i="2"/>
  <c r="R238" i="2"/>
  <c r="R240" i="2"/>
  <c r="R242" i="2"/>
  <c r="R244" i="2"/>
  <c r="R246" i="2"/>
  <c r="R248" i="2"/>
  <c r="R250" i="2"/>
  <c r="R252" i="2"/>
  <c r="R254" i="2"/>
  <c r="R256" i="2"/>
  <c r="R258" i="2"/>
  <c r="R260" i="2"/>
  <c r="R262" i="2"/>
  <c r="R264" i="2"/>
  <c r="R266" i="2"/>
  <c r="R268" i="2"/>
  <c r="R270" i="2"/>
  <c r="R272" i="2"/>
  <c r="R274" i="2"/>
  <c r="R276" i="2"/>
  <c r="R278" i="2"/>
  <c r="R280" i="2"/>
  <c r="R282" i="2"/>
  <c r="R284" i="2"/>
  <c r="R286" i="2"/>
  <c r="R288" i="2"/>
  <c r="R290" i="2"/>
  <c r="R292" i="2"/>
  <c r="R294" i="2"/>
  <c r="R296" i="2"/>
  <c r="R298" i="2"/>
  <c r="R300" i="2"/>
  <c r="R302" i="2"/>
  <c r="R304" i="2"/>
  <c r="R306" i="2"/>
  <c r="R308" i="2"/>
  <c r="R310" i="2"/>
  <c r="R312" i="2"/>
  <c r="R314" i="2"/>
  <c r="R316" i="2"/>
  <c r="R318" i="2"/>
  <c r="R320" i="2"/>
  <c r="R322" i="2"/>
  <c r="R324" i="2"/>
  <c r="R326" i="2"/>
  <c r="R328" i="2"/>
  <c r="R330" i="2"/>
  <c r="R332" i="2"/>
  <c r="R334" i="2"/>
  <c r="R336" i="2"/>
  <c r="R338" i="2"/>
  <c r="R340" i="2"/>
  <c r="R342" i="2"/>
  <c r="R344" i="2"/>
  <c r="R346" i="2"/>
  <c r="R348" i="2"/>
  <c r="R350" i="2"/>
  <c r="R352" i="2"/>
  <c r="R354" i="2"/>
  <c r="R356" i="2"/>
  <c r="R358" i="2"/>
  <c r="R360" i="2"/>
  <c r="R362" i="2"/>
  <c r="R364" i="2"/>
  <c r="R366" i="2"/>
  <c r="R368" i="2"/>
  <c r="R370" i="2"/>
  <c r="R372" i="2"/>
  <c r="R374" i="2"/>
  <c r="R376" i="2"/>
  <c r="R378" i="2"/>
  <c r="R380" i="2"/>
  <c r="R382" i="2"/>
  <c r="R384" i="2"/>
  <c r="R386" i="2"/>
  <c r="R388" i="2"/>
  <c r="R390" i="2"/>
  <c r="R392" i="2"/>
  <c r="R394" i="2"/>
  <c r="R396" i="2"/>
  <c r="R398" i="2"/>
  <c r="R400" i="2"/>
  <c r="R402" i="2"/>
  <c r="R404" i="2"/>
  <c r="R406" i="2"/>
  <c r="R408" i="2"/>
  <c r="R410" i="2"/>
  <c r="R412" i="2"/>
  <c r="R414" i="2"/>
  <c r="R416" i="2"/>
  <c r="R418" i="2"/>
  <c r="R420" i="2"/>
  <c r="R422" i="2"/>
  <c r="R424" i="2"/>
  <c r="R426" i="2"/>
  <c r="R428" i="2"/>
  <c r="R430" i="2"/>
  <c r="R432" i="2"/>
  <c r="R434" i="2"/>
  <c r="R436" i="2"/>
  <c r="R438" i="2"/>
  <c r="R440" i="2"/>
  <c r="R442" i="2"/>
  <c r="R444" i="2"/>
  <c r="R446" i="2"/>
  <c r="R448" i="2"/>
  <c r="R450" i="2"/>
  <c r="R452" i="2"/>
  <c r="R454" i="2"/>
  <c r="R456" i="2"/>
  <c r="R458" i="2"/>
  <c r="R460" i="2"/>
  <c r="R462" i="2"/>
  <c r="R464" i="2"/>
  <c r="R466" i="2"/>
  <c r="R468" i="2"/>
  <c r="R470" i="2"/>
  <c r="R472" i="2"/>
  <c r="R474" i="2"/>
  <c r="R476" i="2"/>
  <c r="R478" i="2"/>
  <c r="R480" i="2"/>
  <c r="R482" i="2"/>
  <c r="R484" i="2"/>
  <c r="R486" i="2"/>
  <c r="R488" i="2"/>
  <c r="R490" i="2"/>
  <c r="R492" i="2"/>
  <c r="R494" i="2"/>
  <c r="R496" i="2"/>
  <c r="R498" i="2"/>
  <c r="R500" i="2"/>
  <c r="R502" i="2"/>
  <c r="R504" i="2"/>
  <c r="R506" i="2"/>
  <c r="R508" i="2"/>
  <c r="R510" i="2"/>
  <c r="R512" i="2"/>
  <c r="R514" i="2"/>
  <c r="R516" i="2"/>
  <c r="R12" i="2"/>
  <c r="R14" i="2"/>
  <c r="R18" i="2"/>
  <c r="R20" i="2"/>
  <c r="R24" i="2"/>
  <c r="R26" i="2"/>
  <c r="R28" i="2"/>
  <c r="R32" i="2"/>
  <c r="R34" i="2"/>
  <c r="R36" i="2"/>
  <c r="R38" i="2"/>
  <c r="R40" i="2"/>
  <c r="R42" i="2"/>
  <c r="R44" i="2"/>
  <c r="R46" i="2"/>
  <c r="R50" i="2"/>
  <c r="R52" i="2"/>
  <c r="R58" i="2"/>
  <c r="R62" i="2"/>
  <c r="R66" i="2"/>
  <c r="R68" i="2"/>
  <c r="R70" i="2"/>
  <c r="R84" i="2"/>
  <c r="R106" i="2"/>
  <c r="R108" i="2"/>
  <c r="R114" i="2"/>
  <c r="R138" i="2"/>
  <c r="Q232" i="2"/>
  <c r="Q328" i="2"/>
  <c r="R518" i="2"/>
  <c r="R520" i="2"/>
  <c r="R522" i="2"/>
  <c r="R524" i="2"/>
  <c r="R526" i="2"/>
  <c r="R528" i="2"/>
  <c r="R530" i="2"/>
  <c r="R532" i="2"/>
  <c r="R534" i="2"/>
  <c r="R536" i="2"/>
  <c r="R538" i="2"/>
  <c r="R540" i="2"/>
  <c r="R542" i="2"/>
  <c r="R544" i="2"/>
  <c r="R546" i="2"/>
  <c r="R548" i="2"/>
  <c r="R550" i="2"/>
  <c r="R554" i="2"/>
  <c r="R556" i="2"/>
  <c r="R558" i="2"/>
  <c r="R560" i="2"/>
  <c r="R562" i="2"/>
  <c r="R564" i="2"/>
  <c r="R566" i="2"/>
  <c r="R570" i="2"/>
  <c r="R572" i="2"/>
  <c r="R574" i="2"/>
  <c r="R576" i="2"/>
  <c r="R578" i="2"/>
  <c r="R580" i="2"/>
  <c r="R582" i="2"/>
  <c r="R584" i="2"/>
  <c r="R586" i="2"/>
  <c r="R588" i="2"/>
  <c r="R590" i="2"/>
  <c r="R592" i="2"/>
  <c r="R594" i="2"/>
  <c r="R596" i="2"/>
  <c r="R598" i="2"/>
  <c r="R600" i="2"/>
  <c r="R602" i="2"/>
  <c r="R604" i="2"/>
  <c r="R606" i="2"/>
  <c r="R608" i="2"/>
  <c r="R610" i="2"/>
  <c r="R15" i="2"/>
  <c r="R17" i="2"/>
  <c r="R19" i="2"/>
  <c r="R23" i="2"/>
  <c r="R25" i="2"/>
  <c r="R27" i="2"/>
  <c r="R31" i="2"/>
  <c r="R33" i="2"/>
  <c r="R35" i="2"/>
  <c r="R37" i="2"/>
  <c r="R39" i="2"/>
  <c r="R41" i="2"/>
  <c r="R43" i="2"/>
  <c r="R47" i="2"/>
  <c r="R49" i="2"/>
  <c r="R51" i="2"/>
  <c r="R59" i="2"/>
  <c r="R67" i="2"/>
  <c r="R71" i="2"/>
  <c r="R75" i="2"/>
  <c r="R77" i="2"/>
  <c r="R83" i="2"/>
  <c r="Q169" i="2"/>
  <c r="Q217" i="2"/>
  <c r="Q233" i="2"/>
  <c r="Q281" i="2"/>
  <c r="Q477" i="2"/>
  <c r="Q549" i="2"/>
  <c r="Q581" i="2"/>
  <c r="Q605" i="2"/>
  <c r="Q551" i="2"/>
  <c r="S200" i="2"/>
  <c r="S264" i="2"/>
  <c r="U168" i="2"/>
  <c r="S276" i="2"/>
  <c r="S278" i="2"/>
  <c r="S280" i="2"/>
  <c r="S282" i="2"/>
  <c r="S284" i="2"/>
  <c r="S286" i="2"/>
  <c r="S288" i="2"/>
  <c r="S290" i="2"/>
  <c r="S292" i="2"/>
  <c r="S294" i="2"/>
  <c r="S296" i="2"/>
  <c r="S298" i="2"/>
  <c r="S300" i="2"/>
  <c r="S302" i="2"/>
  <c r="S304" i="2"/>
  <c r="S306" i="2"/>
  <c r="S308" i="2"/>
  <c r="S310" i="2"/>
  <c r="S312" i="2"/>
  <c r="S314" i="2"/>
  <c r="S316" i="2"/>
  <c r="S318" i="2"/>
  <c r="S320" i="2"/>
  <c r="S322" i="2"/>
  <c r="S324" i="2"/>
  <c r="S326" i="2"/>
  <c r="S328" i="2"/>
  <c r="S330" i="2"/>
  <c r="S332" i="2"/>
  <c r="S334" i="2"/>
  <c r="S336" i="2"/>
  <c r="S338" i="2"/>
  <c r="S340" i="2"/>
  <c r="S342" i="2"/>
  <c r="S344" i="2"/>
  <c r="S346" i="2"/>
  <c r="S348" i="2"/>
  <c r="S350" i="2"/>
  <c r="S352" i="2"/>
  <c r="S354" i="2"/>
  <c r="S356" i="2"/>
  <c r="S358" i="2"/>
  <c r="S360" i="2"/>
  <c r="S362" i="2"/>
  <c r="S364" i="2"/>
  <c r="S366" i="2"/>
  <c r="S368" i="2"/>
  <c r="S370" i="2"/>
  <c r="S372" i="2"/>
  <c r="S374" i="2"/>
  <c r="S376" i="2"/>
  <c r="S378" i="2"/>
  <c r="S380" i="2"/>
  <c r="S382" i="2"/>
  <c r="S384" i="2"/>
  <c r="S386" i="2"/>
  <c r="S388" i="2"/>
  <c r="S390" i="2"/>
  <c r="S392" i="2"/>
  <c r="S394" i="2"/>
  <c r="S396" i="2"/>
  <c r="S398" i="2"/>
  <c r="S400" i="2"/>
  <c r="S402" i="2"/>
  <c r="S404" i="2"/>
  <c r="S406" i="2"/>
  <c r="S408" i="2"/>
  <c r="S410" i="2"/>
  <c r="S412" i="2"/>
  <c r="S414" i="2"/>
  <c r="S246" i="2"/>
  <c r="S253" i="2"/>
  <c r="S416" i="2"/>
  <c r="S418" i="2"/>
  <c r="S420" i="2"/>
  <c r="S422" i="2"/>
  <c r="S424" i="2"/>
  <c r="S426" i="2"/>
  <c r="S428" i="2"/>
  <c r="S430" i="2"/>
  <c r="S432" i="2"/>
  <c r="S434" i="2"/>
  <c r="S436" i="2"/>
  <c r="S438" i="2"/>
  <c r="S440" i="2"/>
  <c r="S442" i="2"/>
  <c r="S444" i="2"/>
  <c r="S446" i="2"/>
  <c r="S448" i="2"/>
  <c r="S450" i="2"/>
  <c r="S452" i="2"/>
  <c r="S454" i="2"/>
  <c r="S456" i="2"/>
  <c r="S458" i="2"/>
  <c r="S460" i="2"/>
  <c r="S462" i="2"/>
  <c r="S464" i="2"/>
  <c r="S466" i="2"/>
  <c r="S468" i="2"/>
  <c r="S470" i="2"/>
  <c r="S472" i="2"/>
  <c r="S474" i="2"/>
  <c r="S476" i="2"/>
  <c r="S478" i="2"/>
  <c r="S480" i="2"/>
  <c r="S482" i="2"/>
  <c r="S484" i="2"/>
  <c r="S486" i="2"/>
  <c r="S488" i="2"/>
  <c r="S490" i="2"/>
  <c r="S492" i="2"/>
  <c r="S494" i="2"/>
  <c r="S496" i="2"/>
  <c r="S498" i="2"/>
  <c r="S500" i="2"/>
  <c r="S502" i="2"/>
  <c r="S504" i="2"/>
  <c r="S506" i="2"/>
  <c r="S508" i="2"/>
  <c r="S510" i="2"/>
  <c r="S512" i="2"/>
  <c r="S514" i="2"/>
  <c r="S516" i="2"/>
  <c r="S518" i="2"/>
  <c r="S520" i="2"/>
  <c r="S522" i="2"/>
  <c r="S524" i="2"/>
  <c r="S526" i="2"/>
  <c r="S528" i="2"/>
  <c r="S530" i="2"/>
  <c r="S532" i="2"/>
  <c r="S534" i="2"/>
  <c r="S536" i="2"/>
  <c r="S538" i="2"/>
  <c r="S540" i="2"/>
  <c r="S542" i="2"/>
  <c r="S544" i="2"/>
  <c r="S546" i="2"/>
  <c r="S548" i="2"/>
  <c r="S550" i="2"/>
  <c r="S552" i="2"/>
  <c r="S554" i="2"/>
  <c r="S556" i="2"/>
  <c r="S558" i="2"/>
  <c r="S560" i="2"/>
  <c r="S562" i="2"/>
  <c r="S564" i="2"/>
  <c r="S566" i="2"/>
  <c r="S568" i="2"/>
  <c r="S570" i="2"/>
  <c r="S572" i="2"/>
  <c r="S574" i="2"/>
  <c r="S576" i="2"/>
  <c r="S578" i="2"/>
  <c r="S580" i="2"/>
  <c r="S582" i="2"/>
  <c r="S584" i="2"/>
  <c r="S586" i="2"/>
  <c r="S588" i="2"/>
  <c r="S590" i="2"/>
  <c r="S592" i="2"/>
  <c r="S594" i="2"/>
  <c r="S596" i="2"/>
  <c r="S598" i="2"/>
  <c r="S600" i="2"/>
  <c r="S602" i="2"/>
  <c r="S604" i="2"/>
  <c r="S606" i="2"/>
  <c r="S608" i="2"/>
  <c r="S610" i="2"/>
  <c r="S15" i="2"/>
  <c r="S17" i="2"/>
  <c r="S21" i="2"/>
  <c r="S23" i="2"/>
  <c r="S25" i="2"/>
  <c r="S27" i="2"/>
  <c r="S29" i="2"/>
  <c r="S31" i="2"/>
  <c r="S35" i="2"/>
  <c r="S37" i="2"/>
  <c r="S39" i="2"/>
  <c r="S41" i="2"/>
  <c r="S43" i="2"/>
  <c r="S45" i="2"/>
  <c r="S47" i="2"/>
  <c r="S49" i="2"/>
  <c r="S51" i="2"/>
  <c r="S55" i="2"/>
  <c r="S57" i="2"/>
  <c r="S59" i="2"/>
  <c r="S63" i="2"/>
  <c r="S67" i="2"/>
  <c r="S69" i="2"/>
  <c r="S71" i="2"/>
  <c r="S75" i="2"/>
  <c r="S79" i="2"/>
  <c r="S85" i="2"/>
  <c r="S87" i="2"/>
  <c r="S89" i="2"/>
  <c r="S91" i="2"/>
  <c r="S93" i="2"/>
  <c r="S95" i="2"/>
  <c r="S99" i="2"/>
  <c r="S101" i="2"/>
  <c r="S105" i="2"/>
  <c r="S107" i="2"/>
  <c r="S109" i="2"/>
  <c r="S111" i="2"/>
  <c r="S115" i="2"/>
  <c r="S117" i="2"/>
  <c r="S119" i="2"/>
  <c r="S121" i="2"/>
  <c r="S123" i="2"/>
  <c r="S125" i="2"/>
  <c r="S127" i="2"/>
  <c r="S131" i="2"/>
  <c r="S135" i="2"/>
  <c r="S139" i="2"/>
  <c r="S143" i="2"/>
  <c r="S147" i="2"/>
  <c r="S149" i="2"/>
  <c r="S151" i="2"/>
  <c r="S153" i="2"/>
  <c r="S155" i="2"/>
  <c r="S157" i="2"/>
  <c r="Q194" i="2"/>
  <c r="Q202" i="2"/>
  <c r="Q258" i="2"/>
  <c r="Q394" i="2"/>
  <c r="T544" i="2"/>
  <c r="T548" i="2"/>
  <c r="T552" i="2"/>
  <c r="T555" i="2"/>
  <c r="T559" i="2"/>
  <c r="T563" i="2"/>
  <c r="T567" i="2"/>
  <c r="T571" i="2"/>
  <c r="T575" i="2"/>
  <c r="T579" i="2"/>
  <c r="T583" i="2"/>
  <c r="T587" i="2"/>
  <c r="T591" i="2"/>
  <c r="T595" i="2"/>
  <c r="T599" i="2"/>
  <c r="T603" i="2"/>
  <c r="T607" i="2"/>
  <c r="T12" i="2"/>
  <c r="T16" i="2"/>
  <c r="T20" i="2"/>
  <c r="T24" i="2"/>
  <c r="T31" i="2"/>
  <c r="T35" i="2"/>
  <c r="T39" i="2"/>
  <c r="T126" i="2"/>
  <c r="Q323" i="2"/>
  <c r="U273" i="2"/>
  <c r="U345" i="2"/>
  <c r="U449" i="2"/>
  <c r="S160" i="2"/>
  <c r="Q159" i="2"/>
  <c r="T459" i="2"/>
  <c r="T461" i="2"/>
  <c r="T463" i="2"/>
  <c r="T465" i="2"/>
  <c r="T467" i="2"/>
  <c r="T469" i="2"/>
  <c r="T471" i="2"/>
  <c r="T473" i="2"/>
  <c r="T475" i="2"/>
  <c r="T477" i="2"/>
  <c r="T479" i="2"/>
  <c r="T481" i="2"/>
  <c r="T483" i="2"/>
  <c r="T485" i="2"/>
  <c r="T487" i="2"/>
  <c r="T489" i="2"/>
  <c r="T491" i="2"/>
  <c r="T495" i="2"/>
  <c r="T497" i="2"/>
  <c r="T499" i="2"/>
  <c r="T501" i="2"/>
  <c r="T503" i="2"/>
  <c r="T505" i="2"/>
  <c r="T507" i="2"/>
  <c r="T509" i="2"/>
  <c r="T511" i="2"/>
  <c r="T513" i="2"/>
  <c r="T515" i="2"/>
  <c r="T517" i="2"/>
  <c r="T519" i="2"/>
  <c r="T521" i="2"/>
  <c r="T523" i="2"/>
  <c r="T525" i="2"/>
  <c r="T527" i="2"/>
  <c r="T529" i="2"/>
  <c r="T531" i="2"/>
  <c r="T533" i="2"/>
  <c r="T535" i="2"/>
  <c r="T537" i="2"/>
  <c r="T540" i="2"/>
  <c r="T542" i="2"/>
  <c r="T545" i="2"/>
  <c r="T549" i="2"/>
  <c r="T554" i="2"/>
  <c r="T558" i="2"/>
  <c r="T562" i="2"/>
  <c r="T566" i="2"/>
  <c r="T570" i="2"/>
  <c r="T574" i="2"/>
  <c r="T578" i="2"/>
  <c r="T582" i="2"/>
  <c r="T586" i="2"/>
  <c r="T594" i="2"/>
  <c r="T598" i="2"/>
  <c r="T602" i="2"/>
  <c r="T606" i="2"/>
  <c r="T610" i="2"/>
  <c r="T88" i="2"/>
  <c r="T93" i="2"/>
  <c r="T101" i="2"/>
  <c r="T105" i="2"/>
  <c r="Q163" i="2"/>
  <c r="Q243" i="2"/>
  <c r="Q407" i="2"/>
  <c r="R163" i="2"/>
  <c r="R165" i="2"/>
  <c r="R167" i="2"/>
  <c r="R169" i="2"/>
  <c r="R171" i="2"/>
  <c r="R173" i="2"/>
  <c r="R175" i="2"/>
  <c r="Q105" i="2"/>
  <c r="Q153" i="2"/>
  <c r="T58" i="2"/>
  <c r="R177" i="2"/>
  <c r="R179" i="2"/>
  <c r="R181" i="2"/>
  <c r="R183" i="2"/>
  <c r="R185" i="2"/>
  <c r="R187" i="2"/>
  <c r="R189" i="2"/>
  <c r="R191" i="2"/>
  <c r="R193" i="2"/>
  <c r="R195" i="2"/>
  <c r="R197" i="2"/>
  <c r="R199" i="2"/>
  <c r="R201" i="2"/>
  <c r="R203" i="2"/>
  <c r="R205" i="2"/>
  <c r="R207" i="2"/>
  <c r="R209" i="2"/>
  <c r="R211" i="2"/>
  <c r="R213" i="2"/>
  <c r="R215" i="2"/>
  <c r="R217" i="2"/>
  <c r="R219" i="2"/>
  <c r="R221" i="2"/>
  <c r="R223" i="2"/>
  <c r="R225" i="2"/>
  <c r="R227" i="2"/>
  <c r="R229" i="2"/>
  <c r="R231" i="2"/>
  <c r="R233" i="2"/>
  <c r="R235" i="2"/>
  <c r="R237" i="2"/>
  <c r="R239" i="2"/>
  <c r="R241" i="2"/>
  <c r="R243" i="2"/>
  <c r="R245" i="2"/>
  <c r="R247" i="2"/>
  <c r="R249" i="2"/>
  <c r="R251" i="2"/>
  <c r="R253" i="2"/>
  <c r="R255" i="2"/>
  <c r="R257" i="2"/>
  <c r="R259" i="2"/>
  <c r="R261" i="2"/>
  <c r="R263" i="2"/>
  <c r="R265" i="2"/>
  <c r="R267" i="2"/>
  <c r="R269" i="2"/>
  <c r="R271" i="2"/>
  <c r="R273" i="2"/>
  <c r="R275" i="2"/>
  <c r="R277" i="2"/>
  <c r="R279" i="2"/>
  <c r="R281" i="2"/>
  <c r="R283" i="2"/>
  <c r="R285" i="2"/>
  <c r="R287" i="2"/>
  <c r="R289" i="2"/>
  <c r="R291" i="2"/>
  <c r="R293" i="2"/>
  <c r="R295" i="2"/>
  <c r="R297" i="2"/>
  <c r="R299" i="2"/>
  <c r="R301" i="2"/>
  <c r="R303" i="2"/>
  <c r="R305" i="2"/>
  <c r="R307" i="2"/>
  <c r="R309" i="2"/>
  <c r="R311" i="2"/>
  <c r="R313" i="2"/>
  <c r="R315" i="2"/>
  <c r="R317" i="2"/>
  <c r="R319" i="2"/>
  <c r="R321" i="2"/>
  <c r="R323" i="2"/>
  <c r="R325" i="2"/>
  <c r="R327" i="2"/>
  <c r="R329" i="2"/>
  <c r="R331" i="2"/>
  <c r="R373" i="2"/>
  <c r="R391" i="2"/>
  <c r="R393" i="2"/>
  <c r="R413" i="2"/>
  <c r="R429" i="2"/>
  <c r="R515" i="2"/>
  <c r="R591" i="2"/>
  <c r="Q587" i="2"/>
  <c r="U175" i="2"/>
  <c r="S275" i="2"/>
  <c r="S277" i="2"/>
  <c r="S279" i="2"/>
  <c r="S281" i="2"/>
  <c r="S283" i="2"/>
  <c r="S285" i="2"/>
  <c r="S287" i="2"/>
  <c r="S289" i="2"/>
  <c r="S291" i="2"/>
  <c r="S293" i="2"/>
  <c r="S295" i="2"/>
  <c r="S297" i="2"/>
  <c r="S299" i="2"/>
  <c r="S301" i="2"/>
  <c r="S303" i="2"/>
  <c r="S305" i="2"/>
  <c r="S307" i="2"/>
  <c r="S309" i="2"/>
  <c r="S311" i="2"/>
  <c r="S313" i="2"/>
  <c r="S315" i="2"/>
  <c r="S317" i="2"/>
  <c r="S319" i="2"/>
  <c r="S321" i="2"/>
  <c r="S323" i="2"/>
  <c r="S325" i="2"/>
  <c r="S327" i="2"/>
  <c r="S329" i="2"/>
  <c r="S331" i="2"/>
  <c r="S333" i="2"/>
  <c r="S335" i="2"/>
  <c r="S337" i="2"/>
  <c r="S339" i="2"/>
  <c r="S341" i="2"/>
  <c r="S343" i="2"/>
  <c r="S345" i="2"/>
  <c r="S347" i="2"/>
  <c r="S349" i="2"/>
  <c r="S351" i="2"/>
  <c r="S353" i="2"/>
  <c r="S355" i="2"/>
  <c r="S357" i="2"/>
  <c r="S359" i="2"/>
  <c r="S361" i="2"/>
  <c r="S363" i="2"/>
  <c r="S365" i="2"/>
  <c r="S367" i="2"/>
  <c r="S369" i="2"/>
  <c r="S371" i="2"/>
  <c r="S373" i="2"/>
  <c r="S375" i="2"/>
  <c r="S377" i="2"/>
  <c r="S379" i="2"/>
  <c r="S381" i="2"/>
  <c r="S383" i="2"/>
  <c r="S385" i="2"/>
  <c r="S387" i="2"/>
  <c r="S389" i="2"/>
  <c r="S391" i="2"/>
  <c r="S393" i="2"/>
  <c r="S395" i="2"/>
  <c r="S397" i="2"/>
  <c r="S399" i="2"/>
  <c r="S401" i="2"/>
  <c r="S403" i="2"/>
  <c r="S405" i="2"/>
  <c r="S407" i="2"/>
  <c r="S409" i="2"/>
  <c r="S411" i="2"/>
  <c r="S413" i="2"/>
  <c r="S415" i="2"/>
  <c r="S417" i="2"/>
  <c r="S419" i="2"/>
  <c r="S421" i="2"/>
  <c r="S423" i="2"/>
  <c r="S425" i="2"/>
  <c r="S427" i="2"/>
  <c r="S429" i="2"/>
  <c r="S431" i="2"/>
  <c r="S433" i="2"/>
  <c r="S435" i="2"/>
  <c r="S437" i="2"/>
  <c r="S439" i="2"/>
  <c r="S441" i="2"/>
  <c r="S443" i="2"/>
  <c r="S445" i="2"/>
  <c r="S447" i="2"/>
  <c r="S449" i="2"/>
  <c r="S451" i="2"/>
  <c r="S453" i="2"/>
  <c r="S455" i="2"/>
  <c r="S457" i="2"/>
  <c r="S459" i="2"/>
  <c r="S461" i="2"/>
  <c r="S463" i="2"/>
  <c r="S465" i="2"/>
  <c r="S467" i="2"/>
  <c r="S469" i="2"/>
  <c r="S471" i="2"/>
  <c r="S473" i="2"/>
  <c r="S475" i="2"/>
  <c r="S477" i="2"/>
  <c r="S479" i="2"/>
  <c r="S481" i="2"/>
  <c r="S483" i="2"/>
  <c r="S485" i="2"/>
  <c r="S487" i="2"/>
  <c r="S489" i="2"/>
  <c r="S491" i="2"/>
  <c r="S493" i="2"/>
  <c r="S495" i="2"/>
  <c r="S497" i="2"/>
  <c r="S499" i="2"/>
  <c r="S501" i="2"/>
  <c r="S503" i="2"/>
  <c r="S505" i="2"/>
  <c r="S507" i="2"/>
  <c r="S509" i="2"/>
  <c r="S511" i="2"/>
  <c r="S513" i="2"/>
  <c r="S515" i="2"/>
  <c r="S517" i="2"/>
  <c r="S519" i="2"/>
  <c r="S521" i="2"/>
  <c r="S523" i="2"/>
  <c r="S525" i="2"/>
  <c r="S527" i="2"/>
  <c r="S529" i="2"/>
  <c r="S531" i="2"/>
  <c r="S533" i="2"/>
  <c r="S535" i="2"/>
  <c r="S537" i="2"/>
  <c r="S539" i="2"/>
  <c r="S541" i="2"/>
  <c r="S543" i="2"/>
  <c r="S545" i="2"/>
  <c r="S547" i="2"/>
  <c r="S549" i="2"/>
  <c r="S551" i="2"/>
  <c r="S553" i="2"/>
  <c r="S555" i="2"/>
  <c r="S557" i="2"/>
  <c r="S559" i="2"/>
  <c r="S561" i="2"/>
  <c r="S563" i="2"/>
  <c r="S565" i="2"/>
  <c r="S567" i="2"/>
  <c r="S569" i="2"/>
  <c r="S571" i="2"/>
  <c r="S573" i="2"/>
  <c r="S575" i="2"/>
  <c r="S577" i="2"/>
  <c r="S579" i="2"/>
  <c r="S581" i="2"/>
  <c r="S583" i="2"/>
  <c r="S585" i="2"/>
  <c r="S587" i="2"/>
  <c r="S589" i="2"/>
  <c r="S591" i="2"/>
  <c r="S593" i="2"/>
  <c r="S595" i="2"/>
  <c r="S597" i="2"/>
  <c r="S599" i="2"/>
  <c r="S601" i="2"/>
  <c r="S603" i="2"/>
  <c r="S605" i="2"/>
  <c r="S607" i="2"/>
  <c r="S609" i="2"/>
  <c r="S26" i="2"/>
  <c r="S36" i="2"/>
  <c r="S52" i="2"/>
  <c r="S54" i="2"/>
  <c r="S66" i="2"/>
  <c r="S72" i="2"/>
  <c r="S74" i="2"/>
  <c r="S84" i="2"/>
  <c r="S88" i="2"/>
  <c r="S102" i="2"/>
  <c r="S114" i="2"/>
  <c r="S124" i="2"/>
  <c r="T539" i="2"/>
  <c r="T546" i="2"/>
  <c r="T550" i="2"/>
  <c r="T553" i="2"/>
  <c r="T557" i="2"/>
  <c r="T561" i="2"/>
  <c r="T565" i="2"/>
  <c r="T569" i="2"/>
  <c r="T573" i="2"/>
  <c r="T577" i="2"/>
  <c r="T581" i="2"/>
  <c r="T585" i="2"/>
  <c r="T589" i="2"/>
  <c r="T593" i="2"/>
  <c r="T597" i="2"/>
  <c r="T601" i="2"/>
  <c r="T605" i="2"/>
  <c r="T609" i="2"/>
  <c r="T14" i="2"/>
  <c r="T22" i="2"/>
  <c r="T26" i="2"/>
  <c r="T33" i="2"/>
  <c r="T37" i="2"/>
  <c r="T41" i="2"/>
  <c r="T85" i="2"/>
  <c r="T89" i="2"/>
  <c r="T92" i="2"/>
  <c r="T96" i="2"/>
  <c r="T100" i="2"/>
  <c r="T104" i="2"/>
  <c r="T108" i="2"/>
  <c r="T112" i="2"/>
  <c r="T116" i="2"/>
  <c r="T120" i="2"/>
  <c r="T128" i="2"/>
  <c r="Q443" i="2"/>
  <c r="U347" i="2"/>
  <c r="S265" i="2"/>
  <c r="S182" i="2"/>
  <c r="S189" i="2"/>
  <c r="T176" i="2"/>
  <c r="T224" i="2"/>
  <c r="T344" i="2"/>
  <c r="T348" i="2"/>
  <c r="T352" i="2"/>
  <c r="T356" i="2"/>
  <c r="T360" i="2"/>
  <c r="T364" i="2"/>
  <c r="T368" i="2"/>
  <c r="T372" i="2"/>
  <c r="T376" i="2"/>
  <c r="T380" i="2"/>
  <c r="T384" i="2"/>
  <c r="T388" i="2"/>
  <c r="T392" i="2"/>
  <c r="T396" i="2"/>
  <c r="T400" i="2"/>
  <c r="T404" i="2"/>
  <c r="T408" i="2"/>
  <c r="T412" i="2"/>
  <c r="T416" i="2"/>
  <c r="T420" i="2"/>
  <c r="T424" i="2"/>
  <c r="T428" i="2"/>
  <c r="T432" i="2"/>
  <c r="T436" i="2"/>
  <c r="T440" i="2"/>
  <c r="T444" i="2"/>
  <c r="T448" i="2"/>
  <c r="T452" i="2"/>
  <c r="T456" i="2"/>
  <c r="T458" i="2"/>
  <c r="T460" i="2"/>
  <c r="T462" i="2"/>
  <c r="T464" i="2"/>
  <c r="T466" i="2"/>
  <c r="T468" i="2"/>
  <c r="T470" i="2"/>
  <c r="T472" i="2"/>
  <c r="T474" i="2"/>
  <c r="T476" i="2"/>
  <c r="T478" i="2"/>
  <c r="T480" i="2"/>
  <c r="T482" i="2"/>
  <c r="T484" i="2"/>
  <c r="T486" i="2"/>
  <c r="T488" i="2"/>
  <c r="T490" i="2"/>
  <c r="T492" i="2"/>
  <c r="T494" i="2"/>
  <c r="T496" i="2"/>
  <c r="T498" i="2"/>
  <c r="T500" i="2"/>
  <c r="T502" i="2"/>
  <c r="T504" i="2"/>
  <c r="T506" i="2"/>
  <c r="T508" i="2"/>
  <c r="T510" i="2"/>
  <c r="T512" i="2"/>
  <c r="T514" i="2"/>
  <c r="T516" i="2"/>
  <c r="T518" i="2"/>
  <c r="T520" i="2"/>
  <c r="T522" i="2"/>
  <c r="T524" i="2"/>
  <c r="T526" i="2"/>
  <c r="T528" i="2"/>
  <c r="T530" i="2"/>
  <c r="T532" i="2"/>
  <c r="T534" i="2"/>
  <c r="T536" i="2"/>
  <c r="T538" i="2"/>
  <c r="T541" i="2"/>
  <c r="T543" i="2"/>
  <c r="T547" i="2"/>
  <c r="T551" i="2"/>
  <c r="T556" i="2"/>
  <c r="T560" i="2"/>
  <c r="T564" i="2"/>
  <c r="T568" i="2"/>
  <c r="T572" i="2"/>
  <c r="T576" i="2"/>
  <c r="T580" i="2"/>
  <c r="T584" i="2"/>
  <c r="T588" i="2"/>
  <c r="T592" i="2"/>
  <c r="T596" i="2"/>
  <c r="T600" i="2"/>
  <c r="T604" i="2"/>
  <c r="T608" i="2"/>
  <c r="T74" i="2"/>
  <c r="T78" i="2"/>
  <c r="T82" i="2"/>
  <c r="T131" i="2"/>
  <c r="R333" i="2"/>
  <c r="R335" i="2"/>
  <c r="R337" i="2"/>
  <c r="R339" i="2"/>
  <c r="R341" i="2"/>
  <c r="R343" i="2"/>
  <c r="R345" i="2"/>
  <c r="R347" i="2"/>
  <c r="R349" i="2"/>
  <c r="R351" i="2"/>
  <c r="R353" i="2"/>
  <c r="R355" i="2"/>
  <c r="R357" i="2"/>
  <c r="R359" i="2"/>
  <c r="R361" i="2"/>
  <c r="R363" i="2"/>
  <c r="R365" i="2"/>
  <c r="R367" i="2"/>
  <c r="R369" i="2"/>
  <c r="R371" i="2"/>
  <c r="R375" i="2"/>
  <c r="R377" i="2"/>
  <c r="R379" i="2"/>
  <c r="R381" i="2"/>
  <c r="R383" i="2"/>
  <c r="R385" i="2"/>
  <c r="R387" i="2"/>
  <c r="R389" i="2"/>
  <c r="R397" i="2"/>
  <c r="R405" i="2"/>
  <c r="R421" i="2"/>
  <c r="R495" i="2"/>
  <c r="R525" i="2"/>
  <c r="R549" i="2"/>
  <c r="R559" i="2"/>
  <c r="R575" i="2"/>
  <c r="R607" i="2"/>
  <c r="R72" i="2"/>
  <c r="R74" i="2"/>
  <c r="R76" i="2"/>
  <c r="R80" i="2"/>
  <c r="R82" i="2"/>
  <c r="R79" i="2"/>
  <c r="R81" i="2"/>
  <c r="Q556" i="2"/>
  <c r="Q580" i="2"/>
  <c r="Q604" i="2"/>
  <c r="U428" i="2"/>
  <c r="Q200" i="2"/>
  <c r="Q296" i="2"/>
  <c r="Q392" i="2"/>
  <c r="Q441" i="2"/>
  <c r="Q575" i="2"/>
  <c r="Q182" i="2"/>
  <c r="Q214" i="2"/>
  <c r="Q246" i="2"/>
  <c r="Q286" i="2"/>
  <c r="Q318" i="2"/>
  <c r="Q350" i="2"/>
  <c r="Q382" i="2"/>
  <c r="Q414" i="2"/>
  <c r="Q450" i="2"/>
  <c r="Q550" i="2"/>
  <c r="Q582" i="2"/>
  <c r="Q606" i="2"/>
  <c r="Q223" i="2"/>
  <c r="Q363" i="2"/>
  <c r="Q411" i="2"/>
  <c r="Q459" i="2"/>
  <c r="Q136" i="2"/>
  <c r="Q228" i="2"/>
  <c r="Q324" i="2"/>
  <c r="Q396" i="2"/>
  <c r="Q488" i="2"/>
  <c r="Q78" i="2"/>
  <c r="Q187" i="2"/>
  <c r="Q335" i="2"/>
  <c r="Q399" i="2"/>
  <c r="Q463" i="2"/>
  <c r="Q507" i="2"/>
  <c r="Q102" i="2"/>
  <c r="Q479" i="2"/>
  <c r="Q74" i="2"/>
  <c r="Q63" i="2"/>
  <c r="Q55" i="2"/>
  <c r="Q39" i="2"/>
  <c r="Q23" i="2"/>
  <c r="R161" i="2"/>
  <c r="S161" i="2"/>
  <c r="S163" i="2"/>
  <c r="S165" i="2"/>
  <c r="S167" i="2"/>
  <c r="S170" i="2"/>
  <c r="S172" i="2"/>
  <c r="S174" i="2"/>
  <c r="S176" i="2"/>
  <c r="S178" i="2"/>
  <c r="S180" i="2"/>
  <c r="S185" i="2"/>
  <c r="S187" i="2"/>
  <c r="S191" i="2"/>
  <c r="S193" i="2"/>
  <c r="S195" i="2"/>
  <c r="S197" i="2"/>
  <c r="S199" i="2"/>
  <c r="S204" i="2"/>
  <c r="S212" i="2"/>
  <c r="S219" i="2"/>
  <c r="S227" i="2"/>
  <c r="S238" i="2"/>
  <c r="S261" i="2"/>
  <c r="S268" i="2"/>
  <c r="U254" i="2"/>
  <c r="Q516" i="2"/>
  <c r="Q285" i="2"/>
  <c r="Q256" i="2"/>
  <c r="Q317" i="2"/>
  <c r="Q174" i="2"/>
  <c r="Q206" i="2"/>
  <c r="Q238" i="2"/>
  <c r="Q270" i="2"/>
  <c r="Q302" i="2"/>
  <c r="Q334" i="2"/>
  <c r="Q366" i="2"/>
  <c r="Q398" i="2"/>
  <c r="Q430" i="2"/>
  <c r="Q470" i="2"/>
  <c r="Q494" i="2"/>
  <c r="Q526" i="2"/>
  <c r="Q558" i="2"/>
  <c r="Q207" i="2"/>
  <c r="Q271" i="2"/>
  <c r="Q331" i="2"/>
  <c r="Q395" i="2"/>
  <c r="Q104" i="2"/>
  <c r="Q180" i="2"/>
  <c r="Q300" i="2"/>
  <c r="Q420" i="2"/>
  <c r="Q536" i="2"/>
  <c r="Q389" i="2"/>
  <c r="Q203" i="2"/>
  <c r="Q283" i="2"/>
  <c r="Q367" i="2"/>
  <c r="Q431" i="2"/>
  <c r="Q571" i="2"/>
  <c r="Q487" i="2"/>
  <c r="Q267" i="2"/>
  <c r="Q518" i="2"/>
  <c r="Q511" i="2"/>
  <c r="Q190" i="2"/>
  <c r="Q222" i="2"/>
  <c r="Q254" i="2"/>
  <c r="Q278" i="2"/>
  <c r="Q310" i="2"/>
  <c r="Q342" i="2"/>
  <c r="Q374" i="2"/>
  <c r="Q406" i="2"/>
  <c r="Q438" i="2"/>
  <c r="Q478" i="2"/>
  <c r="Q502" i="2"/>
  <c r="Q534" i="2"/>
  <c r="Q566" i="2"/>
  <c r="Q590" i="2"/>
  <c r="Q175" i="2"/>
  <c r="Q239" i="2"/>
  <c r="Q287" i="2"/>
  <c r="Q347" i="2"/>
  <c r="Q427" i="2"/>
  <c r="Q28" i="2"/>
  <c r="Q152" i="2"/>
  <c r="Q333" i="2"/>
  <c r="Q252" i="2"/>
  <c r="Q348" i="2"/>
  <c r="Q444" i="2"/>
  <c r="Q512" i="2"/>
  <c r="Q584" i="2"/>
  <c r="Q547" i="2"/>
  <c r="Q171" i="2"/>
  <c r="Q219" i="2"/>
  <c r="Q251" i="2"/>
  <c r="Q319" i="2"/>
  <c r="Q383" i="2"/>
  <c r="Q447" i="2"/>
  <c r="Q436" i="2"/>
  <c r="Q151" i="2"/>
  <c r="Q127" i="2"/>
  <c r="Q47" i="2"/>
  <c r="S162" i="2"/>
  <c r="S164" i="2"/>
  <c r="S166" i="2"/>
  <c r="S169" i="2"/>
  <c r="S171" i="2"/>
  <c r="S173" i="2"/>
  <c r="S175" i="2"/>
  <c r="S177" i="2"/>
  <c r="S179" i="2"/>
  <c r="S181" i="2"/>
  <c r="S183" i="2"/>
  <c r="S186" i="2"/>
  <c r="S188" i="2"/>
  <c r="S190" i="2"/>
  <c r="S192" i="2"/>
  <c r="S194" i="2"/>
  <c r="S196" i="2"/>
  <c r="S198" i="2"/>
  <c r="S203" i="2"/>
  <c r="S205" i="2"/>
  <c r="S207" i="2"/>
  <c r="S209" i="2"/>
  <c r="S211" i="2"/>
  <c r="S213" i="2"/>
  <c r="S215" i="2"/>
  <c r="S218" i="2"/>
  <c r="S220" i="2"/>
  <c r="S222" i="2"/>
  <c r="S224" i="2"/>
  <c r="S226" i="2"/>
  <c r="S228" i="2"/>
  <c r="S230" i="2"/>
  <c r="S233" i="2"/>
  <c r="S235" i="2"/>
  <c r="S237" i="2"/>
  <c r="S239" i="2"/>
  <c r="S247" i="2"/>
  <c r="S250" i="2"/>
  <c r="S258" i="2"/>
  <c r="S273" i="2"/>
  <c r="Q503" i="2"/>
  <c r="Q166" i="2"/>
  <c r="Q198" i="2"/>
  <c r="Q230" i="2"/>
  <c r="Q262" i="2"/>
  <c r="Q294" i="2"/>
  <c r="Q326" i="2"/>
  <c r="Q358" i="2"/>
  <c r="Q390" i="2"/>
  <c r="Q422" i="2"/>
  <c r="Q458" i="2"/>
  <c r="Q486" i="2"/>
  <c r="Q510" i="2"/>
  <c r="Q542" i="2"/>
  <c r="Q574" i="2"/>
  <c r="Q598" i="2"/>
  <c r="Q191" i="2"/>
  <c r="Q255" i="2"/>
  <c r="Q315" i="2"/>
  <c r="Q379" i="2"/>
  <c r="Q120" i="2"/>
  <c r="Q204" i="2"/>
  <c r="Q276" i="2"/>
  <c r="Q372" i="2"/>
  <c r="Q464" i="2"/>
  <c r="Q560" i="2"/>
  <c r="Q608" i="2"/>
  <c r="Q483" i="2"/>
  <c r="Q303" i="2"/>
  <c r="Q351" i="2"/>
  <c r="Q415" i="2"/>
  <c r="Q381" i="2"/>
  <c r="Q543" i="2"/>
  <c r="Q607" i="2"/>
  <c r="Q138" i="2"/>
  <c r="Q235" i="2"/>
  <c r="Q299" i="2"/>
  <c r="Q170" i="2"/>
  <c r="Q178" i="2"/>
  <c r="Q210" i="2"/>
  <c r="Q218" i="2"/>
  <c r="Q242" i="2"/>
  <c r="Q250" i="2"/>
  <c r="Q266" i="2"/>
  <c r="Q274" i="2"/>
  <c r="Q282" i="2"/>
  <c r="Q306" i="2"/>
  <c r="Q314" i="2"/>
  <c r="Q322" i="2"/>
  <c r="Q338" i="2"/>
  <c r="Q346" i="2"/>
  <c r="Q354" i="2"/>
  <c r="Q370" i="2"/>
  <c r="Q378" i="2"/>
  <c r="Q386" i="2"/>
  <c r="Q402" i="2"/>
  <c r="Q410" i="2"/>
  <c r="Q418" i="2"/>
  <c r="Q434" i="2"/>
  <c r="Q442" i="2"/>
  <c r="Q454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594" i="2"/>
  <c r="Q602" i="2"/>
  <c r="Q610" i="2"/>
  <c r="Q27" i="2"/>
  <c r="Q51" i="2"/>
  <c r="Q59" i="2"/>
  <c r="Q91" i="2"/>
  <c r="Q131" i="2"/>
  <c r="Q139" i="2"/>
  <c r="Q147" i="2"/>
  <c r="Q155" i="2"/>
  <c r="Q167" i="2"/>
  <c r="Q183" i="2"/>
  <c r="Q199" i="2"/>
  <c r="Q215" i="2"/>
  <c r="Q231" i="2"/>
  <c r="Q247" i="2"/>
  <c r="Q263" i="2"/>
  <c r="Q279" i="2"/>
  <c r="Q295" i="2"/>
  <c r="Q339" i="2"/>
  <c r="Q371" i="2"/>
  <c r="Q387" i="2"/>
  <c r="Q403" i="2"/>
  <c r="Q419" i="2"/>
  <c r="Q435" i="2"/>
  <c r="Q452" i="2"/>
  <c r="Q192" i="2"/>
  <c r="Q216" i="2"/>
  <c r="Q240" i="2"/>
  <c r="Q264" i="2"/>
  <c r="Q312" i="2"/>
  <c r="Q336" i="2"/>
  <c r="Q384" i="2"/>
  <c r="Q408" i="2"/>
  <c r="Q432" i="2"/>
  <c r="Q456" i="2"/>
  <c r="Q500" i="2"/>
  <c r="Q524" i="2"/>
  <c r="Q572" i="2"/>
  <c r="Q596" i="2"/>
  <c r="Q21" i="2"/>
  <c r="Q41" i="2"/>
  <c r="Q65" i="2"/>
  <c r="Q89" i="2"/>
  <c r="Q325" i="2"/>
  <c r="Q446" i="2"/>
  <c r="Q515" i="2"/>
  <c r="Q211" i="2"/>
  <c r="Q275" i="2"/>
  <c r="Q311" i="2"/>
  <c r="Q327" i="2"/>
  <c r="Q343" i="2"/>
  <c r="Q359" i="2"/>
  <c r="Q423" i="2"/>
  <c r="Q439" i="2"/>
  <c r="Q455" i="2"/>
  <c r="Q365" i="2"/>
  <c r="Q373" i="2"/>
  <c r="Q475" i="2"/>
  <c r="Q603" i="2"/>
  <c r="R395" i="2"/>
  <c r="R399" i="2"/>
  <c r="R401" i="2"/>
  <c r="R403" i="2"/>
  <c r="R407" i="2"/>
  <c r="R409" i="2"/>
  <c r="R411" i="2"/>
  <c r="R415" i="2"/>
  <c r="R417" i="2"/>
  <c r="R419" i="2"/>
  <c r="R423" i="2"/>
  <c r="R425" i="2"/>
  <c r="R427" i="2"/>
  <c r="R431" i="2"/>
  <c r="R433" i="2"/>
  <c r="R435" i="2"/>
  <c r="R437" i="2"/>
  <c r="R439" i="2"/>
  <c r="R441" i="2"/>
  <c r="R443" i="2"/>
  <c r="R445" i="2"/>
  <c r="R447" i="2"/>
  <c r="R449" i="2"/>
  <c r="R451" i="2"/>
  <c r="R453" i="2"/>
  <c r="R457" i="2"/>
  <c r="R459" i="2"/>
  <c r="R461" i="2"/>
  <c r="R463" i="2"/>
  <c r="R465" i="2"/>
  <c r="R467" i="2"/>
  <c r="R469" i="2"/>
  <c r="R471" i="2"/>
  <c r="R473" i="2"/>
  <c r="R475" i="2"/>
  <c r="R477" i="2"/>
  <c r="R479" i="2"/>
  <c r="R481" i="2"/>
  <c r="R483" i="2"/>
  <c r="R485" i="2"/>
  <c r="R487" i="2"/>
  <c r="R489" i="2"/>
  <c r="R491" i="2"/>
  <c r="R493" i="2"/>
  <c r="R497" i="2"/>
  <c r="R499" i="2"/>
  <c r="R501" i="2"/>
  <c r="R503" i="2"/>
  <c r="R505" i="2"/>
  <c r="R507" i="2"/>
  <c r="R509" i="2"/>
  <c r="R511" i="2"/>
  <c r="R513" i="2"/>
  <c r="R517" i="2"/>
  <c r="R519" i="2"/>
  <c r="R521" i="2"/>
  <c r="R523" i="2"/>
  <c r="R527" i="2"/>
  <c r="R529" i="2"/>
  <c r="R531" i="2"/>
  <c r="R533" i="2"/>
  <c r="R535" i="2"/>
  <c r="R537" i="2"/>
  <c r="R539" i="2"/>
  <c r="R541" i="2"/>
  <c r="R543" i="2"/>
  <c r="R545" i="2"/>
  <c r="R547" i="2"/>
  <c r="R551" i="2"/>
  <c r="R553" i="2"/>
  <c r="R555" i="2"/>
  <c r="R557" i="2"/>
  <c r="R561" i="2"/>
  <c r="R563" i="2"/>
  <c r="R565" i="2"/>
  <c r="R567" i="2"/>
  <c r="R569" i="2"/>
  <c r="R571" i="2"/>
  <c r="R573" i="2"/>
  <c r="R577" i="2"/>
  <c r="R579" i="2"/>
  <c r="R581" i="2"/>
  <c r="R583" i="2"/>
  <c r="R585" i="2"/>
  <c r="R587" i="2"/>
  <c r="R589" i="2"/>
  <c r="R593" i="2"/>
  <c r="R595" i="2"/>
  <c r="R597" i="2"/>
  <c r="R599" i="2"/>
  <c r="R601" i="2"/>
  <c r="R603" i="2"/>
  <c r="R605" i="2"/>
  <c r="R609" i="2"/>
  <c r="Q179" i="2"/>
  <c r="Q391" i="2"/>
  <c r="Q162" i="2"/>
  <c r="Q234" i="2"/>
  <c r="Q330" i="2"/>
  <c r="Q168" i="2"/>
  <c r="Q476" i="2"/>
  <c r="S202" i="2"/>
  <c r="S206" i="2"/>
  <c r="S208" i="2"/>
  <c r="S210" i="2"/>
  <c r="S214" i="2"/>
  <c r="S217" i="2"/>
  <c r="S221" i="2"/>
  <c r="S223" i="2"/>
  <c r="S225" i="2"/>
  <c r="S229" i="2"/>
  <c r="S231" i="2"/>
  <c r="S234" i="2"/>
  <c r="S236" i="2"/>
  <c r="S240" i="2"/>
  <c r="S242" i="2"/>
  <c r="S244" i="2"/>
  <c r="S249" i="2"/>
  <c r="S251" i="2"/>
  <c r="S255" i="2"/>
  <c r="S257" i="2"/>
  <c r="S259" i="2"/>
  <c r="S263" i="2"/>
  <c r="S266" i="2"/>
  <c r="S270" i="2"/>
  <c r="S272" i="2"/>
  <c r="S274" i="2"/>
  <c r="Q413" i="2"/>
  <c r="Q495" i="2"/>
  <c r="T106" i="2"/>
  <c r="T110" i="2"/>
  <c r="T114" i="2"/>
  <c r="T118" i="2"/>
  <c r="T122" i="2"/>
  <c r="Q357" i="2"/>
  <c r="T493" i="2"/>
  <c r="T590" i="2"/>
  <c r="T64" i="2"/>
  <c r="Q429" i="2"/>
  <c r="Q164" i="2"/>
  <c r="Q188" i="2"/>
  <c r="Q212" i="2"/>
  <c r="Q236" i="2"/>
  <c r="Q260" i="2"/>
  <c r="Q284" i="2"/>
  <c r="Q308" i="2"/>
  <c r="Q332" i="2"/>
  <c r="Q356" i="2"/>
  <c r="Q380" i="2"/>
  <c r="Q404" i="2"/>
  <c r="Q428" i="2"/>
  <c r="Q468" i="2"/>
  <c r="Q492" i="2"/>
  <c r="Q540" i="2"/>
  <c r="Q564" i="2"/>
  <c r="Q588" i="2"/>
  <c r="Q405" i="2"/>
  <c r="Q491" i="2"/>
  <c r="Q555" i="2"/>
  <c r="Q22" i="2"/>
  <c r="Q86" i="2"/>
  <c r="Q165" i="2"/>
  <c r="Q173" i="2"/>
  <c r="Q181" i="2"/>
  <c r="Q189" i="2"/>
  <c r="AH189" i="2" s="1"/>
  <c r="Q205" i="2"/>
  <c r="Q213" i="2"/>
  <c r="Q221" i="2"/>
  <c r="Q229" i="2"/>
  <c r="Q237" i="2"/>
  <c r="Q245" i="2"/>
  <c r="Q253" i="2"/>
  <c r="Q261" i="2"/>
  <c r="Q269" i="2"/>
  <c r="Q277" i="2"/>
  <c r="Q293" i="2"/>
  <c r="Q301" i="2"/>
  <c r="Q309" i="2"/>
  <c r="Q321" i="2"/>
  <c r="Q337" i="2"/>
  <c r="Q353" i="2"/>
  <c r="Q369" i="2"/>
  <c r="Q385" i="2"/>
  <c r="Q401" i="2"/>
  <c r="Q417" i="2"/>
  <c r="Q433" i="2"/>
  <c r="Q445" i="2"/>
  <c r="Q453" i="2"/>
  <c r="Q465" i="2"/>
  <c r="Q473" i="2"/>
  <c r="Q481" i="2"/>
  <c r="Q489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184" i="2"/>
  <c r="Q208" i="2"/>
  <c r="Q280" i="2"/>
  <c r="Q304" i="2"/>
  <c r="Q352" i="2"/>
  <c r="Q376" i="2"/>
  <c r="Q400" i="2"/>
  <c r="Q460" i="2"/>
  <c r="Q484" i="2"/>
  <c r="Q508" i="2"/>
  <c r="Q532" i="2"/>
  <c r="Q195" i="2"/>
  <c r="Q307" i="2"/>
  <c r="Q355" i="2"/>
  <c r="Q451" i="2"/>
  <c r="Q531" i="2"/>
  <c r="Q539" i="2"/>
  <c r="Q567" i="2"/>
  <c r="Q579" i="2"/>
  <c r="Q226" i="2"/>
  <c r="Q362" i="2"/>
  <c r="Q288" i="2"/>
  <c r="Q424" i="2"/>
  <c r="Q548" i="2"/>
  <c r="Q197" i="2"/>
  <c r="S241" i="2"/>
  <c r="S243" i="2"/>
  <c r="S245" i="2"/>
  <c r="S252" i="2"/>
  <c r="S254" i="2"/>
  <c r="S256" i="2"/>
  <c r="S260" i="2"/>
  <c r="S262" i="2"/>
  <c r="S267" i="2"/>
  <c r="S269" i="2"/>
  <c r="S271" i="2"/>
  <c r="S216" i="2"/>
  <c r="Q349" i="2"/>
  <c r="Q462" i="2"/>
  <c r="Q591" i="2"/>
  <c r="S12" i="2"/>
  <c r="S16" i="2"/>
  <c r="S22" i="2"/>
  <c r="S30" i="2"/>
  <c r="S32" i="2"/>
  <c r="S34" i="2"/>
  <c r="S46" i="2"/>
  <c r="S50" i="2"/>
  <c r="S56" i="2"/>
  <c r="S60" i="2"/>
  <c r="S62" i="2"/>
  <c r="S64" i="2"/>
  <c r="S76" i="2"/>
  <c r="S86" i="2"/>
  <c r="S98" i="2"/>
  <c r="S100" i="2"/>
  <c r="S106" i="2"/>
  <c r="S110" i="2"/>
  <c r="S118" i="2"/>
  <c r="S122" i="2"/>
  <c r="S130" i="2"/>
  <c r="S132" i="2"/>
  <c r="S134" i="2"/>
  <c r="S136" i="2"/>
  <c r="S140" i="2"/>
  <c r="S142" i="2"/>
  <c r="S146" i="2"/>
  <c r="S150" i="2"/>
  <c r="S152" i="2"/>
  <c r="S154" i="2"/>
  <c r="S156" i="2"/>
  <c r="S158" i="2"/>
  <c r="Q11" i="2"/>
  <c r="T45" i="2"/>
  <c r="T49" i="2"/>
  <c r="T53" i="2"/>
  <c r="T57" i="2"/>
  <c r="T61" i="2"/>
  <c r="T69" i="2"/>
  <c r="T73" i="2"/>
  <c r="T77" i="2"/>
  <c r="T81" i="2"/>
  <c r="T132" i="2"/>
  <c r="T136" i="2"/>
  <c r="T144" i="2"/>
  <c r="T148" i="2"/>
  <c r="T152" i="2"/>
  <c r="T156" i="2"/>
  <c r="T160" i="2"/>
  <c r="Q421" i="2"/>
  <c r="Q499" i="2"/>
  <c r="Q563" i="2"/>
  <c r="Q158" i="2"/>
  <c r="T13" i="2"/>
  <c r="T86" i="2"/>
  <c r="T127" i="2"/>
  <c r="Q176" i="2"/>
  <c r="Q224" i="2"/>
  <c r="Q248" i="2"/>
  <c r="Q272" i="2"/>
  <c r="Q320" i="2"/>
  <c r="Q344" i="2"/>
  <c r="Q368" i="2"/>
  <c r="Q416" i="2"/>
  <c r="Q440" i="2"/>
  <c r="Q480" i="2"/>
  <c r="Q504" i="2"/>
  <c r="Q528" i="2"/>
  <c r="Q552" i="2"/>
  <c r="Q576" i="2"/>
  <c r="Q600" i="2"/>
  <c r="Q341" i="2"/>
  <c r="Q457" i="2"/>
  <c r="Q523" i="2"/>
  <c r="Q54" i="2"/>
  <c r="R552" i="2"/>
  <c r="R568" i="2"/>
  <c r="Q161" i="2"/>
  <c r="Q177" i="2"/>
  <c r="Q185" i="2"/>
  <c r="Q193" i="2"/>
  <c r="Q201" i="2"/>
  <c r="Q209" i="2"/>
  <c r="Q225" i="2"/>
  <c r="Q241" i="2"/>
  <c r="Q249" i="2"/>
  <c r="Q257" i="2"/>
  <c r="Q265" i="2"/>
  <c r="Q273" i="2"/>
  <c r="Q289" i="2"/>
  <c r="Q297" i="2"/>
  <c r="Q305" i="2"/>
  <c r="Q313" i="2"/>
  <c r="Q329" i="2"/>
  <c r="Q377" i="2"/>
  <c r="AH377" i="2" s="1"/>
  <c r="Q393" i="2"/>
  <c r="Q409" i="2"/>
  <c r="Q425" i="2"/>
  <c r="Q437" i="2"/>
  <c r="Q449" i="2"/>
  <c r="Q461" i="2"/>
  <c r="Q469" i="2"/>
  <c r="Q485" i="2"/>
  <c r="Q493" i="2"/>
  <c r="Q501" i="2"/>
  <c r="Q509" i="2"/>
  <c r="Q517" i="2"/>
  <c r="Q525" i="2"/>
  <c r="Q533" i="2"/>
  <c r="Q541" i="2"/>
  <c r="Q557" i="2"/>
  <c r="Q565" i="2"/>
  <c r="Q573" i="2"/>
  <c r="Q589" i="2"/>
  <c r="Q597" i="2"/>
  <c r="Q172" i="2"/>
  <c r="Q196" i="2"/>
  <c r="Q220" i="2"/>
  <c r="Q244" i="2"/>
  <c r="Q268" i="2"/>
  <c r="Q292" i="2"/>
  <c r="Q316" i="2"/>
  <c r="Q340" i="2"/>
  <c r="Q364" i="2"/>
  <c r="Q388" i="2"/>
  <c r="Q412" i="2"/>
  <c r="Q448" i="2"/>
  <c r="Q472" i="2"/>
  <c r="Q496" i="2"/>
  <c r="Q520" i="2"/>
  <c r="Q544" i="2"/>
  <c r="Q568" i="2"/>
  <c r="Q592" i="2"/>
  <c r="Q471" i="2"/>
  <c r="Q227" i="2"/>
  <c r="Q259" i="2"/>
  <c r="Q291" i="2"/>
  <c r="Q375" i="2"/>
  <c r="Q595" i="2"/>
  <c r="Q186" i="2"/>
  <c r="Q290" i="2"/>
  <c r="Q298" i="2"/>
  <c r="Q426" i="2"/>
  <c r="Q345" i="2"/>
  <c r="Q361" i="2"/>
  <c r="Q497" i="2"/>
  <c r="Q360" i="2"/>
  <c r="Q535" i="2"/>
  <c r="S65" i="2"/>
  <c r="S113" i="2"/>
  <c r="S129" i="2"/>
  <c r="S145" i="2"/>
  <c r="R109" i="2"/>
  <c r="R111" i="2"/>
  <c r="R113" i="2"/>
  <c r="T17" i="2"/>
  <c r="T21" i="2"/>
  <c r="T25" i="2"/>
  <c r="T30" i="2"/>
  <c r="T38" i="2"/>
  <c r="T42" i="2"/>
  <c r="T46" i="2"/>
  <c r="T50" i="2"/>
  <c r="T56" i="2"/>
  <c r="T60" i="2"/>
  <c r="T68" i="2"/>
  <c r="T135" i="2"/>
  <c r="T139" i="2"/>
  <c r="T143" i="2"/>
  <c r="Q16" i="2"/>
  <c r="Q100" i="2"/>
  <c r="Q116" i="2"/>
  <c r="Q132" i="2"/>
  <c r="Q33" i="2"/>
  <c r="Q57" i="2"/>
  <c r="Q81" i="2"/>
  <c r="Q129" i="2"/>
  <c r="R88" i="2"/>
  <c r="R90" i="2"/>
  <c r="R92" i="2"/>
  <c r="R94" i="2"/>
  <c r="R96" i="2"/>
  <c r="R102" i="2"/>
  <c r="R104" i="2"/>
  <c r="R110" i="2"/>
  <c r="R112" i="2"/>
  <c r="R118" i="2"/>
  <c r="R120" i="2"/>
  <c r="R122" i="2"/>
  <c r="R124" i="2"/>
  <c r="R126" i="2"/>
  <c r="Q25" i="2"/>
  <c r="Q49" i="2"/>
  <c r="Q73" i="2"/>
  <c r="Q121" i="2"/>
  <c r="Q145" i="2"/>
  <c r="T19" i="2"/>
  <c r="T32" i="2"/>
  <c r="T40" i="2"/>
  <c r="T44" i="2"/>
  <c r="T48" i="2"/>
  <c r="T54" i="2"/>
  <c r="T62" i="2"/>
  <c r="T66" i="2"/>
  <c r="T70" i="2"/>
  <c r="T117" i="2"/>
  <c r="T125" i="2"/>
  <c r="T141" i="2"/>
  <c r="T145" i="2"/>
  <c r="T149" i="2"/>
  <c r="T153" i="2"/>
  <c r="T157" i="2"/>
  <c r="Q12" i="2"/>
  <c r="Q24" i="2"/>
  <c r="Q92" i="2"/>
  <c r="Q108" i="2"/>
  <c r="Q156" i="2"/>
  <c r="R119" i="2"/>
  <c r="T34" i="2"/>
  <c r="Q29" i="2"/>
  <c r="Q53" i="2"/>
  <c r="Q77" i="2"/>
  <c r="Q125" i="2"/>
  <c r="Q149" i="2"/>
  <c r="T52" i="2"/>
  <c r="T91" i="2"/>
  <c r="T95" i="2"/>
  <c r="R48" i="2"/>
  <c r="R54" i="2"/>
  <c r="R56" i="2"/>
  <c r="R60" i="2"/>
  <c r="R86" i="2"/>
  <c r="R128" i="2"/>
  <c r="R130" i="2"/>
  <c r="R132" i="2"/>
  <c r="R136" i="2"/>
  <c r="R140" i="2"/>
  <c r="R144" i="2"/>
  <c r="R146" i="2"/>
  <c r="R148" i="2"/>
  <c r="R150" i="2"/>
  <c r="R152" i="2"/>
  <c r="R154" i="2"/>
  <c r="R156" i="2"/>
  <c r="R158" i="2"/>
  <c r="S14" i="2"/>
  <c r="S18" i="2"/>
  <c r="S38" i="2"/>
  <c r="S58" i="2"/>
  <c r="S70" i="2"/>
  <c r="S78" i="2"/>
  <c r="S82" i="2"/>
  <c r="S90" i="2"/>
  <c r="S94" i="2"/>
  <c r="S126" i="2"/>
  <c r="Q117" i="2"/>
  <c r="R13" i="2"/>
  <c r="R61" i="2"/>
  <c r="R63" i="2"/>
  <c r="R65" i="2"/>
  <c r="R87" i="2"/>
  <c r="R103" i="2"/>
  <c r="R123" i="2"/>
  <c r="R125" i="2"/>
  <c r="R127" i="2"/>
  <c r="S133" i="2"/>
  <c r="S42" i="2"/>
  <c r="R55" i="2"/>
  <c r="S13" i="2"/>
  <c r="S97" i="2"/>
  <c r="R98" i="2"/>
  <c r="R116" i="2"/>
  <c r="T107" i="2"/>
  <c r="R139" i="2"/>
  <c r="T151" i="2"/>
  <c r="S144" i="2"/>
  <c r="S141" i="2"/>
  <c r="S108" i="2"/>
  <c r="S128" i="2"/>
  <c r="T123" i="2"/>
  <c r="T103" i="2"/>
  <c r="T133" i="2"/>
  <c r="R100" i="2"/>
  <c r="S104" i="2"/>
  <c r="T59" i="2"/>
  <c r="S80" i="2"/>
  <c r="S20" i="2"/>
  <c r="T137" i="2"/>
  <c r="S40" i="2"/>
  <c r="S92" i="2"/>
  <c r="T47" i="2"/>
  <c r="S116" i="2"/>
  <c r="T119" i="2"/>
  <c r="T23" i="2"/>
  <c r="T51" i="2"/>
  <c r="R29" i="2"/>
  <c r="S19" i="2"/>
  <c r="T43" i="2"/>
  <c r="T147" i="2"/>
  <c r="T94" i="2"/>
  <c r="Q150" i="2"/>
  <c r="Q111" i="2"/>
  <c r="Q42" i="2"/>
  <c r="Q35" i="2"/>
  <c r="Q135" i="2"/>
  <c r="T159" i="2"/>
  <c r="T115" i="2"/>
  <c r="Q114" i="2"/>
  <c r="R160" i="2"/>
  <c r="Q160" i="2"/>
  <c r="R134" i="2"/>
  <c r="S137" i="2"/>
  <c r="S148" i="2"/>
  <c r="T111" i="2"/>
  <c r="R101" i="2"/>
  <c r="T99" i="2"/>
  <c r="S103" i="2"/>
  <c r="Q115" i="2"/>
  <c r="S73" i="2"/>
  <c r="S96" i="2"/>
  <c r="T65" i="2"/>
  <c r="T63" i="2"/>
  <c r="S68" i="2"/>
  <c r="R53" i="2"/>
  <c r="S44" i="2"/>
  <c r="S61" i="2"/>
  <c r="S120" i="2"/>
  <c r="R129" i="2"/>
  <c r="Q106" i="2"/>
  <c r="T90" i="2"/>
  <c r="R89" i="2"/>
  <c r="S81" i="2"/>
  <c r="R73" i="2"/>
  <c r="Q98" i="2"/>
  <c r="S48" i="2"/>
  <c r="T80" i="2"/>
  <c r="R45" i="2"/>
  <c r="Q13" i="2"/>
  <c r="Q38" i="2"/>
  <c r="R145" i="2"/>
  <c r="T140" i="2"/>
  <c r="T124" i="2"/>
  <c r="Q101" i="2"/>
  <c r="R97" i="2"/>
  <c r="Q83" i="2"/>
  <c r="S77" i="2"/>
  <c r="R69" i="2"/>
  <c r="R21" i="2"/>
  <c r="Q50" i="2"/>
  <c r="Q126" i="2"/>
  <c r="Q130" i="2"/>
  <c r="Q67" i="2"/>
  <c r="Q62" i="2"/>
  <c r="Q154" i="2"/>
  <c r="Q140" i="2"/>
  <c r="Q97" i="2"/>
  <c r="S159" i="2"/>
  <c r="Q99" i="2"/>
  <c r="Q146" i="2"/>
  <c r="AH146" i="2" s="1"/>
  <c r="R157" i="2"/>
  <c r="T155" i="2"/>
  <c r="R142" i="2"/>
  <c r="Q124" i="2"/>
  <c r="R121" i="2"/>
  <c r="Q143" i="2"/>
  <c r="T113" i="2"/>
  <c r="Q95" i="2"/>
  <c r="Q84" i="2"/>
  <c r="Q68" i="2"/>
  <c r="T87" i="2"/>
  <c r="Q82" i="2"/>
  <c r="Q56" i="2"/>
  <c r="Q48" i="2"/>
  <c r="Q40" i="2"/>
  <c r="T76" i="2"/>
  <c r="R57" i="2"/>
  <c r="T55" i="2"/>
  <c r="T29" i="2"/>
  <c r="S24" i="2"/>
  <c r="Q79" i="2"/>
  <c r="T72" i="2"/>
  <c r="R16" i="2"/>
  <c r="R30" i="2"/>
  <c r="R22" i="2"/>
  <c r="Q103" i="2"/>
  <c r="Q80" i="2"/>
  <c r="Q14" i="2"/>
  <c r="Q75" i="2"/>
  <c r="S112" i="2"/>
  <c r="Q93" i="2"/>
  <c r="Q119" i="2"/>
  <c r="Q88" i="2"/>
  <c r="Q76" i="2"/>
  <c r="Q52" i="2"/>
  <c r="Q44" i="2"/>
  <c r="Q36" i="2"/>
  <c r="T27" i="2"/>
  <c r="T18" i="2"/>
  <c r="Q34" i="2"/>
  <c r="Q32" i="2"/>
  <c r="Q31" i="2"/>
  <c r="S138" i="2"/>
  <c r="Q148" i="2"/>
  <c r="Q141" i="2"/>
  <c r="Q128" i="2"/>
  <c r="Q123" i="2"/>
  <c r="Q137" i="2"/>
  <c r="R105" i="2"/>
  <c r="Q118" i="2"/>
  <c r="Q110" i="2"/>
  <c r="Q107" i="2"/>
  <c r="Q72" i="2"/>
  <c r="R78" i="2"/>
  <c r="Q71" i="2"/>
  <c r="S28" i="2"/>
  <c r="S33" i="2"/>
  <c r="Q19" i="2"/>
  <c r="Q15" i="2"/>
  <c r="AF277" i="2" l="1"/>
  <c r="AH200" i="2"/>
  <c r="AH448" i="2"/>
  <c r="AH504" i="2"/>
  <c r="AH248" i="2"/>
  <c r="AH424" i="2"/>
  <c r="AF434" i="2"/>
  <c r="AF190" i="2"/>
  <c r="AF213" i="2"/>
  <c r="AH577" i="2"/>
  <c r="AR171" i="2"/>
  <c r="AR431" i="2"/>
  <c r="AR306" i="2"/>
  <c r="AR305" i="2"/>
  <c r="AR360" i="2"/>
  <c r="AR268" i="2"/>
  <c r="AH327" i="2"/>
  <c r="AH460" i="2"/>
  <c r="AR295" i="2"/>
  <c r="AR197" i="2"/>
  <c r="AR368" i="2"/>
  <c r="U193" i="2"/>
  <c r="AF316" i="2"/>
  <c r="AR457" i="2"/>
  <c r="AR346" i="2"/>
  <c r="AR391" i="2"/>
  <c r="AR440" i="2"/>
  <c r="AR289" i="2"/>
  <c r="U257" i="2"/>
  <c r="AH456" i="2"/>
  <c r="AH560" i="2"/>
  <c r="AT337" i="2"/>
  <c r="AT436" i="2"/>
  <c r="AT280" i="2"/>
  <c r="AR202" i="2"/>
  <c r="AR338" i="2"/>
  <c r="AR303" i="2"/>
  <c r="AR208" i="2"/>
  <c r="AR177" i="2"/>
  <c r="AR225" i="2"/>
  <c r="AR203" i="2"/>
  <c r="AR384" i="2"/>
  <c r="AR178" i="2"/>
  <c r="V161" i="2"/>
  <c r="AR315" i="2"/>
  <c r="AT175" i="2"/>
  <c r="T303" i="2"/>
  <c r="AF303" i="2" s="1"/>
  <c r="AR330" i="2"/>
  <c r="AR266" i="2"/>
  <c r="AR294" i="2"/>
  <c r="AR310" i="2"/>
  <c r="AR318" i="2"/>
  <c r="AR166" i="2"/>
  <c r="AR357" i="2"/>
  <c r="AR450" i="2"/>
  <c r="AR326" i="2"/>
  <c r="AR340" i="2"/>
  <c r="AR292" i="2"/>
  <c r="AR244" i="2"/>
  <c r="AR207" i="2"/>
  <c r="AR223" i="2"/>
  <c r="AR243" i="2"/>
  <c r="AR263" i="2"/>
  <c r="AR311" i="2"/>
  <c r="AR323" i="2"/>
  <c r="V331" i="2"/>
  <c r="AR454" i="2"/>
  <c r="AR350" i="2"/>
  <c r="AR362" i="2"/>
  <c r="AR414" i="2"/>
  <c r="AR385" i="2"/>
  <c r="AR217" i="2"/>
  <c r="AR402" i="2"/>
  <c r="AR206" i="2"/>
  <c r="AR288" i="2"/>
  <c r="AR256" i="2"/>
  <c r="AR451" i="2"/>
  <c r="AR343" i="2"/>
  <c r="AR351" i="2"/>
  <c r="AR359" i="2"/>
  <c r="AR367" i="2"/>
  <c r="AR379" i="2"/>
  <c r="AR399" i="2"/>
  <c r="AR407" i="2"/>
  <c r="AR265" i="2"/>
  <c r="AR352" i="2"/>
  <c r="AR416" i="2"/>
  <c r="AR196" i="2"/>
  <c r="AH368" i="2"/>
  <c r="AH280" i="2"/>
  <c r="AH537" i="2"/>
  <c r="AH284" i="2"/>
  <c r="AF416" i="2"/>
  <c r="AF352" i="2"/>
  <c r="AT241" i="2"/>
  <c r="AT442" i="2"/>
  <c r="AR381" i="2"/>
  <c r="AR349" i="2"/>
  <c r="AR284" i="2"/>
  <c r="AR236" i="2"/>
  <c r="AR442" i="2"/>
  <c r="AR211" i="2"/>
  <c r="AR174" i="2"/>
  <c r="AR248" i="2"/>
  <c r="AR411" i="2"/>
  <c r="AR419" i="2"/>
  <c r="AR167" i="2"/>
  <c r="AR356" i="2"/>
  <c r="AR210" i="2"/>
  <c r="AR332" i="2"/>
  <c r="AH360" i="2"/>
  <c r="AH601" i="2"/>
  <c r="AH229" i="2"/>
  <c r="AH492" i="2"/>
  <c r="AH162" i="2"/>
  <c r="AH275" i="2"/>
  <c r="U248" i="2"/>
  <c r="AF248" i="2" s="1"/>
  <c r="T310" i="2"/>
  <c r="T294" i="2"/>
  <c r="AT273" i="2"/>
  <c r="AF393" i="2"/>
  <c r="W307" i="2"/>
  <c r="X307" i="2" s="1"/>
  <c r="T451" i="2"/>
  <c r="T367" i="2"/>
  <c r="AF367" i="2" s="1"/>
  <c r="AT354" i="2"/>
  <c r="V224" i="2"/>
  <c r="T426" i="2"/>
  <c r="U291" i="2"/>
  <c r="AF291" i="2" s="1"/>
  <c r="V291" i="2"/>
  <c r="T323" i="2"/>
  <c r="T207" i="2"/>
  <c r="AR413" i="2"/>
  <c r="AR182" i="2"/>
  <c r="AR278" i="2"/>
  <c r="AR322" i="2"/>
  <c r="AR227" i="2"/>
  <c r="AR453" i="2"/>
  <c r="AR308" i="2"/>
  <c r="AR260" i="2"/>
  <c r="AR228" i="2"/>
  <c r="AR164" i="2"/>
  <c r="AR183" i="2"/>
  <c r="AR199" i="2"/>
  <c r="AR247" i="2"/>
  <c r="AR271" i="2"/>
  <c r="AR279" i="2"/>
  <c r="AR299" i="2"/>
  <c r="AR307" i="2"/>
  <c r="AR319" i="2"/>
  <c r="AR214" i="2"/>
  <c r="AR358" i="2"/>
  <c r="AR374" i="2"/>
  <c r="AR382" i="2"/>
  <c r="AR394" i="2"/>
  <c r="AR422" i="2"/>
  <c r="AR437" i="2"/>
  <c r="AR361" i="2"/>
  <c r="AR281" i="2"/>
  <c r="AR270" i="2"/>
  <c r="AR336" i="2"/>
  <c r="AR304" i="2"/>
  <c r="AR272" i="2"/>
  <c r="AR435" i="2"/>
  <c r="AR455" i="2"/>
  <c r="AR347" i="2"/>
  <c r="AR355" i="2"/>
  <c r="AR363" i="2"/>
  <c r="AR395" i="2"/>
  <c r="AR403" i="2"/>
  <c r="AR423" i="2"/>
  <c r="AR201" i="2"/>
  <c r="AR329" i="2"/>
  <c r="AR369" i="2"/>
  <c r="AR180" i="2"/>
  <c r="AH227" i="2"/>
  <c r="AH340" i="2"/>
  <c r="AH400" i="2"/>
  <c r="AH380" i="2"/>
  <c r="AF202" i="2"/>
  <c r="AH76" i="2"/>
  <c r="AH143" i="2"/>
  <c r="AH83" i="2"/>
  <c r="AH106" i="2"/>
  <c r="AH291" i="2"/>
  <c r="AH336" i="2"/>
  <c r="AH170" i="2"/>
  <c r="AH348" i="2"/>
  <c r="U244" i="2"/>
  <c r="AF244" i="2" s="1"/>
  <c r="V318" i="2"/>
  <c r="AT191" i="2"/>
  <c r="V256" i="2"/>
  <c r="T399" i="2"/>
  <c r="T379" i="2"/>
  <c r="V248" i="2"/>
  <c r="T406" i="2"/>
  <c r="U206" i="2"/>
  <c r="T350" i="2"/>
  <c r="V234" i="2"/>
  <c r="U224" i="2"/>
  <c r="AF224" i="2" s="1"/>
  <c r="T454" i="2"/>
  <c r="AT184" i="2"/>
  <c r="AR198" i="2"/>
  <c r="AR218" i="2"/>
  <c r="AR234" i="2"/>
  <c r="AR421" i="2"/>
  <c r="AR365" i="2"/>
  <c r="AR354" i="2"/>
  <c r="AR300" i="2"/>
  <c r="AR291" i="2"/>
  <c r="AR331" i="2"/>
  <c r="AR339" i="2"/>
  <c r="AR430" i="2"/>
  <c r="AR405" i="2"/>
  <c r="AR353" i="2"/>
  <c r="AR434" i="2"/>
  <c r="AR238" i="2"/>
  <c r="AR224" i="2"/>
  <c r="AR184" i="2"/>
  <c r="AR439" i="2"/>
  <c r="AR447" i="2"/>
  <c r="AR375" i="2"/>
  <c r="AR427" i="2"/>
  <c r="AR233" i="2"/>
  <c r="AR432" i="2"/>
  <c r="AR372" i="2"/>
  <c r="AR187" i="2"/>
  <c r="AR188" i="2"/>
  <c r="AR276" i="2"/>
  <c r="AR168" i="2"/>
  <c r="AH219" i="2"/>
  <c r="AH347" i="2"/>
  <c r="AH363" i="2"/>
  <c r="AH589" i="2"/>
  <c r="AH196" i="2"/>
  <c r="AT254" i="2"/>
  <c r="AF222" i="2"/>
  <c r="AT245" i="2"/>
  <c r="AH307" i="2"/>
  <c r="AH72" i="2"/>
  <c r="AH84" i="2"/>
  <c r="AH35" i="2"/>
  <c r="AH117" i="2"/>
  <c r="AH25" i="2"/>
  <c r="AH268" i="2"/>
  <c r="AH168" i="2"/>
  <c r="AH500" i="2"/>
  <c r="AH444" i="2"/>
  <c r="AF444" i="2"/>
  <c r="AH107" i="2"/>
  <c r="AH95" i="2"/>
  <c r="AH426" i="2"/>
  <c r="AH544" i="2"/>
  <c r="AH517" i="2"/>
  <c r="AH465" i="2"/>
  <c r="AH301" i="2"/>
  <c r="AH188" i="2"/>
  <c r="AH429" i="2"/>
  <c r="AH357" i="2"/>
  <c r="AH179" i="2"/>
  <c r="W179" i="2"/>
  <c r="X179" i="2" s="1"/>
  <c r="AH596" i="2"/>
  <c r="AH51" i="2"/>
  <c r="AH594" i="2"/>
  <c r="AH562" i="2"/>
  <c r="AH530" i="2"/>
  <c r="AH498" i="2"/>
  <c r="AH466" i="2"/>
  <c r="AH418" i="2"/>
  <c r="AH151" i="2"/>
  <c r="AH420" i="2"/>
  <c r="AH396" i="2"/>
  <c r="AH575" i="2"/>
  <c r="AF163" i="2"/>
  <c r="AT305" i="2"/>
  <c r="AF232" i="2"/>
  <c r="AH607" i="2"/>
  <c r="AH36" i="2"/>
  <c r="AH75" i="2"/>
  <c r="AH97" i="2"/>
  <c r="AH114" i="2"/>
  <c r="AH149" i="2"/>
  <c r="AH276" i="2"/>
  <c r="AH488" i="2"/>
  <c r="AH296" i="2"/>
  <c r="AF253" i="2"/>
  <c r="AT225" i="2"/>
  <c r="U350" i="2"/>
  <c r="U453" i="2"/>
  <c r="AF453" i="2" s="1"/>
  <c r="AH59" i="2"/>
  <c r="AH538" i="2"/>
  <c r="AH506" i="2"/>
  <c r="AH474" i="2"/>
  <c r="AH434" i="2"/>
  <c r="AH458" i="2"/>
  <c r="AH383" i="2"/>
  <c r="AH287" i="2"/>
  <c r="AH367" i="2"/>
  <c r="AH536" i="2"/>
  <c r="AH285" i="2"/>
  <c r="AH450" i="2"/>
  <c r="AH580" i="2"/>
  <c r="AT209" i="2"/>
  <c r="AT224" i="2"/>
  <c r="AH15" i="2"/>
  <c r="AT293" i="2"/>
  <c r="AT229" i="2"/>
  <c r="AT321" i="2"/>
  <c r="AF377" i="2"/>
  <c r="AF179" i="2"/>
  <c r="T172" i="2"/>
  <c r="AT404" i="2"/>
  <c r="U308" i="2"/>
  <c r="AF308" i="2" s="1"/>
  <c r="AT168" i="2"/>
  <c r="AH176" i="2"/>
  <c r="AH197" i="2"/>
  <c r="AH484" i="2"/>
  <c r="AH213" i="2"/>
  <c r="AH564" i="2"/>
  <c r="AH428" i="2"/>
  <c r="AH476" i="2"/>
  <c r="AH452" i="2"/>
  <c r="AH546" i="2"/>
  <c r="AH514" i="2"/>
  <c r="AH482" i="2"/>
  <c r="AH442" i="2"/>
  <c r="AF400" i="2"/>
  <c r="AT317" i="2"/>
  <c r="AF189" i="2"/>
  <c r="W177" i="2"/>
  <c r="X177" i="2" s="1"/>
  <c r="AT320" i="2"/>
  <c r="AT356" i="2"/>
  <c r="AT420" i="2"/>
  <c r="AF235" i="2"/>
  <c r="U223" i="2"/>
  <c r="AH80" i="2"/>
  <c r="AH375" i="2"/>
  <c r="AH349" i="2"/>
  <c r="AH508" i="2"/>
  <c r="AH293" i="2"/>
  <c r="AH588" i="2"/>
  <c r="AH468" i="2"/>
  <c r="AH373" i="2"/>
  <c r="AH572" i="2"/>
  <c r="AH554" i="2"/>
  <c r="AH522" i="2"/>
  <c r="AH490" i="2"/>
  <c r="AH436" i="2"/>
  <c r="W230" i="2"/>
  <c r="X230" i="2" s="1"/>
  <c r="AF346" i="2"/>
  <c r="AH50" i="2"/>
  <c r="AH150" i="2"/>
  <c r="AH539" i="2"/>
  <c r="AH585" i="2"/>
  <c r="AH521" i="2"/>
  <c r="AH604" i="2"/>
  <c r="AT306" i="2"/>
  <c r="AT226" i="2"/>
  <c r="AT178" i="2"/>
  <c r="AT315" i="2"/>
  <c r="AT267" i="2"/>
  <c r="AT392" i="2"/>
  <c r="AT455" i="2"/>
  <c r="AT161" i="2"/>
  <c r="AT449" i="2"/>
  <c r="AT456" i="2"/>
  <c r="AT384" i="2"/>
  <c r="AT416" i="2"/>
  <c r="AT244" i="2"/>
  <c r="AT223" i="2"/>
  <c r="AT352" i="2"/>
  <c r="AT344" i="2"/>
  <c r="AT204" i="2"/>
  <c r="AT367" i="2"/>
  <c r="AH247" i="2"/>
  <c r="AH319" i="2"/>
  <c r="AH516" i="2"/>
  <c r="AH556" i="2"/>
  <c r="AT165" i="2"/>
  <c r="AT424" i="2"/>
  <c r="AT216" i="2"/>
  <c r="AT398" i="2"/>
  <c r="AT400" i="2"/>
  <c r="AT360" i="2"/>
  <c r="AT448" i="2"/>
  <c r="AT346" i="2"/>
  <c r="AT444" i="2"/>
  <c r="AH311" i="2"/>
  <c r="AH295" i="2"/>
  <c r="AH303" i="2"/>
  <c r="AT261" i="2"/>
  <c r="AT197" i="2"/>
  <c r="AT376" i="2"/>
  <c r="AT299" i="2"/>
  <c r="AT452" i="2"/>
  <c r="AT453" i="2"/>
  <c r="AT319" i="2"/>
  <c r="AT232" i="2"/>
  <c r="AT368" i="2"/>
  <c r="AT347" i="2"/>
  <c r="AT255" i="2"/>
  <c r="AH141" i="2"/>
  <c r="AH531" i="2"/>
  <c r="AH195" i="2"/>
  <c r="AH513" i="2"/>
  <c r="AH205" i="2"/>
  <c r="AH212" i="2"/>
  <c r="AH371" i="2"/>
  <c r="AH315" i="2"/>
  <c r="AH574" i="2"/>
  <c r="AH326" i="2"/>
  <c r="AH590" i="2"/>
  <c r="AH478" i="2"/>
  <c r="AH342" i="2"/>
  <c r="AH470" i="2"/>
  <c r="AH334" i="2"/>
  <c r="AH39" i="2"/>
  <c r="AH318" i="2"/>
  <c r="AH182" i="2"/>
  <c r="AH32" i="2"/>
  <c r="AH88" i="2"/>
  <c r="AH56" i="2"/>
  <c r="AH67" i="2"/>
  <c r="AH34" i="2"/>
  <c r="AH244" i="2"/>
  <c r="AH485" i="2"/>
  <c r="AH297" i="2"/>
  <c r="AH177" i="2"/>
  <c r="AH600" i="2"/>
  <c r="AH499" i="2"/>
  <c r="AH462" i="2"/>
  <c r="AH579" i="2"/>
  <c r="AH451" i="2"/>
  <c r="AH532" i="2"/>
  <c r="AH569" i="2"/>
  <c r="AH505" i="2"/>
  <c r="AH417" i="2"/>
  <c r="AH353" i="2"/>
  <c r="AH261" i="2"/>
  <c r="AH405" i="2"/>
  <c r="AH330" i="2"/>
  <c r="AH339" i="2"/>
  <c r="AH378" i="2"/>
  <c r="AH338" i="2"/>
  <c r="AH282" i="2"/>
  <c r="AH351" i="2"/>
  <c r="AH204" i="2"/>
  <c r="AH542" i="2"/>
  <c r="AH422" i="2"/>
  <c r="AH294" i="2"/>
  <c r="AH566" i="2"/>
  <c r="AH438" i="2"/>
  <c r="AH310" i="2"/>
  <c r="AH283" i="2"/>
  <c r="AH558" i="2"/>
  <c r="AH430" i="2"/>
  <c r="AH302" i="2"/>
  <c r="AH174" i="2"/>
  <c r="AH335" i="2"/>
  <c r="AH606" i="2"/>
  <c r="AH414" i="2"/>
  <c r="AH286" i="2"/>
  <c r="AH79" i="2"/>
  <c r="AH186" i="2"/>
  <c r="AH101" i="2"/>
  <c r="AH42" i="2"/>
  <c r="AH595" i="2"/>
  <c r="AH597" i="2"/>
  <c r="AH557" i="2"/>
  <c r="AH437" i="2"/>
  <c r="AH257" i="2"/>
  <c r="AH209" i="2"/>
  <c r="AH110" i="2"/>
  <c r="AH40" i="2"/>
  <c r="AH13" i="2"/>
  <c r="AH497" i="2"/>
  <c r="AH471" i="2"/>
  <c r="AH541" i="2"/>
  <c r="AH469" i="2"/>
  <c r="AH425" i="2"/>
  <c r="AH523" i="2"/>
  <c r="AH421" i="2"/>
  <c r="AH567" i="2"/>
  <c r="AH355" i="2"/>
  <c r="AH561" i="2"/>
  <c r="AH489" i="2"/>
  <c r="AH453" i="2"/>
  <c r="AH337" i="2"/>
  <c r="AH221" i="2"/>
  <c r="AH234" i="2"/>
  <c r="AH515" i="2"/>
  <c r="AH299" i="2"/>
  <c r="AH331" i="2"/>
  <c r="AH394" i="2"/>
  <c r="AF262" i="2"/>
  <c r="AF325" i="2"/>
  <c r="AF409" i="2"/>
  <c r="AT203" i="2"/>
  <c r="AH183" i="2"/>
  <c r="AT372" i="2"/>
  <c r="U372" i="2"/>
  <c r="AF372" i="2" s="1"/>
  <c r="W372" i="2"/>
  <c r="X372" i="2" s="1"/>
  <c r="AH123" i="2"/>
  <c r="AH99" i="2"/>
  <c r="AH98" i="2"/>
  <c r="AH115" i="2"/>
  <c r="AH24" i="2"/>
  <c r="AH520" i="2"/>
  <c r="AH316" i="2"/>
  <c r="AH509" i="2"/>
  <c r="AH329" i="2"/>
  <c r="AH249" i="2"/>
  <c r="AH161" i="2"/>
  <c r="AH480" i="2"/>
  <c r="AH376" i="2"/>
  <c r="AH181" i="2"/>
  <c r="AH356" i="2"/>
  <c r="AH164" i="2"/>
  <c r="AH423" i="2"/>
  <c r="AH432" i="2"/>
  <c r="AH312" i="2"/>
  <c r="AH192" i="2"/>
  <c r="AH167" i="2"/>
  <c r="AH131" i="2"/>
  <c r="AH27" i="2"/>
  <c r="AH586" i="2"/>
  <c r="AH454" i="2"/>
  <c r="AH410" i="2"/>
  <c r="AH370" i="2"/>
  <c r="AH322" i="2"/>
  <c r="AH218" i="2"/>
  <c r="AH464" i="2"/>
  <c r="AH166" i="2"/>
  <c r="AH71" i="2"/>
  <c r="AH52" i="2"/>
  <c r="AH93" i="2"/>
  <c r="AH154" i="2"/>
  <c r="AH126" i="2"/>
  <c r="AH111" i="2"/>
  <c r="AH298" i="2"/>
  <c r="AH412" i="2"/>
  <c r="AH220" i="2"/>
  <c r="AH289" i="2"/>
  <c r="AH201" i="2"/>
  <c r="AH576" i="2"/>
  <c r="AH344" i="2"/>
  <c r="AH224" i="2"/>
  <c r="AH288" i="2"/>
  <c r="AH208" i="2"/>
  <c r="AH593" i="2"/>
  <c r="AH529" i="2"/>
  <c r="AH401" i="2"/>
  <c r="AH253" i="2"/>
  <c r="AH19" i="2"/>
  <c r="AH118" i="2"/>
  <c r="AH128" i="2"/>
  <c r="AH31" i="2"/>
  <c r="AH103" i="2"/>
  <c r="AH48" i="2"/>
  <c r="AH68" i="2"/>
  <c r="AH62" i="2"/>
  <c r="AH135" i="2"/>
  <c r="AH156" i="2"/>
  <c r="AH12" i="2"/>
  <c r="AH49" i="2"/>
  <c r="AH132" i="2"/>
  <c r="AF384" i="2"/>
  <c r="AH361" i="2"/>
  <c r="AH290" i="2"/>
  <c r="AH592" i="2"/>
  <c r="AH496" i="2"/>
  <c r="AH388" i="2"/>
  <c r="AH292" i="2"/>
  <c r="AH573" i="2"/>
  <c r="AH533" i="2"/>
  <c r="AH501" i="2"/>
  <c r="AH461" i="2"/>
  <c r="AH409" i="2"/>
  <c r="AH313" i="2"/>
  <c r="AH273" i="2"/>
  <c r="AH241" i="2"/>
  <c r="AH193" i="2"/>
  <c r="AH457" i="2"/>
  <c r="AH552" i="2"/>
  <c r="AH440" i="2"/>
  <c r="AH320" i="2"/>
  <c r="AH11" i="2"/>
  <c r="AH362" i="2"/>
  <c r="AH352" i="2"/>
  <c r="AH184" i="2"/>
  <c r="AH553" i="2"/>
  <c r="AH481" i="2"/>
  <c r="AH445" i="2"/>
  <c r="AH385" i="2"/>
  <c r="AH321" i="2"/>
  <c r="AH277" i="2"/>
  <c r="AH173" i="2"/>
  <c r="AH555" i="2"/>
  <c r="AH332" i="2"/>
  <c r="AH236" i="2"/>
  <c r="AH495" i="2"/>
  <c r="AH365" i="2"/>
  <c r="AH359" i="2"/>
  <c r="AH446" i="2"/>
  <c r="AH41" i="2"/>
  <c r="AH524" i="2"/>
  <c r="AH408" i="2"/>
  <c r="AH264" i="2"/>
  <c r="AH387" i="2"/>
  <c r="AH279" i="2"/>
  <c r="AH215" i="2"/>
  <c r="AH155" i="2"/>
  <c r="AH91" i="2"/>
  <c r="AH610" i="2"/>
  <c r="AH578" i="2"/>
  <c r="AH402" i="2"/>
  <c r="AH354" i="2"/>
  <c r="AH314" i="2"/>
  <c r="AH235" i="2"/>
  <c r="AH381" i="2"/>
  <c r="AH372" i="2"/>
  <c r="AH191" i="2"/>
  <c r="AH510" i="2"/>
  <c r="AH390" i="2"/>
  <c r="AH584" i="2"/>
  <c r="AH534" i="2"/>
  <c r="AH406" i="2"/>
  <c r="AH278" i="2"/>
  <c r="AH300" i="2"/>
  <c r="AH526" i="2"/>
  <c r="AH398" i="2"/>
  <c r="AH317" i="2"/>
  <c r="AH324" i="2"/>
  <c r="AH582" i="2"/>
  <c r="AH382" i="2"/>
  <c r="AH246" i="2"/>
  <c r="AF456" i="2"/>
  <c r="AH153" i="2"/>
  <c r="AH232" i="2"/>
  <c r="AT318" i="2"/>
  <c r="AT206" i="2"/>
  <c r="AT268" i="2"/>
  <c r="AF336" i="2"/>
  <c r="T446" i="2"/>
  <c r="AH535" i="2"/>
  <c r="AH345" i="2"/>
  <c r="AH259" i="2"/>
  <c r="AH568" i="2"/>
  <c r="AH472" i="2"/>
  <c r="AH364" i="2"/>
  <c r="AH172" i="2"/>
  <c r="AH565" i="2"/>
  <c r="AH525" i="2"/>
  <c r="AH493" i="2"/>
  <c r="AH449" i="2"/>
  <c r="AH393" i="2"/>
  <c r="AH305" i="2"/>
  <c r="AH265" i="2"/>
  <c r="AH225" i="2"/>
  <c r="AH185" i="2"/>
  <c r="AH341" i="2"/>
  <c r="AH528" i="2"/>
  <c r="AH416" i="2"/>
  <c r="AH272" i="2"/>
  <c r="AH563" i="2"/>
  <c r="AH591" i="2"/>
  <c r="AH548" i="2"/>
  <c r="AH226" i="2"/>
  <c r="AH304" i="2"/>
  <c r="AH609" i="2"/>
  <c r="AH545" i="2"/>
  <c r="AH473" i="2"/>
  <c r="AH433" i="2"/>
  <c r="AH369" i="2"/>
  <c r="AH309" i="2"/>
  <c r="AH269" i="2"/>
  <c r="AH237" i="2"/>
  <c r="AH165" i="2"/>
  <c r="AH491" i="2"/>
  <c r="AH540" i="2"/>
  <c r="AH404" i="2"/>
  <c r="AH308" i="2"/>
  <c r="AH413" i="2"/>
  <c r="AH391" i="2"/>
  <c r="AH455" i="2"/>
  <c r="AH343" i="2"/>
  <c r="AH211" i="2"/>
  <c r="AH325" i="2"/>
  <c r="AH384" i="2"/>
  <c r="AH199" i="2"/>
  <c r="AH147" i="2"/>
  <c r="AH602" i="2"/>
  <c r="AH570" i="2"/>
  <c r="AH386" i="2"/>
  <c r="AH346" i="2"/>
  <c r="AH306" i="2"/>
  <c r="AH250" i="2"/>
  <c r="AH178" i="2"/>
  <c r="AH608" i="2"/>
  <c r="AH379" i="2"/>
  <c r="AH598" i="2"/>
  <c r="AH486" i="2"/>
  <c r="AH358" i="2"/>
  <c r="AH230" i="2"/>
  <c r="AH47" i="2"/>
  <c r="AH512" i="2"/>
  <c r="AH333" i="2"/>
  <c r="AH502" i="2"/>
  <c r="AH374" i="2"/>
  <c r="AH518" i="2"/>
  <c r="AH389" i="2"/>
  <c r="AH180" i="2"/>
  <c r="AH494" i="2"/>
  <c r="AH366" i="2"/>
  <c r="AH238" i="2"/>
  <c r="AH23" i="2"/>
  <c r="AH74" i="2"/>
  <c r="AH550" i="2"/>
  <c r="AH350" i="2"/>
  <c r="AH392" i="2"/>
  <c r="AF269" i="2"/>
  <c r="AF237" i="2"/>
  <c r="AF173" i="2"/>
  <c r="AF204" i="2"/>
  <c r="AH160" i="2"/>
  <c r="AH77" i="2"/>
  <c r="AH73" i="2"/>
  <c r="AH33" i="2"/>
  <c r="AH16" i="2"/>
  <c r="AH22" i="2"/>
  <c r="AH260" i="2"/>
  <c r="AH65" i="2"/>
  <c r="AH403" i="2"/>
  <c r="AH231" i="2"/>
  <c r="AH274" i="2"/>
  <c r="AH543" i="2"/>
  <c r="AH255" i="2"/>
  <c r="AH547" i="2"/>
  <c r="AH28" i="2"/>
  <c r="AH239" i="2"/>
  <c r="AH190" i="2"/>
  <c r="AH487" i="2"/>
  <c r="AH395" i="2"/>
  <c r="AH55" i="2"/>
  <c r="AH102" i="2"/>
  <c r="AH459" i="2"/>
  <c r="AF428" i="2"/>
  <c r="AH163" i="2"/>
  <c r="AH159" i="2"/>
  <c r="AH258" i="2"/>
  <c r="AH551" i="2"/>
  <c r="AH477" i="2"/>
  <c r="AH169" i="2"/>
  <c r="AH328" i="2"/>
  <c r="AH53" i="2"/>
  <c r="AH129" i="2"/>
  <c r="AH158" i="2"/>
  <c r="AH245" i="2"/>
  <c r="AH266" i="2"/>
  <c r="AH210" i="2"/>
  <c r="AH483" i="2"/>
  <c r="AH120" i="2"/>
  <c r="AH262" i="2"/>
  <c r="AH503" i="2"/>
  <c r="AH251" i="2"/>
  <c r="AH252" i="2"/>
  <c r="AH427" i="2"/>
  <c r="AH511" i="2"/>
  <c r="AH571" i="2"/>
  <c r="AH203" i="2"/>
  <c r="AH270" i="2"/>
  <c r="AH63" i="2"/>
  <c r="AH507" i="2"/>
  <c r="AH187" i="2"/>
  <c r="AH411" i="2"/>
  <c r="AH441" i="2"/>
  <c r="AH323" i="2"/>
  <c r="AH202" i="2"/>
  <c r="AH605" i="2"/>
  <c r="AH281" i="2"/>
  <c r="AH144" i="2"/>
  <c r="AH20" i="2"/>
  <c r="AH29" i="2"/>
  <c r="AH108" i="2"/>
  <c r="AH145" i="2"/>
  <c r="AH81" i="2"/>
  <c r="AH116" i="2"/>
  <c r="AH603" i="2"/>
  <c r="AH21" i="2"/>
  <c r="AH240" i="2"/>
  <c r="AH435" i="2"/>
  <c r="AH263" i="2"/>
  <c r="AH138" i="2"/>
  <c r="AH415" i="2"/>
  <c r="AH447" i="2"/>
  <c r="AH175" i="2"/>
  <c r="AH254" i="2"/>
  <c r="AH431" i="2"/>
  <c r="AH271" i="2"/>
  <c r="AH256" i="2"/>
  <c r="AH463" i="2"/>
  <c r="AH78" i="2"/>
  <c r="AH228" i="2"/>
  <c r="AH214" i="2"/>
  <c r="AH443" i="2"/>
  <c r="AH587" i="2"/>
  <c r="AH105" i="2"/>
  <c r="AH407" i="2"/>
  <c r="AH194" i="2"/>
  <c r="AH581" i="2"/>
  <c r="AH233" i="2"/>
  <c r="AH142" i="2"/>
  <c r="AH112" i="2"/>
  <c r="AH137" i="2"/>
  <c r="AH148" i="2"/>
  <c r="AH44" i="2"/>
  <c r="AH119" i="2"/>
  <c r="AH14" i="2"/>
  <c r="AH82" i="2"/>
  <c r="AH124" i="2"/>
  <c r="AH140" i="2"/>
  <c r="AH130" i="2"/>
  <c r="AH38" i="2"/>
  <c r="AH125" i="2"/>
  <c r="AH92" i="2"/>
  <c r="AH121" i="2"/>
  <c r="AH57" i="2"/>
  <c r="AH100" i="2"/>
  <c r="AH54" i="2"/>
  <c r="AH86" i="2"/>
  <c r="AH475" i="2"/>
  <c r="AH439" i="2"/>
  <c r="AH89" i="2"/>
  <c r="AH216" i="2"/>
  <c r="AH419" i="2"/>
  <c r="AH139" i="2"/>
  <c r="AH242" i="2"/>
  <c r="AH198" i="2"/>
  <c r="AH127" i="2"/>
  <c r="AH171" i="2"/>
  <c r="AH152" i="2"/>
  <c r="AH222" i="2"/>
  <c r="AH267" i="2"/>
  <c r="AH104" i="2"/>
  <c r="AH207" i="2"/>
  <c r="AH206" i="2"/>
  <c r="AH479" i="2"/>
  <c r="AH399" i="2"/>
  <c r="AH136" i="2"/>
  <c r="AH223" i="2"/>
  <c r="AH243" i="2"/>
  <c r="AH549" i="2"/>
  <c r="AH217" i="2"/>
  <c r="AH18" i="2"/>
  <c r="AH64" i="2"/>
  <c r="AH43" i="2"/>
  <c r="AH94" i="2"/>
  <c r="AH45" i="2"/>
  <c r="AH157" i="2"/>
  <c r="AH70" i="2"/>
  <c r="AH90" i="2"/>
  <c r="AH527" i="2"/>
  <c r="AH17" i="2"/>
  <c r="T180" i="2"/>
  <c r="AH467" i="2"/>
  <c r="AF208" i="2"/>
  <c r="AT409" i="2"/>
  <c r="AT377" i="2"/>
  <c r="AT345" i="2"/>
  <c r="AT275" i="2"/>
  <c r="AT179" i="2"/>
  <c r="AT312" i="2"/>
  <c r="AT316" i="2"/>
  <c r="AT220" i="2"/>
  <c r="AT309" i="2"/>
  <c r="AT277" i="2"/>
  <c r="AT213" i="2"/>
  <c r="AT181" i="2"/>
  <c r="AT366" i="2"/>
  <c r="AT350" i="2"/>
  <c r="AT334" i="2"/>
  <c r="AT270" i="2"/>
  <c r="AT222" i="2"/>
  <c r="AT190" i="2"/>
  <c r="AH109" i="2"/>
  <c r="AF334" i="2"/>
  <c r="AH30" i="2"/>
  <c r="AH519" i="2"/>
  <c r="AF347" i="2"/>
  <c r="AH583" i="2"/>
  <c r="AT418" i="2"/>
  <c r="AT202" i="2"/>
  <c r="AT333" i="2"/>
  <c r="AT434" i="2"/>
  <c r="AT386" i="2"/>
  <c r="AT252" i="2"/>
  <c r="AT378" i="2"/>
  <c r="AH85" i="2"/>
  <c r="AH559" i="2"/>
  <c r="AH87" i="2"/>
  <c r="AH599" i="2"/>
  <c r="AH133" i="2"/>
  <c r="AF366" i="2"/>
  <c r="AF449" i="2"/>
  <c r="AT393" i="2"/>
  <c r="AT289" i="2"/>
  <c r="AT177" i="2"/>
  <c r="AT163" i="2"/>
  <c r="AT325" i="2"/>
  <c r="AT336" i="2"/>
  <c r="AT285" i="2"/>
  <c r="AT269" i="2"/>
  <c r="AT253" i="2"/>
  <c r="AT237" i="2"/>
  <c r="AT189" i="2"/>
  <c r="AT173" i="2"/>
  <c r="AT341" i="2"/>
  <c r="AT296" i="2"/>
  <c r="AT248" i="2"/>
  <c r="AT262" i="2"/>
  <c r="AT246" i="2"/>
  <c r="AT230" i="2"/>
  <c r="AH58" i="2"/>
  <c r="AH113" i="2"/>
  <c r="AH96" i="2"/>
  <c r="AH66" i="2"/>
  <c r="AH69" i="2"/>
  <c r="AH61" i="2"/>
  <c r="AH60" i="2"/>
  <c r="AF345" i="2"/>
  <c r="AH397" i="2"/>
  <c r="AH46" i="2"/>
  <c r="AH122" i="2"/>
  <c r="AH134" i="2"/>
  <c r="AH37" i="2"/>
  <c r="AF312" i="2"/>
  <c r="AT208" i="2"/>
  <c r="AH26" i="2"/>
  <c r="AT239" i="2"/>
  <c r="AT428" i="2"/>
  <c r="AT308" i="2"/>
  <c r="AT410" i="2"/>
  <c r="AT303" i="2"/>
  <c r="AT235" i="2"/>
  <c r="W204" i="2"/>
  <c r="X204" i="2" s="1"/>
  <c r="U247" i="2"/>
  <c r="AF247" i="2" s="1"/>
  <c r="T240" i="2"/>
  <c r="W356" i="2"/>
  <c r="X356" i="2" s="1"/>
  <c r="T168" i="2"/>
  <c r="AF168" i="2" s="1"/>
  <c r="U359" i="2"/>
  <c r="U344" i="2"/>
  <c r="AF344" i="2" s="1"/>
  <c r="V382" i="2"/>
  <c r="V247" i="2"/>
  <c r="W418" i="2"/>
  <c r="X418" i="2" s="1"/>
  <c r="V292" i="2"/>
  <c r="V395" i="2"/>
  <c r="U171" i="2"/>
  <c r="AF171" i="2" s="1"/>
  <c r="V306" i="2"/>
  <c r="U381" i="2"/>
  <c r="AF381" i="2" s="1"/>
  <c r="V338" i="2"/>
  <c r="U338" i="2"/>
  <c r="W175" i="2"/>
  <c r="X175" i="2" s="1"/>
  <c r="W232" i="2"/>
  <c r="X232" i="2" s="1"/>
  <c r="V171" i="2"/>
  <c r="V223" i="2"/>
  <c r="U183" i="2"/>
  <c r="AF183" i="2" s="1"/>
  <c r="U292" i="2"/>
  <c r="AF292" i="2" s="1"/>
  <c r="V210" i="2"/>
  <c r="V369" i="2"/>
  <c r="U395" i="2"/>
  <c r="AF395" i="2" s="1"/>
  <c r="W248" i="2"/>
  <c r="T175" i="2"/>
  <c r="AF175" i="2" s="1"/>
  <c r="W286" i="2"/>
  <c r="X286" i="2" s="1"/>
  <c r="T245" i="2"/>
  <c r="AF245" i="2" s="1"/>
  <c r="T305" i="2"/>
  <c r="AF305" i="2" s="1"/>
  <c r="V228" i="2"/>
  <c r="V399" i="2"/>
  <c r="U399" i="2"/>
  <c r="V202" i="2"/>
  <c r="W220" i="2"/>
  <c r="X220" i="2" s="1"/>
  <c r="U404" i="2"/>
  <c r="AF404" i="2" s="1"/>
  <c r="V450" i="2"/>
  <c r="W319" i="2"/>
  <c r="X319" i="2" s="1"/>
  <c r="X428" i="2"/>
  <c r="U256" i="2"/>
  <c r="AF256" i="2" s="1"/>
  <c r="T387" i="2"/>
  <c r="W273" i="2"/>
  <c r="X273" i="2" s="1"/>
  <c r="T161" i="2"/>
  <c r="AF161" i="2" s="1"/>
  <c r="W444" i="2"/>
  <c r="X444" i="2" s="1"/>
  <c r="T220" i="2"/>
  <c r="AF220" i="2" s="1"/>
  <c r="U319" i="2"/>
  <c r="AF319" i="2" s="1"/>
  <c r="X410" i="2"/>
  <c r="V353" i="2"/>
  <c r="V451" i="2"/>
  <c r="U353" i="2"/>
  <c r="AF353" i="2" s="1"/>
  <c r="W224" i="2"/>
  <c r="X224" i="2" s="1"/>
  <c r="U187" i="2"/>
  <c r="W384" i="2"/>
  <c r="X384" i="2" s="1"/>
  <c r="V311" i="2"/>
  <c r="W311" i="2"/>
  <c r="X311" i="2" s="1"/>
  <c r="V187" i="2"/>
  <c r="W404" i="2"/>
  <c r="X404" i="2" s="1"/>
  <c r="W453" i="2"/>
  <c r="X453" i="2" s="1"/>
  <c r="W350" i="2"/>
  <c r="V381" i="2"/>
  <c r="W280" i="2"/>
  <c r="X280" i="2" s="1"/>
  <c r="U192" i="2"/>
  <c r="AF192" i="2" s="1"/>
  <c r="V411" i="2"/>
  <c r="V266" i="2"/>
  <c r="V284" i="2"/>
  <c r="W378" i="2"/>
  <c r="X378" i="2" s="1"/>
  <c r="W449" i="2"/>
  <c r="X449" i="2" s="1"/>
  <c r="W208" i="2"/>
  <c r="X208" i="2" s="1"/>
  <c r="W434" i="2"/>
  <c r="X434" i="2" s="1"/>
  <c r="U410" i="2"/>
  <c r="AF410" i="2" s="1"/>
  <c r="T274" i="2"/>
  <c r="T210" i="2"/>
  <c r="T203" i="2"/>
  <c r="AF203" i="2" s="1"/>
  <c r="W386" i="2"/>
  <c r="X386" i="2" s="1"/>
  <c r="T324" i="2"/>
  <c r="AT411" i="2"/>
  <c r="V324" i="2"/>
  <c r="W451" i="2"/>
  <c r="W225" i="2"/>
  <c r="X225" i="2" s="1"/>
  <c r="U284" i="2"/>
  <c r="AF284" i="2" s="1"/>
  <c r="U218" i="2"/>
  <c r="W400" i="2"/>
  <c r="X400" i="2" s="1"/>
  <c r="W399" i="2"/>
  <c r="X399" i="2" s="1"/>
  <c r="U378" i="2"/>
  <c r="AF378" i="2" s="1"/>
  <c r="T225" i="2"/>
  <c r="AF225" i="2" s="1"/>
  <c r="W317" i="2"/>
  <c r="X317" i="2" s="1"/>
  <c r="W191" i="2"/>
  <c r="X191" i="2" s="1"/>
  <c r="W408" i="2"/>
  <c r="X408" i="2" s="1"/>
  <c r="U351" i="2"/>
  <c r="V432" i="2"/>
  <c r="W354" i="2"/>
  <c r="X354" i="2" s="1"/>
  <c r="V394" i="2"/>
  <c r="V164" i="2"/>
  <c r="AT310" i="2"/>
  <c r="W308" i="2"/>
  <c r="X308" i="2" s="1"/>
  <c r="W296" i="2"/>
  <c r="X296" i="2" s="1"/>
  <c r="W337" i="2"/>
  <c r="X337" i="2" s="1"/>
  <c r="W181" i="2"/>
  <c r="X181" i="2" s="1"/>
  <c r="W291" i="2"/>
  <c r="X291" i="2" s="1"/>
  <c r="W366" i="2"/>
  <c r="X366" i="2" s="1"/>
  <c r="W234" i="2"/>
  <c r="X234" i="2" s="1"/>
  <c r="V310" i="2"/>
  <c r="U394" i="2"/>
  <c r="AF394" i="2" s="1"/>
  <c r="U294" i="2"/>
  <c r="U402" i="2"/>
  <c r="AF402" i="2" s="1"/>
  <c r="V455" i="2"/>
  <c r="U271" i="2"/>
  <c r="AF271" i="2" s="1"/>
  <c r="W452" i="2"/>
  <c r="X452" i="2" s="1"/>
  <c r="U363" i="2"/>
  <c r="AF363" i="2" s="1"/>
  <c r="U318" i="2"/>
  <c r="U252" i="2"/>
  <c r="AF252" i="2" s="1"/>
  <c r="U310" i="2"/>
  <c r="W183" i="2"/>
  <c r="X183" i="2" s="1"/>
  <c r="W346" i="2"/>
  <c r="X346" i="2" s="1"/>
  <c r="V294" i="2"/>
  <c r="W293" i="2"/>
  <c r="X293" i="2" s="1"/>
  <c r="V271" i="2"/>
  <c r="AT432" i="2"/>
  <c r="V363" i="2"/>
  <c r="V351" i="2"/>
  <c r="T167" i="2"/>
  <c r="W388" i="2"/>
  <c r="X388" i="2" s="1"/>
  <c r="U182" i="2"/>
  <c r="AF182" i="2" s="1"/>
  <c r="W235" i="2"/>
  <c r="X235" i="2" s="1"/>
  <c r="U337" i="2"/>
  <c r="V166" i="2"/>
  <c r="U228" i="2"/>
  <c r="AF228" i="2" s="1"/>
  <c r="U392" i="2"/>
  <c r="AF392" i="2" s="1"/>
  <c r="T447" i="2"/>
  <c r="V330" i="2"/>
  <c r="U369" i="2"/>
  <c r="V211" i="2"/>
  <c r="U166" i="2"/>
  <c r="W414" i="2"/>
  <c r="W398" i="2"/>
  <c r="X398" i="2" s="1"/>
  <c r="W336" i="2"/>
  <c r="X336" i="2" s="1"/>
  <c r="T357" i="2"/>
  <c r="T289" i="2"/>
  <c r="AF289" i="2" s="1"/>
  <c r="U280" i="2"/>
  <c r="AF280" i="2" s="1"/>
  <c r="W197" i="2"/>
  <c r="X197" i="2" s="1"/>
  <c r="U330" i="2"/>
  <c r="W285" i="2"/>
  <c r="X285" i="2" s="1"/>
  <c r="U266" i="2"/>
  <c r="AF266" i="2" s="1"/>
  <c r="U211" i="2"/>
  <c r="AF211" i="2" s="1"/>
  <c r="T332" i="2"/>
  <c r="V414" i="2"/>
  <c r="U382" i="2"/>
  <c r="AF382" i="2" s="1"/>
  <c r="T188" i="2"/>
  <c r="U210" i="2"/>
  <c r="W244" i="2"/>
  <c r="X244" i="2" s="1"/>
  <c r="T196" i="2"/>
  <c r="W341" i="2"/>
  <c r="X341" i="2" s="1"/>
  <c r="W161" i="2"/>
  <c r="X161" i="2" s="1"/>
  <c r="W392" i="2"/>
  <c r="X392" i="2" s="1"/>
  <c r="W203" i="2"/>
  <c r="X203" i="2" s="1"/>
  <c r="T255" i="2"/>
  <c r="T219" i="2"/>
  <c r="W263" i="2"/>
  <c r="X263" i="2" s="1"/>
  <c r="T431" i="2"/>
  <c r="T423" i="2"/>
  <c r="T233" i="2"/>
  <c r="T200" i="2"/>
  <c r="U296" i="2"/>
  <c r="AF296" i="2" s="1"/>
  <c r="U452" i="2"/>
  <c r="AF452" i="2" s="1"/>
  <c r="W305" i="2"/>
  <c r="X305" i="2" s="1"/>
  <c r="U398" i="2"/>
  <c r="AF398" i="2" s="1"/>
  <c r="W252" i="2"/>
  <c r="X252" i="2" s="1"/>
  <c r="W246" i="2"/>
  <c r="X246" i="2" s="1"/>
  <c r="T230" i="2"/>
  <c r="AF230" i="2" s="1"/>
  <c r="T359" i="2"/>
  <c r="W338" i="2"/>
  <c r="X338" i="2" s="1"/>
  <c r="T194" i="2"/>
  <c r="T283" i="2"/>
  <c r="T276" i="2"/>
  <c r="U356" i="2"/>
  <c r="AF356" i="2" s="1"/>
  <c r="W420" i="2"/>
  <c r="X420" i="2" s="1"/>
  <c r="U379" i="2"/>
  <c r="W456" i="2"/>
  <c r="X456" i="2" s="1"/>
  <c r="W318" i="2"/>
  <c r="U164" i="2"/>
  <c r="AF164" i="2" s="1"/>
  <c r="V379" i="2"/>
  <c r="T268" i="2"/>
  <c r="AF268" i="2" s="1"/>
  <c r="U388" i="2"/>
  <c r="AF388" i="2" s="1"/>
  <c r="AT279" i="2"/>
  <c r="W192" i="2"/>
  <c r="X192" i="2" s="1"/>
  <c r="W347" i="2"/>
  <c r="X347" i="2" s="1"/>
  <c r="U420" i="2"/>
  <c r="AF420" i="2" s="1"/>
  <c r="T435" i="2"/>
  <c r="V169" i="2"/>
  <c r="V297" i="2"/>
  <c r="V242" i="2"/>
  <c r="V425" i="2"/>
  <c r="V380" i="2"/>
  <c r="V302" i="2"/>
  <c r="V219" i="2"/>
  <c r="V342" i="2"/>
  <c r="V176" i="2"/>
  <c r="V433" i="2"/>
  <c r="V387" i="2"/>
  <c r="V314" i="2"/>
  <c r="AT389" i="2"/>
  <c r="V389" i="2"/>
  <c r="V274" i="2"/>
  <c r="V231" i="2"/>
  <c r="V417" i="2"/>
  <c r="AT215" i="2"/>
  <c r="V215" i="2"/>
  <c r="V327" i="2"/>
  <c r="V415" i="2"/>
  <c r="V446" i="2"/>
  <c r="W272" i="2"/>
  <c r="V272" i="2"/>
  <c r="V370" i="2"/>
  <c r="V170" i="2"/>
  <c r="V282" i="2"/>
  <c r="V383" i="2"/>
  <c r="V438" i="2"/>
  <c r="AT227" i="2"/>
  <c r="U339" i="2"/>
  <c r="AF339" i="2" s="1"/>
  <c r="V339" i="2"/>
  <c r="V426" i="2"/>
  <c r="W168" i="2"/>
  <c r="X168" i="2" s="1"/>
  <c r="W303" i="2"/>
  <c r="X303" i="2" s="1"/>
  <c r="V258" i="2"/>
  <c r="T226" i="2"/>
  <c r="AF226" i="2" s="1"/>
  <c r="T162" i="2"/>
  <c r="W221" i="2"/>
  <c r="X221" i="2" s="1"/>
  <c r="T273" i="2"/>
  <c r="AF273" i="2" s="1"/>
  <c r="T295" i="2"/>
  <c r="W165" i="2"/>
  <c r="X165" i="2" s="1"/>
  <c r="W312" i="2"/>
  <c r="X312" i="2" s="1"/>
  <c r="W391" i="2"/>
  <c r="X391" i="2" s="1"/>
  <c r="T371" i="2"/>
  <c r="V396" i="2"/>
  <c r="V328" i="2"/>
  <c r="AT250" i="2"/>
  <c r="V250" i="2"/>
  <c r="V298" i="2"/>
  <c r="U440" i="2"/>
  <c r="AF440" i="2" s="1"/>
  <c r="V440" i="2"/>
  <c r="V350" i="2"/>
  <c r="AT198" i="2"/>
  <c r="T322" i="2"/>
  <c r="T258" i="2"/>
  <c r="W254" i="2"/>
  <c r="X254" i="2" s="1"/>
  <c r="W205" i="2"/>
  <c r="X205" i="2" s="1"/>
  <c r="T337" i="2"/>
  <c r="T297" i="2"/>
  <c r="W257" i="2"/>
  <c r="X257" i="2" s="1"/>
  <c r="X368" i="2"/>
  <c r="AT188" i="2"/>
  <c r="V364" i="2"/>
  <c r="V445" i="2"/>
  <c r="AT445" i="2"/>
  <c r="AT373" i="2"/>
  <c r="V200" i="2"/>
  <c r="V240" i="2"/>
  <c r="AT199" i="2"/>
  <c r="W218" i="2"/>
  <c r="X218" i="2" s="1"/>
  <c r="T197" i="2"/>
  <c r="AF197" i="2" s="1"/>
  <c r="W241" i="2"/>
  <c r="X241" i="2" s="1"/>
  <c r="T251" i="2"/>
  <c r="AF251" i="2" s="1"/>
  <c r="U408" i="2"/>
  <c r="AF408" i="2" s="1"/>
  <c r="T407" i="2"/>
  <c r="AT290" i="2"/>
  <c r="V412" i="2"/>
  <c r="V348" i="2"/>
  <c r="AT264" i="2"/>
  <c r="AT374" i="2"/>
  <c r="AT214" i="2"/>
  <c r="V441" i="2"/>
  <c r="V186" i="2"/>
  <c r="V429" i="2"/>
  <c r="V401" i="2"/>
  <c r="V283" i="2"/>
  <c r="V11" i="2"/>
  <c r="AT207" i="2"/>
  <c r="V195" i="2"/>
  <c r="V160" i="2"/>
  <c r="V156" i="2"/>
  <c r="V152" i="2"/>
  <c r="AT152" i="2"/>
  <c r="V148" i="2"/>
  <c r="V144" i="2"/>
  <c r="V140" i="2"/>
  <c r="AT136" i="2"/>
  <c r="V136" i="2"/>
  <c r="V132" i="2"/>
  <c r="V128" i="2"/>
  <c r="V124" i="2"/>
  <c r="V120" i="2"/>
  <c r="V116" i="2"/>
  <c r="V112" i="2"/>
  <c r="V108" i="2"/>
  <c r="V104" i="2"/>
  <c r="AT104" i="2"/>
  <c r="V100" i="2"/>
  <c r="V96" i="2"/>
  <c r="V92" i="2"/>
  <c r="AT88" i="2"/>
  <c r="V88" i="2"/>
  <c r="V84" i="2"/>
  <c r="V80" i="2"/>
  <c r="V76" i="2"/>
  <c r="V72" i="2"/>
  <c r="V68" i="2"/>
  <c r="V64" i="2"/>
  <c r="V60" i="2"/>
  <c r="V56" i="2"/>
  <c r="AT56" i="2"/>
  <c r="V52" i="2"/>
  <c r="V48" i="2"/>
  <c r="V44" i="2"/>
  <c r="V40" i="2"/>
  <c r="V36" i="2"/>
  <c r="V32" i="2"/>
  <c r="V28" i="2"/>
  <c r="V24" i="2"/>
  <c r="V20" i="2"/>
  <c r="V16" i="2"/>
  <c r="V12" i="2"/>
  <c r="V607" i="2"/>
  <c r="AT607" i="2"/>
  <c r="V603" i="2"/>
  <c r="V599" i="2"/>
  <c r="V595" i="2"/>
  <c r="V591" i="2"/>
  <c r="V587" i="2"/>
  <c r="V583" i="2"/>
  <c r="V579" i="2"/>
  <c r="V575" i="2"/>
  <c r="V571" i="2"/>
  <c r="V567" i="2"/>
  <c r="V563" i="2"/>
  <c r="V559" i="2"/>
  <c r="V555" i="2"/>
  <c r="V551" i="2"/>
  <c r="V547" i="2"/>
  <c r="V543" i="2"/>
  <c r="AT543" i="2"/>
  <c r="V540" i="2"/>
  <c r="V536" i="2"/>
  <c r="V532" i="2"/>
  <c r="V528" i="2"/>
  <c r="AT528" i="2"/>
  <c r="V524" i="2"/>
  <c r="V520" i="2"/>
  <c r="V516" i="2"/>
  <c r="V512" i="2"/>
  <c r="AT512" i="2"/>
  <c r="V508" i="2"/>
  <c r="V504" i="2"/>
  <c r="V500" i="2"/>
  <c r="V496" i="2"/>
  <c r="AT496" i="2"/>
  <c r="V492" i="2"/>
  <c r="V488" i="2"/>
  <c r="V484" i="2"/>
  <c r="V480" i="2"/>
  <c r="V476" i="2"/>
  <c r="V472" i="2"/>
  <c r="V468" i="2"/>
  <c r="V464" i="2"/>
  <c r="AT464" i="2"/>
  <c r="V460" i="2"/>
  <c r="V159" i="2"/>
  <c r="AT159" i="2"/>
  <c r="V155" i="2"/>
  <c r="V151" i="2"/>
  <c r="AT151" i="2"/>
  <c r="V147" i="2"/>
  <c r="V143" i="2"/>
  <c r="V139" i="2"/>
  <c r="V135" i="2"/>
  <c r="V131" i="2"/>
  <c r="V127" i="2"/>
  <c r="V123" i="2"/>
  <c r="V119" i="2"/>
  <c r="V115" i="2"/>
  <c r="V111" i="2"/>
  <c r="AT111" i="2"/>
  <c r="V107" i="2"/>
  <c r="V103" i="2"/>
  <c r="V99" i="2"/>
  <c r="V95" i="2"/>
  <c r="V91" i="2"/>
  <c r="V87" i="2"/>
  <c r="V83" i="2"/>
  <c r="V79" i="2"/>
  <c r="AT79" i="2"/>
  <c r="V75" i="2"/>
  <c r="V71" i="2"/>
  <c r="V67" i="2"/>
  <c r="V63" i="2"/>
  <c r="AT63" i="2"/>
  <c r="V59" i="2"/>
  <c r="V55" i="2"/>
  <c r="V51" i="2"/>
  <c r="V47" i="2"/>
  <c r="V43" i="2"/>
  <c r="V39" i="2"/>
  <c r="V35" i="2"/>
  <c r="V31" i="2"/>
  <c r="AT31" i="2"/>
  <c r="V27" i="2"/>
  <c r="V23" i="2"/>
  <c r="V19" i="2"/>
  <c r="V15" i="2"/>
  <c r="AT15" i="2"/>
  <c r="V610" i="2"/>
  <c r="V606" i="2"/>
  <c r="V602" i="2"/>
  <c r="V598" i="2"/>
  <c r="V594" i="2"/>
  <c r="V590" i="2"/>
  <c r="V586" i="2"/>
  <c r="V582" i="2"/>
  <c r="AT582" i="2"/>
  <c r="V578" i="2"/>
  <c r="V574" i="2"/>
  <c r="V570" i="2"/>
  <c r="V566" i="2"/>
  <c r="AT566" i="2"/>
  <c r="V562" i="2"/>
  <c r="V558" i="2"/>
  <c r="V554" i="2"/>
  <c r="V550" i="2"/>
  <c r="AT550" i="2"/>
  <c r="V546" i="2"/>
  <c r="V542" i="2"/>
  <c r="V539" i="2"/>
  <c r="V535" i="2"/>
  <c r="AT535" i="2"/>
  <c r="V531" i="2"/>
  <c r="V527" i="2"/>
  <c r="V523" i="2"/>
  <c r="V519" i="2"/>
  <c r="V515" i="2"/>
  <c r="V511" i="2"/>
  <c r="V507" i="2"/>
  <c r="V503" i="2"/>
  <c r="V499" i="2"/>
  <c r="V495" i="2"/>
  <c r="V491" i="2"/>
  <c r="V487" i="2"/>
  <c r="V483" i="2"/>
  <c r="V479" i="2"/>
  <c r="V475" i="2"/>
  <c r="V471" i="2"/>
  <c r="V467" i="2"/>
  <c r="V463" i="2"/>
  <c r="V459" i="2"/>
  <c r="V194" i="2"/>
  <c r="V158" i="2"/>
  <c r="V154" i="2"/>
  <c r="V150" i="2"/>
  <c r="V146" i="2"/>
  <c r="V142" i="2"/>
  <c r="V138" i="2"/>
  <c r="V134" i="2"/>
  <c r="V130" i="2"/>
  <c r="V126" i="2"/>
  <c r="V122" i="2"/>
  <c r="V118" i="2"/>
  <c r="V114" i="2"/>
  <c r="V110" i="2"/>
  <c r="V106" i="2"/>
  <c r="V102" i="2"/>
  <c r="V98" i="2"/>
  <c r="V94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" i="2"/>
  <c r="V609" i="2"/>
  <c r="V605" i="2"/>
  <c r="V601" i="2"/>
  <c r="V597" i="2"/>
  <c r="V593" i="2"/>
  <c r="V589" i="2"/>
  <c r="V585" i="2"/>
  <c r="V581" i="2"/>
  <c r="V577" i="2"/>
  <c r="V573" i="2"/>
  <c r="V569" i="2"/>
  <c r="V565" i="2"/>
  <c r="V561" i="2"/>
  <c r="V557" i="2"/>
  <c r="V553" i="2"/>
  <c r="V549" i="2"/>
  <c r="V545" i="2"/>
  <c r="V538" i="2"/>
  <c r="V534" i="2"/>
  <c r="V530" i="2"/>
  <c r="V526" i="2"/>
  <c r="V522" i="2"/>
  <c r="V518" i="2"/>
  <c r="V514" i="2"/>
  <c r="V510" i="2"/>
  <c r="V506" i="2"/>
  <c r="V502" i="2"/>
  <c r="V498" i="2"/>
  <c r="V494" i="2"/>
  <c r="V490" i="2"/>
  <c r="V486" i="2"/>
  <c r="V482" i="2"/>
  <c r="V478" i="2"/>
  <c r="V474" i="2"/>
  <c r="V470" i="2"/>
  <c r="V466" i="2"/>
  <c r="V462" i="2"/>
  <c r="V458" i="2"/>
  <c r="T229" i="2"/>
  <c r="AF229" i="2" s="1"/>
  <c r="T327" i="2"/>
  <c r="V157" i="2"/>
  <c r="V153" i="2"/>
  <c r="V149" i="2"/>
  <c r="V145" i="2"/>
  <c r="V141" i="2"/>
  <c r="V137" i="2"/>
  <c r="V133" i="2"/>
  <c r="V129" i="2"/>
  <c r="V125" i="2"/>
  <c r="V121" i="2"/>
  <c r="V117" i="2"/>
  <c r="V113" i="2"/>
  <c r="V109" i="2"/>
  <c r="V105" i="2"/>
  <c r="V101" i="2"/>
  <c r="V97" i="2"/>
  <c r="V93" i="2"/>
  <c r="V89" i="2"/>
  <c r="V85" i="2"/>
  <c r="V81" i="2"/>
  <c r="V77" i="2"/>
  <c r="V73" i="2"/>
  <c r="V69" i="2"/>
  <c r="V65" i="2"/>
  <c r="V61" i="2"/>
  <c r="V57" i="2"/>
  <c r="V53" i="2"/>
  <c r="V49" i="2"/>
  <c r="V45" i="2"/>
  <c r="V41" i="2"/>
  <c r="V37" i="2"/>
  <c r="V33" i="2"/>
  <c r="V29" i="2"/>
  <c r="V25" i="2"/>
  <c r="V21" i="2"/>
  <c r="V17" i="2"/>
  <c r="V13" i="2"/>
  <c r="V608" i="2"/>
  <c r="V604" i="2"/>
  <c r="V600" i="2"/>
  <c r="V596" i="2"/>
  <c r="V592" i="2"/>
  <c r="V588" i="2"/>
  <c r="V584" i="2"/>
  <c r="V580" i="2"/>
  <c r="V576" i="2"/>
  <c r="V572" i="2"/>
  <c r="V568" i="2"/>
  <c r="V564" i="2"/>
  <c r="V560" i="2"/>
  <c r="V556" i="2"/>
  <c r="V552" i="2"/>
  <c r="V548" i="2"/>
  <c r="V544" i="2"/>
  <c r="V541" i="2"/>
  <c r="V537" i="2"/>
  <c r="V533" i="2"/>
  <c r="V529" i="2"/>
  <c r="V525" i="2"/>
  <c r="V521" i="2"/>
  <c r="V517" i="2"/>
  <c r="V513" i="2"/>
  <c r="V509" i="2"/>
  <c r="V505" i="2"/>
  <c r="V501" i="2"/>
  <c r="V497" i="2"/>
  <c r="V493" i="2"/>
  <c r="V489" i="2"/>
  <c r="V485" i="2"/>
  <c r="V481" i="2"/>
  <c r="V477" i="2"/>
  <c r="V473" i="2"/>
  <c r="V469" i="2"/>
  <c r="V465" i="2"/>
  <c r="V461" i="2"/>
  <c r="V172" i="2"/>
  <c r="U320" i="2"/>
  <c r="AF320" i="2" s="1"/>
  <c r="T369" i="2"/>
  <c r="U181" i="2"/>
  <c r="AF181" i="2" s="1"/>
  <c r="T329" i="2"/>
  <c r="W455" i="2"/>
  <c r="W268" i="2"/>
  <c r="X268" i="2" s="1"/>
  <c r="W353" i="2"/>
  <c r="W253" i="2"/>
  <c r="X253" i="2" s="1"/>
  <c r="W262" i="2"/>
  <c r="X262" i="2" s="1"/>
  <c r="W310" i="2"/>
  <c r="W367" i="2"/>
  <c r="X367" i="2" s="1"/>
  <c r="T11" i="2"/>
  <c r="T278" i="2"/>
  <c r="U455" i="2"/>
  <c r="AF455" i="2" s="1"/>
  <c r="T317" i="2"/>
  <c r="AF317" i="2" s="1"/>
  <c r="T221" i="2"/>
  <c r="AF221" i="2" s="1"/>
  <c r="W245" i="2"/>
  <c r="X245" i="2" s="1"/>
  <c r="W316" i="2"/>
  <c r="X316" i="2" s="1"/>
  <c r="W163" i="2"/>
  <c r="X163" i="2" s="1"/>
  <c r="U386" i="2"/>
  <c r="AF386" i="2" s="1"/>
  <c r="T342" i="2"/>
  <c r="T165" i="2"/>
  <c r="AF165" i="2" s="1"/>
  <c r="W369" i="2"/>
  <c r="X369" i="2" s="1"/>
  <c r="W229" i="2"/>
  <c r="X229" i="2" s="1"/>
  <c r="X289" i="2"/>
  <c r="T401" i="2"/>
  <c r="U309" i="2"/>
  <c r="AF309" i="2" s="1"/>
  <c r="T169" i="2"/>
  <c r="T315" i="2"/>
  <c r="AF315" i="2" s="1"/>
  <c r="X223" i="2"/>
  <c r="T187" i="2"/>
  <c r="T331" i="2"/>
  <c r="X360" i="2"/>
  <c r="T391" i="2"/>
  <c r="U333" i="2"/>
  <c r="AF333" i="2" s="1"/>
  <c r="T193" i="2"/>
  <c r="W321" i="2"/>
  <c r="X321" i="2" s="1"/>
  <c r="W299" i="2"/>
  <c r="X299" i="2" s="1"/>
  <c r="W436" i="2"/>
  <c r="X436" i="2" s="1"/>
  <c r="U376" i="2"/>
  <c r="AF376" i="2" s="1"/>
  <c r="X448" i="2"/>
  <c r="W351" i="2"/>
  <c r="T177" i="2"/>
  <c r="AF177" i="2" s="1"/>
  <c r="W209" i="2"/>
  <c r="X209" i="2" s="1"/>
  <c r="W216" i="2"/>
  <c r="X216" i="2" s="1"/>
  <c r="T261" i="2"/>
  <c r="W416" i="2"/>
  <c r="X416" i="2" s="1"/>
  <c r="W352" i="2"/>
  <c r="X352" i="2" s="1"/>
  <c r="W309" i="2"/>
  <c r="X309" i="2" s="1"/>
  <c r="W315" i="2"/>
  <c r="X315" i="2" s="1"/>
  <c r="W333" i="2"/>
  <c r="X333" i="2" s="1"/>
  <c r="U436" i="2"/>
  <c r="AF436" i="2" s="1"/>
  <c r="T421" i="2"/>
  <c r="T321" i="2"/>
  <c r="AF321" i="2" s="1"/>
  <c r="T241" i="2"/>
  <c r="AF241" i="2" s="1"/>
  <c r="T223" i="2"/>
  <c r="U216" i="2"/>
  <c r="AF216" i="2" s="1"/>
  <c r="T293" i="2"/>
  <c r="AF293" i="2" s="1"/>
  <c r="W301" i="2"/>
  <c r="X301" i="2" s="1"/>
  <c r="T209" i="2"/>
  <c r="AF209" i="2" s="1"/>
  <c r="W267" i="2"/>
  <c r="X267" i="2" s="1"/>
  <c r="U424" i="2"/>
  <c r="AF424" i="2" s="1"/>
  <c r="T265" i="2"/>
  <c r="U285" i="2"/>
  <c r="AF285" i="2" s="1"/>
  <c r="W275" i="2"/>
  <c r="X275" i="2" s="1"/>
  <c r="W193" i="2"/>
  <c r="X193" i="2" s="1"/>
  <c r="W178" i="2"/>
  <c r="X178" i="2" s="1"/>
  <c r="W271" i="2"/>
  <c r="U448" i="2"/>
  <c r="AF448" i="2" s="1"/>
  <c r="U299" i="2"/>
  <c r="AF299" i="2" s="1"/>
  <c r="T403" i="2"/>
  <c r="T375" i="2"/>
  <c r="T263" i="2"/>
  <c r="W261" i="2"/>
  <c r="X261" i="2" s="1"/>
  <c r="T351" i="2"/>
  <c r="T201" i="2"/>
  <c r="X344" i="2"/>
  <c r="U418" i="2"/>
  <c r="AF418" i="2" s="1"/>
  <c r="W189" i="2"/>
  <c r="X189" i="2" s="1"/>
  <c r="W211" i="2"/>
  <c r="X211" i="2" s="1"/>
  <c r="W325" i="2"/>
  <c r="X325" i="2" s="1"/>
  <c r="W226" i="2"/>
  <c r="X226" i="2" s="1"/>
  <c r="W202" i="2"/>
  <c r="X202" i="2" s="1"/>
  <c r="W251" i="2"/>
  <c r="X251" i="2" s="1"/>
  <c r="W171" i="2"/>
  <c r="X171" i="2" s="1"/>
  <c r="W331" i="2"/>
  <c r="X331" i="2" s="1"/>
  <c r="U360" i="2"/>
  <c r="AF360" i="2" s="1"/>
  <c r="U275" i="2"/>
  <c r="AF275" i="2" s="1"/>
  <c r="T419" i="2"/>
  <c r="T307" i="2"/>
  <c r="T267" i="2"/>
  <c r="AF267" i="2" s="1"/>
  <c r="T191" i="2"/>
  <c r="AF191" i="2" s="1"/>
  <c r="T166" i="2"/>
  <c r="U368" i="2"/>
  <c r="AF368" i="2" s="1"/>
  <c r="W320" i="2"/>
  <c r="X320" i="2" s="1"/>
  <c r="W424" i="2"/>
  <c r="X424" i="2" s="1"/>
  <c r="W376" i="2"/>
  <c r="X376" i="2" s="1"/>
  <c r="W269" i="2"/>
  <c r="X269" i="2" s="1"/>
  <c r="T318" i="2"/>
  <c r="T254" i="2"/>
  <c r="AF254" i="2" s="1"/>
  <c r="T174" i="2"/>
  <c r="W277" i="2"/>
  <c r="X277" i="2" s="1"/>
  <c r="W213" i="2"/>
  <c r="X213" i="2" s="1"/>
  <c r="W409" i="2"/>
  <c r="X409" i="2" s="1"/>
  <c r="W377" i="2"/>
  <c r="X377" i="2" s="1"/>
  <c r="W237" i="2"/>
  <c r="X237" i="2" s="1"/>
  <c r="W190" i="2"/>
  <c r="X190" i="2" s="1"/>
  <c r="T286" i="2"/>
  <c r="AF286" i="2" s="1"/>
  <c r="T206" i="2"/>
  <c r="T301" i="2"/>
  <c r="AF301" i="2" s="1"/>
  <c r="T257" i="2"/>
  <c r="T338" i="2"/>
  <c r="W306" i="2"/>
  <c r="X306" i="2" s="1"/>
  <c r="T290" i="2"/>
  <c r="W393" i="2"/>
  <c r="X393" i="2" s="1"/>
  <c r="W345" i="2"/>
  <c r="X345" i="2" s="1"/>
  <c r="W173" i="2"/>
  <c r="X173" i="2" s="1"/>
  <c r="W222" i="2"/>
  <c r="X222" i="2" s="1"/>
  <c r="W334" i="2"/>
  <c r="X334" i="2" s="1"/>
  <c r="W270" i="2"/>
  <c r="X270" i="2" s="1"/>
  <c r="T205" i="2"/>
  <c r="AF205" i="2" s="1"/>
  <c r="W166" i="2"/>
  <c r="T306" i="2"/>
  <c r="AF306" i="2" s="1"/>
  <c r="T178" i="2"/>
  <c r="AF178" i="2" s="1"/>
  <c r="T330" i="2"/>
  <c r="T314" i="2"/>
  <c r="T298" i="2"/>
  <c r="T242" i="2"/>
  <c r="T234" i="2"/>
  <c r="AF234" i="2" s="1"/>
  <c r="T218" i="2"/>
  <c r="T186" i="2"/>
  <c r="T170" i="2"/>
  <c r="AF166" i="2" l="1"/>
  <c r="AF257" i="2"/>
  <c r="AF351" i="2"/>
  <c r="AF206" i="2"/>
  <c r="AF399" i="2"/>
  <c r="AF223" i="2"/>
  <c r="AF193" i="2"/>
  <c r="AF294" i="2"/>
  <c r="AF338" i="2"/>
  <c r="AF330" i="2"/>
  <c r="U270" i="2"/>
  <c r="AF270" i="2" s="1"/>
  <c r="U442" i="2"/>
  <c r="AF442" i="2" s="1"/>
  <c r="AT307" i="2"/>
  <c r="U341" i="2"/>
  <c r="AF341" i="2" s="1"/>
  <c r="U261" i="2"/>
  <c r="AF261" i="2" s="1"/>
  <c r="AF350" i="2"/>
  <c r="U331" i="2"/>
  <c r="AF331" i="2" s="1"/>
  <c r="AT257" i="2"/>
  <c r="U255" i="2"/>
  <c r="AF255" i="2" s="1"/>
  <c r="AT572" i="2"/>
  <c r="AT588" i="2"/>
  <c r="AT21" i="2"/>
  <c r="AT37" i="2"/>
  <c r="AT117" i="2"/>
  <c r="AT561" i="2"/>
  <c r="AT577" i="2"/>
  <c r="AT26" i="2"/>
  <c r="AT122" i="2"/>
  <c r="AT557" i="2"/>
  <c r="AT589" i="2"/>
  <c r="AT38" i="2"/>
  <c r="AT106" i="2"/>
  <c r="AT118" i="2"/>
  <c r="AT134" i="2"/>
  <c r="AT154" i="2"/>
  <c r="AT467" i="2"/>
  <c r="AT483" i="2"/>
  <c r="AT499" i="2"/>
  <c r="AT515" i="2"/>
  <c r="AT531" i="2"/>
  <c r="AT562" i="2"/>
  <c r="AT578" i="2"/>
  <c r="AT594" i="2"/>
  <c r="AT27" i="2"/>
  <c r="AT43" i="2"/>
  <c r="AT75" i="2"/>
  <c r="AT123" i="2"/>
  <c r="AT460" i="2"/>
  <c r="AT476" i="2"/>
  <c r="AT492" i="2"/>
  <c r="AT524" i="2"/>
  <c r="AT540" i="2"/>
  <c r="AT571" i="2"/>
  <c r="AT20" i="2"/>
  <c r="AT68" i="2"/>
  <c r="AT116" i="2"/>
  <c r="AT148" i="2"/>
  <c r="AT283" i="2"/>
  <c r="AT403" i="2"/>
  <c r="AT327" i="2"/>
  <c r="AT413" i="2"/>
  <c r="AT433" i="2"/>
  <c r="AT342" i="2"/>
  <c r="U239" i="2"/>
  <c r="AF239" i="2" s="1"/>
  <c r="W239" i="2"/>
  <c r="X239" i="2" s="1"/>
  <c r="AT193" i="2"/>
  <c r="AT69" i="2"/>
  <c r="AT85" i="2"/>
  <c r="AT471" i="2"/>
  <c r="AT487" i="2"/>
  <c r="AT503" i="2"/>
  <c r="AT519" i="2"/>
  <c r="W255" i="2"/>
  <c r="X255" i="2" s="1"/>
  <c r="W206" i="2"/>
  <c r="X206" i="2" s="1"/>
  <c r="W442" i="2"/>
  <c r="X442" i="2" s="1"/>
  <c r="AT291" i="2"/>
  <c r="AT600" i="2"/>
  <c r="AT33" i="2"/>
  <c r="U354" i="2"/>
  <c r="AF354" i="2" s="1"/>
  <c r="AT465" i="2"/>
  <c r="AT481" i="2"/>
  <c r="AT497" i="2"/>
  <c r="AT513" i="2"/>
  <c r="AT529" i="2"/>
  <c r="AT560" i="2"/>
  <c r="AT592" i="2"/>
  <c r="AT89" i="2"/>
  <c r="AT137" i="2"/>
  <c r="AT458" i="2"/>
  <c r="AT474" i="2"/>
  <c r="AT490" i="2"/>
  <c r="AT506" i="2"/>
  <c r="AT522" i="2"/>
  <c r="AT565" i="2"/>
  <c r="AT581" i="2"/>
  <c r="AT597" i="2"/>
  <c r="AT30" i="2"/>
  <c r="AT46" i="2"/>
  <c r="AT78" i="2"/>
  <c r="AT126" i="2"/>
  <c r="AT35" i="2"/>
  <c r="AT115" i="2"/>
  <c r="AT119" i="2"/>
  <c r="AT131" i="2"/>
  <c r="AT194" i="2"/>
  <c r="AT500" i="2"/>
  <c r="AT516" i="2"/>
  <c r="AT563" i="2"/>
  <c r="AT579" i="2"/>
  <c r="AT12" i="2"/>
  <c r="AT28" i="2"/>
  <c r="AT60" i="2"/>
  <c r="AT76" i="2"/>
  <c r="AT100" i="2"/>
  <c r="AT108" i="2"/>
  <c r="AT156" i="2"/>
  <c r="AT276" i="2"/>
  <c r="AT419" i="2"/>
  <c r="AT323" i="2"/>
  <c r="AT200" i="2"/>
  <c r="AT278" i="2"/>
  <c r="AT162" i="2"/>
  <c r="AT217" i="2"/>
  <c r="AT426" i="2"/>
  <c r="AT370" i="2"/>
  <c r="AT446" i="2"/>
  <c r="AT417" i="2"/>
  <c r="W233" i="2"/>
  <c r="X233" i="2" s="1"/>
  <c r="X318" i="2"/>
  <c r="AF310" i="2"/>
  <c r="W359" i="2"/>
  <c r="X359" i="2" s="1"/>
  <c r="W184" i="2"/>
  <c r="X184" i="2" s="1"/>
  <c r="AT263" i="2"/>
  <c r="AT331" i="2"/>
  <c r="U184" i="2"/>
  <c r="AF184" i="2" s="1"/>
  <c r="AT584" i="2"/>
  <c r="AT49" i="2"/>
  <c r="AT81" i="2"/>
  <c r="AT129" i="2"/>
  <c r="AF379" i="2"/>
  <c r="X248" i="2"/>
  <c r="U246" i="2"/>
  <c r="AF246" i="2" s="1"/>
  <c r="U307" i="2"/>
  <c r="AF307" i="2" s="1"/>
  <c r="W385" i="2"/>
  <c r="X385" i="2" s="1"/>
  <c r="AF369" i="2"/>
  <c r="W247" i="2"/>
  <c r="X247" i="2" s="1"/>
  <c r="AF359" i="2"/>
  <c r="AT596" i="2"/>
  <c r="AT61" i="2"/>
  <c r="AT141" i="2"/>
  <c r="AT50" i="2"/>
  <c r="AT98" i="2"/>
  <c r="AT130" i="2"/>
  <c r="AT146" i="2"/>
  <c r="AT463" i="2"/>
  <c r="AT479" i="2"/>
  <c r="AT495" i="2"/>
  <c r="AT511" i="2"/>
  <c r="AT527" i="2"/>
  <c r="AT558" i="2"/>
  <c r="AT590" i="2"/>
  <c r="AT606" i="2"/>
  <c r="AT39" i="2"/>
  <c r="AT55" i="2"/>
  <c r="AT87" i="2"/>
  <c r="AT135" i="2"/>
  <c r="AT472" i="2"/>
  <c r="AT488" i="2"/>
  <c r="AT536" i="2"/>
  <c r="AT567" i="2"/>
  <c r="AT583" i="2"/>
  <c r="AT32" i="2"/>
  <c r="AT48" i="2"/>
  <c r="AT112" i="2"/>
  <c r="AT128" i="2"/>
  <c r="AT160" i="2"/>
  <c r="AT288" i="2"/>
  <c r="AT375" i="2"/>
  <c r="AT348" i="2"/>
  <c r="AT201" i="2"/>
  <c r="AT362" i="2"/>
  <c r="AT407" i="2"/>
  <c r="AT454" i="2"/>
  <c r="AT212" i="2"/>
  <c r="AT11" i="2"/>
  <c r="AT260" i="2"/>
  <c r="AT167" i="2"/>
  <c r="AT396" i="2"/>
  <c r="AT415" i="2"/>
  <c r="AT258" i="2"/>
  <c r="AT314" i="2"/>
  <c r="AT387" i="2"/>
  <c r="AT219" i="2"/>
  <c r="AT423" i="2"/>
  <c r="U180" i="2"/>
  <c r="AT324" i="2"/>
  <c r="AF187" i="2"/>
  <c r="AT13" i="2"/>
  <c r="AT45" i="2"/>
  <c r="AT93" i="2"/>
  <c r="AT553" i="2"/>
  <c r="AT601" i="2"/>
  <c r="AT441" i="2"/>
  <c r="AT174" i="2"/>
  <c r="AT256" i="2"/>
  <c r="AT211" i="2"/>
  <c r="AT363" i="2"/>
  <c r="AT451" i="2"/>
  <c r="AT414" i="2"/>
  <c r="AT218" i="2"/>
  <c r="AT351" i="2"/>
  <c r="AT461" i="2"/>
  <c r="AT477" i="2"/>
  <c r="AT493" i="2"/>
  <c r="AT509" i="2"/>
  <c r="AT525" i="2"/>
  <c r="AT541" i="2"/>
  <c r="AT544" i="2"/>
  <c r="AT556" i="2"/>
  <c r="AT576" i="2"/>
  <c r="AT604" i="2"/>
  <c r="AT608" i="2"/>
  <c r="AT25" i="2"/>
  <c r="AT41" i="2"/>
  <c r="AT53" i="2"/>
  <c r="AT57" i="2"/>
  <c r="AT73" i="2"/>
  <c r="AT77" i="2"/>
  <c r="AT101" i="2"/>
  <c r="AT105" i="2"/>
  <c r="AT121" i="2"/>
  <c r="AT133" i="2"/>
  <c r="AT149" i="2"/>
  <c r="AT153" i="2"/>
  <c r="AT470" i="2"/>
  <c r="AT486" i="2"/>
  <c r="AT502" i="2"/>
  <c r="AT518" i="2"/>
  <c r="AT534" i="2"/>
  <c r="AT538" i="2"/>
  <c r="AT545" i="2"/>
  <c r="AT549" i="2"/>
  <c r="AT593" i="2"/>
  <c r="AT14" i="2"/>
  <c r="AT42" i="2"/>
  <c r="AT58" i="2"/>
  <c r="AT62" i="2"/>
  <c r="AT74" i="2"/>
  <c r="AT90" i="2"/>
  <c r="AT110" i="2"/>
  <c r="AT138" i="2"/>
  <c r="AT158" i="2"/>
  <c r="AT459" i="2"/>
  <c r="AT475" i="2"/>
  <c r="AT491" i="2"/>
  <c r="AT507" i="2"/>
  <c r="AT523" i="2"/>
  <c r="AT539" i="2"/>
  <c r="AT554" i="2"/>
  <c r="AT570" i="2"/>
  <c r="AT586" i="2"/>
  <c r="AT598" i="2"/>
  <c r="AT602" i="2"/>
  <c r="AT19" i="2"/>
  <c r="AT47" i="2"/>
  <c r="AT51" i="2"/>
  <c r="AT67" i="2"/>
  <c r="AT95" i="2"/>
  <c r="AT99" i="2"/>
  <c r="AT127" i="2"/>
  <c r="AT143" i="2"/>
  <c r="AT147" i="2"/>
  <c r="AT468" i="2"/>
  <c r="AT480" i="2"/>
  <c r="AT484" i="2"/>
  <c r="AT532" i="2"/>
  <c r="AT547" i="2"/>
  <c r="AT559" i="2"/>
  <c r="AT575" i="2"/>
  <c r="AT591" i="2"/>
  <c r="AT595" i="2"/>
  <c r="AT24" i="2"/>
  <c r="AT44" i="2"/>
  <c r="AT72" i="2"/>
  <c r="AT92" i="2"/>
  <c r="AT120" i="2"/>
  <c r="AT140" i="2"/>
  <c r="AT427" i="2"/>
  <c r="AT332" i="2"/>
  <c r="AT435" i="2"/>
  <c r="AT447" i="2"/>
  <c r="AT186" i="2"/>
  <c r="AT265" i="2"/>
  <c r="AT443" i="2"/>
  <c r="W405" i="2"/>
  <c r="X405" i="2" s="1"/>
  <c r="AT430" i="2"/>
  <c r="AT335" i="2"/>
  <c r="AT295" i="2"/>
  <c r="AT429" i="2"/>
  <c r="AT364" i="2"/>
  <c r="AT249" i="2"/>
  <c r="AT365" i="2"/>
  <c r="AT243" i="2"/>
  <c r="AT298" i="2"/>
  <c r="AT300" i="2"/>
  <c r="AT340" i="2"/>
  <c r="AT437" i="2"/>
  <c r="AT422" i="2"/>
  <c r="AT328" i="2"/>
  <c r="AT438" i="2"/>
  <c r="AT383" i="2"/>
  <c r="AT170" i="2"/>
  <c r="AT421" i="2"/>
  <c r="AT231" i="2"/>
  <c r="AT176" i="2"/>
  <c r="AT406" i="2"/>
  <c r="AT380" i="2"/>
  <c r="AT425" i="2"/>
  <c r="AT385" i="2"/>
  <c r="AT397" i="2"/>
  <c r="AT391" i="2"/>
  <c r="AT357" i="2"/>
  <c r="AT182" i="2"/>
  <c r="AT353" i="2"/>
  <c r="AT395" i="2"/>
  <c r="AT440" i="2"/>
  <c r="AT166" i="2"/>
  <c r="AT187" i="2"/>
  <c r="AT473" i="2"/>
  <c r="AT489" i="2"/>
  <c r="AT505" i="2"/>
  <c r="AT521" i="2"/>
  <c r="AT537" i="2"/>
  <c r="AT552" i="2"/>
  <c r="AT568" i="2"/>
  <c r="AT17" i="2"/>
  <c r="AT65" i="2"/>
  <c r="AT97" i="2"/>
  <c r="AT113" i="2"/>
  <c r="AT145" i="2"/>
  <c r="AT466" i="2"/>
  <c r="AT482" i="2"/>
  <c r="AT498" i="2"/>
  <c r="AT514" i="2"/>
  <c r="AT530" i="2"/>
  <c r="AT573" i="2"/>
  <c r="AT605" i="2"/>
  <c r="AT609" i="2"/>
  <c r="AT22" i="2"/>
  <c r="AT54" i="2"/>
  <c r="AT70" i="2"/>
  <c r="AT86" i="2"/>
  <c r="AT94" i="2"/>
  <c r="AT102" i="2"/>
  <c r="AT142" i="2"/>
  <c r="AT150" i="2"/>
  <c r="AT546" i="2"/>
  <c r="AT610" i="2"/>
  <c r="AT59" i="2"/>
  <c r="AT83" i="2"/>
  <c r="AT91" i="2"/>
  <c r="AT107" i="2"/>
  <c r="AT139" i="2"/>
  <c r="AT155" i="2"/>
  <c r="AT508" i="2"/>
  <c r="AT587" i="2"/>
  <c r="AT603" i="2"/>
  <c r="AT36" i="2"/>
  <c r="AT40" i="2"/>
  <c r="AT52" i="2"/>
  <c r="AT84" i="2"/>
  <c r="AT124" i="2"/>
  <c r="AT132" i="2"/>
  <c r="AT355" i="2"/>
  <c r="AT412" i="2"/>
  <c r="AT240" i="2"/>
  <c r="AT390" i="2"/>
  <c r="AT195" i="2"/>
  <c r="AT358" i="2"/>
  <c r="AT238" i="2"/>
  <c r="AT361" i="2"/>
  <c r="AT281" i="2"/>
  <c r="AT274" i="2"/>
  <c r="AT302" i="2"/>
  <c r="AT297" i="2"/>
  <c r="AT431" i="2"/>
  <c r="AT402" i="2"/>
  <c r="AT381" i="2"/>
  <c r="AT311" i="2"/>
  <c r="AT382" i="2"/>
  <c r="AT359" i="2"/>
  <c r="AT457" i="2"/>
  <c r="AT469" i="2"/>
  <c r="AT485" i="2"/>
  <c r="AT501" i="2"/>
  <c r="AT517" i="2"/>
  <c r="AT533" i="2"/>
  <c r="AT548" i="2"/>
  <c r="AT564" i="2"/>
  <c r="AT580" i="2"/>
  <c r="AT29" i="2"/>
  <c r="AT109" i="2"/>
  <c r="AT125" i="2"/>
  <c r="AT157" i="2"/>
  <c r="AT462" i="2"/>
  <c r="AT478" i="2"/>
  <c r="AT494" i="2"/>
  <c r="AT510" i="2"/>
  <c r="AT526" i="2"/>
  <c r="AT172" i="2"/>
  <c r="AT569" i="2"/>
  <c r="AT585" i="2"/>
  <c r="AT18" i="2"/>
  <c r="AT34" i="2"/>
  <c r="AT66" i="2"/>
  <c r="AT82" i="2"/>
  <c r="AT114" i="2"/>
  <c r="AT542" i="2"/>
  <c r="AT574" i="2"/>
  <c r="AT23" i="2"/>
  <c r="AT71" i="2"/>
  <c r="AT103" i="2"/>
  <c r="AT504" i="2"/>
  <c r="AT520" i="2"/>
  <c r="AT551" i="2"/>
  <c r="AT555" i="2"/>
  <c r="AT599" i="2"/>
  <c r="AT16" i="2"/>
  <c r="AT64" i="2"/>
  <c r="AT80" i="2"/>
  <c r="AT96" i="2"/>
  <c r="AT144" i="2"/>
  <c r="AT343" i="2"/>
  <c r="AT326" i="2"/>
  <c r="AT236" i="2"/>
  <c r="AT401" i="2"/>
  <c r="AT304" i="2"/>
  <c r="AT329" i="2"/>
  <c r="AT322" i="2"/>
  <c r="AT287" i="2"/>
  <c r="AT371" i="2"/>
  <c r="AT313" i="2"/>
  <c r="AT185" i="2"/>
  <c r="AT349" i="2"/>
  <c r="AT282" i="2"/>
  <c r="AT259" i="2"/>
  <c r="AT242" i="2"/>
  <c r="AT169" i="2"/>
  <c r="AT196" i="2"/>
  <c r="AT271" i="2"/>
  <c r="AT379" i="2"/>
  <c r="AT394" i="2"/>
  <c r="AT339" i="2"/>
  <c r="AT272" i="2"/>
  <c r="AT399" i="2"/>
  <c r="AT284" i="2"/>
  <c r="AT228" i="2"/>
  <c r="AT164" i="2"/>
  <c r="AT369" i="2"/>
  <c r="AF318" i="2"/>
  <c r="AF218" i="2"/>
  <c r="W431" i="2"/>
  <c r="X431" i="2" s="1"/>
  <c r="AF337" i="2"/>
  <c r="W294" i="2"/>
  <c r="X294" i="2" s="1"/>
  <c r="W215" i="2"/>
  <c r="X215" i="2" s="1"/>
  <c r="AT266" i="2"/>
  <c r="AF180" i="2"/>
  <c r="AT233" i="2"/>
  <c r="AT330" i="2"/>
  <c r="AF210" i="2"/>
  <c r="AT183" i="2"/>
  <c r="AT180" i="2"/>
  <c r="AT210" i="2"/>
  <c r="AT171" i="2"/>
  <c r="AT294" i="2"/>
  <c r="AT247" i="2"/>
  <c r="AT292" i="2"/>
  <c r="U450" i="2"/>
  <c r="AF450" i="2" s="1"/>
  <c r="AT450" i="2"/>
  <c r="U439" i="2"/>
  <c r="AF439" i="2" s="1"/>
  <c r="AT439" i="2"/>
  <c r="AT405" i="2"/>
  <c r="AT338" i="2"/>
  <c r="W381" i="2"/>
  <c r="X381" i="2" s="1"/>
  <c r="U415" i="2"/>
  <c r="AF415" i="2" s="1"/>
  <c r="U397" i="2"/>
  <c r="AF397" i="2" s="1"/>
  <c r="W324" i="2"/>
  <c r="X324" i="2" s="1"/>
  <c r="W292" i="2"/>
  <c r="X292" i="2" s="1"/>
  <c r="U327" i="2"/>
  <c r="AF327" i="2" s="1"/>
  <c r="W284" i="2"/>
  <c r="X284" i="2" s="1"/>
  <c r="W395" i="2"/>
  <c r="X395" i="2" s="1"/>
  <c r="U431" i="2"/>
  <c r="AF431" i="2" s="1"/>
  <c r="W357" i="2"/>
  <c r="X357" i="2" s="1"/>
  <c r="X271" i="2"/>
  <c r="W403" i="2"/>
  <c r="X403" i="2" s="1"/>
  <c r="W450" i="2"/>
  <c r="X450" i="2" s="1"/>
  <c r="W439" i="2"/>
  <c r="X439" i="2" s="1"/>
  <c r="X455" i="2"/>
  <c r="U231" i="2"/>
  <c r="AF231" i="2" s="1"/>
  <c r="W394" i="2"/>
  <c r="W427" i="2"/>
  <c r="X427" i="2" s="1"/>
  <c r="W214" i="2"/>
  <c r="X214" i="2" s="1"/>
  <c r="W265" i="2"/>
  <c r="X265" i="2" s="1"/>
  <c r="X451" i="2"/>
  <c r="U196" i="2"/>
  <c r="AF196" i="2" s="1"/>
  <c r="U263" i="2"/>
  <c r="AF263" i="2" s="1"/>
  <c r="W231" i="2"/>
  <c r="X231" i="2" s="1"/>
  <c r="W283" i="2"/>
  <c r="X283" i="2" s="1"/>
  <c r="W162" i="2"/>
  <c r="X162" i="2" s="1"/>
  <c r="U258" i="2"/>
  <c r="AF258" i="2" s="1"/>
  <c r="U342" i="2"/>
  <c r="AF342" i="2" s="1"/>
  <c r="U219" i="2"/>
  <c r="AF219" i="2" s="1"/>
  <c r="U242" i="2"/>
  <c r="AF242" i="2" s="1"/>
  <c r="W169" i="2"/>
  <c r="X169" i="2" s="1"/>
  <c r="U324" i="2"/>
  <c r="AF324" i="2" s="1"/>
  <c r="W363" i="2"/>
  <c r="X363" i="2" s="1"/>
  <c r="X353" i="2"/>
  <c r="U238" i="2"/>
  <c r="AF238" i="2" s="1"/>
  <c r="U361" i="2"/>
  <c r="AF361" i="2" s="1"/>
  <c r="U281" i="2"/>
  <c r="AF281" i="2" s="1"/>
  <c r="W446" i="2"/>
  <c r="X446" i="2" s="1"/>
  <c r="W415" i="2"/>
  <c r="X415" i="2" s="1"/>
  <c r="U391" i="2"/>
  <c r="AF391" i="2" s="1"/>
  <c r="U311" i="2"/>
  <c r="AF311" i="2" s="1"/>
  <c r="W187" i="2"/>
  <c r="X187" i="2" s="1"/>
  <c r="W256" i="2"/>
  <c r="X256" i="2" s="1"/>
  <c r="W196" i="2"/>
  <c r="X196" i="2" s="1"/>
  <c r="W180" i="2"/>
  <c r="X180" i="2" s="1"/>
  <c r="W258" i="2"/>
  <c r="X258" i="2" s="1"/>
  <c r="U194" i="2"/>
  <c r="AF194" i="2" s="1"/>
  <c r="U419" i="2"/>
  <c r="AF419" i="2" s="1"/>
  <c r="W199" i="2"/>
  <c r="X199" i="2" s="1"/>
  <c r="U405" i="2"/>
  <c r="AF405" i="2" s="1"/>
  <c r="U430" i="2"/>
  <c r="AF430" i="2" s="1"/>
  <c r="U295" i="2"/>
  <c r="AF295" i="2" s="1"/>
  <c r="X350" i="2"/>
  <c r="W402" i="2"/>
  <c r="X402" i="2" s="1"/>
  <c r="W228" i="2"/>
  <c r="X228" i="2" s="1"/>
  <c r="U357" i="2"/>
  <c r="AF357" i="2" s="1"/>
  <c r="U451" i="2"/>
  <c r="AF451" i="2" s="1"/>
  <c r="W339" i="2"/>
  <c r="X339" i="2" s="1"/>
  <c r="U423" i="2"/>
  <c r="AF423" i="2" s="1"/>
  <c r="X351" i="2"/>
  <c r="X310" i="2"/>
  <c r="W355" i="2"/>
  <c r="X355" i="2" s="1"/>
  <c r="U279" i="2"/>
  <c r="AF279" i="2" s="1"/>
  <c r="W210" i="2"/>
  <c r="X210" i="2" s="1"/>
  <c r="U411" i="2"/>
  <c r="AF411" i="2" s="1"/>
  <c r="W411" i="2"/>
  <c r="X411" i="2" s="1"/>
  <c r="W314" i="2"/>
  <c r="X314" i="2" s="1"/>
  <c r="W259" i="2"/>
  <c r="X259" i="2" s="1"/>
  <c r="U302" i="2"/>
  <c r="AF302" i="2" s="1"/>
  <c r="U297" i="2"/>
  <c r="AF297" i="2" s="1"/>
  <c r="W330" i="2"/>
  <c r="X330" i="2" s="1"/>
  <c r="W282" i="2"/>
  <c r="X282" i="2" s="1"/>
  <c r="X394" i="2"/>
  <c r="W432" i="2"/>
  <c r="X432" i="2" s="1"/>
  <c r="U432" i="2"/>
  <c r="AF432" i="2" s="1"/>
  <c r="W242" i="2"/>
  <c r="X242" i="2" s="1"/>
  <c r="W379" i="2"/>
  <c r="X379" i="2" s="1"/>
  <c r="W182" i="2"/>
  <c r="X182" i="2" s="1"/>
  <c r="X414" i="2"/>
  <c r="W397" i="2"/>
  <c r="X397" i="2" s="1"/>
  <c r="X166" i="2"/>
  <c r="W295" i="2"/>
  <c r="X295" i="2" s="1"/>
  <c r="U407" i="2"/>
  <c r="AF407" i="2" s="1"/>
  <c r="W322" i="2"/>
  <c r="X322" i="2" s="1"/>
  <c r="W371" i="2"/>
  <c r="X371" i="2" s="1"/>
  <c r="U11" i="2"/>
  <c r="AF11" i="2" s="1"/>
  <c r="W313" i="2"/>
  <c r="X313" i="2" s="1"/>
  <c r="W185" i="2"/>
  <c r="X185" i="2" s="1"/>
  <c r="W243" i="2"/>
  <c r="X243" i="2" s="1"/>
  <c r="W217" i="2"/>
  <c r="X217" i="2" s="1"/>
  <c r="U426" i="2"/>
  <c r="AF426" i="2" s="1"/>
  <c r="U425" i="2"/>
  <c r="AF425" i="2" s="1"/>
  <c r="U385" i="2"/>
  <c r="AF385" i="2" s="1"/>
  <c r="U414" i="2"/>
  <c r="AF414" i="2" s="1"/>
  <c r="W297" i="2"/>
  <c r="X297" i="2" s="1"/>
  <c r="W266" i="2"/>
  <c r="X266" i="2" s="1"/>
  <c r="U417" i="2"/>
  <c r="AF417" i="2" s="1"/>
  <c r="W382" i="2"/>
  <c r="X382" i="2" s="1"/>
  <c r="U227" i="2"/>
  <c r="AF227" i="2" s="1"/>
  <c r="W238" i="2"/>
  <c r="X238" i="2" s="1"/>
  <c r="W423" i="2"/>
  <c r="X423" i="2" s="1"/>
  <c r="W343" i="2"/>
  <c r="X343" i="2" s="1"/>
  <c r="U375" i="2"/>
  <c r="AF375" i="2" s="1"/>
  <c r="W401" i="2"/>
  <c r="X401" i="2" s="1"/>
  <c r="W329" i="2"/>
  <c r="X329" i="2" s="1"/>
  <c r="U198" i="2"/>
  <c r="AF198" i="2" s="1"/>
  <c r="W298" i="2"/>
  <c r="X298" i="2" s="1"/>
  <c r="U421" i="2"/>
  <c r="AF421" i="2" s="1"/>
  <c r="U215" i="2"/>
  <c r="AF215" i="2" s="1"/>
  <c r="W389" i="2"/>
  <c r="X389" i="2" s="1"/>
  <c r="U314" i="2"/>
  <c r="AF314" i="2" s="1"/>
  <c r="U387" i="2"/>
  <c r="AF387" i="2" s="1"/>
  <c r="U427" i="2"/>
  <c r="AF427" i="2" s="1"/>
  <c r="U447" i="2"/>
  <c r="AF447" i="2" s="1"/>
  <c r="U186" i="2"/>
  <c r="AF186" i="2" s="1"/>
  <c r="W374" i="2"/>
  <c r="X374" i="2" s="1"/>
  <c r="U265" i="2"/>
  <c r="AF265" i="2" s="1"/>
  <c r="W167" i="2"/>
  <c r="X167" i="2" s="1"/>
  <c r="U250" i="2"/>
  <c r="AF250" i="2" s="1"/>
  <c r="W227" i="2"/>
  <c r="X227" i="2" s="1"/>
  <c r="U170" i="2"/>
  <c r="AF170" i="2" s="1"/>
  <c r="W370" i="2"/>
  <c r="X370" i="2" s="1"/>
  <c r="U272" i="2"/>
  <c r="AF272" i="2" s="1"/>
  <c r="U274" i="2"/>
  <c r="AF274" i="2" s="1"/>
  <c r="W430" i="2"/>
  <c r="X430" i="2" s="1"/>
  <c r="W279" i="2"/>
  <c r="X279" i="2" s="1"/>
  <c r="W326" i="2"/>
  <c r="X326" i="2" s="1"/>
  <c r="U174" i="2"/>
  <c r="AF174" i="2" s="1"/>
  <c r="U201" i="2"/>
  <c r="AF201" i="2" s="1"/>
  <c r="W164" i="2"/>
  <c r="X164" i="2" s="1"/>
  <c r="U355" i="2"/>
  <c r="AF355" i="2" s="1"/>
  <c r="U278" i="2"/>
  <c r="AF278" i="2" s="1"/>
  <c r="U162" i="2"/>
  <c r="AF162" i="2" s="1"/>
  <c r="U217" i="2"/>
  <c r="AF217" i="2" s="1"/>
  <c r="W383" i="2"/>
  <c r="X383" i="2" s="1"/>
  <c r="U282" i="2"/>
  <c r="AF282" i="2" s="1"/>
  <c r="W417" i="2"/>
  <c r="X417" i="2" s="1"/>
  <c r="U233" i="2"/>
  <c r="AF233" i="2" s="1"/>
  <c r="U169" i="2"/>
  <c r="AF169" i="2" s="1"/>
  <c r="U288" i="2"/>
  <c r="AF288" i="2" s="1"/>
  <c r="W288" i="2"/>
  <c r="X288" i="2" s="1"/>
  <c r="U276" i="2"/>
  <c r="AF276" i="2" s="1"/>
  <c r="W276" i="2"/>
  <c r="X276" i="2" s="1"/>
  <c r="U441" i="2"/>
  <c r="AF441" i="2" s="1"/>
  <c r="W441" i="2"/>
  <c r="X441" i="2" s="1"/>
  <c r="U323" i="2"/>
  <c r="AF323" i="2" s="1"/>
  <c r="W323" i="2"/>
  <c r="X323" i="2" s="1"/>
  <c r="U358" i="2"/>
  <c r="AF358" i="2" s="1"/>
  <c r="W358" i="2"/>
  <c r="X358" i="2" s="1"/>
  <c r="W302" i="2"/>
  <c r="X302" i="2" s="1"/>
  <c r="U97" i="2"/>
  <c r="AF97" i="2" s="1"/>
  <c r="U332" i="2"/>
  <c r="AF332" i="2" s="1"/>
  <c r="W332" i="2"/>
  <c r="X332" i="2" s="1"/>
  <c r="U335" i="2"/>
  <c r="AF335" i="2" s="1"/>
  <c r="W335" i="2"/>
  <c r="X335" i="2" s="1"/>
  <c r="U429" i="2"/>
  <c r="AF429" i="2" s="1"/>
  <c r="W429" i="2"/>
  <c r="X429" i="2" s="1"/>
  <c r="U403" i="2"/>
  <c r="AF403" i="2" s="1"/>
  <c r="U389" i="2"/>
  <c r="AF389" i="2" s="1"/>
  <c r="W440" i="2"/>
  <c r="X440" i="2" s="1"/>
  <c r="W419" i="2"/>
  <c r="X419" i="2" s="1"/>
  <c r="W375" i="2"/>
  <c r="X375" i="2" s="1"/>
  <c r="U343" i="2"/>
  <c r="AF343" i="2" s="1"/>
  <c r="U326" i="2"/>
  <c r="AF326" i="2" s="1"/>
  <c r="U236" i="2"/>
  <c r="AF236" i="2" s="1"/>
  <c r="W236" i="2"/>
  <c r="X236" i="2" s="1"/>
  <c r="U401" i="2"/>
  <c r="AF401" i="2" s="1"/>
  <c r="U304" i="2"/>
  <c r="AF304" i="2" s="1"/>
  <c r="W304" i="2"/>
  <c r="X304" i="2" s="1"/>
  <c r="U329" i="2"/>
  <c r="AF329" i="2" s="1"/>
  <c r="U322" i="2"/>
  <c r="AF322" i="2" s="1"/>
  <c r="U287" i="2"/>
  <c r="AF287" i="2" s="1"/>
  <c r="W287" i="2"/>
  <c r="X287" i="2" s="1"/>
  <c r="U371" i="2"/>
  <c r="AF371" i="2" s="1"/>
  <c r="U445" i="2"/>
  <c r="AF445" i="2" s="1"/>
  <c r="W445" i="2"/>
  <c r="X445" i="2" s="1"/>
  <c r="U283" i="2"/>
  <c r="AF283" i="2" s="1"/>
  <c r="U313" i="2"/>
  <c r="AF313" i="2" s="1"/>
  <c r="U185" i="2"/>
  <c r="AF185" i="2" s="1"/>
  <c r="W174" i="2"/>
  <c r="X174" i="2" s="1"/>
  <c r="U365" i="2"/>
  <c r="AF365" i="2" s="1"/>
  <c r="W365" i="2"/>
  <c r="X365" i="2" s="1"/>
  <c r="U243" i="2"/>
  <c r="AF243" i="2" s="1"/>
  <c r="U298" i="2"/>
  <c r="AF298" i="2" s="1"/>
  <c r="U300" i="2"/>
  <c r="AF300" i="2" s="1"/>
  <c r="W300" i="2"/>
  <c r="X300" i="2" s="1"/>
  <c r="U340" i="2"/>
  <c r="AF340" i="2" s="1"/>
  <c r="W340" i="2"/>
  <c r="X340" i="2" s="1"/>
  <c r="U437" i="2"/>
  <c r="AF437" i="2" s="1"/>
  <c r="W437" i="2"/>
  <c r="X437" i="2" s="1"/>
  <c r="U422" i="2"/>
  <c r="AF422" i="2" s="1"/>
  <c r="W422" i="2"/>
  <c r="X422" i="2" s="1"/>
  <c r="U328" i="2"/>
  <c r="AF328" i="2" s="1"/>
  <c r="W328" i="2"/>
  <c r="X328" i="2" s="1"/>
  <c r="W342" i="2"/>
  <c r="X342" i="2" s="1"/>
  <c r="W426" i="2"/>
  <c r="X426" i="2" s="1"/>
  <c r="U370" i="2"/>
  <c r="AF370" i="2" s="1"/>
  <c r="U446" i="2"/>
  <c r="AF446" i="2" s="1"/>
  <c r="U413" i="2"/>
  <c r="AF413" i="2" s="1"/>
  <c r="W274" i="2"/>
  <c r="X274" i="2" s="1"/>
  <c r="W433" i="2"/>
  <c r="X433" i="2" s="1"/>
  <c r="U433" i="2"/>
  <c r="AF433" i="2" s="1"/>
  <c r="U259" i="2"/>
  <c r="AF259" i="2" s="1"/>
  <c r="W380" i="2"/>
  <c r="X380" i="2" s="1"/>
  <c r="U380" i="2"/>
  <c r="AF380" i="2" s="1"/>
  <c r="U348" i="2"/>
  <c r="AF348" i="2" s="1"/>
  <c r="W348" i="2"/>
  <c r="X348" i="2" s="1"/>
  <c r="W362" i="2"/>
  <c r="X362" i="2" s="1"/>
  <c r="U362" i="2"/>
  <c r="AF362" i="2" s="1"/>
  <c r="U454" i="2"/>
  <c r="AF454" i="2" s="1"/>
  <c r="W454" i="2"/>
  <c r="X454" i="2" s="1"/>
  <c r="U212" i="2"/>
  <c r="AF212" i="2" s="1"/>
  <c r="W212" i="2"/>
  <c r="X212" i="2" s="1"/>
  <c r="U200" i="2"/>
  <c r="AF200" i="2" s="1"/>
  <c r="W200" i="2"/>
  <c r="X200" i="2" s="1"/>
  <c r="U195" i="2"/>
  <c r="AF195" i="2" s="1"/>
  <c r="W195" i="2"/>
  <c r="X195" i="2" s="1"/>
  <c r="W425" i="2"/>
  <c r="X425" i="2" s="1"/>
  <c r="W201" i="2"/>
  <c r="X201" i="2" s="1"/>
  <c r="W198" i="2"/>
  <c r="X198" i="2" s="1"/>
  <c r="U435" i="2"/>
  <c r="AF435" i="2" s="1"/>
  <c r="W435" i="2"/>
  <c r="X435" i="2" s="1"/>
  <c r="W421" i="2"/>
  <c r="X421" i="2" s="1"/>
  <c r="W186" i="2"/>
  <c r="X186" i="2" s="1"/>
  <c r="U443" i="2"/>
  <c r="AF443" i="2" s="1"/>
  <c r="W443" i="2"/>
  <c r="X443" i="2" s="1"/>
  <c r="U364" i="2"/>
  <c r="AF364" i="2" s="1"/>
  <c r="W364" i="2"/>
  <c r="X364" i="2" s="1"/>
  <c r="U249" i="2"/>
  <c r="AF249" i="2" s="1"/>
  <c r="W249" i="2"/>
  <c r="X249" i="2" s="1"/>
  <c r="U349" i="2"/>
  <c r="AF349" i="2" s="1"/>
  <c r="W349" i="2"/>
  <c r="X349" i="2" s="1"/>
  <c r="U176" i="2"/>
  <c r="AF176" i="2" s="1"/>
  <c r="W176" i="2"/>
  <c r="X176" i="2" s="1"/>
  <c r="W250" i="2"/>
  <c r="X250" i="2" s="1"/>
  <c r="W194" i="2"/>
  <c r="X194" i="2" s="1"/>
  <c r="W361" i="2"/>
  <c r="X361" i="2" s="1"/>
  <c r="W407" i="2"/>
  <c r="X407" i="2" s="1"/>
  <c r="U383" i="2"/>
  <c r="AF383" i="2" s="1"/>
  <c r="W281" i="2"/>
  <c r="X281" i="2" s="1"/>
  <c r="U207" i="2"/>
  <c r="AF207" i="2" s="1"/>
  <c r="W207" i="2"/>
  <c r="X207" i="2" s="1"/>
  <c r="U214" i="2"/>
  <c r="AF214" i="2" s="1"/>
  <c r="U374" i="2"/>
  <c r="AF374" i="2" s="1"/>
  <c r="U264" i="2"/>
  <c r="AF264" i="2" s="1"/>
  <c r="W264" i="2"/>
  <c r="X264" i="2" s="1"/>
  <c r="U412" i="2"/>
  <c r="AF412" i="2" s="1"/>
  <c r="W412" i="2"/>
  <c r="X412" i="2" s="1"/>
  <c r="U290" i="2"/>
  <c r="AF290" i="2" s="1"/>
  <c r="W387" i="2"/>
  <c r="X387" i="2" s="1"/>
  <c r="W170" i="2"/>
  <c r="X170" i="2" s="1"/>
  <c r="U199" i="2"/>
  <c r="AF199" i="2" s="1"/>
  <c r="W373" i="2"/>
  <c r="X373" i="2" s="1"/>
  <c r="U373" i="2"/>
  <c r="AF373" i="2" s="1"/>
  <c r="U240" i="2"/>
  <c r="AF240" i="2" s="1"/>
  <c r="W240" i="2"/>
  <c r="X240" i="2" s="1"/>
  <c r="U390" i="2"/>
  <c r="AF390" i="2" s="1"/>
  <c r="W390" i="2"/>
  <c r="X390" i="2" s="1"/>
  <c r="U188" i="2"/>
  <c r="AF188" i="2" s="1"/>
  <c r="W188" i="2"/>
  <c r="X188" i="2" s="1"/>
  <c r="U260" i="2"/>
  <c r="AF260" i="2" s="1"/>
  <c r="W260" i="2"/>
  <c r="X260" i="2" s="1"/>
  <c r="U167" i="2"/>
  <c r="AF167" i="2" s="1"/>
  <c r="W396" i="2"/>
  <c r="X396" i="2" s="1"/>
  <c r="U396" i="2"/>
  <c r="AF396" i="2" s="1"/>
  <c r="W447" i="2"/>
  <c r="X447" i="2" s="1"/>
  <c r="W11" i="2"/>
  <c r="X11" i="2" s="1"/>
  <c r="W278" i="2"/>
  <c r="X278" i="2" s="1"/>
  <c r="W290" i="2"/>
  <c r="X290" i="2" s="1"/>
  <c r="W438" i="2"/>
  <c r="X438" i="2" s="1"/>
  <c r="U438" i="2"/>
  <c r="AF438" i="2" s="1"/>
  <c r="X272" i="2"/>
  <c r="W327" i="2"/>
  <c r="X327" i="2" s="1"/>
  <c r="U406" i="2"/>
  <c r="AF406" i="2" s="1"/>
  <c r="W406" i="2"/>
  <c r="X406" i="2" s="1"/>
  <c r="W219" i="2"/>
  <c r="X219" i="2" s="1"/>
  <c r="W413" i="2"/>
  <c r="X413" i="2" s="1"/>
  <c r="W465" i="2"/>
  <c r="X465" i="2" s="1"/>
  <c r="U465" i="2"/>
  <c r="AF465" i="2" s="1"/>
  <c r="U513" i="2"/>
  <c r="AF513" i="2" s="1"/>
  <c r="W513" i="2"/>
  <c r="X513" i="2" s="1"/>
  <c r="W560" i="2"/>
  <c r="U560" i="2"/>
  <c r="AF560" i="2" s="1"/>
  <c r="W592" i="2"/>
  <c r="X592" i="2" s="1"/>
  <c r="U592" i="2"/>
  <c r="AF592" i="2" s="1"/>
  <c r="U13" i="2"/>
  <c r="AF13" i="2" s="1"/>
  <c r="W13" i="2"/>
  <c r="X13" i="2" s="1"/>
  <c r="W125" i="2"/>
  <c r="X125" i="2" s="1"/>
  <c r="U125" i="2"/>
  <c r="AF125" i="2" s="1"/>
  <c r="U474" i="2"/>
  <c r="AF474" i="2" s="1"/>
  <c r="W474" i="2"/>
  <c r="X474" i="2" s="1"/>
  <c r="U553" i="2"/>
  <c r="AF553" i="2" s="1"/>
  <c r="W553" i="2"/>
  <c r="X553" i="2" s="1"/>
  <c r="U581" i="2"/>
  <c r="AF581" i="2" s="1"/>
  <c r="W581" i="2"/>
  <c r="X581" i="2" s="1"/>
  <c r="U601" i="2"/>
  <c r="AF601" i="2" s="1"/>
  <c r="W601" i="2"/>
  <c r="X601" i="2" s="1"/>
  <c r="W30" i="2"/>
  <c r="X30" i="2" s="1"/>
  <c r="U30" i="2"/>
  <c r="AF30" i="2" s="1"/>
  <c r="W50" i="2"/>
  <c r="X50" i="2" s="1"/>
  <c r="U50" i="2"/>
  <c r="AF50" i="2" s="1"/>
  <c r="W78" i="2"/>
  <c r="X78" i="2" s="1"/>
  <c r="U78" i="2"/>
  <c r="AF78" i="2" s="1"/>
  <c r="U98" i="2"/>
  <c r="AF98" i="2" s="1"/>
  <c r="W98" i="2"/>
  <c r="X98" i="2" s="1"/>
  <c r="W126" i="2"/>
  <c r="X126" i="2" s="1"/>
  <c r="U126" i="2"/>
  <c r="AF126" i="2" s="1"/>
  <c r="W146" i="2"/>
  <c r="X146" i="2" s="1"/>
  <c r="U146" i="2"/>
  <c r="AF146" i="2" s="1"/>
  <c r="W483" i="2"/>
  <c r="X483" i="2" s="1"/>
  <c r="U483" i="2"/>
  <c r="AF483" i="2" s="1"/>
  <c r="U531" i="2"/>
  <c r="AF531" i="2" s="1"/>
  <c r="W531" i="2"/>
  <c r="X531" i="2" s="1"/>
  <c r="U578" i="2"/>
  <c r="AF578" i="2" s="1"/>
  <c r="W578" i="2"/>
  <c r="X578" i="2" s="1"/>
  <c r="U27" i="2"/>
  <c r="AF27" i="2" s="1"/>
  <c r="W27" i="2"/>
  <c r="X27" i="2" s="1"/>
  <c r="W75" i="2"/>
  <c r="X75" i="2" s="1"/>
  <c r="U75" i="2"/>
  <c r="AF75" i="2" s="1"/>
  <c r="W103" i="2"/>
  <c r="X103" i="2" s="1"/>
  <c r="U103" i="2"/>
  <c r="AF103" i="2" s="1"/>
  <c r="U496" i="2"/>
  <c r="AF496" i="2" s="1"/>
  <c r="W496" i="2"/>
  <c r="X496" i="2" s="1"/>
  <c r="U512" i="2"/>
  <c r="AF512" i="2" s="1"/>
  <c r="W512" i="2"/>
  <c r="X512" i="2" s="1"/>
  <c r="U40" i="2"/>
  <c r="AF40" i="2" s="1"/>
  <c r="W40" i="2"/>
  <c r="X40" i="2" s="1"/>
  <c r="W104" i="2"/>
  <c r="X104" i="2" s="1"/>
  <c r="U104" i="2"/>
  <c r="AF104" i="2" s="1"/>
  <c r="U457" i="2"/>
  <c r="AF457" i="2" s="1"/>
  <c r="W457" i="2"/>
  <c r="X457" i="2" s="1"/>
  <c r="U469" i="2"/>
  <c r="AF469" i="2" s="1"/>
  <c r="W469" i="2"/>
  <c r="X469" i="2" s="1"/>
  <c r="U485" i="2"/>
  <c r="AF485" i="2" s="1"/>
  <c r="W485" i="2"/>
  <c r="X485" i="2" s="1"/>
  <c r="U501" i="2"/>
  <c r="AF501" i="2" s="1"/>
  <c r="W501" i="2"/>
  <c r="X501" i="2" s="1"/>
  <c r="U517" i="2"/>
  <c r="AF517" i="2" s="1"/>
  <c r="W517" i="2"/>
  <c r="X517" i="2" s="1"/>
  <c r="U533" i="2"/>
  <c r="AF533" i="2" s="1"/>
  <c r="W533" i="2"/>
  <c r="X533" i="2" s="1"/>
  <c r="W548" i="2"/>
  <c r="X548" i="2" s="1"/>
  <c r="U548" i="2"/>
  <c r="AF548" i="2" s="1"/>
  <c r="W564" i="2"/>
  <c r="X564" i="2" s="1"/>
  <c r="U564" i="2"/>
  <c r="AF564" i="2" s="1"/>
  <c r="U580" i="2"/>
  <c r="AF580" i="2" s="1"/>
  <c r="W580" i="2"/>
  <c r="X580" i="2" s="1"/>
  <c r="U584" i="2"/>
  <c r="AF584" i="2" s="1"/>
  <c r="W584" i="2"/>
  <c r="X584" i="2" s="1"/>
  <c r="U600" i="2"/>
  <c r="AF600" i="2" s="1"/>
  <c r="W600" i="2"/>
  <c r="X600" i="2" s="1"/>
  <c r="W29" i="2"/>
  <c r="X29" i="2" s="1"/>
  <c r="U29" i="2"/>
  <c r="AF29" i="2" s="1"/>
  <c r="W33" i="2"/>
  <c r="X33" i="2" s="1"/>
  <c r="U33" i="2"/>
  <c r="AF33" i="2" s="1"/>
  <c r="U49" i="2"/>
  <c r="AF49" i="2" s="1"/>
  <c r="W49" i="2"/>
  <c r="X49" i="2" s="1"/>
  <c r="W81" i="2"/>
  <c r="X81" i="2" s="1"/>
  <c r="U81" i="2"/>
  <c r="AF81" i="2" s="1"/>
  <c r="W97" i="2"/>
  <c r="X97" i="2" s="1"/>
  <c r="W113" i="2"/>
  <c r="X113" i="2" s="1"/>
  <c r="U113" i="2"/>
  <c r="AF113" i="2" s="1"/>
  <c r="U117" i="2"/>
  <c r="AF117" i="2" s="1"/>
  <c r="W117" i="2"/>
  <c r="X117" i="2" s="1"/>
  <c r="U145" i="2"/>
  <c r="AF145" i="2" s="1"/>
  <c r="W145" i="2"/>
  <c r="X145" i="2" s="1"/>
  <c r="U462" i="2"/>
  <c r="AF462" i="2" s="1"/>
  <c r="W462" i="2"/>
  <c r="X462" i="2" s="1"/>
  <c r="W478" i="2"/>
  <c r="X478" i="2" s="1"/>
  <c r="U478" i="2"/>
  <c r="AF478" i="2" s="1"/>
  <c r="W494" i="2"/>
  <c r="X494" i="2" s="1"/>
  <c r="U494" i="2"/>
  <c r="AF494" i="2" s="1"/>
  <c r="W510" i="2"/>
  <c r="X510" i="2" s="1"/>
  <c r="U510" i="2"/>
  <c r="AF510" i="2" s="1"/>
  <c r="W526" i="2"/>
  <c r="X526" i="2" s="1"/>
  <c r="U526" i="2"/>
  <c r="AF526" i="2" s="1"/>
  <c r="U172" i="2"/>
  <c r="AF172" i="2" s="1"/>
  <c r="W172" i="2"/>
  <c r="X172" i="2" s="1"/>
  <c r="U557" i="2"/>
  <c r="AF557" i="2" s="1"/>
  <c r="W557" i="2"/>
  <c r="X557" i="2" s="1"/>
  <c r="U569" i="2"/>
  <c r="AF569" i="2" s="1"/>
  <c r="W569" i="2"/>
  <c r="X569" i="2" s="1"/>
  <c r="U585" i="2"/>
  <c r="AF585" i="2" s="1"/>
  <c r="W585" i="2"/>
  <c r="X585" i="2" s="1"/>
  <c r="U589" i="2"/>
  <c r="AF589" i="2" s="1"/>
  <c r="W589" i="2"/>
  <c r="X589" i="2" s="1"/>
  <c r="U18" i="2"/>
  <c r="AF18" i="2" s="1"/>
  <c r="W18" i="2"/>
  <c r="X18" i="2" s="1"/>
  <c r="W34" i="2"/>
  <c r="X34" i="2" s="1"/>
  <c r="U34" i="2"/>
  <c r="AF34" i="2" s="1"/>
  <c r="W38" i="2"/>
  <c r="X38" i="2" s="1"/>
  <c r="U38" i="2"/>
  <c r="AF38" i="2" s="1"/>
  <c r="W66" i="2"/>
  <c r="X66" i="2" s="1"/>
  <c r="U66" i="2"/>
  <c r="AF66" i="2" s="1"/>
  <c r="U82" i="2"/>
  <c r="AF82" i="2" s="1"/>
  <c r="W82" i="2"/>
  <c r="X82" i="2" s="1"/>
  <c r="W106" i="2"/>
  <c r="X106" i="2" s="1"/>
  <c r="U106" i="2"/>
  <c r="AF106" i="2" s="1"/>
  <c r="U114" i="2"/>
  <c r="AF114" i="2" s="1"/>
  <c r="W114" i="2"/>
  <c r="X114" i="2" s="1"/>
  <c r="W118" i="2"/>
  <c r="X118" i="2" s="1"/>
  <c r="U118" i="2"/>
  <c r="AF118" i="2" s="1"/>
  <c r="W134" i="2"/>
  <c r="X134" i="2" s="1"/>
  <c r="U134" i="2"/>
  <c r="AF134" i="2" s="1"/>
  <c r="W154" i="2"/>
  <c r="X154" i="2" s="1"/>
  <c r="U154" i="2"/>
  <c r="AF154" i="2" s="1"/>
  <c r="U471" i="2"/>
  <c r="AF471" i="2" s="1"/>
  <c r="W471" i="2"/>
  <c r="X471" i="2" s="1"/>
  <c r="W487" i="2"/>
  <c r="X487" i="2" s="1"/>
  <c r="U487" i="2"/>
  <c r="AF487" i="2" s="1"/>
  <c r="U503" i="2"/>
  <c r="AF503" i="2" s="1"/>
  <c r="W503" i="2"/>
  <c r="X503" i="2" s="1"/>
  <c r="U519" i="2"/>
  <c r="AF519" i="2" s="1"/>
  <c r="W519" i="2"/>
  <c r="X519" i="2" s="1"/>
  <c r="U535" i="2"/>
  <c r="AF535" i="2" s="1"/>
  <c r="W535" i="2"/>
  <c r="X535" i="2" s="1"/>
  <c r="U546" i="2"/>
  <c r="AF546" i="2" s="1"/>
  <c r="W546" i="2"/>
  <c r="X546" i="2" s="1"/>
  <c r="U550" i="2"/>
  <c r="AF550" i="2" s="1"/>
  <c r="W550" i="2"/>
  <c r="X550" i="2" s="1"/>
  <c r="W566" i="2"/>
  <c r="X566" i="2" s="1"/>
  <c r="U566" i="2"/>
  <c r="AF566" i="2" s="1"/>
  <c r="W582" i="2"/>
  <c r="X582" i="2" s="1"/>
  <c r="U582" i="2"/>
  <c r="AF582" i="2" s="1"/>
  <c r="W610" i="2"/>
  <c r="X610" i="2" s="1"/>
  <c r="U610" i="2"/>
  <c r="AF610" i="2" s="1"/>
  <c r="W15" i="2"/>
  <c r="X15" i="2" s="1"/>
  <c r="U15" i="2"/>
  <c r="AF15" i="2" s="1"/>
  <c r="W31" i="2"/>
  <c r="X31" i="2" s="1"/>
  <c r="U31" i="2"/>
  <c r="AF31" i="2" s="1"/>
  <c r="W59" i="2"/>
  <c r="X59" i="2" s="1"/>
  <c r="U59" i="2"/>
  <c r="AF59" i="2" s="1"/>
  <c r="W63" i="2"/>
  <c r="X63" i="2" s="1"/>
  <c r="U63" i="2"/>
  <c r="AF63" i="2" s="1"/>
  <c r="W79" i="2"/>
  <c r="X79" i="2" s="1"/>
  <c r="U79" i="2"/>
  <c r="AF79" i="2" s="1"/>
  <c r="W83" i="2"/>
  <c r="X83" i="2" s="1"/>
  <c r="U83" i="2"/>
  <c r="AF83" i="2" s="1"/>
  <c r="W91" i="2"/>
  <c r="X91" i="2" s="1"/>
  <c r="U91" i="2"/>
  <c r="AF91" i="2" s="1"/>
  <c r="W107" i="2"/>
  <c r="X107" i="2" s="1"/>
  <c r="U107" i="2"/>
  <c r="AF107" i="2" s="1"/>
  <c r="W111" i="2"/>
  <c r="X111" i="2" s="1"/>
  <c r="U111" i="2"/>
  <c r="AF111" i="2" s="1"/>
  <c r="U139" i="2"/>
  <c r="AF139" i="2" s="1"/>
  <c r="W139" i="2"/>
  <c r="X139" i="2" s="1"/>
  <c r="W155" i="2"/>
  <c r="X155" i="2" s="1"/>
  <c r="U155" i="2"/>
  <c r="AF155" i="2" s="1"/>
  <c r="W159" i="2"/>
  <c r="X159" i="2" s="1"/>
  <c r="U159" i="2"/>
  <c r="AF159" i="2" s="1"/>
  <c r="U468" i="2"/>
  <c r="AF468" i="2" s="1"/>
  <c r="W468" i="2"/>
  <c r="X468" i="2" s="1"/>
  <c r="U480" i="2"/>
  <c r="AF480" i="2" s="1"/>
  <c r="W480" i="2"/>
  <c r="X480" i="2" s="1"/>
  <c r="U484" i="2"/>
  <c r="AF484" i="2" s="1"/>
  <c r="W484" i="2"/>
  <c r="X484" i="2" s="1"/>
  <c r="U532" i="2"/>
  <c r="AF532" i="2" s="1"/>
  <c r="W532" i="2"/>
  <c r="X532" i="2" s="1"/>
  <c r="U547" i="2"/>
  <c r="AF547" i="2" s="1"/>
  <c r="W547" i="2"/>
  <c r="X547" i="2" s="1"/>
  <c r="U559" i="2"/>
  <c r="AF559" i="2" s="1"/>
  <c r="W559" i="2"/>
  <c r="X559" i="2" s="1"/>
  <c r="U575" i="2"/>
  <c r="AF575" i="2" s="1"/>
  <c r="W575" i="2"/>
  <c r="X575" i="2" s="1"/>
  <c r="W591" i="2"/>
  <c r="X591" i="2" s="1"/>
  <c r="U591" i="2"/>
  <c r="AF591" i="2" s="1"/>
  <c r="U595" i="2"/>
  <c r="AF595" i="2" s="1"/>
  <c r="W595" i="2"/>
  <c r="X595" i="2" s="1"/>
  <c r="U24" i="2"/>
  <c r="AF24" i="2" s="1"/>
  <c r="W24" i="2"/>
  <c r="X24" i="2" s="1"/>
  <c r="U44" i="2"/>
  <c r="AF44" i="2" s="1"/>
  <c r="W44" i="2"/>
  <c r="X44" i="2" s="1"/>
  <c r="W72" i="2"/>
  <c r="X72" i="2" s="1"/>
  <c r="U72" i="2"/>
  <c r="AF72" i="2" s="1"/>
  <c r="W92" i="2"/>
  <c r="X92" i="2" s="1"/>
  <c r="U92" i="2"/>
  <c r="AF92" i="2" s="1"/>
  <c r="W120" i="2"/>
  <c r="X120" i="2" s="1"/>
  <c r="U120" i="2"/>
  <c r="AF120" i="2" s="1"/>
  <c r="W140" i="2"/>
  <c r="X140" i="2" s="1"/>
  <c r="U140" i="2"/>
  <c r="AF140" i="2" s="1"/>
  <c r="W497" i="2"/>
  <c r="X497" i="2" s="1"/>
  <c r="U497" i="2"/>
  <c r="AF497" i="2" s="1"/>
  <c r="U45" i="2"/>
  <c r="AF45" i="2" s="1"/>
  <c r="W45" i="2"/>
  <c r="X45" i="2" s="1"/>
  <c r="W61" i="2"/>
  <c r="X61" i="2" s="1"/>
  <c r="U61" i="2"/>
  <c r="AF61" i="2" s="1"/>
  <c r="U89" i="2"/>
  <c r="AF89" i="2" s="1"/>
  <c r="W89" i="2"/>
  <c r="X89" i="2" s="1"/>
  <c r="U109" i="2"/>
  <c r="AF109" i="2" s="1"/>
  <c r="W109" i="2"/>
  <c r="X109" i="2" s="1"/>
  <c r="W129" i="2"/>
  <c r="X129" i="2" s="1"/>
  <c r="U129" i="2"/>
  <c r="AF129" i="2" s="1"/>
  <c r="U157" i="2"/>
  <c r="AF157" i="2" s="1"/>
  <c r="W157" i="2"/>
  <c r="X157" i="2" s="1"/>
  <c r="W490" i="2"/>
  <c r="X490" i="2" s="1"/>
  <c r="U490" i="2"/>
  <c r="AF490" i="2" s="1"/>
  <c r="U522" i="2"/>
  <c r="AF522" i="2" s="1"/>
  <c r="W522" i="2"/>
  <c r="X522" i="2" s="1"/>
  <c r="U565" i="2"/>
  <c r="AF565" i="2" s="1"/>
  <c r="W565" i="2"/>
  <c r="X565" i="2" s="1"/>
  <c r="W467" i="2"/>
  <c r="X467" i="2" s="1"/>
  <c r="U467" i="2"/>
  <c r="AF467" i="2" s="1"/>
  <c r="W515" i="2"/>
  <c r="X515" i="2" s="1"/>
  <c r="U515" i="2"/>
  <c r="AF515" i="2" s="1"/>
  <c r="W542" i="2"/>
  <c r="X542" i="2" s="1"/>
  <c r="U542" i="2"/>
  <c r="AF542" i="2" s="1"/>
  <c r="U562" i="2"/>
  <c r="AF562" i="2" s="1"/>
  <c r="W562" i="2"/>
  <c r="X562" i="2" s="1"/>
  <c r="W508" i="2"/>
  <c r="X508" i="2" s="1"/>
  <c r="U508" i="2"/>
  <c r="AF508" i="2" s="1"/>
  <c r="U528" i="2"/>
  <c r="AF528" i="2" s="1"/>
  <c r="W528" i="2"/>
  <c r="X528" i="2" s="1"/>
  <c r="W587" i="2"/>
  <c r="X587" i="2" s="1"/>
  <c r="U587" i="2"/>
  <c r="AF587" i="2" s="1"/>
  <c r="U607" i="2"/>
  <c r="AF607" i="2" s="1"/>
  <c r="W607" i="2"/>
  <c r="X607" i="2" s="1"/>
  <c r="W36" i="2"/>
  <c r="X36" i="2" s="1"/>
  <c r="U36" i="2"/>
  <c r="AF36" i="2" s="1"/>
  <c r="W56" i="2"/>
  <c r="X56" i="2" s="1"/>
  <c r="U56" i="2"/>
  <c r="AF56" i="2" s="1"/>
  <c r="U84" i="2"/>
  <c r="AF84" i="2" s="1"/>
  <c r="W84" i="2"/>
  <c r="X84" i="2" s="1"/>
  <c r="U132" i="2"/>
  <c r="AF132" i="2" s="1"/>
  <c r="W132" i="2"/>
  <c r="X132" i="2" s="1"/>
  <c r="U461" i="2"/>
  <c r="AF461" i="2" s="1"/>
  <c r="W461" i="2"/>
  <c r="X461" i="2" s="1"/>
  <c r="U477" i="2"/>
  <c r="AF477" i="2" s="1"/>
  <c r="W477" i="2"/>
  <c r="X477" i="2" s="1"/>
  <c r="W493" i="2"/>
  <c r="X493" i="2" s="1"/>
  <c r="U493" i="2"/>
  <c r="AF493" i="2" s="1"/>
  <c r="W509" i="2"/>
  <c r="X509" i="2" s="1"/>
  <c r="U509" i="2"/>
  <c r="AF509" i="2" s="1"/>
  <c r="W525" i="2"/>
  <c r="X525" i="2" s="1"/>
  <c r="U525" i="2"/>
  <c r="AF525" i="2" s="1"/>
  <c r="W541" i="2"/>
  <c r="X541" i="2" s="1"/>
  <c r="U541" i="2"/>
  <c r="AF541" i="2" s="1"/>
  <c r="U544" i="2"/>
  <c r="AF544" i="2" s="1"/>
  <c r="W544" i="2"/>
  <c r="X544" i="2" s="1"/>
  <c r="U556" i="2"/>
  <c r="AF556" i="2" s="1"/>
  <c r="W556" i="2"/>
  <c r="X556" i="2" s="1"/>
  <c r="U576" i="2"/>
  <c r="AF576" i="2" s="1"/>
  <c r="W576" i="2"/>
  <c r="X576" i="2" s="1"/>
  <c r="W604" i="2"/>
  <c r="X604" i="2" s="1"/>
  <c r="U604" i="2"/>
  <c r="AF604" i="2" s="1"/>
  <c r="U608" i="2"/>
  <c r="AF608" i="2" s="1"/>
  <c r="W608" i="2"/>
  <c r="X608" i="2" s="1"/>
  <c r="W25" i="2"/>
  <c r="X25" i="2" s="1"/>
  <c r="U25" i="2"/>
  <c r="AF25" i="2" s="1"/>
  <c r="W41" i="2"/>
  <c r="X41" i="2" s="1"/>
  <c r="U41" i="2"/>
  <c r="AF41" i="2" s="1"/>
  <c r="W53" i="2"/>
  <c r="X53" i="2" s="1"/>
  <c r="U53" i="2"/>
  <c r="AF53" i="2" s="1"/>
  <c r="W57" i="2"/>
  <c r="X57" i="2" s="1"/>
  <c r="U57" i="2"/>
  <c r="AF57" i="2" s="1"/>
  <c r="W73" i="2"/>
  <c r="X73" i="2" s="1"/>
  <c r="U73" i="2"/>
  <c r="AF73" i="2" s="1"/>
  <c r="W77" i="2"/>
  <c r="X77" i="2" s="1"/>
  <c r="U77" i="2"/>
  <c r="AF77" i="2" s="1"/>
  <c r="W137" i="2"/>
  <c r="X137" i="2" s="1"/>
  <c r="U137" i="2"/>
  <c r="AF137" i="2" s="1"/>
  <c r="W141" i="2"/>
  <c r="X141" i="2" s="1"/>
  <c r="U141" i="2"/>
  <c r="AF141" i="2" s="1"/>
  <c r="W470" i="2"/>
  <c r="X470" i="2" s="1"/>
  <c r="U470" i="2"/>
  <c r="AF470" i="2" s="1"/>
  <c r="U486" i="2"/>
  <c r="AF486" i="2" s="1"/>
  <c r="W486" i="2"/>
  <c r="X486" i="2" s="1"/>
  <c r="W502" i="2"/>
  <c r="X502" i="2" s="1"/>
  <c r="U502" i="2"/>
  <c r="AF502" i="2" s="1"/>
  <c r="W518" i="2"/>
  <c r="X518" i="2" s="1"/>
  <c r="U518" i="2"/>
  <c r="AF518" i="2" s="1"/>
  <c r="U534" i="2"/>
  <c r="AF534" i="2" s="1"/>
  <c r="W534" i="2"/>
  <c r="X534" i="2" s="1"/>
  <c r="U538" i="2"/>
  <c r="AF538" i="2" s="1"/>
  <c r="W538" i="2"/>
  <c r="X538" i="2" s="1"/>
  <c r="U545" i="2"/>
  <c r="AF545" i="2" s="1"/>
  <c r="W545" i="2"/>
  <c r="X545" i="2" s="1"/>
  <c r="U549" i="2"/>
  <c r="AF549" i="2" s="1"/>
  <c r="W549" i="2"/>
  <c r="X549" i="2" s="1"/>
  <c r="U593" i="2"/>
  <c r="AF593" i="2" s="1"/>
  <c r="W593" i="2"/>
  <c r="X593" i="2" s="1"/>
  <c r="U14" i="2"/>
  <c r="AF14" i="2" s="1"/>
  <c r="W14" i="2"/>
  <c r="X14" i="2" s="1"/>
  <c r="W42" i="2"/>
  <c r="X42" i="2" s="1"/>
  <c r="U42" i="2"/>
  <c r="AF42" i="2" s="1"/>
  <c r="W58" i="2"/>
  <c r="X58" i="2" s="1"/>
  <c r="U58" i="2"/>
  <c r="AF58" i="2" s="1"/>
  <c r="W62" i="2"/>
  <c r="X62" i="2" s="1"/>
  <c r="U62" i="2"/>
  <c r="AF62" i="2" s="1"/>
  <c r="U74" i="2"/>
  <c r="AF74" i="2" s="1"/>
  <c r="W74" i="2"/>
  <c r="X74" i="2" s="1"/>
  <c r="U90" i="2"/>
  <c r="AF90" i="2" s="1"/>
  <c r="W90" i="2"/>
  <c r="X90" i="2" s="1"/>
  <c r="W110" i="2"/>
  <c r="X110" i="2" s="1"/>
  <c r="U110" i="2"/>
  <c r="AF110" i="2" s="1"/>
  <c r="W138" i="2"/>
  <c r="X138" i="2" s="1"/>
  <c r="U138" i="2"/>
  <c r="AF138" i="2" s="1"/>
  <c r="W158" i="2"/>
  <c r="X158" i="2" s="1"/>
  <c r="U158" i="2"/>
  <c r="AF158" i="2" s="1"/>
  <c r="U463" i="2"/>
  <c r="AF463" i="2" s="1"/>
  <c r="W463" i="2"/>
  <c r="X463" i="2" s="1"/>
  <c r="W479" i="2"/>
  <c r="X479" i="2" s="1"/>
  <c r="U479" i="2"/>
  <c r="AF479" i="2" s="1"/>
  <c r="U495" i="2"/>
  <c r="AF495" i="2" s="1"/>
  <c r="W495" i="2"/>
  <c r="X495" i="2" s="1"/>
  <c r="U511" i="2"/>
  <c r="AF511" i="2" s="1"/>
  <c r="W511" i="2"/>
  <c r="X511" i="2" s="1"/>
  <c r="U527" i="2"/>
  <c r="AF527" i="2" s="1"/>
  <c r="W527" i="2"/>
  <c r="X527" i="2" s="1"/>
  <c r="U558" i="2"/>
  <c r="AF558" i="2" s="1"/>
  <c r="W558" i="2"/>
  <c r="X558" i="2" s="1"/>
  <c r="U590" i="2"/>
  <c r="AF590" i="2" s="1"/>
  <c r="W590" i="2"/>
  <c r="X590" i="2" s="1"/>
  <c r="W606" i="2"/>
  <c r="X606" i="2" s="1"/>
  <c r="U606" i="2"/>
  <c r="AF606" i="2" s="1"/>
  <c r="U35" i="2"/>
  <c r="AF35" i="2" s="1"/>
  <c r="W35" i="2"/>
  <c r="X35" i="2" s="1"/>
  <c r="W39" i="2"/>
  <c r="X39" i="2" s="1"/>
  <c r="U39" i="2"/>
  <c r="AF39" i="2" s="1"/>
  <c r="W55" i="2"/>
  <c r="X55" i="2" s="1"/>
  <c r="U55" i="2"/>
  <c r="AF55" i="2" s="1"/>
  <c r="U87" i="2"/>
  <c r="AF87" i="2" s="1"/>
  <c r="W87" i="2"/>
  <c r="X87" i="2" s="1"/>
  <c r="U115" i="2"/>
  <c r="AF115" i="2" s="1"/>
  <c r="W115" i="2"/>
  <c r="X115" i="2" s="1"/>
  <c r="U119" i="2"/>
  <c r="AF119" i="2" s="1"/>
  <c r="W119" i="2"/>
  <c r="X119" i="2" s="1"/>
  <c r="W131" i="2"/>
  <c r="X131" i="2" s="1"/>
  <c r="U131" i="2"/>
  <c r="AF131" i="2" s="1"/>
  <c r="W135" i="2"/>
  <c r="X135" i="2" s="1"/>
  <c r="U135" i="2"/>
  <c r="AF135" i="2" s="1"/>
  <c r="W460" i="2"/>
  <c r="X460" i="2" s="1"/>
  <c r="U460" i="2"/>
  <c r="AF460" i="2" s="1"/>
  <c r="U476" i="2"/>
  <c r="AF476" i="2" s="1"/>
  <c r="W476" i="2"/>
  <c r="X476" i="2" s="1"/>
  <c r="U492" i="2"/>
  <c r="AF492" i="2" s="1"/>
  <c r="W492" i="2"/>
  <c r="X492" i="2" s="1"/>
  <c r="U504" i="2"/>
  <c r="AF504" i="2" s="1"/>
  <c r="W504" i="2"/>
  <c r="X504" i="2" s="1"/>
  <c r="U520" i="2"/>
  <c r="AF520" i="2" s="1"/>
  <c r="W520" i="2"/>
  <c r="X520" i="2" s="1"/>
  <c r="W524" i="2"/>
  <c r="X524" i="2" s="1"/>
  <c r="U524" i="2"/>
  <c r="AF524" i="2" s="1"/>
  <c r="W540" i="2"/>
  <c r="X540" i="2" s="1"/>
  <c r="U540" i="2"/>
  <c r="AF540" i="2" s="1"/>
  <c r="U551" i="2"/>
  <c r="AF551" i="2" s="1"/>
  <c r="W551" i="2"/>
  <c r="X551" i="2" s="1"/>
  <c r="U555" i="2"/>
  <c r="AF555" i="2" s="1"/>
  <c r="W555" i="2"/>
  <c r="X555" i="2" s="1"/>
  <c r="U571" i="2"/>
  <c r="AF571" i="2" s="1"/>
  <c r="W571" i="2"/>
  <c r="X571" i="2" s="1"/>
  <c r="U599" i="2"/>
  <c r="AF599" i="2" s="1"/>
  <c r="W599" i="2"/>
  <c r="X599" i="2" s="1"/>
  <c r="W16" i="2"/>
  <c r="X16" i="2" s="1"/>
  <c r="U16" i="2"/>
  <c r="AF16" i="2" s="1"/>
  <c r="U20" i="2"/>
  <c r="AF20" i="2" s="1"/>
  <c r="W20" i="2"/>
  <c r="X20" i="2" s="1"/>
  <c r="W64" i="2"/>
  <c r="X64" i="2" s="1"/>
  <c r="U64" i="2"/>
  <c r="AF64" i="2" s="1"/>
  <c r="W68" i="2"/>
  <c r="X68" i="2" s="1"/>
  <c r="U68" i="2"/>
  <c r="AF68" i="2" s="1"/>
  <c r="U80" i="2"/>
  <c r="AF80" i="2" s="1"/>
  <c r="W80" i="2"/>
  <c r="X80" i="2" s="1"/>
  <c r="W88" i="2"/>
  <c r="X88" i="2" s="1"/>
  <c r="U88" i="2"/>
  <c r="AF88" i="2" s="1"/>
  <c r="U96" i="2"/>
  <c r="AF96" i="2" s="1"/>
  <c r="W96" i="2"/>
  <c r="X96" i="2" s="1"/>
  <c r="W116" i="2"/>
  <c r="X116" i="2" s="1"/>
  <c r="U116" i="2"/>
  <c r="AF116" i="2" s="1"/>
  <c r="W136" i="2"/>
  <c r="X136" i="2" s="1"/>
  <c r="U136" i="2"/>
  <c r="AF136" i="2" s="1"/>
  <c r="U144" i="2"/>
  <c r="AF144" i="2" s="1"/>
  <c r="W144" i="2"/>
  <c r="X144" i="2" s="1"/>
  <c r="U148" i="2"/>
  <c r="AF148" i="2" s="1"/>
  <c r="W148" i="2"/>
  <c r="X148" i="2" s="1"/>
  <c r="W481" i="2"/>
  <c r="X481" i="2" s="1"/>
  <c r="U481" i="2"/>
  <c r="AF481" i="2" s="1"/>
  <c r="U529" i="2"/>
  <c r="AF529" i="2" s="1"/>
  <c r="W529" i="2"/>
  <c r="X529" i="2" s="1"/>
  <c r="W596" i="2"/>
  <c r="X596" i="2" s="1"/>
  <c r="U596" i="2"/>
  <c r="AF596" i="2" s="1"/>
  <c r="W93" i="2"/>
  <c r="X93" i="2" s="1"/>
  <c r="U93" i="2"/>
  <c r="AF93" i="2" s="1"/>
  <c r="W458" i="2"/>
  <c r="X458" i="2" s="1"/>
  <c r="U458" i="2"/>
  <c r="AF458" i="2" s="1"/>
  <c r="U506" i="2"/>
  <c r="AF506" i="2" s="1"/>
  <c r="W506" i="2"/>
  <c r="X506" i="2" s="1"/>
  <c r="W597" i="2"/>
  <c r="X597" i="2" s="1"/>
  <c r="U597" i="2"/>
  <c r="AF597" i="2" s="1"/>
  <c r="W46" i="2"/>
  <c r="X46" i="2" s="1"/>
  <c r="U46" i="2"/>
  <c r="AF46" i="2" s="1"/>
  <c r="W130" i="2"/>
  <c r="X130" i="2" s="1"/>
  <c r="U130" i="2"/>
  <c r="AF130" i="2" s="1"/>
  <c r="W499" i="2"/>
  <c r="X499" i="2" s="1"/>
  <c r="U499" i="2"/>
  <c r="AF499" i="2" s="1"/>
  <c r="W574" i="2"/>
  <c r="X574" i="2" s="1"/>
  <c r="U574" i="2"/>
  <c r="AF574" i="2" s="1"/>
  <c r="U594" i="2"/>
  <c r="AF594" i="2" s="1"/>
  <c r="W594" i="2"/>
  <c r="X594" i="2" s="1"/>
  <c r="W23" i="2"/>
  <c r="X23" i="2" s="1"/>
  <c r="U23" i="2"/>
  <c r="AF23" i="2" s="1"/>
  <c r="W43" i="2"/>
  <c r="X43" i="2" s="1"/>
  <c r="U43" i="2"/>
  <c r="AF43" i="2" s="1"/>
  <c r="W71" i="2"/>
  <c r="X71" i="2" s="1"/>
  <c r="U71" i="2"/>
  <c r="AF71" i="2" s="1"/>
  <c r="W123" i="2"/>
  <c r="X123" i="2" s="1"/>
  <c r="U123" i="2"/>
  <c r="AF123" i="2" s="1"/>
  <c r="U151" i="2"/>
  <c r="AF151" i="2" s="1"/>
  <c r="W151" i="2"/>
  <c r="X151" i="2" s="1"/>
  <c r="U464" i="2"/>
  <c r="AF464" i="2" s="1"/>
  <c r="W464" i="2"/>
  <c r="X464" i="2" s="1"/>
  <c r="U543" i="2"/>
  <c r="AF543" i="2" s="1"/>
  <c r="W543" i="2"/>
  <c r="X543" i="2" s="1"/>
  <c r="U603" i="2"/>
  <c r="AF603" i="2" s="1"/>
  <c r="W603" i="2"/>
  <c r="X603" i="2" s="1"/>
  <c r="W52" i="2"/>
  <c r="X52" i="2" s="1"/>
  <c r="U52" i="2"/>
  <c r="AF52" i="2" s="1"/>
  <c r="W124" i="2"/>
  <c r="X124" i="2" s="1"/>
  <c r="U124" i="2"/>
  <c r="AF124" i="2" s="1"/>
  <c r="W152" i="2"/>
  <c r="X152" i="2" s="1"/>
  <c r="U152" i="2"/>
  <c r="AF152" i="2" s="1"/>
  <c r="U473" i="2"/>
  <c r="AF473" i="2" s="1"/>
  <c r="W473" i="2"/>
  <c r="X473" i="2" s="1"/>
  <c r="U489" i="2"/>
  <c r="AF489" i="2" s="1"/>
  <c r="W489" i="2"/>
  <c r="X489" i="2" s="1"/>
  <c r="U505" i="2"/>
  <c r="AF505" i="2" s="1"/>
  <c r="W505" i="2"/>
  <c r="X505" i="2" s="1"/>
  <c r="U521" i="2"/>
  <c r="AF521" i="2" s="1"/>
  <c r="W521" i="2"/>
  <c r="X521" i="2" s="1"/>
  <c r="U537" i="2"/>
  <c r="AF537" i="2" s="1"/>
  <c r="W537" i="2"/>
  <c r="X537" i="2" s="1"/>
  <c r="U552" i="2"/>
  <c r="AF552" i="2" s="1"/>
  <c r="W552" i="2"/>
  <c r="X552" i="2" s="1"/>
  <c r="U568" i="2"/>
  <c r="AF568" i="2" s="1"/>
  <c r="W568" i="2"/>
  <c r="X568" i="2" s="1"/>
  <c r="U572" i="2"/>
  <c r="AF572" i="2" s="1"/>
  <c r="W572" i="2"/>
  <c r="X572" i="2" s="1"/>
  <c r="U588" i="2"/>
  <c r="AF588" i="2" s="1"/>
  <c r="W588" i="2"/>
  <c r="X588" i="2" s="1"/>
  <c r="U17" i="2"/>
  <c r="AF17" i="2" s="1"/>
  <c r="W17" i="2"/>
  <c r="X17" i="2" s="1"/>
  <c r="W21" i="2"/>
  <c r="X21" i="2" s="1"/>
  <c r="U21" i="2"/>
  <c r="AF21" i="2" s="1"/>
  <c r="U37" i="2"/>
  <c r="AF37" i="2" s="1"/>
  <c r="W37" i="2"/>
  <c r="X37" i="2" s="1"/>
  <c r="W65" i="2"/>
  <c r="X65" i="2" s="1"/>
  <c r="U65" i="2"/>
  <c r="AF65" i="2" s="1"/>
  <c r="U69" i="2"/>
  <c r="AF69" i="2" s="1"/>
  <c r="W69" i="2"/>
  <c r="X69" i="2" s="1"/>
  <c r="W85" i="2"/>
  <c r="X85" i="2" s="1"/>
  <c r="U85" i="2"/>
  <c r="AF85" i="2" s="1"/>
  <c r="W101" i="2"/>
  <c r="X101" i="2" s="1"/>
  <c r="U101" i="2"/>
  <c r="AF101" i="2" s="1"/>
  <c r="U105" i="2"/>
  <c r="AF105" i="2" s="1"/>
  <c r="W105" i="2"/>
  <c r="X105" i="2" s="1"/>
  <c r="U121" i="2"/>
  <c r="AF121" i="2" s="1"/>
  <c r="W121" i="2"/>
  <c r="X121" i="2" s="1"/>
  <c r="U133" i="2"/>
  <c r="AF133" i="2" s="1"/>
  <c r="W133" i="2"/>
  <c r="X133" i="2" s="1"/>
  <c r="W149" i="2"/>
  <c r="X149" i="2" s="1"/>
  <c r="U149" i="2"/>
  <c r="AF149" i="2" s="1"/>
  <c r="W153" i="2"/>
  <c r="X153" i="2" s="1"/>
  <c r="U153" i="2"/>
  <c r="AF153" i="2" s="1"/>
  <c r="U466" i="2"/>
  <c r="AF466" i="2" s="1"/>
  <c r="W466" i="2"/>
  <c r="X466" i="2" s="1"/>
  <c r="W482" i="2"/>
  <c r="X482" i="2" s="1"/>
  <c r="U482" i="2"/>
  <c r="AF482" i="2" s="1"/>
  <c r="W498" i="2"/>
  <c r="X498" i="2" s="1"/>
  <c r="U498" i="2"/>
  <c r="AF498" i="2" s="1"/>
  <c r="U514" i="2"/>
  <c r="AF514" i="2" s="1"/>
  <c r="W514" i="2"/>
  <c r="X514" i="2" s="1"/>
  <c r="U530" i="2"/>
  <c r="AF530" i="2" s="1"/>
  <c r="W530" i="2"/>
  <c r="X530" i="2" s="1"/>
  <c r="U561" i="2"/>
  <c r="AF561" i="2" s="1"/>
  <c r="W561" i="2"/>
  <c r="X561" i="2" s="1"/>
  <c r="U573" i="2"/>
  <c r="AF573" i="2" s="1"/>
  <c r="W573" i="2"/>
  <c r="X573" i="2" s="1"/>
  <c r="U577" i="2"/>
  <c r="AF577" i="2" s="1"/>
  <c r="W577" i="2"/>
  <c r="X577" i="2" s="1"/>
  <c r="U605" i="2"/>
  <c r="AF605" i="2" s="1"/>
  <c r="W605" i="2"/>
  <c r="X605" i="2" s="1"/>
  <c r="U609" i="2"/>
  <c r="AF609" i="2" s="1"/>
  <c r="W609" i="2"/>
  <c r="X609" i="2" s="1"/>
  <c r="W22" i="2"/>
  <c r="X22" i="2" s="1"/>
  <c r="U22" i="2"/>
  <c r="AF22" i="2" s="1"/>
  <c r="W26" i="2"/>
  <c r="X26" i="2" s="1"/>
  <c r="U26" i="2"/>
  <c r="AF26" i="2" s="1"/>
  <c r="U54" i="2"/>
  <c r="AF54" i="2" s="1"/>
  <c r="W54" i="2"/>
  <c r="X54" i="2" s="1"/>
  <c r="W70" i="2"/>
  <c r="X70" i="2" s="1"/>
  <c r="U70" i="2"/>
  <c r="AF70" i="2" s="1"/>
  <c r="W86" i="2"/>
  <c r="X86" i="2" s="1"/>
  <c r="U86" i="2"/>
  <c r="AF86" i="2" s="1"/>
  <c r="U94" i="2"/>
  <c r="AF94" i="2" s="1"/>
  <c r="W94" i="2"/>
  <c r="X94" i="2" s="1"/>
  <c r="W102" i="2"/>
  <c r="X102" i="2" s="1"/>
  <c r="U102" i="2"/>
  <c r="AF102" i="2" s="1"/>
  <c r="W122" i="2"/>
  <c r="X122" i="2" s="1"/>
  <c r="U122" i="2"/>
  <c r="AF122" i="2" s="1"/>
  <c r="W142" i="2"/>
  <c r="X142" i="2" s="1"/>
  <c r="U142" i="2"/>
  <c r="AF142" i="2" s="1"/>
  <c r="W150" i="2"/>
  <c r="X150" i="2" s="1"/>
  <c r="U150" i="2"/>
  <c r="AF150" i="2" s="1"/>
  <c r="U459" i="2"/>
  <c r="AF459" i="2" s="1"/>
  <c r="W459" i="2"/>
  <c r="X459" i="2" s="1"/>
  <c r="U475" i="2"/>
  <c r="AF475" i="2" s="1"/>
  <c r="W475" i="2"/>
  <c r="X475" i="2" s="1"/>
  <c r="U491" i="2"/>
  <c r="AF491" i="2" s="1"/>
  <c r="W491" i="2"/>
  <c r="X491" i="2" s="1"/>
  <c r="W507" i="2"/>
  <c r="X507" i="2" s="1"/>
  <c r="U507" i="2"/>
  <c r="AF507" i="2" s="1"/>
  <c r="U523" i="2"/>
  <c r="AF523" i="2" s="1"/>
  <c r="W523" i="2"/>
  <c r="X523" i="2" s="1"/>
  <c r="W539" i="2"/>
  <c r="X539" i="2" s="1"/>
  <c r="U539" i="2"/>
  <c r="AF539" i="2" s="1"/>
  <c r="U554" i="2"/>
  <c r="AF554" i="2" s="1"/>
  <c r="W554" i="2"/>
  <c r="X554" i="2" s="1"/>
  <c r="U570" i="2"/>
  <c r="AF570" i="2" s="1"/>
  <c r="W570" i="2"/>
  <c r="X570" i="2" s="1"/>
  <c r="U586" i="2"/>
  <c r="AF586" i="2" s="1"/>
  <c r="W586" i="2"/>
  <c r="X586" i="2" s="1"/>
  <c r="U598" i="2"/>
  <c r="AF598" i="2" s="1"/>
  <c r="W598" i="2"/>
  <c r="X598" i="2" s="1"/>
  <c r="U602" i="2"/>
  <c r="AF602" i="2" s="1"/>
  <c r="W602" i="2"/>
  <c r="X602" i="2" s="1"/>
  <c r="U19" i="2"/>
  <c r="AF19" i="2" s="1"/>
  <c r="W19" i="2"/>
  <c r="X19" i="2" s="1"/>
  <c r="W47" i="2"/>
  <c r="X47" i="2" s="1"/>
  <c r="U47" i="2"/>
  <c r="AF47" i="2" s="1"/>
  <c r="U51" i="2"/>
  <c r="AF51" i="2" s="1"/>
  <c r="W51" i="2"/>
  <c r="X51" i="2" s="1"/>
  <c r="W67" i="2"/>
  <c r="X67" i="2" s="1"/>
  <c r="U67" i="2"/>
  <c r="AF67" i="2" s="1"/>
  <c r="W95" i="2"/>
  <c r="X95" i="2" s="1"/>
  <c r="U95" i="2"/>
  <c r="AF95" i="2" s="1"/>
  <c r="W99" i="2"/>
  <c r="X99" i="2" s="1"/>
  <c r="U99" i="2"/>
  <c r="AF99" i="2" s="1"/>
  <c r="W127" i="2"/>
  <c r="X127" i="2" s="1"/>
  <c r="U127" i="2"/>
  <c r="AF127" i="2" s="1"/>
  <c r="U143" i="2"/>
  <c r="AF143" i="2" s="1"/>
  <c r="W143" i="2"/>
  <c r="X143" i="2" s="1"/>
  <c r="W147" i="2"/>
  <c r="X147" i="2" s="1"/>
  <c r="U147" i="2"/>
  <c r="AF147" i="2" s="1"/>
  <c r="U472" i="2"/>
  <c r="AF472" i="2" s="1"/>
  <c r="W472" i="2"/>
  <c r="X472" i="2" s="1"/>
  <c r="W488" i="2"/>
  <c r="X488" i="2" s="1"/>
  <c r="U488" i="2"/>
  <c r="AF488" i="2" s="1"/>
  <c r="U500" i="2"/>
  <c r="AF500" i="2" s="1"/>
  <c r="W500" i="2"/>
  <c r="X500" i="2" s="1"/>
  <c r="U516" i="2"/>
  <c r="AF516" i="2" s="1"/>
  <c r="W516" i="2"/>
  <c r="X516" i="2" s="1"/>
  <c r="W536" i="2"/>
  <c r="X536" i="2" s="1"/>
  <c r="U536" i="2"/>
  <c r="AF536" i="2" s="1"/>
  <c r="W563" i="2"/>
  <c r="X563" i="2" s="1"/>
  <c r="U563" i="2"/>
  <c r="AF563" i="2" s="1"/>
  <c r="U567" i="2"/>
  <c r="AF567" i="2" s="1"/>
  <c r="W567" i="2"/>
  <c r="X567" i="2" s="1"/>
  <c r="W579" i="2"/>
  <c r="X579" i="2" s="1"/>
  <c r="U579" i="2"/>
  <c r="AF579" i="2" s="1"/>
  <c r="W583" i="2"/>
  <c r="X583" i="2" s="1"/>
  <c r="U583" i="2"/>
  <c r="AF583" i="2" s="1"/>
  <c r="W12" i="2"/>
  <c r="X12" i="2" s="1"/>
  <c r="U12" i="2"/>
  <c r="AF12" i="2" s="1"/>
  <c r="W28" i="2"/>
  <c r="X28" i="2" s="1"/>
  <c r="U28" i="2"/>
  <c r="AF28" i="2" s="1"/>
  <c r="W32" i="2"/>
  <c r="X32" i="2" s="1"/>
  <c r="U32" i="2"/>
  <c r="AF32" i="2" s="1"/>
  <c r="U48" i="2"/>
  <c r="AF48" i="2" s="1"/>
  <c r="W48" i="2"/>
  <c r="X48" i="2" s="1"/>
  <c r="W60" i="2"/>
  <c r="X60" i="2" s="1"/>
  <c r="U60" i="2"/>
  <c r="AF60" i="2" s="1"/>
  <c r="W76" i="2"/>
  <c r="X76" i="2" s="1"/>
  <c r="U76" i="2"/>
  <c r="AF76" i="2" s="1"/>
  <c r="W100" i="2"/>
  <c r="X100" i="2" s="1"/>
  <c r="U100" i="2"/>
  <c r="AF100" i="2" s="1"/>
  <c r="W108" i="2"/>
  <c r="X108" i="2" s="1"/>
  <c r="U108" i="2"/>
  <c r="AF108" i="2" s="1"/>
  <c r="W112" i="2"/>
  <c r="X112" i="2" s="1"/>
  <c r="U112" i="2"/>
  <c r="AF112" i="2" s="1"/>
  <c r="W128" i="2"/>
  <c r="X128" i="2" s="1"/>
  <c r="U128" i="2"/>
  <c r="AF128" i="2" s="1"/>
  <c r="W156" i="2"/>
  <c r="X156" i="2" s="1"/>
  <c r="U156" i="2"/>
  <c r="AF156" i="2" s="1"/>
  <c r="W160" i="2"/>
  <c r="X160" i="2" s="1"/>
  <c r="U160" i="2"/>
  <c r="AF160" i="2" s="1"/>
  <c r="X560" i="2" l="1"/>
</calcChain>
</file>

<file path=xl/comments1.xml><?xml version="1.0" encoding="utf-8"?>
<comments xmlns="http://schemas.openxmlformats.org/spreadsheetml/2006/main">
  <authors>
    <author>作者</author>
  </authors>
  <commentList>
    <comment ref="B1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每1%增加2400战力</t>
        </r>
      </text>
    </comment>
    <comment ref="B1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每1%提供2100战力</t>
        </r>
      </text>
    </comment>
    <comment ref="B1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每1%提供6480战力</t>
        </r>
      </text>
    </comment>
    <comment ref="B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每1%提供5400战力</t>
        </r>
      </text>
    </comment>
    <comment ref="B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每1%提供10800战力</t>
        </r>
      </text>
    </comment>
    <comment ref="B1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2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每1%提供8450战力</t>
        </r>
      </text>
    </comment>
    <comment ref="B2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每1%提供8450战力</t>
        </r>
      </text>
    </comment>
    <comment ref="B2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每1%提供5000战力</t>
        </r>
      </text>
    </comment>
    <comment ref="B2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每1%提供5000战力</t>
        </r>
      </text>
    </comment>
    <comment ref="B2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2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每1%提供2400战力</t>
        </r>
      </text>
    </comment>
    <comment ref="B2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每1%提供2400战力</t>
        </r>
      </text>
    </comment>
    <comment ref="B2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每1%提供1680战力</t>
        </r>
      </text>
    </comment>
    <comment ref="B3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每1%提供1680战力</t>
        </r>
      </text>
    </comment>
    <comment ref="B3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每1%提供7560战力</t>
        </r>
      </text>
    </comment>
    <comment ref="B3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每1%提供7560战力</t>
        </r>
      </text>
    </comment>
    <comment ref="B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3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每1%提供1680战力</t>
        </r>
      </text>
    </comment>
    <comment ref="B4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每1%提供1680战力</t>
        </r>
      </text>
    </comment>
    <comment ref="B4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4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每1%提供13500战力</t>
        </r>
      </text>
    </comment>
    <comment ref="B4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每1%提供4455战力</t>
        </r>
      </text>
    </comment>
    <comment ref="B4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每1%提供4455战力</t>
        </r>
      </text>
    </comment>
    <comment ref="B4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每1%提供9750战力</t>
        </r>
      </text>
    </comment>
    <comment ref="B4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每1%提供9750战力</t>
        </r>
      </text>
    </comment>
    <comment ref="B4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每1%提供975战力</t>
        </r>
      </text>
    </comment>
    <comment ref="B4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每1%提供975战力</t>
        </r>
      </text>
    </comment>
    <comment ref="B4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每1%增加2400战力</t>
        </r>
      </text>
    </comment>
  </commentList>
</comments>
</file>

<file path=xl/sharedStrings.xml><?xml version="1.0" encoding="utf-8"?>
<sst xmlns="http://schemas.openxmlformats.org/spreadsheetml/2006/main" count="158" uniqueCount="89">
  <si>
    <t>生命</t>
    <phoneticPr fontId="1" type="noConversion"/>
  </si>
  <si>
    <t>攻击</t>
    <phoneticPr fontId="1" type="noConversion"/>
  </si>
  <si>
    <t>防御</t>
    <phoneticPr fontId="1" type="noConversion"/>
  </si>
  <si>
    <t>命中</t>
    <phoneticPr fontId="1" type="noConversion"/>
  </si>
  <si>
    <t>闪避</t>
    <phoneticPr fontId="1" type="noConversion"/>
  </si>
  <si>
    <t>战斗力赋值</t>
    <phoneticPr fontId="1" type="noConversion"/>
  </si>
  <si>
    <t>技能固定伤害</t>
    <phoneticPr fontId="1" type="noConversion"/>
  </si>
  <si>
    <t>pve伤害增加</t>
    <phoneticPr fontId="1" type="noConversion"/>
  </si>
  <si>
    <t>pve伤害减少</t>
    <phoneticPr fontId="1" type="noConversion"/>
  </si>
  <si>
    <t>pvp伤害增加</t>
    <phoneticPr fontId="1" type="noConversion"/>
  </si>
  <si>
    <t>pvp伤害减少</t>
    <phoneticPr fontId="1" type="noConversion"/>
  </si>
  <si>
    <t>格挡几率</t>
    <phoneticPr fontId="1" type="noConversion"/>
  </si>
  <si>
    <t>破格几率</t>
    <phoneticPr fontId="1" type="noConversion"/>
  </si>
  <si>
    <t>格挡伤害减免</t>
    <phoneticPr fontId="1" type="noConversion"/>
  </si>
  <si>
    <t>格挡减伤抗性</t>
    <phoneticPr fontId="1" type="noConversion"/>
  </si>
  <si>
    <t>会心一击几率</t>
    <phoneticPr fontId="1" type="noConversion"/>
  </si>
  <si>
    <t>会心一击几率抗性</t>
    <phoneticPr fontId="1" type="noConversion"/>
  </si>
  <si>
    <t>卓越一击几率</t>
    <phoneticPr fontId="1" type="noConversion"/>
  </si>
  <si>
    <t>卓越一击几率抗性</t>
    <phoneticPr fontId="1" type="noConversion"/>
  </si>
  <si>
    <t>卓越一击</t>
    <phoneticPr fontId="1" type="noConversion"/>
  </si>
  <si>
    <t>卓越一击抗性</t>
    <phoneticPr fontId="1" type="noConversion"/>
  </si>
  <si>
    <t>暴击几率</t>
    <phoneticPr fontId="1" type="noConversion"/>
  </si>
  <si>
    <t>暴击</t>
    <phoneticPr fontId="1" type="noConversion"/>
  </si>
  <si>
    <t>暴击几率抗性</t>
    <phoneticPr fontId="1" type="noConversion"/>
  </si>
  <si>
    <t>暴击抗性</t>
    <phoneticPr fontId="1" type="noConversion"/>
  </si>
  <si>
    <t>穿透几率</t>
    <phoneticPr fontId="1" type="noConversion"/>
  </si>
  <si>
    <t>穿透</t>
    <phoneticPr fontId="1" type="noConversion"/>
  </si>
  <si>
    <t>穿透几率抗性</t>
    <phoneticPr fontId="1" type="noConversion"/>
  </si>
  <si>
    <t>穿透抗性</t>
    <phoneticPr fontId="1" type="noConversion"/>
  </si>
  <si>
    <t>致命一击几率</t>
  </si>
  <si>
    <t>致命一击几率抗性</t>
  </si>
  <si>
    <t>致命一击</t>
    <phoneticPr fontId="1" type="noConversion"/>
  </si>
  <si>
    <t>致命一击抗性</t>
    <phoneticPr fontId="1" type="noConversion"/>
  </si>
  <si>
    <t>吸血几率</t>
    <phoneticPr fontId="1" type="noConversion"/>
  </si>
  <si>
    <t>吸血几率抗性</t>
    <phoneticPr fontId="1" type="noConversion"/>
  </si>
  <si>
    <t>吸血</t>
    <phoneticPr fontId="1" type="noConversion"/>
  </si>
  <si>
    <t>吸血抗性</t>
    <phoneticPr fontId="1" type="noConversion"/>
  </si>
  <si>
    <t>反伤几率</t>
    <phoneticPr fontId="1" type="noConversion"/>
  </si>
  <si>
    <t>反伤几率抗性</t>
    <phoneticPr fontId="1" type="noConversion"/>
  </si>
  <si>
    <t>反伤</t>
    <phoneticPr fontId="1" type="noConversion"/>
  </si>
  <si>
    <t>反伤抗性</t>
    <phoneticPr fontId="1" type="noConversion"/>
  </si>
  <si>
    <t>属性名称</t>
    <phoneticPr fontId="1" type="noConversion"/>
  </si>
  <si>
    <t>平砍刀数</t>
    <phoneticPr fontId="1" type="noConversion"/>
  </si>
  <si>
    <t>基础命中</t>
    <phoneticPr fontId="1" type="noConversion"/>
  </si>
  <si>
    <t>战斗回合</t>
    <phoneticPr fontId="1" type="noConversion"/>
  </si>
  <si>
    <t>初始值</t>
    <phoneticPr fontId="1" type="noConversion"/>
  </si>
  <si>
    <t>成长值</t>
    <phoneticPr fontId="1" type="noConversion"/>
  </si>
  <si>
    <t>装备基础属性倍数</t>
    <phoneticPr fontId="1" type="noConversion"/>
  </si>
  <si>
    <t>生命</t>
    <phoneticPr fontId="1" type="noConversion"/>
  </si>
  <si>
    <t>装备品质属性倍数</t>
    <phoneticPr fontId="1" type="noConversion"/>
  </si>
  <si>
    <t>命中</t>
    <phoneticPr fontId="1" type="noConversion"/>
  </si>
  <si>
    <t>闪避</t>
    <phoneticPr fontId="1" type="noConversion"/>
  </si>
  <si>
    <t>人物裸装属性</t>
    <phoneticPr fontId="1" type="noConversion"/>
  </si>
  <si>
    <t>装备基础属性</t>
    <phoneticPr fontId="1" type="noConversion"/>
  </si>
  <si>
    <t>装备品质属性</t>
    <phoneticPr fontId="1" type="noConversion"/>
  </si>
  <si>
    <t>总属性</t>
    <phoneticPr fontId="1" type="noConversion"/>
  </si>
  <si>
    <t>总战力</t>
    <phoneticPr fontId="1" type="noConversion"/>
  </si>
  <si>
    <t>等级</t>
    <phoneticPr fontId="1" type="noConversion"/>
  </si>
  <si>
    <t>人物裸装</t>
    <phoneticPr fontId="1" type="noConversion"/>
  </si>
  <si>
    <t>装备总战力</t>
    <phoneticPr fontId="1" type="noConversion"/>
  </si>
  <si>
    <t>自杀命中率验算</t>
    <phoneticPr fontId="1" type="noConversion"/>
  </si>
  <si>
    <t>战力占比</t>
    <phoneticPr fontId="1" type="noConversion"/>
  </si>
  <si>
    <t>生命/攻/防</t>
    <phoneticPr fontId="1" type="noConversion"/>
  </si>
  <si>
    <t>命中/闪避</t>
    <phoneticPr fontId="1" type="noConversion"/>
  </si>
  <si>
    <t>自杀刀数</t>
    <phoneticPr fontId="1" type="noConversion"/>
  </si>
  <si>
    <t>生命</t>
    <phoneticPr fontId="1" type="noConversion"/>
  </si>
  <si>
    <t>攻击</t>
    <phoneticPr fontId="1" type="noConversion"/>
  </si>
  <si>
    <t>防御</t>
    <phoneticPr fontId="1" type="noConversion"/>
  </si>
  <si>
    <t>裸装</t>
    <phoneticPr fontId="1" type="noConversion"/>
  </si>
  <si>
    <t>装备</t>
    <phoneticPr fontId="1" type="noConversion"/>
  </si>
  <si>
    <t>攻防血/命闪</t>
    <phoneticPr fontId="1" type="noConversion"/>
  </si>
  <si>
    <t>等级</t>
    <phoneticPr fontId="1" type="noConversion"/>
  </si>
  <si>
    <t>百分比</t>
    <phoneticPr fontId="1" type="noConversion"/>
  </si>
  <si>
    <t>装备基础属性倍数</t>
    <phoneticPr fontId="1" type="noConversion"/>
  </si>
  <si>
    <t>人物属性</t>
    <phoneticPr fontId="1" type="noConversion"/>
  </si>
  <si>
    <t>其他属性</t>
    <phoneticPr fontId="1" type="noConversion"/>
  </si>
  <si>
    <t>属性名称</t>
    <phoneticPr fontId="1" type="noConversion"/>
  </si>
  <si>
    <t>宠物攻击</t>
    <phoneticPr fontId="1" type="noConversion"/>
  </si>
  <si>
    <t>宠物pvp伤害加深</t>
    <phoneticPr fontId="1" type="noConversion"/>
  </si>
  <si>
    <t>仙侣攻击</t>
    <phoneticPr fontId="1" type="noConversion"/>
  </si>
  <si>
    <t>战斗力赋值</t>
    <phoneticPr fontId="1" type="noConversion"/>
  </si>
  <si>
    <t>待定</t>
    <phoneticPr fontId="1" type="noConversion"/>
  </si>
  <si>
    <t>仙侣pve伤害加深</t>
    <phoneticPr fontId="1" type="noConversion"/>
  </si>
  <si>
    <t>技能伤害增加</t>
    <phoneticPr fontId="1" type="noConversion"/>
  </si>
  <si>
    <t>技能伤害减少</t>
    <phoneticPr fontId="1" type="noConversion"/>
  </si>
  <si>
    <t>万分比</t>
    <phoneticPr fontId="1" type="noConversion"/>
  </si>
  <si>
    <t>攻击力配表</t>
    <phoneticPr fontId="1" type="noConversion"/>
  </si>
  <si>
    <t>最小攻击</t>
    <phoneticPr fontId="1" type="noConversion"/>
  </si>
  <si>
    <t>最大攻击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</si>
</sst>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9" fontId="0" fillId="0" borderId="0" xfId="0" applyNumberFormat="1"/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0" fontId="0" fillId="0" borderId="1" xfId="0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49"/>
  <sheetViews>
    <sheetView tabSelected="1" workbookViewId="0">
      <selection activeCell="I11" sqref="I11"/>
    </sheetView>
  </sheetViews>
  <sheetFormatPr defaultRowHeight="13.5" x14ac:dyDescent="0.15"/>
  <cols>
    <col min="1" max="1" width="16.625" customWidth="1"/>
    <col min="4" max="4" width="16.25" customWidth="1"/>
  </cols>
  <sheetData>
    <row r="2" spans="1:5" x14ac:dyDescent="0.15">
      <c r="A2" t="s">
        <v>42</v>
      </c>
      <c r="B2">
        <v>12</v>
      </c>
      <c r="D2" t="s">
        <v>61</v>
      </c>
    </row>
    <row r="3" spans="1:5" x14ac:dyDescent="0.15">
      <c r="A3" t="s">
        <v>43</v>
      </c>
      <c r="B3" s="2">
        <v>0.75</v>
      </c>
      <c r="D3" t="s">
        <v>62</v>
      </c>
      <c r="E3" s="2">
        <v>0.8</v>
      </c>
    </row>
    <row r="4" spans="1:5" x14ac:dyDescent="0.15">
      <c r="A4" t="s">
        <v>44</v>
      </c>
      <c r="B4">
        <f>B2/B3</f>
        <v>16</v>
      </c>
      <c r="D4" t="s">
        <v>63</v>
      </c>
      <c r="E4" s="2">
        <f>1-E3</f>
        <v>0.19999999999999996</v>
      </c>
    </row>
    <row r="6" spans="1:5" x14ac:dyDescent="0.15">
      <c r="A6" t="s">
        <v>74</v>
      </c>
      <c r="D6" t="s">
        <v>75</v>
      </c>
    </row>
    <row r="7" spans="1:5" x14ac:dyDescent="0.15">
      <c r="A7" t="s">
        <v>41</v>
      </c>
      <c r="B7" t="s">
        <v>5</v>
      </c>
      <c r="D7" t="s">
        <v>76</v>
      </c>
      <c r="E7" t="s">
        <v>80</v>
      </c>
    </row>
    <row r="8" spans="1:5" x14ac:dyDescent="0.15">
      <c r="A8" t="s">
        <v>0</v>
      </c>
      <c r="B8">
        <v>1</v>
      </c>
      <c r="D8" t="s">
        <v>77</v>
      </c>
      <c r="E8">
        <f>B9/3</f>
        <v>4</v>
      </c>
    </row>
    <row r="9" spans="1:5" x14ac:dyDescent="0.15">
      <c r="A9" t="s">
        <v>1</v>
      </c>
      <c r="B9">
        <f>B2</f>
        <v>12</v>
      </c>
      <c r="D9" t="s">
        <v>78</v>
      </c>
      <c r="E9" t="s">
        <v>81</v>
      </c>
    </row>
    <row r="10" spans="1:5" x14ac:dyDescent="0.15">
      <c r="A10" t="s">
        <v>2</v>
      </c>
      <c r="B10">
        <f>B2</f>
        <v>12</v>
      </c>
      <c r="D10" t="s">
        <v>79</v>
      </c>
      <c r="E10">
        <f>B9/3</f>
        <v>4</v>
      </c>
    </row>
    <row r="11" spans="1:5" x14ac:dyDescent="0.15">
      <c r="A11" t="s">
        <v>3</v>
      </c>
      <c r="B11">
        <f>B4</f>
        <v>16</v>
      </c>
      <c r="D11" t="s">
        <v>82</v>
      </c>
      <c r="E11" t="s">
        <v>81</v>
      </c>
    </row>
    <row r="12" spans="1:5" x14ac:dyDescent="0.15">
      <c r="A12" t="s">
        <v>4</v>
      </c>
      <c r="B12">
        <f>B11/2</f>
        <v>8</v>
      </c>
    </row>
    <row r="13" spans="1:5" x14ac:dyDescent="0.15">
      <c r="A13" s="1" t="s">
        <v>83</v>
      </c>
      <c r="B13">
        <v>240000</v>
      </c>
      <c r="C13" t="s">
        <v>85</v>
      </c>
    </row>
    <row r="14" spans="1:5" x14ac:dyDescent="0.15">
      <c r="A14" s="1" t="s">
        <v>6</v>
      </c>
      <c r="B14">
        <v>4</v>
      </c>
      <c r="C14" t="s">
        <v>85</v>
      </c>
    </row>
    <row r="15" spans="1:5" x14ac:dyDescent="0.15">
      <c r="A15" s="1" t="s">
        <v>7</v>
      </c>
      <c r="B15">
        <v>216000</v>
      </c>
      <c r="C15" t="s">
        <v>85</v>
      </c>
    </row>
    <row r="16" spans="1:5" x14ac:dyDescent="0.15">
      <c r="A16" s="1" t="s">
        <v>8</v>
      </c>
      <c r="B16">
        <v>648000</v>
      </c>
      <c r="C16" t="s">
        <v>85</v>
      </c>
    </row>
    <row r="17" spans="1:3" x14ac:dyDescent="0.15">
      <c r="A17" s="1" t="s">
        <v>9</v>
      </c>
      <c r="B17">
        <v>540000</v>
      </c>
      <c r="C17" t="s">
        <v>85</v>
      </c>
    </row>
    <row r="18" spans="1:3" x14ac:dyDescent="0.15">
      <c r="A18" s="1" t="s">
        <v>10</v>
      </c>
      <c r="B18">
        <v>1080000</v>
      </c>
      <c r="C18" t="s">
        <v>85</v>
      </c>
    </row>
    <row r="19" spans="1:3" x14ac:dyDescent="0.15">
      <c r="A19" s="1" t="s">
        <v>11</v>
      </c>
      <c r="B19">
        <v>1350000</v>
      </c>
      <c r="C19" t="s">
        <v>85</v>
      </c>
    </row>
    <row r="20" spans="1:3" x14ac:dyDescent="0.15">
      <c r="A20" s="1" t="s">
        <v>12</v>
      </c>
      <c r="B20">
        <v>1350000</v>
      </c>
      <c r="C20" t="s">
        <v>85</v>
      </c>
    </row>
    <row r="21" spans="1:3" x14ac:dyDescent="0.15">
      <c r="A21" s="1" t="s">
        <v>13</v>
      </c>
      <c r="B21">
        <v>845000</v>
      </c>
      <c r="C21" t="s">
        <v>85</v>
      </c>
    </row>
    <row r="22" spans="1:3" x14ac:dyDescent="0.15">
      <c r="A22" s="1" t="s">
        <v>14</v>
      </c>
      <c r="B22">
        <v>845000</v>
      </c>
      <c r="C22" t="s">
        <v>85</v>
      </c>
    </row>
    <row r="23" spans="1:3" x14ac:dyDescent="0.15">
      <c r="A23" s="1" t="s">
        <v>15</v>
      </c>
      <c r="B23">
        <v>500000</v>
      </c>
      <c r="C23" t="s">
        <v>85</v>
      </c>
    </row>
    <row r="24" spans="1:3" x14ac:dyDescent="0.15">
      <c r="A24" s="1" t="s">
        <v>16</v>
      </c>
      <c r="B24">
        <v>500000</v>
      </c>
      <c r="C24" t="s">
        <v>85</v>
      </c>
    </row>
    <row r="25" spans="1:3" x14ac:dyDescent="0.15">
      <c r="A25" s="1" t="s">
        <v>17</v>
      </c>
      <c r="B25">
        <v>1350000</v>
      </c>
      <c r="C25" t="s">
        <v>85</v>
      </c>
    </row>
    <row r="26" spans="1:3" x14ac:dyDescent="0.15">
      <c r="A26" s="1" t="s">
        <v>18</v>
      </c>
      <c r="B26">
        <v>1350000</v>
      </c>
      <c r="C26" t="s">
        <v>85</v>
      </c>
    </row>
    <row r="27" spans="1:3" x14ac:dyDescent="0.15">
      <c r="A27" s="1" t="s">
        <v>19</v>
      </c>
      <c r="B27">
        <v>240000</v>
      </c>
      <c r="C27" t="s">
        <v>85</v>
      </c>
    </row>
    <row r="28" spans="1:3" x14ac:dyDescent="0.15">
      <c r="A28" s="1" t="s">
        <v>20</v>
      </c>
      <c r="B28">
        <v>240000</v>
      </c>
      <c r="C28" t="s">
        <v>85</v>
      </c>
    </row>
    <row r="29" spans="1:3" x14ac:dyDescent="0.15">
      <c r="A29" s="1" t="s">
        <v>21</v>
      </c>
      <c r="B29">
        <v>1350000</v>
      </c>
      <c r="C29" t="s">
        <v>85</v>
      </c>
    </row>
    <row r="30" spans="1:3" x14ac:dyDescent="0.15">
      <c r="A30" s="1" t="s">
        <v>22</v>
      </c>
      <c r="B30">
        <v>168000</v>
      </c>
      <c r="C30" t="s">
        <v>85</v>
      </c>
    </row>
    <row r="31" spans="1:3" x14ac:dyDescent="0.15">
      <c r="A31" s="1" t="s">
        <v>23</v>
      </c>
      <c r="B31">
        <v>1350000</v>
      </c>
      <c r="C31" t="s">
        <v>85</v>
      </c>
    </row>
    <row r="32" spans="1:3" x14ac:dyDescent="0.15">
      <c r="A32" s="1" t="s">
        <v>24</v>
      </c>
      <c r="B32">
        <v>168000</v>
      </c>
      <c r="C32" t="s">
        <v>85</v>
      </c>
    </row>
    <row r="33" spans="1:3" x14ac:dyDescent="0.15">
      <c r="A33" s="1" t="s">
        <v>25</v>
      </c>
      <c r="B33">
        <v>1350000</v>
      </c>
      <c r="C33" t="s">
        <v>85</v>
      </c>
    </row>
    <row r="34" spans="1:3" x14ac:dyDescent="0.15">
      <c r="A34" s="1" t="s">
        <v>26</v>
      </c>
      <c r="B34">
        <v>756000</v>
      </c>
      <c r="C34" t="s">
        <v>85</v>
      </c>
    </row>
    <row r="35" spans="1:3" x14ac:dyDescent="0.15">
      <c r="A35" s="1" t="s">
        <v>27</v>
      </c>
      <c r="B35">
        <v>1350000</v>
      </c>
      <c r="C35" t="s">
        <v>85</v>
      </c>
    </row>
    <row r="36" spans="1:3" x14ac:dyDescent="0.15">
      <c r="A36" s="1" t="s">
        <v>28</v>
      </c>
      <c r="B36">
        <v>756000</v>
      </c>
      <c r="C36" t="s">
        <v>85</v>
      </c>
    </row>
    <row r="37" spans="1:3" x14ac:dyDescent="0.15">
      <c r="A37" s="1" t="s">
        <v>29</v>
      </c>
      <c r="B37">
        <v>1350000</v>
      </c>
      <c r="C37" t="s">
        <v>85</v>
      </c>
    </row>
    <row r="38" spans="1:3" x14ac:dyDescent="0.15">
      <c r="A38" s="1" t="s">
        <v>30</v>
      </c>
      <c r="B38">
        <v>1350000</v>
      </c>
      <c r="C38" t="s">
        <v>85</v>
      </c>
    </row>
    <row r="39" spans="1:3" x14ac:dyDescent="0.15">
      <c r="A39" s="1" t="s">
        <v>31</v>
      </c>
      <c r="B39">
        <v>168000</v>
      </c>
      <c r="C39" t="s">
        <v>85</v>
      </c>
    </row>
    <row r="40" spans="1:3" x14ac:dyDescent="0.15">
      <c r="A40" s="1" t="s">
        <v>32</v>
      </c>
      <c r="B40">
        <v>168000</v>
      </c>
      <c r="C40" t="s">
        <v>85</v>
      </c>
    </row>
    <row r="41" spans="1:3" x14ac:dyDescent="0.15">
      <c r="A41" s="1" t="s">
        <v>33</v>
      </c>
      <c r="B41">
        <v>1350000</v>
      </c>
      <c r="C41" t="s">
        <v>85</v>
      </c>
    </row>
    <row r="42" spans="1:3" x14ac:dyDescent="0.15">
      <c r="A42" s="1" t="s">
        <v>34</v>
      </c>
      <c r="B42">
        <v>1350000</v>
      </c>
      <c r="C42" t="s">
        <v>85</v>
      </c>
    </row>
    <row r="43" spans="1:3" x14ac:dyDescent="0.15">
      <c r="A43" s="1" t="s">
        <v>35</v>
      </c>
      <c r="B43">
        <v>445500</v>
      </c>
      <c r="C43" t="s">
        <v>85</v>
      </c>
    </row>
    <row r="44" spans="1:3" x14ac:dyDescent="0.15">
      <c r="A44" s="1" t="s">
        <v>36</v>
      </c>
      <c r="B44">
        <v>445500</v>
      </c>
      <c r="C44" t="s">
        <v>85</v>
      </c>
    </row>
    <row r="45" spans="1:3" x14ac:dyDescent="0.15">
      <c r="A45" s="1" t="s">
        <v>37</v>
      </c>
      <c r="B45">
        <v>975000</v>
      </c>
      <c r="C45" t="s">
        <v>85</v>
      </c>
    </row>
    <row r="46" spans="1:3" x14ac:dyDescent="0.15">
      <c r="A46" s="1" t="s">
        <v>38</v>
      </c>
      <c r="B46">
        <v>975000</v>
      </c>
      <c r="C46" t="s">
        <v>85</v>
      </c>
    </row>
    <row r="47" spans="1:3" x14ac:dyDescent="0.15">
      <c r="A47" s="1" t="s">
        <v>39</v>
      </c>
      <c r="B47">
        <v>97500</v>
      </c>
      <c r="C47" t="s">
        <v>85</v>
      </c>
    </row>
    <row r="48" spans="1:3" x14ac:dyDescent="0.15">
      <c r="A48" s="1" t="s">
        <v>40</v>
      </c>
      <c r="B48">
        <v>97500</v>
      </c>
      <c r="C48" t="s">
        <v>85</v>
      </c>
    </row>
    <row r="49" spans="1:3" x14ac:dyDescent="0.15">
      <c r="A49" s="1" t="s">
        <v>84</v>
      </c>
      <c r="B49">
        <v>240000</v>
      </c>
      <c r="C49" t="s">
        <v>85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610"/>
  <sheetViews>
    <sheetView workbookViewId="0">
      <pane xSplit="1" ySplit="10" topLeftCell="K11" activePane="bottomRight" state="frozen"/>
      <selection pane="topRight" activeCell="B1" sqref="B1"/>
      <selection pane="bottomLeft" activeCell="A11" sqref="A11"/>
      <selection pane="bottomRight" activeCell="AA12" sqref="AA12"/>
    </sheetView>
  </sheetViews>
  <sheetFormatPr defaultRowHeight="13.5" x14ac:dyDescent="0.15"/>
  <cols>
    <col min="26" max="26" width="9" style="8"/>
  </cols>
  <sheetData>
    <row r="2" spans="1:49" x14ac:dyDescent="0.15">
      <c r="B2" s="4" t="s">
        <v>45</v>
      </c>
      <c r="C2" s="6" t="s">
        <v>46</v>
      </c>
      <c r="E2" t="s">
        <v>47</v>
      </c>
      <c r="H2" t="s">
        <v>88</v>
      </c>
      <c r="Z2" s="8" t="s">
        <v>71</v>
      </c>
      <c r="AA2" t="s">
        <v>72</v>
      </c>
    </row>
    <row r="3" spans="1:49" x14ac:dyDescent="0.15">
      <c r="A3" s="5" t="s">
        <v>48</v>
      </c>
      <c r="B3" s="5">
        <f>(B4-B5)*战斗力计算!$B$2</f>
        <v>240</v>
      </c>
      <c r="C3" s="5">
        <f>(C4-C5)*战斗力计算!$B$2</f>
        <v>60</v>
      </c>
      <c r="E3">
        <v>4</v>
      </c>
      <c r="H3">
        <v>1.3</v>
      </c>
      <c r="Z3" s="8">
        <v>1</v>
      </c>
      <c r="AA3" s="2">
        <v>0.5</v>
      </c>
    </row>
    <row r="4" spans="1:49" x14ac:dyDescent="0.15">
      <c r="A4" s="5" t="s">
        <v>1</v>
      </c>
      <c r="B4" s="5">
        <v>40</v>
      </c>
      <c r="C4" s="5">
        <v>15</v>
      </c>
      <c r="H4" t="s">
        <v>87</v>
      </c>
      <c r="Z4" s="8">
        <v>50</v>
      </c>
      <c r="AA4" s="2">
        <v>0.55000000000000004</v>
      </c>
    </row>
    <row r="5" spans="1:49" x14ac:dyDescent="0.15">
      <c r="A5" s="5" t="s">
        <v>2</v>
      </c>
      <c r="B5" s="5">
        <v>20</v>
      </c>
      <c r="C5" s="5">
        <v>10</v>
      </c>
      <c r="E5" t="s">
        <v>49</v>
      </c>
      <c r="H5">
        <v>0.7</v>
      </c>
      <c r="Z5" s="8">
        <v>75</v>
      </c>
      <c r="AA5" s="2">
        <v>0.6</v>
      </c>
    </row>
    <row r="6" spans="1:49" x14ac:dyDescent="0.15">
      <c r="A6" s="5" t="s">
        <v>50</v>
      </c>
      <c r="B6" s="5">
        <f>INT((B3*战斗力计算!$B$8+B4*战斗力计算!$B$9+B5*战斗力计算!$B$10)/战斗力计算!$E$3*战斗力计算!$E$4/(战斗力计算!$B$12+战斗力计算!$B$11*战斗力计算!$B$3)*战斗力计算!$B$3)</f>
        <v>9</v>
      </c>
      <c r="C6" s="5">
        <f>INT((C3*战斗力计算!$B$8+C4*战斗力计算!$B$9+C5*战斗力计算!$B$10)/战斗力计算!$E$3*战斗力计算!$E$4/(战斗力计算!$B$12+战斗力计算!$B$11*战斗力计算!$B$3)*战斗力计算!$B$3)</f>
        <v>3</v>
      </c>
      <c r="E6">
        <v>2</v>
      </c>
      <c r="Z6" s="8">
        <v>120</v>
      </c>
      <c r="AA6" s="2">
        <v>0.65</v>
      </c>
    </row>
    <row r="7" spans="1:49" x14ac:dyDescent="0.15">
      <c r="A7" s="5" t="s">
        <v>51</v>
      </c>
      <c r="B7" s="5">
        <f>INT((B3*战斗力计算!$B$8+B4*战斗力计算!$B$9+B5*战斗力计算!$B$10)/战斗力计算!$E$3*战斗力计算!$E$4/(战斗力计算!$B$12+战斗力计算!$B$11*战斗力计算!$B$3))</f>
        <v>12</v>
      </c>
      <c r="C7" s="5">
        <f>INT((C3*战斗力计算!$B$8+C4*战斗力计算!$B$9+C5*战斗力计算!$B$10)/战斗力计算!$E$3*战斗力计算!$E$4/(战斗力计算!$B$12+战斗力计算!$B$11*战斗力计算!$B$3))</f>
        <v>4</v>
      </c>
      <c r="Z7" s="8">
        <v>200</v>
      </c>
      <c r="AA7" s="2">
        <v>0.7</v>
      </c>
    </row>
    <row r="8" spans="1:49" x14ac:dyDescent="0.15">
      <c r="Z8" s="8">
        <v>225</v>
      </c>
      <c r="AA8" s="2">
        <v>0.75</v>
      </c>
    </row>
    <row r="9" spans="1:49" x14ac:dyDescent="0.15">
      <c r="B9" s="12" t="s">
        <v>52</v>
      </c>
      <c r="C9" s="12"/>
      <c r="D9" s="12"/>
      <c r="E9" s="12"/>
      <c r="F9" s="12"/>
      <c r="G9" s="12" t="s">
        <v>53</v>
      </c>
      <c r="H9" s="12"/>
      <c r="I9" s="12"/>
      <c r="J9" s="12"/>
      <c r="K9" s="12"/>
      <c r="L9" s="12" t="s">
        <v>54</v>
      </c>
      <c r="M9" s="12"/>
      <c r="N9" s="12"/>
      <c r="O9" s="12"/>
      <c r="P9" s="12"/>
      <c r="Q9" s="12" t="s">
        <v>55</v>
      </c>
      <c r="R9" s="12"/>
      <c r="S9" s="12"/>
      <c r="T9" s="12"/>
      <c r="U9" s="12"/>
      <c r="V9" s="12" t="s">
        <v>56</v>
      </c>
      <c r="W9" s="12"/>
      <c r="X9" s="12"/>
      <c r="Y9" s="3"/>
      <c r="Z9" s="8">
        <v>250</v>
      </c>
      <c r="AA9" s="2">
        <v>0.8</v>
      </c>
      <c r="AB9" s="9"/>
      <c r="AK9" s="11" t="s">
        <v>68</v>
      </c>
      <c r="AL9" s="11"/>
      <c r="AM9" s="11"/>
      <c r="AN9" s="11" t="s">
        <v>69</v>
      </c>
      <c r="AO9" s="11"/>
      <c r="AP9" s="11"/>
      <c r="AR9" s="8" t="s">
        <v>68</v>
      </c>
      <c r="AS9" s="8"/>
      <c r="AT9" s="8" t="s">
        <v>69</v>
      </c>
      <c r="AU9" s="8"/>
      <c r="AV9" s="11" t="s">
        <v>86</v>
      </c>
      <c r="AW9" s="11"/>
    </row>
    <row r="10" spans="1:49" x14ac:dyDescent="0.15">
      <c r="A10" s="4" t="s">
        <v>57</v>
      </c>
      <c r="B10" s="4" t="s">
        <v>48</v>
      </c>
      <c r="C10" s="4" t="s">
        <v>1</v>
      </c>
      <c r="D10" s="4" t="s">
        <v>2</v>
      </c>
      <c r="E10" s="4" t="s">
        <v>50</v>
      </c>
      <c r="F10" s="4" t="s">
        <v>51</v>
      </c>
      <c r="G10" s="4" t="s">
        <v>48</v>
      </c>
      <c r="H10" s="4" t="s">
        <v>1</v>
      </c>
      <c r="I10" s="4" t="s">
        <v>2</v>
      </c>
      <c r="J10" s="4" t="s">
        <v>50</v>
      </c>
      <c r="K10" s="4" t="s">
        <v>51</v>
      </c>
      <c r="L10" s="4" t="s">
        <v>48</v>
      </c>
      <c r="M10" s="4" t="s">
        <v>1</v>
      </c>
      <c r="N10" s="4" t="s">
        <v>2</v>
      </c>
      <c r="O10" s="4" t="s">
        <v>50</v>
      </c>
      <c r="P10" s="4" t="s">
        <v>51</v>
      </c>
      <c r="Q10" s="4" t="s">
        <v>48</v>
      </c>
      <c r="R10" s="4" t="s">
        <v>1</v>
      </c>
      <c r="S10" s="4" t="s">
        <v>2</v>
      </c>
      <c r="T10" s="4" t="s">
        <v>50</v>
      </c>
      <c r="U10" s="4" t="s">
        <v>51</v>
      </c>
      <c r="V10" s="4" t="s">
        <v>58</v>
      </c>
      <c r="W10" s="4" t="s">
        <v>59</v>
      </c>
      <c r="X10" s="4" t="s">
        <v>56</v>
      </c>
      <c r="Z10" s="8">
        <v>275</v>
      </c>
      <c r="AA10" s="2">
        <v>0.85</v>
      </c>
      <c r="AC10" s="9" t="s">
        <v>73</v>
      </c>
      <c r="AD10" t="s">
        <v>49</v>
      </c>
      <c r="AF10" t="s">
        <v>60</v>
      </c>
      <c r="AH10" t="s">
        <v>64</v>
      </c>
      <c r="AK10" t="s">
        <v>65</v>
      </c>
      <c r="AL10" t="s">
        <v>66</v>
      </c>
      <c r="AM10" t="s">
        <v>67</v>
      </c>
      <c r="AN10" t="s">
        <v>65</v>
      </c>
      <c r="AO10" t="s">
        <v>66</v>
      </c>
      <c r="AP10" t="s">
        <v>67</v>
      </c>
      <c r="AR10" t="s">
        <v>70</v>
      </c>
      <c r="AT10" t="s">
        <v>70</v>
      </c>
      <c r="AV10" t="s">
        <v>87</v>
      </c>
      <c r="AW10" t="s">
        <v>88</v>
      </c>
    </row>
    <row r="11" spans="1:49" x14ac:dyDescent="0.15">
      <c r="A11" s="5">
        <v>1</v>
      </c>
      <c r="B11" s="5">
        <f>INT(VLOOKUP(B$10,$A$2:$C$7,2,0)+($A11-1)*VLOOKUP(B$10,$A$2:$C$7,3,0))</f>
        <v>240</v>
      </c>
      <c r="C11" s="5">
        <f t="shared" ref="C11:F26" si="0">INT(VLOOKUP(C$10,$A$2:$C$7,2,0)+($A11-1)*VLOOKUP(C$10,$A$2:$C$7,3,0))</f>
        <v>40</v>
      </c>
      <c r="D11" s="5">
        <f t="shared" si="0"/>
        <v>20</v>
      </c>
      <c r="E11" s="5">
        <f t="shared" si="0"/>
        <v>9</v>
      </c>
      <c r="F11" s="5">
        <f t="shared" si="0"/>
        <v>12</v>
      </c>
      <c r="G11" s="5">
        <f>HLOOKUP(G$10,$B$10:$F$610,$A11+1,0)*$AC11</f>
        <v>480</v>
      </c>
      <c r="H11" s="5">
        <f t="shared" ref="H11:K26" si="1">HLOOKUP(H$10,$B$10:$F$610,$A11+1,0)*$AC11</f>
        <v>80</v>
      </c>
      <c r="I11" s="5">
        <f t="shared" si="1"/>
        <v>40</v>
      </c>
      <c r="J11" s="5">
        <f t="shared" si="1"/>
        <v>18</v>
      </c>
      <c r="K11" s="5">
        <f t="shared" si="1"/>
        <v>24</v>
      </c>
      <c r="L11" s="5">
        <f>HLOOKUP(L$10,$B$10:$F$610,$A11+1,0)*$AD11</f>
        <v>240</v>
      </c>
      <c r="M11" s="5">
        <f t="shared" ref="M11:P26" si="2">HLOOKUP(M$10,$B$10:$F$610,$A11+1,0)*$AD11</f>
        <v>40</v>
      </c>
      <c r="N11" s="5">
        <f t="shared" si="2"/>
        <v>20</v>
      </c>
      <c r="O11" s="5">
        <f t="shared" si="2"/>
        <v>9</v>
      </c>
      <c r="P11" s="5">
        <f t="shared" si="2"/>
        <v>12</v>
      </c>
      <c r="Q11" s="5">
        <f>B11+G11+L11</f>
        <v>960</v>
      </c>
      <c r="R11" s="5">
        <f t="shared" ref="R11:U26" si="3">C11+H11+M11</f>
        <v>160</v>
      </c>
      <c r="S11" s="5">
        <f t="shared" si="3"/>
        <v>80</v>
      </c>
      <c r="T11" s="5">
        <f t="shared" si="3"/>
        <v>36</v>
      </c>
      <c r="U11" s="5">
        <f t="shared" si="3"/>
        <v>48</v>
      </c>
      <c r="V11" s="5">
        <f>B11*战斗力计算!$B$8+C11*战斗力计算!$B$9+D11*战斗力计算!$B$10+E11*战斗力计算!$B$11+F11*战斗力计算!$B$12</f>
        <v>1200</v>
      </c>
      <c r="W11" s="5">
        <f>G11*战斗力计算!$B$8+H11*战斗力计算!$B$9+I11*战斗力计算!$B$10+J11*战斗力计算!$B$11+K11*战斗力计算!$B$12+L11*战斗力计算!$B$8+M11*战斗力计算!$B$9+N11*战斗力计算!$B$10+O11*战斗力计算!$B$11+P11*战斗力计算!$B$12</f>
        <v>3600</v>
      </c>
      <c r="X11" s="5">
        <f>V11+W11</f>
        <v>4800</v>
      </c>
      <c r="Z11" s="8">
        <v>300</v>
      </c>
      <c r="AA11" s="2">
        <v>0.9</v>
      </c>
      <c r="AC11">
        <f>VLOOKUP($A11,$Z$2:$AA$13,2,1)*$E$3</f>
        <v>2</v>
      </c>
      <c r="AD11">
        <f>VLOOKUP($A11,$Z$2:$AA$13,2,1)*$E$6</f>
        <v>1</v>
      </c>
      <c r="AF11">
        <f>T11/U11</f>
        <v>0.75</v>
      </c>
      <c r="AH11">
        <f>Q11/(R11-S11)</f>
        <v>12</v>
      </c>
      <c r="AK11">
        <f>B11/D11</f>
        <v>12</v>
      </c>
      <c r="AL11">
        <f>C11/D11</f>
        <v>2</v>
      </c>
      <c r="AM11">
        <f>D11/D11</f>
        <v>1</v>
      </c>
      <c r="AN11">
        <f>(G11+L11)/(I11+N11)</f>
        <v>12</v>
      </c>
      <c r="AO11">
        <f>(H11+M11)/(I11+N11)</f>
        <v>2</v>
      </c>
      <c r="AP11">
        <f>(I11+N11)/(I11+N11)</f>
        <v>1</v>
      </c>
      <c r="AR11">
        <f>(B11*1+C11*12+D11*12)/(E11*16+F11*8)</f>
        <v>4</v>
      </c>
      <c r="AT11">
        <f>(G11*1+H11*12+I11*12+L11*1+M11*12+N11*12)/(J11*16+K11*8+O11*16+P11*8)</f>
        <v>4</v>
      </c>
      <c r="AV11">
        <f>INT(C11*$H$5)</f>
        <v>28</v>
      </c>
      <c r="AW11">
        <f>INT(C11*$H$3)</f>
        <v>52</v>
      </c>
    </row>
    <row r="12" spans="1:49" x14ac:dyDescent="0.15">
      <c r="A12" s="5">
        <v>2</v>
      </c>
      <c r="B12" s="5">
        <f t="shared" ref="B12:F75" si="4">INT(VLOOKUP(B$10,$A$2:$C$7,2,0)+($A12-1)*VLOOKUP(B$10,$A$2:$C$7,3,0))</f>
        <v>300</v>
      </c>
      <c r="C12" s="5">
        <f t="shared" si="0"/>
        <v>55</v>
      </c>
      <c r="D12" s="5">
        <f t="shared" si="0"/>
        <v>30</v>
      </c>
      <c r="E12" s="5">
        <f t="shared" si="0"/>
        <v>12</v>
      </c>
      <c r="F12" s="5">
        <f t="shared" si="0"/>
        <v>16</v>
      </c>
      <c r="G12" s="5">
        <f t="shared" ref="G12:K74" si="5">HLOOKUP(G$10,$B$10:$F$610,$A12+1,0)*$AC12</f>
        <v>600</v>
      </c>
      <c r="H12" s="5">
        <f t="shared" si="1"/>
        <v>110</v>
      </c>
      <c r="I12" s="5">
        <f t="shared" si="1"/>
        <v>60</v>
      </c>
      <c r="J12" s="5">
        <f t="shared" si="1"/>
        <v>24</v>
      </c>
      <c r="K12" s="5">
        <f t="shared" si="1"/>
        <v>32</v>
      </c>
      <c r="L12" s="5">
        <f t="shared" ref="L12:P74" si="6">HLOOKUP(L$10,$B$10:$F$610,$A12+1,0)*$AD12</f>
        <v>300</v>
      </c>
      <c r="M12" s="5">
        <f t="shared" si="2"/>
        <v>55</v>
      </c>
      <c r="N12" s="5">
        <f t="shared" si="2"/>
        <v>30</v>
      </c>
      <c r="O12" s="5">
        <f t="shared" si="2"/>
        <v>12</v>
      </c>
      <c r="P12" s="5">
        <f t="shared" si="2"/>
        <v>16</v>
      </c>
      <c r="Q12" s="5">
        <f t="shared" ref="Q12:U74" si="7">B12+G12+L12</f>
        <v>1200</v>
      </c>
      <c r="R12" s="5">
        <f t="shared" si="3"/>
        <v>220</v>
      </c>
      <c r="S12" s="5">
        <f t="shared" si="3"/>
        <v>120</v>
      </c>
      <c r="T12" s="5">
        <f t="shared" si="3"/>
        <v>48</v>
      </c>
      <c r="U12" s="5">
        <f t="shared" si="3"/>
        <v>64</v>
      </c>
      <c r="V12" s="5">
        <f>B12*战斗力计算!$B$8+C12*战斗力计算!$B$9+D12*战斗力计算!$B$10+E12*战斗力计算!$B$11+F12*战斗力计算!$B$12</f>
        <v>1640</v>
      </c>
      <c r="W12" s="5">
        <f>G12*战斗力计算!$B$8+H12*战斗力计算!$B$9+I12*战斗力计算!$B$10+J12*战斗力计算!$B$11+K12*战斗力计算!$B$12+L12*战斗力计算!$B$8+M12*战斗力计算!$B$9+N12*战斗力计算!$B$10+O12*战斗力计算!$B$11+P12*战斗力计算!$B$12</f>
        <v>4920</v>
      </c>
      <c r="X12" s="5">
        <f t="shared" ref="X12:X75" si="8">V12+W12</f>
        <v>6560</v>
      </c>
      <c r="Z12" s="8">
        <v>325</v>
      </c>
      <c r="AA12" s="2">
        <v>0.95</v>
      </c>
      <c r="AC12">
        <f t="shared" ref="AC12:AC75" si="9">VLOOKUP($A12,$Z$2:$AA$13,2,1)*$E$3</f>
        <v>2</v>
      </c>
      <c r="AD12">
        <f t="shared" ref="AD12:AD75" si="10">VLOOKUP($A12,$Z$2:$AA$13,2,1)*$E$6</f>
        <v>1</v>
      </c>
      <c r="AF12">
        <f t="shared" ref="AF12:AF75" si="11">T12/U12</f>
        <v>0.75</v>
      </c>
      <c r="AH12">
        <f t="shared" ref="AH12:AH75" si="12">Q12/(R12-S12)</f>
        <v>12</v>
      </c>
      <c r="AK12">
        <f t="shared" ref="AK12:AK75" si="13">B12/D12</f>
        <v>10</v>
      </c>
      <c r="AL12">
        <f t="shared" ref="AL12:AL75" si="14">C12/D12</f>
        <v>1.8333333333333333</v>
      </c>
      <c r="AM12">
        <f t="shared" ref="AM12:AM75" si="15">D12/D12</f>
        <v>1</v>
      </c>
      <c r="AN12">
        <f t="shared" ref="AN12:AN75" si="16">(G12+L12)/(I12+N12)</f>
        <v>10</v>
      </c>
      <c r="AO12">
        <f t="shared" ref="AO12:AO75" si="17">(H12+M12)/(I12+N12)</f>
        <v>1.8333333333333333</v>
      </c>
      <c r="AP12">
        <f t="shared" ref="AP12:AP75" si="18">(I12+N12)/(I12+N12)</f>
        <v>1</v>
      </c>
      <c r="AR12">
        <f t="shared" ref="AR12:AR75" si="19">(B12*1+C12*12+D12*12)/(E12*16+F12*8)</f>
        <v>4.125</v>
      </c>
      <c r="AT12">
        <f t="shared" ref="AT12:AT75" si="20">(G12*1+H12*12+I12*12+L12*1+M12*12+N12*12)/(J12*16+K12*8+O12*16+P12*8)</f>
        <v>4.125</v>
      </c>
      <c r="AV12">
        <f t="shared" ref="AV12:AV75" si="21">INT(C12*$H$5)</f>
        <v>38</v>
      </c>
      <c r="AW12">
        <f t="shared" ref="AW12:AW75" si="22">INT(C12*$H$3)</f>
        <v>71</v>
      </c>
    </row>
    <row r="13" spans="1:49" x14ac:dyDescent="0.15">
      <c r="A13" s="5">
        <v>3</v>
      </c>
      <c r="B13" s="5">
        <f t="shared" si="4"/>
        <v>360</v>
      </c>
      <c r="C13" s="5">
        <f t="shared" si="0"/>
        <v>70</v>
      </c>
      <c r="D13" s="5">
        <f t="shared" si="0"/>
        <v>40</v>
      </c>
      <c r="E13" s="5">
        <f t="shared" si="0"/>
        <v>15</v>
      </c>
      <c r="F13" s="5">
        <f t="shared" si="0"/>
        <v>20</v>
      </c>
      <c r="G13" s="5">
        <f t="shared" si="5"/>
        <v>720</v>
      </c>
      <c r="H13" s="5">
        <f t="shared" si="1"/>
        <v>140</v>
      </c>
      <c r="I13" s="5">
        <f t="shared" si="1"/>
        <v>80</v>
      </c>
      <c r="J13" s="5">
        <f t="shared" si="1"/>
        <v>30</v>
      </c>
      <c r="K13" s="5">
        <f t="shared" si="1"/>
        <v>40</v>
      </c>
      <c r="L13" s="5">
        <f t="shared" si="6"/>
        <v>360</v>
      </c>
      <c r="M13" s="5">
        <f t="shared" si="2"/>
        <v>70</v>
      </c>
      <c r="N13" s="5">
        <f t="shared" si="2"/>
        <v>40</v>
      </c>
      <c r="O13" s="5">
        <f t="shared" si="2"/>
        <v>15</v>
      </c>
      <c r="P13" s="5">
        <f t="shared" si="2"/>
        <v>20</v>
      </c>
      <c r="Q13" s="5">
        <f t="shared" si="7"/>
        <v>1440</v>
      </c>
      <c r="R13" s="5">
        <f t="shared" si="3"/>
        <v>280</v>
      </c>
      <c r="S13" s="5">
        <f t="shared" si="3"/>
        <v>160</v>
      </c>
      <c r="T13" s="5">
        <f t="shared" si="3"/>
        <v>60</v>
      </c>
      <c r="U13" s="5">
        <f t="shared" si="3"/>
        <v>80</v>
      </c>
      <c r="V13" s="5">
        <f>B13*战斗力计算!$B$8+C13*战斗力计算!$B$9+D13*战斗力计算!$B$10+E13*战斗力计算!$B$11+F13*战斗力计算!$B$12</f>
        <v>2080</v>
      </c>
      <c r="W13" s="5">
        <f>G13*战斗力计算!$B$8+H13*战斗力计算!$B$9+I13*战斗力计算!$B$10+J13*战斗力计算!$B$11+K13*战斗力计算!$B$12+L13*战斗力计算!$B$8+M13*战斗力计算!$B$9+N13*战斗力计算!$B$10+O13*战斗力计算!$B$11+P13*战斗力计算!$B$12</f>
        <v>6240</v>
      </c>
      <c r="X13" s="5">
        <f t="shared" si="8"/>
        <v>8320</v>
      </c>
      <c r="Z13" s="8">
        <v>350</v>
      </c>
      <c r="AA13" s="2">
        <v>1</v>
      </c>
      <c r="AC13">
        <f t="shared" si="9"/>
        <v>2</v>
      </c>
      <c r="AD13">
        <f t="shared" si="10"/>
        <v>1</v>
      </c>
      <c r="AF13">
        <f t="shared" si="11"/>
        <v>0.75</v>
      </c>
      <c r="AH13">
        <f t="shared" si="12"/>
        <v>12</v>
      </c>
      <c r="AK13">
        <f t="shared" si="13"/>
        <v>9</v>
      </c>
      <c r="AL13">
        <f t="shared" si="14"/>
        <v>1.75</v>
      </c>
      <c r="AM13">
        <f t="shared" si="15"/>
        <v>1</v>
      </c>
      <c r="AN13">
        <f t="shared" si="16"/>
        <v>9</v>
      </c>
      <c r="AO13">
        <f t="shared" si="17"/>
        <v>1.75</v>
      </c>
      <c r="AP13">
        <f t="shared" si="18"/>
        <v>1</v>
      </c>
      <c r="AR13">
        <f t="shared" si="19"/>
        <v>4.2</v>
      </c>
      <c r="AT13">
        <f t="shared" si="20"/>
        <v>4.2</v>
      </c>
      <c r="AV13">
        <f t="shared" si="21"/>
        <v>49</v>
      </c>
      <c r="AW13">
        <f t="shared" si="22"/>
        <v>91</v>
      </c>
    </row>
    <row r="14" spans="1:49" x14ac:dyDescent="0.15">
      <c r="A14" s="5">
        <v>4</v>
      </c>
      <c r="B14" s="5">
        <f t="shared" si="4"/>
        <v>420</v>
      </c>
      <c r="C14" s="5">
        <f t="shared" si="0"/>
        <v>85</v>
      </c>
      <c r="D14" s="5">
        <f t="shared" si="0"/>
        <v>50</v>
      </c>
      <c r="E14" s="5">
        <f t="shared" si="0"/>
        <v>18</v>
      </c>
      <c r="F14" s="5">
        <f t="shared" si="0"/>
        <v>24</v>
      </c>
      <c r="G14" s="5">
        <f t="shared" si="5"/>
        <v>840</v>
      </c>
      <c r="H14" s="5">
        <f t="shared" si="1"/>
        <v>170</v>
      </c>
      <c r="I14" s="5">
        <f t="shared" si="1"/>
        <v>100</v>
      </c>
      <c r="J14" s="5">
        <f t="shared" si="1"/>
        <v>36</v>
      </c>
      <c r="K14" s="5">
        <f t="shared" si="1"/>
        <v>48</v>
      </c>
      <c r="L14" s="5">
        <f t="shared" si="6"/>
        <v>420</v>
      </c>
      <c r="M14" s="5">
        <f t="shared" si="2"/>
        <v>85</v>
      </c>
      <c r="N14" s="5">
        <f t="shared" si="2"/>
        <v>50</v>
      </c>
      <c r="O14" s="5">
        <f t="shared" si="2"/>
        <v>18</v>
      </c>
      <c r="P14" s="5">
        <f t="shared" si="2"/>
        <v>24</v>
      </c>
      <c r="Q14" s="5">
        <f t="shared" si="7"/>
        <v>1680</v>
      </c>
      <c r="R14" s="5">
        <f t="shared" si="3"/>
        <v>340</v>
      </c>
      <c r="S14" s="5">
        <f t="shared" si="3"/>
        <v>200</v>
      </c>
      <c r="T14" s="5">
        <f t="shared" si="3"/>
        <v>72</v>
      </c>
      <c r="U14" s="5">
        <f t="shared" si="3"/>
        <v>96</v>
      </c>
      <c r="V14" s="5">
        <f>B14*战斗力计算!$B$8+C14*战斗力计算!$B$9+D14*战斗力计算!$B$10+E14*战斗力计算!$B$11+F14*战斗力计算!$B$12</f>
        <v>2520</v>
      </c>
      <c r="W14" s="5">
        <f>G14*战斗力计算!$B$8+H14*战斗力计算!$B$9+I14*战斗力计算!$B$10+J14*战斗力计算!$B$11+K14*战斗力计算!$B$12+L14*战斗力计算!$B$8+M14*战斗力计算!$B$9+N14*战斗力计算!$B$10+O14*战斗力计算!$B$11+P14*战斗力计算!$B$12</f>
        <v>7560</v>
      </c>
      <c r="X14" s="5">
        <f t="shared" si="8"/>
        <v>10080</v>
      </c>
      <c r="AC14">
        <f t="shared" si="9"/>
        <v>2</v>
      </c>
      <c r="AD14">
        <f t="shared" si="10"/>
        <v>1</v>
      </c>
      <c r="AF14">
        <f t="shared" si="11"/>
        <v>0.75</v>
      </c>
      <c r="AH14">
        <f t="shared" si="12"/>
        <v>12</v>
      </c>
      <c r="AK14">
        <f t="shared" si="13"/>
        <v>8.4</v>
      </c>
      <c r="AL14">
        <f t="shared" si="14"/>
        <v>1.7</v>
      </c>
      <c r="AM14">
        <f t="shared" si="15"/>
        <v>1</v>
      </c>
      <c r="AN14">
        <f t="shared" si="16"/>
        <v>8.4</v>
      </c>
      <c r="AO14">
        <f t="shared" si="17"/>
        <v>1.7</v>
      </c>
      <c r="AP14">
        <f t="shared" si="18"/>
        <v>1</v>
      </c>
      <c r="AR14">
        <f t="shared" si="19"/>
        <v>4.25</v>
      </c>
      <c r="AT14">
        <f t="shared" si="20"/>
        <v>4.25</v>
      </c>
      <c r="AV14">
        <f t="shared" si="21"/>
        <v>59</v>
      </c>
      <c r="AW14">
        <f t="shared" si="22"/>
        <v>110</v>
      </c>
    </row>
    <row r="15" spans="1:49" x14ac:dyDescent="0.15">
      <c r="A15" s="5">
        <v>5</v>
      </c>
      <c r="B15" s="5">
        <f t="shared" si="4"/>
        <v>480</v>
      </c>
      <c r="C15" s="5">
        <f t="shared" si="0"/>
        <v>100</v>
      </c>
      <c r="D15" s="5">
        <f t="shared" si="0"/>
        <v>60</v>
      </c>
      <c r="E15" s="5">
        <f t="shared" si="0"/>
        <v>21</v>
      </c>
      <c r="F15" s="5">
        <f t="shared" si="0"/>
        <v>28</v>
      </c>
      <c r="G15" s="5">
        <f t="shared" si="5"/>
        <v>960</v>
      </c>
      <c r="H15" s="5">
        <f t="shared" si="1"/>
        <v>200</v>
      </c>
      <c r="I15" s="5">
        <f t="shared" si="1"/>
        <v>120</v>
      </c>
      <c r="J15" s="5">
        <f t="shared" si="1"/>
        <v>42</v>
      </c>
      <c r="K15" s="5">
        <f t="shared" si="1"/>
        <v>56</v>
      </c>
      <c r="L15" s="5">
        <f t="shared" si="6"/>
        <v>480</v>
      </c>
      <c r="M15" s="5">
        <f t="shared" si="2"/>
        <v>100</v>
      </c>
      <c r="N15" s="5">
        <f t="shared" si="2"/>
        <v>60</v>
      </c>
      <c r="O15" s="5">
        <f t="shared" si="2"/>
        <v>21</v>
      </c>
      <c r="P15" s="5">
        <f t="shared" si="2"/>
        <v>28</v>
      </c>
      <c r="Q15" s="5">
        <f t="shared" si="7"/>
        <v>1920</v>
      </c>
      <c r="R15" s="5">
        <f t="shared" si="3"/>
        <v>400</v>
      </c>
      <c r="S15" s="5">
        <f t="shared" si="3"/>
        <v>240</v>
      </c>
      <c r="T15" s="5">
        <f t="shared" si="3"/>
        <v>84</v>
      </c>
      <c r="U15" s="5">
        <f t="shared" si="3"/>
        <v>112</v>
      </c>
      <c r="V15" s="5">
        <f>B15*战斗力计算!$B$8+C15*战斗力计算!$B$9+D15*战斗力计算!$B$10+E15*战斗力计算!$B$11+F15*战斗力计算!$B$12</f>
        <v>2960</v>
      </c>
      <c r="W15" s="5">
        <f>G15*战斗力计算!$B$8+H15*战斗力计算!$B$9+I15*战斗力计算!$B$10+J15*战斗力计算!$B$11+K15*战斗力计算!$B$12+L15*战斗力计算!$B$8+M15*战斗力计算!$B$9+N15*战斗力计算!$B$10+O15*战斗力计算!$B$11+P15*战斗力计算!$B$12</f>
        <v>8880</v>
      </c>
      <c r="X15" s="5">
        <f t="shared" si="8"/>
        <v>11840</v>
      </c>
      <c r="AC15">
        <f t="shared" si="9"/>
        <v>2</v>
      </c>
      <c r="AD15">
        <f t="shared" si="10"/>
        <v>1</v>
      </c>
      <c r="AF15">
        <f t="shared" si="11"/>
        <v>0.75</v>
      </c>
      <c r="AH15">
        <f t="shared" si="12"/>
        <v>12</v>
      </c>
      <c r="AK15">
        <f t="shared" si="13"/>
        <v>8</v>
      </c>
      <c r="AL15">
        <f t="shared" si="14"/>
        <v>1.6666666666666667</v>
      </c>
      <c r="AM15">
        <f t="shared" si="15"/>
        <v>1</v>
      </c>
      <c r="AN15">
        <f t="shared" si="16"/>
        <v>8</v>
      </c>
      <c r="AO15">
        <f t="shared" si="17"/>
        <v>1.6666666666666667</v>
      </c>
      <c r="AP15">
        <f t="shared" si="18"/>
        <v>1</v>
      </c>
      <c r="AR15">
        <f t="shared" si="19"/>
        <v>4.2857142857142856</v>
      </c>
      <c r="AT15">
        <f t="shared" si="20"/>
        <v>4.2857142857142856</v>
      </c>
      <c r="AV15">
        <f t="shared" si="21"/>
        <v>70</v>
      </c>
      <c r="AW15">
        <f t="shared" si="22"/>
        <v>130</v>
      </c>
    </row>
    <row r="16" spans="1:49" x14ac:dyDescent="0.15">
      <c r="A16" s="5">
        <v>6</v>
      </c>
      <c r="B16" s="5">
        <f t="shared" si="4"/>
        <v>540</v>
      </c>
      <c r="C16" s="5">
        <f t="shared" si="0"/>
        <v>115</v>
      </c>
      <c r="D16" s="5">
        <f t="shared" si="0"/>
        <v>70</v>
      </c>
      <c r="E16" s="5">
        <f t="shared" si="0"/>
        <v>24</v>
      </c>
      <c r="F16" s="5">
        <f t="shared" si="0"/>
        <v>32</v>
      </c>
      <c r="G16" s="5">
        <f t="shared" si="5"/>
        <v>1080</v>
      </c>
      <c r="H16" s="5">
        <f t="shared" si="1"/>
        <v>230</v>
      </c>
      <c r="I16" s="5">
        <f t="shared" si="1"/>
        <v>140</v>
      </c>
      <c r="J16" s="5">
        <f t="shared" si="1"/>
        <v>48</v>
      </c>
      <c r="K16" s="5">
        <f t="shared" si="1"/>
        <v>64</v>
      </c>
      <c r="L16" s="5">
        <f t="shared" si="6"/>
        <v>540</v>
      </c>
      <c r="M16" s="5">
        <f t="shared" si="2"/>
        <v>115</v>
      </c>
      <c r="N16" s="5">
        <f t="shared" si="2"/>
        <v>70</v>
      </c>
      <c r="O16" s="5">
        <f t="shared" si="2"/>
        <v>24</v>
      </c>
      <c r="P16" s="5">
        <f t="shared" si="2"/>
        <v>32</v>
      </c>
      <c r="Q16" s="5">
        <f t="shared" si="7"/>
        <v>2160</v>
      </c>
      <c r="R16" s="5">
        <f t="shared" si="3"/>
        <v>460</v>
      </c>
      <c r="S16" s="5">
        <f t="shared" si="3"/>
        <v>280</v>
      </c>
      <c r="T16" s="5">
        <f t="shared" si="3"/>
        <v>96</v>
      </c>
      <c r="U16" s="5">
        <f t="shared" si="3"/>
        <v>128</v>
      </c>
      <c r="V16" s="5">
        <f>B16*战斗力计算!$B$8+C16*战斗力计算!$B$9+D16*战斗力计算!$B$10+E16*战斗力计算!$B$11+F16*战斗力计算!$B$12</f>
        <v>3400</v>
      </c>
      <c r="W16" s="5">
        <f>G16*战斗力计算!$B$8+H16*战斗力计算!$B$9+I16*战斗力计算!$B$10+J16*战斗力计算!$B$11+K16*战斗力计算!$B$12+L16*战斗力计算!$B$8+M16*战斗力计算!$B$9+N16*战斗力计算!$B$10+O16*战斗力计算!$B$11+P16*战斗力计算!$B$12</f>
        <v>10200</v>
      </c>
      <c r="X16" s="5">
        <f t="shared" si="8"/>
        <v>13600</v>
      </c>
      <c r="AC16">
        <f t="shared" si="9"/>
        <v>2</v>
      </c>
      <c r="AD16">
        <f t="shared" si="10"/>
        <v>1</v>
      </c>
      <c r="AF16">
        <f t="shared" si="11"/>
        <v>0.75</v>
      </c>
      <c r="AH16">
        <f t="shared" si="12"/>
        <v>12</v>
      </c>
      <c r="AK16">
        <f t="shared" si="13"/>
        <v>7.7142857142857144</v>
      </c>
      <c r="AL16">
        <f t="shared" si="14"/>
        <v>1.6428571428571428</v>
      </c>
      <c r="AM16">
        <f t="shared" si="15"/>
        <v>1</v>
      </c>
      <c r="AN16">
        <f t="shared" si="16"/>
        <v>7.7142857142857144</v>
      </c>
      <c r="AO16">
        <f t="shared" si="17"/>
        <v>1.6428571428571428</v>
      </c>
      <c r="AP16">
        <f t="shared" si="18"/>
        <v>1</v>
      </c>
      <c r="AR16">
        <f t="shared" si="19"/>
        <v>4.3125</v>
      </c>
      <c r="AT16">
        <f t="shared" si="20"/>
        <v>4.3125</v>
      </c>
      <c r="AV16">
        <f t="shared" si="21"/>
        <v>80</v>
      </c>
      <c r="AW16">
        <f t="shared" si="22"/>
        <v>149</v>
      </c>
    </row>
    <row r="17" spans="1:49" x14ac:dyDescent="0.15">
      <c r="A17" s="5">
        <v>7</v>
      </c>
      <c r="B17" s="5">
        <f t="shared" si="4"/>
        <v>600</v>
      </c>
      <c r="C17" s="5">
        <f t="shared" si="0"/>
        <v>130</v>
      </c>
      <c r="D17" s="5">
        <f t="shared" si="0"/>
        <v>80</v>
      </c>
      <c r="E17" s="5">
        <f t="shared" si="0"/>
        <v>27</v>
      </c>
      <c r="F17" s="5">
        <f t="shared" si="0"/>
        <v>36</v>
      </c>
      <c r="G17" s="5">
        <f t="shared" si="5"/>
        <v>1200</v>
      </c>
      <c r="H17" s="5">
        <f t="shared" si="1"/>
        <v>260</v>
      </c>
      <c r="I17" s="5">
        <f t="shared" si="1"/>
        <v>160</v>
      </c>
      <c r="J17" s="5">
        <f t="shared" si="1"/>
        <v>54</v>
      </c>
      <c r="K17" s="5">
        <f t="shared" si="1"/>
        <v>72</v>
      </c>
      <c r="L17" s="5">
        <f t="shared" si="6"/>
        <v>600</v>
      </c>
      <c r="M17" s="5">
        <f t="shared" si="2"/>
        <v>130</v>
      </c>
      <c r="N17" s="5">
        <f t="shared" si="2"/>
        <v>80</v>
      </c>
      <c r="O17" s="5">
        <f t="shared" si="2"/>
        <v>27</v>
      </c>
      <c r="P17" s="5">
        <f t="shared" si="2"/>
        <v>36</v>
      </c>
      <c r="Q17" s="5">
        <f t="shared" si="7"/>
        <v>2400</v>
      </c>
      <c r="R17" s="5">
        <f t="shared" si="3"/>
        <v>520</v>
      </c>
      <c r="S17" s="5">
        <f t="shared" si="3"/>
        <v>320</v>
      </c>
      <c r="T17" s="5">
        <f t="shared" si="3"/>
        <v>108</v>
      </c>
      <c r="U17" s="5">
        <f t="shared" si="3"/>
        <v>144</v>
      </c>
      <c r="V17" s="5">
        <f>B17*战斗力计算!$B$8+C17*战斗力计算!$B$9+D17*战斗力计算!$B$10+E17*战斗力计算!$B$11+F17*战斗力计算!$B$12</f>
        <v>3840</v>
      </c>
      <c r="W17" s="5">
        <f>G17*战斗力计算!$B$8+H17*战斗力计算!$B$9+I17*战斗力计算!$B$10+J17*战斗力计算!$B$11+K17*战斗力计算!$B$12+L17*战斗力计算!$B$8+M17*战斗力计算!$B$9+N17*战斗力计算!$B$10+O17*战斗力计算!$B$11+P17*战斗力计算!$B$12</f>
        <v>11520</v>
      </c>
      <c r="X17" s="5">
        <f t="shared" si="8"/>
        <v>15360</v>
      </c>
      <c r="AC17">
        <f t="shared" si="9"/>
        <v>2</v>
      </c>
      <c r="AD17">
        <f t="shared" si="10"/>
        <v>1</v>
      </c>
      <c r="AF17">
        <f t="shared" si="11"/>
        <v>0.75</v>
      </c>
      <c r="AH17">
        <f t="shared" si="12"/>
        <v>12</v>
      </c>
      <c r="AK17">
        <f t="shared" si="13"/>
        <v>7.5</v>
      </c>
      <c r="AL17">
        <f t="shared" si="14"/>
        <v>1.625</v>
      </c>
      <c r="AM17">
        <f t="shared" si="15"/>
        <v>1</v>
      </c>
      <c r="AN17">
        <f t="shared" si="16"/>
        <v>7.5</v>
      </c>
      <c r="AO17">
        <f t="shared" si="17"/>
        <v>1.625</v>
      </c>
      <c r="AP17">
        <f t="shared" si="18"/>
        <v>1</v>
      </c>
      <c r="AR17">
        <f t="shared" si="19"/>
        <v>4.333333333333333</v>
      </c>
      <c r="AT17">
        <f t="shared" si="20"/>
        <v>4.333333333333333</v>
      </c>
      <c r="AV17">
        <f t="shared" si="21"/>
        <v>91</v>
      </c>
      <c r="AW17">
        <f t="shared" si="22"/>
        <v>169</v>
      </c>
    </row>
    <row r="18" spans="1:49" x14ac:dyDescent="0.15">
      <c r="A18" s="5">
        <v>8</v>
      </c>
      <c r="B18" s="5">
        <f t="shared" si="4"/>
        <v>660</v>
      </c>
      <c r="C18" s="5">
        <f t="shared" si="0"/>
        <v>145</v>
      </c>
      <c r="D18" s="5">
        <f t="shared" si="0"/>
        <v>90</v>
      </c>
      <c r="E18" s="5">
        <f t="shared" si="0"/>
        <v>30</v>
      </c>
      <c r="F18" s="5">
        <f t="shared" si="0"/>
        <v>40</v>
      </c>
      <c r="G18" s="5">
        <f t="shared" si="5"/>
        <v>1320</v>
      </c>
      <c r="H18" s="5">
        <f t="shared" si="1"/>
        <v>290</v>
      </c>
      <c r="I18" s="5">
        <f t="shared" si="1"/>
        <v>180</v>
      </c>
      <c r="J18" s="5">
        <f t="shared" si="1"/>
        <v>60</v>
      </c>
      <c r="K18" s="5">
        <f t="shared" si="1"/>
        <v>80</v>
      </c>
      <c r="L18" s="5">
        <f t="shared" si="6"/>
        <v>660</v>
      </c>
      <c r="M18" s="5">
        <f t="shared" si="2"/>
        <v>145</v>
      </c>
      <c r="N18" s="5">
        <f t="shared" si="2"/>
        <v>90</v>
      </c>
      <c r="O18" s="5">
        <f t="shared" si="2"/>
        <v>30</v>
      </c>
      <c r="P18" s="5">
        <f t="shared" si="2"/>
        <v>40</v>
      </c>
      <c r="Q18" s="5">
        <f t="shared" si="7"/>
        <v>2640</v>
      </c>
      <c r="R18" s="5">
        <f t="shared" si="3"/>
        <v>580</v>
      </c>
      <c r="S18" s="5">
        <f t="shared" si="3"/>
        <v>360</v>
      </c>
      <c r="T18" s="5">
        <f t="shared" si="3"/>
        <v>120</v>
      </c>
      <c r="U18" s="5">
        <f t="shared" si="3"/>
        <v>160</v>
      </c>
      <c r="V18" s="5">
        <f>B18*战斗力计算!$B$8+C18*战斗力计算!$B$9+D18*战斗力计算!$B$10+E18*战斗力计算!$B$11+F18*战斗力计算!$B$12</f>
        <v>4280</v>
      </c>
      <c r="W18" s="5">
        <f>G18*战斗力计算!$B$8+H18*战斗力计算!$B$9+I18*战斗力计算!$B$10+J18*战斗力计算!$B$11+K18*战斗力计算!$B$12+L18*战斗力计算!$B$8+M18*战斗力计算!$B$9+N18*战斗力计算!$B$10+O18*战斗力计算!$B$11+P18*战斗力计算!$B$12</f>
        <v>12840</v>
      </c>
      <c r="X18" s="5">
        <f t="shared" si="8"/>
        <v>17120</v>
      </c>
      <c r="AC18">
        <f t="shared" si="9"/>
        <v>2</v>
      </c>
      <c r="AD18">
        <f t="shared" si="10"/>
        <v>1</v>
      </c>
      <c r="AF18">
        <f t="shared" si="11"/>
        <v>0.75</v>
      </c>
      <c r="AH18">
        <f t="shared" si="12"/>
        <v>12</v>
      </c>
      <c r="AK18">
        <f t="shared" si="13"/>
        <v>7.333333333333333</v>
      </c>
      <c r="AL18">
        <f t="shared" si="14"/>
        <v>1.6111111111111112</v>
      </c>
      <c r="AM18">
        <f t="shared" si="15"/>
        <v>1</v>
      </c>
      <c r="AN18">
        <f t="shared" si="16"/>
        <v>7.333333333333333</v>
      </c>
      <c r="AO18">
        <f t="shared" si="17"/>
        <v>1.6111111111111112</v>
      </c>
      <c r="AP18">
        <f t="shared" si="18"/>
        <v>1</v>
      </c>
      <c r="AR18">
        <f t="shared" si="19"/>
        <v>4.3499999999999996</v>
      </c>
      <c r="AT18">
        <f t="shared" si="20"/>
        <v>4.3499999999999996</v>
      </c>
      <c r="AV18">
        <f t="shared" si="21"/>
        <v>101</v>
      </c>
      <c r="AW18">
        <f t="shared" si="22"/>
        <v>188</v>
      </c>
    </row>
    <row r="19" spans="1:49" x14ac:dyDescent="0.15">
      <c r="A19" s="5">
        <v>9</v>
      </c>
      <c r="B19" s="5">
        <f t="shared" si="4"/>
        <v>720</v>
      </c>
      <c r="C19" s="5">
        <f t="shared" si="0"/>
        <v>160</v>
      </c>
      <c r="D19" s="5">
        <f t="shared" si="0"/>
        <v>100</v>
      </c>
      <c r="E19" s="5">
        <f t="shared" si="0"/>
        <v>33</v>
      </c>
      <c r="F19" s="5">
        <f t="shared" si="0"/>
        <v>44</v>
      </c>
      <c r="G19" s="5">
        <f t="shared" si="5"/>
        <v>1440</v>
      </c>
      <c r="H19" s="5">
        <f t="shared" si="1"/>
        <v>320</v>
      </c>
      <c r="I19" s="5">
        <f t="shared" si="1"/>
        <v>200</v>
      </c>
      <c r="J19" s="5">
        <f t="shared" si="1"/>
        <v>66</v>
      </c>
      <c r="K19" s="5">
        <f t="shared" si="1"/>
        <v>88</v>
      </c>
      <c r="L19" s="5">
        <f t="shared" si="6"/>
        <v>720</v>
      </c>
      <c r="M19" s="5">
        <f t="shared" si="2"/>
        <v>160</v>
      </c>
      <c r="N19" s="5">
        <f t="shared" si="2"/>
        <v>100</v>
      </c>
      <c r="O19" s="5">
        <f t="shared" si="2"/>
        <v>33</v>
      </c>
      <c r="P19" s="5">
        <f t="shared" si="2"/>
        <v>44</v>
      </c>
      <c r="Q19" s="5">
        <f t="shared" si="7"/>
        <v>2880</v>
      </c>
      <c r="R19" s="5">
        <f t="shared" si="3"/>
        <v>640</v>
      </c>
      <c r="S19" s="5">
        <f t="shared" si="3"/>
        <v>400</v>
      </c>
      <c r="T19" s="5">
        <f t="shared" si="3"/>
        <v>132</v>
      </c>
      <c r="U19" s="5">
        <f t="shared" si="3"/>
        <v>176</v>
      </c>
      <c r="V19" s="5">
        <f>B19*战斗力计算!$B$8+C19*战斗力计算!$B$9+D19*战斗力计算!$B$10+E19*战斗力计算!$B$11+F19*战斗力计算!$B$12</f>
        <v>4720</v>
      </c>
      <c r="W19" s="5">
        <f>G19*战斗力计算!$B$8+H19*战斗力计算!$B$9+I19*战斗力计算!$B$10+J19*战斗力计算!$B$11+K19*战斗力计算!$B$12+L19*战斗力计算!$B$8+M19*战斗力计算!$B$9+N19*战斗力计算!$B$10+O19*战斗力计算!$B$11+P19*战斗力计算!$B$12</f>
        <v>14160</v>
      </c>
      <c r="X19" s="5">
        <f t="shared" si="8"/>
        <v>18880</v>
      </c>
      <c r="AC19">
        <f t="shared" si="9"/>
        <v>2</v>
      </c>
      <c r="AD19">
        <f t="shared" si="10"/>
        <v>1</v>
      </c>
      <c r="AF19">
        <f t="shared" si="11"/>
        <v>0.75</v>
      </c>
      <c r="AH19">
        <f t="shared" si="12"/>
        <v>12</v>
      </c>
      <c r="AK19">
        <f t="shared" si="13"/>
        <v>7.2</v>
      </c>
      <c r="AL19">
        <f t="shared" si="14"/>
        <v>1.6</v>
      </c>
      <c r="AM19">
        <f t="shared" si="15"/>
        <v>1</v>
      </c>
      <c r="AN19">
        <f t="shared" si="16"/>
        <v>7.2</v>
      </c>
      <c r="AO19">
        <f t="shared" si="17"/>
        <v>1.6</v>
      </c>
      <c r="AP19">
        <f t="shared" si="18"/>
        <v>1</v>
      </c>
      <c r="AR19">
        <f t="shared" si="19"/>
        <v>4.3636363636363633</v>
      </c>
      <c r="AT19">
        <f t="shared" si="20"/>
        <v>4.3636363636363633</v>
      </c>
      <c r="AV19">
        <f t="shared" si="21"/>
        <v>112</v>
      </c>
      <c r="AW19">
        <f t="shared" si="22"/>
        <v>208</v>
      </c>
    </row>
    <row r="20" spans="1:49" x14ac:dyDescent="0.15">
      <c r="A20" s="5">
        <v>10</v>
      </c>
      <c r="B20" s="5">
        <f t="shared" si="4"/>
        <v>780</v>
      </c>
      <c r="C20" s="5">
        <f t="shared" si="0"/>
        <v>175</v>
      </c>
      <c r="D20" s="5">
        <f t="shared" si="0"/>
        <v>110</v>
      </c>
      <c r="E20" s="5">
        <f t="shared" si="0"/>
        <v>36</v>
      </c>
      <c r="F20" s="5">
        <f t="shared" si="0"/>
        <v>48</v>
      </c>
      <c r="G20" s="5">
        <f t="shared" si="5"/>
        <v>1560</v>
      </c>
      <c r="H20" s="5">
        <f t="shared" si="1"/>
        <v>350</v>
      </c>
      <c r="I20" s="5">
        <f t="shared" si="1"/>
        <v>220</v>
      </c>
      <c r="J20" s="5">
        <f t="shared" si="1"/>
        <v>72</v>
      </c>
      <c r="K20" s="5">
        <f t="shared" si="1"/>
        <v>96</v>
      </c>
      <c r="L20" s="5">
        <f t="shared" si="6"/>
        <v>780</v>
      </c>
      <c r="M20" s="5">
        <f t="shared" si="2"/>
        <v>175</v>
      </c>
      <c r="N20" s="5">
        <f t="shared" si="2"/>
        <v>110</v>
      </c>
      <c r="O20" s="5">
        <f t="shared" si="2"/>
        <v>36</v>
      </c>
      <c r="P20" s="5">
        <f t="shared" si="2"/>
        <v>48</v>
      </c>
      <c r="Q20" s="5">
        <f t="shared" si="7"/>
        <v>3120</v>
      </c>
      <c r="R20" s="5">
        <f t="shared" si="3"/>
        <v>700</v>
      </c>
      <c r="S20" s="5">
        <f t="shared" si="3"/>
        <v>440</v>
      </c>
      <c r="T20" s="5">
        <f t="shared" si="3"/>
        <v>144</v>
      </c>
      <c r="U20" s="5">
        <f t="shared" si="3"/>
        <v>192</v>
      </c>
      <c r="V20" s="5">
        <f>B20*战斗力计算!$B$8+C20*战斗力计算!$B$9+D20*战斗力计算!$B$10+E20*战斗力计算!$B$11+F20*战斗力计算!$B$12</f>
        <v>5160</v>
      </c>
      <c r="W20" s="5">
        <f>G20*战斗力计算!$B$8+H20*战斗力计算!$B$9+I20*战斗力计算!$B$10+J20*战斗力计算!$B$11+K20*战斗力计算!$B$12+L20*战斗力计算!$B$8+M20*战斗力计算!$B$9+N20*战斗力计算!$B$10+O20*战斗力计算!$B$11+P20*战斗力计算!$B$12</f>
        <v>15480</v>
      </c>
      <c r="X20" s="5">
        <f t="shared" si="8"/>
        <v>20640</v>
      </c>
      <c r="AC20">
        <f t="shared" si="9"/>
        <v>2</v>
      </c>
      <c r="AD20">
        <f t="shared" si="10"/>
        <v>1</v>
      </c>
      <c r="AF20">
        <f t="shared" si="11"/>
        <v>0.75</v>
      </c>
      <c r="AH20">
        <f t="shared" si="12"/>
        <v>12</v>
      </c>
      <c r="AK20">
        <f t="shared" si="13"/>
        <v>7.0909090909090908</v>
      </c>
      <c r="AL20">
        <f t="shared" si="14"/>
        <v>1.5909090909090908</v>
      </c>
      <c r="AM20">
        <f t="shared" si="15"/>
        <v>1</v>
      </c>
      <c r="AN20">
        <f t="shared" si="16"/>
        <v>7.0909090909090908</v>
      </c>
      <c r="AO20">
        <f t="shared" si="17"/>
        <v>1.5909090909090908</v>
      </c>
      <c r="AP20">
        <f t="shared" si="18"/>
        <v>1</v>
      </c>
      <c r="AR20">
        <f t="shared" si="19"/>
        <v>4.375</v>
      </c>
      <c r="AT20">
        <f t="shared" si="20"/>
        <v>4.375</v>
      </c>
      <c r="AV20">
        <f t="shared" si="21"/>
        <v>122</v>
      </c>
      <c r="AW20">
        <f t="shared" si="22"/>
        <v>227</v>
      </c>
    </row>
    <row r="21" spans="1:49" x14ac:dyDescent="0.15">
      <c r="A21" s="5">
        <v>11</v>
      </c>
      <c r="B21" s="5">
        <f t="shared" si="4"/>
        <v>840</v>
      </c>
      <c r="C21" s="5">
        <f t="shared" si="0"/>
        <v>190</v>
      </c>
      <c r="D21" s="5">
        <f t="shared" si="0"/>
        <v>120</v>
      </c>
      <c r="E21" s="5">
        <f t="shared" si="0"/>
        <v>39</v>
      </c>
      <c r="F21" s="5">
        <f t="shared" si="0"/>
        <v>52</v>
      </c>
      <c r="G21" s="5">
        <f t="shared" si="5"/>
        <v>1680</v>
      </c>
      <c r="H21" s="5">
        <f t="shared" si="1"/>
        <v>380</v>
      </c>
      <c r="I21" s="5">
        <f t="shared" si="1"/>
        <v>240</v>
      </c>
      <c r="J21" s="5">
        <f t="shared" si="1"/>
        <v>78</v>
      </c>
      <c r="K21" s="5">
        <f t="shared" si="1"/>
        <v>104</v>
      </c>
      <c r="L21" s="5">
        <f t="shared" si="6"/>
        <v>840</v>
      </c>
      <c r="M21" s="5">
        <f t="shared" si="2"/>
        <v>190</v>
      </c>
      <c r="N21" s="5">
        <f t="shared" si="2"/>
        <v>120</v>
      </c>
      <c r="O21" s="5">
        <f t="shared" si="2"/>
        <v>39</v>
      </c>
      <c r="P21" s="5">
        <f t="shared" si="2"/>
        <v>52</v>
      </c>
      <c r="Q21" s="5">
        <f t="shared" si="7"/>
        <v>3360</v>
      </c>
      <c r="R21" s="5">
        <f t="shared" si="3"/>
        <v>760</v>
      </c>
      <c r="S21" s="5">
        <f t="shared" si="3"/>
        <v>480</v>
      </c>
      <c r="T21" s="5">
        <f t="shared" si="3"/>
        <v>156</v>
      </c>
      <c r="U21" s="5">
        <f t="shared" si="3"/>
        <v>208</v>
      </c>
      <c r="V21" s="5">
        <f>B21*战斗力计算!$B$8+C21*战斗力计算!$B$9+D21*战斗力计算!$B$10+E21*战斗力计算!$B$11+F21*战斗力计算!$B$12</f>
        <v>5600</v>
      </c>
      <c r="W21" s="5">
        <f>G21*战斗力计算!$B$8+H21*战斗力计算!$B$9+I21*战斗力计算!$B$10+J21*战斗力计算!$B$11+K21*战斗力计算!$B$12+L21*战斗力计算!$B$8+M21*战斗力计算!$B$9+N21*战斗力计算!$B$10+O21*战斗力计算!$B$11+P21*战斗力计算!$B$12</f>
        <v>16800</v>
      </c>
      <c r="X21" s="5">
        <f t="shared" si="8"/>
        <v>22400</v>
      </c>
      <c r="AC21">
        <f t="shared" si="9"/>
        <v>2</v>
      </c>
      <c r="AD21">
        <f t="shared" si="10"/>
        <v>1</v>
      </c>
      <c r="AF21">
        <f t="shared" si="11"/>
        <v>0.75</v>
      </c>
      <c r="AH21">
        <f t="shared" si="12"/>
        <v>12</v>
      </c>
      <c r="AK21">
        <f t="shared" si="13"/>
        <v>7</v>
      </c>
      <c r="AL21">
        <f t="shared" si="14"/>
        <v>1.5833333333333333</v>
      </c>
      <c r="AM21">
        <f t="shared" si="15"/>
        <v>1</v>
      </c>
      <c r="AN21">
        <f t="shared" si="16"/>
        <v>7</v>
      </c>
      <c r="AO21">
        <f t="shared" si="17"/>
        <v>1.5833333333333333</v>
      </c>
      <c r="AP21">
        <f t="shared" si="18"/>
        <v>1</v>
      </c>
      <c r="AR21">
        <f t="shared" si="19"/>
        <v>4.384615384615385</v>
      </c>
      <c r="AT21">
        <f t="shared" si="20"/>
        <v>4.384615384615385</v>
      </c>
      <c r="AV21">
        <f t="shared" si="21"/>
        <v>133</v>
      </c>
      <c r="AW21">
        <f t="shared" si="22"/>
        <v>247</v>
      </c>
    </row>
    <row r="22" spans="1:49" x14ac:dyDescent="0.15">
      <c r="A22" s="5">
        <v>12</v>
      </c>
      <c r="B22" s="5">
        <f t="shared" si="4"/>
        <v>900</v>
      </c>
      <c r="C22" s="5">
        <f t="shared" si="0"/>
        <v>205</v>
      </c>
      <c r="D22" s="5">
        <f t="shared" si="0"/>
        <v>130</v>
      </c>
      <c r="E22" s="5">
        <f t="shared" si="0"/>
        <v>42</v>
      </c>
      <c r="F22" s="5">
        <f t="shared" si="0"/>
        <v>56</v>
      </c>
      <c r="G22" s="5">
        <f t="shared" si="5"/>
        <v>1800</v>
      </c>
      <c r="H22" s="5">
        <f t="shared" si="1"/>
        <v>410</v>
      </c>
      <c r="I22" s="5">
        <f t="shared" si="1"/>
        <v>260</v>
      </c>
      <c r="J22" s="5">
        <f t="shared" si="1"/>
        <v>84</v>
      </c>
      <c r="K22" s="5">
        <f t="shared" si="1"/>
        <v>112</v>
      </c>
      <c r="L22" s="5">
        <f t="shared" si="6"/>
        <v>900</v>
      </c>
      <c r="M22" s="5">
        <f t="shared" si="2"/>
        <v>205</v>
      </c>
      <c r="N22" s="5">
        <f t="shared" si="2"/>
        <v>130</v>
      </c>
      <c r="O22" s="5">
        <f t="shared" si="2"/>
        <v>42</v>
      </c>
      <c r="P22" s="5">
        <f t="shared" si="2"/>
        <v>56</v>
      </c>
      <c r="Q22" s="5">
        <f t="shared" si="7"/>
        <v>3600</v>
      </c>
      <c r="R22" s="5">
        <f t="shared" si="3"/>
        <v>820</v>
      </c>
      <c r="S22" s="5">
        <f t="shared" si="3"/>
        <v>520</v>
      </c>
      <c r="T22" s="5">
        <f t="shared" si="3"/>
        <v>168</v>
      </c>
      <c r="U22" s="5">
        <f t="shared" si="3"/>
        <v>224</v>
      </c>
      <c r="V22" s="5">
        <f>B22*战斗力计算!$B$8+C22*战斗力计算!$B$9+D22*战斗力计算!$B$10+E22*战斗力计算!$B$11+F22*战斗力计算!$B$12</f>
        <v>6040</v>
      </c>
      <c r="W22" s="5">
        <f>G22*战斗力计算!$B$8+H22*战斗力计算!$B$9+I22*战斗力计算!$B$10+J22*战斗力计算!$B$11+K22*战斗力计算!$B$12+L22*战斗力计算!$B$8+M22*战斗力计算!$B$9+N22*战斗力计算!$B$10+O22*战斗力计算!$B$11+P22*战斗力计算!$B$12</f>
        <v>18120</v>
      </c>
      <c r="X22" s="5">
        <f t="shared" si="8"/>
        <v>24160</v>
      </c>
      <c r="AC22">
        <f t="shared" si="9"/>
        <v>2</v>
      </c>
      <c r="AD22">
        <f t="shared" si="10"/>
        <v>1</v>
      </c>
      <c r="AF22">
        <f t="shared" si="11"/>
        <v>0.75</v>
      </c>
      <c r="AH22">
        <f t="shared" si="12"/>
        <v>12</v>
      </c>
      <c r="AK22">
        <f t="shared" si="13"/>
        <v>6.9230769230769234</v>
      </c>
      <c r="AL22">
        <f t="shared" si="14"/>
        <v>1.5769230769230769</v>
      </c>
      <c r="AM22">
        <f t="shared" si="15"/>
        <v>1</v>
      </c>
      <c r="AN22">
        <f t="shared" si="16"/>
        <v>6.9230769230769234</v>
      </c>
      <c r="AO22">
        <f t="shared" si="17"/>
        <v>1.5769230769230769</v>
      </c>
      <c r="AP22">
        <f t="shared" si="18"/>
        <v>1</v>
      </c>
      <c r="AR22">
        <f t="shared" si="19"/>
        <v>4.3928571428571432</v>
      </c>
      <c r="AT22">
        <f t="shared" si="20"/>
        <v>4.3928571428571432</v>
      </c>
      <c r="AV22">
        <f t="shared" si="21"/>
        <v>143</v>
      </c>
      <c r="AW22">
        <f t="shared" si="22"/>
        <v>266</v>
      </c>
    </row>
    <row r="23" spans="1:49" x14ac:dyDescent="0.15">
      <c r="A23" s="5">
        <v>13</v>
      </c>
      <c r="B23" s="5">
        <f t="shared" si="4"/>
        <v>960</v>
      </c>
      <c r="C23" s="5">
        <f t="shared" si="0"/>
        <v>220</v>
      </c>
      <c r="D23" s="5">
        <f t="shared" si="0"/>
        <v>140</v>
      </c>
      <c r="E23" s="5">
        <f t="shared" si="0"/>
        <v>45</v>
      </c>
      <c r="F23" s="5">
        <f t="shared" si="0"/>
        <v>60</v>
      </c>
      <c r="G23" s="5">
        <f t="shared" si="5"/>
        <v>1920</v>
      </c>
      <c r="H23" s="5">
        <f t="shared" si="1"/>
        <v>440</v>
      </c>
      <c r="I23" s="5">
        <f t="shared" si="1"/>
        <v>280</v>
      </c>
      <c r="J23" s="5">
        <f t="shared" si="1"/>
        <v>90</v>
      </c>
      <c r="K23" s="5">
        <f t="shared" si="1"/>
        <v>120</v>
      </c>
      <c r="L23" s="5">
        <f t="shared" si="6"/>
        <v>960</v>
      </c>
      <c r="M23" s="5">
        <f t="shared" si="2"/>
        <v>220</v>
      </c>
      <c r="N23" s="5">
        <f t="shared" si="2"/>
        <v>140</v>
      </c>
      <c r="O23" s="5">
        <f t="shared" si="2"/>
        <v>45</v>
      </c>
      <c r="P23" s="5">
        <f t="shared" si="2"/>
        <v>60</v>
      </c>
      <c r="Q23" s="5">
        <f t="shared" si="7"/>
        <v>3840</v>
      </c>
      <c r="R23" s="5">
        <f t="shared" si="3"/>
        <v>880</v>
      </c>
      <c r="S23" s="5">
        <f t="shared" si="3"/>
        <v>560</v>
      </c>
      <c r="T23" s="5">
        <f t="shared" si="3"/>
        <v>180</v>
      </c>
      <c r="U23" s="5">
        <f t="shared" si="3"/>
        <v>240</v>
      </c>
      <c r="V23" s="5">
        <f>B23*战斗力计算!$B$8+C23*战斗力计算!$B$9+D23*战斗力计算!$B$10+E23*战斗力计算!$B$11+F23*战斗力计算!$B$12</f>
        <v>6480</v>
      </c>
      <c r="W23" s="5">
        <f>G23*战斗力计算!$B$8+H23*战斗力计算!$B$9+I23*战斗力计算!$B$10+J23*战斗力计算!$B$11+K23*战斗力计算!$B$12+L23*战斗力计算!$B$8+M23*战斗力计算!$B$9+N23*战斗力计算!$B$10+O23*战斗力计算!$B$11+P23*战斗力计算!$B$12</f>
        <v>19440</v>
      </c>
      <c r="X23" s="5">
        <f t="shared" si="8"/>
        <v>25920</v>
      </c>
      <c r="AC23">
        <f t="shared" si="9"/>
        <v>2</v>
      </c>
      <c r="AD23">
        <f t="shared" si="10"/>
        <v>1</v>
      </c>
      <c r="AF23">
        <f t="shared" si="11"/>
        <v>0.75</v>
      </c>
      <c r="AH23">
        <f t="shared" si="12"/>
        <v>12</v>
      </c>
      <c r="AK23">
        <f t="shared" si="13"/>
        <v>6.8571428571428568</v>
      </c>
      <c r="AL23">
        <f t="shared" si="14"/>
        <v>1.5714285714285714</v>
      </c>
      <c r="AM23">
        <f t="shared" si="15"/>
        <v>1</v>
      </c>
      <c r="AN23">
        <f t="shared" si="16"/>
        <v>6.8571428571428568</v>
      </c>
      <c r="AO23">
        <f t="shared" si="17"/>
        <v>1.5714285714285714</v>
      </c>
      <c r="AP23">
        <f t="shared" si="18"/>
        <v>1</v>
      </c>
      <c r="AR23">
        <f t="shared" si="19"/>
        <v>4.4000000000000004</v>
      </c>
      <c r="AT23">
        <f t="shared" si="20"/>
        <v>4.4000000000000004</v>
      </c>
      <c r="AV23">
        <f t="shared" si="21"/>
        <v>154</v>
      </c>
      <c r="AW23">
        <f t="shared" si="22"/>
        <v>286</v>
      </c>
    </row>
    <row r="24" spans="1:49" x14ac:dyDescent="0.15">
      <c r="A24" s="5">
        <v>14</v>
      </c>
      <c r="B24" s="5">
        <f t="shared" si="4"/>
        <v>1020</v>
      </c>
      <c r="C24" s="5">
        <f t="shared" si="0"/>
        <v>235</v>
      </c>
      <c r="D24" s="5">
        <f t="shared" si="0"/>
        <v>150</v>
      </c>
      <c r="E24" s="5">
        <f t="shared" si="0"/>
        <v>48</v>
      </c>
      <c r="F24" s="5">
        <f t="shared" si="0"/>
        <v>64</v>
      </c>
      <c r="G24" s="5">
        <f t="shared" si="5"/>
        <v>2040</v>
      </c>
      <c r="H24" s="5">
        <f t="shared" si="1"/>
        <v>470</v>
      </c>
      <c r="I24" s="5">
        <f t="shared" si="1"/>
        <v>300</v>
      </c>
      <c r="J24" s="5">
        <f t="shared" si="1"/>
        <v>96</v>
      </c>
      <c r="K24" s="5">
        <f t="shared" si="1"/>
        <v>128</v>
      </c>
      <c r="L24" s="5">
        <f t="shared" si="6"/>
        <v>1020</v>
      </c>
      <c r="M24" s="5">
        <f t="shared" si="2"/>
        <v>235</v>
      </c>
      <c r="N24" s="5">
        <f t="shared" si="2"/>
        <v>150</v>
      </c>
      <c r="O24" s="5">
        <f t="shared" si="2"/>
        <v>48</v>
      </c>
      <c r="P24" s="5">
        <f t="shared" si="2"/>
        <v>64</v>
      </c>
      <c r="Q24" s="5">
        <f t="shared" si="7"/>
        <v>4080</v>
      </c>
      <c r="R24" s="5">
        <f t="shared" si="3"/>
        <v>940</v>
      </c>
      <c r="S24" s="5">
        <f t="shared" si="3"/>
        <v>600</v>
      </c>
      <c r="T24" s="5">
        <f t="shared" si="3"/>
        <v>192</v>
      </c>
      <c r="U24" s="5">
        <f t="shared" si="3"/>
        <v>256</v>
      </c>
      <c r="V24" s="5">
        <f>B24*战斗力计算!$B$8+C24*战斗力计算!$B$9+D24*战斗力计算!$B$10+E24*战斗力计算!$B$11+F24*战斗力计算!$B$12</f>
        <v>6920</v>
      </c>
      <c r="W24" s="5">
        <f>G24*战斗力计算!$B$8+H24*战斗力计算!$B$9+I24*战斗力计算!$B$10+J24*战斗力计算!$B$11+K24*战斗力计算!$B$12+L24*战斗力计算!$B$8+M24*战斗力计算!$B$9+N24*战斗力计算!$B$10+O24*战斗力计算!$B$11+P24*战斗力计算!$B$12</f>
        <v>20760</v>
      </c>
      <c r="X24" s="5">
        <f t="shared" si="8"/>
        <v>27680</v>
      </c>
      <c r="AC24">
        <f t="shared" si="9"/>
        <v>2</v>
      </c>
      <c r="AD24">
        <f t="shared" si="10"/>
        <v>1</v>
      </c>
      <c r="AF24">
        <f t="shared" si="11"/>
        <v>0.75</v>
      </c>
      <c r="AH24">
        <f t="shared" si="12"/>
        <v>12</v>
      </c>
      <c r="AK24">
        <f t="shared" si="13"/>
        <v>6.8</v>
      </c>
      <c r="AL24">
        <f t="shared" si="14"/>
        <v>1.5666666666666667</v>
      </c>
      <c r="AM24">
        <f t="shared" si="15"/>
        <v>1</v>
      </c>
      <c r="AN24">
        <f t="shared" si="16"/>
        <v>6.8</v>
      </c>
      <c r="AO24">
        <f t="shared" si="17"/>
        <v>1.5666666666666667</v>
      </c>
      <c r="AP24">
        <f t="shared" si="18"/>
        <v>1</v>
      </c>
      <c r="AR24">
        <f t="shared" si="19"/>
        <v>4.40625</v>
      </c>
      <c r="AT24">
        <f t="shared" si="20"/>
        <v>4.40625</v>
      </c>
      <c r="AV24">
        <f t="shared" si="21"/>
        <v>164</v>
      </c>
      <c r="AW24">
        <f t="shared" si="22"/>
        <v>305</v>
      </c>
    </row>
    <row r="25" spans="1:49" x14ac:dyDescent="0.15">
      <c r="A25" s="5">
        <v>15</v>
      </c>
      <c r="B25" s="5">
        <f t="shared" si="4"/>
        <v>1080</v>
      </c>
      <c r="C25" s="5">
        <f t="shared" si="0"/>
        <v>250</v>
      </c>
      <c r="D25" s="5">
        <f t="shared" si="0"/>
        <v>160</v>
      </c>
      <c r="E25" s="5">
        <f t="shared" si="0"/>
        <v>51</v>
      </c>
      <c r="F25" s="5">
        <f t="shared" si="0"/>
        <v>68</v>
      </c>
      <c r="G25" s="5">
        <f t="shared" si="5"/>
        <v>2160</v>
      </c>
      <c r="H25" s="5">
        <f t="shared" si="1"/>
        <v>500</v>
      </c>
      <c r="I25" s="5">
        <f t="shared" si="1"/>
        <v>320</v>
      </c>
      <c r="J25" s="5">
        <f t="shared" si="1"/>
        <v>102</v>
      </c>
      <c r="K25" s="5">
        <f t="shared" si="1"/>
        <v>136</v>
      </c>
      <c r="L25" s="5">
        <f t="shared" si="6"/>
        <v>1080</v>
      </c>
      <c r="M25" s="5">
        <f t="shared" si="2"/>
        <v>250</v>
      </c>
      <c r="N25" s="5">
        <f t="shared" si="2"/>
        <v>160</v>
      </c>
      <c r="O25" s="5">
        <f t="shared" si="2"/>
        <v>51</v>
      </c>
      <c r="P25" s="5">
        <f t="shared" si="2"/>
        <v>68</v>
      </c>
      <c r="Q25" s="5">
        <f t="shared" si="7"/>
        <v>4320</v>
      </c>
      <c r="R25" s="5">
        <f t="shared" si="3"/>
        <v>1000</v>
      </c>
      <c r="S25" s="5">
        <f t="shared" si="3"/>
        <v>640</v>
      </c>
      <c r="T25" s="5">
        <f t="shared" si="3"/>
        <v>204</v>
      </c>
      <c r="U25" s="5">
        <f t="shared" si="3"/>
        <v>272</v>
      </c>
      <c r="V25" s="5">
        <f>B25*战斗力计算!$B$8+C25*战斗力计算!$B$9+D25*战斗力计算!$B$10+E25*战斗力计算!$B$11+F25*战斗力计算!$B$12</f>
        <v>7360</v>
      </c>
      <c r="W25" s="5">
        <f>G25*战斗力计算!$B$8+H25*战斗力计算!$B$9+I25*战斗力计算!$B$10+J25*战斗力计算!$B$11+K25*战斗力计算!$B$12+L25*战斗力计算!$B$8+M25*战斗力计算!$B$9+N25*战斗力计算!$B$10+O25*战斗力计算!$B$11+P25*战斗力计算!$B$12</f>
        <v>22080</v>
      </c>
      <c r="X25" s="5">
        <f t="shared" si="8"/>
        <v>29440</v>
      </c>
      <c r="AC25">
        <f t="shared" si="9"/>
        <v>2</v>
      </c>
      <c r="AD25">
        <f t="shared" si="10"/>
        <v>1</v>
      </c>
      <c r="AF25">
        <f t="shared" si="11"/>
        <v>0.75</v>
      </c>
      <c r="AH25">
        <f t="shared" si="12"/>
        <v>12</v>
      </c>
      <c r="AK25">
        <f t="shared" si="13"/>
        <v>6.75</v>
      </c>
      <c r="AL25">
        <f t="shared" si="14"/>
        <v>1.5625</v>
      </c>
      <c r="AM25">
        <f t="shared" si="15"/>
        <v>1</v>
      </c>
      <c r="AN25">
        <f t="shared" si="16"/>
        <v>6.75</v>
      </c>
      <c r="AO25">
        <f t="shared" si="17"/>
        <v>1.5625</v>
      </c>
      <c r="AP25">
        <f t="shared" si="18"/>
        <v>1</v>
      </c>
      <c r="AR25">
        <f t="shared" si="19"/>
        <v>4.4117647058823533</v>
      </c>
      <c r="AT25">
        <f t="shared" si="20"/>
        <v>4.4117647058823533</v>
      </c>
      <c r="AV25">
        <f t="shared" si="21"/>
        <v>175</v>
      </c>
      <c r="AW25">
        <f t="shared" si="22"/>
        <v>325</v>
      </c>
    </row>
    <row r="26" spans="1:49" x14ac:dyDescent="0.15">
      <c r="A26" s="5">
        <v>16</v>
      </c>
      <c r="B26" s="5">
        <f t="shared" si="4"/>
        <v>1140</v>
      </c>
      <c r="C26" s="5">
        <f t="shared" si="0"/>
        <v>265</v>
      </c>
      <c r="D26" s="5">
        <f t="shared" si="0"/>
        <v>170</v>
      </c>
      <c r="E26" s="5">
        <f t="shared" si="0"/>
        <v>54</v>
      </c>
      <c r="F26" s="5">
        <f t="shared" si="0"/>
        <v>72</v>
      </c>
      <c r="G26" s="5">
        <f t="shared" si="5"/>
        <v>2280</v>
      </c>
      <c r="H26" s="5">
        <f t="shared" si="1"/>
        <v>530</v>
      </c>
      <c r="I26" s="5">
        <f t="shared" si="1"/>
        <v>340</v>
      </c>
      <c r="J26" s="5">
        <f t="shared" si="1"/>
        <v>108</v>
      </c>
      <c r="K26" s="5">
        <f t="shared" si="1"/>
        <v>144</v>
      </c>
      <c r="L26" s="5">
        <f t="shared" si="6"/>
        <v>1140</v>
      </c>
      <c r="M26" s="5">
        <f t="shared" si="2"/>
        <v>265</v>
      </c>
      <c r="N26" s="5">
        <f t="shared" si="2"/>
        <v>170</v>
      </c>
      <c r="O26" s="5">
        <f t="shared" si="2"/>
        <v>54</v>
      </c>
      <c r="P26" s="5">
        <f t="shared" si="2"/>
        <v>72</v>
      </c>
      <c r="Q26" s="5">
        <f t="shared" si="7"/>
        <v>4560</v>
      </c>
      <c r="R26" s="5">
        <f t="shared" si="3"/>
        <v>1060</v>
      </c>
      <c r="S26" s="5">
        <f t="shared" si="3"/>
        <v>680</v>
      </c>
      <c r="T26" s="5">
        <f t="shared" si="3"/>
        <v>216</v>
      </c>
      <c r="U26" s="5">
        <f t="shared" si="3"/>
        <v>288</v>
      </c>
      <c r="V26" s="5">
        <f>B26*战斗力计算!$B$8+C26*战斗力计算!$B$9+D26*战斗力计算!$B$10+E26*战斗力计算!$B$11+F26*战斗力计算!$B$12</f>
        <v>7800</v>
      </c>
      <c r="W26" s="5">
        <f>G26*战斗力计算!$B$8+H26*战斗力计算!$B$9+I26*战斗力计算!$B$10+J26*战斗力计算!$B$11+K26*战斗力计算!$B$12+L26*战斗力计算!$B$8+M26*战斗力计算!$B$9+N26*战斗力计算!$B$10+O26*战斗力计算!$B$11+P26*战斗力计算!$B$12</f>
        <v>23400</v>
      </c>
      <c r="X26" s="5">
        <f t="shared" si="8"/>
        <v>31200</v>
      </c>
      <c r="AC26">
        <f t="shared" si="9"/>
        <v>2</v>
      </c>
      <c r="AD26">
        <f t="shared" si="10"/>
        <v>1</v>
      </c>
      <c r="AF26">
        <f t="shared" si="11"/>
        <v>0.75</v>
      </c>
      <c r="AH26">
        <f t="shared" si="12"/>
        <v>12</v>
      </c>
      <c r="AK26">
        <f t="shared" si="13"/>
        <v>6.7058823529411766</v>
      </c>
      <c r="AL26">
        <f t="shared" si="14"/>
        <v>1.5588235294117647</v>
      </c>
      <c r="AM26">
        <f t="shared" si="15"/>
        <v>1</v>
      </c>
      <c r="AN26">
        <f t="shared" si="16"/>
        <v>6.7058823529411766</v>
      </c>
      <c r="AO26">
        <f t="shared" si="17"/>
        <v>1.5588235294117647</v>
      </c>
      <c r="AP26">
        <f t="shared" si="18"/>
        <v>1</v>
      </c>
      <c r="AR26">
        <f t="shared" si="19"/>
        <v>4.416666666666667</v>
      </c>
      <c r="AT26">
        <f t="shared" si="20"/>
        <v>4.416666666666667</v>
      </c>
      <c r="AV26">
        <f t="shared" si="21"/>
        <v>185</v>
      </c>
      <c r="AW26">
        <f t="shared" si="22"/>
        <v>344</v>
      </c>
    </row>
    <row r="27" spans="1:49" x14ac:dyDescent="0.15">
      <c r="A27" s="5">
        <v>17</v>
      </c>
      <c r="B27" s="5">
        <f t="shared" si="4"/>
        <v>1200</v>
      </c>
      <c r="C27" s="5">
        <f t="shared" si="4"/>
        <v>280</v>
      </c>
      <c r="D27" s="5">
        <f t="shared" si="4"/>
        <v>180</v>
      </c>
      <c r="E27" s="5">
        <f t="shared" si="4"/>
        <v>57</v>
      </c>
      <c r="F27" s="5">
        <f t="shared" si="4"/>
        <v>76</v>
      </c>
      <c r="G27" s="5">
        <f t="shared" si="5"/>
        <v>2400</v>
      </c>
      <c r="H27" s="5">
        <f t="shared" si="5"/>
        <v>560</v>
      </c>
      <c r="I27" s="5">
        <f t="shared" si="5"/>
        <v>360</v>
      </c>
      <c r="J27" s="5">
        <f t="shared" si="5"/>
        <v>114</v>
      </c>
      <c r="K27" s="5">
        <f t="shared" si="5"/>
        <v>152</v>
      </c>
      <c r="L27" s="5">
        <f t="shared" si="6"/>
        <v>1200</v>
      </c>
      <c r="M27" s="5">
        <f t="shared" si="6"/>
        <v>280</v>
      </c>
      <c r="N27" s="5">
        <f t="shared" si="6"/>
        <v>180</v>
      </c>
      <c r="O27" s="5">
        <f t="shared" si="6"/>
        <v>57</v>
      </c>
      <c r="P27" s="5">
        <f t="shared" si="6"/>
        <v>76</v>
      </c>
      <c r="Q27" s="5">
        <f t="shared" si="7"/>
        <v>4800</v>
      </c>
      <c r="R27" s="5">
        <f t="shared" si="7"/>
        <v>1120</v>
      </c>
      <c r="S27" s="5">
        <f t="shared" si="7"/>
        <v>720</v>
      </c>
      <c r="T27" s="5">
        <f t="shared" si="7"/>
        <v>228</v>
      </c>
      <c r="U27" s="5">
        <f t="shared" si="7"/>
        <v>304</v>
      </c>
      <c r="V27" s="5">
        <f>B27*战斗力计算!$B$8+C27*战斗力计算!$B$9+D27*战斗力计算!$B$10+E27*战斗力计算!$B$11+F27*战斗力计算!$B$12</f>
        <v>8240</v>
      </c>
      <c r="W27" s="5">
        <f>G27*战斗力计算!$B$8+H27*战斗力计算!$B$9+I27*战斗力计算!$B$10+J27*战斗力计算!$B$11+K27*战斗力计算!$B$12+L27*战斗力计算!$B$8+M27*战斗力计算!$B$9+N27*战斗力计算!$B$10+O27*战斗力计算!$B$11+P27*战斗力计算!$B$12</f>
        <v>24720</v>
      </c>
      <c r="X27" s="5">
        <f t="shared" si="8"/>
        <v>32960</v>
      </c>
      <c r="AC27">
        <f t="shared" si="9"/>
        <v>2</v>
      </c>
      <c r="AD27">
        <f t="shared" si="10"/>
        <v>1</v>
      </c>
      <c r="AF27">
        <f t="shared" si="11"/>
        <v>0.75</v>
      </c>
      <c r="AH27">
        <f t="shared" si="12"/>
        <v>12</v>
      </c>
      <c r="AK27">
        <f t="shared" si="13"/>
        <v>6.666666666666667</v>
      </c>
      <c r="AL27">
        <f t="shared" si="14"/>
        <v>1.5555555555555556</v>
      </c>
      <c r="AM27">
        <f t="shared" si="15"/>
        <v>1</v>
      </c>
      <c r="AN27">
        <f t="shared" si="16"/>
        <v>6.666666666666667</v>
      </c>
      <c r="AO27">
        <f t="shared" si="17"/>
        <v>1.5555555555555556</v>
      </c>
      <c r="AP27">
        <f t="shared" si="18"/>
        <v>1</v>
      </c>
      <c r="AR27">
        <f t="shared" si="19"/>
        <v>4.4210526315789478</v>
      </c>
      <c r="AT27">
        <f t="shared" si="20"/>
        <v>4.4210526315789478</v>
      </c>
      <c r="AV27">
        <f t="shared" si="21"/>
        <v>196</v>
      </c>
      <c r="AW27">
        <f t="shared" si="22"/>
        <v>364</v>
      </c>
    </row>
    <row r="28" spans="1:49" x14ac:dyDescent="0.15">
      <c r="A28" s="5">
        <v>18</v>
      </c>
      <c r="B28" s="5">
        <f t="shared" si="4"/>
        <v>1260</v>
      </c>
      <c r="C28" s="5">
        <f t="shared" si="4"/>
        <v>295</v>
      </c>
      <c r="D28" s="5">
        <f t="shared" si="4"/>
        <v>190</v>
      </c>
      <c r="E28" s="5">
        <f t="shared" si="4"/>
        <v>60</v>
      </c>
      <c r="F28" s="5">
        <f t="shared" si="4"/>
        <v>80</v>
      </c>
      <c r="G28" s="5">
        <f t="shared" si="5"/>
        <v>2520</v>
      </c>
      <c r="H28" s="5">
        <f t="shared" si="5"/>
        <v>590</v>
      </c>
      <c r="I28" s="5">
        <f t="shared" si="5"/>
        <v>380</v>
      </c>
      <c r="J28" s="5">
        <f t="shared" si="5"/>
        <v>120</v>
      </c>
      <c r="K28" s="5">
        <f t="shared" si="5"/>
        <v>160</v>
      </c>
      <c r="L28" s="5">
        <f t="shared" si="6"/>
        <v>1260</v>
      </c>
      <c r="M28" s="5">
        <f t="shared" si="6"/>
        <v>295</v>
      </c>
      <c r="N28" s="5">
        <f t="shared" si="6"/>
        <v>190</v>
      </c>
      <c r="O28" s="5">
        <f t="shared" si="6"/>
        <v>60</v>
      </c>
      <c r="P28" s="5">
        <f t="shared" si="6"/>
        <v>80</v>
      </c>
      <c r="Q28" s="5">
        <f t="shared" si="7"/>
        <v>5040</v>
      </c>
      <c r="R28" s="5">
        <f t="shared" si="7"/>
        <v>1180</v>
      </c>
      <c r="S28" s="5">
        <f t="shared" si="7"/>
        <v>760</v>
      </c>
      <c r="T28" s="5">
        <f t="shared" si="7"/>
        <v>240</v>
      </c>
      <c r="U28" s="5">
        <f t="shared" si="7"/>
        <v>320</v>
      </c>
      <c r="V28" s="5">
        <f>B28*战斗力计算!$B$8+C28*战斗力计算!$B$9+D28*战斗力计算!$B$10+E28*战斗力计算!$B$11+F28*战斗力计算!$B$12</f>
        <v>8680</v>
      </c>
      <c r="W28" s="5">
        <f>G28*战斗力计算!$B$8+H28*战斗力计算!$B$9+I28*战斗力计算!$B$10+J28*战斗力计算!$B$11+K28*战斗力计算!$B$12+L28*战斗力计算!$B$8+M28*战斗力计算!$B$9+N28*战斗力计算!$B$10+O28*战斗力计算!$B$11+P28*战斗力计算!$B$12</f>
        <v>26040</v>
      </c>
      <c r="X28" s="5">
        <f t="shared" si="8"/>
        <v>34720</v>
      </c>
      <c r="AC28">
        <f t="shared" si="9"/>
        <v>2</v>
      </c>
      <c r="AD28">
        <f t="shared" si="10"/>
        <v>1</v>
      </c>
      <c r="AF28">
        <f t="shared" si="11"/>
        <v>0.75</v>
      </c>
      <c r="AH28">
        <f t="shared" si="12"/>
        <v>12</v>
      </c>
      <c r="AK28">
        <f t="shared" si="13"/>
        <v>6.6315789473684212</v>
      </c>
      <c r="AL28">
        <f t="shared" si="14"/>
        <v>1.5526315789473684</v>
      </c>
      <c r="AM28">
        <f t="shared" si="15"/>
        <v>1</v>
      </c>
      <c r="AN28">
        <f t="shared" si="16"/>
        <v>6.6315789473684212</v>
      </c>
      <c r="AO28">
        <f t="shared" si="17"/>
        <v>1.5526315789473684</v>
      </c>
      <c r="AP28">
        <f t="shared" si="18"/>
        <v>1</v>
      </c>
      <c r="AR28">
        <f t="shared" si="19"/>
        <v>4.4249999999999998</v>
      </c>
      <c r="AT28">
        <f t="shared" si="20"/>
        <v>4.4249999999999998</v>
      </c>
      <c r="AV28">
        <f t="shared" si="21"/>
        <v>206</v>
      </c>
      <c r="AW28">
        <f t="shared" si="22"/>
        <v>383</v>
      </c>
    </row>
    <row r="29" spans="1:49" x14ac:dyDescent="0.15">
      <c r="A29" s="5">
        <v>19</v>
      </c>
      <c r="B29" s="5">
        <f t="shared" si="4"/>
        <v>1320</v>
      </c>
      <c r="C29" s="5">
        <f t="shared" si="4"/>
        <v>310</v>
      </c>
      <c r="D29" s="5">
        <f t="shared" si="4"/>
        <v>200</v>
      </c>
      <c r="E29" s="5">
        <f t="shared" si="4"/>
        <v>63</v>
      </c>
      <c r="F29" s="5">
        <f t="shared" si="4"/>
        <v>84</v>
      </c>
      <c r="G29" s="5">
        <f t="shared" si="5"/>
        <v>2640</v>
      </c>
      <c r="H29" s="5">
        <f t="shared" si="5"/>
        <v>620</v>
      </c>
      <c r="I29" s="5">
        <f t="shared" si="5"/>
        <v>400</v>
      </c>
      <c r="J29" s="5">
        <f t="shared" si="5"/>
        <v>126</v>
      </c>
      <c r="K29" s="5">
        <f t="shared" si="5"/>
        <v>168</v>
      </c>
      <c r="L29" s="5">
        <f t="shared" si="6"/>
        <v>1320</v>
      </c>
      <c r="M29" s="5">
        <f t="shared" si="6"/>
        <v>310</v>
      </c>
      <c r="N29" s="5">
        <f t="shared" si="6"/>
        <v>200</v>
      </c>
      <c r="O29" s="5">
        <f t="shared" si="6"/>
        <v>63</v>
      </c>
      <c r="P29" s="5">
        <f t="shared" si="6"/>
        <v>84</v>
      </c>
      <c r="Q29" s="5">
        <f t="shared" si="7"/>
        <v>5280</v>
      </c>
      <c r="R29" s="5">
        <f t="shared" si="7"/>
        <v>1240</v>
      </c>
      <c r="S29" s="5">
        <f t="shared" si="7"/>
        <v>800</v>
      </c>
      <c r="T29" s="5">
        <f t="shared" si="7"/>
        <v>252</v>
      </c>
      <c r="U29" s="5">
        <f t="shared" si="7"/>
        <v>336</v>
      </c>
      <c r="V29" s="5">
        <f>B29*战斗力计算!$B$8+C29*战斗力计算!$B$9+D29*战斗力计算!$B$10+E29*战斗力计算!$B$11+F29*战斗力计算!$B$12</f>
        <v>9120</v>
      </c>
      <c r="W29" s="5">
        <f>G29*战斗力计算!$B$8+H29*战斗力计算!$B$9+I29*战斗力计算!$B$10+J29*战斗力计算!$B$11+K29*战斗力计算!$B$12+L29*战斗力计算!$B$8+M29*战斗力计算!$B$9+N29*战斗力计算!$B$10+O29*战斗力计算!$B$11+P29*战斗力计算!$B$12</f>
        <v>27360</v>
      </c>
      <c r="X29" s="5">
        <f t="shared" si="8"/>
        <v>36480</v>
      </c>
      <c r="AC29">
        <f t="shared" si="9"/>
        <v>2</v>
      </c>
      <c r="AD29">
        <f t="shared" si="10"/>
        <v>1</v>
      </c>
      <c r="AF29">
        <f t="shared" si="11"/>
        <v>0.75</v>
      </c>
      <c r="AH29">
        <f t="shared" si="12"/>
        <v>12</v>
      </c>
      <c r="AK29">
        <f t="shared" si="13"/>
        <v>6.6</v>
      </c>
      <c r="AL29">
        <f t="shared" si="14"/>
        <v>1.55</v>
      </c>
      <c r="AM29">
        <f t="shared" si="15"/>
        <v>1</v>
      </c>
      <c r="AN29">
        <f t="shared" si="16"/>
        <v>6.6</v>
      </c>
      <c r="AO29">
        <f t="shared" si="17"/>
        <v>1.55</v>
      </c>
      <c r="AP29">
        <f t="shared" si="18"/>
        <v>1</v>
      </c>
      <c r="AR29">
        <f t="shared" si="19"/>
        <v>4.4285714285714288</v>
      </c>
      <c r="AT29">
        <f t="shared" si="20"/>
        <v>4.4285714285714288</v>
      </c>
      <c r="AV29">
        <f t="shared" si="21"/>
        <v>217</v>
      </c>
      <c r="AW29">
        <f t="shared" si="22"/>
        <v>403</v>
      </c>
    </row>
    <row r="30" spans="1:49" x14ac:dyDescent="0.15">
      <c r="A30" s="5">
        <v>20</v>
      </c>
      <c r="B30" s="5">
        <f t="shared" si="4"/>
        <v>1380</v>
      </c>
      <c r="C30" s="5">
        <f t="shared" si="4"/>
        <v>325</v>
      </c>
      <c r="D30" s="5">
        <f t="shared" si="4"/>
        <v>210</v>
      </c>
      <c r="E30" s="5">
        <f t="shared" si="4"/>
        <v>66</v>
      </c>
      <c r="F30" s="5">
        <f t="shared" si="4"/>
        <v>88</v>
      </c>
      <c r="G30" s="5">
        <f t="shared" si="5"/>
        <v>2760</v>
      </c>
      <c r="H30" s="5">
        <f t="shared" si="5"/>
        <v>650</v>
      </c>
      <c r="I30" s="5">
        <f t="shared" si="5"/>
        <v>420</v>
      </c>
      <c r="J30" s="5">
        <f t="shared" si="5"/>
        <v>132</v>
      </c>
      <c r="K30" s="5">
        <f t="shared" si="5"/>
        <v>176</v>
      </c>
      <c r="L30" s="5">
        <f t="shared" si="6"/>
        <v>1380</v>
      </c>
      <c r="M30" s="5">
        <f t="shared" si="6"/>
        <v>325</v>
      </c>
      <c r="N30" s="5">
        <f t="shared" si="6"/>
        <v>210</v>
      </c>
      <c r="O30" s="5">
        <f t="shared" si="6"/>
        <v>66</v>
      </c>
      <c r="P30" s="5">
        <f t="shared" si="6"/>
        <v>88</v>
      </c>
      <c r="Q30" s="5">
        <f t="shared" si="7"/>
        <v>5520</v>
      </c>
      <c r="R30" s="5">
        <f t="shared" si="7"/>
        <v>1300</v>
      </c>
      <c r="S30" s="5">
        <f t="shared" si="7"/>
        <v>840</v>
      </c>
      <c r="T30" s="5">
        <f t="shared" si="7"/>
        <v>264</v>
      </c>
      <c r="U30" s="5">
        <f t="shared" si="7"/>
        <v>352</v>
      </c>
      <c r="V30" s="5">
        <f>B30*战斗力计算!$B$8+C30*战斗力计算!$B$9+D30*战斗力计算!$B$10+E30*战斗力计算!$B$11+F30*战斗力计算!$B$12</f>
        <v>9560</v>
      </c>
      <c r="W30" s="5">
        <f>G30*战斗力计算!$B$8+H30*战斗力计算!$B$9+I30*战斗力计算!$B$10+J30*战斗力计算!$B$11+K30*战斗力计算!$B$12+L30*战斗力计算!$B$8+M30*战斗力计算!$B$9+N30*战斗力计算!$B$10+O30*战斗力计算!$B$11+P30*战斗力计算!$B$12</f>
        <v>28680</v>
      </c>
      <c r="X30" s="5">
        <f t="shared" si="8"/>
        <v>38240</v>
      </c>
      <c r="AC30">
        <f t="shared" si="9"/>
        <v>2</v>
      </c>
      <c r="AD30">
        <f t="shared" si="10"/>
        <v>1</v>
      </c>
      <c r="AF30">
        <f t="shared" si="11"/>
        <v>0.75</v>
      </c>
      <c r="AH30">
        <f t="shared" si="12"/>
        <v>12</v>
      </c>
      <c r="AK30">
        <f t="shared" si="13"/>
        <v>6.5714285714285712</v>
      </c>
      <c r="AL30">
        <f t="shared" si="14"/>
        <v>1.5476190476190477</v>
      </c>
      <c r="AM30">
        <f t="shared" si="15"/>
        <v>1</v>
      </c>
      <c r="AN30">
        <f t="shared" si="16"/>
        <v>6.5714285714285712</v>
      </c>
      <c r="AO30">
        <f t="shared" si="17"/>
        <v>1.5476190476190477</v>
      </c>
      <c r="AP30">
        <f t="shared" si="18"/>
        <v>1</v>
      </c>
      <c r="AR30">
        <f t="shared" si="19"/>
        <v>4.4318181818181817</v>
      </c>
      <c r="AT30">
        <f t="shared" si="20"/>
        <v>4.4318181818181817</v>
      </c>
      <c r="AV30">
        <f t="shared" si="21"/>
        <v>227</v>
      </c>
      <c r="AW30">
        <f t="shared" si="22"/>
        <v>422</v>
      </c>
    </row>
    <row r="31" spans="1:49" x14ac:dyDescent="0.15">
      <c r="A31" s="5">
        <v>21</v>
      </c>
      <c r="B31" s="5">
        <f t="shared" si="4"/>
        <v>1440</v>
      </c>
      <c r="C31" s="5">
        <f t="shared" si="4"/>
        <v>340</v>
      </c>
      <c r="D31" s="5">
        <f t="shared" si="4"/>
        <v>220</v>
      </c>
      <c r="E31" s="5">
        <f t="shared" si="4"/>
        <v>69</v>
      </c>
      <c r="F31" s="5">
        <f t="shared" si="4"/>
        <v>92</v>
      </c>
      <c r="G31" s="5">
        <f t="shared" si="5"/>
        <v>2880</v>
      </c>
      <c r="H31" s="5">
        <f t="shared" si="5"/>
        <v>680</v>
      </c>
      <c r="I31" s="5">
        <f t="shared" si="5"/>
        <v>440</v>
      </c>
      <c r="J31" s="5">
        <f t="shared" si="5"/>
        <v>138</v>
      </c>
      <c r="K31" s="5">
        <f t="shared" si="5"/>
        <v>184</v>
      </c>
      <c r="L31" s="5">
        <f t="shared" si="6"/>
        <v>1440</v>
      </c>
      <c r="M31" s="5">
        <f t="shared" si="6"/>
        <v>340</v>
      </c>
      <c r="N31" s="5">
        <f t="shared" si="6"/>
        <v>220</v>
      </c>
      <c r="O31" s="5">
        <f t="shared" si="6"/>
        <v>69</v>
      </c>
      <c r="P31" s="5">
        <f t="shared" si="6"/>
        <v>92</v>
      </c>
      <c r="Q31" s="5">
        <f t="shared" si="7"/>
        <v>5760</v>
      </c>
      <c r="R31" s="5">
        <f t="shared" si="7"/>
        <v>1360</v>
      </c>
      <c r="S31" s="5">
        <f t="shared" si="7"/>
        <v>880</v>
      </c>
      <c r="T31" s="5">
        <f t="shared" si="7"/>
        <v>276</v>
      </c>
      <c r="U31" s="5">
        <f t="shared" si="7"/>
        <v>368</v>
      </c>
      <c r="V31" s="5">
        <f>B31*战斗力计算!$B$8+C31*战斗力计算!$B$9+D31*战斗力计算!$B$10+E31*战斗力计算!$B$11+F31*战斗力计算!$B$12</f>
        <v>10000</v>
      </c>
      <c r="W31" s="5">
        <f>G31*战斗力计算!$B$8+H31*战斗力计算!$B$9+I31*战斗力计算!$B$10+J31*战斗力计算!$B$11+K31*战斗力计算!$B$12+L31*战斗力计算!$B$8+M31*战斗力计算!$B$9+N31*战斗力计算!$B$10+O31*战斗力计算!$B$11+P31*战斗力计算!$B$12</f>
        <v>30000</v>
      </c>
      <c r="X31" s="5">
        <f t="shared" si="8"/>
        <v>40000</v>
      </c>
      <c r="AC31">
        <f t="shared" si="9"/>
        <v>2</v>
      </c>
      <c r="AD31">
        <f t="shared" si="10"/>
        <v>1</v>
      </c>
      <c r="AF31">
        <f t="shared" si="11"/>
        <v>0.75</v>
      </c>
      <c r="AH31">
        <f t="shared" si="12"/>
        <v>12</v>
      </c>
      <c r="AK31">
        <f t="shared" si="13"/>
        <v>6.5454545454545459</v>
      </c>
      <c r="AL31">
        <f t="shared" si="14"/>
        <v>1.5454545454545454</v>
      </c>
      <c r="AM31">
        <f t="shared" si="15"/>
        <v>1</v>
      </c>
      <c r="AN31">
        <f t="shared" si="16"/>
        <v>6.5454545454545459</v>
      </c>
      <c r="AO31">
        <f t="shared" si="17"/>
        <v>1.5454545454545454</v>
      </c>
      <c r="AP31">
        <f t="shared" si="18"/>
        <v>1</v>
      </c>
      <c r="AR31">
        <f t="shared" si="19"/>
        <v>4.4347826086956523</v>
      </c>
      <c r="AT31">
        <f t="shared" si="20"/>
        <v>4.4347826086956523</v>
      </c>
      <c r="AV31">
        <f t="shared" si="21"/>
        <v>238</v>
      </c>
      <c r="AW31">
        <f t="shared" si="22"/>
        <v>442</v>
      </c>
    </row>
    <row r="32" spans="1:49" x14ac:dyDescent="0.15">
      <c r="A32" s="5">
        <v>22</v>
      </c>
      <c r="B32" s="5">
        <f t="shared" si="4"/>
        <v>1500</v>
      </c>
      <c r="C32" s="5">
        <f t="shared" si="4"/>
        <v>355</v>
      </c>
      <c r="D32" s="5">
        <f t="shared" si="4"/>
        <v>230</v>
      </c>
      <c r="E32" s="5">
        <f t="shared" si="4"/>
        <v>72</v>
      </c>
      <c r="F32" s="5">
        <f t="shared" si="4"/>
        <v>96</v>
      </c>
      <c r="G32" s="5">
        <f t="shared" si="5"/>
        <v>3000</v>
      </c>
      <c r="H32" s="5">
        <f t="shared" si="5"/>
        <v>710</v>
      </c>
      <c r="I32" s="5">
        <f t="shared" si="5"/>
        <v>460</v>
      </c>
      <c r="J32" s="5">
        <f t="shared" si="5"/>
        <v>144</v>
      </c>
      <c r="K32" s="5">
        <f t="shared" si="5"/>
        <v>192</v>
      </c>
      <c r="L32" s="5">
        <f t="shared" si="6"/>
        <v>1500</v>
      </c>
      <c r="M32" s="5">
        <f t="shared" si="6"/>
        <v>355</v>
      </c>
      <c r="N32" s="5">
        <f t="shared" si="6"/>
        <v>230</v>
      </c>
      <c r="O32" s="5">
        <f t="shared" si="6"/>
        <v>72</v>
      </c>
      <c r="P32" s="5">
        <f t="shared" si="6"/>
        <v>96</v>
      </c>
      <c r="Q32" s="5">
        <f t="shared" si="7"/>
        <v>6000</v>
      </c>
      <c r="R32" s="5">
        <f t="shared" si="7"/>
        <v>1420</v>
      </c>
      <c r="S32" s="5">
        <f t="shared" si="7"/>
        <v>920</v>
      </c>
      <c r="T32" s="5">
        <f t="shared" si="7"/>
        <v>288</v>
      </c>
      <c r="U32" s="5">
        <f t="shared" si="7"/>
        <v>384</v>
      </c>
      <c r="V32" s="5">
        <f>B32*战斗力计算!$B$8+C32*战斗力计算!$B$9+D32*战斗力计算!$B$10+E32*战斗力计算!$B$11+F32*战斗力计算!$B$12</f>
        <v>10440</v>
      </c>
      <c r="W32" s="5">
        <f>G32*战斗力计算!$B$8+H32*战斗力计算!$B$9+I32*战斗力计算!$B$10+J32*战斗力计算!$B$11+K32*战斗力计算!$B$12+L32*战斗力计算!$B$8+M32*战斗力计算!$B$9+N32*战斗力计算!$B$10+O32*战斗力计算!$B$11+P32*战斗力计算!$B$12</f>
        <v>31320</v>
      </c>
      <c r="X32" s="5">
        <f t="shared" si="8"/>
        <v>41760</v>
      </c>
      <c r="AC32">
        <f t="shared" si="9"/>
        <v>2</v>
      </c>
      <c r="AD32">
        <f t="shared" si="10"/>
        <v>1</v>
      </c>
      <c r="AF32">
        <f t="shared" si="11"/>
        <v>0.75</v>
      </c>
      <c r="AH32">
        <f t="shared" si="12"/>
        <v>12</v>
      </c>
      <c r="AK32">
        <f t="shared" si="13"/>
        <v>6.5217391304347823</v>
      </c>
      <c r="AL32">
        <f t="shared" si="14"/>
        <v>1.5434782608695652</v>
      </c>
      <c r="AM32">
        <f t="shared" si="15"/>
        <v>1</v>
      </c>
      <c r="AN32">
        <f t="shared" si="16"/>
        <v>6.5217391304347823</v>
      </c>
      <c r="AO32">
        <f t="shared" si="17"/>
        <v>1.5434782608695652</v>
      </c>
      <c r="AP32">
        <f t="shared" si="18"/>
        <v>1</v>
      </c>
      <c r="AR32">
        <f t="shared" si="19"/>
        <v>4.4375</v>
      </c>
      <c r="AT32">
        <f t="shared" si="20"/>
        <v>4.4375</v>
      </c>
      <c r="AV32">
        <f t="shared" si="21"/>
        <v>248</v>
      </c>
      <c r="AW32">
        <f t="shared" si="22"/>
        <v>461</v>
      </c>
    </row>
    <row r="33" spans="1:49" x14ac:dyDescent="0.15">
      <c r="A33" s="5">
        <v>23</v>
      </c>
      <c r="B33" s="5">
        <f t="shared" si="4"/>
        <v>1560</v>
      </c>
      <c r="C33" s="5">
        <f t="shared" si="4"/>
        <v>370</v>
      </c>
      <c r="D33" s="5">
        <f t="shared" si="4"/>
        <v>240</v>
      </c>
      <c r="E33" s="5">
        <f t="shared" si="4"/>
        <v>75</v>
      </c>
      <c r="F33" s="5">
        <f t="shared" si="4"/>
        <v>100</v>
      </c>
      <c r="G33" s="5">
        <f t="shared" si="5"/>
        <v>3120</v>
      </c>
      <c r="H33" s="5">
        <f t="shared" si="5"/>
        <v>740</v>
      </c>
      <c r="I33" s="5">
        <f t="shared" si="5"/>
        <v>480</v>
      </c>
      <c r="J33" s="5">
        <f t="shared" si="5"/>
        <v>150</v>
      </c>
      <c r="K33" s="5">
        <f t="shared" si="5"/>
        <v>200</v>
      </c>
      <c r="L33" s="5">
        <f t="shared" si="6"/>
        <v>1560</v>
      </c>
      <c r="M33" s="5">
        <f t="shared" si="6"/>
        <v>370</v>
      </c>
      <c r="N33" s="5">
        <f t="shared" si="6"/>
        <v>240</v>
      </c>
      <c r="O33" s="5">
        <f t="shared" si="6"/>
        <v>75</v>
      </c>
      <c r="P33" s="5">
        <f t="shared" si="6"/>
        <v>100</v>
      </c>
      <c r="Q33" s="5">
        <f t="shared" si="7"/>
        <v>6240</v>
      </c>
      <c r="R33" s="5">
        <f t="shared" si="7"/>
        <v>1480</v>
      </c>
      <c r="S33" s="5">
        <f t="shared" si="7"/>
        <v>960</v>
      </c>
      <c r="T33" s="5">
        <f t="shared" si="7"/>
        <v>300</v>
      </c>
      <c r="U33" s="5">
        <f t="shared" si="7"/>
        <v>400</v>
      </c>
      <c r="V33" s="5">
        <f>B33*战斗力计算!$B$8+C33*战斗力计算!$B$9+D33*战斗力计算!$B$10+E33*战斗力计算!$B$11+F33*战斗力计算!$B$12</f>
        <v>10880</v>
      </c>
      <c r="W33" s="5">
        <f>G33*战斗力计算!$B$8+H33*战斗力计算!$B$9+I33*战斗力计算!$B$10+J33*战斗力计算!$B$11+K33*战斗力计算!$B$12+L33*战斗力计算!$B$8+M33*战斗力计算!$B$9+N33*战斗力计算!$B$10+O33*战斗力计算!$B$11+P33*战斗力计算!$B$12</f>
        <v>32640</v>
      </c>
      <c r="X33" s="5">
        <f t="shared" si="8"/>
        <v>43520</v>
      </c>
      <c r="AC33">
        <f t="shared" si="9"/>
        <v>2</v>
      </c>
      <c r="AD33">
        <f t="shared" si="10"/>
        <v>1</v>
      </c>
      <c r="AF33">
        <f t="shared" si="11"/>
        <v>0.75</v>
      </c>
      <c r="AH33">
        <f t="shared" si="12"/>
        <v>12</v>
      </c>
      <c r="AK33">
        <f t="shared" si="13"/>
        <v>6.5</v>
      </c>
      <c r="AL33">
        <f t="shared" si="14"/>
        <v>1.5416666666666667</v>
      </c>
      <c r="AM33">
        <f t="shared" si="15"/>
        <v>1</v>
      </c>
      <c r="AN33">
        <f t="shared" si="16"/>
        <v>6.5</v>
      </c>
      <c r="AO33">
        <f t="shared" si="17"/>
        <v>1.5416666666666667</v>
      </c>
      <c r="AP33">
        <f t="shared" si="18"/>
        <v>1</v>
      </c>
      <c r="AR33">
        <f t="shared" si="19"/>
        <v>4.4400000000000004</v>
      </c>
      <c r="AT33">
        <f t="shared" si="20"/>
        <v>4.4400000000000004</v>
      </c>
      <c r="AV33">
        <f t="shared" si="21"/>
        <v>259</v>
      </c>
      <c r="AW33">
        <f t="shared" si="22"/>
        <v>481</v>
      </c>
    </row>
    <row r="34" spans="1:49" x14ac:dyDescent="0.15">
      <c r="A34" s="5">
        <v>24</v>
      </c>
      <c r="B34" s="5">
        <f t="shared" si="4"/>
        <v>1620</v>
      </c>
      <c r="C34" s="5">
        <f t="shared" si="4"/>
        <v>385</v>
      </c>
      <c r="D34" s="5">
        <f t="shared" si="4"/>
        <v>250</v>
      </c>
      <c r="E34" s="5">
        <f t="shared" si="4"/>
        <v>78</v>
      </c>
      <c r="F34" s="5">
        <f t="shared" si="4"/>
        <v>104</v>
      </c>
      <c r="G34" s="5">
        <f t="shared" si="5"/>
        <v>3240</v>
      </c>
      <c r="H34" s="5">
        <f t="shared" si="5"/>
        <v>770</v>
      </c>
      <c r="I34" s="5">
        <f t="shared" si="5"/>
        <v>500</v>
      </c>
      <c r="J34" s="5">
        <f t="shared" si="5"/>
        <v>156</v>
      </c>
      <c r="K34" s="5">
        <f t="shared" si="5"/>
        <v>208</v>
      </c>
      <c r="L34" s="5">
        <f t="shared" si="6"/>
        <v>1620</v>
      </c>
      <c r="M34" s="5">
        <f t="shared" si="6"/>
        <v>385</v>
      </c>
      <c r="N34" s="5">
        <f t="shared" si="6"/>
        <v>250</v>
      </c>
      <c r="O34" s="5">
        <f t="shared" si="6"/>
        <v>78</v>
      </c>
      <c r="P34" s="5">
        <f t="shared" si="6"/>
        <v>104</v>
      </c>
      <c r="Q34" s="5">
        <f t="shared" si="7"/>
        <v>6480</v>
      </c>
      <c r="R34" s="5">
        <f t="shared" si="7"/>
        <v>1540</v>
      </c>
      <c r="S34" s="5">
        <f t="shared" si="7"/>
        <v>1000</v>
      </c>
      <c r="T34" s="5">
        <f t="shared" si="7"/>
        <v>312</v>
      </c>
      <c r="U34" s="5">
        <f t="shared" si="7"/>
        <v>416</v>
      </c>
      <c r="V34" s="5">
        <f>B34*战斗力计算!$B$8+C34*战斗力计算!$B$9+D34*战斗力计算!$B$10+E34*战斗力计算!$B$11+F34*战斗力计算!$B$12</f>
        <v>11320</v>
      </c>
      <c r="W34" s="5">
        <f>G34*战斗力计算!$B$8+H34*战斗力计算!$B$9+I34*战斗力计算!$B$10+J34*战斗力计算!$B$11+K34*战斗力计算!$B$12+L34*战斗力计算!$B$8+M34*战斗力计算!$B$9+N34*战斗力计算!$B$10+O34*战斗力计算!$B$11+P34*战斗力计算!$B$12</f>
        <v>33960</v>
      </c>
      <c r="X34" s="5">
        <f t="shared" si="8"/>
        <v>45280</v>
      </c>
      <c r="AC34">
        <f t="shared" si="9"/>
        <v>2</v>
      </c>
      <c r="AD34">
        <f t="shared" si="10"/>
        <v>1</v>
      </c>
      <c r="AF34">
        <f t="shared" si="11"/>
        <v>0.75</v>
      </c>
      <c r="AH34">
        <f t="shared" si="12"/>
        <v>12</v>
      </c>
      <c r="AK34">
        <f t="shared" si="13"/>
        <v>6.48</v>
      </c>
      <c r="AL34">
        <f t="shared" si="14"/>
        <v>1.54</v>
      </c>
      <c r="AM34">
        <f t="shared" si="15"/>
        <v>1</v>
      </c>
      <c r="AN34">
        <f t="shared" si="16"/>
        <v>6.48</v>
      </c>
      <c r="AO34">
        <f t="shared" si="17"/>
        <v>1.54</v>
      </c>
      <c r="AP34">
        <f t="shared" si="18"/>
        <v>1</v>
      </c>
      <c r="AR34">
        <f t="shared" si="19"/>
        <v>4.4423076923076925</v>
      </c>
      <c r="AT34">
        <f t="shared" si="20"/>
        <v>4.4423076923076925</v>
      </c>
      <c r="AV34">
        <f t="shared" si="21"/>
        <v>269</v>
      </c>
      <c r="AW34">
        <f t="shared" si="22"/>
        <v>500</v>
      </c>
    </row>
    <row r="35" spans="1:49" x14ac:dyDescent="0.15">
      <c r="A35" s="5">
        <v>25</v>
      </c>
      <c r="B35" s="5">
        <f t="shared" si="4"/>
        <v>1680</v>
      </c>
      <c r="C35" s="5">
        <f t="shared" si="4"/>
        <v>400</v>
      </c>
      <c r="D35" s="5">
        <f t="shared" si="4"/>
        <v>260</v>
      </c>
      <c r="E35" s="5">
        <f t="shared" si="4"/>
        <v>81</v>
      </c>
      <c r="F35" s="5">
        <f t="shared" si="4"/>
        <v>108</v>
      </c>
      <c r="G35" s="5">
        <f t="shared" si="5"/>
        <v>3360</v>
      </c>
      <c r="H35" s="5">
        <f t="shared" si="5"/>
        <v>800</v>
      </c>
      <c r="I35" s="5">
        <f t="shared" si="5"/>
        <v>520</v>
      </c>
      <c r="J35" s="5">
        <f t="shared" si="5"/>
        <v>162</v>
      </c>
      <c r="K35" s="5">
        <f t="shared" si="5"/>
        <v>216</v>
      </c>
      <c r="L35" s="5">
        <f t="shared" si="6"/>
        <v>1680</v>
      </c>
      <c r="M35" s="5">
        <f t="shared" si="6"/>
        <v>400</v>
      </c>
      <c r="N35" s="5">
        <f t="shared" si="6"/>
        <v>260</v>
      </c>
      <c r="O35" s="5">
        <f t="shared" si="6"/>
        <v>81</v>
      </c>
      <c r="P35" s="5">
        <f t="shared" si="6"/>
        <v>108</v>
      </c>
      <c r="Q35" s="5">
        <f t="shared" si="7"/>
        <v>6720</v>
      </c>
      <c r="R35" s="5">
        <f t="shared" si="7"/>
        <v>1600</v>
      </c>
      <c r="S35" s="5">
        <f t="shared" si="7"/>
        <v>1040</v>
      </c>
      <c r="T35" s="5">
        <f t="shared" si="7"/>
        <v>324</v>
      </c>
      <c r="U35" s="5">
        <f t="shared" si="7"/>
        <v>432</v>
      </c>
      <c r="V35" s="5">
        <f>B35*战斗力计算!$B$8+C35*战斗力计算!$B$9+D35*战斗力计算!$B$10+E35*战斗力计算!$B$11+F35*战斗力计算!$B$12</f>
        <v>11760</v>
      </c>
      <c r="W35" s="5">
        <f>G35*战斗力计算!$B$8+H35*战斗力计算!$B$9+I35*战斗力计算!$B$10+J35*战斗力计算!$B$11+K35*战斗力计算!$B$12+L35*战斗力计算!$B$8+M35*战斗力计算!$B$9+N35*战斗力计算!$B$10+O35*战斗力计算!$B$11+P35*战斗力计算!$B$12</f>
        <v>35280</v>
      </c>
      <c r="X35" s="5">
        <f t="shared" si="8"/>
        <v>47040</v>
      </c>
      <c r="AC35">
        <f t="shared" si="9"/>
        <v>2</v>
      </c>
      <c r="AD35">
        <f t="shared" si="10"/>
        <v>1</v>
      </c>
      <c r="AF35">
        <f t="shared" si="11"/>
        <v>0.75</v>
      </c>
      <c r="AH35">
        <f t="shared" si="12"/>
        <v>12</v>
      </c>
      <c r="AK35">
        <f t="shared" si="13"/>
        <v>6.4615384615384617</v>
      </c>
      <c r="AL35">
        <f t="shared" si="14"/>
        <v>1.5384615384615385</v>
      </c>
      <c r="AM35">
        <f t="shared" si="15"/>
        <v>1</v>
      </c>
      <c r="AN35">
        <f t="shared" si="16"/>
        <v>6.4615384615384617</v>
      </c>
      <c r="AO35">
        <f t="shared" si="17"/>
        <v>1.5384615384615385</v>
      </c>
      <c r="AP35">
        <f t="shared" si="18"/>
        <v>1</v>
      </c>
      <c r="AR35">
        <f t="shared" si="19"/>
        <v>4.4444444444444446</v>
      </c>
      <c r="AT35">
        <f t="shared" si="20"/>
        <v>4.4444444444444446</v>
      </c>
      <c r="AV35">
        <f t="shared" si="21"/>
        <v>280</v>
      </c>
      <c r="AW35">
        <f t="shared" si="22"/>
        <v>520</v>
      </c>
    </row>
    <row r="36" spans="1:49" x14ac:dyDescent="0.15">
      <c r="A36" s="5">
        <v>26</v>
      </c>
      <c r="B36" s="5">
        <f t="shared" si="4"/>
        <v>1740</v>
      </c>
      <c r="C36" s="5">
        <f t="shared" si="4"/>
        <v>415</v>
      </c>
      <c r="D36" s="5">
        <f t="shared" si="4"/>
        <v>270</v>
      </c>
      <c r="E36" s="5">
        <f t="shared" si="4"/>
        <v>84</v>
      </c>
      <c r="F36" s="5">
        <f t="shared" si="4"/>
        <v>112</v>
      </c>
      <c r="G36" s="5">
        <f t="shared" si="5"/>
        <v>3480</v>
      </c>
      <c r="H36" s="5">
        <f t="shared" si="5"/>
        <v>830</v>
      </c>
      <c r="I36" s="5">
        <f t="shared" si="5"/>
        <v>540</v>
      </c>
      <c r="J36" s="5">
        <f t="shared" si="5"/>
        <v>168</v>
      </c>
      <c r="K36" s="5">
        <f t="shared" si="5"/>
        <v>224</v>
      </c>
      <c r="L36" s="5">
        <f t="shared" si="6"/>
        <v>1740</v>
      </c>
      <c r="M36" s="5">
        <f t="shared" si="6"/>
        <v>415</v>
      </c>
      <c r="N36" s="5">
        <f t="shared" si="6"/>
        <v>270</v>
      </c>
      <c r="O36" s="5">
        <f t="shared" si="6"/>
        <v>84</v>
      </c>
      <c r="P36" s="5">
        <f t="shared" si="6"/>
        <v>112</v>
      </c>
      <c r="Q36" s="5">
        <f t="shared" si="7"/>
        <v>6960</v>
      </c>
      <c r="R36" s="5">
        <f t="shared" si="7"/>
        <v>1660</v>
      </c>
      <c r="S36" s="5">
        <f t="shared" si="7"/>
        <v>1080</v>
      </c>
      <c r="T36" s="5">
        <f t="shared" si="7"/>
        <v>336</v>
      </c>
      <c r="U36" s="5">
        <f t="shared" si="7"/>
        <v>448</v>
      </c>
      <c r="V36" s="5">
        <f>B36*战斗力计算!$B$8+C36*战斗力计算!$B$9+D36*战斗力计算!$B$10+E36*战斗力计算!$B$11+F36*战斗力计算!$B$12</f>
        <v>12200</v>
      </c>
      <c r="W36" s="5">
        <f>G36*战斗力计算!$B$8+H36*战斗力计算!$B$9+I36*战斗力计算!$B$10+J36*战斗力计算!$B$11+K36*战斗力计算!$B$12+L36*战斗力计算!$B$8+M36*战斗力计算!$B$9+N36*战斗力计算!$B$10+O36*战斗力计算!$B$11+P36*战斗力计算!$B$12</f>
        <v>36600</v>
      </c>
      <c r="X36" s="5">
        <f t="shared" si="8"/>
        <v>48800</v>
      </c>
      <c r="AC36">
        <f t="shared" si="9"/>
        <v>2</v>
      </c>
      <c r="AD36">
        <f t="shared" si="10"/>
        <v>1</v>
      </c>
      <c r="AF36">
        <f t="shared" si="11"/>
        <v>0.75</v>
      </c>
      <c r="AH36">
        <f t="shared" si="12"/>
        <v>12</v>
      </c>
      <c r="AK36">
        <f t="shared" si="13"/>
        <v>6.4444444444444446</v>
      </c>
      <c r="AL36">
        <f t="shared" si="14"/>
        <v>1.537037037037037</v>
      </c>
      <c r="AM36">
        <f t="shared" si="15"/>
        <v>1</v>
      </c>
      <c r="AN36">
        <f t="shared" si="16"/>
        <v>6.4444444444444446</v>
      </c>
      <c r="AO36">
        <f t="shared" si="17"/>
        <v>1.537037037037037</v>
      </c>
      <c r="AP36">
        <f t="shared" si="18"/>
        <v>1</v>
      </c>
      <c r="AR36">
        <f t="shared" si="19"/>
        <v>4.4464285714285712</v>
      </c>
      <c r="AT36">
        <f t="shared" si="20"/>
        <v>4.4464285714285712</v>
      </c>
      <c r="AV36">
        <f t="shared" si="21"/>
        <v>290</v>
      </c>
      <c r="AW36">
        <f t="shared" si="22"/>
        <v>539</v>
      </c>
    </row>
    <row r="37" spans="1:49" x14ac:dyDescent="0.15">
      <c r="A37" s="5">
        <v>27</v>
      </c>
      <c r="B37" s="5">
        <f t="shared" si="4"/>
        <v>1800</v>
      </c>
      <c r="C37" s="5">
        <f t="shared" si="4"/>
        <v>430</v>
      </c>
      <c r="D37" s="5">
        <f t="shared" si="4"/>
        <v>280</v>
      </c>
      <c r="E37" s="5">
        <f t="shared" si="4"/>
        <v>87</v>
      </c>
      <c r="F37" s="5">
        <f t="shared" si="4"/>
        <v>116</v>
      </c>
      <c r="G37" s="5">
        <f t="shared" si="5"/>
        <v>3600</v>
      </c>
      <c r="H37" s="5">
        <f t="shared" si="5"/>
        <v>860</v>
      </c>
      <c r="I37" s="5">
        <f t="shared" si="5"/>
        <v>560</v>
      </c>
      <c r="J37" s="5">
        <f t="shared" si="5"/>
        <v>174</v>
      </c>
      <c r="K37" s="5">
        <f t="shared" si="5"/>
        <v>232</v>
      </c>
      <c r="L37" s="5">
        <f t="shared" si="6"/>
        <v>1800</v>
      </c>
      <c r="M37" s="5">
        <f t="shared" si="6"/>
        <v>430</v>
      </c>
      <c r="N37" s="5">
        <f t="shared" si="6"/>
        <v>280</v>
      </c>
      <c r="O37" s="5">
        <f t="shared" si="6"/>
        <v>87</v>
      </c>
      <c r="P37" s="5">
        <f t="shared" si="6"/>
        <v>116</v>
      </c>
      <c r="Q37" s="5">
        <f t="shared" si="7"/>
        <v>7200</v>
      </c>
      <c r="R37" s="5">
        <f t="shared" si="7"/>
        <v>1720</v>
      </c>
      <c r="S37" s="5">
        <f t="shared" si="7"/>
        <v>1120</v>
      </c>
      <c r="T37" s="5">
        <f t="shared" si="7"/>
        <v>348</v>
      </c>
      <c r="U37" s="5">
        <f t="shared" si="7"/>
        <v>464</v>
      </c>
      <c r="V37" s="5">
        <f>B37*战斗力计算!$B$8+C37*战斗力计算!$B$9+D37*战斗力计算!$B$10+E37*战斗力计算!$B$11+F37*战斗力计算!$B$12</f>
        <v>12640</v>
      </c>
      <c r="W37" s="5">
        <f>G37*战斗力计算!$B$8+H37*战斗力计算!$B$9+I37*战斗力计算!$B$10+J37*战斗力计算!$B$11+K37*战斗力计算!$B$12+L37*战斗力计算!$B$8+M37*战斗力计算!$B$9+N37*战斗力计算!$B$10+O37*战斗力计算!$B$11+P37*战斗力计算!$B$12</f>
        <v>37920</v>
      </c>
      <c r="X37" s="5">
        <f t="shared" si="8"/>
        <v>50560</v>
      </c>
      <c r="AC37">
        <f t="shared" si="9"/>
        <v>2</v>
      </c>
      <c r="AD37">
        <f t="shared" si="10"/>
        <v>1</v>
      </c>
      <c r="AF37">
        <f t="shared" si="11"/>
        <v>0.75</v>
      </c>
      <c r="AH37">
        <f t="shared" si="12"/>
        <v>12</v>
      </c>
      <c r="AK37">
        <f t="shared" si="13"/>
        <v>6.4285714285714288</v>
      </c>
      <c r="AL37">
        <f t="shared" si="14"/>
        <v>1.5357142857142858</v>
      </c>
      <c r="AM37">
        <f t="shared" si="15"/>
        <v>1</v>
      </c>
      <c r="AN37">
        <f t="shared" si="16"/>
        <v>6.4285714285714288</v>
      </c>
      <c r="AO37">
        <f t="shared" si="17"/>
        <v>1.5357142857142858</v>
      </c>
      <c r="AP37">
        <f t="shared" si="18"/>
        <v>1</v>
      </c>
      <c r="AR37">
        <f t="shared" si="19"/>
        <v>4.4482758620689653</v>
      </c>
      <c r="AT37">
        <f t="shared" si="20"/>
        <v>4.4482758620689653</v>
      </c>
      <c r="AV37">
        <f t="shared" si="21"/>
        <v>301</v>
      </c>
      <c r="AW37">
        <f t="shared" si="22"/>
        <v>559</v>
      </c>
    </row>
    <row r="38" spans="1:49" x14ac:dyDescent="0.15">
      <c r="A38" s="5">
        <v>28</v>
      </c>
      <c r="B38" s="5">
        <f t="shared" si="4"/>
        <v>1860</v>
      </c>
      <c r="C38" s="5">
        <f t="shared" si="4"/>
        <v>445</v>
      </c>
      <c r="D38" s="5">
        <f t="shared" si="4"/>
        <v>290</v>
      </c>
      <c r="E38" s="5">
        <f t="shared" si="4"/>
        <v>90</v>
      </c>
      <c r="F38" s="5">
        <f t="shared" si="4"/>
        <v>120</v>
      </c>
      <c r="G38" s="5">
        <f t="shared" si="5"/>
        <v>3720</v>
      </c>
      <c r="H38" s="5">
        <f t="shared" si="5"/>
        <v>890</v>
      </c>
      <c r="I38" s="5">
        <f t="shared" si="5"/>
        <v>580</v>
      </c>
      <c r="J38" s="5">
        <f t="shared" si="5"/>
        <v>180</v>
      </c>
      <c r="K38" s="5">
        <f t="shared" si="5"/>
        <v>240</v>
      </c>
      <c r="L38" s="5">
        <f t="shared" si="6"/>
        <v>1860</v>
      </c>
      <c r="M38" s="5">
        <f t="shared" si="6"/>
        <v>445</v>
      </c>
      <c r="N38" s="5">
        <f t="shared" si="6"/>
        <v>290</v>
      </c>
      <c r="O38" s="5">
        <f t="shared" si="6"/>
        <v>90</v>
      </c>
      <c r="P38" s="5">
        <f t="shared" si="6"/>
        <v>120</v>
      </c>
      <c r="Q38" s="5">
        <f t="shared" si="7"/>
        <v>7440</v>
      </c>
      <c r="R38" s="5">
        <f t="shared" si="7"/>
        <v>1780</v>
      </c>
      <c r="S38" s="5">
        <f t="shared" si="7"/>
        <v>1160</v>
      </c>
      <c r="T38" s="5">
        <f t="shared" si="7"/>
        <v>360</v>
      </c>
      <c r="U38" s="5">
        <f t="shared" si="7"/>
        <v>480</v>
      </c>
      <c r="V38" s="5">
        <f>B38*战斗力计算!$B$8+C38*战斗力计算!$B$9+D38*战斗力计算!$B$10+E38*战斗力计算!$B$11+F38*战斗力计算!$B$12</f>
        <v>13080</v>
      </c>
      <c r="W38" s="5">
        <f>G38*战斗力计算!$B$8+H38*战斗力计算!$B$9+I38*战斗力计算!$B$10+J38*战斗力计算!$B$11+K38*战斗力计算!$B$12+L38*战斗力计算!$B$8+M38*战斗力计算!$B$9+N38*战斗力计算!$B$10+O38*战斗力计算!$B$11+P38*战斗力计算!$B$12</f>
        <v>39240</v>
      </c>
      <c r="X38" s="5">
        <f t="shared" si="8"/>
        <v>52320</v>
      </c>
      <c r="AC38">
        <f t="shared" si="9"/>
        <v>2</v>
      </c>
      <c r="AD38">
        <f t="shared" si="10"/>
        <v>1</v>
      </c>
      <c r="AF38">
        <f t="shared" si="11"/>
        <v>0.75</v>
      </c>
      <c r="AH38">
        <f t="shared" si="12"/>
        <v>12</v>
      </c>
      <c r="AK38">
        <f t="shared" si="13"/>
        <v>6.4137931034482758</v>
      </c>
      <c r="AL38">
        <f t="shared" si="14"/>
        <v>1.5344827586206897</v>
      </c>
      <c r="AM38">
        <f t="shared" si="15"/>
        <v>1</v>
      </c>
      <c r="AN38">
        <f t="shared" si="16"/>
        <v>6.4137931034482758</v>
      </c>
      <c r="AO38">
        <f t="shared" si="17"/>
        <v>1.5344827586206897</v>
      </c>
      <c r="AP38">
        <f t="shared" si="18"/>
        <v>1</v>
      </c>
      <c r="AR38">
        <f t="shared" si="19"/>
        <v>4.45</v>
      </c>
      <c r="AT38">
        <f t="shared" si="20"/>
        <v>4.45</v>
      </c>
      <c r="AV38">
        <f t="shared" si="21"/>
        <v>311</v>
      </c>
      <c r="AW38">
        <f t="shared" si="22"/>
        <v>578</v>
      </c>
    </row>
    <row r="39" spans="1:49" x14ac:dyDescent="0.15">
      <c r="A39" s="5">
        <v>29</v>
      </c>
      <c r="B39" s="5">
        <f t="shared" si="4"/>
        <v>1920</v>
      </c>
      <c r="C39" s="5">
        <f t="shared" si="4"/>
        <v>460</v>
      </c>
      <c r="D39" s="5">
        <f t="shared" si="4"/>
        <v>300</v>
      </c>
      <c r="E39" s="5">
        <f t="shared" si="4"/>
        <v>93</v>
      </c>
      <c r="F39" s="5">
        <f t="shared" si="4"/>
        <v>124</v>
      </c>
      <c r="G39" s="5">
        <f t="shared" si="5"/>
        <v>3840</v>
      </c>
      <c r="H39" s="5">
        <f t="shared" si="5"/>
        <v>920</v>
      </c>
      <c r="I39" s="5">
        <f t="shared" si="5"/>
        <v>600</v>
      </c>
      <c r="J39" s="5">
        <f t="shared" si="5"/>
        <v>186</v>
      </c>
      <c r="K39" s="5">
        <f t="shared" si="5"/>
        <v>248</v>
      </c>
      <c r="L39" s="5">
        <f t="shared" si="6"/>
        <v>1920</v>
      </c>
      <c r="M39" s="5">
        <f t="shared" si="6"/>
        <v>460</v>
      </c>
      <c r="N39" s="5">
        <f t="shared" si="6"/>
        <v>300</v>
      </c>
      <c r="O39" s="5">
        <f t="shared" si="6"/>
        <v>93</v>
      </c>
      <c r="P39" s="5">
        <f t="shared" si="6"/>
        <v>124</v>
      </c>
      <c r="Q39" s="5">
        <f t="shared" si="7"/>
        <v>7680</v>
      </c>
      <c r="R39" s="5">
        <f t="shared" si="7"/>
        <v>1840</v>
      </c>
      <c r="S39" s="5">
        <f t="shared" si="7"/>
        <v>1200</v>
      </c>
      <c r="T39" s="5">
        <f t="shared" si="7"/>
        <v>372</v>
      </c>
      <c r="U39" s="5">
        <f t="shared" si="7"/>
        <v>496</v>
      </c>
      <c r="V39" s="5">
        <f>B39*战斗力计算!$B$8+C39*战斗力计算!$B$9+D39*战斗力计算!$B$10+E39*战斗力计算!$B$11+F39*战斗力计算!$B$12</f>
        <v>13520</v>
      </c>
      <c r="W39" s="5">
        <f>G39*战斗力计算!$B$8+H39*战斗力计算!$B$9+I39*战斗力计算!$B$10+J39*战斗力计算!$B$11+K39*战斗力计算!$B$12+L39*战斗力计算!$B$8+M39*战斗力计算!$B$9+N39*战斗力计算!$B$10+O39*战斗力计算!$B$11+P39*战斗力计算!$B$12</f>
        <v>40560</v>
      </c>
      <c r="X39" s="5">
        <f t="shared" si="8"/>
        <v>54080</v>
      </c>
      <c r="AC39">
        <f t="shared" si="9"/>
        <v>2</v>
      </c>
      <c r="AD39">
        <f t="shared" si="10"/>
        <v>1</v>
      </c>
      <c r="AF39">
        <f t="shared" si="11"/>
        <v>0.75</v>
      </c>
      <c r="AH39">
        <f t="shared" si="12"/>
        <v>12</v>
      </c>
      <c r="AK39">
        <f t="shared" si="13"/>
        <v>6.4</v>
      </c>
      <c r="AL39">
        <f t="shared" si="14"/>
        <v>1.5333333333333334</v>
      </c>
      <c r="AM39">
        <f t="shared" si="15"/>
        <v>1</v>
      </c>
      <c r="AN39">
        <f t="shared" si="16"/>
        <v>6.4</v>
      </c>
      <c r="AO39">
        <f t="shared" si="17"/>
        <v>1.5333333333333334</v>
      </c>
      <c r="AP39">
        <f t="shared" si="18"/>
        <v>1</v>
      </c>
      <c r="AR39">
        <f t="shared" si="19"/>
        <v>4.4516129032258061</v>
      </c>
      <c r="AT39">
        <f t="shared" si="20"/>
        <v>4.4516129032258061</v>
      </c>
      <c r="AV39">
        <f t="shared" si="21"/>
        <v>322</v>
      </c>
      <c r="AW39">
        <f t="shared" si="22"/>
        <v>598</v>
      </c>
    </row>
    <row r="40" spans="1:49" x14ac:dyDescent="0.15">
      <c r="A40" s="5">
        <v>30</v>
      </c>
      <c r="B40" s="5">
        <f t="shared" si="4"/>
        <v>1980</v>
      </c>
      <c r="C40" s="5">
        <f t="shared" si="4"/>
        <v>475</v>
      </c>
      <c r="D40" s="5">
        <f t="shared" si="4"/>
        <v>310</v>
      </c>
      <c r="E40" s="5">
        <f t="shared" si="4"/>
        <v>96</v>
      </c>
      <c r="F40" s="5">
        <f t="shared" si="4"/>
        <v>128</v>
      </c>
      <c r="G40" s="5">
        <f t="shared" si="5"/>
        <v>3960</v>
      </c>
      <c r="H40" s="5">
        <f t="shared" si="5"/>
        <v>950</v>
      </c>
      <c r="I40" s="5">
        <f t="shared" si="5"/>
        <v>620</v>
      </c>
      <c r="J40" s="5">
        <f t="shared" si="5"/>
        <v>192</v>
      </c>
      <c r="K40" s="5">
        <f t="shared" si="5"/>
        <v>256</v>
      </c>
      <c r="L40" s="5">
        <f t="shared" si="6"/>
        <v>1980</v>
      </c>
      <c r="M40" s="5">
        <f t="shared" si="6"/>
        <v>475</v>
      </c>
      <c r="N40" s="5">
        <f t="shared" si="6"/>
        <v>310</v>
      </c>
      <c r="O40" s="5">
        <f t="shared" si="6"/>
        <v>96</v>
      </c>
      <c r="P40" s="5">
        <f t="shared" si="6"/>
        <v>128</v>
      </c>
      <c r="Q40" s="5">
        <f t="shared" si="7"/>
        <v>7920</v>
      </c>
      <c r="R40" s="5">
        <f t="shared" si="7"/>
        <v>1900</v>
      </c>
      <c r="S40" s="5">
        <f t="shared" si="7"/>
        <v>1240</v>
      </c>
      <c r="T40" s="5">
        <f t="shared" si="7"/>
        <v>384</v>
      </c>
      <c r="U40" s="5">
        <f t="shared" si="7"/>
        <v>512</v>
      </c>
      <c r="V40" s="5">
        <f>B40*战斗力计算!$B$8+C40*战斗力计算!$B$9+D40*战斗力计算!$B$10+E40*战斗力计算!$B$11+F40*战斗力计算!$B$12</f>
        <v>13960</v>
      </c>
      <c r="W40" s="5">
        <f>G40*战斗力计算!$B$8+H40*战斗力计算!$B$9+I40*战斗力计算!$B$10+J40*战斗力计算!$B$11+K40*战斗力计算!$B$12+L40*战斗力计算!$B$8+M40*战斗力计算!$B$9+N40*战斗力计算!$B$10+O40*战斗力计算!$B$11+P40*战斗力计算!$B$12</f>
        <v>41880</v>
      </c>
      <c r="X40" s="5">
        <f t="shared" si="8"/>
        <v>55840</v>
      </c>
      <c r="AC40">
        <f t="shared" si="9"/>
        <v>2</v>
      </c>
      <c r="AD40">
        <f t="shared" si="10"/>
        <v>1</v>
      </c>
      <c r="AF40">
        <f t="shared" si="11"/>
        <v>0.75</v>
      </c>
      <c r="AH40">
        <f t="shared" si="12"/>
        <v>12</v>
      </c>
      <c r="AK40">
        <f t="shared" si="13"/>
        <v>6.387096774193548</v>
      </c>
      <c r="AL40">
        <f t="shared" si="14"/>
        <v>1.532258064516129</v>
      </c>
      <c r="AM40">
        <f t="shared" si="15"/>
        <v>1</v>
      </c>
      <c r="AN40">
        <f t="shared" si="16"/>
        <v>6.387096774193548</v>
      </c>
      <c r="AO40">
        <f t="shared" si="17"/>
        <v>1.532258064516129</v>
      </c>
      <c r="AP40">
        <f t="shared" si="18"/>
        <v>1</v>
      </c>
      <c r="AR40">
        <f t="shared" si="19"/>
        <v>4.453125</v>
      </c>
      <c r="AT40">
        <f t="shared" si="20"/>
        <v>4.453125</v>
      </c>
      <c r="AV40">
        <f t="shared" si="21"/>
        <v>332</v>
      </c>
      <c r="AW40">
        <f t="shared" si="22"/>
        <v>617</v>
      </c>
    </row>
    <row r="41" spans="1:49" x14ac:dyDescent="0.15">
      <c r="A41" s="5">
        <v>31</v>
      </c>
      <c r="B41" s="5">
        <f t="shared" si="4"/>
        <v>2040</v>
      </c>
      <c r="C41" s="5">
        <f t="shared" si="4"/>
        <v>490</v>
      </c>
      <c r="D41" s="5">
        <f t="shared" si="4"/>
        <v>320</v>
      </c>
      <c r="E41" s="5">
        <f t="shared" si="4"/>
        <v>99</v>
      </c>
      <c r="F41" s="5">
        <f t="shared" si="4"/>
        <v>132</v>
      </c>
      <c r="G41" s="5">
        <f t="shared" si="5"/>
        <v>4080</v>
      </c>
      <c r="H41" s="5">
        <f t="shared" si="5"/>
        <v>980</v>
      </c>
      <c r="I41" s="5">
        <f t="shared" si="5"/>
        <v>640</v>
      </c>
      <c r="J41" s="5">
        <f t="shared" si="5"/>
        <v>198</v>
      </c>
      <c r="K41" s="5">
        <f t="shared" si="5"/>
        <v>264</v>
      </c>
      <c r="L41" s="5">
        <f t="shared" si="6"/>
        <v>2040</v>
      </c>
      <c r="M41" s="5">
        <f t="shared" si="6"/>
        <v>490</v>
      </c>
      <c r="N41" s="5">
        <f t="shared" si="6"/>
        <v>320</v>
      </c>
      <c r="O41" s="5">
        <f t="shared" si="6"/>
        <v>99</v>
      </c>
      <c r="P41" s="5">
        <f t="shared" si="6"/>
        <v>132</v>
      </c>
      <c r="Q41" s="5">
        <f t="shared" si="7"/>
        <v>8160</v>
      </c>
      <c r="R41" s="5">
        <f t="shared" si="7"/>
        <v>1960</v>
      </c>
      <c r="S41" s="5">
        <f t="shared" si="7"/>
        <v>1280</v>
      </c>
      <c r="T41" s="5">
        <f t="shared" si="7"/>
        <v>396</v>
      </c>
      <c r="U41" s="5">
        <f t="shared" si="7"/>
        <v>528</v>
      </c>
      <c r="V41" s="5">
        <f>B41*战斗力计算!$B$8+C41*战斗力计算!$B$9+D41*战斗力计算!$B$10+E41*战斗力计算!$B$11+F41*战斗力计算!$B$12</f>
        <v>14400</v>
      </c>
      <c r="W41" s="5">
        <f>G41*战斗力计算!$B$8+H41*战斗力计算!$B$9+I41*战斗力计算!$B$10+J41*战斗力计算!$B$11+K41*战斗力计算!$B$12+L41*战斗力计算!$B$8+M41*战斗力计算!$B$9+N41*战斗力计算!$B$10+O41*战斗力计算!$B$11+P41*战斗力计算!$B$12</f>
        <v>43200</v>
      </c>
      <c r="X41" s="5">
        <f t="shared" si="8"/>
        <v>57600</v>
      </c>
      <c r="AC41">
        <f t="shared" si="9"/>
        <v>2</v>
      </c>
      <c r="AD41">
        <f t="shared" si="10"/>
        <v>1</v>
      </c>
      <c r="AF41">
        <f t="shared" si="11"/>
        <v>0.75</v>
      </c>
      <c r="AH41">
        <f t="shared" si="12"/>
        <v>12</v>
      </c>
      <c r="AK41">
        <f t="shared" si="13"/>
        <v>6.375</v>
      </c>
      <c r="AL41">
        <f t="shared" si="14"/>
        <v>1.53125</v>
      </c>
      <c r="AM41">
        <f t="shared" si="15"/>
        <v>1</v>
      </c>
      <c r="AN41">
        <f t="shared" si="16"/>
        <v>6.375</v>
      </c>
      <c r="AO41">
        <f t="shared" si="17"/>
        <v>1.53125</v>
      </c>
      <c r="AP41">
        <f t="shared" si="18"/>
        <v>1</v>
      </c>
      <c r="AR41">
        <f t="shared" si="19"/>
        <v>4.4545454545454541</v>
      </c>
      <c r="AT41">
        <f t="shared" si="20"/>
        <v>4.4545454545454541</v>
      </c>
      <c r="AV41">
        <f t="shared" si="21"/>
        <v>343</v>
      </c>
      <c r="AW41">
        <f t="shared" si="22"/>
        <v>637</v>
      </c>
    </row>
    <row r="42" spans="1:49" x14ac:dyDescent="0.15">
      <c r="A42" s="5">
        <v>32</v>
      </c>
      <c r="B42" s="5">
        <f t="shared" si="4"/>
        <v>2100</v>
      </c>
      <c r="C42" s="5">
        <f t="shared" si="4"/>
        <v>505</v>
      </c>
      <c r="D42" s="5">
        <f t="shared" si="4"/>
        <v>330</v>
      </c>
      <c r="E42" s="5">
        <f t="shared" si="4"/>
        <v>102</v>
      </c>
      <c r="F42" s="5">
        <f t="shared" si="4"/>
        <v>136</v>
      </c>
      <c r="G42" s="5">
        <f t="shared" si="5"/>
        <v>4200</v>
      </c>
      <c r="H42" s="5">
        <f t="shared" si="5"/>
        <v>1010</v>
      </c>
      <c r="I42" s="5">
        <f t="shared" si="5"/>
        <v>660</v>
      </c>
      <c r="J42" s="5">
        <f t="shared" si="5"/>
        <v>204</v>
      </c>
      <c r="K42" s="5">
        <f t="shared" si="5"/>
        <v>272</v>
      </c>
      <c r="L42" s="5">
        <f t="shared" si="6"/>
        <v>2100</v>
      </c>
      <c r="M42" s="5">
        <f t="shared" si="6"/>
        <v>505</v>
      </c>
      <c r="N42" s="5">
        <f t="shared" si="6"/>
        <v>330</v>
      </c>
      <c r="O42" s="5">
        <f t="shared" si="6"/>
        <v>102</v>
      </c>
      <c r="P42" s="5">
        <f t="shared" si="6"/>
        <v>136</v>
      </c>
      <c r="Q42" s="5">
        <f t="shared" si="7"/>
        <v>8400</v>
      </c>
      <c r="R42" s="5">
        <f t="shared" si="7"/>
        <v>2020</v>
      </c>
      <c r="S42" s="5">
        <f t="shared" si="7"/>
        <v>1320</v>
      </c>
      <c r="T42" s="5">
        <f t="shared" si="7"/>
        <v>408</v>
      </c>
      <c r="U42" s="5">
        <f t="shared" si="7"/>
        <v>544</v>
      </c>
      <c r="V42" s="5">
        <f>B42*战斗力计算!$B$8+C42*战斗力计算!$B$9+D42*战斗力计算!$B$10+E42*战斗力计算!$B$11+F42*战斗力计算!$B$12</f>
        <v>14840</v>
      </c>
      <c r="W42" s="5">
        <f>G42*战斗力计算!$B$8+H42*战斗力计算!$B$9+I42*战斗力计算!$B$10+J42*战斗力计算!$B$11+K42*战斗力计算!$B$12+L42*战斗力计算!$B$8+M42*战斗力计算!$B$9+N42*战斗力计算!$B$10+O42*战斗力计算!$B$11+P42*战斗力计算!$B$12</f>
        <v>44520</v>
      </c>
      <c r="X42" s="5">
        <f t="shared" si="8"/>
        <v>59360</v>
      </c>
      <c r="AC42">
        <f t="shared" si="9"/>
        <v>2</v>
      </c>
      <c r="AD42">
        <f t="shared" si="10"/>
        <v>1</v>
      </c>
      <c r="AF42">
        <f t="shared" si="11"/>
        <v>0.75</v>
      </c>
      <c r="AH42">
        <f t="shared" si="12"/>
        <v>12</v>
      </c>
      <c r="AK42">
        <f t="shared" si="13"/>
        <v>6.3636363636363633</v>
      </c>
      <c r="AL42">
        <f t="shared" si="14"/>
        <v>1.5303030303030303</v>
      </c>
      <c r="AM42">
        <f t="shared" si="15"/>
        <v>1</v>
      </c>
      <c r="AN42">
        <f t="shared" si="16"/>
        <v>6.3636363636363633</v>
      </c>
      <c r="AO42">
        <f t="shared" si="17"/>
        <v>1.5303030303030303</v>
      </c>
      <c r="AP42">
        <f t="shared" si="18"/>
        <v>1</v>
      </c>
      <c r="AR42">
        <f t="shared" si="19"/>
        <v>4.4558823529411766</v>
      </c>
      <c r="AT42">
        <f t="shared" si="20"/>
        <v>4.4558823529411766</v>
      </c>
      <c r="AV42">
        <f t="shared" si="21"/>
        <v>353</v>
      </c>
      <c r="AW42">
        <f t="shared" si="22"/>
        <v>656</v>
      </c>
    </row>
    <row r="43" spans="1:49" x14ac:dyDescent="0.15">
      <c r="A43" s="5">
        <v>33</v>
      </c>
      <c r="B43" s="5">
        <f t="shared" si="4"/>
        <v>2160</v>
      </c>
      <c r="C43" s="5">
        <f t="shared" si="4"/>
        <v>520</v>
      </c>
      <c r="D43" s="5">
        <f t="shared" si="4"/>
        <v>340</v>
      </c>
      <c r="E43" s="5">
        <f t="shared" si="4"/>
        <v>105</v>
      </c>
      <c r="F43" s="5">
        <f t="shared" si="4"/>
        <v>140</v>
      </c>
      <c r="G43" s="5">
        <f t="shared" si="5"/>
        <v>4320</v>
      </c>
      <c r="H43" s="5">
        <f t="shared" si="5"/>
        <v>1040</v>
      </c>
      <c r="I43" s="5">
        <f t="shared" si="5"/>
        <v>680</v>
      </c>
      <c r="J43" s="5">
        <f t="shared" si="5"/>
        <v>210</v>
      </c>
      <c r="K43" s="5">
        <f t="shared" si="5"/>
        <v>280</v>
      </c>
      <c r="L43" s="5">
        <f t="shared" si="6"/>
        <v>2160</v>
      </c>
      <c r="M43" s="5">
        <f t="shared" si="6"/>
        <v>520</v>
      </c>
      <c r="N43" s="5">
        <f t="shared" si="6"/>
        <v>340</v>
      </c>
      <c r="O43" s="5">
        <f t="shared" si="6"/>
        <v>105</v>
      </c>
      <c r="P43" s="5">
        <f t="shared" si="6"/>
        <v>140</v>
      </c>
      <c r="Q43" s="5">
        <f t="shared" si="7"/>
        <v>8640</v>
      </c>
      <c r="R43" s="5">
        <f t="shared" si="7"/>
        <v>2080</v>
      </c>
      <c r="S43" s="5">
        <f t="shared" si="7"/>
        <v>1360</v>
      </c>
      <c r="T43" s="5">
        <f t="shared" si="7"/>
        <v>420</v>
      </c>
      <c r="U43" s="5">
        <f t="shared" si="7"/>
        <v>560</v>
      </c>
      <c r="V43" s="5">
        <f>B43*战斗力计算!$B$8+C43*战斗力计算!$B$9+D43*战斗力计算!$B$10+E43*战斗力计算!$B$11+F43*战斗力计算!$B$12</f>
        <v>15280</v>
      </c>
      <c r="W43" s="5">
        <f>G43*战斗力计算!$B$8+H43*战斗力计算!$B$9+I43*战斗力计算!$B$10+J43*战斗力计算!$B$11+K43*战斗力计算!$B$12+L43*战斗力计算!$B$8+M43*战斗力计算!$B$9+N43*战斗力计算!$B$10+O43*战斗力计算!$B$11+P43*战斗力计算!$B$12</f>
        <v>45840</v>
      </c>
      <c r="X43" s="5">
        <f t="shared" si="8"/>
        <v>61120</v>
      </c>
      <c r="AC43">
        <f t="shared" si="9"/>
        <v>2</v>
      </c>
      <c r="AD43">
        <f t="shared" si="10"/>
        <v>1</v>
      </c>
      <c r="AF43">
        <f t="shared" si="11"/>
        <v>0.75</v>
      </c>
      <c r="AH43">
        <f t="shared" si="12"/>
        <v>12</v>
      </c>
      <c r="AK43">
        <f t="shared" si="13"/>
        <v>6.3529411764705879</v>
      </c>
      <c r="AL43">
        <f t="shared" si="14"/>
        <v>1.5294117647058822</v>
      </c>
      <c r="AM43">
        <f t="shared" si="15"/>
        <v>1</v>
      </c>
      <c r="AN43">
        <f t="shared" si="16"/>
        <v>6.3529411764705879</v>
      </c>
      <c r="AO43">
        <f t="shared" si="17"/>
        <v>1.5294117647058822</v>
      </c>
      <c r="AP43">
        <f t="shared" si="18"/>
        <v>1</v>
      </c>
      <c r="AR43">
        <f t="shared" si="19"/>
        <v>4.4571428571428573</v>
      </c>
      <c r="AT43">
        <f t="shared" si="20"/>
        <v>4.4571428571428573</v>
      </c>
      <c r="AV43">
        <f t="shared" si="21"/>
        <v>364</v>
      </c>
      <c r="AW43">
        <f t="shared" si="22"/>
        <v>676</v>
      </c>
    </row>
    <row r="44" spans="1:49" x14ac:dyDescent="0.15">
      <c r="A44" s="5">
        <v>34</v>
      </c>
      <c r="B44" s="5">
        <f t="shared" si="4"/>
        <v>2220</v>
      </c>
      <c r="C44" s="5">
        <f t="shared" si="4"/>
        <v>535</v>
      </c>
      <c r="D44" s="5">
        <f t="shared" si="4"/>
        <v>350</v>
      </c>
      <c r="E44" s="5">
        <f t="shared" si="4"/>
        <v>108</v>
      </c>
      <c r="F44" s="5">
        <f t="shared" si="4"/>
        <v>144</v>
      </c>
      <c r="G44" s="5">
        <f t="shared" si="5"/>
        <v>4440</v>
      </c>
      <c r="H44" s="5">
        <f t="shared" si="5"/>
        <v>1070</v>
      </c>
      <c r="I44" s="5">
        <f t="shared" si="5"/>
        <v>700</v>
      </c>
      <c r="J44" s="5">
        <f t="shared" si="5"/>
        <v>216</v>
      </c>
      <c r="K44" s="5">
        <f t="shared" si="5"/>
        <v>288</v>
      </c>
      <c r="L44" s="5">
        <f t="shared" si="6"/>
        <v>2220</v>
      </c>
      <c r="M44" s="5">
        <f t="shared" si="6"/>
        <v>535</v>
      </c>
      <c r="N44" s="5">
        <f t="shared" si="6"/>
        <v>350</v>
      </c>
      <c r="O44" s="5">
        <f t="shared" si="6"/>
        <v>108</v>
      </c>
      <c r="P44" s="5">
        <f t="shared" si="6"/>
        <v>144</v>
      </c>
      <c r="Q44" s="5">
        <f t="shared" si="7"/>
        <v>8880</v>
      </c>
      <c r="R44" s="5">
        <f t="shared" si="7"/>
        <v>2140</v>
      </c>
      <c r="S44" s="5">
        <f t="shared" si="7"/>
        <v>1400</v>
      </c>
      <c r="T44" s="5">
        <f t="shared" si="7"/>
        <v>432</v>
      </c>
      <c r="U44" s="5">
        <f t="shared" si="7"/>
        <v>576</v>
      </c>
      <c r="V44" s="5">
        <f>B44*战斗力计算!$B$8+C44*战斗力计算!$B$9+D44*战斗力计算!$B$10+E44*战斗力计算!$B$11+F44*战斗力计算!$B$12</f>
        <v>15720</v>
      </c>
      <c r="W44" s="5">
        <f>G44*战斗力计算!$B$8+H44*战斗力计算!$B$9+I44*战斗力计算!$B$10+J44*战斗力计算!$B$11+K44*战斗力计算!$B$12+L44*战斗力计算!$B$8+M44*战斗力计算!$B$9+N44*战斗力计算!$B$10+O44*战斗力计算!$B$11+P44*战斗力计算!$B$12</f>
        <v>47160</v>
      </c>
      <c r="X44" s="5">
        <f t="shared" si="8"/>
        <v>62880</v>
      </c>
      <c r="AC44">
        <f t="shared" si="9"/>
        <v>2</v>
      </c>
      <c r="AD44">
        <f t="shared" si="10"/>
        <v>1</v>
      </c>
      <c r="AF44">
        <f t="shared" si="11"/>
        <v>0.75</v>
      </c>
      <c r="AH44">
        <f t="shared" si="12"/>
        <v>12</v>
      </c>
      <c r="AK44">
        <f t="shared" si="13"/>
        <v>6.3428571428571425</v>
      </c>
      <c r="AL44">
        <f t="shared" si="14"/>
        <v>1.5285714285714285</v>
      </c>
      <c r="AM44">
        <f t="shared" si="15"/>
        <v>1</v>
      </c>
      <c r="AN44">
        <f t="shared" si="16"/>
        <v>6.3428571428571425</v>
      </c>
      <c r="AO44">
        <f t="shared" si="17"/>
        <v>1.5285714285714285</v>
      </c>
      <c r="AP44">
        <f t="shared" si="18"/>
        <v>1</v>
      </c>
      <c r="AR44">
        <f t="shared" si="19"/>
        <v>4.458333333333333</v>
      </c>
      <c r="AT44">
        <f t="shared" si="20"/>
        <v>4.458333333333333</v>
      </c>
      <c r="AV44">
        <f t="shared" si="21"/>
        <v>374</v>
      </c>
      <c r="AW44">
        <f t="shared" si="22"/>
        <v>695</v>
      </c>
    </row>
    <row r="45" spans="1:49" x14ac:dyDescent="0.15">
      <c r="A45" s="5">
        <v>35</v>
      </c>
      <c r="B45" s="5">
        <f t="shared" si="4"/>
        <v>2280</v>
      </c>
      <c r="C45" s="5">
        <f t="shared" si="4"/>
        <v>550</v>
      </c>
      <c r="D45" s="5">
        <f t="shared" si="4"/>
        <v>360</v>
      </c>
      <c r="E45" s="5">
        <f t="shared" si="4"/>
        <v>111</v>
      </c>
      <c r="F45" s="5">
        <f t="shared" si="4"/>
        <v>148</v>
      </c>
      <c r="G45" s="5">
        <f t="shared" si="5"/>
        <v>4560</v>
      </c>
      <c r="H45" s="5">
        <f t="shared" si="5"/>
        <v>1100</v>
      </c>
      <c r="I45" s="5">
        <f t="shared" si="5"/>
        <v>720</v>
      </c>
      <c r="J45" s="5">
        <f t="shared" si="5"/>
        <v>222</v>
      </c>
      <c r="K45" s="5">
        <f t="shared" si="5"/>
        <v>296</v>
      </c>
      <c r="L45" s="5">
        <f t="shared" si="6"/>
        <v>2280</v>
      </c>
      <c r="M45" s="5">
        <f t="shared" si="6"/>
        <v>550</v>
      </c>
      <c r="N45" s="5">
        <f t="shared" si="6"/>
        <v>360</v>
      </c>
      <c r="O45" s="5">
        <f t="shared" si="6"/>
        <v>111</v>
      </c>
      <c r="P45" s="5">
        <f t="shared" si="6"/>
        <v>148</v>
      </c>
      <c r="Q45" s="5">
        <f t="shared" si="7"/>
        <v>9120</v>
      </c>
      <c r="R45" s="5">
        <f t="shared" si="7"/>
        <v>2200</v>
      </c>
      <c r="S45" s="5">
        <f t="shared" si="7"/>
        <v>1440</v>
      </c>
      <c r="T45" s="5">
        <f t="shared" si="7"/>
        <v>444</v>
      </c>
      <c r="U45" s="5">
        <f t="shared" si="7"/>
        <v>592</v>
      </c>
      <c r="V45" s="5">
        <f>B45*战斗力计算!$B$8+C45*战斗力计算!$B$9+D45*战斗力计算!$B$10+E45*战斗力计算!$B$11+F45*战斗力计算!$B$12</f>
        <v>16160</v>
      </c>
      <c r="W45" s="5">
        <f>G45*战斗力计算!$B$8+H45*战斗力计算!$B$9+I45*战斗力计算!$B$10+J45*战斗力计算!$B$11+K45*战斗力计算!$B$12+L45*战斗力计算!$B$8+M45*战斗力计算!$B$9+N45*战斗力计算!$B$10+O45*战斗力计算!$B$11+P45*战斗力计算!$B$12</f>
        <v>48480</v>
      </c>
      <c r="X45" s="5">
        <f t="shared" si="8"/>
        <v>64640</v>
      </c>
      <c r="AC45">
        <f t="shared" si="9"/>
        <v>2</v>
      </c>
      <c r="AD45">
        <f t="shared" si="10"/>
        <v>1</v>
      </c>
      <c r="AF45">
        <f t="shared" si="11"/>
        <v>0.75</v>
      </c>
      <c r="AH45">
        <f t="shared" si="12"/>
        <v>12</v>
      </c>
      <c r="AK45">
        <f t="shared" si="13"/>
        <v>6.333333333333333</v>
      </c>
      <c r="AL45">
        <f t="shared" si="14"/>
        <v>1.5277777777777777</v>
      </c>
      <c r="AM45">
        <f t="shared" si="15"/>
        <v>1</v>
      </c>
      <c r="AN45">
        <f t="shared" si="16"/>
        <v>6.333333333333333</v>
      </c>
      <c r="AO45">
        <f t="shared" si="17"/>
        <v>1.5277777777777777</v>
      </c>
      <c r="AP45">
        <f t="shared" si="18"/>
        <v>1</v>
      </c>
      <c r="AR45">
        <f t="shared" si="19"/>
        <v>4.4594594594594597</v>
      </c>
      <c r="AT45">
        <f t="shared" si="20"/>
        <v>4.4594594594594597</v>
      </c>
      <c r="AV45">
        <f t="shared" si="21"/>
        <v>385</v>
      </c>
      <c r="AW45">
        <f t="shared" si="22"/>
        <v>715</v>
      </c>
    </row>
    <row r="46" spans="1:49" x14ac:dyDescent="0.15">
      <c r="A46" s="5">
        <v>36</v>
      </c>
      <c r="B46" s="5">
        <f t="shared" si="4"/>
        <v>2340</v>
      </c>
      <c r="C46" s="5">
        <f t="shared" si="4"/>
        <v>565</v>
      </c>
      <c r="D46" s="5">
        <f t="shared" si="4"/>
        <v>370</v>
      </c>
      <c r="E46" s="5">
        <f t="shared" si="4"/>
        <v>114</v>
      </c>
      <c r="F46" s="5">
        <f t="shared" si="4"/>
        <v>152</v>
      </c>
      <c r="G46" s="5">
        <f t="shared" si="5"/>
        <v>4680</v>
      </c>
      <c r="H46" s="5">
        <f t="shared" si="5"/>
        <v>1130</v>
      </c>
      <c r="I46" s="5">
        <f t="shared" si="5"/>
        <v>740</v>
      </c>
      <c r="J46" s="5">
        <f t="shared" si="5"/>
        <v>228</v>
      </c>
      <c r="K46" s="5">
        <f t="shared" si="5"/>
        <v>304</v>
      </c>
      <c r="L46" s="5">
        <f t="shared" si="6"/>
        <v>2340</v>
      </c>
      <c r="M46" s="5">
        <f t="shared" si="6"/>
        <v>565</v>
      </c>
      <c r="N46" s="5">
        <f t="shared" si="6"/>
        <v>370</v>
      </c>
      <c r="O46" s="5">
        <f t="shared" si="6"/>
        <v>114</v>
      </c>
      <c r="P46" s="5">
        <f t="shared" si="6"/>
        <v>152</v>
      </c>
      <c r="Q46" s="5">
        <f t="shared" si="7"/>
        <v>9360</v>
      </c>
      <c r="R46" s="5">
        <f t="shared" si="7"/>
        <v>2260</v>
      </c>
      <c r="S46" s="5">
        <f t="shared" si="7"/>
        <v>1480</v>
      </c>
      <c r="T46" s="5">
        <f t="shared" si="7"/>
        <v>456</v>
      </c>
      <c r="U46" s="5">
        <f t="shared" si="7"/>
        <v>608</v>
      </c>
      <c r="V46" s="5">
        <f>B46*战斗力计算!$B$8+C46*战斗力计算!$B$9+D46*战斗力计算!$B$10+E46*战斗力计算!$B$11+F46*战斗力计算!$B$12</f>
        <v>16600</v>
      </c>
      <c r="W46" s="5">
        <f>G46*战斗力计算!$B$8+H46*战斗力计算!$B$9+I46*战斗力计算!$B$10+J46*战斗力计算!$B$11+K46*战斗力计算!$B$12+L46*战斗力计算!$B$8+M46*战斗力计算!$B$9+N46*战斗力计算!$B$10+O46*战斗力计算!$B$11+P46*战斗力计算!$B$12</f>
        <v>49800</v>
      </c>
      <c r="X46" s="5">
        <f t="shared" si="8"/>
        <v>66400</v>
      </c>
      <c r="AC46">
        <f t="shared" si="9"/>
        <v>2</v>
      </c>
      <c r="AD46">
        <f t="shared" si="10"/>
        <v>1</v>
      </c>
      <c r="AF46">
        <f t="shared" si="11"/>
        <v>0.75</v>
      </c>
      <c r="AH46">
        <f t="shared" si="12"/>
        <v>12</v>
      </c>
      <c r="AK46">
        <f t="shared" si="13"/>
        <v>6.3243243243243246</v>
      </c>
      <c r="AL46">
        <f t="shared" si="14"/>
        <v>1.527027027027027</v>
      </c>
      <c r="AM46">
        <f t="shared" si="15"/>
        <v>1</v>
      </c>
      <c r="AN46">
        <f t="shared" si="16"/>
        <v>6.3243243243243246</v>
      </c>
      <c r="AO46">
        <f t="shared" si="17"/>
        <v>1.527027027027027</v>
      </c>
      <c r="AP46">
        <f t="shared" si="18"/>
        <v>1</v>
      </c>
      <c r="AR46">
        <f t="shared" si="19"/>
        <v>4.4605263157894735</v>
      </c>
      <c r="AT46">
        <f t="shared" si="20"/>
        <v>4.4605263157894735</v>
      </c>
      <c r="AV46">
        <f t="shared" si="21"/>
        <v>395</v>
      </c>
      <c r="AW46">
        <f t="shared" si="22"/>
        <v>734</v>
      </c>
    </row>
    <row r="47" spans="1:49" x14ac:dyDescent="0.15">
      <c r="A47" s="5">
        <v>37</v>
      </c>
      <c r="B47" s="5">
        <f t="shared" si="4"/>
        <v>2400</v>
      </c>
      <c r="C47" s="5">
        <f t="shared" si="4"/>
        <v>580</v>
      </c>
      <c r="D47" s="5">
        <f t="shared" si="4"/>
        <v>380</v>
      </c>
      <c r="E47" s="5">
        <f t="shared" si="4"/>
        <v>117</v>
      </c>
      <c r="F47" s="5">
        <f t="shared" si="4"/>
        <v>156</v>
      </c>
      <c r="G47" s="5">
        <f t="shared" si="5"/>
        <v>4800</v>
      </c>
      <c r="H47" s="5">
        <f t="shared" si="5"/>
        <v>1160</v>
      </c>
      <c r="I47" s="5">
        <f t="shared" si="5"/>
        <v>760</v>
      </c>
      <c r="J47" s="5">
        <f t="shared" si="5"/>
        <v>234</v>
      </c>
      <c r="K47" s="5">
        <f t="shared" si="5"/>
        <v>312</v>
      </c>
      <c r="L47" s="5">
        <f t="shared" si="6"/>
        <v>2400</v>
      </c>
      <c r="M47" s="5">
        <f t="shared" si="6"/>
        <v>580</v>
      </c>
      <c r="N47" s="5">
        <f t="shared" si="6"/>
        <v>380</v>
      </c>
      <c r="O47" s="5">
        <f t="shared" si="6"/>
        <v>117</v>
      </c>
      <c r="P47" s="5">
        <f t="shared" si="6"/>
        <v>156</v>
      </c>
      <c r="Q47" s="5">
        <f t="shared" si="7"/>
        <v>9600</v>
      </c>
      <c r="R47" s="5">
        <f t="shared" si="7"/>
        <v>2320</v>
      </c>
      <c r="S47" s="5">
        <f t="shared" si="7"/>
        <v>1520</v>
      </c>
      <c r="T47" s="5">
        <f t="shared" si="7"/>
        <v>468</v>
      </c>
      <c r="U47" s="5">
        <f t="shared" si="7"/>
        <v>624</v>
      </c>
      <c r="V47" s="5">
        <f>B47*战斗力计算!$B$8+C47*战斗力计算!$B$9+D47*战斗力计算!$B$10+E47*战斗力计算!$B$11+F47*战斗力计算!$B$12</f>
        <v>17040</v>
      </c>
      <c r="W47" s="5">
        <f>G47*战斗力计算!$B$8+H47*战斗力计算!$B$9+I47*战斗力计算!$B$10+J47*战斗力计算!$B$11+K47*战斗力计算!$B$12+L47*战斗力计算!$B$8+M47*战斗力计算!$B$9+N47*战斗力计算!$B$10+O47*战斗力计算!$B$11+P47*战斗力计算!$B$12</f>
        <v>51120</v>
      </c>
      <c r="X47" s="5">
        <f t="shared" si="8"/>
        <v>68160</v>
      </c>
      <c r="AC47">
        <f t="shared" si="9"/>
        <v>2</v>
      </c>
      <c r="AD47">
        <f t="shared" si="10"/>
        <v>1</v>
      </c>
      <c r="AF47">
        <f t="shared" si="11"/>
        <v>0.75</v>
      </c>
      <c r="AH47">
        <f t="shared" si="12"/>
        <v>12</v>
      </c>
      <c r="AK47">
        <f t="shared" si="13"/>
        <v>6.3157894736842106</v>
      </c>
      <c r="AL47">
        <f t="shared" si="14"/>
        <v>1.5263157894736843</v>
      </c>
      <c r="AM47">
        <f t="shared" si="15"/>
        <v>1</v>
      </c>
      <c r="AN47">
        <f t="shared" si="16"/>
        <v>6.3157894736842106</v>
      </c>
      <c r="AO47">
        <f t="shared" si="17"/>
        <v>1.5263157894736843</v>
      </c>
      <c r="AP47">
        <f t="shared" si="18"/>
        <v>1</v>
      </c>
      <c r="AR47">
        <f t="shared" si="19"/>
        <v>4.4615384615384617</v>
      </c>
      <c r="AT47">
        <f t="shared" si="20"/>
        <v>4.4615384615384617</v>
      </c>
      <c r="AV47">
        <f t="shared" si="21"/>
        <v>406</v>
      </c>
      <c r="AW47">
        <f t="shared" si="22"/>
        <v>754</v>
      </c>
    </row>
    <row r="48" spans="1:49" x14ac:dyDescent="0.15">
      <c r="A48" s="5">
        <v>38</v>
      </c>
      <c r="B48" s="5">
        <f t="shared" si="4"/>
        <v>2460</v>
      </c>
      <c r="C48" s="5">
        <f t="shared" si="4"/>
        <v>595</v>
      </c>
      <c r="D48" s="5">
        <f t="shared" si="4"/>
        <v>390</v>
      </c>
      <c r="E48" s="5">
        <f t="shared" si="4"/>
        <v>120</v>
      </c>
      <c r="F48" s="5">
        <f t="shared" si="4"/>
        <v>160</v>
      </c>
      <c r="G48" s="5">
        <f t="shared" si="5"/>
        <v>4920</v>
      </c>
      <c r="H48" s="5">
        <f t="shared" si="5"/>
        <v>1190</v>
      </c>
      <c r="I48" s="5">
        <f t="shared" si="5"/>
        <v>780</v>
      </c>
      <c r="J48" s="5">
        <f t="shared" si="5"/>
        <v>240</v>
      </c>
      <c r="K48" s="5">
        <f t="shared" si="5"/>
        <v>320</v>
      </c>
      <c r="L48" s="5">
        <f t="shared" si="6"/>
        <v>2460</v>
      </c>
      <c r="M48" s="5">
        <f t="shared" si="6"/>
        <v>595</v>
      </c>
      <c r="N48" s="5">
        <f t="shared" si="6"/>
        <v>390</v>
      </c>
      <c r="O48" s="5">
        <f t="shared" si="6"/>
        <v>120</v>
      </c>
      <c r="P48" s="5">
        <f t="shared" si="6"/>
        <v>160</v>
      </c>
      <c r="Q48" s="5">
        <f t="shared" si="7"/>
        <v>9840</v>
      </c>
      <c r="R48" s="5">
        <f t="shared" si="7"/>
        <v>2380</v>
      </c>
      <c r="S48" s="5">
        <f t="shared" si="7"/>
        <v>1560</v>
      </c>
      <c r="T48" s="5">
        <f t="shared" si="7"/>
        <v>480</v>
      </c>
      <c r="U48" s="5">
        <f t="shared" si="7"/>
        <v>640</v>
      </c>
      <c r="V48" s="5">
        <f>B48*战斗力计算!$B$8+C48*战斗力计算!$B$9+D48*战斗力计算!$B$10+E48*战斗力计算!$B$11+F48*战斗力计算!$B$12</f>
        <v>17480</v>
      </c>
      <c r="W48" s="5">
        <f>G48*战斗力计算!$B$8+H48*战斗力计算!$B$9+I48*战斗力计算!$B$10+J48*战斗力计算!$B$11+K48*战斗力计算!$B$12+L48*战斗力计算!$B$8+M48*战斗力计算!$B$9+N48*战斗力计算!$B$10+O48*战斗力计算!$B$11+P48*战斗力计算!$B$12</f>
        <v>52440</v>
      </c>
      <c r="X48" s="5">
        <f t="shared" si="8"/>
        <v>69920</v>
      </c>
      <c r="AC48">
        <f t="shared" si="9"/>
        <v>2</v>
      </c>
      <c r="AD48">
        <f t="shared" si="10"/>
        <v>1</v>
      </c>
      <c r="AF48">
        <f t="shared" si="11"/>
        <v>0.75</v>
      </c>
      <c r="AH48">
        <f t="shared" si="12"/>
        <v>12</v>
      </c>
      <c r="AK48">
        <f t="shared" si="13"/>
        <v>6.3076923076923075</v>
      </c>
      <c r="AL48">
        <f t="shared" si="14"/>
        <v>1.5256410256410255</v>
      </c>
      <c r="AM48">
        <f t="shared" si="15"/>
        <v>1</v>
      </c>
      <c r="AN48">
        <f t="shared" si="16"/>
        <v>6.3076923076923075</v>
      </c>
      <c r="AO48">
        <f t="shared" si="17"/>
        <v>1.5256410256410255</v>
      </c>
      <c r="AP48">
        <f t="shared" si="18"/>
        <v>1</v>
      </c>
      <c r="AR48">
        <f t="shared" si="19"/>
        <v>4.4625000000000004</v>
      </c>
      <c r="AT48">
        <f t="shared" si="20"/>
        <v>4.4625000000000004</v>
      </c>
      <c r="AV48">
        <f t="shared" si="21"/>
        <v>416</v>
      </c>
      <c r="AW48">
        <f t="shared" si="22"/>
        <v>773</v>
      </c>
    </row>
    <row r="49" spans="1:49" x14ac:dyDescent="0.15">
      <c r="A49" s="5">
        <v>39</v>
      </c>
      <c r="B49" s="5">
        <f t="shared" si="4"/>
        <v>2520</v>
      </c>
      <c r="C49" s="5">
        <f t="shared" si="4"/>
        <v>610</v>
      </c>
      <c r="D49" s="5">
        <f t="shared" si="4"/>
        <v>400</v>
      </c>
      <c r="E49" s="5">
        <f t="shared" si="4"/>
        <v>123</v>
      </c>
      <c r="F49" s="5">
        <f t="shared" si="4"/>
        <v>164</v>
      </c>
      <c r="G49" s="5">
        <f t="shared" si="5"/>
        <v>5040</v>
      </c>
      <c r="H49" s="5">
        <f t="shared" si="5"/>
        <v>1220</v>
      </c>
      <c r="I49" s="5">
        <f t="shared" si="5"/>
        <v>800</v>
      </c>
      <c r="J49" s="5">
        <f t="shared" si="5"/>
        <v>246</v>
      </c>
      <c r="K49" s="5">
        <f t="shared" si="5"/>
        <v>328</v>
      </c>
      <c r="L49" s="5">
        <f t="shared" si="6"/>
        <v>2520</v>
      </c>
      <c r="M49" s="5">
        <f t="shared" si="6"/>
        <v>610</v>
      </c>
      <c r="N49" s="5">
        <f t="shared" si="6"/>
        <v>400</v>
      </c>
      <c r="O49" s="5">
        <f t="shared" si="6"/>
        <v>123</v>
      </c>
      <c r="P49" s="5">
        <f t="shared" si="6"/>
        <v>164</v>
      </c>
      <c r="Q49" s="5">
        <f t="shared" si="7"/>
        <v>10080</v>
      </c>
      <c r="R49" s="5">
        <f t="shared" si="7"/>
        <v>2440</v>
      </c>
      <c r="S49" s="5">
        <f t="shared" si="7"/>
        <v>1600</v>
      </c>
      <c r="T49" s="5">
        <f t="shared" si="7"/>
        <v>492</v>
      </c>
      <c r="U49" s="5">
        <f t="shared" si="7"/>
        <v>656</v>
      </c>
      <c r="V49" s="5">
        <f>B49*战斗力计算!$B$8+C49*战斗力计算!$B$9+D49*战斗力计算!$B$10+E49*战斗力计算!$B$11+F49*战斗力计算!$B$12</f>
        <v>17920</v>
      </c>
      <c r="W49" s="5">
        <f>G49*战斗力计算!$B$8+H49*战斗力计算!$B$9+I49*战斗力计算!$B$10+J49*战斗力计算!$B$11+K49*战斗力计算!$B$12+L49*战斗力计算!$B$8+M49*战斗力计算!$B$9+N49*战斗力计算!$B$10+O49*战斗力计算!$B$11+P49*战斗力计算!$B$12</f>
        <v>53760</v>
      </c>
      <c r="X49" s="5">
        <f t="shared" si="8"/>
        <v>71680</v>
      </c>
      <c r="AC49">
        <f t="shared" si="9"/>
        <v>2</v>
      </c>
      <c r="AD49">
        <f t="shared" si="10"/>
        <v>1</v>
      </c>
      <c r="AF49">
        <f t="shared" si="11"/>
        <v>0.75</v>
      </c>
      <c r="AH49">
        <f t="shared" si="12"/>
        <v>12</v>
      </c>
      <c r="AK49">
        <f t="shared" si="13"/>
        <v>6.3</v>
      </c>
      <c r="AL49">
        <f t="shared" si="14"/>
        <v>1.5249999999999999</v>
      </c>
      <c r="AM49">
        <f t="shared" si="15"/>
        <v>1</v>
      </c>
      <c r="AN49">
        <f t="shared" si="16"/>
        <v>6.3</v>
      </c>
      <c r="AO49">
        <f t="shared" si="17"/>
        <v>1.5249999999999999</v>
      </c>
      <c r="AP49">
        <f t="shared" si="18"/>
        <v>1</v>
      </c>
      <c r="AR49">
        <f t="shared" si="19"/>
        <v>4.4634146341463419</v>
      </c>
      <c r="AT49">
        <f t="shared" si="20"/>
        <v>4.4634146341463419</v>
      </c>
      <c r="AV49">
        <f t="shared" si="21"/>
        <v>427</v>
      </c>
      <c r="AW49">
        <f t="shared" si="22"/>
        <v>793</v>
      </c>
    </row>
    <row r="50" spans="1:49" x14ac:dyDescent="0.15">
      <c r="A50" s="5">
        <v>40</v>
      </c>
      <c r="B50" s="5">
        <f t="shared" si="4"/>
        <v>2580</v>
      </c>
      <c r="C50" s="5">
        <f t="shared" si="4"/>
        <v>625</v>
      </c>
      <c r="D50" s="5">
        <f t="shared" si="4"/>
        <v>410</v>
      </c>
      <c r="E50" s="5">
        <f t="shared" si="4"/>
        <v>126</v>
      </c>
      <c r="F50" s="5">
        <f t="shared" si="4"/>
        <v>168</v>
      </c>
      <c r="G50" s="5">
        <f t="shared" si="5"/>
        <v>5160</v>
      </c>
      <c r="H50" s="5">
        <f t="shared" si="5"/>
        <v>1250</v>
      </c>
      <c r="I50" s="5">
        <f t="shared" si="5"/>
        <v>820</v>
      </c>
      <c r="J50" s="5">
        <f t="shared" si="5"/>
        <v>252</v>
      </c>
      <c r="K50" s="5">
        <f t="shared" si="5"/>
        <v>336</v>
      </c>
      <c r="L50" s="5">
        <f t="shared" si="6"/>
        <v>2580</v>
      </c>
      <c r="M50" s="5">
        <f t="shared" si="6"/>
        <v>625</v>
      </c>
      <c r="N50" s="5">
        <f t="shared" si="6"/>
        <v>410</v>
      </c>
      <c r="O50" s="5">
        <f t="shared" si="6"/>
        <v>126</v>
      </c>
      <c r="P50" s="5">
        <f t="shared" si="6"/>
        <v>168</v>
      </c>
      <c r="Q50" s="5">
        <f t="shared" si="7"/>
        <v>10320</v>
      </c>
      <c r="R50" s="5">
        <f t="shared" si="7"/>
        <v>2500</v>
      </c>
      <c r="S50" s="5">
        <f t="shared" si="7"/>
        <v>1640</v>
      </c>
      <c r="T50" s="5">
        <f t="shared" si="7"/>
        <v>504</v>
      </c>
      <c r="U50" s="5">
        <f t="shared" si="7"/>
        <v>672</v>
      </c>
      <c r="V50" s="5">
        <f>B50*战斗力计算!$B$8+C50*战斗力计算!$B$9+D50*战斗力计算!$B$10+E50*战斗力计算!$B$11+F50*战斗力计算!$B$12</f>
        <v>18360</v>
      </c>
      <c r="W50" s="5">
        <f>G50*战斗力计算!$B$8+H50*战斗力计算!$B$9+I50*战斗力计算!$B$10+J50*战斗力计算!$B$11+K50*战斗力计算!$B$12+L50*战斗力计算!$B$8+M50*战斗力计算!$B$9+N50*战斗力计算!$B$10+O50*战斗力计算!$B$11+P50*战斗力计算!$B$12</f>
        <v>55080</v>
      </c>
      <c r="X50" s="5">
        <f t="shared" si="8"/>
        <v>73440</v>
      </c>
      <c r="AC50">
        <f t="shared" si="9"/>
        <v>2</v>
      </c>
      <c r="AD50">
        <f t="shared" si="10"/>
        <v>1</v>
      </c>
      <c r="AF50">
        <f t="shared" si="11"/>
        <v>0.75</v>
      </c>
      <c r="AH50">
        <f t="shared" si="12"/>
        <v>12</v>
      </c>
      <c r="AK50">
        <f t="shared" si="13"/>
        <v>6.2926829268292686</v>
      </c>
      <c r="AL50">
        <f t="shared" si="14"/>
        <v>1.524390243902439</v>
      </c>
      <c r="AM50">
        <f t="shared" si="15"/>
        <v>1</v>
      </c>
      <c r="AN50">
        <f t="shared" si="16"/>
        <v>6.2926829268292686</v>
      </c>
      <c r="AO50">
        <f t="shared" si="17"/>
        <v>1.524390243902439</v>
      </c>
      <c r="AP50">
        <f t="shared" si="18"/>
        <v>1</v>
      </c>
      <c r="AR50">
        <f t="shared" si="19"/>
        <v>4.4642857142857144</v>
      </c>
      <c r="AT50">
        <f t="shared" si="20"/>
        <v>4.4642857142857144</v>
      </c>
      <c r="AV50">
        <f t="shared" si="21"/>
        <v>437</v>
      </c>
      <c r="AW50">
        <f t="shared" si="22"/>
        <v>812</v>
      </c>
    </row>
    <row r="51" spans="1:49" x14ac:dyDescent="0.15">
      <c r="A51" s="5">
        <v>41</v>
      </c>
      <c r="B51" s="5">
        <f t="shared" si="4"/>
        <v>2640</v>
      </c>
      <c r="C51" s="5">
        <f t="shared" si="4"/>
        <v>640</v>
      </c>
      <c r="D51" s="5">
        <f t="shared" si="4"/>
        <v>420</v>
      </c>
      <c r="E51" s="5">
        <f t="shared" si="4"/>
        <v>129</v>
      </c>
      <c r="F51" s="5">
        <f t="shared" si="4"/>
        <v>172</v>
      </c>
      <c r="G51" s="5">
        <f t="shared" si="5"/>
        <v>5280</v>
      </c>
      <c r="H51" s="5">
        <f t="shared" si="5"/>
        <v>1280</v>
      </c>
      <c r="I51" s="5">
        <f t="shared" si="5"/>
        <v>840</v>
      </c>
      <c r="J51" s="5">
        <f t="shared" si="5"/>
        <v>258</v>
      </c>
      <c r="K51" s="5">
        <f t="shared" si="5"/>
        <v>344</v>
      </c>
      <c r="L51" s="5">
        <f t="shared" si="6"/>
        <v>2640</v>
      </c>
      <c r="M51" s="5">
        <f t="shared" si="6"/>
        <v>640</v>
      </c>
      <c r="N51" s="5">
        <f t="shared" si="6"/>
        <v>420</v>
      </c>
      <c r="O51" s="5">
        <f t="shared" si="6"/>
        <v>129</v>
      </c>
      <c r="P51" s="5">
        <f t="shared" si="6"/>
        <v>172</v>
      </c>
      <c r="Q51" s="5">
        <f t="shared" si="7"/>
        <v>10560</v>
      </c>
      <c r="R51" s="5">
        <f t="shared" si="7"/>
        <v>2560</v>
      </c>
      <c r="S51" s="5">
        <f t="shared" si="7"/>
        <v>1680</v>
      </c>
      <c r="T51" s="5">
        <f t="shared" si="7"/>
        <v>516</v>
      </c>
      <c r="U51" s="5">
        <f t="shared" si="7"/>
        <v>688</v>
      </c>
      <c r="V51" s="5">
        <f>B51*战斗力计算!$B$8+C51*战斗力计算!$B$9+D51*战斗力计算!$B$10+E51*战斗力计算!$B$11+F51*战斗力计算!$B$12</f>
        <v>18800</v>
      </c>
      <c r="W51" s="5">
        <f>G51*战斗力计算!$B$8+H51*战斗力计算!$B$9+I51*战斗力计算!$B$10+J51*战斗力计算!$B$11+K51*战斗力计算!$B$12+L51*战斗力计算!$B$8+M51*战斗力计算!$B$9+N51*战斗力计算!$B$10+O51*战斗力计算!$B$11+P51*战斗力计算!$B$12</f>
        <v>56400</v>
      </c>
      <c r="X51" s="5">
        <f t="shared" si="8"/>
        <v>75200</v>
      </c>
      <c r="AC51">
        <f t="shared" si="9"/>
        <v>2</v>
      </c>
      <c r="AD51">
        <f t="shared" si="10"/>
        <v>1</v>
      </c>
      <c r="AF51">
        <f t="shared" si="11"/>
        <v>0.75</v>
      </c>
      <c r="AH51">
        <f t="shared" si="12"/>
        <v>12</v>
      </c>
      <c r="AK51">
        <f t="shared" si="13"/>
        <v>6.2857142857142856</v>
      </c>
      <c r="AL51">
        <f t="shared" si="14"/>
        <v>1.5238095238095237</v>
      </c>
      <c r="AM51">
        <f t="shared" si="15"/>
        <v>1</v>
      </c>
      <c r="AN51">
        <f t="shared" si="16"/>
        <v>6.2857142857142856</v>
      </c>
      <c r="AO51">
        <f t="shared" si="17"/>
        <v>1.5238095238095237</v>
      </c>
      <c r="AP51">
        <f t="shared" si="18"/>
        <v>1</v>
      </c>
      <c r="AR51">
        <f t="shared" si="19"/>
        <v>4.4651162790697674</v>
      </c>
      <c r="AT51">
        <f t="shared" si="20"/>
        <v>4.4651162790697674</v>
      </c>
      <c r="AV51">
        <f t="shared" si="21"/>
        <v>448</v>
      </c>
      <c r="AW51">
        <f t="shared" si="22"/>
        <v>832</v>
      </c>
    </row>
    <row r="52" spans="1:49" x14ac:dyDescent="0.15">
      <c r="A52" s="5">
        <v>42</v>
      </c>
      <c r="B52" s="5">
        <f t="shared" si="4"/>
        <v>2700</v>
      </c>
      <c r="C52" s="5">
        <f t="shared" si="4"/>
        <v>655</v>
      </c>
      <c r="D52" s="5">
        <f t="shared" si="4"/>
        <v>430</v>
      </c>
      <c r="E52" s="5">
        <f t="shared" si="4"/>
        <v>132</v>
      </c>
      <c r="F52" s="5">
        <f t="shared" si="4"/>
        <v>176</v>
      </c>
      <c r="G52" s="5">
        <f t="shared" si="5"/>
        <v>5400</v>
      </c>
      <c r="H52" s="5">
        <f t="shared" si="5"/>
        <v>1310</v>
      </c>
      <c r="I52" s="5">
        <f t="shared" si="5"/>
        <v>860</v>
      </c>
      <c r="J52" s="5">
        <f t="shared" si="5"/>
        <v>264</v>
      </c>
      <c r="K52" s="5">
        <f t="shared" si="5"/>
        <v>352</v>
      </c>
      <c r="L52" s="5">
        <f t="shared" si="6"/>
        <v>2700</v>
      </c>
      <c r="M52" s="5">
        <f t="shared" si="6"/>
        <v>655</v>
      </c>
      <c r="N52" s="5">
        <f t="shared" si="6"/>
        <v>430</v>
      </c>
      <c r="O52" s="5">
        <f t="shared" si="6"/>
        <v>132</v>
      </c>
      <c r="P52" s="5">
        <f t="shared" si="6"/>
        <v>176</v>
      </c>
      <c r="Q52" s="5">
        <f t="shared" si="7"/>
        <v>10800</v>
      </c>
      <c r="R52" s="5">
        <f t="shared" si="7"/>
        <v>2620</v>
      </c>
      <c r="S52" s="5">
        <f t="shared" si="7"/>
        <v>1720</v>
      </c>
      <c r="T52" s="5">
        <f t="shared" si="7"/>
        <v>528</v>
      </c>
      <c r="U52" s="5">
        <f t="shared" si="7"/>
        <v>704</v>
      </c>
      <c r="V52" s="5">
        <f>B52*战斗力计算!$B$8+C52*战斗力计算!$B$9+D52*战斗力计算!$B$10+E52*战斗力计算!$B$11+F52*战斗力计算!$B$12</f>
        <v>19240</v>
      </c>
      <c r="W52" s="5">
        <f>G52*战斗力计算!$B$8+H52*战斗力计算!$B$9+I52*战斗力计算!$B$10+J52*战斗力计算!$B$11+K52*战斗力计算!$B$12+L52*战斗力计算!$B$8+M52*战斗力计算!$B$9+N52*战斗力计算!$B$10+O52*战斗力计算!$B$11+P52*战斗力计算!$B$12</f>
        <v>57720</v>
      </c>
      <c r="X52" s="5">
        <f t="shared" si="8"/>
        <v>76960</v>
      </c>
      <c r="AC52">
        <f t="shared" si="9"/>
        <v>2</v>
      </c>
      <c r="AD52">
        <f t="shared" si="10"/>
        <v>1</v>
      </c>
      <c r="AF52">
        <f t="shared" si="11"/>
        <v>0.75</v>
      </c>
      <c r="AH52">
        <f t="shared" si="12"/>
        <v>12</v>
      </c>
      <c r="AK52">
        <f t="shared" si="13"/>
        <v>6.2790697674418601</v>
      </c>
      <c r="AL52">
        <f t="shared" si="14"/>
        <v>1.5232558139534884</v>
      </c>
      <c r="AM52">
        <f t="shared" si="15"/>
        <v>1</v>
      </c>
      <c r="AN52">
        <f t="shared" si="16"/>
        <v>6.2790697674418601</v>
      </c>
      <c r="AO52">
        <f t="shared" si="17"/>
        <v>1.5232558139534884</v>
      </c>
      <c r="AP52">
        <f t="shared" si="18"/>
        <v>1</v>
      </c>
      <c r="AR52">
        <f t="shared" si="19"/>
        <v>4.4659090909090908</v>
      </c>
      <c r="AT52">
        <f t="shared" si="20"/>
        <v>4.4659090909090908</v>
      </c>
      <c r="AV52">
        <f t="shared" si="21"/>
        <v>458</v>
      </c>
      <c r="AW52">
        <f t="shared" si="22"/>
        <v>851</v>
      </c>
    </row>
    <row r="53" spans="1:49" x14ac:dyDescent="0.15">
      <c r="A53" s="5">
        <v>43</v>
      </c>
      <c r="B53" s="5">
        <f t="shared" si="4"/>
        <v>2760</v>
      </c>
      <c r="C53" s="5">
        <f t="shared" si="4"/>
        <v>670</v>
      </c>
      <c r="D53" s="5">
        <f t="shared" si="4"/>
        <v>440</v>
      </c>
      <c r="E53" s="5">
        <f t="shared" si="4"/>
        <v>135</v>
      </c>
      <c r="F53" s="5">
        <f t="shared" si="4"/>
        <v>180</v>
      </c>
      <c r="G53" s="5">
        <f t="shared" si="5"/>
        <v>5520</v>
      </c>
      <c r="H53" s="5">
        <f t="shared" si="5"/>
        <v>1340</v>
      </c>
      <c r="I53" s="5">
        <f t="shared" si="5"/>
        <v>880</v>
      </c>
      <c r="J53" s="5">
        <f t="shared" si="5"/>
        <v>270</v>
      </c>
      <c r="K53" s="5">
        <f t="shared" si="5"/>
        <v>360</v>
      </c>
      <c r="L53" s="5">
        <f t="shared" si="6"/>
        <v>2760</v>
      </c>
      <c r="M53" s="5">
        <f t="shared" si="6"/>
        <v>670</v>
      </c>
      <c r="N53" s="5">
        <f t="shared" si="6"/>
        <v>440</v>
      </c>
      <c r="O53" s="5">
        <f t="shared" si="6"/>
        <v>135</v>
      </c>
      <c r="P53" s="5">
        <f t="shared" si="6"/>
        <v>180</v>
      </c>
      <c r="Q53" s="5">
        <f t="shared" si="7"/>
        <v>11040</v>
      </c>
      <c r="R53" s="5">
        <f t="shared" si="7"/>
        <v>2680</v>
      </c>
      <c r="S53" s="5">
        <f t="shared" si="7"/>
        <v>1760</v>
      </c>
      <c r="T53" s="5">
        <f t="shared" si="7"/>
        <v>540</v>
      </c>
      <c r="U53" s="5">
        <f t="shared" si="7"/>
        <v>720</v>
      </c>
      <c r="V53" s="5">
        <f>B53*战斗力计算!$B$8+C53*战斗力计算!$B$9+D53*战斗力计算!$B$10+E53*战斗力计算!$B$11+F53*战斗力计算!$B$12</f>
        <v>19680</v>
      </c>
      <c r="W53" s="5">
        <f>G53*战斗力计算!$B$8+H53*战斗力计算!$B$9+I53*战斗力计算!$B$10+J53*战斗力计算!$B$11+K53*战斗力计算!$B$12+L53*战斗力计算!$B$8+M53*战斗力计算!$B$9+N53*战斗力计算!$B$10+O53*战斗力计算!$B$11+P53*战斗力计算!$B$12</f>
        <v>59040</v>
      </c>
      <c r="X53" s="5">
        <f t="shared" si="8"/>
        <v>78720</v>
      </c>
      <c r="AC53">
        <f t="shared" si="9"/>
        <v>2</v>
      </c>
      <c r="AD53">
        <f t="shared" si="10"/>
        <v>1</v>
      </c>
      <c r="AF53">
        <f t="shared" si="11"/>
        <v>0.75</v>
      </c>
      <c r="AH53">
        <f t="shared" si="12"/>
        <v>12</v>
      </c>
      <c r="AK53">
        <f t="shared" si="13"/>
        <v>6.2727272727272725</v>
      </c>
      <c r="AL53">
        <f t="shared" si="14"/>
        <v>1.5227272727272727</v>
      </c>
      <c r="AM53">
        <f t="shared" si="15"/>
        <v>1</v>
      </c>
      <c r="AN53">
        <f t="shared" si="16"/>
        <v>6.2727272727272725</v>
      </c>
      <c r="AO53">
        <f t="shared" si="17"/>
        <v>1.5227272727272727</v>
      </c>
      <c r="AP53">
        <f t="shared" si="18"/>
        <v>1</v>
      </c>
      <c r="AR53">
        <f t="shared" si="19"/>
        <v>4.4666666666666668</v>
      </c>
      <c r="AT53">
        <f t="shared" si="20"/>
        <v>4.4666666666666668</v>
      </c>
      <c r="AV53">
        <f t="shared" si="21"/>
        <v>469</v>
      </c>
      <c r="AW53">
        <f t="shared" si="22"/>
        <v>871</v>
      </c>
    </row>
    <row r="54" spans="1:49" x14ac:dyDescent="0.15">
      <c r="A54" s="5">
        <v>44</v>
      </c>
      <c r="B54" s="5">
        <f t="shared" si="4"/>
        <v>2820</v>
      </c>
      <c r="C54" s="5">
        <f t="shared" si="4"/>
        <v>685</v>
      </c>
      <c r="D54" s="5">
        <f t="shared" si="4"/>
        <v>450</v>
      </c>
      <c r="E54" s="5">
        <f t="shared" si="4"/>
        <v>138</v>
      </c>
      <c r="F54" s="5">
        <f t="shared" si="4"/>
        <v>184</v>
      </c>
      <c r="G54" s="5">
        <f t="shared" si="5"/>
        <v>5640</v>
      </c>
      <c r="H54" s="5">
        <f t="shared" si="5"/>
        <v>1370</v>
      </c>
      <c r="I54" s="5">
        <f t="shared" si="5"/>
        <v>900</v>
      </c>
      <c r="J54" s="5">
        <f t="shared" si="5"/>
        <v>276</v>
      </c>
      <c r="K54" s="5">
        <f t="shared" si="5"/>
        <v>368</v>
      </c>
      <c r="L54" s="5">
        <f t="shared" si="6"/>
        <v>2820</v>
      </c>
      <c r="M54" s="5">
        <f t="shared" si="6"/>
        <v>685</v>
      </c>
      <c r="N54" s="5">
        <f t="shared" si="6"/>
        <v>450</v>
      </c>
      <c r="O54" s="5">
        <f t="shared" si="6"/>
        <v>138</v>
      </c>
      <c r="P54" s="5">
        <f t="shared" si="6"/>
        <v>184</v>
      </c>
      <c r="Q54" s="5">
        <f t="shared" si="7"/>
        <v>11280</v>
      </c>
      <c r="R54" s="5">
        <f t="shared" si="7"/>
        <v>2740</v>
      </c>
      <c r="S54" s="5">
        <f t="shared" si="7"/>
        <v>1800</v>
      </c>
      <c r="T54" s="5">
        <f t="shared" si="7"/>
        <v>552</v>
      </c>
      <c r="U54" s="5">
        <f t="shared" si="7"/>
        <v>736</v>
      </c>
      <c r="V54" s="5">
        <f>B54*战斗力计算!$B$8+C54*战斗力计算!$B$9+D54*战斗力计算!$B$10+E54*战斗力计算!$B$11+F54*战斗力计算!$B$12</f>
        <v>20120</v>
      </c>
      <c r="W54" s="5">
        <f>G54*战斗力计算!$B$8+H54*战斗力计算!$B$9+I54*战斗力计算!$B$10+J54*战斗力计算!$B$11+K54*战斗力计算!$B$12+L54*战斗力计算!$B$8+M54*战斗力计算!$B$9+N54*战斗力计算!$B$10+O54*战斗力计算!$B$11+P54*战斗力计算!$B$12</f>
        <v>60360</v>
      </c>
      <c r="X54" s="5">
        <f t="shared" si="8"/>
        <v>80480</v>
      </c>
      <c r="AC54">
        <f t="shared" si="9"/>
        <v>2</v>
      </c>
      <c r="AD54">
        <f t="shared" si="10"/>
        <v>1</v>
      </c>
      <c r="AF54">
        <f t="shared" si="11"/>
        <v>0.75</v>
      </c>
      <c r="AH54">
        <f t="shared" si="12"/>
        <v>12</v>
      </c>
      <c r="AK54">
        <f t="shared" si="13"/>
        <v>6.2666666666666666</v>
      </c>
      <c r="AL54">
        <f t="shared" si="14"/>
        <v>1.5222222222222221</v>
      </c>
      <c r="AM54">
        <f t="shared" si="15"/>
        <v>1</v>
      </c>
      <c r="AN54">
        <f t="shared" si="16"/>
        <v>6.2666666666666666</v>
      </c>
      <c r="AO54">
        <f t="shared" si="17"/>
        <v>1.5222222222222221</v>
      </c>
      <c r="AP54">
        <f t="shared" si="18"/>
        <v>1</v>
      </c>
      <c r="AR54">
        <f t="shared" si="19"/>
        <v>4.4673913043478262</v>
      </c>
      <c r="AT54">
        <f t="shared" si="20"/>
        <v>4.4673913043478262</v>
      </c>
      <c r="AV54">
        <f t="shared" si="21"/>
        <v>479</v>
      </c>
      <c r="AW54">
        <f t="shared" si="22"/>
        <v>890</v>
      </c>
    </row>
    <row r="55" spans="1:49" x14ac:dyDescent="0.15">
      <c r="A55" s="5">
        <v>45</v>
      </c>
      <c r="B55" s="5">
        <f t="shared" si="4"/>
        <v>2880</v>
      </c>
      <c r="C55" s="5">
        <f t="shared" si="4"/>
        <v>700</v>
      </c>
      <c r="D55" s="5">
        <f t="shared" si="4"/>
        <v>460</v>
      </c>
      <c r="E55" s="5">
        <f t="shared" si="4"/>
        <v>141</v>
      </c>
      <c r="F55" s="5">
        <f t="shared" si="4"/>
        <v>188</v>
      </c>
      <c r="G55" s="5">
        <f t="shared" si="5"/>
        <v>5760</v>
      </c>
      <c r="H55" s="5">
        <f t="shared" si="5"/>
        <v>1400</v>
      </c>
      <c r="I55" s="5">
        <f t="shared" si="5"/>
        <v>920</v>
      </c>
      <c r="J55" s="5">
        <f t="shared" si="5"/>
        <v>282</v>
      </c>
      <c r="K55" s="5">
        <f t="shared" si="5"/>
        <v>376</v>
      </c>
      <c r="L55" s="5">
        <f t="shared" si="6"/>
        <v>2880</v>
      </c>
      <c r="M55" s="5">
        <f t="shared" si="6"/>
        <v>700</v>
      </c>
      <c r="N55" s="5">
        <f t="shared" si="6"/>
        <v>460</v>
      </c>
      <c r="O55" s="5">
        <f t="shared" si="6"/>
        <v>141</v>
      </c>
      <c r="P55" s="5">
        <f t="shared" si="6"/>
        <v>188</v>
      </c>
      <c r="Q55" s="5">
        <f t="shared" si="7"/>
        <v>11520</v>
      </c>
      <c r="R55" s="5">
        <f t="shared" si="7"/>
        <v>2800</v>
      </c>
      <c r="S55" s="5">
        <f t="shared" si="7"/>
        <v>1840</v>
      </c>
      <c r="T55" s="5">
        <f t="shared" si="7"/>
        <v>564</v>
      </c>
      <c r="U55" s="5">
        <f t="shared" si="7"/>
        <v>752</v>
      </c>
      <c r="V55" s="5">
        <f>B55*战斗力计算!$B$8+C55*战斗力计算!$B$9+D55*战斗力计算!$B$10+E55*战斗力计算!$B$11+F55*战斗力计算!$B$12</f>
        <v>20560</v>
      </c>
      <c r="W55" s="5">
        <f>G55*战斗力计算!$B$8+H55*战斗力计算!$B$9+I55*战斗力计算!$B$10+J55*战斗力计算!$B$11+K55*战斗力计算!$B$12+L55*战斗力计算!$B$8+M55*战斗力计算!$B$9+N55*战斗力计算!$B$10+O55*战斗力计算!$B$11+P55*战斗力计算!$B$12</f>
        <v>61680</v>
      </c>
      <c r="X55" s="5">
        <f t="shared" si="8"/>
        <v>82240</v>
      </c>
      <c r="AC55">
        <f t="shared" si="9"/>
        <v>2</v>
      </c>
      <c r="AD55">
        <f t="shared" si="10"/>
        <v>1</v>
      </c>
      <c r="AF55">
        <f t="shared" si="11"/>
        <v>0.75</v>
      </c>
      <c r="AH55">
        <f t="shared" si="12"/>
        <v>12</v>
      </c>
      <c r="AK55">
        <f t="shared" si="13"/>
        <v>6.2608695652173916</v>
      </c>
      <c r="AL55">
        <f t="shared" si="14"/>
        <v>1.5217391304347827</v>
      </c>
      <c r="AM55">
        <f t="shared" si="15"/>
        <v>1</v>
      </c>
      <c r="AN55">
        <f t="shared" si="16"/>
        <v>6.2608695652173916</v>
      </c>
      <c r="AO55">
        <f t="shared" si="17"/>
        <v>1.5217391304347827</v>
      </c>
      <c r="AP55">
        <f t="shared" si="18"/>
        <v>1</v>
      </c>
      <c r="AR55">
        <f t="shared" si="19"/>
        <v>4.4680851063829783</v>
      </c>
      <c r="AT55">
        <f t="shared" si="20"/>
        <v>4.4680851063829783</v>
      </c>
      <c r="AV55">
        <f t="shared" si="21"/>
        <v>490</v>
      </c>
      <c r="AW55">
        <f t="shared" si="22"/>
        <v>910</v>
      </c>
    </row>
    <row r="56" spans="1:49" x14ac:dyDescent="0.15">
      <c r="A56" s="5">
        <v>46</v>
      </c>
      <c r="B56" s="5">
        <f t="shared" si="4"/>
        <v>2940</v>
      </c>
      <c r="C56" s="5">
        <f t="shared" si="4"/>
        <v>715</v>
      </c>
      <c r="D56" s="5">
        <f t="shared" si="4"/>
        <v>470</v>
      </c>
      <c r="E56" s="5">
        <f t="shared" si="4"/>
        <v>144</v>
      </c>
      <c r="F56" s="5">
        <f t="shared" si="4"/>
        <v>192</v>
      </c>
      <c r="G56" s="5">
        <f t="shared" si="5"/>
        <v>5880</v>
      </c>
      <c r="H56" s="5">
        <f t="shared" si="5"/>
        <v>1430</v>
      </c>
      <c r="I56" s="5">
        <f t="shared" si="5"/>
        <v>940</v>
      </c>
      <c r="J56" s="5">
        <f t="shared" si="5"/>
        <v>288</v>
      </c>
      <c r="K56" s="5">
        <f t="shared" si="5"/>
        <v>384</v>
      </c>
      <c r="L56" s="5">
        <f t="shared" si="6"/>
        <v>2940</v>
      </c>
      <c r="M56" s="5">
        <f t="shared" si="6"/>
        <v>715</v>
      </c>
      <c r="N56" s="5">
        <f t="shared" si="6"/>
        <v>470</v>
      </c>
      <c r="O56" s="5">
        <f t="shared" si="6"/>
        <v>144</v>
      </c>
      <c r="P56" s="5">
        <f t="shared" si="6"/>
        <v>192</v>
      </c>
      <c r="Q56" s="5">
        <f t="shared" si="7"/>
        <v>11760</v>
      </c>
      <c r="R56" s="5">
        <f t="shared" si="7"/>
        <v>2860</v>
      </c>
      <c r="S56" s="5">
        <f t="shared" si="7"/>
        <v>1880</v>
      </c>
      <c r="T56" s="5">
        <f t="shared" si="7"/>
        <v>576</v>
      </c>
      <c r="U56" s="5">
        <f t="shared" si="7"/>
        <v>768</v>
      </c>
      <c r="V56" s="5">
        <f>B56*战斗力计算!$B$8+C56*战斗力计算!$B$9+D56*战斗力计算!$B$10+E56*战斗力计算!$B$11+F56*战斗力计算!$B$12</f>
        <v>21000</v>
      </c>
      <c r="W56" s="5">
        <f>G56*战斗力计算!$B$8+H56*战斗力计算!$B$9+I56*战斗力计算!$B$10+J56*战斗力计算!$B$11+K56*战斗力计算!$B$12+L56*战斗力计算!$B$8+M56*战斗力计算!$B$9+N56*战斗力计算!$B$10+O56*战斗力计算!$B$11+P56*战斗力计算!$B$12</f>
        <v>63000</v>
      </c>
      <c r="X56" s="5">
        <f t="shared" si="8"/>
        <v>84000</v>
      </c>
      <c r="AC56">
        <f t="shared" si="9"/>
        <v>2</v>
      </c>
      <c r="AD56">
        <f t="shared" si="10"/>
        <v>1</v>
      </c>
      <c r="AF56">
        <f t="shared" si="11"/>
        <v>0.75</v>
      </c>
      <c r="AH56">
        <f t="shared" si="12"/>
        <v>12</v>
      </c>
      <c r="AK56">
        <f t="shared" si="13"/>
        <v>6.2553191489361701</v>
      </c>
      <c r="AL56">
        <f t="shared" si="14"/>
        <v>1.5212765957446808</v>
      </c>
      <c r="AM56">
        <f t="shared" si="15"/>
        <v>1</v>
      </c>
      <c r="AN56">
        <f t="shared" si="16"/>
        <v>6.2553191489361701</v>
      </c>
      <c r="AO56">
        <f t="shared" si="17"/>
        <v>1.5212765957446808</v>
      </c>
      <c r="AP56">
        <f t="shared" si="18"/>
        <v>1</v>
      </c>
      <c r="AR56">
        <f t="shared" si="19"/>
        <v>4.46875</v>
      </c>
      <c r="AT56">
        <f t="shared" si="20"/>
        <v>4.46875</v>
      </c>
      <c r="AV56">
        <f t="shared" si="21"/>
        <v>500</v>
      </c>
      <c r="AW56">
        <f t="shared" si="22"/>
        <v>929</v>
      </c>
    </row>
    <row r="57" spans="1:49" x14ac:dyDescent="0.15">
      <c r="A57" s="5">
        <v>47</v>
      </c>
      <c r="B57" s="5">
        <f t="shared" si="4"/>
        <v>3000</v>
      </c>
      <c r="C57" s="5">
        <f t="shared" si="4"/>
        <v>730</v>
      </c>
      <c r="D57" s="5">
        <f t="shared" si="4"/>
        <v>480</v>
      </c>
      <c r="E57" s="5">
        <f t="shared" si="4"/>
        <v>147</v>
      </c>
      <c r="F57" s="5">
        <f t="shared" si="4"/>
        <v>196</v>
      </c>
      <c r="G57" s="5">
        <f t="shared" si="5"/>
        <v>6000</v>
      </c>
      <c r="H57" s="5">
        <f t="shared" si="5"/>
        <v>1460</v>
      </c>
      <c r="I57" s="5">
        <f t="shared" si="5"/>
        <v>960</v>
      </c>
      <c r="J57" s="5">
        <f t="shared" si="5"/>
        <v>294</v>
      </c>
      <c r="K57" s="5">
        <f t="shared" si="5"/>
        <v>392</v>
      </c>
      <c r="L57" s="5">
        <f t="shared" si="6"/>
        <v>3000</v>
      </c>
      <c r="M57" s="5">
        <f t="shared" si="6"/>
        <v>730</v>
      </c>
      <c r="N57" s="5">
        <f t="shared" si="6"/>
        <v>480</v>
      </c>
      <c r="O57" s="5">
        <f t="shared" si="6"/>
        <v>147</v>
      </c>
      <c r="P57" s="5">
        <f t="shared" si="6"/>
        <v>196</v>
      </c>
      <c r="Q57" s="5">
        <f t="shared" si="7"/>
        <v>12000</v>
      </c>
      <c r="R57" s="5">
        <f t="shared" si="7"/>
        <v>2920</v>
      </c>
      <c r="S57" s="5">
        <f t="shared" si="7"/>
        <v>1920</v>
      </c>
      <c r="T57" s="5">
        <f t="shared" si="7"/>
        <v>588</v>
      </c>
      <c r="U57" s="5">
        <f t="shared" si="7"/>
        <v>784</v>
      </c>
      <c r="V57" s="5">
        <f>B57*战斗力计算!$B$8+C57*战斗力计算!$B$9+D57*战斗力计算!$B$10+E57*战斗力计算!$B$11+F57*战斗力计算!$B$12</f>
        <v>21440</v>
      </c>
      <c r="W57" s="5">
        <f>G57*战斗力计算!$B$8+H57*战斗力计算!$B$9+I57*战斗力计算!$B$10+J57*战斗力计算!$B$11+K57*战斗力计算!$B$12+L57*战斗力计算!$B$8+M57*战斗力计算!$B$9+N57*战斗力计算!$B$10+O57*战斗力计算!$B$11+P57*战斗力计算!$B$12</f>
        <v>64320</v>
      </c>
      <c r="X57" s="5">
        <f t="shared" si="8"/>
        <v>85760</v>
      </c>
      <c r="AC57">
        <f t="shared" si="9"/>
        <v>2</v>
      </c>
      <c r="AD57">
        <f t="shared" si="10"/>
        <v>1</v>
      </c>
      <c r="AF57">
        <f t="shared" si="11"/>
        <v>0.75</v>
      </c>
      <c r="AH57">
        <f t="shared" si="12"/>
        <v>12</v>
      </c>
      <c r="AK57">
        <f t="shared" si="13"/>
        <v>6.25</v>
      </c>
      <c r="AL57">
        <f t="shared" si="14"/>
        <v>1.5208333333333333</v>
      </c>
      <c r="AM57">
        <f t="shared" si="15"/>
        <v>1</v>
      </c>
      <c r="AN57">
        <f t="shared" si="16"/>
        <v>6.25</v>
      </c>
      <c r="AO57">
        <f t="shared" si="17"/>
        <v>1.5208333333333333</v>
      </c>
      <c r="AP57">
        <f t="shared" si="18"/>
        <v>1</v>
      </c>
      <c r="AR57">
        <f t="shared" si="19"/>
        <v>4.4693877551020407</v>
      </c>
      <c r="AT57">
        <f t="shared" si="20"/>
        <v>4.4693877551020407</v>
      </c>
      <c r="AV57">
        <f t="shared" si="21"/>
        <v>511</v>
      </c>
      <c r="AW57">
        <f t="shared" si="22"/>
        <v>949</v>
      </c>
    </row>
    <row r="58" spans="1:49" x14ac:dyDescent="0.15">
      <c r="A58" s="5">
        <v>48</v>
      </c>
      <c r="B58" s="5">
        <f t="shared" si="4"/>
        <v>3060</v>
      </c>
      <c r="C58" s="5">
        <f t="shared" si="4"/>
        <v>745</v>
      </c>
      <c r="D58" s="5">
        <f t="shared" si="4"/>
        <v>490</v>
      </c>
      <c r="E58" s="5">
        <f t="shared" si="4"/>
        <v>150</v>
      </c>
      <c r="F58" s="5">
        <f t="shared" si="4"/>
        <v>200</v>
      </c>
      <c r="G58" s="5">
        <f t="shared" si="5"/>
        <v>6120</v>
      </c>
      <c r="H58" s="5">
        <f t="shared" si="5"/>
        <v>1490</v>
      </c>
      <c r="I58" s="5">
        <f t="shared" si="5"/>
        <v>980</v>
      </c>
      <c r="J58" s="5">
        <f t="shared" si="5"/>
        <v>300</v>
      </c>
      <c r="K58" s="5">
        <f t="shared" si="5"/>
        <v>400</v>
      </c>
      <c r="L58" s="5">
        <f t="shared" si="6"/>
        <v>3060</v>
      </c>
      <c r="M58" s="5">
        <f t="shared" si="6"/>
        <v>745</v>
      </c>
      <c r="N58" s="5">
        <f t="shared" si="6"/>
        <v>490</v>
      </c>
      <c r="O58" s="5">
        <f t="shared" si="6"/>
        <v>150</v>
      </c>
      <c r="P58" s="5">
        <f t="shared" si="6"/>
        <v>200</v>
      </c>
      <c r="Q58" s="5">
        <f t="shared" si="7"/>
        <v>12240</v>
      </c>
      <c r="R58" s="5">
        <f t="shared" si="7"/>
        <v>2980</v>
      </c>
      <c r="S58" s="5">
        <f t="shared" si="7"/>
        <v>1960</v>
      </c>
      <c r="T58" s="5">
        <f t="shared" si="7"/>
        <v>600</v>
      </c>
      <c r="U58" s="5">
        <f t="shared" si="7"/>
        <v>800</v>
      </c>
      <c r="V58" s="5">
        <f>B58*战斗力计算!$B$8+C58*战斗力计算!$B$9+D58*战斗力计算!$B$10+E58*战斗力计算!$B$11+F58*战斗力计算!$B$12</f>
        <v>21880</v>
      </c>
      <c r="W58" s="5">
        <f>G58*战斗力计算!$B$8+H58*战斗力计算!$B$9+I58*战斗力计算!$B$10+J58*战斗力计算!$B$11+K58*战斗力计算!$B$12+L58*战斗力计算!$B$8+M58*战斗力计算!$B$9+N58*战斗力计算!$B$10+O58*战斗力计算!$B$11+P58*战斗力计算!$B$12</f>
        <v>65640</v>
      </c>
      <c r="X58" s="5">
        <f t="shared" si="8"/>
        <v>87520</v>
      </c>
      <c r="AC58">
        <f t="shared" si="9"/>
        <v>2</v>
      </c>
      <c r="AD58">
        <f t="shared" si="10"/>
        <v>1</v>
      </c>
      <c r="AF58">
        <f t="shared" si="11"/>
        <v>0.75</v>
      </c>
      <c r="AH58">
        <f t="shared" si="12"/>
        <v>12</v>
      </c>
      <c r="AK58">
        <f t="shared" si="13"/>
        <v>6.2448979591836737</v>
      </c>
      <c r="AL58">
        <f t="shared" si="14"/>
        <v>1.5204081632653061</v>
      </c>
      <c r="AM58">
        <f t="shared" si="15"/>
        <v>1</v>
      </c>
      <c r="AN58">
        <f t="shared" si="16"/>
        <v>6.2448979591836737</v>
      </c>
      <c r="AO58">
        <f t="shared" si="17"/>
        <v>1.5204081632653061</v>
      </c>
      <c r="AP58">
        <f t="shared" si="18"/>
        <v>1</v>
      </c>
      <c r="AR58">
        <f t="shared" si="19"/>
        <v>4.47</v>
      </c>
      <c r="AT58">
        <f t="shared" si="20"/>
        <v>4.47</v>
      </c>
      <c r="AV58">
        <f t="shared" si="21"/>
        <v>521</v>
      </c>
      <c r="AW58">
        <f t="shared" si="22"/>
        <v>968</v>
      </c>
    </row>
    <row r="59" spans="1:49" x14ac:dyDescent="0.15">
      <c r="A59" s="5">
        <v>49</v>
      </c>
      <c r="B59" s="5">
        <f t="shared" si="4"/>
        <v>3120</v>
      </c>
      <c r="C59" s="5">
        <f t="shared" si="4"/>
        <v>760</v>
      </c>
      <c r="D59" s="5">
        <f t="shared" si="4"/>
        <v>500</v>
      </c>
      <c r="E59" s="5">
        <f t="shared" si="4"/>
        <v>153</v>
      </c>
      <c r="F59" s="5">
        <f t="shared" si="4"/>
        <v>204</v>
      </c>
      <c r="G59" s="5">
        <f t="shared" si="5"/>
        <v>6240</v>
      </c>
      <c r="H59" s="5">
        <f t="shared" si="5"/>
        <v>1520</v>
      </c>
      <c r="I59" s="5">
        <f t="shared" si="5"/>
        <v>1000</v>
      </c>
      <c r="J59" s="5">
        <f t="shared" si="5"/>
        <v>306</v>
      </c>
      <c r="K59" s="5">
        <f t="shared" si="5"/>
        <v>408</v>
      </c>
      <c r="L59" s="5">
        <f t="shared" si="6"/>
        <v>3120</v>
      </c>
      <c r="M59" s="5">
        <f t="shared" si="6"/>
        <v>760</v>
      </c>
      <c r="N59" s="5">
        <f t="shared" si="6"/>
        <v>500</v>
      </c>
      <c r="O59" s="5">
        <f t="shared" si="6"/>
        <v>153</v>
      </c>
      <c r="P59" s="5">
        <f t="shared" si="6"/>
        <v>204</v>
      </c>
      <c r="Q59" s="5">
        <f t="shared" si="7"/>
        <v>12480</v>
      </c>
      <c r="R59" s="5">
        <f t="shared" si="7"/>
        <v>3040</v>
      </c>
      <c r="S59" s="5">
        <f t="shared" si="7"/>
        <v>2000</v>
      </c>
      <c r="T59" s="5">
        <f t="shared" si="7"/>
        <v>612</v>
      </c>
      <c r="U59" s="5">
        <f t="shared" si="7"/>
        <v>816</v>
      </c>
      <c r="V59" s="5">
        <f>B59*战斗力计算!$B$8+C59*战斗力计算!$B$9+D59*战斗力计算!$B$10+E59*战斗力计算!$B$11+F59*战斗力计算!$B$12</f>
        <v>22320</v>
      </c>
      <c r="W59" s="5">
        <f>G59*战斗力计算!$B$8+H59*战斗力计算!$B$9+I59*战斗力计算!$B$10+J59*战斗力计算!$B$11+K59*战斗力计算!$B$12+L59*战斗力计算!$B$8+M59*战斗力计算!$B$9+N59*战斗力计算!$B$10+O59*战斗力计算!$B$11+P59*战斗力计算!$B$12</f>
        <v>66960</v>
      </c>
      <c r="X59" s="5">
        <f t="shared" si="8"/>
        <v>89280</v>
      </c>
      <c r="AC59">
        <f t="shared" si="9"/>
        <v>2</v>
      </c>
      <c r="AD59">
        <f t="shared" si="10"/>
        <v>1</v>
      </c>
      <c r="AF59">
        <f t="shared" si="11"/>
        <v>0.75</v>
      </c>
      <c r="AH59">
        <f t="shared" si="12"/>
        <v>12</v>
      </c>
      <c r="AK59">
        <f t="shared" si="13"/>
        <v>6.24</v>
      </c>
      <c r="AL59">
        <f t="shared" si="14"/>
        <v>1.52</v>
      </c>
      <c r="AM59">
        <f t="shared" si="15"/>
        <v>1</v>
      </c>
      <c r="AN59">
        <f t="shared" si="16"/>
        <v>6.24</v>
      </c>
      <c r="AO59">
        <f t="shared" si="17"/>
        <v>1.52</v>
      </c>
      <c r="AP59">
        <f t="shared" si="18"/>
        <v>1</v>
      </c>
      <c r="AR59">
        <f t="shared" si="19"/>
        <v>4.4705882352941178</v>
      </c>
      <c r="AT59">
        <f t="shared" si="20"/>
        <v>4.4705882352941178</v>
      </c>
      <c r="AV59">
        <f t="shared" si="21"/>
        <v>532</v>
      </c>
      <c r="AW59">
        <f t="shared" si="22"/>
        <v>988</v>
      </c>
    </row>
    <row r="60" spans="1:49" x14ac:dyDescent="0.15">
      <c r="A60" s="5">
        <v>50</v>
      </c>
      <c r="B60" s="5">
        <f t="shared" si="4"/>
        <v>3180</v>
      </c>
      <c r="C60" s="5">
        <f t="shared" si="4"/>
        <v>775</v>
      </c>
      <c r="D60" s="5">
        <f t="shared" si="4"/>
        <v>510</v>
      </c>
      <c r="E60" s="5">
        <f t="shared" si="4"/>
        <v>156</v>
      </c>
      <c r="F60" s="5">
        <f t="shared" si="4"/>
        <v>208</v>
      </c>
      <c r="G60" s="5">
        <f t="shared" si="5"/>
        <v>6996.0000000000009</v>
      </c>
      <c r="H60" s="5">
        <f t="shared" si="5"/>
        <v>1705.0000000000002</v>
      </c>
      <c r="I60" s="5">
        <f t="shared" si="5"/>
        <v>1122</v>
      </c>
      <c r="J60" s="5">
        <f t="shared" si="5"/>
        <v>343.20000000000005</v>
      </c>
      <c r="K60" s="5">
        <f t="shared" si="5"/>
        <v>457.6</v>
      </c>
      <c r="L60" s="5">
        <f t="shared" si="6"/>
        <v>3498.0000000000005</v>
      </c>
      <c r="M60" s="5">
        <f t="shared" si="6"/>
        <v>852.50000000000011</v>
      </c>
      <c r="N60" s="5">
        <f t="shared" si="6"/>
        <v>561</v>
      </c>
      <c r="O60" s="5">
        <f t="shared" si="6"/>
        <v>171.60000000000002</v>
      </c>
      <c r="P60" s="5">
        <f t="shared" si="6"/>
        <v>228.8</v>
      </c>
      <c r="Q60" s="5">
        <f t="shared" si="7"/>
        <v>13674</v>
      </c>
      <c r="R60" s="5">
        <f t="shared" si="7"/>
        <v>3332.5</v>
      </c>
      <c r="S60" s="5">
        <f t="shared" si="7"/>
        <v>2193</v>
      </c>
      <c r="T60" s="5">
        <f t="shared" si="7"/>
        <v>670.80000000000007</v>
      </c>
      <c r="U60" s="5">
        <f t="shared" si="7"/>
        <v>894.40000000000009</v>
      </c>
      <c r="V60" s="5">
        <f>B60*战斗力计算!$B$8+C60*战斗力计算!$B$9+D60*战斗力计算!$B$10+E60*战斗力计算!$B$11+F60*战斗力计算!$B$12</f>
        <v>22760</v>
      </c>
      <c r="W60" s="5">
        <f>G60*战斗力计算!$B$8+H60*战斗力计算!$B$9+I60*战斗力计算!$B$10+J60*战斗力计算!$B$11+K60*战斗力计算!$B$12+L60*战斗力计算!$B$8+M60*战斗力计算!$B$9+N60*战斗力计算!$B$10+O60*战斗力计算!$B$11+P60*战斗力计算!$B$12</f>
        <v>75108</v>
      </c>
      <c r="X60" s="5">
        <f t="shared" si="8"/>
        <v>97868</v>
      </c>
      <c r="AC60">
        <f t="shared" si="9"/>
        <v>2.2000000000000002</v>
      </c>
      <c r="AD60">
        <f t="shared" si="10"/>
        <v>1.1000000000000001</v>
      </c>
      <c r="AF60">
        <f t="shared" si="11"/>
        <v>0.75</v>
      </c>
      <c r="AH60">
        <f t="shared" si="12"/>
        <v>12</v>
      </c>
      <c r="AK60">
        <f t="shared" si="13"/>
        <v>6.2352941176470589</v>
      </c>
      <c r="AL60">
        <f t="shared" si="14"/>
        <v>1.5196078431372548</v>
      </c>
      <c r="AM60">
        <f t="shared" si="15"/>
        <v>1</v>
      </c>
      <c r="AN60">
        <f t="shared" si="16"/>
        <v>6.2352941176470598</v>
      </c>
      <c r="AO60">
        <f t="shared" si="17"/>
        <v>1.5196078431372553</v>
      </c>
      <c r="AP60">
        <f t="shared" si="18"/>
        <v>1</v>
      </c>
      <c r="AR60">
        <f t="shared" si="19"/>
        <v>4.4711538461538458</v>
      </c>
      <c r="AT60">
        <f t="shared" si="20"/>
        <v>4.4711538461538458</v>
      </c>
      <c r="AV60">
        <f t="shared" si="21"/>
        <v>542</v>
      </c>
      <c r="AW60">
        <f t="shared" si="22"/>
        <v>1007</v>
      </c>
    </row>
    <row r="61" spans="1:49" x14ac:dyDescent="0.15">
      <c r="A61" s="5">
        <v>51</v>
      </c>
      <c r="B61" s="5">
        <f t="shared" si="4"/>
        <v>3240</v>
      </c>
      <c r="C61" s="5">
        <f t="shared" si="4"/>
        <v>790</v>
      </c>
      <c r="D61" s="5">
        <f t="shared" si="4"/>
        <v>520</v>
      </c>
      <c r="E61" s="5">
        <f t="shared" si="4"/>
        <v>159</v>
      </c>
      <c r="F61" s="5">
        <f t="shared" si="4"/>
        <v>212</v>
      </c>
      <c r="G61" s="5">
        <f t="shared" si="5"/>
        <v>7128.0000000000009</v>
      </c>
      <c r="H61" s="5">
        <f t="shared" si="5"/>
        <v>1738.0000000000002</v>
      </c>
      <c r="I61" s="5">
        <f t="shared" si="5"/>
        <v>1144</v>
      </c>
      <c r="J61" s="5">
        <f t="shared" si="5"/>
        <v>349.8</v>
      </c>
      <c r="K61" s="5">
        <f t="shared" si="5"/>
        <v>466.40000000000003</v>
      </c>
      <c r="L61" s="5">
        <f t="shared" si="6"/>
        <v>3564.0000000000005</v>
      </c>
      <c r="M61" s="5">
        <f t="shared" si="6"/>
        <v>869.00000000000011</v>
      </c>
      <c r="N61" s="5">
        <f t="shared" si="6"/>
        <v>572</v>
      </c>
      <c r="O61" s="5">
        <f t="shared" si="6"/>
        <v>174.9</v>
      </c>
      <c r="P61" s="5">
        <f t="shared" si="6"/>
        <v>233.20000000000002</v>
      </c>
      <c r="Q61" s="5">
        <f t="shared" si="7"/>
        <v>13932</v>
      </c>
      <c r="R61" s="5">
        <f t="shared" si="7"/>
        <v>3397</v>
      </c>
      <c r="S61" s="5">
        <f t="shared" si="7"/>
        <v>2236</v>
      </c>
      <c r="T61" s="5">
        <f t="shared" si="7"/>
        <v>683.7</v>
      </c>
      <c r="U61" s="5">
        <f t="shared" si="7"/>
        <v>911.60000000000014</v>
      </c>
      <c r="V61" s="5">
        <f>B61*战斗力计算!$B$8+C61*战斗力计算!$B$9+D61*战斗力计算!$B$10+E61*战斗力计算!$B$11+F61*战斗力计算!$B$12</f>
        <v>23200</v>
      </c>
      <c r="W61" s="5">
        <f>G61*战斗力计算!$B$8+H61*战斗力计算!$B$9+I61*战斗力计算!$B$10+J61*战斗力计算!$B$11+K61*战斗力计算!$B$12+L61*战斗力计算!$B$8+M61*战斗力计算!$B$9+N61*战斗力计算!$B$10+O61*战斗力计算!$B$11+P61*战斗力计算!$B$12</f>
        <v>76560</v>
      </c>
      <c r="X61" s="5">
        <f t="shared" si="8"/>
        <v>99760</v>
      </c>
      <c r="AC61">
        <f t="shared" si="9"/>
        <v>2.2000000000000002</v>
      </c>
      <c r="AD61">
        <f t="shared" si="10"/>
        <v>1.1000000000000001</v>
      </c>
      <c r="AF61">
        <f t="shared" si="11"/>
        <v>0.74999999999999989</v>
      </c>
      <c r="AH61">
        <f t="shared" si="12"/>
        <v>12</v>
      </c>
      <c r="AK61">
        <f t="shared" si="13"/>
        <v>6.2307692307692308</v>
      </c>
      <c r="AL61">
        <f t="shared" si="14"/>
        <v>1.5192307692307692</v>
      </c>
      <c r="AM61">
        <f t="shared" si="15"/>
        <v>1</v>
      </c>
      <c r="AN61">
        <f t="shared" si="16"/>
        <v>6.2307692307692317</v>
      </c>
      <c r="AO61">
        <f t="shared" si="17"/>
        <v>1.5192307692307696</v>
      </c>
      <c r="AP61">
        <f t="shared" si="18"/>
        <v>1</v>
      </c>
      <c r="AR61">
        <f t="shared" si="19"/>
        <v>4.4716981132075473</v>
      </c>
      <c r="AT61">
        <f t="shared" si="20"/>
        <v>4.4716981132075473</v>
      </c>
      <c r="AV61">
        <f t="shared" si="21"/>
        <v>553</v>
      </c>
      <c r="AW61">
        <f t="shared" si="22"/>
        <v>1027</v>
      </c>
    </row>
    <row r="62" spans="1:49" x14ac:dyDescent="0.15">
      <c r="A62" s="5">
        <v>52</v>
      </c>
      <c r="B62" s="5">
        <f t="shared" si="4"/>
        <v>3300</v>
      </c>
      <c r="C62" s="5">
        <f t="shared" si="4"/>
        <v>805</v>
      </c>
      <c r="D62" s="5">
        <f t="shared" si="4"/>
        <v>530</v>
      </c>
      <c r="E62" s="5">
        <f t="shared" si="4"/>
        <v>162</v>
      </c>
      <c r="F62" s="5">
        <f t="shared" si="4"/>
        <v>216</v>
      </c>
      <c r="G62" s="5">
        <f t="shared" si="5"/>
        <v>7260.0000000000009</v>
      </c>
      <c r="H62" s="5">
        <f t="shared" si="5"/>
        <v>1771.0000000000002</v>
      </c>
      <c r="I62" s="5">
        <f t="shared" si="5"/>
        <v>1166</v>
      </c>
      <c r="J62" s="5">
        <f t="shared" si="5"/>
        <v>356.40000000000003</v>
      </c>
      <c r="K62" s="5">
        <f t="shared" si="5"/>
        <v>475.20000000000005</v>
      </c>
      <c r="L62" s="5">
        <f t="shared" si="6"/>
        <v>3630.0000000000005</v>
      </c>
      <c r="M62" s="5">
        <f t="shared" si="6"/>
        <v>885.50000000000011</v>
      </c>
      <c r="N62" s="5">
        <f t="shared" si="6"/>
        <v>583</v>
      </c>
      <c r="O62" s="5">
        <f t="shared" si="6"/>
        <v>178.20000000000002</v>
      </c>
      <c r="P62" s="5">
        <f t="shared" si="6"/>
        <v>237.60000000000002</v>
      </c>
      <c r="Q62" s="5">
        <f t="shared" si="7"/>
        <v>14190</v>
      </c>
      <c r="R62" s="5">
        <f t="shared" si="7"/>
        <v>3461.5</v>
      </c>
      <c r="S62" s="5">
        <f t="shared" si="7"/>
        <v>2279</v>
      </c>
      <c r="T62" s="5">
        <f t="shared" si="7"/>
        <v>696.60000000000014</v>
      </c>
      <c r="U62" s="5">
        <f t="shared" si="7"/>
        <v>928.80000000000007</v>
      </c>
      <c r="V62" s="5">
        <f>B62*战斗力计算!$B$8+C62*战斗力计算!$B$9+D62*战斗力计算!$B$10+E62*战斗力计算!$B$11+F62*战斗力计算!$B$12</f>
        <v>23640</v>
      </c>
      <c r="W62" s="5">
        <f>G62*战斗力计算!$B$8+H62*战斗力计算!$B$9+I62*战斗力计算!$B$10+J62*战斗力计算!$B$11+K62*战斗力计算!$B$12+L62*战斗力计算!$B$8+M62*战斗力计算!$B$9+N62*战斗力计算!$B$10+O62*战斗力计算!$B$11+P62*战斗力计算!$B$12</f>
        <v>78012</v>
      </c>
      <c r="X62" s="5">
        <f t="shared" si="8"/>
        <v>101652</v>
      </c>
      <c r="AC62">
        <f t="shared" si="9"/>
        <v>2.2000000000000002</v>
      </c>
      <c r="AD62">
        <f t="shared" si="10"/>
        <v>1.1000000000000001</v>
      </c>
      <c r="AF62">
        <f t="shared" si="11"/>
        <v>0.75000000000000011</v>
      </c>
      <c r="AH62">
        <f t="shared" si="12"/>
        <v>12</v>
      </c>
      <c r="AK62">
        <f t="shared" si="13"/>
        <v>6.2264150943396226</v>
      </c>
      <c r="AL62">
        <f t="shared" si="14"/>
        <v>1.5188679245283019</v>
      </c>
      <c r="AM62">
        <f t="shared" si="15"/>
        <v>1</v>
      </c>
      <c r="AN62">
        <f t="shared" si="16"/>
        <v>6.2264150943396235</v>
      </c>
      <c r="AO62">
        <f t="shared" si="17"/>
        <v>1.5188679245283021</v>
      </c>
      <c r="AP62">
        <f t="shared" si="18"/>
        <v>1</v>
      </c>
      <c r="AR62">
        <f t="shared" si="19"/>
        <v>4.4722222222222223</v>
      </c>
      <c r="AT62">
        <f t="shared" si="20"/>
        <v>4.4722222222222223</v>
      </c>
      <c r="AV62">
        <f t="shared" si="21"/>
        <v>563</v>
      </c>
      <c r="AW62">
        <f t="shared" si="22"/>
        <v>1046</v>
      </c>
    </row>
    <row r="63" spans="1:49" x14ac:dyDescent="0.15">
      <c r="A63" s="5">
        <v>53</v>
      </c>
      <c r="B63" s="5">
        <f t="shared" si="4"/>
        <v>3360</v>
      </c>
      <c r="C63" s="5">
        <f t="shared" si="4"/>
        <v>820</v>
      </c>
      <c r="D63" s="5">
        <f t="shared" si="4"/>
        <v>540</v>
      </c>
      <c r="E63" s="5">
        <f t="shared" si="4"/>
        <v>165</v>
      </c>
      <c r="F63" s="5">
        <f t="shared" si="4"/>
        <v>220</v>
      </c>
      <c r="G63" s="5">
        <f t="shared" si="5"/>
        <v>7392.0000000000009</v>
      </c>
      <c r="H63" s="5">
        <f t="shared" si="5"/>
        <v>1804.0000000000002</v>
      </c>
      <c r="I63" s="5">
        <f t="shared" si="5"/>
        <v>1188</v>
      </c>
      <c r="J63" s="5">
        <f t="shared" si="5"/>
        <v>363.00000000000006</v>
      </c>
      <c r="K63" s="5">
        <f t="shared" si="5"/>
        <v>484.00000000000006</v>
      </c>
      <c r="L63" s="5">
        <f t="shared" si="6"/>
        <v>3696.0000000000005</v>
      </c>
      <c r="M63" s="5">
        <f t="shared" si="6"/>
        <v>902.00000000000011</v>
      </c>
      <c r="N63" s="5">
        <f t="shared" si="6"/>
        <v>594</v>
      </c>
      <c r="O63" s="5">
        <f t="shared" si="6"/>
        <v>181.50000000000003</v>
      </c>
      <c r="P63" s="5">
        <f t="shared" si="6"/>
        <v>242.00000000000003</v>
      </c>
      <c r="Q63" s="5">
        <f t="shared" si="7"/>
        <v>14448</v>
      </c>
      <c r="R63" s="5">
        <f t="shared" si="7"/>
        <v>3526</v>
      </c>
      <c r="S63" s="5">
        <f t="shared" si="7"/>
        <v>2322</v>
      </c>
      <c r="T63" s="5">
        <f t="shared" si="7"/>
        <v>709.5</v>
      </c>
      <c r="U63" s="5">
        <f t="shared" si="7"/>
        <v>946</v>
      </c>
      <c r="V63" s="5">
        <f>B63*战斗力计算!$B$8+C63*战斗力计算!$B$9+D63*战斗力计算!$B$10+E63*战斗力计算!$B$11+F63*战斗力计算!$B$12</f>
        <v>24080</v>
      </c>
      <c r="W63" s="5">
        <f>G63*战斗力计算!$B$8+H63*战斗力计算!$B$9+I63*战斗力计算!$B$10+J63*战斗力计算!$B$11+K63*战斗力计算!$B$12+L63*战斗力计算!$B$8+M63*战斗力计算!$B$9+N63*战斗力计算!$B$10+O63*战斗力计算!$B$11+P63*战斗力计算!$B$12</f>
        <v>79464</v>
      </c>
      <c r="X63" s="5">
        <f t="shared" si="8"/>
        <v>103544</v>
      </c>
      <c r="AC63">
        <f t="shared" si="9"/>
        <v>2.2000000000000002</v>
      </c>
      <c r="AD63">
        <f t="shared" si="10"/>
        <v>1.1000000000000001</v>
      </c>
      <c r="AF63">
        <f t="shared" si="11"/>
        <v>0.75</v>
      </c>
      <c r="AH63">
        <f t="shared" si="12"/>
        <v>12</v>
      </c>
      <c r="AK63">
        <f t="shared" si="13"/>
        <v>6.2222222222222223</v>
      </c>
      <c r="AL63">
        <f t="shared" si="14"/>
        <v>1.5185185185185186</v>
      </c>
      <c r="AM63">
        <f t="shared" si="15"/>
        <v>1</v>
      </c>
      <c r="AN63">
        <f t="shared" si="16"/>
        <v>6.2222222222222232</v>
      </c>
      <c r="AO63">
        <f t="shared" si="17"/>
        <v>1.5185185185185188</v>
      </c>
      <c r="AP63">
        <f t="shared" si="18"/>
        <v>1</v>
      </c>
      <c r="AR63">
        <f t="shared" si="19"/>
        <v>4.4727272727272727</v>
      </c>
      <c r="AT63">
        <f t="shared" si="20"/>
        <v>4.4727272727272718</v>
      </c>
      <c r="AV63">
        <f t="shared" si="21"/>
        <v>574</v>
      </c>
      <c r="AW63">
        <f t="shared" si="22"/>
        <v>1066</v>
      </c>
    </row>
    <row r="64" spans="1:49" x14ac:dyDescent="0.15">
      <c r="A64" s="5">
        <v>54</v>
      </c>
      <c r="B64" s="5">
        <f t="shared" si="4"/>
        <v>3420</v>
      </c>
      <c r="C64" s="5">
        <f t="shared" si="4"/>
        <v>835</v>
      </c>
      <c r="D64" s="5">
        <f t="shared" si="4"/>
        <v>550</v>
      </c>
      <c r="E64" s="5">
        <f t="shared" si="4"/>
        <v>168</v>
      </c>
      <c r="F64" s="5">
        <f t="shared" si="4"/>
        <v>224</v>
      </c>
      <c r="G64" s="5">
        <f t="shared" si="5"/>
        <v>7524.0000000000009</v>
      </c>
      <c r="H64" s="5">
        <f t="shared" si="5"/>
        <v>1837.0000000000002</v>
      </c>
      <c r="I64" s="5">
        <f t="shared" si="5"/>
        <v>1210</v>
      </c>
      <c r="J64" s="5">
        <f t="shared" si="5"/>
        <v>369.6</v>
      </c>
      <c r="K64" s="5">
        <f t="shared" si="5"/>
        <v>492.80000000000007</v>
      </c>
      <c r="L64" s="5">
        <f t="shared" si="6"/>
        <v>3762.0000000000005</v>
      </c>
      <c r="M64" s="5">
        <f t="shared" si="6"/>
        <v>918.50000000000011</v>
      </c>
      <c r="N64" s="5">
        <f t="shared" si="6"/>
        <v>605</v>
      </c>
      <c r="O64" s="5">
        <f t="shared" si="6"/>
        <v>184.8</v>
      </c>
      <c r="P64" s="5">
        <f t="shared" si="6"/>
        <v>246.40000000000003</v>
      </c>
      <c r="Q64" s="5">
        <f t="shared" si="7"/>
        <v>14706</v>
      </c>
      <c r="R64" s="5">
        <f t="shared" si="7"/>
        <v>3590.5</v>
      </c>
      <c r="S64" s="5">
        <f t="shared" si="7"/>
        <v>2365</v>
      </c>
      <c r="T64" s="5">
        <f t="shared" si="7"/>
        <v>722.40000000000009</v>
      </c>
      <c r="U64" s="5">
        <f t="shared" si="7"/>
        <v>963.2</v>
      </c>
      <c r="V64" s="5">
        <f>B64*战斗力计算!$B$8+C64*战斗力计算!$B$9+D64*战斗力计算!$B$10+E64*战斗力计算!$B$11+F64*战斗力计算!$B$12</f>
        <v>24520</v>
      </c>
      <c r="W64" s="5">
        <f>G64*战斗力计算!$B$8+H64*战斗力计算!$B$9+I64*战斗力计算!$B$10+J64*战斗力计算!$B$11+K64*战斗力计算!$B$12+L64*战斗力计算!$B$8+M64*战斗力计算!$B$9+N64*战斗力计算!$B$10+O64*战斗力计算!$B$11+P64*战斗力计算!$B$12</f>
        <v>80916</v>
      </c>
      <c r="X64" s="5">
        <f t="shared" si="8"/>
        <v>105436</v>
      </c>
      <c r="AC64">
        <f t="shared" si="9"/>
        <v>2.2000000000000002</v>
      </c>
      <c r="AD64">
        <f t="shared" si="10"/>
        <v>1.1000000000000001</v>
      </c>
      <c r="AF64">
        <f t="shared" si="11"/>
        <v>0.75000000000000011</v>
      </c>
      <c r="AH64">
        <f t="shared" si="12"/>
        <v>12</v>
      </c>
      <c r="AK64">
        <f t="shared" si="13"/>
        <v>6.2181818181818178</v>
      </c>
      <c r="AL64">
        <f t="shared" si="14"/>
        <v>1.5181818181818181</v>
      </c>
      <c r="AM64">
        <f t="shared" si="15"/>
        <v>1</v>
      </c>
      <c r="AN64">
        <f t="shared" si="16"/>
        <v>6.2181818181818196</v>
      </c>
      <c r="AO64">
        <f t="shared" si="17"/>
        <v>1.5181818181818185</v>
      </c>
      <c r="AP64">
        <f t="shared" si="18"/>
        <v>1</v>
      </c>
      <c r="AR64">
        <f t="shared" si="19"/>
        <v>4.4732142857142856</v>
      </c>
      <c r="AT64">
        <f t="shared" si="20"/>
        <v>4.4732142857142856</v>
      </c>
      <c r="AV64">
        <f t="shared" si="21"/>
        <v>584</v>
      </c>
      <c r="AW64">
        <f t="shared" si="22"/>
        <v>1085</v>
      </c>
    </row>
    <row r="65" spans="1:49" x14ac:dyDescent="0.15">
      <c r="A65" s="5">
        <v>55</v>
      </c>
      <c r="B65" s="5">
        <f t="shared" si="4"/>
        <v>3480</v>
      </c>
      <c r="C65" s="5">
        <f t="shared" si="4"/>
        <v>850</v>
      </c>
      <c r="D65" s="5">
        <f t="shared" si="4"/>
        <v>560</v>
      </c>
      <c r="E65" s="5">
        <f t="shared" si="4"/>
        <v>171</v>
      </c>
      <c r="F65" s="5">
        <f t="shared" si="4"/>
        <v>228</v>
      </c>
      <c r="G65" s="5">
        <f t="shared" si="5"/>
        <v>7656.0000000000009</v>
      </c>
      <c r="H65" s="5">
        <f t="shared" si="5"/>
        <v>1870.0000000000002</v>
      </c>
      <c r="I65" s="5">
        <f t="shared" si="5"/>
        <v>1232</v>
      </c>
      <c r="J65" s="5">
        <f t="shared" si="5"/>
        <v>376.20000000000005</v>
      </c>
      <c r="K65" s="5">
        <f t="shared" si="5"/>
        <v>501.6</v>
      </c>
      <c r="L65" s="5">
        <f t="shared" si="6"/>
        <v>3828.0000000000005</v>
      </c>
      <c r="M65" s="5">
        <f t="shared" si="6"/>
        <v>935.00000000000011</v>
      </c>
      <c r="N65" s="5">
        <f t="shared" si="6"/>
        <v>616</v>
      </c>
      <c r="O65" s="5">
        <f t="shared" si="6"/>
        <v>188.10000000000002</v>
      </c>
      <c r="P65" s="5">
        <f t="shared" si="6"/>
        <v>250.8</v>
      </c>
      <c r="Q65" s="5">
        <f t="shared" si="7"/>
        <v>14964</v>
      </c>
      <c r="R65" s="5">
        <f t="shared" si="7"/>
        <v>3655</v>
      </c>
      <c r="S65" s="5">
        <f t="shared" si="7"/>
        <v>2408</v>
      </c>
      <c r="T65" s="5">
        <f t="shared" si="7"/>
        <v>735.30000000000007</v>
      </c>
      <c r="U65" s="5">
        <f t="shared" si="7"/>
        <v>980.40000000000009</v>
      </c>
      <c r="V65" s="5">
        <f>B65*战斗力计算!$B$8+C65*战斗力计算!$B$9+D65*战斗力计算!$B$10+E65*战斗力计算!$B$11+F65*战斗力计算!$B$12</f>
        <v>24960</v>
      </c>
      <c r="W65" s="5">
        <f>G65*战斗力计算!$B$8+H65*战斗力计算!$B$9+I65*战斗力计算!$B$10+J65*战斗力计算!$B$11+K65*战斗力计算!$B$12+L65*战斗力计算!$B$8+M65*战斗力计算!$B$9+N65*战斗力计算!$B$10+O65*战斗力计算!$B$11+P65*战斗力计算!$B$12</f>
        <v>82368</v>
      </c>
      <c r="X65" s="5">
        <f t="shared" si="8"/>
        <v>107328</v>
      </c>
      <c r="AC65">
        <f t="shared" si="9"/>
        <v>2.2000000000000002</v>
      </c>
      <c r="AD65">
        <f t="shared" si="10"/>
        <v>1.1000000000000001</v>
      </c>
      <c r="AF65">
        <f t="shared" si="11"/>
        <v>0.75</v>
      </c>
      <c r="AH65">
        <f t="shared" si="12"/>
        <v>12</v>
      </c>
      <c r="AK65">
        <f t="shared" si="13"/>
        <v>6.2142857142857144</v>
      </c>
      <c r="AL65">
        <f t="shared" si="14"/>
        <v>1.5178571428571428</v>
      </c>
      <c r="AM65">
        <f t="shared" si="15"/>
        <v>1</v>
      </c>
      <c r="AN65">
        <f t="shared" si="16"/>
        <v>6.2142857142857153</v>
      </c>
      <c r="AO65">
        <f t="shared" si="17"/>
        <v>1.517857142857143</v>
      </c>
      <c r="AP65">
        <f t="shared" si="18"/>
        <v>1</v>
      </c>
      <c r="AR65">
        <f t="shared" si="19"/>
        <v>4.4736842105263159</v>
      </c>
      <c r="AT65">
        <f t="shared" si="20"/>
        <v>4.4736842105263159</v>
      </c>
      <c r="AV65">
        <f t="shared" si="21"/>
        <v>595</v>
      </c>
      <c r="AW65">
        <f t="shared" si="22"/>
        <v>1105</v>
      </c>
    </row>
    <row r="66" spans="1:49" x14ac:dyDescent="0.15">
      <c r="A66" s="5">
        <v>56</v>
      </c>
      <c r="B66" s="5">
        <f t="shared" si="4"/>
        <v>3540</v>
      </c>
      <c r="C66" s="5">
        <f t="shared" si="4"/>
        <v>865</v>
      </c>
      <c r="D66" s="5">
        <f t="shared" si="4"/>
        <v>570</v>
      </c>
      <c r="E66" s="5">
        <f t="shared" si="4"/>
        <v>174</v>
      </c>
      <c r="F66" s="5">
        <f t="shared" si="4"/>
        <v>232</v>
      </c>
      <c r="G66" s="5">
        <f t="shared" si="5"/>
        <v>7788.0000000000009</v>
      </c>
      <c r="H66" s="5">
        <f t="shared" si="5"/>
        <v>1903.0000000000002</v>
      </c>
      <c r="I66" s="5">
        <f t="shared" si="5"/>
        <v>1254</v>
      </c>
      <c r="J66" s="5">
        <f t="shared" si="5"/>
        <v>382.8</v>
      </c>
      <c r="K66" s="5">
        <f t="shared" si="5"/>
        <v>510.40000000000003</v>
      </c>
      <c r="L66" s="5">
        <f t="shared" si="6"/>
        <v>3894.0000000000005</v>
      </c>
      <c r="M66" s="5">
        <f t="shared" si="6"/>
        <v>951.50000000000011</v>
      </c>
      <c r="N66" s="5">
        <f t="shared" si="6"/>
        <v>627</v>
      </c>
      <c r="O66" s="5">
        <f t="shared" si="6"/>
        <v>191.4</v>
      </c>
      <c r="P66" s="5">
        <f t="shared" si="6"/>
        <v>255.20000000000002</v>
      </c>
      <c r="Q66" s="5">
        <f t="shared" si="7"/>
        <v>15222</v>
      </c>
      <c r="R66" s="5">
        <f t="shared" si="7"/>
        <v>3719.5</v>
      </c>
      <c r="S66" s="5">
        <f t="shared" si="7"/>
        <v>2451</v>
      </c>
      <c r="T66" s="5">
        <f t="shared" si="7"/>
        <v>748.19999999999993</v>
      </c>
      <c r="U66" s="5">
        <f t="shared" si="7"/>
        <v>997.60000000000014</v>
      </c>
      <c r="V66" s="5">
        <f>B66*战斗力计算!$B$8+C66*战斗力计算!$B$9+D66*战斗力计算!$B$10+E66*战斗力计算!$B$11+F66*战斗力计算!$B$12</f>
        <v>25400</v>
      </c>
      <c r="W66" s="5">
        <f>G66*战斗力计算!$B$8+H66*战斗力计算!$B$9+I66*战斗力计算!$B$10+J66*战斗力计算!$B$11+K66*战斗力计算!$B$12+L66*战斗力计算!$B$8+M66*战斗力计算!$B$9+N66*战斗力计算!$B$10+O66*战斗力计算!$B$11+P66*战斗力计算!$B$12</f>
        <v>83820</v>
      </c>
      <c r="X66" s="5">
        <f t="shared" si="8"/>
        <v>109220</v>
      </c>
      <c r="AC66">
        <f t="shared" si="9"/>
        <v>2.2000000000000002</v>
      </c>
      <c r="AD66">
        <f t="shared" si="10"/>
        <v>1.1000000000000001</v>
      </c>
      <c r="AF66">
        <f t="shared" si="11"/>
        <v>0.74999999999999978</v>
      </c>
      <c r="AH66">
        <f t="shared" si="12"/>
        <v>12</v>
      </c>
      <c r="AK66">
        <f t="shared" si="13"/>
        <v>6.2105263157894735</v>
      </c>
      <c r="AL66">
        <f t="shared" si="14"/>
        <v>1.5175438596491229</v>
      </c>
      <c r="AM66">
        <f t="shared" si="15"/>
        <v>1</v>
      </c>
      <c r="AN66">
        <f t="shared" si="16"/>
        <v>6.2105263157894743</v>
      </c>
      <c r="AO66">
        <f t="shared" si="17"/>
        <v>1.5175438596491231</v>
      </c>
      <c r="AP66">
        <f t="shared" si="18"/>
        <v>1</v>
      </c>
      <c r="AR66">
        <f t="shared" si="19"/>
        <v>4.4741379310344831</v>
      </c>
      <c r="AT66">
        <f t="shared" si="20"/>
        <v>4.4741379310344831</v>
      </c>
      <c r="AV66">
        <f t="shared" si="21"/>
        <v>605</v>
      </c>
      <c r="AW66">
        <f t="shared" si="22"/>
        <v>1124</v>
      </c>
    </row>
    <row r="67" spans="1:49" x14ac:dyDescent="0.15">
      <c r="A67" s="5">
        <v>57</v>
      </c>
      <c r="B67" s="5">
        <f t="shared" si="4"/>
        <v>3600</v>
      </c>
      <c r="C67" s="5">
        <f t="shared" si="4"/>
        <v>880</v>
      </c>
      <c r="D67" s="5">
        <f t="shared" si="4"/>
        <v>580</v>
      </c>
      <c r="E67" s="5">
        <f t="shared" si="4"/>
        <v>177</v>
      </c>
      <c r="F67" s="5">
        <f t="shared" si="4"/>
        <v>236</v>
      </c>
      <c r="G67" s="5">
        <f t="shared" si="5"/>
        <v>7920.0000000000009</v>
      </c>
      <c r="H67" s="5">
        <f t="shared" si="5"/>
        <v>1936.0000000000002</v>
      </c>
      <c r="I67" s="5">
        <f t="shared" si="5"/>
        <v>1276</v>
      </c>
      <c r="J67" s="5">
        <f t="shared" si="5"/>
        <v>389.40000000000003</v>
      </c>
      <c r="K67" s="5">
        <f t="shared" si="5"/>
        <v>519.20000000000005</v>
      </c>
      <c r="L67" s="5">
        <f t="shared" si="6"/>
        <v>3960.0000000000005</v>
      </c>
      <c r="M67" s="5">
        <f t="shared" si="6"/>
        <v>968.00000000000011</v>
      </c>
      <c r="N67" s="5">
        <f t="shared" si="6"/>
        <v>638</v>
      </c>
      <c r="O67" s="5">
        <f t="shared" si="6"/>
        <v>194.70000000000002</v>
      </c>
      <c r="P67" s="5">
        <f t="shared" si="6"/>
        <v>259.60000000000002</v>
      </c>
      <c r="Q67" s="5">
        <f t="shared" si="7"/>
        <v>15480</v>
      </c>
      <c r="R67" s="5">
        <f t="shared" si="7"/>
        <v>3784</v>
      </c>
      <c r="S67" s="5">
        <f t="shared" si="7"/>
        <v>2494</v>
      </c>
      <c r="T67" s="5">
        <f t="shared" si="7"/>
        <v>761.10000000000014</v>
      </c>
      <c r="U67" s="5">
        <f t="shared" si="7"/>
        <v>1014.8000000000001</v>
      </c>
      <c r="V67" s="5">
        <f>B67*战斗力计算!$B$8+C67*战斗力计算!$B$9+D67*战斗力计算!$B$10+E67*战斗力计算!$B$11+F67*战斗力计算!$B$12</f>
        <v>25840</v>
      </c>
      <c r="W67" s="5">
        <f>G67*战斗力计算!$B$8+H67*战斗力计算!$B$9+I67*战斗力计算!$B$10+J67*战斗力计算!$B$11+K67*战斗力计算!$B$12+L67*战斗力计算!$B$8+M67*战斗力计算!$B$9+N67*战斗力计算!$B$10+O67*战斗力计算!$B$11+P67*战斗力计算!$B$12</f>
        <v>85272</v>
      </c>
      <c r="X67" s="5">
        <f t="shared" si="8"/>
        <v>111112</v>
      </c>
      <c r="AC67">
        <f t="shared" si="9"/>
        <v>2.2000000000000002</v>
      </c>
      <c r="AD67">
        <f t="shared" si="10"/>
        <v>1.1000000000000001</v>
      </c>
      <c r="AF67">
        <f t="shared" si="11"/>
        <v>0.75000000000000011</v>
      </c>
      <c r="AH67">
        <f t="shared" si="12"/>
        <v>12</v>
      </c>
      <c r="AK67">
        <f t="shared" si="13"/>
        <v>6.2068965517241379</v>
      </c>
      <c r="AL67">
        <f t="shared" si="14"/>
        <v>1.5172413793103448</v>
      </c>
      <c r="AM67">
        <f t="shared" si="15"/>
        <v>1</v>
      </c>
      <c r="AN67">
        <f t="shared" si="16"/>
        <v>6.2068965517241388</v>
      </c>
      <c r="AO67">
        <f t="shared" si="17"/>
        <v>1.517241379310345</v>
      </c>
      <c r="AP67">
        <f t="shared" si="18"/>
        <v>1</v>
      </c>
      <c r="AR67">
        <f t="shared" si="19"/>
        <v>4.4745762711864403</v>
      </c>
      <c r="AT67">
        <f t="shared" si="20"/>
        <v>4.4745762711864403</v>
      </c>
      <c r="AV67">
        <f t="shared" si="21"/>
        <v>616</v>
      </c>
      <c r="AW67">
        <f t="shared" si="22"/>
        <v>1144</v>
      </c>
    </row>
    <row r="68" spans="1:49" x14ac:dyDescent="0.15">
      <c r="A68" s="5">
        <v>58</v>
      </c>
      <c r="B68" s="5">
        <f t="shared" si="4"/>
        <v>3660</v>
      </c>
      <c r="C68" s="5">
        <f t="shared" si="4"/>
        <v>895</v>
      </c>
      <c r="D68" s="5">
        <f t="shared" si="4"/>
        <v>590</v>
      </c>
      <c r="E68" s="5">
        <f t="shared" si="4"/>
        <v>180</v>
      </c>
      <c r="F68" s="5">
        <f t="shared" si="4"/>
        <v>240</v>
      </c>
      <c r="G68" s="5">
        <f t="shared" si="5"/>
        <v>8052.0000000000009</v>
      </c>
      <c r="H68" s="5">
        <f t="shared" si="5"/>
        <v>1969.0000000000002</v>
      </c>
      <c r="I68" s="5">
        <f t="shared" si="5"/>
        <v>1298</v>
      </c>
      <c r="J68" s="5">
        <f t="shared" si="5"/>
        <v>396.00000000000006</v>
      </c>
      <c r="K68" s="5">
        <f t="shared" si="5"/>
        <v>528</v>
      </c>
      <c r="L68" s="5">
        <f t="shared" si="6"/>
        <v>4026.0000000000005</v>
      </c>
      <c r="M68" s="5">
        <f t="shared" si="6"/>
        <v>984.50000000000011</v>
      </c>
      <c r="N68" s="5">
        <f t="shared" si="6"/>
        <v>649</v>
      </c>
      <c r="O68" s="5">
        <f t="shared" si="6"/>
        <v>198.00000000000003</v>
      </c>
      <c r="P68" s="5">
        <f t="shared" si="6"/>
        <v>264</v>
      </c>
      <c r="Q68" s="5">
        <f t="shared" si="7"/>
        <v>15738</v>
      </c>
      <c r="R68" s="5">
        <f t="shared" si="7"/>
        <v>3848.5</v>
      </c>
      <c r="S68" s="5">
        <f t="shared" si="7"/>
        <v>2537</v>
      </c>
      <c r="T68" s="5">
        <f t="shared" si="7"/>
        <v>774</v>
      </c>
      <c r="U68" s="5">
        <f t="shared" si="7"/>
        <v>1032</v>
      </c>
      <c r="V68" s="5">
        <f>B68*战斗力计算!$B$8+C68*战斗力计算!$B$9+D68*战斗力计算!$B$10+E68*战斗力计算!$B$11+F68*战斗力计算!$B$12</f>
        <v>26280</v>
      </c>
      <c r="W68" s="5">
        <f>G68*战斗力计算!$B$8+H68*战斗力计算!$B$9+I68*战斗力计算!$B$10+J68*战斗力计算!$B$11+K68*战斗力计算!$B$12+L68*战斗力计算!$B$8+M68*战斗力计算!$B$9+N68*战斗力计算!$B$10+O68*战斗力计算!$B$11+P68*战斗力计算!$B$12</f>
        <v>86724</v>
      </c>
      <c r="X68" s="5">
        <f t="shared" si="8"/>
        <v>113004</v>
      </c>
      <c r="AC68">
        <f t="shared" si="9"/>
        <v>2.2000000000000002</v>
      </c>
      <c r="AD68">
        <f t="shared" si="10"/>
        <v>1.1000000000000001</v>
      </c>
      <c r="AF68">
        <f t="shared" si="11"/>
        <v>0.75</v>
      </c>
      <c r="AH68">
        <f t="shared" si="12"/>
        <v>12</v>
      </c>
      <c r="AK68">
        <f t="shared" si="13"/>
        <v>6.2033898305084749</v>
      </c>
      <c r="AL68">
        <f t="shared" si="14"/>
        <v>1.5169491525423728</v>
      </c>
      <c r="AM68">
        <f t="shared" si="15"/>
        <v>1</v>
      </c>
      <c r="AN68">
        <f t="shared" si="16"/>
        <v>6.2033898305084758</v>
      </c>
      <c r="AO68">
        <f t="shared" si="17"/>
        <v>1.5169491525423731</v>
      </c>
      <c r="AP68">
        <f t="shared" si="18"/>
        <v>1</v>
      </c>
      <c r="AR68">
        <f t="shared" si="19"/>
        <v>4.4749999999999996</v>
      </c>
      <c r="AT68">
        <f t="shared" si="20"/>
        <v>4.4749999999999996</v>
      </c>
      <c r="AV68">
        <f t="shared" si="21"/>
        <v>626</v>
      </c>
      <c r="AW68">
        <f t="shared" si="22"/>
        <v>1163</v>
      </c>
    </row>
    <row r="69" spans="1:49" x14ac:dyDescent="0.15">
      <c r="A69" s="5">
        <v>59</v>
      </c>
      <c r="B69" s="5">
        <f t="shared" si="4"/>
        <v>3720</v>
      </c>
      <c r="C69" s="5">
        <f t="shared" si="4"/>
        <v>910</v>
      </c>
      <c r="D69" s="5">
        <f t="shared" si="4"/>
        <v>600</v>
      </c>
      <c r="E69" s="5">
        <f t="shared" si="4"/>
        <v>183</v>
      </c>
      <c r="F69" s="5">
        <f t="shared" si="4"/>
        <v>244</v>
      </c>
      <c r="G69" s="5">
        <f t="shared" si="5"/>
        <v>8184.0000000000009</v>
      </c>
      <c r="H69" s="5">
        <f t="shared" si="5"/>
        <v>2002.0000000000002</v>
      </c>
      <c r="I69" s="5">
        <f t="shared" si="5"/>
        <v>1320</v>
      </c>
      <c r="J69" s="5">
        <f t="shared" si="5"/>
        <v>402.6</v>
      </c>
      <c r="K69" s="5">
        <f t="shared" si="5"/>
        <v>536.80000000000007</v>
      </c>
      <c r="L69" s="5">
        <f t="shared" si="6"/>
        <v>4092.0000000000005</v>
      </c>
      <c r="M69" s="5">
        <f t="shared" si="6"/>
        <v>1001.0000000000001</v>
      </c>
      <c r="N69" s="5">
        <f t="shared" si="6"/>
        <v>660</v>
      </c>
      <c r="O69" s="5">
        <f t="shared" si="6"/>
        <v>201.3</v>
      </c>
      <c r="P69" s="5">
        <f t="shared" si="6"/>
        <v>268.40000000000003</v>
      </c>
      <c r="Q69" s="5">
        <f t="shared" si="7"/>
        <v>15996</v>
      </c>
      <c r="R69" s="5">
        <f t="shared" si="7"/>
        <v>3913</v>
      </c>
      <c r="S69" s="5">
        <f t="shared" si="7"/>
        <v>2580</v>
      </c>
      <c r="T69" s="5">
        <f t="shared" si="7"/>
        <v>786.90000000000009</v>
      </c>
      <c r="U69" s="5">
        <f t="shared" si="7"/>
        <v>1049.2</v>
      </c>
      <c r="V69" s="5">
        <f>B69*战斗力计算!$B$8+C69*战斗力计算!$B$9+D69*战斗力计算!$B$10+E69*战斗力计算!$B$11+F69*战斗力计算!$B$12</f>
        <v>26720</v>
      </c>
      <c r="W69" s="5">
        <f>G69*战斗力计算!$B$8+H69*战斗力计算!$B$9+I69*战斗力计算!$B$10+J69*战斗力计算!$B$11+K69*战斗力计算!$B$12+L69*战斗力计算!$B$8+M69*战斗力计算!$B$9+N69*战斗力计算!$B$10+O69*战斗力计算!$B$11+P69*战斗力计算!$B$12</f>
        <v>88176</v>
      </c>
      <c r="X69" s="5">
        <f t="shared" si="8"/>
        <v>114896</v>
      </c>
      <c r="AC69">
        <f t="shared" si="9"/>
        <v>2.2000000000000002</v>
      </c>
      <c r="AD69">
        <f t="shared" si="10"/>
        <v>1.1000000000000001</v>
      </c>
      <c r="AF69">
        <f t="shared" si="11"/>
        <v>0.75</v>
      </c>
      <c r="AH69">
        <f t="shared" si="12"/>
        <v>12</v>
      </c>
      <c r="AK69">
        <f t="shared" si="13"/>
        <v>6.2</v>
      </c>
      <c r="AL69">
        <f t="shared" si="14"/>
        <v>1.5166666666666666</v>
      </c>
      <c r="AM69">
        <f t="shared" si="15"/>
        <v>1</v>
      </c>
      <c r="AN69">
        <f t="shared" si="16"/>
        <v>6.2000000000000011</v>
      </c>
      <c r="AO69">
        <f t="shared" si="17"/>
        <v>1.5166666666666668</v>
      </c>
      <c r="AP69">
        <f t="shared" si="18"/>
        <v>1</v>
      </c>
      <c r="AR69">
        <f t="shared" si="19"/>
        <v>4.4754098360655741</v>
      </c>
      <c r="AT69">
        <f t="shared" si="20"/>
        <v>4.4754098360655741</v>
      </c>
      <c r="AV69">
        <f t="shared" si="21"/>
        <v>637</v>
      </c>
      <c r="AW69">
        <f t="shared" si="22"/>
        <v>1183</v>
      </c>
    </row>
    <row r="70" spans="1:49" x14ac:dyDescent="0.15">
      <c r="A70" s="5">
        <v>60</v>
      </c>
      <c r="B70" s="5">
        <f t="shared" si="4"/>
        <v>3780</v>
      </c>
      <c r="C70" s="5">
        <f t="shared" si="4"/>
        <v>925</v>
      </c>
      <c r="D70" s="5">
        <f t="shared" si="4"/>
        <v>610</v>
      </c>
      <c r="E70" s="5">
        <f t="shared" si="4"/>
        <v>186</v>
      </c>
      <c r="F70" s="5">
        <f t="shared" si="4"/>
        <v>248</v>
      </c>
      <c r="G70" s="5">
        <f t="shared" si="5"/>
        <v>8316</v>
      </c>
      <c r="H70" s="5">
        <f t="shared" si="5"/>
        <v>2035.0000000000002</v>
      </c>
      <c r="I70" s="5">
        <f t="shared" si="5"/>
        <v>1342</v>
      </c>
      <c r="J70" s="5">
        <f t="shared" si="5"/>
        <v>409.20000000000005</v>
      </c>
      <c r="K70" s="5">
        <f t="shared" si="5"/>
        <v>545.6</v>
      </c>
      <c r="L70" s="5">
        <f t="shared" si="6"/>
        <v>4158</v>
      </c>
      <c r="M70" s="5">
        <f t="shared" si="6"/>
        <v>1017.5000000000001</v>
      </c>
      <c r="N70" s="5">
        <f t="shared" si="6"/>
        <v>671</v>
      </c>
      <c r="O70" s="5">
        <f t="shared" si="6"/>
        <v>204.60000000000002</v>
      </c>
      <c r="P70" s="5">
        <f t="shared" si="6"/>
        <v>272.8</v>
      </c>
      <c r="Q70" s="5">
        <f t="shared" si="7"/>
        <v>16254</v>
      </c>
      <c r="R70" s="5">
        <f t="shared" si="7"/>
        <v>3977.5</v>
      </c>
      <c r="S70" s="5">
        <f t="shared" si="7"/>
        <v>2623</v>
      </c>
      <c r="T70" s="5">
        <f t="shared" si="7"/>
        <v>799.80000000000007</v>
      </c>
      <c r="U70" s="5">
        <f t="shared" si="7"/>
        <v>1066.4000000000001</v>
      </c>
      <c r="V70" s="5">
        <f>B70*战斗力计算!$B$8+C70*战斗力计算!$B$9+D70*战斗力计算!$B$10+E70*战斗力计算!$B$11+F70*战斗力计算!$B$12</f>
        <v>27160</v>
      </c>
      <c r="W70" s="5">
        <f>G70*战斗力计算!$B$8+H70*战斗力计算!$B$9+I70*战斗力计算!$B$10+J70*战斗力计算!$B$11+K70*战斗力计算!$B$12+L70*战斗力计算!$B$8+M70*战斗力计算!$B$9+N70*战斗力计算!$B$10+O70*战斗力计算!$B$11+P70*战斗力计算!$B$12</f>
        <v>89628</v>
      </c>
      <c r="X70" s="5">
        <f t="shared" si="8"/>
        <v>116788</v>
      </c>
      <c r="AC70">
        <f t="shared" si="9"/>
        <v>2.2000000000000002</v>
      </c>
      <c r="AD70">
        <f t="shared" si="10"/>
        <v>1.1000000000000001</v>
      </c>
      <c r="AF70">
        <f t="shared" si="11"/>
        <v>0.75</v>
      </c>
      <c r="AH70">
        <f t="shared" si="12"/>
        <v>12</v>
      </c>
      <c r="AK70">
        <f t="shared" si="13"/>
        <v>6.1967213114754101</v>
      </c>
      <c r="AL70">
        <f t="shared" si="14"/>
        <v>1.5163934426229508</v>
      </c>
      <c r="AM70">
        <f t="shared" si="15"/>
        <v>1</v>
      </c>
      <c r="AN70">
        <f t="shared" si="16"/>
        <v>6.1967213114754101</v>
      </c>
      <c r="AO70">
        <f t="shared" si="17"/>
        <v>1.5163934426229511</v>
      </c>
      <c r="AP70">
        <f t="shared" si="18"/>
        <v>1</v>
      </c>
      <c r="AR70">
        <f t="shared" si="19"/>
        <v>4.475806451612903</v>
      </c>
      <c r="AT70">
        <f t="shared" si="20"/>
        <v>4.475806451612903</v>
      </c>
      <c r="AV70">
        <f t="shared" si="21"/>
        <v>647</v>
      </c>
      <c r="AW70">
        <f t="shared" si="22"/>
        <v>1202</v>
      </c>
    </row>
    <row r="71" spans="1:49" x14ac:dyDescent="0.15">
      <c r="A71" s="5">
        <v>61</v>
      </c>
      <c r="B71" s="5">
        <f t="shared" si="4"/>
        <v>3840</v>
      </c>
      <c r="C71" s="5">
        <f t="shared" si="4"/>
        <v>940</v>
      </c>
      <c r="D71" s="5">
        <f t="shared" si="4"/>
        <v>620</v>
      </c>
      <c r="E71" s="5">
        <f t="shared" si="4"/>
        <v>189</v>
      </c>
      <c r="F71" s="5">
        <f t="shared" si="4"/>
        <v>252</v>
      </c>
      <c r="G71" s="5">
        <f t="shared" si="5"/>
        <v>8448</v>
      </c>
      <c r="H71" s="5">
        <f t="shared" si="5"/>
        <v>2068</v>
      </c>
      <c r="I71" s="5">
        <f t="shared" si="5"/>
        <v>1364</v>
      </c>
      <c r="J71" s="5">
        <f t="shared" si="5"/>
        <v>415.8</v>
      </c>
      <c r="K71" s="5">
        <f t="shared" si="5"/>
        <v>554.40000000000009</v>
      </c>
      <c r="L71" s="5">
        <f t="shared" si="6"/>
        <v>4224</v>
      </c>
      <c r="M71" s="5">
        <f t="shared" si="6"/>
        <v>1034</v>
      </c>
      <c r="N71" s="5">
        <f t="shared" si="6"/>
        <v>682</v>
      </c>
      <c r="O71" s="5">
        <f t="shared" si="6"/>
        <v>207.9</v>
      </c>
      <c r="P71" s="5">
        <f t="shared" si="6"/>
        <v>277.20000000000005</v>
      </c>
      <c r="Q71" s="5">
        <f t="shared" si="7"/>
        <v>16512</v>
      </c>
      <c r="R71" s="5">
        <f t="shared" si="7"/>
        <v>4042</v>
      </c>
      <c r="S71" s="5">
        <f t="shared" si="7"/>
        <v>2666</v>
      </c>
      <c r="T71" s="5">
        <f t="shared" si="7"/>
        <v>812.69999999999993</v>
      </c>
      <c r="U71" s="5">
        <f t="shared" si="7"/>
        <v>1083.6000000000001</v>
      </c>
      <c r="V71" s="5">
        <f>B71*战斗力计算!$B$8+C71*战斗力计算!$B$9+D71*战斗力计算!$B$10+E71*战斗力计算!$B$11+F71*战斗力计算!$B$12</f>
        <v>27600</v>
      </c>
      <c r="W71" s="5">
        <f>G71*战斗力计算!$B$8+H71*战斗力计算!$B$9+I71*战斗力计算!$B$10+J71*战斗力计算!$B$11+K71*战斗力计算!$B$12+L71*战斗力计算!$B$8+M71*战斗力计算!$B$9+N71*战斗力计算!$B$10+O71*战斗力计算!$B$11+P71*战斗力计算!$B$12</f>
        <v>91080</v>
      </c>
      <c r="X71" s="5">
        <f t="shared" si="8"/>
        <v>118680</v>
      </c>
      <c r="AC71">
        <f t="shared" si="9"/>
        <v>2.2000000000000002</v>
      </c>
      <c r="AD71">
        <f t="shared" si="10"/>
        <v>1.1000000000000001</v>
      </c>
      <c r="AF71">
        <f t="shared" si="11"/>
        <v>0.74999999999999989</v>
      </c>
      <c r="AH71">
        <f t="shared" si="12"/>
        <v>12</v>
      </c>
      <c r="AK71">
        <f t="shared" si="13"/>
        <v>6.193548387096774</v>
      </c>
      <c r="AL71">
        <f t="shared" si="14"/>
        <v>1.5161290322580645</v>
      </c>
      <c r="AM71">
        <f t="shared" si="15"/>
        <v>1</v>
      </c>
      <c r="AN71">
        <f t="shared" si="16"/>
        <v>6.193548387096774</v>
      </c>
      <c r="AO71">
        <f t="shared" si="17"/>
        <v>1.5161290322580645</v>
      </c>
      <c r="AP71">
        <f t="shared" si="18"/>
        <v>1</v>
      </c>
      <c r="AR71">
        <f t="shared" si="19"/>
        <v>4.4761904761904763</v>
      </c>
      <c r="AT71">
        <f t="shared" si="20"/>
        <v>4.4761904761904763</v>
      </c>
      <c r="AV71">
        <f t="shared" si="21"/>
        <v>658</v>
      </c>
      <c r="AW71">
        <f t="shared" si="22"/>
        <v>1222</v>
      </c>
    </row>
    <row r="72" spans="1:49" x14ac:dyDescent="0.15">
      <c r="A72" s="5">
        <v>62</v>
      </c>
      <c r="B72" s="5">
        <f t="shared" si="4"/>
        <v>3900</v>
      </c>
      <c r="C72" s="5">
        <f t="shared" si="4"/>
        <v>955</v>
      </c>
      <c r="D72" s="5">
        <f t="shared" si="4"/>
        <v>630</v>
      </c>
      <c r="E72" s="5">
        <f t="shared" si="4"/>
        <v>192</v>
      </c>
      <c r="F72" s="5">
        <f t="shared" si="4"/>
        <v>256</v>
      </c>
      <c r="G72" s="5">
        <f t="shared" si="5"/>
        <v>8580</v>
      </c>
      <c r="H72" s="5">
        <f t="shared" si="5"/>
        <v>2101</v>
      </c>
      <c r="I72" s="5">
        <f t="shared" si="5"/>
        <v>1386</v>
      </c>
      <c r="J72" s="5">
        <f t="shared" si="5"/>
        <v>422.40000000000003</v>
      </c>
      <c r="K72" s="5">
        <f t="shared" si="5"/>
        <v>563.20000000000005</v>
      </c>
      <c r="L72" s="5">
        <f t="shared" si="6"/>
        <v>4290</v>
      </c>
      <c r="M72" s="5">
        <f t="shared" si="6"/>
        <v>1050.5</v>
      </c>
      <c r="N72" s="5">
        <f t="shared" si="6"/>
        <v>693</v>
      </c>
      <c r="O72" s="5">
        <f t="shared" si="6"/>
        <v>211.20000000000002</v>
      </c>
      <c r="P72" s="5">
        <f t="shared" si="6"/>
        <v>281.60000000000002</v>
      </c>
      <c r="Q72" s="5">
        <f t="shared" si="7"/>
        <v>16770</v>
      </c>
      <c r="R72" s="5">
        <f t="shared" si="7"/>
        <v>4106.5</v>
      </c>
      <c r="S72" s="5">
        <f t="shared" si="7"/>
        <v>2709</v>
      </c>
      <c r="T72" s="5">
        <f t="shared" si="7"/>
        <v>825.60000000000014</v>
      </c>
      <c r="U72" s="5">
        <f t="shared" si="7"/>
        <v>1100.8000000000002</v>
      </c>
      <c r="V72" s="5">
        <f>B72*战斗力计算!$B$8+C72*战斗力计算!$B$9+D72*战斗力计算!$B$10+E72*战斗力计算!$B$11+F72*战斗力计算!$B$12</f>
        <v>28040</v>
      </c>
      <c r="W72" s="5">
        <f>G72*战斗力计算!$B$8+H72*战斗力计算!$B$9+I72*战斗力计算!$B$10+J72*战斗力计算!$B$11+K72*战斗力计算!$B$12+L72*战斗力计算!$B$8+M72*战斗力计算!$B$9+N72*战斗力计算!$B$10+O72*战斗力计算!$B$11+P72*战斗力计算!$B$12</f>
        <v>92532</v>
      </c>
      <c r="X72" s="5">
        <f t="shared" si="8"/>
        <v>120572</v>
      </c>
      <c r="AC72">
        <f t="shared" si="9"/>
        <v>2.2000000000000002</v>
      </c>
      <c r="AD72">
        <f t="shared" si="10"/>
        <v>1.1000000000000001</v>
      </c>
      <c r="AF72">
        <f t="shared" si="11"/>
        <v>0.75</v>
      </c>
      <c r="AH72">
        <f t="shared" si="12"/>
        <v>12</v>
      </c>
      <c r="AK72">
        <f t="shared" si="13"/>
        <v>6.1904761904761907</v>
      </c>
      <c r="AL72">
        <f t="shared" si="14"/>
        <v>1.5158730158730158</v>
      </c>
      <c r="AM72">
        <f t="shared" si="15"/>
        <v>1</v>
      </c>
      <c r="AN72">
        <f t="shared" si="16"/>
        <v>6.1904761904761907</v>
      </c>
      <c r="AO72">
        <f t="shared" si="17"/>
        <v>1.5158730158730158</v>
      </c>
      <c r="AP72">
        <f t="shared" si="18"/>
        <v>1</v>
      </c>
      <c r="AR72">
        <f t="shared" si="19"/>
        <v>4.4765625</v>
      </c>
      <c r="AT72">
        <f t="shared" si="20"/>
        <v>4.4765625</v>
      </c>
      <c r="AV72">
        <f t="shared" si="21"/>
        <v>668</v>
      </c>
      <c r="AW72">
        <f t="shared" si="22"/>
        <v>1241</v>
      </c>
    </row>
    <row r="73" spans="1:49" x14ac:dyDescent="0.15">
      <c r="A73" s="5">
        <v>63</v>
      </c>
      <c r="B73" s="5">
        <f t="shared" si="4"/>
        <v>3960</v>
      </c>
      <c r="C73" s="5">
        <f t="shared" si="4"/>
        <v>970</v>
      </c>
      <c r="D73" s="5">
        <f t="shared" si="4"/>
        <v>640</v>
      </c>
      <c r="E73" s="5">
        <f t="shared" si="4"/>
        <v>195</v>
      </c>
      <c r="F73" s="5">
        <f t="shared" si="4"/>
        <v>260</v>
      </c>
      <c r="G73" s="5">
        <f t="shared" si="5"/>
        <v>8712</v>
      </c>
      <c r="H73" s="5">
        <f t="shared" si="5"/>
        <v>2134</v>
      </c>
      <c r="I73" s="5">
        <f t="shared" si="5"/>
        <v>1408</v>
      </c>
      <c r="J73" s="5">
        <f t="shared" si="5"/>
        <v>429.00000000000006</v>
      </c>
      <c r="K73" s="5">
        <f t="shared" si="5"/>
        <v>572</v>
      </c>
      <c r="L73" s="5">
        <f t="shared" si="6"/>
        <v>4356</v>
      </c>
      <c r="M73" s="5">
        <f t="shared" si="6"/>
        <v>1067</v>
      </c>
      <c r="N73" s="5">
        <f t="shared" si="6"/>
        <v>704</v>
      </c>
      <c r="O73" s="5">
        <f t="shared" si="6"/>
        <v>214.50000000000003</v>
      </c>
      <c r="P73" s="5">
        <f t="shared" si="6"/>
        <v>286</v>
      </c>
      <c r="Q73" s="5">
        <f t="shared" si="7"/>
        <v>17028</v>
      </c>
      <c r="R73" s="5">
        <f t="shared" si="7"/>
        <v>4171</v>
      </c>
      <c r="S73" s="5">
        <f t="shared" si="7"/>
        <v>2752</v>
      </c>
      <c r="T73" s="5">
        <f t="shared" si="7"/>
        <v>838.5</v>
      </c>
      <c r="U73" s="5">
        <f t="shared" si="7"/>
        <v>1118</v>
      </c>
      <c r="V73" s="5">
        <f>B73*战斗力计算!$B$8+C73*战斗力计算!$B$9+D73*战斗力计算!$B$10+E73*战斗力计算!$B$11+F73*战斗力计算!$B$12</f>
        <v>28480</v>
      </c>
      <c r="W73" s="5">
        <f>G73*战斗力计算!$B$8+H73*战斗力计算!$B$9+I73*战斗力计算!$B$10+J73*战斗力计算!$B$11+K73*战斗力计算!$B$12+L73*战斗力计算!$B$8+M73*战斗力计算!$B$9+N73*战斗力计算!$B$10+O73*战斗力计算!$B$11+P73*战斗力计算!$B$12</f>
        <v>93984</v>
      </c>
      <c r="X73" s="5">
        <f t="shared" si="8"/>
        <v>122464</v>
      </c>
      <c r="AC73">
        <f t="shared" si="9"/>
        <v>2.2000000000000002</v>
      </c>
      <c r="AD73">
        <f t="shared" si="10"/>
        <v>1.1000000000000001</v>
      </c>
      <c r="AF73">
        <f t="shared" si="11"/>
        <v>0.75</v>
      </c>
      <c r="AH73">
        <f t="shared" si="12"/>
        <v>12</v>
      </c>
      <c r="AK73">
        <f t="shared" si="13"/>
        <v>6.1875</v>
      </c>
      <c r="AL73">
        <f t="shared" si="14"/>
        <v>1.515625</v>
      </c>
      <c r="AM73">
        <f t="shared" si="15"/>
        <v>1</v>
      </c>
      <c r="AN73">
        <f t="shared" si="16"/>
        <v>6.1875</v>
      </c>
      <c r="AO73">
        <f t="shared" si="17"/>
        <v>1.515625</v>
      </c>
      <c r="AP73">
        <f t="shared" si="18"/>
        <v>1</v>
      </c>
      <c r="AR73">
        <f t="shared" si="19"/>
        <v>4.476923076923077</v>
      </c>
      <c r="AT73">
        <f t="shared" si="20"/>
        <v>4.476923076923077</v>
      </c>
      <c r="AV73">
        <f t="shared" si="21"/>
        <v>679</v>
      </c>
      <c r="AW73">
        <f t="shared" si="22"/>
        <v>1261</v>
      </c>
    </row>
    <row r="74" spans="1:49" x14ac:dyDescent="0.15">
      <c r="A74" s="5">
        <v>64</v>
      </c>
      <c r="B74" s="5">
        <f t="shared" si="4"/>
        <v>4020</v>
      </c>
      <c r="C74" s="5">
        <f t="shared" si="4"/>
        <v>985</v>
      </c>
      <c r="D74" s="5">
        <f t="shared" si="4"/>
        <v>650</v>
      </c>
      <c r="E74" s="5">
        <f t="shared" si="4"/>
        <v>198</v>
      </c>
      <c r="F74" s="5">
        <f t="shared" ref="C74:F137" si="23">INT(VLOOKUP(F$10,$A$2:$C$7,2,0)+($A74-1)*VLOOKUP(F$10,$A$2:$C$7,3,0))</f>
        <v>264</v>
      </c>
      <c r="G74" s="5">
        <f t="shared" si="5"/>
        <v>8844</v>
      </c>
      <c r="H74" s="5">
        <f t="shared" si="5"/>
        <v>2167</v>
      </c>
      <c r="I74" s="5">
        <f t="shared" si="5"/>
        <v>1430.0000000000002</v>
      </c>
      <c r="J74" s="5">
        <f t="shared" si="5"/>
        <v>435.6</v>
      </c>
      <c r="K74" s="5">
        <f t="shared" si="5"/>
        <v>580.80000000000007</v>
      </c>
      <c r="L74" s="5">
        <f t="shared" si="6"/>
        <v>4422</v>
      </c>
      <c r="M74" s="5">
        <f t="shared" si="6"/>
        <v>1083.5</v>
      </c>
      <c r="N74" s="5">
        <f t="shared" si="6"/>
        <v>715.00000000000011</v>
      </c>
      <c r="O74" s="5">
        <f t="shared" si="6"/>
        <v>217.8</v>
      </c>
      <c r="P74" s="5">
        <f t="shared" si="6"/>
        <v>290.40000000000003</v>
      </c>
      <c r="Q74" s="5">
        <f t="shared" si="7"/>
        <v>17286</v>
      </c>
      <c r="R74" s="5">
        <f t="shared" si="7"/>
        <v>4235.5</v>
      </c>
      <c r="S74" s="5">
        <f t="shared" si="7"/>
        <v>2795</v>
      </c>
      <c r="T74" s="5">
        <f t="shared" si="7"/>
        <v>851.40000000000009</v>
      </c>
      <c r="U74" s="5">
        <f t="shared" si="7"/>
        <v>1135.2</v>
      </c>
      <c r="V74" s="5">
        <f>B74*战斗力计算!$B$8+C74*战斗力计算!$B$9+D74*战斗力计算!$B$10+E74*战斗力计算!$B$11+F74*战斗力计算!$B$12</f>
        <v>28920</v>
      </c>
      <c r="W74" s="5">
        <f>G74*战斗力计算!$B$8+H74*战斗力计算!$B$9+I74*战斗力计算!$B$10+J74*战斗力计算!$B$11+K74*战斗力计算!$B$12+L74*战斗力计算!$B$8+M74*战斗力计算!$B$9+N74*战斗力计算!$B$10+O74*战斗力计算!$B$11+P74*战斗力计算!$B$12</f>
        <v>95436</v>
      </c>
      <c r="X74" s="5">
        <f t="shared" si="8"/>
        <v>124356</v>
      </c>
      <c r="AC74">
        <f t="shared" si="9"/>
        <v>2.2000000000000002</v>
      </c>
      <c r="AD74">
        <f t="shared" si="10"/>
        <v>1.1000000000000001</v>
      </c>
      <c r="AF74">
        <f t="shared" si="11"/>
        <v>0.75</v>
      </c>
      <c r="AH74">
        <f t="shared" si="12"/>
        <v>12</v>
      </c>
      <c r="AK74">
        <f t="shared" si="13"/>
        <v>6.1846153846153848</v>
      </c>
      <c r="AL74">
        <f t="shared" si="14"/>
        <v>1.5153846153846153</v>
      </c>
      <c r="AM74">
        <f t="shared" si="15"/>
        <v>1</v>
      </c>
      <c r="AN74">
        <f t="shared" si="16"/>
        <v>6.1846153846153831</v>
      </c>
      <c r="AO74">
        <f t="shared" si="17"/>
        <v>1.5153846153846151</v>
      </c>
      <c r="AP74">
        <f t="shared" si="18"/>
        <v>1</v>
      </c>
      <c r="AR74">
        <f t="shared" si="19"/>
        <v>4.4772727272727275</v>
      </c>
      <c r="AT74">
        <f t="shared" si="20"/>
        <v>4.4772727272727275</v>
      </c>
      <c r="AV74">
        <f t="shared" si="21"/>
        <v>689</v>
      </c>
      <c r="AW74">
        <f t="shared" si="22"/>
        <v>1280</v>
      </c>
    </row>
    <row r="75" spans="1:49" x14ac:dyDescent="0.15">
      <c r="A75" s="5">
        <v>65</v>
      </c>
      <c r="B75" s="5">
        <f t="shared" si="4"/>
        <v>4080</v>
      </c>
      <c r="C75" s="5">
        <f t="shared" si="23"/>
        <v>1000</v>
      </c>
      <c r="D75" s="5">
        <f t="shared" si="23"/>
        <v>660</v>
      </c>
      <c r="E75" s="5">
        <f t="shared" si="23"/>
        <v>201</v>
      </c>
      <c r="F75" s="5">
        <f t="shared" si="23"/>
        <v>268</v>
      </c>
      <c r="G75" s="5">
        <f t="shared" ref="G75:K125" si="24">HLOOKUP(G$10,$B$10:$F$610,$A75+1,0)*$AC75</f>
        <v>8976</v>
      </c>
      <c r="H75" s="5">
        <f t="shared" si="24"/>
        <v>2200</v>
      </c>
      <c r="I75" s="5">
        <f t="shared" si="24"/>
        <v>1452.0000000000002</v>
      </c>
      <c r="J75" s="5">
        <f t="shared" si="24"/>
        <v>442.20000000000005</v>
      </c>
      <c r="K75" s="5">
        <f t="shared" si="24"/>
        <v>589.6</v>
      </c>
      <c r="L75" s="5">
        <f t="shared" ref="L75:P125" si="25">HLOOKUP(L$10,$B$10:$F$610,$A75+1,0)*$AD75</f>
        <v>4488</v>
      </c>
      <c r="M75" s="5">
        <f t="shared" si="25"/>
        <v>1100</v>
      </c>
      <c r="N75" s="5">
        <f t="shared" si="25"/>
        <v>726.00000000000011</v>
      </c>
      <c r="O75" s="5">
        <f t="shared" si="25"/>
        <v>221.10000000000002</v>
      </c>
      <c r="P75" s="5">
        <f t="shared" si="25"/>
        <v>294.8</v>
      </c>
      <c r="Q75" s="5">
        <f t="shared" ref="Q75:U125" si="26">B75+G75+L75</f>
        <v>17544</v>
      </c>
      <c r="R75" s="5">
        <f t="shared" si="26"/>
        <v>4300</v>
      </c>
      <c r="S75" s="5">
        <f t="shared" si="26"/>
        <v>2838</v>
      </c>
      <c r="T75" s="5">
        <f t="shared" si="26"/>
        <v>864.30000000000007</v>
      </c>
      <c r="U75" s="5">
        <f t="shared" si="26"/>
        <v>1152.4000000000001</v>
      </c>
      <c r="V75" s="5">
        <f>B75*战斗力计算!$B$8+C75*战斗力计算!$B$9+D75*战斗力计算!$B$10+E75*战斗力计算!$B$11+F75*战斗力计算!$B$12</f>
        <v>29360</v>
      </c>
      <c r="W75" s="5">
        <f>G75*战斗力计算!$B$8+H75*战斗力计算!$B$9+I75*战斗力计算!$B$10+J75*战斗力计算!$B$11+K75*战斗力计算!$B$12+L75*战斗力计算!$B$8+M75*战斗力计算!$B$9+N75*战斗力计算!$B$10+O75*战斗力计算!$B$11+P75*战斗力计算!$B$12</f>
        <v>96888</v>
      </c>
      <c r="X75" s="5">
        <f t="shared" si="8"/>
        <v>126248</v>
      </c>
      <c r="AC75">
        <f t="shared" si="9"/>
        <v>2.2000000000000002</v>
      </c>
      <c r="AD75">
        <f t="shared" si="10"/>
        <v>1.1000000000000001</v>
      </c>
      <c r="AF75">
        <f t="shared" si="11"/>
        <v>0.75</v>
      </c>
      <c r="AH75">
        <f t="shared" si="12"/>
        <v>12</v>
      </c>
      <c r="AK75">
        <f t="shared" si="13"/>
        <v>6.1818181818181817</v>
      </c>
      <c r="AL75">
        <f t="shared" si="14"/>
        <v>1.5151515151515151</v>
      </c>
      <c r="AM75">
        <f t="shared" si="15"/>
        <v>1</v>
      </c>
      <c r="AN75">
        <f t="shared" si="16"/>
        <v>6.1818181818181808</v>
      </c>
      <c r="AO75">
        <f t="shared" si="17"/>
        <v>1.5151515151515149</v>
      </c>
      <c r="AP75">
        <f t="shared" si="18"/>
        <v>1</v>
      </c>
      <c r="AR75">
        <f t="shared" si="19"/>
        <v>4.4776119402985071</v>
      </c>
      <c r="AT75">
        <f t="shared" si="20"/>
        <v>4.4776119402985071</v>
      </c>
      <c r="AV75">
        <f t="shared" si="21"/>
        <v>700</v>
      </c>
      <c r="AW75">
        <f t="shared" si="22"/>
        <v>1300</v>
      </c>
    </row>
    <row r="76" spans="1:49" x14ac:dyDescent="0.15">
      <c r="A76" s="5">
        <v>66</v>
      </c>
      <c r="B76" s="5">
        <f t="shared" ref="B76:F139" si="27">INT(VLOOKUP(B$10,$A$2:$C$7,2,0)+($A76-1)*VLOOKUP(B$10,$A$2:$C$7,3,0))</f>
        <v>4140</v>
      </c>
      <c r="C76" s="5">
        <f t="shared" si="23"/>
        <v>1015</v>
      </c>
      <c r="D76" s="5">
        <f t="shared" si="23"/>
        <v>670</v>
      </c>
      <c r="E76" s="5">
        <f t="shared" si="23"/>
        <v>204</v>
      </c>
      <c r="F76" s="5">
        <f t="shared" si="23"/>
        <v>272</v>
      </c>
      <c r="G76" s="5">
        <f t="shared" si="24"/>
        <v>9108</v>
      </c>
      <c r="H76" s="5">
        <f t="shared" si="24"/>
        <v>2233</v>
      </c>
      <c r="I76" s="5">
        <f t="shared" si="24"/>
        <v>1474.0000000000002</v>
      </c>
      <c r="J76" s="5">
        <f t="shared" si="24"/>
        <v>448.8</v>
      </c>
      <c r="K76" s="5">
        <f t="shared" si="24"/>
        <v>598.40000000000009</v>
      </c>
      <c r="L76" s="5">
        <f t="shared" si="25"/>
        <v>4554</v>
      </c>
      <c r="M76" s="5">
        <f t="shared" si="25"/>
        <v>1116.5</v>
      </c>
      <c r="N76" s="5">
        <f t="shared" si="25"/>
        <v>737.00000000000011</v>
      </c>
      <c r="O76" s="5">
        <f t="shared" si="25"/>
        <v>224.4</v>
      </c>
      <c r="P76" s="5">
        <f t="shared" si="25"/>
        <v>299.20000000000005</v>
      </c>
      <c r="Q76" s="5">
        <f t="shared" si="26"/>
        <v>17802</v>
      </c>
      <c r="R76" s="5">
        <f t="shared" si="26"/>
        <v>4364.5</v>
      </c>
      <c r="S76" s="5">
        <f t="shared" si="26"/>
        <v>2881</v>
      </c>
      <c r="T76" s="5">
        <f t="shared" si="26"/>
        <v>877.19999999999993</v>
      </c>
      <c r="U76" s="5">
        <f t="shared" si="26"/>
        <v>1169.6000000000001</v>
      </c>
      <c r="V76" s="5">
        <f>B76*战斗力计算!$B$8+C76*战斗力计算!$B$9+D76*战斗力计算!$B$10+E76*战斗力计算!$B$11+F76*战斗力计算!$B$12</f>
        <v>29800</v>
      </c>
      <c r="W76" s="5">
        <f>G76*战斗力计算!$B$8+H76*战斗力计算!$B$9+I76*战斗力计算!$B$10+J76*战斗力计算!$B$11+K76*战斗力计算!$B$12+L76*战斗力计算!$B$8+M76*战斗力计算!$B$9+N76*战斗力计算!$B$10+O76*战斗力计算!$B$11+P76*战斗力计算!$B$12</f>
        <v>98340</v>
      </c>
      <c r="X76" s="5">
        <f t="shared" ref="X76:X139" si="28">V76+W76</f>
        <v>128140</v>
      </c>
      <c r="AC76">
        <f t="shared" ref="AC76:AC139" si="29">VLOOKUP($A76,$Z$2:$AA$13,2,1)*$E$3</f>
        <v>2.2000000000000002</v>
      </c>
      <c r="AD76">
        <f t="shared" ref="AD76:AD139" si="30">VLOOKUP($A76,$Z$2:$AA$13,2,1)*$E$6</f>
        <v>1.1000000000000001</v>
      </c>
      <c r="AF76">
        <f t="shared" ref="AF76:AF139" si="31">T76/U76</f>
        <v>0.74999999999999989</v>
      </c>
      <c r="AH76">
        <f t="shared" ref="AH76:AH139" si="32">Q76/(R76-S76)</f>
        <v>12</v>
      </c>
      <c r="AK76">
        <f t="shared" ref="AK76:AK139" si="33">B76/D76</f>
        <v>6.1791044776119399</v>
      </c>
      <c r="AL76">
        <f t="shared" ref="AL76:AL139" si="34">C76/D76</f>
        <v>1.5149253731343284</v>
      </c>
      <c r="AM76">
        <f t="shared" ref="AM76:AM139" si="35">D76/D76</f>
        <v>1</v>
      </c>
      <c r="AN76">
        <f t="shared" ref="AN76:AN139" si="36">(G76+L76)/(I76+N76)</f>
        <v>6.179104477611939</v>
      </c>
      <c r="AO76">
        <f t="shared" ref="AO76:AO139" si="37">(H76+M76)/(I76+N76)</f>
        <v>1.514925373134328</v>
      </c>
      <c r="AP76">
        <f t="shared" ref="AP76:AP139" si="38">(I76+N76)/(I76+N76)</f>
        <v>1</v>
      </c>
      <c r="AR76">
        <f t="shared" ref="AR76:AR139" si="39">(B76*1+C76*12+D76*12)/(E76*16+F76*8)</f>
        <v>4.4779411764705879</v>
      </c>
      <c r="AT76">
        <f t="shared" ref="AT76:AT139" si="40">(G76*1+H76*12+I76*12+L76*1+M76*12+N76*12)/(J76*16+K76*8+O76*16+P76*8)</f>
        <v>4.4779411764705879</v>
      </c>
      <c r="AV76">
        <f t="shared" ref="AV76:AV139" si="41">INT(C76*$H$5)</f>
        <v>710</v>
      </c>
      <c r="AW76">
        <f t="shared" ref="AW76:AW139" si="42">INT(C76*$H$3)</f>
        <v>1319</v>
      </c>
    </row>
    <row r="77" spans="1:49" x14ac:dyDescent="0.15">
      <c r="A77" s="5">
        <v>67</v>
      </c>
      <c r="B77" s="5">
        <f t="shared" si="27"/>
        <v>4200</v>
      </c>
      <c r="C77" s="5">
        <f t="shared" si="23"/>
        <v>1030</v>
      </c>
      <c r="D77" s="5">
        <f t="shared" si="23"/>
        <v>680</v>
      </c>
      <c r="E77" s="5">
        <f t="shared" si="23"/>
        <v>207</v>
      </c>
      <c r="F77" s="5">
        <f t="shared" si="23"/>
        <v>276</v>
      </c>
      <c r="G77" s="5">
        <f t="shared" si="24"/>
        <v>9240</v>
      </c>
      <c r="H77" s="5">
        <f t="shared" si="24"/>
        <v>2266</v>
      </c>
      <c r="I77" s="5">
        <f t="shared" si="24"/>
        <v>1496.0000000000002</v>
      </c>
      <c r="J77" s="5">
        <f t="shared" si="24"/>
        <v>455.40000000000003</v>
      </c>
      <c r="K77" s="5">
        <f t="shared" si="24"/>
        <v>607.20000000000005</v>
      </c>
      <c r="L77" s="5">
        <f t="shared" si="25"/>
        <v>4620</v>
      </c>
      <c r="M77" s="5">
        <f t="shared" si="25"/>
        <v>1133</v>
      </c>
      <c r="N77" s="5">
        <f t="shared" si="25"/>
        <v>748.00000000000011</v>
      </c>
      <c r="O77" s="5">
        <f t="shared" si="25"/>
        <v>227.70000000000002</v>
      </c>
      <c r="P77" s="5">
        <f t="shared" si="25"/>
        <v>303.60000000000002</v>
      </c>
      <c r="Q77" s="5">
        <f t="shared" si="26"/>
        <v>18060</v>
      </c>
      <c r="R77" s="5">
        <f t="shared" si="26"/>
        <v>4429</v>
      </c>
      <c r="S77" s="5">
        <f t="shared" si="26"/>
        <v>2924</v>
      </c>
      <c r="T77" s="5">
        <f t="shared" si="26"/>
        <v>890.10000000000014</v>
      </c>
      <c r="U77" s="5">
        <f t="shared" si="26"/>
        <v>1186.8000000000002</v>
      </c>
      <c r="V77" s="5">
        <f>B77*战斗力计算!$B$8+C77*战斗力计算!$B$9+D77*战斗力计算!$B$10+E77*战斗力计算!$B$11+F77*战斗力计算!$B$12</f>
        <v>30240</v>
      </c>
      <c r="W77" s="5">
        <f>G77*战斗力计算!$B$8+H77*战斗力计算!$B$9+I77*战斗力计算!$B$10+J77*战斗力计算!$B$11+K77*战斗力计算!$B$12+L77*战斗力计算!$B$8+M77*战斗力计算!$B$9+N77*战斗力计算!$B$10+O77*战斗力计算!$B$11+P77*战斗力计算!$B$12</f>
        <v>99792</v>
      </c>
      <c r="X77" s="5">
        <f t="shared" si="28"/>
        <v>130032</v>
      </c>
      <c r="AC77">
        <f t="shared" si="29"/>
        <v>2.2000000000000002</v>
      </c>
      <c r="AD77">
        <f t="shared" si="30"/>
        <v>1.1000000000000001</v>
      </c>
      <c r="AF77">
        <f t="shared" si="31"/>
        <v>0.75</v>
      </c>
      <c r="AH77">
        <f t="shared" si="32"/>
        <v>12</v>
      </c>
      <c r="AK77">
        <f t="shared" si="33"/>
        <v>6.1764705882352944</v>
      </c>
      <c r="AL77">
        <f t="shared" si="34"/>
        <v>1.5147058823529411</v>
      </c>
      <c r="AM77">
        <f t="shared" si="35"/>
        <v>1</v>
      </c>
      <c r="AN77">
        <f t="shared" si="36"/>
        <v>6.1764705882352926</v>
      </c>
      <c r="AO77">
        <f t="shared" si="37"/>
        <v>1.5147058823529409</v>
      </c>
      <c r="AP77">
        <f t="shared" si="38"/>
        <v>1</v>
      </c>
      <c r="AR77">
        <f t="shared" si="39"/>
        <v>4.4782608695652177</v>
      </c>
      <c r="AT77">
        <f t="shared" si="40"/>
        <v>4.4782608695652177</v>
      </c>
      <c r="AV77">
        <f t="shared" si="41"/>
        <v>721</v>
      </c>
      <c r="AW77">
        <f t="shared" si="42"/>
        <v>1339</v>
      </c>
    </row>
    <row r="78" spans="1:49" x14ac:dyDescent="0.15">
      <c r="A78" s="5">
        <v>68</v>
      </c>
      <c r="B78" s="5">
        <f t="shared" si="27"/>
        <v>4260</v>
      </c>
      <c r="C78" s="5">
        <f t="shared" si="23"/>
        <v>1045</v>
      </c>
      <c r="D78" s="5">
        <f t="shared" si="23"/>
        <v>690</v>
      </c>
      <c r="E78" s="5">
        <f t="shared" si="23"/>
        <v>210</v>
      </c>
      <c r="F78" s="5">
        <f t="shared" si="23"/>
        <v>280</v>
      </c>
      <c r="G78" s="5">
        <f t="shared" si="24"/>
        <v>9372</v>
      </c>
      <c r="H78" s="5">
        <f t="shared" si="24"/>
        <v>2299</v>
      </c>
      <c r="I78" s="5">
        <f t="shared" si="24"/>
        <v>1518.0000000000002</v>
      </c>
      <c r="J78" s="5">
        <f t="shared" si="24"/>
        <v>462.00000000000006</v>
      </c>
      <c r="K78" s="5">
        <f t="shared" si="24"/>
        <v>616</v>
      </c>
      <c r="L78" s="5">
        <f t="shared" si="25"/>
        <v>4686</v>
      </c>
      <c r="M78" s="5">
        <f t="shared" si="25"/>
        <v>1149.5</v>
      </c>
      <c r="N78" s="5">
        <f t="shared" si="25"/>
        <v>759.00000000000011</v>
      </c>
      <c r="O78" s="5">
        <f t="shared" si="25"/>
        <v>231.00000000000003</v>
      </c>
      <c r="P78" s="5">
        <f t="shared" si="25"/>
        <v>308</v>
      </c>
      <c r="Q78" s="5">
        <f t="shared" si="26"/>
        <v>18318</v>
      </c>
      <c r="R78" s="5">
        <f t="shared" si="26"/>
        <v>4493.5</v>
      </c>
      <c r="S78" s="5">
        <f t="shared" si="26"/>
        <v>2967</v>
      </c>
      <c r="T78" s="5">
        <f t="shared" si="26"/>
        <v>903</v>
      </c>
      <c r="U78" s="5">
        <f t="shared" si="26"/>
        <v>1204</v>
      </c>
      <c r="V78" s="5">
        <f>B78*战斗力计算!$B$8+C78*战斗力计算!$B$9+D78*战斗力计算!$B$10+E78*战斗力计算!$B$11+F78*战斗力计算!$B$12</f>
        <v>30680</v>
      </c>
      <c r="W78" s="5">
        <f>G78*战斗力计算!$B$8+H78*战斗力计算!$B$9+I78*战斗力计算!$B$10+J78*战斗力计算!$B$11+K78*战斗力计算!$B$12+L78*战斗力计算!$B$8+M78*战斗力计算!$B$9+N78*战斗力计算!$B$10+O78*战斗力计算!$B$11+P78*战斗力计算!$B$12</f>
        <v>101244</v>
      </c>
      <c r="X78" s="5">
        <f t="shared" si="28"/>
        <v>131924</v>
      </c>
      <c r="AC78">
        <f t="shared" si="29"/>
        <v>2.2000000000000002</v>
      </c>
      <c r="AD78">
        <f t="shared" si="30"/>
        <v>1.1000000000000001</v>
      </c>
      <c r="AF78">
        <f t="shared" si="31"/>
        <v>0.75</v>
      </c>
      <c r="AH78">
        <f t="shared" si="32"/>
        <v>12</v>
      </c>
      <c r="AK78">
        <f t="shared" si="33"/>
        <v>6.1739130434782608</v>
      </c>
      <c r="AL78">
        <f t="shared" si="34"/>
        <v>1.5144927536231885</v>
      </c>
      <c r="AM78">
        <f t="shared" si="35"/>
        <v>1</v>
      </c>
      <c r="AN78">
        <f t="shared" si="36"/>
        <v>6.1739130434782599</v>
      </c>
      <c r="AO78">
        <f t="shared" si="37"/>
        <v>1.514492753623188</v>
      </c>
      <c r="AP78">
        <f t="shared" si="38"/>
        <v>1</v>
      </c>
      <c r="AR78">
        <f t="shared" si="39"/>
        <v>4.4785714285714286</v>
      </c>
      <c r="AT78">
        <f t="shared" si="40"/>
        <v>4.4785714285714286</v>
      </c>
      <c r="AV78">
        <f t="shared" si="41"/>
        <v>731</v>
      </c>
      <c r="AW78">
        <f t="shared" si="42"/>
        <v>1358</v>
      </c>
    </row>
    <row r="79" spans="1:49" x14ac:dyDescent="0.15">
      <c r="A79" s="5">
        <v>69</v>
      </c>
      <c r="B79" s="5">
        <f t="shared" si="27"/>
        <v>4320</v>
      </c>
      <c r="C79" s="5">
        <f t="shared" si="23"/>
        <v>1060</v>
      </c>
      <c r="D79" s="5">
        <f t="shared" si="23"/>
        <v>700</v>
      </c>
      <c r="E79" s="5">
        <f t="shared" si="23"/>
        <v>213</v>
      </c>
      <c r="F79" s="5">
        <f t="shared" si="23"/>
        <v>284</v>
      </c>
      <c r="G79" s="5">
        <f t="shared" si="24"/>
        <v>9504</v>
      </c>
      <c r="H79" s="5">
        <f t="shared" si="24"/>
        <v>2332</v>
      </c>
      <c r="I79" s="5">
        <f t="shared" si="24"/>
        <v>1540.0000000000002</v>
      </c>
      <c r="J79" s="5">
        <f t="shared" si="24"/>
        <v>468.6</v>
      </c>
      <c r="K79" s="5">
        <f t="shared" si="24"/>
        <v>624.80000000000007</v>
      </c>
      <c r="L79" s="5">
        <f t="shared" si="25"/>
        <v>4752</v>
      </c>
      <c r="M79" s="5">
        <f t="shared" si="25"/>
        <v>1166</v>
      </c>
      <c r="N79" s="5">
        <f t="shared" si="25"/>
        <v>770.00000000000011</v>
      </c>
      <c r="O79" s="5">
        <f t="shared" si="25"/>
        <v>234.3</v>
      </c>
      <c r="P79" s="5">
        <f t="shared" si="25"/>
        <v>312.40000000000003</v>
      </c>
      <c r="Q79" s="5">
        <f t="shared" si="26"/>
        <v>18576</v>
      </c>
      <c r="R79" s="5">
        <f t="shared" si="26"/>
        <v>4558</v>
      </c>
      <c r="S79" s="5">
        <f t="shared" si="26"/>
        <v>3010</v>
      </c>
      <c r="T79" s="5">
        <f t="shared" si="26"/>
        <v>915.90000000000009</v>
      </c>
      <c r="U79" s="5">
        <f t="shared" si="26"/>
        <v>1221.2</v>
      </c>
      <c r="V79" s="5">
        <f>B79*战斗力计算!$B$8+C79*战斗力计算!$B$9+D79*战斗力计算!$B$10+E79*战斗力计算!$B$11+F79*战斗力计算!$B$12</f>
        <v>31120</v>
      </c>
      <c r="W79" s="5">
        <f>G79*战斗力计算!$B$8+H79*战斗力计算!$B$9+I79*战斗力计算!$B$10+J79*战斗力计算!$B$11+K79*战斗力计算!$B$12+L79*战斗力计算!$B$8+M79*战斗力计算!$B$9+N79*战斗力计算!$B$10+O79*战斗力计算!$B$11+P79*战斗力计算!$B$12</f>
        <v>102696</v>
      </c>
      <c r="X79" s="5">
        <f t="shared" si="28"/>
        <v>133816</v>
      </c>
      <c r="AC79">
        <f t="shared" si="29"/>
        <v>2.2000000000000002</v>
      </c>
      <c r="AD79">
        <f t="shared" si="30"/>
        <v>1.1000000000000001</v>
      </c>
      <c r="AF79">
        <f t="shared" si="31"/>
        <v>0.75</v>
      </c>
      <c r="AH79">
        <f t="shared" si="32"/>
        <v>12</v>
      </c>
      <c r="AK79">
        <f t="shared" si="33"/>
        <v>6.1714285714285717</v>
      </c>
      <c r="AL79">
        <f t="shared" si="34"/>
        <v>1.5142857142857142</v>
      </c>
      <c r="AM79">
        <f t="shared" si="35"/>
        <v>1</v>
      </c>
      <c r="AN79">
        <f t="shared" si="36"/>
        <v>6.1714285714285699</v>
      </c>
      <c r="AO79">
        <f t="shared" si="37"/>
        <v>1.514285714285714</v>
      </c>
      <c r="AP79">
        <f t="shared" si="38"/>
        <v>1</v>
      </c>
      <c r="AR79">
        <f t="shared" si="39"/>
        <v>4.47887323943662</v>
      </c>
      <c r="AT79">
        <f t="shared" si="40"/>
        <v>4.47887323943662</v>
      </c>
      <c r="AV79">
        <f t="shared" si="41"/>
        <v>742</v>
      </c>
      <c r="AW79">
        <f t="shared" si="42"/>
        <v>1378</v>
      </c>
    </row>
    <row r="80" spans="1:49" x14ac:dyDescent="0.15">
      <c r="A80" s="5">
        <v>70</v>
      </c>
      <c r="B80" s="5">
        <f t="shared" si="27"/>
        <v>4380</v>
      </c>
      <c r="C80" s="5">
        <f t="shared" si="23"/>
        <v>1075</v>
      </c>
      <c r="D80" s="5">
        <f t="shared" si="23"/>
        <v>710</v>
      </c>
      <c r="E80" s="5">
        <f t="shared" si="23"/>
        <v>216</v>
      </c>
      <c r="F80" s="5">
        <f t="shared" si="23"/>
        <v>288</v>
      </c>
      <c r="G80" s="5">
        <f t="shared" si="24"/>
        <v>9636</v>
      </c>
      <c r="H80" s="5">
        <f t="shared" si="24"/>
        <v>2365</v>
      </c>
      <c r="I80" s="5">
        <f t="shared" si="24"/>
        <v>1562.0000000000002</v>
      </c>
      <c r="J80" s="5">
        <f t="shared" si="24"/>
        <v>475.20000000000005</v>
      </c>
      <c r="K80" s="5">
        <f t="shared" si="24"/>
        <v>633.6</v>
      </c>
      <c r="L80" s="5">
        <f t="shared" si="25"/>
        <v>4818</v>
      </c>
      <c r="M80" s="5">
        <f t="shared" si="25"/>
        <v>1182.5</v>
      </c>
      <c r="N80" s="5">
        <f t="shared" si="25"/>
        <v>781.00000000000011</v>
      </c>
      <c r="O80" s="5">
        <f t="shared" si="25"/>
        <v>237.60000000000002</v>
      </c>
      <c r="P80" s="5">
        <f t="shared" si="25"/>
        <v>316.8</v>
      </c>
      <c r="Q80" s="5">
        <f t="shared" si="26"/>
        <v>18834</v>
      </c>
      <c r="R80" s="5">
        <f t="shared" si="26"/>
        <v>4622.5</v>
      </c>
      <c r="S80" s="5">
        <f t="shared" si="26"/>
        <v>3053</v>
      </c>
      <c r="T80" s="5">
        <f t="shared" si="26"/>
        <v>928.80000000000007</v>
      </c>
      <c r="U80" s="5">
        <f t="shared" si="26"/>
        <v>1238.4000000000001</v>
      </c>
      <c r="V80" s="5">
        <f>B80*战斗力计算!$B$8+C80*战斗力计算!$B$9+D80*战斗力计算!$B$10+E80*战斗力计算!$B$11+F80*战斗力计算!$B$12</f>
        <v>31560</v>
      </c>
      <c r="W80" s="5">
        <f>G80*战斗力计算!$B$8+H80*战斗力计算!$B$9+I80*战斗力计算!$B$10+J80*战斗力计算!$B$11+K80*战斗力计算!$B$12+L80*战斗力计算!$B$8+M80*战斗力计算!$B$9+N80*战斗力计算!$B$10+O80*战斗力计算!$B$11+P80*战斗力计算!$B$12</f>
        <v>104148</v>
      </c>
      <c r="X80" s="5">
        <f t="shared" si="28"/>
        <v>135708</v>
      </c>
      <c r="AC80">
        <f t="shared" si="29"/>
        <v>2.2000000000000002</v>
      </c>
      <c r="AD80">
        <f t="shared" si="30"/>
        <v>1.1000000000000001</v>
      </c>
      <c r="AF80">
        <f t="shared" si="31"/>
        <v>0.75</v>
      </c>
      <c r="AH80">
        <f t="shared" si="32"/>
        <v>12</v>
      </c>
      <c r="AK80">
        <f t="shared" si="33"/>
        <v>6.169014084507042</v>
      </c>
      <c r="AL80">
        <f t="shared" si="34"/>
        <v>1.5140845070422535</v>
      </c>
      <c r="AM80">
        <f t="shared" si="35"/>
        <v>1</v>
      </c>
      <c r="AN80">
        <f t="shared" si="36"/>
        <v>6.1690140845070411</v>
      </c>
      <c r="AO80">
        <f t="shared" si="37"/>
        <v>1.5140845070422533</v>
      </c>
      <c r="AP80">
        <f t="shared" si="38"/>
        <v>1</v>
      </c>
      <c r="AR80">
        <f t="shared" si="39"/>
        <v>4.479166666666667</v>
      </c>
      <c r="AT80">
        <f t="shared" si="40"/>
        <v>4.479166666666667</v>
      </c>
      <c r="AV80">
        <f t="shared" si="41"/>
        <v>752</v>
      </c>
      <c r="AW80">
        <f t="shared" si="42"/>
        <v>1397</v>
      </c>
    </row>
    <row r="81" spans="1:49" x14ac:dyDescent="0.15">
      <c r="A81" s="5">
        <v>71</v>
      </c>
      <c r="B81" s="5">
        <f t="shared" si="27"/>
        <v>4440</v>
      </c>
      <c r="C81" s="5">
        <f t="shared" si="23"/>
        <v>1090</v>
      </c>
      <c r="D81" s="5">
        <f t="shared" si="23"/>
        <v>720</v>
      </c>
      <c r="E81" s="5">
        <f t="shared" si="23"/>
        <v>219</v>
      </c>
      <c r="F81" s="5">
        <f t="shared" si="23"/>
        <v>292</v>
      </c>
      <c r="G81" s="5">
        <f t="shared" si="24"/>
        <v>9768</v>
      </c>
      <c r="H81" s="5">
        <f t="shared" si="24"/>
        <v>2398</v>
      </c>
      <c r="I81" s="5">
        <f t="shared" si="24"/>
        <v>1584.0000000000002</v>
      </c>
      <c r="J81" s="5">
        <f t="shared" si="24"/>
        <v>481.8</v>
      </c>
      <c r="K81" s="5">
        <f t="shared" si="24"/>
        <v>642.40000000000009</v>
      </c>
      <c r="L81" s="5">
        <f t="shared" si="25"/>
        <v>4884</v>
      </c>
      <c r="M81" s="5">
        <f t="shared" si="25"/>
        <v>1199</v>
      </c>
      <c r="N81" s="5">
        <f t="shared" si="25"/>
        <v>792.00000000000011</v>
      </c>
      <c r="O81" s="5">
        <f t="shared" si="25"/>
        <v>240.9</v>
      </c>
      <c r="P81" s="5">
        <f t="shared" si="25"/>
        <v>321.20000000000005</v>
      </c>
      <c r="Q81" s="5">
        <f t="shared" si="26"/>
        <v>19092</v>
      </c>
      <c r="R81" s="5">
        <f t="shared" si="26"/>
        <v>4687</v>
      </c>
      <c r="S81" s="5">
        <f t="shared" si="26"/>
        <v>3096</v>
      </c>
      <c r="T81" s="5">
        <f t="shared" si="26"/>
        <v>941.69999999999993</v>
      </c>
      <c r="U81" s="5">
        <f t="shared" si="26"/>
        <v>1255.6000000000001</v>
      </c>
      <c r="V81" s="5">
        <f>B81*战斗力计算!$B$8+C81*战斗力计算!$B$9+D81*战斗力计算!$B$10+E81*战斗力计算!$B$11+F81*战斗力计算!$B$12</f>
        <v>32000</v>
      </c>
      <c r="W81" s="5">
        <f>G81*战斗力计算!$B$8+H81*战斗力计算!$B$9+I81*战斗力计算!$B$10+J81*战斗力计算!$B$11+K81*战斗力计算!$B$12+L81*战斗力计算!$B$8+M81*战斗力计算!$B$9+N81*战斗力计算!$B$10+O81*战斗力计算!$B$11+P81*战斗力计算!$B$12</f>
        <v>105600</v>
      </c>
      <c r="X81" s="5">
        <f t="shared" si="28"/>
        <v>137600</v>
      </c>
      <c r="AC81">
        <f t="shared" si="29"/>
        <v>2.2000000000000002</v>
      </c>
      <c r="AD81">
        <f t="shared" si="30"/>
        <v>1.1000000000000001</v>
      </c>
      <c r="AF81">
        <f t="shared" si="31"/>
        <v>0.74999999999999989</v>
      </c>
      <c r="AH81">
        <f t="shared" si="32"/>
        <v>12</v>
      </c>
      <c r="AK81">
        <f t="shared" si="33"/>
        <v>6.166666666666667</v>
      </c>
      <c r="AL81">
        <f t="shared" si="34"/>
        <v>1.5138888888888888</v>
      </c>
      <c r="AM81">
        <f t="shared" si="35"/>
        <v>1</v>
      </c>
      <c r="AN81">
        <f t="shared" si="36"/>
        <v>6.1666666666666652</v>
      </c>
      <c r="AO81">
        <f t="shared" si="37"/>
        <v>1.5138888888888886</v>
      </c>
      <c r="AP81">
        <f t="shared" si="38"/>
        <v>1</v>
      </c>
      <c r="AR81">
        <f t="shared" si="39"/>
        <v>4.4794520547945202</v>
      </c>
      <c r="AT81">
        <f t="shared" si="40"/>
        <v>4.4794520547945202</v>
      </c>
      <c r="AV81">
        <f t="shared" si="41"/>
        <v>763</v>
      </c>
      <c r="AW81">
        <f t="shared" si="42"/>
        <v>1417</v>
      </c>
    </row>
    <row r="82" spans="1:49" x14ac:dyDescent="0.15">
      <c r="A82" s="5">
        <v>72</v>
      </c>
      <c r="B82" s="5">
        <f t="shared" si="27"/>
        <v>4500</v>
      </c>
      <c r="C82" s="5">
        <f t="shared" si="23"/>
        <v>1105</v>
      </c>
      <c r="D82" s="5">
        <f t="shared" si="23"/>
        <v>730</v>
      </c>
      <c r="E82" s="5">
        <f t="shared" si="23"/>
        <v>222</v>
      </c>
      <c r="F82" s="5">
        <f t="shared" si="23"/>
        <v>296</v>
      </c>
      <c r="G82" s="5">
        <f t="shared" si="24"/>
        <v>9900</v>
      </c>
      <c r="H82" s="5">
        <f t="shared" si="24"/>
        <v>2431</v>
      </c>
      <c r="I82" s="5">
        <f t="shared" si="24"/>
        <v>1606.0000000000002</v>
      </c>
      <c r="J82" s="5">
        <f t="shared" si="24"/>
        <v>488.40000000000003</v>
      </c>
      <c r="K82" s="5">
        <f t="shared" si="24"/>
        <v>651.20000000000005</v>
      </c>
      <c r="L82" s="5">
        <f t="shared" si="25"/>
        <v>4950</v>
      </c>
      <c r="M82" s="5">
        <f t="shared" si="25"/>
        <v>1215.5</v>
      </c>
      <c r="N82" s="5">
        <f t="shared" si="25"/>
        <v>803.00000000000011</v>
      </c>
      <c r="O82" s="5">
        <f t="shared" si="25"/>
        <v>244.20000000000002</v>
      </c>
      <c r="P82" s="5">
        <f t="shared" si="25"/>
        <v>325.60000000000002</v>
      </c>
      <c r="Q82" s="5">
        <f t="shared" si="26"/>
        <v>19350</v>
      </c>
      <c r="R82" s="5">
        <f t="shared" si="26"/>
        <v>4751.5</v>
      </c>
      <c r="S82" s="5">
        <f t="shared" si="26"/>
        <v>3139</v>
      </c>
      <c r="T82" s="5">
        <f t="shared" si="26"/>
        <v>954.60000000000014</v>
      </c>
      <c r="U82" s="5">
        <f t="shared" si="26"/>
        <v>1272.8000000000002</v>
      </c>
      <c r="V82" s="5">
        <f>B82*战斗力计算!$B$8+C82*战斗力计算!$B$9+D82*战斗力计算!$B$10+E82*战斗力计算!$B$11+F82*战斗力计算!$B$12</f>
        <v>32440</v>
      </c>
      <c r="W82" s="5">
        <f>G82*战斗力计算!$B$8+H82*战斗力计算!$B$9+I82*战斗力计算!$B$10+J82*战斗力计算!$B$11+K82*战斗力计算!$B$12+L82*战斗力计算!$B$8+M82*战斗力计算!$B$9+N82*战斗力计算!$B$10+O82*战斗力计算!$B$11+P82*战斗力计算!$B$12</f>
        <v>107052</v>
      </c>
      <c r="X82" s="5">
        <f t="shared" si="28"/>
        <v>139492</v>
      </c>
      <c r="AC82">
        <f t="shared" si="29"/>
        <v>2.2000000000000002</v>
      </c>
      <c r="AD82">
        <f t="shared" si="30"/>
        <v>1.1000000000000001</v>
      </c>
      <c r="AF82">
        <f t="shared" si="31"/>
        <v>0.75</v>
      </c>
      <c r="AH82">
        <f t="shared" si="32"/>
        <v>12</v>
      </c>
      <c r="AK82">
        <f t="shared" si="33"/>
        <v>6.1643835616438354</v>
      </c>
      <c r="AL82">
        <f t="shared" si="34"/>
        <v>1.5136986301369864</v>
      </c>
      <c r="AM82">
        <f t="shared" si="35"/>
        <v>1</v>
      </c>
      <c r="AN82">
        <f t="shared" si="36"/>
        <v>6.1643835616438345</v>
      </c>
      <c r="AO82">
        <f t="shared" si="37"/>
        <v>1.5136986301369859</v>
      </c>
      <c r="AP82">
        <f t="shared" si="38"/>
        <v>1</v>
      </c>
      <c r="AR82">
        <f t="shared" si="39"/>
        <v>4.4797297297297298</v>
      </c>
      <c r="AT82">
        <f t="shared" si="40"/>
        <v>4.4797297297297298</v>
      </c>
      <c r="AV82">
        <f t="shared" si="41"/>
        <v>773</v>
      </c>
      <c r="AW82">
        <f t="shared" si="42"/>
        <v>1436</v>
      </c>
    </row>
    <row r="83" spans="1:49" x14ac:dyDescent="0.15">
      <c r="A83" s="5">
        <v>73</v>
      </c>
      <c r="B83" s="5">
        <f t="shared" si="27"/>
        <v>4560</v>
      </c>
      <c r="C83" s="5">
        <f t="shared" si="23"/>
        <v>1120</v>
      </c>
      <c r="D83" s="5">
        <f t="shared" si="23"/>
        <v>740</v>
      </c>
      <c r="E83" s="5">
        <f t="shared" si="23"/>
        <v>225</v>
      </c>
      <c r="F83" s="5">
        <f t="shared" si="23"/>
        <v>300</v>
      </c>
      <c r="G83" s="5">
        <f t="shared" si="24"/>
        <v>10032</v>
      </c>
      <c r="H83" s="5">
        <f t="shared" si="24"/>
        <v>2464</v>
      </c>
      <c r="I83" s="5">
        <f t="shared" si="24"/>
        <v>1628.0000000000002</v>
      </c>
      <c r="J83" s="5">
        <f t="shared" si="24"/>
        <v>495.00000000000006</v>
      </c>
      <c r="K83" s="5">
        <f t="shared" si="24"/>
        <v>660</v>
      </c>
      <c r="L83" s="5">
        <f t="shared" si="25"/>
        <v>5016</v>
      </c>
      <c r="M83" s="5">
        <f t="shared" si="25"/>
        <v>1232</v>
      </c>
      <c r="N83" s="5">
        <f t="shared" si="25"/>
        <v>814.00000000000011</v>
      </c>
      <c r="O83" s="5">
        <f t="shared" si="25"/>
        <v>247.50000000000003</v>
      </c>
      <c r="P83" s="5">
        <f t="shared" si="25"/>
        <v>330</v>
      </c>
      <c r="Q83" s="5">
        <f t="shared" si="26"/>
        <v>19608</v>
      </c>
      <c r="R83" s="5">
        <f t="shared" si="26"/>
        <v>4816</v>
      </c>
      <c r="S83" s="5">
        <f t="shared" si="26"/>
        <v>3182</v>
      </c>
      <c r="T83" s="5">
        <f t="shared" si="26"/>
        <v>967.5</v>
      </c>
      <c r="U83" s="5">
        <f t="shared" si="26"/>
        <v>1290</v>
      </c>
      <c r="V83" s="5">
        <f>B83*战斗力计算!$B$8+C83*战斗力计算!$B$9+D83*战斗力计算!$B$10+E83*战斗力计算!$B$11+F83*战斗力计算!$B$12</f>
        <v>32880</v>
      </c>
      <c r="W83" s="5">
        <f>G83*战斗力计算!$B$8+H83*战斗力计算!$B$9+I83*战斗力计算!$B$10+J83*战斗力计算!$B$11+K83*战斗力计算!$B$12+L83*战斗力计算!$B$8+M83*战斗力计算!$B$9+N83*战斗力计算!$B$10+O83*战斗力计算!$B$11+P83*战斗力计算!$B$12</f>
        <v>108504</v>
      </c>
      <c r="X83" s="5">
        <f t="shared" si="28"/>
        <v>141384</v>
      </c>
      <c r="AC83">
        <f t="shared" si="29"/>
        <v>2.2000000000000002</v>
      </c>
      <c r="AD83">
        <f t="shared" si="30"/>
        <v>1.1000000000000001</v>
      </c>
      <c r="AF83">
        <f t="shared" si="31"/>
        <v>0.75</v>
      </c>
      <c r="AH83">
        <f t="shared" si="32"/>
        <v>12</v>
      </c>
      <c r="AK83">
        <f t="shared" si="33"/>
        <v>6.1621621621621623</v>
      </c>
      <c r="AL83">
        <f t="shared" si="34"/>
        <v>1.5135135135135136</v>
      </c>
      <c r="AM83">
        <f t="shared" si="35"/>
        <v>1</v>
      </c>
      <c r="AN83">
        <f t="shared" si="36"/>
        <v>6.1621621621621614</v>
      </c>
      <c r="AO83">
        <f t="shared" si="37"/>
        <v>1.5135135135135132</v>
      </c>
      <c r="AP83">
        <f t="shared" si="38"/>
        <v>1</v>
      </c>
      <c r="AR83">
        <f t="shared" si="39"/>
        <v>4.4800000000000004</v>
      </c>
      <c r="AT83">
        <f t="shared" si="40"/>
        <v>4.4800000000000004</v>
      </c>
      <c r="AV83">
        <f t="shared" si="41"/>
        <v>784</v>
      </c>
      <c r="AW83">
        <f t="shared" si="42"/>
        <v>1456</v>
      </c>
    </row>
    <row r="84" spans="1:49" x14ac:dyDescent="0.15">
      <c r="A84" s="5">
        <v>74</v>
      </c>
      <c r="B84" s="5">
        <f t="shared" si="27"/>
        <v>4620</v>
      </c>
      <c r="C84" s="5">
        <f t="shared" si="23"/>
        <v>1135</v>
      </c>
      <c r="D84" s="5">
        <f t="shared" si="23"/>
        <v>750</v>
      </c>
      <c r="E84" s="5">
        <f t="shared" si="23"/>
        <v>228</v>
      </c>
      <c r="F84" s="5">
        <f t="shared" si="23"/>
        <v>304</v>
      </c>
      <c r="G84" s="5">
        <f t="shared" si="24"/>
        <v>10164</v>
      </c>
      <c r="H84" s="5">
        <f t="shared" si="24"/>
        <v>2497</v>
      </c>
      <c r="I84" s="5">
        <f t="shared" si="24"/>
        <v>1650.0000000000002</v>
      </c>
      <c r="J84" s="5">
        <f t="shared" si="24"/>
        <v>501.6</v>
      </c>
      <c r="K84" s="5">
        <f t="shared" si="24"/>
        <v>668.80000000000007</v>
      </c>
      <c r="L84" s="5">
        <f t="shared" si="25"/>
        <v>5082</v>
      </c>
      <c r="M84" s="5">
        <f t="shared" si="25"/>
        <v>1248.5</v>
      </c>
      <c r="N84" s="5">
        <f t="shared" si="25"/>
        <v>825.00000000000011</v>
      </c>
      <c r="O84" s="5">
        <f t="shared" si="25"/>
        <v>250.8</v>
      </c>
      <c r="P84" s="5">
        <f t="shared" si="25"/>
        <v>334.40000000000003</v>
      </c>
      <c r="Q84" s="5">
        <f t="shared" si="26"/>
        <v>19866</v>
      </c>
      <c r="R84" s="5">
        <f t="shared" si="26"/>
        <v>4880.5</v>
      </c>
      <c r="S84" s="5">
        <f t="shared" si="26"/>
        <v>3225</v>
      </c>
      <c r="T84" s="5">
        <f t="shared" si="26"/>
        <v>980.40000000000009</v>
      </c>
      <c r="U84" s="5">
        <f t="shared" si="26"/>
        <v>1307.2</v>
      </c>
      <c r="V84" s="5">
        <f>B84*战斗力计算!$B$8+C84*战斗力计算!$B$9+D84*战斗力计算!$B$10+E84*战斗力计算!$B$11+F84*战斗力计算!$B$12</f>
        <v>33320</v>
      </c>
      <c r="W84" s="5">
        <f>G84*战斗力计算!$B$8+H84*战斗力计算!$B$9+I84*战斗力计算!$B$10+J84*战斗力计算!$B$11+K84*战斗力计算!$B$12+L84*战斗力计算!$B$8+M84*战斗力计算!$B$9+N84*战斗力计算!$B$10+O84*战斗力计算!$B$11+P84*战斗力计算!$B$12</f>
        <v>109956</v>
      </c>
      <c r="X84" s="5">
        <f t="shared" si="28"/>
        <v>143276</v>
      </c>
      <c r="AC84">
        <f t="shared" si="29"/>
        <v>2.2000000000000002</v>
      </c>
      <c r="AD84">
        <f t="shared" si="30"/>
        <v>1.1000000000000001</v>
      </c>
      <c r="AF84">
        <f t="shared" si="31"/>
        <v>0.75</v>
      </c>
      <c r="AH84">
        <f t="shared" si="32"/>
        <v>12</v>
      </c>
      <c r="AK84">
        <f t="shared" si="33"/>
        <v>6.16</v>
      </c>
      <c r="AL84">
        <f t="shared" si="34"/>
        <v>1.5133333333333334</v>
      </c>
      <c r="AM84">
        <f t="shared" si="35"/>
        <v>1</v>
      </c>
      <c r="AN84">
        <f t="shared" si="36"/>
        <v>6.1599999999999993</v>
      </c>
      <c r="AO84">
        <f t="shared" si="37"/>
        <v>1.513333333333333</v>
      </c>
      <c r="AP84">
        <f t="shared" si="38"/>
        <v>1</v>
      </c>
      <c r="AR84">
        <f t="shared" si="39"/>
        <v>4.4802631578947372</v>
      </c>
      <c r="AT84">
        <f t="shared" si="40"/>
        <v>4.4802631578947372</v>
      </c>
      <c r="AV84">
        <f t="shared" si="41"/>
        <v>794</v>
      </c>
      <c r="AW84">
        <f t="shared" si="42"/>
        <v>1475</v>
      </c>
    </row>
    <row r="85" spans="1:49" x14ac:dyDescent="0.15">
      <c r="A85" s="5">
        <v>75</v>
      </c>
      <c r="B85" s="5">
        <f t="shared" si="27"/>
        <v>4680</v>
      </c>
      <c r="C85" s="5">
        <f t="shared" si="23"/>
        <v>1150</v>
      </c>
      <c r="D85" s="5">
        <f t="shared" si="23"/>
        <v>760</v>
      </c>
      <c r="E85" s="5">
        <f t="shared" si="23"/>
        <v>231</v>
      </c>
      <c r="F85" s="5">
        <f t="shared" si="23"/>
        <v>308</v>
      </c>
      <c r="G85" s="5">
        <f t="shared" si="24"/>
        <v>11232</v>
      </c>
      <c r="H85" s="5">
        <f t="shared" si="24"/>
        <v>2760</v>
      </c>
      <c r="I85" s="5">
        <f t="shared" si="24"/>
        <v>1824</v>
      </c>
      <c r="J85" s="5">
        <f t="shared" si="24"/>
        <v>554.4</v>
      </c>
      <c r="K85" s="5">
        <f t="shared" si="24"/>
        <v>739.19999999999993</v>
      </c>
      <c r="L85" s="5">
        <f t="shared" si="25"/>
        <v>5616</v>
      </c>
      <c r="M85" s="5">
        <f t="shared" si="25"/>
        <v>1380</v>
      </c>
      <c r="N85" s="5">
        <f t="shared" si="25"/>
        <v>912</v>
      </c>
      <c r="O85" s="5">
        <f t="shared" si="25"/>
        <v>277.2</v>
      </c>
      <c r="P85" s="5">
        <f t="shared" si="25"/>
        <v>369.59999999999997</v>
      </c>
      <c r="Q85" s="5">
        <f t="shared" si="26"/>
        <v>21528</v>
      </c>
      <c r="R85" s="5">
        <f t="shared" si="26"/>
        <v>5290</v>
      </c>
      <c r="S85" s="5">
        <f t="shared" si="26"/>
        <v>3496</v>
      </c>
      <c r="T85" s="5">
        <f t="shared" si="26"/>
        <v>1062.5999999999999</v>
      </c>
      <c r="U85" s="5">
        <f t="shared" si="26"/>
        <v>1416.7999999999997</v>
      </c>
      <c r="V85" s="5">
        <f>B85*战斗力计算!$B$8+C85*战斗力计算!$B$9+D85*战斗力计算!$B$10+E85*战斗力计算!$B$11+F85*战斗力计算!$B$12</f>
        <v>33760</v>
      </c>
      <c r="W85" s="5">
        <f>G85*战斗力计算!$B$8+H85*战斗力计算!$B$9+I85*战斗力计算!$B$10+J85*战斗力计算!$B$11+K85*战斗力计算!$B$12+L85*战斗力计算!$B$8+M85*战斗力计算!$B$9+N85*战斗力计算!$B$10+O85*战斗力计算!$B$11+P85*战斗力计算!$B$12</f>
        <v>121536</v>
      </c>
      <c r="X85" s="5">
        <f t="shared" si="28"/>
        <v>155296</v>
      </c>
      <c r="AC85">
        <f t="shared" si="29"/>
        <v>2.4</v>
      </c>
      <c r="AD85">
        <f t="shared" si="30"/>
        <v>1.2</v>
      </c>
      <c r="AF85">
        <f t="shared" si="31"/>
        <v>0.75000000000000011</v>
      </c>
      <c r="AH85">
        <f t="shared" si="32"/>
        <v>12</v>
      </c>
      <c r="AK85">
        <f t="shared" si="33"/>
        <v>6.1578947368421053</v>
      </c>
      <c r="AL85">
        <f t="shared" si="34"/>
        <v>1.513157894736842</v>
      </c>
      <c r="AM85">
        <f t="shared" si="35"/>
        <v>1</v>
      </c>
      <c r="AN85">
        <f t="shared" si="36"/>
        <v>6.1578947368421053</v>
      </c>
      <c r="AO85">
        <f t="shared" si="37"/>
        <v>1.513157894736842</v>
      </c>
      <c r="AP85">
        <f t="shared" si="38"/>
        <v>1</v>
      </c>
      <c r="AR85">
        <f t="shared" si="39"/>
        <v>4.4805194805194803</v>
      </c>
      <c r="AT85">
        <f t="shared" si="40"/>
        <v>4.4805194805194803</v>
      </c>
      <c r="AV85">
        <f t="shared" si="41"/>
        <v>805</v>
      </c>
      <c r="AW85">
        <f t="shared" si="42"/>
        <v>1495</v>
      </c>
    </row>
    <row r="86" spans="1:49" x14ac:dyDescent="0.15">
      <c r="A86" s="5">
        <v>76</v>
      </c>
      <c r="B86" s="5">
        <f t="shared" si="27"/>
        <v>4740</v>
      </c>
      <c r="C86" s="5">
        <f t="shared" si="23"/>
        <v>1165</v>
      </c>
      <c r="D86" s="5">
        <f t="shared" si="23"/>
        <v>770</v>
      </c>
      <c r="E86" s="5">
        <f t="shared" si="23"/>
        <v>234</v>
      </c>
      <c r="F86" s="5">
        <f t="shared" si="23"/>
        <v>312</v>
      </c>
      <c r="G86" s="5">
        <f t="shared" si="24"/>
        <v>11376</v>
      </c>
      <c r="H86" s="5">
        <f t="shared" si="24"/>
        <v>2796</v>
      </c>
      <c r="I86" s="5">
        <f t="shared" si="24"/>
        <v>1848</v>
      </c>
      <c r="J86" s="5">
        <f t="shared" si="24"/>
        <v>561.6</v>
      </c>
      <c r="K86" s="5">
        <f t="shared" si="24"/>
        <v>748.8</v>
      </c>
      <c r="L86" s="5">
        <f t="shared" si="25"/>
        <v>5688</v>
      </c>
      <c r="M86" s="5">
        <f t="shared" si="25"/>
        <v>1398</v>
      </c>
      <c r="N86" s="5">
        <f t="shared" si="25"/>
        <v>924</v>
      </c>
      <c r="O86" s="5">
        <f t="shared" si="25"/>
        <v>280.8</v>
      </c>
      <c r="P86" s="5">
        <f t="shared" si="25"/>
        <v>374.4</v>
      </c>
      <c r="Q86" s="5">
        <f t="shared" si="26"/>
        <v>21804</v>
      </c>
      <c r="R86" s="5">
        <f t="shared" si="26"/>
        <v>5359</v>
      </c>
      <c r="S86" s="5">
        <f t="shared" si="26"/>
        <v>3542</v>
      </c>
      <c r="T86" s="5">
        <f t="shared" si="26"/>
        <v>1076.4000000000001</v>
      </c>
      <c r="U86" s="5">
        <f t="shared" si="26"/>
        <v>1435.1999999999998</v>
      </c>
      <c r="V86" s="5">
        <f>B86*战斗力计算!$B$8+C86*战斗力计算!$B$9+D86*战斗力计算!$B$10+E86*战斗力计算!$B$11+F86*战斗力计算!$B$12</f>
        <v>34200</v>
      </c>
      <c r="W86" s="5">
        <f>G86*战斗力计算!$B$8+H86*战斗力计算!$B$9+I86*战斗力计算!$B$10+J86*战斗力计算!$B$11+K86*战斗力计算!$B$12+L86*战斗力计算!$B$8+M86*战斗力计算!$B$9+N86*战斗力计算!$B$10+O86*战斗力计算!$B$11+P86*战斗力计算!$B$12</f>
        <v>123120</v>
      </c>
      <c r="X86" s="5">
        <f t="shared" si="28"/>
        <v>157320</v>
      </c>
      <c r="AC86">
        <f t="shared" si="29"/>
        <v>2.4</v>
      </c>
      <c r="AD86">
        <f t="shared" si="30"/>
        <v>1.2</v>
      </c>
      <c r="AF86">
        <f t="shared" si="31"/>
        <v>0.75000000000000011</v>
      </c>
      <c r="AH86">
        <f t="shared" si="32"/>
        <v>12</v>
      </c>
      <c r="AK86">
        <f t="shared" si="33"/>
        <v>6.1558441558441555</v>
      </c>
      <c r="AL86">
        <f t="shared" si="34"/>
        <v>1.5129870129870129</v>
      </c>
      <c r="AM86">
        <f t="shared" si="35"/>
        <v>1</v>
      </c>
      <c r="AN86">
        <f t="shared" si="36"/>
        <v>6.1558441558441555</v>
      </c>
      <c r="AO86">
        <f t="shared" si="37"/>
        <v>1.5129870129870129</v>
      </c>
      <c r="AP86">
        <f t="shared" si="38"/>
        <v>1</v>
      </c>
      <c r="AR86">
        <f t="shared" si="39"/>
        <v>4.4807692307692308</v>
      </c>
      <c r="AT86">
        <f t="shared" si="40"/>
        <v>4.4807692307692308</v>
      </c>
      <c r="AV86">
        <f t="shared" si="41"/>
        <v>815</v>
      </c>
      <c r="AW86">
        <f t="shared" si="42"/>
        <v>1514</v>
      </c>
    </row>
    <row r="87" spans="1:49" x14ac:dyDescent="0.15">
      <c r="A87" s="5">
        <v>77</v>
      </c>
      <c r="B87" s="5">
        <f t="shared" si="27"/>
        <v>4800</v>
      </c>
      <c r="C87" s="5">
        <f t="shared" si="23"/>
        <v>1180</v>
      </c>
      <c r="D87" s="5">
        <f t="shared" si="23"/>
        <v>780</v>
      </c>
      <c r="E87" s="5">
        <f t="shared" si="23"/>
        <v>237</v>
      </c>
      <c r="F87" s="5">
        <f t="shared" si="23"/>
        <v>316</v>
      </c>
      <c r="G87" s="5">
        <f t="shared" si="24"/>
        <v>11520</v>
      </c>
      <c r="H87" s="5">
        <f t="shared" si="24"/>
        <v>2832</v>
      </c>
      <c r="I87" s="5">
        <f t="shared" si="24"/>
        <v>1872</v>
      </c>
      <c r="J87" s="5">
        <f t="shared" si="24"/>
        <v>568.79999999999995</v>
      </c>
      <c r="K87" s="5">
        <f t="shared" si="24"/>
        <v>758.4</v>
      </c>
      <c r="L87" s="5">
        <f t="shared" si="25"/>
        <v>5760</v>
      </c>
      <c r="M87" s="5">
        <f t="shared" si="25"/>
        <v>1416</v>
      </c>
      <c r="N87" s="5">
        <f t="shared" si="25"/>
        <v>936</v>
      </c>
      <c r="O87" s="5">
        <f t="shared" si="25"/>
        <v>284.39999999999998</v>
      </c>
      <c r="P87" s="5">
        <f t="shared" si="25"/>
        <v>379.2</v>
      </c>
      <c r="Q87" s="5">
        <f t="shared" si="26"/>
        <v>22080</v>
      </c>
      <c r="R87" s="5">
        <f t="shared" si="26"/>
        <v>5428</v>
      </c>
      <c r="S87" s="5">
        <f t="shared" si="26"/>
        <v>3588</v>
      </c>
      <c r="T87" s="5">
        <f t="shared" si="26"/>
        <v>1090.1999999999998</v>
      </c>
      <c r="U87" s="5">
        <f t="shared" si="26"/>
        <v>1453.6000000000001</v>
      </c>
      <c r="V87" s="5">
        <f>B87*战斗力计算!$B$8+C87*战斗力计算!$B$9+D87*战斗力计算!$B$10+E87*战斗力计算!$B$11+F87*战斗力计算!$B$12</f>
        <v>34640</v>
      </c>
      <c r="W87" s="5">
        <f>G87*战斗力计算!$B$8+H87*战斗力计算!$B$9+I87*战斗力计算!$B$10+J87*战斗力计算!$B$11+K87*战斗力计算!$B$12+L87*战斗力计算!$B$8+M87*战斗力计算!$B$9+N87*战斗力计算!$B$10+O87*战斗力计算!$B$11+P87*战斗力计算!$B$12</f>
        <v>124704</v>
      </c>
      <c r="X87" s="5">
        <f t="shared" si="28"/>
        <v>159344</v>
      </c>
      <c r="AC87">
        <f t="shared" si="29"/>
        <v>2.4</v>
      </c>
      <c r="AD87">
        <f t="shared" si="30"/>
        <v>1.2</v>
      </c>
      <c r="AF87">
        <f t="shared" si="31"/>
        <v>0.74999999999999978</v>
      </c>
      <c r="AH87">
        <f t="shared" si="32"/>
        <v>12</v>
      </c>
      <c r="AK87">
        <f t="shared" si="33"/>
        <v>6.1538461538461542</v>
      </c>
      <c r="AL87">
        <f t="shared" si="34"/>
        <v>1.5128205128205128</v>
      </c>
      <c r="AM87">
        <f t="shared" si="35"/>
        <v>1</v>
      </c>
      <c r="AN87">
        <f t="shared" si="36"/>
        <v>6.1538461538461542</v>
      </c>
      <c r="AO87">
        <f t="shared" si="37"/>
        <v>1.5128205128205128</v>
      </c>
      <c r="AP87">
        <f t="shared" si="38"/>
        <v>1</v>
      </c>
      <c r="AR87">
        <f t="shared" si="39"/>
        <v>4.481012658227848</v>
      </c>
      <c r="AT87">
        <f t="shared" si="40"/>
        <v>4.481012658227848</v>
      </c>
      <c r="AV87">
        <f t="shared" si="41"/>
        <v>826</v>
      </c>
      <c r="AW87">
        <f t="shared" si="42"/>
        <v>1534</v>
      </c>
    </row>
    <row r="88" spans="1:49" x14ac:dyDescent="0.15">
      <c r="A88" s="5">
        <v>78</v>
      </c>
      <c r="B88" s="5">
        <f t="shared" si="27"/>
        <v>4860</v>
      </c>
      <c r="C88" s="5">
        <f t="shared" si="23"/>
        <v>1195</v>
      </c>
      <c r="D88" s="5">
        <f t="shared" si="23"/>
        <v>790</v>
      </c>
      <c r="E88" s="5">
        <f t="shared" si="23"/>
        <v>240</v>
      </c>
      <c r="F88" s="5">
        <f t="shared" si="23"/>
        <v>320</v>
      </c>
      <c r="G88" s="5">
        <f t="shared" si="24"/>
        <v>11664</v>
      </c>
      <c r="H88" s="5">
        <f t="shared" si="24"/>
        <v>2868</v>
      </c>
      <c r="I88" s="5">
        <f t="shared" si="24"/>
        <v>1896</v>
      </c>
      <c r="J88" s="5">
        <f t="shared" si="24"/>
        <v>576</v>
      </c>
      <c r="K88" s="5">
        <f t="shared" si="24"/>
        <v>768</v>
      </c>
      <c r="L88" s="5">
        <f t="shared" si="25"/>
        <v>5832</v>
      </c>
      <c r="M88" s="5">
        <f t="shared" si="25"/>
        <v>1434</v>
      </c>
      <c r="N88" s="5">
        <f t="shared" si="25"/>
        <v>948</v>
      </c>
      <c r="O88" s="5">
        <f t="shared" si="25"/>
        <v>288</v>
      </c>
      <c r="P88" s="5">
        <f t="shared" si="25"/>
        <v>384</v>
      </c>
      <c r="Q88" s="5">
        <f t="shared" si="26"/>
        <v>22356</v>
      </c>
      <c r="R88" s="5">
        <f t="shared" si="26"/>
        <v>5497</v>
      </c>
      <c r="S88" s="5">
        <f t="shared" si="26"/>
        <v>3634</v>
      </c>
      <c r="T88" s="5">
        <f t="shared" si="26"/>
        <v>1104</v>
      </c>
      <c r="U88" s="5">
        <f t="shared" si="26"/>
        <v>1472</v>
      </c>
      <c r="V88" s="5">
        <f>B88*战斗力计算!$B$8+C88*战斗力计算!$B$9+D88*战斗力计算!$B$10+E88*战斗力计算!$B$11+F88*战斗力计算!$B$12</f>
        <v>35080</v>
      </c>
      <c r="W88" s="5">
        <f>G88*战斗力计算!$B$8+H88*战斗力计算!$B$9+I88*战斗力计算!$B$10+J88*战斗力计算!$B$11+K88*战斗力计算!$B$12+L88*战斗力计算!$B$8+M88*战斗力计算!$B$9+N88*战斗力计算!$B$10+O88*战斗力计算!$B$11+P88*战斗力计算!$B$12</f>
        <v>126288</v>
      </c>
      <c r="X88" s="5">
        <f t="shared" si="28"/>
        <v>161368</v>
      </c>
      <c r="AC88">
        <f t="shared" si="29"/>
        <v>2.4</v>
      </c>
      <c r="AD88">
        <f t="shared" si="30"/>
        <v>1.2</v>
      </c>
      <c r="AF88">
        <f t="shared" si="31"/>
        <v>0.75</v>
      </c>
      <c r="AH88">
        <f t="shared" si="32"/>
        <v>12</v>
      </c>
      <c r="AK88">
        <f t="shared" si="33"/>
        <v>6.1518987341772151</v>
      </c>
      <c r="AL88">
        <f t="shared" si="34"/>
        <v>1.5126582278481013</v>
      </c>
      <c r="AM88">
        <f t="shared" si="35"/>
        <v>1</v>
      </c>
      <c r="AN88">
        <f t="shared" si="36"/>
        <v>6.1518987341772151</v>
      </c>
      <c r="AO88">
        <f t="shared" si="37"/>
        <v>1.5126582278481013</v>
      </c>
      <c r="AP88">
        <f t="shared" si="38"/>
        <v>1</v>
      </c>
      <c r="AR88">
        <f t="shared" si="39"/>
        <v>4.4812500000000002</v>
      </c>
      <c r="AT88">
        <f t="shared" si="40"/>
        <v>4.4812500000000002</v>
      </c>
      <c r="AV88">
        <f t="shared" si="41"/>
        <v>836</v>
      </c>
      <c r="AW88">
        <f t="shared" si="42"/>
        <v>1553</v>
      </c>
    </row>
    <row r="89" spans="1:49" x14ac:dyDescent="0.15">
      <c r="A89" s="5">
        <v>79</v>
      </c>
      <c r="B89" s="5">
        <f t="shared" si="27"/>
        <v>4920</v>
      </c>
      <c r="C89" s="5">
        <f t="shared" si="23"/>
        <v>1210</v>
      </c>
      <c r="D89" s="5">
        <f t="shared" si="23"/>
        <v>800</v>
      </c>
      <c r="E89" s="5">
        <f t="shared" si="23"/>
        <v>243</v>
      </c>
      <c r="F89" s="5">
        <f t="shared" si="23"/>
        <v>324</v>
      </c>
      <c r="G89" s="5">
        <f t="shared" si="24"/>
        <v>11808</v>
      </c>
      <c r="H89" s="5">
        <f t="shared" si="24"/>
        <v>2904</v>
      </c>
      <c r="I89" s="5">
        <f t="shared" si="24"/>
        <v>1920</v>
      </c>
      <c r="J89" s="5">
        <f t="shared" si="24"/>
        <v>583.19999999999993</v>
      </c>
      <c r="K89" s="5">
        <f t="shared" si="24"/>
        <v>777.6</v>
      </c>
      <c r="L89" s="5">
        <f t="shared" si="25"/>
        <v>5904</v>
      </c>
      <c r="M89" s="5">
        <f t="shared" si="25"/>
        <v>1452</v>
      </c>
      <c r="N89" s="5">
        <f t="shared" si="25"/>
        <v>960</v>
      </c>
      <c r="O89" s="5">
        <f t="shared" si="25"/>
        <v>291.59999999999997</v>
      </c>
      <c r="P89" s="5">
        <f t="shared" si="25"/>
        <v>388.8</v>
      </c>
      <c r="Q89" s="5">
        <f t="shared" si="26"/>
        <v>22632</v>
      </c>
      <c r="R89" s="5">
        <f t="shared" si="26"/>
        <v>5566</v>
      </c>
      <c r="S89" s="5">
        <f t="shared" si="26"/>
        <v>3680</v>
      </c>
      <c r="T89" s="5">
        <f t="shared" si="26"/>
        <v>1117.8</v>
      </c>
      <c r="U89" s="5">
        <f t="shared" si="26"/>
        <v>1490.3999999999999</v>
      </c>
      <c r="V89" s="5">
        <f>B89*战斗力计算!$B$8+C89*战斗力计算!$B$9+D89*战斗力计算!$B$10+E89*战斗力计算!$B$11+F89*战斗力计算!$B$12</f>
        <v>35520</v>
      </c>
      <c r="W89" s="5">
        <f>G89*战斗力计算!$B$8+H89*战斗力计算!$B$9+I89*战斗力计算!$B$10+J89*战斗力计算!$B$11+K89*战斗力计算!$B$12+L89*战斗力计算!$B$8+M89*战斗力计算!$B$9+N89*战斗力计算!$B$10+O89*战斗力计算!$B$11+P89*战斗力计算!$B$12</f>
        <v>127872</v>
      </c>
      <c r="X89" s="5">
        <f t="shared" si="28"/>
        <v>163392</v>
      </c>
      <c r="AC89">
        <f t="shared" si="29"/>
        <v>2.4</v>
      </c>
      <c r="AD89">
        <f t="shared" si="30"/>
        <v>1.2</v>
      </c>
      <c r="AF89">
        <f t="shared" si="31"/>
        <v>0.75</v>
      </c>
      <c r="AH89">
        <f t="shared" si="32"/>
        <v>12</v>
      </c>
      <c r="AK89">
        <f t="shared" si="33"/>
        <v>6.15</v>
      </c>
      <c r="AL89">
        <f t="shared" si="34"/>
        <v>1.5125</v>
      </c>
      <c r="AM89">
        <f t="shared" si="35"/>
        <v>1</v>
      </c>
      <c r="AN89">
        <f t="shared" si="36"/>
        <v>6.15</v>
      </c>
      <c r="AO89">
        <f t="shared" si="37"/>
        <v>1.5125</v>
      </c>
      <c r="AP89">
        <f t="shared" si="38"/>
        <v>1</v>
      </c>
      <c r="AR89">
        <f t="shared" si="39"/>
        <v>4.4814814814814818</v>
      </c>
      <c r="AT89">
        <f t="shared" si="40"/>
        <v>4.4814814814814818</v>
      </c>
      <c r="AV89">
        <f t="shared" si="41"/>
        <v>847</v>
      </c>
      <c r="AW89">
        <f t="shared" si="42"/>
        <v>1573</v>
      </c>
    </row>
    <row r="90" spans="1:49" x14ac:dyDescent="0.15">
      <c r="A90" s="5">
        <v>80</v>
      </c>
      <c r="B90" s="5">
        <f t="shared" si="27"/>
        <v>4980</v>
      </c>
      <c r="C90" s="5">
        <f t="shared" si="23"/>
        <v>1225</v>
      </c>
      <c r="D90" s="5">
        <f t="shared" si="23"/>
        <v>810</v>
      </c>
      <c r="E90" s="5">
        <f t="shared" si="23"/>
        <v>246</v>
      </c>
      <c r="F90" s="5">
        <f t="shared" si="23"/>
        <v>328</v>
      </c>
      <c r="G90" s="5">
        <f t="shared" si="24"/>
        <v>11952</v>
      </c>
      <c r="H90" s="5">
        <f t="shared" si="24"/>
        <v>2940</v>
      </c>
      <c r="I90" s="5">
        <f t="shared" si="24"/>
        <v>1944</v>
      </c>
      <c r="J90" s="5">
        <f t="shared" si="24"/>
        <v>590.4</v>
      </c>
      <c r="K90" s="5">
        <f t="shared" si="24"/>
        <v>787.19999999999993</v>
      </c>
      <c r="L90" s="5">
        <f t="shared" si="25"/>
        <v>5976</v>
      </c>
      <c r="M90" s="5">
        <f t="shared" si="25"/>
        <v>1470</v>
      </c>
      <c r="N90" s="5">
        <f t="shared" si="25"/>
        <v>972</v>
      </c>
      <c r="O90" s="5">
        <f t="shared" si="25"/>
        <v>295.2</v>
      </c>
      <c r="P90" s="5">
        <f t="shared" si="25"/>
        <v>393.59999999999997</v>
      </c>
      <c r="Q90" s="5">
        <f t="shared" si="26"/>
        <v>22908</v>
      </c>
      <c r="R90" s="5">
        <f t="shared" si="26"/>
        <v>5635</v>
      </c>
      <c r="S90" s="5">
        <f t="shared" si="26"/>
        <v>3726</v>
      </c>
      <c r="T90" s="5">
        <f t="shared" si="26"/>
        <v>1131.5999999999999</v>
      </c>
      <c r="U90" s="5">
        <f t="shared" si="26"/>
        <v>1508.7999999999997</v>
      </c>
      <c r="V90" s="5">
        <f>B90*战斗力计算!$B$8+C90*战斗力计算!$B$9+D90*战斗力计算!$B$10+E90*战斗力计算!$B$11+F90*战斗力计算!$B$12</f>
        <v>35960</v>
      </c>
      <c r="W90" s="5">
        <f>G90*战斗力计算!$B$8+H90*战斗力计算!$B$9+I90*战斗力计算!$B$10+J90*战斗力计算!$B$11+K90*战斗力计算!$B$12+L90*战斗力计算!$B$8+M90*战斗力计算!$B$9+N90*战斗力计算!$B$10+O90*战斗力计算!$B$11+P90*战斗力计算!$B$12</f>
        <v>129456</v>
      </c>
      <c r="X90" s="5">
        <f t="shared" si="28"/>
        <v>165416</v>
      </c>
      <c r="AC90">
        <f t="shared" si="29"/>
        <v>2.4</v>
      </c>
      <c r="AD90">
        <f t="shared" si="30"/>
        <v>1.2</v>
      </c>
      <c r="AF90">
        <f t="shared" si="31"/>
        <v>0.75000000000000011</v>
      </c>
      <c r="AH90">
        <f t="shared" si="32"/>
        <v>12</v>
      </c>
      <c r="AK90">
        <f t="shared" si="33"/>
        <v>6.1481481481481479</v>
      </c>
      <c r="AL90">
        <f t="shared" si="34"/>
        <v>1.5123456790123457</v>
      </c>
      <c r="AM90">
        <f t="shared" si="35"/>
        <v>1</v>
      </c>
      <c r="AN90">
        <f t="shared" si="36"/>
        <v>6.1481481481481479</v>
      </c>
      <c r="AO90">
        <f t="shared" si="37"/>
        <v>1.5123456790123457</v>
      </c>
      <c r="AP90">
        <f t="shared" si="38"/>
        <v>1</v>
      </c>
      <c r="AR90">
        <f t="shared" si="39"/>
        <v>4.4817073170731705</v>
      </c>
      <c r="AT90">
        <f t="shared" si="40"/>
        <v>4.4817073170731705</v>
      </c>
      <c r="AV90">
        <f t="shared" si="41"/>
        <v>857</v>
      </c>
      <c r="AW90">
        <f t="shared" si="42"/>
        <v>1592</v>
      </c>
    </row>
    <row r="91" spans="1:49" x14ac:dyDescent="0.15">
      <c r="A91" s="5">
        <v>81</v>
      </c>
      <c r="B91" s="5">
        <f t="shared" si="27"/>
        <v>5040</v>
      </c>
      <c r="C91" s="5">
        <f t="shared" si="23"/>
        <v>1240</v>
      </c>
      <c r="D91" s="5">
        <f t="shared" si="23"/>
        <v>820</v>
      </c>
      <c r="E91" s="5">
        <f t="shared" si="23"/>
        <v>249</v>
      </c>
      <c r="F91" s="5">
        <f t="shared" si="23"/>
        <v>332</v>
      </c>
      <c r="G91" s="5">
        <f t="shared" si="24"/>
        <v>12096</v>
      </c>
      <c r="H91" s="5">
        <f t="shared" si="24"/>
        <v>2976</v>
      </c>
      <c r="I91" s="5">
        <f t="shared" si="24"/>
        <v>1968</v>
      </c>
      <c r="J91" s="5">
        <f t="shared" si="24"/>
        <v>597.6</v>
      </c>
      <c r="K91" s="5">
        <f t="shared" si="24"/>
        <v>796.8</v>
      </c>
      <c r="L91" s="5">
        <f t="shared" si="25"/>
        <v>6048</v>
      </c>
      <c r="M91" s="5">
        <f t="shared" si="25"/>
        <v>1488</v>
      </c>
      <c r="N91" s="5">
        <f t="shared" si="25"/>
        <v>984</v>
      </c>
      <c r="O91" s="5">
        <f t="shared" si="25"/>
        <v>298.8</v>
      </c>
      <c r="P91" s="5">
        <f t="shared" si="25"/>
        <v>398.4</v>
      </c>
      <c r="Q91" s="5">
        <f t="shared" si="26"/>
        <v>23184</v>
      </c>
      <c r="R91" s="5">
        <f t="shared" si="26"/>
        <v>5704</v>
      </c>
      <c r="S91" s="5">
        <f t="shared" si="26"/>
        <v>3772</v>
      </c>
      <c r="T91" s="5">
        <f t="shared" si="26"/>
        <v>1145.4000000000001</v>
      </c>
      <c r="U91" s="5">
        <f t="shared" si="26"/>
        <v>1527.1999999999998</v>
      </c>
      <c r="V91" s="5">
        <f>B91*战斗力计算!$B$8+C91*战斗力计算!$B$9+D91*战斗力计算!$B$10+E91*战斗力计算!$B$11+F91*战斗力计算!$B$12</f>
        <v>36400</v>
      </c>
      <c r="W91" s="5">
        <f>G91*战斗力计算!$B$8+H91*战斗力计算!$B$9+I91*战斗力计算!$B$10+J91*战斗力计算!$B$11+K91*战斗力计算!$B$12+L91*战斗力计算!$B$8+M91*战斗力计算!$B$9+N91*战斗力计算!$B$10+O91*战斗力计算!$B$11+P91*战斗力计算!$B$12</f>
        <v>131040</v>
      </c>
      <c r="X91" s="5">
        <f t="shared" si="28"/>
        <v>167440</v>
      </c>
      <c r="AC91">
        <f t="shared" si="29"/>
        <v>2.4</v>
      </c>
      <c r="AD91">
        <f t="shared" si="30"/>
        <v>1.2</v>
      </c>
      <c r="AF91">
        <f t="shared" si="31"/>
        <v>0.75000000000000011</v>
      </c>
      <c r="AH91">
        <f t="shared" si="32"/>
        <v>12</v>
      </c>
      <c r="AK91">
        <f t="shared" si="33"/>
        <v>6.1463414634146343</v>
      </c>
      <c r="AL91">
        <f t="shared" si="34"/>
        <v>1.5121951219512195</v>
      </c>
      <c r="AM91">
        <f t="shared" si="35"/>
        <v>1</v>
      </c>
      <c r="AN91">
        <f t="shared" si="36"/>
        <v>6.1463414634146343</v>
      </c>
      <c r="AO91">
        <f t="shared" si="37"/>
        <v>1.5121951219512195</v>
      </c>
      <c r="AP91">
        <f t="shared" si="38"/>
        <v>1</v>
      </c>
      <c r="AR91">
        <f t="shared" si="39"/>
        <v>4.4819277108433733</v>
      </c>
      <c r="AT91">
        <f t="shared" si="40"/>
        <v>4.4819277108433733</v>
      </c>
      <c r="AV91">
        <f t="shared" si="41"/>
        <v>868</v>
      </c>
      <c r="AW91">
        <f t="shared" si="42"/>
        <v>1612</v>
      </c>
    </row>
    <row r="92" spans="1:49" x14ac:dyDescent="0.15">
      <c r="A92" s="5">
        <v>82</v>
      </c>
      <c r="B92" s="5">
        <f t="shared" si="27"/>
        <v>5100</v>
      </c>
      <c r="C92" s="5">
        <f t="shared" si="23"/>
        <v>1255</v>
      </c>
      <c r="D92" s="5">
        <f t="shared" si="23"/>
        <v>830</v>
      </c>
      <c r="E92" s="5">
        <f t="shared" si="23"/>
        <v>252</v>
      </c>
      <c r="F92" s="5">
        <f t="shared" si="23"/>
        <v>336</v>
      </c>
      <c r="G92" s="5">
        <f t="shared" si="24"/>
        <v>12240</v>
      </c>
      <c r="H92" s="5">
        <f t="shared" si="24"/>
        <v>3012</v>
      </c>
      <c r="I92" s="5">
        <f t="shared" si="24"/>
        <v>1992</v>
      </c>
      <c r="J92" s="5">
        <f t="shared" si="24"/>
        <v>604.79999999999995</v>
      </c>
      <c r="K92" s="5">
        <f t="shared" si="24"/>
        <v>806.4</v>
      </c>
      <c r="L92" s="5">
        <f t="shared" si="25"/>
        <v>6120</v>
      </c>
      <c r="M92" s="5">
        <f t="shared" si="25"/>
        <v>1506</v>
      </c>
      <c r="N92" s="5">
        <f t="shared" si="25"/>
        <v>996</v>
      </c>
      <c r="O92" s="5">
        <f t="shared" si="25"/>
        <v>302.39999999999998</v>
      </c>
      <c r="P92" s="5">
        <f t="shared" si="25"/>
        <v>403.2</v>
      </c>
      <c r="Q92" s="5">
        <f t="shared" si="26"/>
        <v>23460</v>
      </c>
      <c r="R92" s="5">
        <f t="shared" si="26"/>
        <v>5773</v>
      </c>
      <c r="S92" s="5">
        <f t="shared" si="26"/>
        <v>3818</v>
      </c>
      <c r="T92" s="5">
        <f t="shared" si="26"/>
        <v>1159.1999999999998</v>
      </c>
      <c r="U92" s="5">
        <f t="shared" si="26"/>
        <v>1545.6000000000001</v>
      </c>
      <c r="V92" s="5">
        <f>B92*战斗力计算!$B$8+C92*战斗力计算!$B$9+D92*战斗力计算!$B$10+E92*战斗力计算!$B$11+F92*战斗力计算!$B$12</f>
        <v>36840</v>
      </c>
      <c r="W92" s="5">
        <f>G92*战斗力计算!$B$8+H92*战斗力计算!$B$9+I92*战斗力计算!$B$10+J92*战斗力计算!$B$11+K92*战斗力计算!$B$12+L92*战斗力计算!$B$8+M92*战斗力计算!$B$9+N92*战斗力计算!$B$10+O92*战斗力计算!$B$11+P92*战斗力计算!$B$12</f>
        <v>132624</v>
      </c>
      <c r="X92" s="5">
        <f t="shared" si="28"/>
        <v>169464</v>
      </c>
      <c r="AC92">
        <f t="shared" si="29"/>
        <v>2.4</v>
      </c>
      <c r="AD92">
        <f t="shared" si="30"/>
        <v>1.2</v>
      </c>
      <c r="AF92">
        <f t="shared" si="31"/>
        <v>0.74999999999999978</v>
      </c>
      <c r="AH92">
        <f t="shared" si="32"/>
        <v>12</v>
      </c>
      <c r="AK92">
        <f t="shared" si="33"/>
        <v>6.1445783132530121</v>
      </c>
      <c r="AL92">
        <f t="shared" si="34"/>
        <v>1.5120481927710843</v>
      </c>
      <c r="AM92">
        <f t="shared" si="35"/>
        <v>1</v>
      </c>
      <c r="AN92">
        <f t="shared" si="36"/>
        <v>6.1445783132530121</v>
      </c>
      <c r="AO92">
        <f t="shared" si="37"/>
        <v>1.5120481927710843</v>
      </c>
      <c r="AP92">
        <f t="shared" si="38"/>
        <v>1</v>
      </c>
      <c r="AR92">
        <f t="shared" si="39"/>
        <v>4.4821428571428568</v>
      </c>
      <c r="AT92">
        <f t="shared" si="40"/>
        <v>4.4821428571428568</v>
      </c>
      <c r="AV92">
        <f t="shared" si="41"/>
        <v>878</v>
      </c>
      <c r="AW92">
        <f t="shared" si="42"/>
        <v>1631</v>
      </c>
    </row>
    <row r="93" spans="1:49" x14ac:dyDescent="0.15">
      <c r="A93" s="5">
        <v>83</v>
      </c>
      <c r="B93" s="5">
        <f t="shared" si="27"/>
        <v>5160</v>
      </c>
      <c r="C93" s="5">
        <f t="shared" si="23"/>
        <v>1270</v>
      </c>
      <c r="D93" s="5">
        <f t="shared" si="23"/>
        <v>840</v>
      </c>
      <c r="E93" s="5">
        <f t="shared" si="23"/>
        <v>255</v>
      </c>
      <c r="F93" s="5">
        <f t="shared" si="23"/>
        <v>340</v>
      </c>
      <c r="G93" s="5">
        <f t="shared" si="24"/>
        <v>12384</v>
      </c>
      <c r="H93" s="5">
        <f t="shared" si="24"/>
        <v>3048</v>
      </c>
      <c r="I93" s="5">
        <f t="shared" si="24"/>
        <v>2016</v>
      </c>
      <c r="J93" s="5">
        <f t="shared" si="24"/>
        <v>612</v>
      </c>
      <c r="K93" s="5">
        <f t="shared" si="24"/>
        <v>816</v>
      </c>
      <c r="L93" s="5">
        <f t="shared" si="25"/>
        <v>6192</v>
      </c>
      <c r="M93" s="5">
        <f t="shared" si="25"/>
        <v>1524</v>
      </c>
      <c r="N93" s="5">
        <f t="shared" si="25"/>
        <v>1008</v>
      </c>
      <c r="O93" s="5">
        <f t="shared" si="25"/>
        <v>306</v>
      </c>
      <c r="P93" s="5">
        <f t="shared" si="25"/>
        <v>408</v>
      </c>
      <c r="Q93" s="5">
        <f t="shared" si="26"/>
        <v>23736</v>
      </c>
      <c r="R93" s="5">
        <f t="shared" si="26"/>
        <v>5842</v>
      </c>
      <c r="S93" s="5">
        <f t="shared" si="26"/>
        <v>3864</v>
      </c>
      <c r="T93" s="5">
        <f t="shared" si="26"/>
        <v>1173</v>
      </c>
      <c r="U93" s="5">
        <f t="shared" si="26"/>
        <v>1564</v>
      </c>
      <c r="V93" s="5">
        <f>B93*战斗力计算!$B$8+C93*战斗力计算!$B$9+D93*战斗力计算!$B$10+E93*战斗力计算!$B$11+F93*战斗力计算!$B$12</f>
        <v>37280</v>
      </c>
      <c r="W93" s="5">
        <f>G93*战斗力计算!$B$8+H93*战斗力计算!$B$9+I93*战斗力计算!$B$10+J93*战斗力计算!$B$11+K93*战斗力计算!$B$12+L93*战斗力计算!$B$8+M93*战斗力计算!$B$9+N93*战斗力计算!$B$10+O93*战斗力计算!$B$11+P93*战斗力计算!$B$12</f>
        <v>134208</v>
      </c>
      <c r="X93" s="5">
        <f t="shared" si="28"/>
        <v>171488</v>
      </c>
      <c r="AC93">
        <f t="shared" si="29"/>
        <v>2.4</v>
      </c>
      <c r="AD93">
        <f t="shared" si="30"/>
        <v>1.2</v>
      </c>
      <c r="AF93">
        <f t="shared" si="31"/>
        <v>0.75</v>
      </c>
      <c r="AH93">
        <f t="shared" si="32"/>
        <v>12</v>
      </c>
      <c r="AK93">
        <f t="shared" si="33"/>
        <v>6.1428571428571432</v>
      </c>
      <c r="AL93">
        <f t="shared" si="34"/>
        <v>1.5119047619047619</v>
      </c>
      <c r="AM93">
        <f t="shared" si="35"/>
        <v>1</v>
      </c>
      <c r="AN93">
        <f t="shared" si="36"/>
        <v>6.1428571428571432</v>
      </c>
      <c r="AO93">
        <f t="shared" si="37"/>
        <v>1.5119047619047619</v>
      </c>
      <c r="AP93">
        <f t="shared" si="38"/>
        <v>1</v>
      </c>
      <c r="AR93">
        <f t="shared" si="39"/>
        <v>4.4823529411764707</v>
      </c>
      <c r="AT93">
        <f t="shared" si="40"/>
        <v>4.4823529411764707</v>
      </c>
      <c r="AV93">
        <f t="shared" si="41"/>
        <v>889</v>
      </c>
      <c r="AW93">
        <f t="shared" si="42"/>
        <v>1651</v>
      </c>
    </row>
    <row r="94" spans="1:49" x14ac:dyDescent="0.15">
      <c r="A94" s="5">
        <v>84</v>
      </c>
      <c r="B94" s="5">
        <f t="shared" si="27"/>
        <v>5220</v>
      </c>
      <c r="C94" s="5">
        <f t="shared" si="23"/>
        <v>1285</v>
      </c>
      <c r="D94" s="5">
        <f t="shared" si="23"/>
        <v>850</v>
      </c>
      <c r="E94" s="5">
        <f t="shared" si="23"/>
        <v>258</v>
      </c>
      <c r="F94" s="5">
        <f t="shared" si="23"/>
        <v>344</v>
      </c>
      <c r="G94" s="5">
        <f t="shared" si="24"/>
        <v>12528</v>
      </c>
      <c r="H94" s="5">
        <f t="shared" si="24"/>
        <v>3084</v>
      </c>
      <c r="I94" s="5">
        <f t="shared" si="24"/>
        <v>2040</v>
      </c>
      <c r="J94" s="5">
        <f t="shared" si="24"/>
        <v>619.19999999999993</v>
      </c>
      <c r="K94" s="5">
        <f t="shared" si="24"/>
        <v>825.6</v>
      </c>
      <c r="L94" s="5">
        <f t="shared" si="25"/>
        <v>6264</v>
      </c>
      <c r="M94" s="5">
        <f t="shared" si="25"/>
        <v>1542</v>
      </c>
      <c r="N94" s="5">
        <f t="shared" si="25"/>
        <v>1020</v>
      </c>
      <c r="O94" s="5">
        <f t="shared" si="25"/>
        <v>309.59999999999997</v>
      </c>
      <c r="P94" s="5">
        <f t="shared" si="25"/>
        <v>412.8</v>
      </c>
      <c r="Q94" s="5">
        <f t="shared" si="26"/>
        <v>24012</v>
      </c>
      <c r="R94" s="5">
        <f t="shared" si="26"/>
        <v>5911</v>
      </c>
      <c r="S94" s="5">
        <f t="shared" si="26"/>
        <v>3910</v>
      </c>
      <c r="T94" s="5">
        <f t="shared" si="26"/>
        <v>1186.8</v>
      </c>
      <c r="U94" s="5">
        <f t="shared" si="26"/>
        <v>1582.3999999999999</v>
      </c>
      <c r="V94" s="5">
        <f>B94*战斗力计算!$B$8+C94*战斗力计算!$B$9+D94*战斗力计算!$B$10+E94*战斗力计算!$B$11+F94*战斗力计算!$B$12</f>
        <v>37720</v>
      </c>
      <c r="W94" s="5">
        <f>G94*战斗力计算!$B$8+H94*战斗力计算!$B$9+I94*战斗力计算!$B$10+J94*战斗力计算!$B$11+K94*战斗力计算!$B$12+L94*战斗力计算!$B$8+M94*战斗力计算!$B$9+N94*战斗力计算!$B$10+O94*战斗力计算!$B$11+P94*战斗力计算!$B$12</f>
        <v>135792</v>
      </c>
      <c r="X94" s="5">
        <f t="shared" si="28"/>
        <v>173512</v>
      </c>
      <c r="AC94">
        <f t="shared" si="29"/>
        <v>2.4</v>
      </c>
      <c r="AD94">
        <f t="shared" si="30"/>
        <v>1.2</v>
      </c>
      <c r="AF94">
        <f t="shared" si="31"/>
        <v>0.75</v>
      </c>
      <c r="AH94">
        <f t="shared" si="32"/>
        <v>12</v>
      </c>
      <c r="AK94">
        <f t="shared" si="33"/>
        <v>6.1411764705882357</v>
      </c>
      <c r="AL94">
        <f t="shared" si="34"/>
        <v>1.5117647058823529</v>
      </c>
      <c r="AM94">
        <f t="shared" si="35"/>
        <v>1</v>
      </c>
      <c r="AN94">
        <f t="shared" si="36"/>
        <v>6.1411764705882357</v>
      </c>
      <c r="AO94">
        <f t="shared" si="37"/>
        <v>1.5117647058823529</v>
      </c>
      <c r="AP94">
        <f t="shared" si="38"/>
        <v>1</v>
      </c>
      <c r="AR94">
        <f t="shared" si="39"/>
        <v>4.4825581395348841</v>
      </c>
      <c r="AT94">
        <f t="shared" si="40"/>
        <v>4.4825581395348841</v>
      </c>
      <c r="AV94">
        <f t="shared" si="41"/>
        <v>899</v>
      </c>
      <c r="AW94">
        <f t="shared" si="42"/>
        <v>1670</v>
      </c>
    </row>
    <row r="95" spans="1:49" x14ac:dyDescent="0.15">
      <c r="A95" s="5">
        <v>85</v>
      </c>
      <c r="B95" s="5">
        <f t="shared" si="27"/>
        <v>5280</v>
      </c>
      <c r="C95" s="5">
        <f t="shared" si="23"/>
        <v>1300</v>
      </c>
      <c r="D95" s="5">
        <f t="shared" si="23"/>
        <v>860</v>
      </c>
      <c r="E95" s="5">
        <f t="shared" si="23"/>
        <v>261</v>
      </c>
      <c r="F95" s="5">
        <f t="shared" si="23"/>
        <v>348</v>
      </c>
      <c r="G95" s="5">
        <f t="shared" si="24"/>
        <v>12672</v>
      </c>
      <c r="H95" s="5">
        <f t="shared" si="24"/>
        <v>3120</v>
      </c>
      <c r="I95" s="5">
        <f t="shared" si="24"/>
        <v>2064</v>
      </c>
      <c r="J95" s="5">
        <f t="shared" si="24"/>
        <v>626.4</v>
      </c>
      <c r="K95" s="5">
        <f t="shared" si="24"/>
        <v>835.19999999999993</v>
      </c>
      <c r="L95" s="5">
        <f t="shared" si="25"/>
        <v>6336</v>
      </c>
      <c r="M95" s="5">
        <f t="shared" si="25"/>
        <v>1560</v>
      </c>
      <c r="N95" s="5">
        <f t="shared" si="25"/>
        <v>1032</v>
      </c>
      <c r="O95" s="5">
        <f t="shared" si="25"/>
        <v>313.2</v>
      </c>
      <c r="P95" s="5">
        <f t="shared" si="25"/>
        <v>417.59999999999997</v>
      </c>
      <c r="Q95" s="5">
        <f t="shared" si="26"/>
        <v>24288</v>
      </c>
      <c r="R95" s="5">
        <f t="shared" si="26"/>
        <v>5980</v>
      </c>
      <c r="S95" s="5">
        <f t="shared" si="26"/>
        <v>3956</v>
      </c>
      <c r="T95" s="5">
        <f t="shared" si="26"/>
        <v>1200.5999999999999</v>
      </c>
      <c r="U95" s="5">
        <f t="shared" si="26"/>
        <v>1600.7999999999997</v>
      </c>
      <c r="V95" s="5">
        <f>B95*战斗力计算!$B$8+C95*战斗力计算!$B$9+D95*战斗力计算!$B$10+E95*战斗力计算!$B$11+F95*战斗力计算!$B$12</f>
        <v>38160</v>
      </c>
      <c r="W95" s="5">
        <f>G95*战斗力计算!$B$8+H95*战斗力计算!$B$9+I95*战斗力计算!$B$10+J95*战斗力计算!$B$11+K95*战斗力计算!$B$12+L95*战斗力计算!$B$8+M95*战斗力计算!$B$9+N95*战斗力计算!$B$10+O95*战斗力计算!$B$11+P95*战斗力计算!$B$12</f>
        <v>137376</v>
      </c>
      <c r="X95" s="5">
        <f t="shared" si="28"/>
        <v>175536</v>
      </c>
      <c r="AC95">
        <f t="shared" si="29"/>
        <v>2.4</v>
      </c>
      <c r="AD95">
        <f t="shared" si="30"/>
        <v>1.2</v>
      </c>
      <c r="AF95">
        <f t="shared" si="31"/>
        <v>0.75000000000000011</v>
      </c>
      <c r="AH95">
        <f t="shared" si="32"/>
        <v>12</v>
      </c>
      <c r="AK95">
        <f t="shared" si="33"/>
        <v>6.1395348837209305</v>
      </c>
      <c r="AL95">
        <f t="shared" si="34"/>
        <v>1.5116279069767442</v>
      </c>
      <c r="AM95">
        <f t="shared" si="35"/>
        <v>1</v>
      </c>
      <c r="AN95">
        <f t="shared" si="36"/>
        <v>6.1395348837209305</v>
      </c>
      <c r="AO95">
        <f t="shared" si="37"/>
        <v>1.5116279069767442</v>
      </c>
      <c r="AP95">
        <f t="shared" si="38"/>
        <v>1</v>
      </c>
      <c r="AR95">
        <f t="shared" si="39"/>
        <v>4.4827586206896548</v>
      </c>
      <c r="AT95">
        <f t="shared" si="40"/>
        <v>4.4827586206896548</v>
      </c>
      <c r="AV95">
        <f t="shared" si="41"/>
        <v>910</v>
      </c>
      <c r="AW95">
        <f t="shared" si="42"/>
        <v>1690</v>
      </c>
    </row>
    <row r="96" spans="1:49" x14ac:dyDescent="0.15">
      <c r="A96" s="5">
        <v>86</v>
      </c>
      <c r="B96" s="5">
        <f t="shared" si="27"/>
        <v>5340</v>
      </c>
      <c r="C96" s="5">
        <f t="shared" si="23"/>
        <v>1315</v>
      </c>
      <c r="D96" s="5">
        <f t="shared" si="23"/>
        <v>870</v>
      </c>
      <c r="E96" s="5">
        <f t="shared" si="23"/>
        <v>264</v>
      </c>
      <c r="F96" s="5">
        <f t="shared" si="23"/>
        <v>352</v>
      </c>
      <c r="G96" s="5">
        <f t="shared" si="24"/>
        <v>12816</v>
      </c>
      <c r="H96" s="5">
        <f t="shared" si="24"/>
        <v>3156</v>
      </c>
      <c r="I96" s="5">
        <f t="shared" si="24"/>
        <v>2088</v>
      </c>
      <c r="J96" s="5">
        <f t="shared" si="24"/>
        <v>633.6</v>
      </c>
      <c r="K96" s="5">
        <f t="shared" si="24"/>
        <v>844.8</v>
      </c>
      <c r="L96" s="5">
        <f t="shared" si="25"/>
        <v>6408</v>
      </c>
      <c r="M96" s="5">
        <f t="shared" si="25"/>
        <v>1578</v>
      </c>
      <c r="N96" s="5">
        <f t="shared" si="25"/>
        <v>1044</v>
      </c>
      <c r="O96" s="5">
        <f t="shared" si="25"/>
        <v>316.8</v>
      </c>
      <c r="P96" s="5">
        <f t="shared" si="25"/>
        <v>422.4</v>
      </c>
      <c r="Q96" s="5">
        <f t="shared" si="26"/>
        <v>24564</v>
      </c>
      <c r="R96" s="5">
        <f t="shared" si="26"/>
        <v>6049</v>
      </c>
      <c r="S96" s="5">
        <f t="shared" si="26"/>
        <v>4002</v>
      </c>
      <c r="T96" s="5">
        <f t="shared" si="26"/>
        <v>1214.4000000000001</v>
      </c>
      <c r="U96" s="5">
        <f t="shared" si="26"/>
        <v>1619.1999999999998</v>
      </c>
      <c r="V96" s="5">
        <f>B96*战斗力计算!$B$8+C96*战斗力计算!$B$9+D96*战斗力计算!$B$10+E96*战斗力计算!$B$11+F96*战斗力计算!$B$12</f>
        <v>38600</v>
      </c>
      <c r="W96" s="5">
        <f>G96*战斗力计算!$B$8+H96*战斗力计算!$B$9+I96*战斗力计算!$B$10+J96*战斗力计算!$B$11+K96*战斗力计算!$B$12+L96*战斗力计算!$B$8+M96*战斗力计算!$B$9+N96*战斗力计算!$B$10+O96*战斗力计算!$B$11+P96*战斗力计算!$B$12</f>
        <v>138960</v>
      </c>
      <c r="X96" s="5">
        <f t="shared" si="28"/>
        <v>177560</v>
      </c>
      <c r="AC96">
        <f t="shared" si="29"/>
        <v>2.4</v>
      </c>
      <c r="AD96">
        <f t="shared" si="30"/>
        <v>1.2</v>
      </c>
      <c r="AF96">
        <f t="shared" si="31"/>
        <v>0.75000000000000011</v>
      </c>
      <c r="AH96">
        <f t="shared" si="32"/>
        <v>12</v>
      </c>
      <c r="AK96">
        <f t="shared" si="33"/>
        <v>6.1379310344827589</v>
      </c>
      <c r="AL96">
        <f t="shared" si="34"/>
        <v>1.5114942528735633</v>
      </c>
      <c r="AM96">
        <f t="shared" si="35"/>
        <v>1</v>
      </c>
      <c r="AN96">
        <f t="shared" si="36"/>
        <v>6.1379310344827589</v>
      </c>
      <c r="AO96">
        <f t="shared" si="37"/>
        <v>1.5114942528735633</v>
      </c>
      <c r="AP96">
        <f t="shared" si="38"/>
        <v>1</v>
      </c>
      <c r="AR96">
        <f t="shared" si="39"/>
        <v>4.4829545454545459</v>
      </c>
      <c r="AT96">
        <f t="shared" si="40"/>
        <v>4.4829545454545459</v>
      </c>
      <c r="AV96">
        <f t="shared" si="41"/>
        <v>920</v>
      </c>
      <c r="AW96">
        <f t="shared" si="42"/>
        <v>1709</v>
      </c>
    </row>
    <row r="97" spans="1:49" x14ac:dyDescent="0.15">
      <c r="A97" s="5">
        <v>87</v>
      </c>
      <c r="B97" s="5">
        <f t="shared" si="27"/>
        <v>5400</v>
      </c>
      <c r="C97" s="5">
        <f t="shared" si="23"/>
        <v>1330</v>
      </c>
      <c r="D97" s="5">
        <f t="shared" si="23"/>
        <v>880</v>
      </c>
      <c r="E97" s="5">
        <f t="shared" si="23"/>
        <v>267</v>
      </c>
      <c r="F97" s="5">
        <f t="shared" si="23"/>
        <v>356</v>
      </c>
      <c r="G97" s="5">
        <f t="shared" si="24"/>
        <v>12960</v>
      </c>
      <c r="H97" s="5">
        <f t="shared" si="24"/>
        <v>3192</v>
      </c>
      <c r="I97" s="5">
        <f t="shared" si="24"/>
        <v>2112</v>
      </c>
      <c r="J97" s="5">
        <f t="shared" si="24"/>
        <v>640.79999999999995</v>
      </c>
      <c r="K97" s="5">
        <f t="shared" si="24"/>
        <v>854.4</v>
      </c>
      <c r="L97" s="5">
        <f t="shared" si="25"/>
        <v>6480</v>
      </c>
      <c r="M97" s="5">
        <f t="shared" si="25"/>
        <v>1596</v>
      </c>
      <c r="N97" s="5">
        <f t="shared" si="25"/>
        <v>1056</v>
      </c>
      <c r="O97" s="5">
        <f t="shared" si="25"/>
        <v>320.39999999999998</v>
      </c>
      <c r="P97" s="5">
        <f t="shared" si="25"/>
        <v>427.2</v>
      </c>
      <c r="Q97" s="5">
        <f t="shared" si="26"/>
        <v>24840</v>
      </c>
      <c r="R97" s="5">
        <f t="shared" si="26"/>
        <v>6118</v>
      </c>
      <c r="S97" s="5">
        <f t="shared" si="26"/>
        <v>4048</v>
      </c>
      <c r="T97" s="5">
        <f t="shared" si="26"/>
        <v>1228.1999999999998</v>
      </c>
      <c r="U97" s="5">
        <f t="shared" si="26"/>
        <v>1637.6000000000001</v>
      </c>
      <c r="V97" s="5">
        <f>B97*战斗力计算!$B$8+C97*战斗力计算!$B$9+D97*战斗力计算!$B$10+E97*战斗力计算!$B$11+F97*战斗力计算!$B$12</f>
        <v>39040</v>
      </c>
      <c r="W97" s="5">
        <f>G97*战斗力计算!$B$8+H97*战斗力计算!$B$9+I97*战斗力计算!$B$10+J97*战斗力计算!$B$11+K97*战斗力计算!$B$12+L97*战斗力计算!$B$8+M97*战斗力计算!$B$9+N97*战斗力计算!$B$10+O97*战斗力计算!$B$11+P97*战斗力计算!$B$12</f>
        <v>140544</v>
      </c>
      <c r="X97" s="5">
        <f t="shared" si="28"/>
        <v>179584</v>
      </c>
      <c r="AC97">
        <f t="shared" si="29"/>
        <v>2.4</v>
      </c>
      <c r="AD97">
        <f t="shared" si="30"/>
        <v>1.2</v>
      </c>
      <c r="AF97">
        <f t="shared" si="31"/>
        <v>0.74999999999999978</v>
      </c>
      <c r="AH97">
        <f t="shared" si="32"/>
        <v>12</v>
      </c>
      <c r="AK97">
        <f t="shared" si="33"/>
        <v>6.1363636363636367</v>
      </c>
      <c r="AL97">
        <f t="shared" si="34"/>
        <v>1.5113636363636365</v>
      </c>
      <c r="AM97">
        <f t="shared" si="35"/>
        <v>1</v>
      </c>
      <c r="AN97">
        <f t="shared" si="36"/>
        <v>6.1363636363636367</v>
      </c>
      <c r="AO97">
        <f t="shared" si="37"/>
        <v>1.5113636363636365</v>
      </c>
      <c r="AP97">
        <f t="shared" si="38"/>
        <v>1</v>
      </c>
      <c r="AR97">
        <f t="shared" si="39"/>
        <v>4.4831460674157304</v>
      </c>
      <c r="AT97">
        <f t="shared" si="40"/>
        <v>4.4831460674157304</v>
      </c>
      <c r="AV97">
        <f t="shared" si="41"/>
        <v>931</v>
      </c>
      <c r="AW97">
        <f t="shared" si="42"/>
        <v>1729</v>
      </c>
    </row>
    <row r="98" spans="1:49" x14ac:dyDescent="0.15">
      <c r="A98" s="5">
        <v>88</v>
      </c>
      <c r="B98" s="5">
        <f t="shared" si="27"/>
        <v>5460</v>
      </c>
      <c r="C98" s="5">
        <f t="shared" si="23"/>
        <v>1345</v>
      </c>
      <c r="D98" s="5">
        <f t="shared" si="23"/>
        <v>890</v>
      </c>
      <c r="E98" s="5">
        <f t="shared" si="23"/>
        <v>270</v>
      </c>
      <c r="F98" s="5">
        <f t="shared" si="23"/>
        <v>360</v>
      </c>
      <c r="G98" s="5">
        <f t="shared" si="24"/>
        <v>13104</v>
      </c>
      <c r="H98" s="5">
        <f t="shared" si="24"/>
        <v>3228</v>
      </c>
      <c r="I98" s="5">
        <f t="shared" si="24"/>
        <v>2136</v>
      </c>
      <c r="J98" s="5">
        <f t="shared" si="24"/>
        <v>648</v>
      </c>
      <c r="K98" s="5">
        <f t="shared" si="24"/>
        <v>864</v>
      </c>
      <c r="L98" s="5">
        <f t="shared" si="25"/>
        <v>6552</v>
      </c>
      <c r="M98" s="5">
        <f t="shared" si="25"/>
        <v>1614</v>
      </c>
      <c r="N98" s="5">
        <f t="shared" si="25"/>
        <v>1068</v>
      </c>
      <c r="O98" s="5">
        <f t="shared" si="25"/>
        <v>324</v>
      </c>
      <c r="P98" s="5">
        <f t="shared" si="25"/>
        <v>432</v>
      </c>
      <c r="Q98" s="5">
        <f t="shared" si="26"/>
        <v>25116</v>
      </c>
      <c r="R98" s="5">
        <f t="shared" si="26"/>
        <v>6187</v>
      </c>
      <c r="S98" s="5">
        <f t="shared" si="26"/>
        <v>4094</v>
      </c>
      <c r="T98" s="5">
        <f t="shared" si="26"/>
        <v>1242</v>
      </c>
      <c r="U98" s="5">
        <f t="shared" si="26"/>
        <v>1656</v>
      </c>
      <c r="V98" s="5">
        <f>B98*战斗力计算!$B$8+C98*战斗力计算!$B$9+D98*战斗力计算!$B$10+E98*战斗力计算!$B$11+F98*战斗力计算!$B$12</f>
        <v>39480</v>
      </c>
      <c r="W98" s="5">
        <f>G98*战斗力计算!$B$8+H98*战斗力计算!$B$9+I98*战斗力计算!$B$10+J98*战斗力计算!$B$11+K98*战斗力计算!$B$12+L98*战斗力计算!$B$8+M98*战斗力计算!$B$9+N98*战斗力计算!$B$10+O98*战斗力计算!$B$11+P98*战斗力计算!$B$12</f>
        <v>142128</v>
      </c>
      <c r="X98" s="5">
        <f t="shared" si="28"/>
        <v>181608</v>
      </c>
      <c r="AC98">
        <f t="shared" si="29"/>
        <v>2.4</v>
      </c>
      <c r="AD98">
        <f t="shared" si="30"/>
        <v>1.2</v>
      </c>
      <c r="AF98">
        <f t="shared" si="31"/>
        <v>0.75</v>
      </c>
      <c r="AH98">
        <f t="shared" si="32"/>
        <v>12</v>
      </c>
      <c r="AK98">
        <f t="shared" si="33"/>
        <v>6.1348314606741576</v>
      </c>
      <c r="AL98">
        <f t="shared" si="34"/>
        <v>1.5112359550561798</v>
      </c>
      <c r="AM98">
        <f t="shared" si="35"/>
        <v>1</v>
      </c>
      <c r="AN98">
        <f t="shared" si="36"/>
        <v>6.1348314606741576</v>
      </c>
      <c r="AO98">
        <f t="shared" si="37"/>
        <v>1.5112359550561798</v>
      </c>
      <c r="AP98">
        <f t="shared" si="38"/>
        <v>1</v>
      </c>
      <c r="AR98">
        <f t="shared" si="39"/>
        <v>4.4833333333333334</v>
      </c>
      <c r="AT98">
        <f t="shared" si="40"/>
        <v>4.4833333333333334</v>
      </c>
      <c r="AV98">
        <f t="shared" si="41"/>
        <v>941</v>
      </c>
      <c r="AW98">
        <f t="shared" si="42"/>
        <v>1748</v>
      </c>
    </row>
    <row r="99" spans="1:49" x14ac:dyDescent="0.15">
      <c r="A99" s="5">
        <v>89</v>
      </c>
      <c r="B99" s="5">
        <f t="shared" si="27"/>
        <v>5520</v>
      </c>
      <c r="C99" s="5">
        <f t="shared" si="23"/>
        <v>1360</v>
      </c>
      <c r="D99" s="5">
        <f t="shared" si="23"/>
        <v>900</v>
      </c>
      <c r="E99" s="5">
        <f t="shared" si="23"/>
        <v>273</v>
      </c>
      <c r="F99" s="5">
        <f t="shared" si="23"/>
        <v>364</v>
      </c>
      <c r="G99" s="5">
        <f t="shared" si="24"/>
        <v>13248</v>
      </c>
      <c r="H99" s="5">
        <f t="shared" si="24"/>
        <v>3264</v>
      </c>
      <c r="I99" s="5">
        <f t="shared" si="24"/>
        <v>2160</v>
      </c>
      <c r="J99" s="5">
        <f t="shared" si="24"/>
        <v>655.19999999999993</v>
      </c>
      <c r="K99" s="5">
        <f t="shared" si="24"/>
        <v>873.6</v>
      </c>
      <c r="L99" s="5">
        <f t="shared" si="25"/>
        <v>6624</v>
      </c>
      <c r="M99" s="5">
        <f t="shared" si="25"/>
        <v>1632</v>
      </c>
      <c r="N99" s="5">
        <f t="shared" si="25"/>
        <v>1080</v>
      </c>
      <c r="O99" s="5">
        <f t="shared" si="25"/>
        <v>327.59999999999997</v>
      </c>
      <c r="P99" s="5">
        <f t="shared" si="25"/>
        <v>436.8</v>
      </c>
      <c r="Q99" s="5">
        <f t="shared" si="26"/>
        <v>25392</v>
      </c>
      <c r="R99" s="5">
        <f t="shared" si="26"/>
        <v>6256</v>
      </c>
      <c r="S99" s="5">
        <f t="shared" si="26"/>
        <v>4140</v>
      </c>
      <c r="T99" s="5">
        <f t="shared" si="26"/>
        <v>1255.8</v>
      </c>
      <c r="U99" s="5">
        <f t="shared" si="26"/>
        <v>1674.3999999999999</v>
      </c>
      <c r="V99" s="5">
        <f>B99*战斗力计算!$B$8+C99*战斗力计算!$B$9+D99*战斗力计算!$B$10+E99*战斗力计算!$B$11+F99*战斗力计算!$B$12</f>
        <v>39920</v>
      </c>
      <c r="W99" s="5">
        <f>G99*战斗力计算!$B$8+H99*战斗力计算!$B$9+I99*战斗力计算!$B$10+J99*战斗力计算!$B$11+K99*战斗力计算!$B$12+L99*战斗力计算!$B$8+M99*战斗力计算!$B$9+N99*战斗力计算!$B$10+O99*战斗力计算!$B$11+P99*战斗力计算!$B$12</f>
        <v>143712</v>
      </c>
      <c r="X99" s="5">
        <f t="shared" si="28"/>
        <v>183632</v>
      </c>
      <c r="AC99">
        <f t="shared" si="29"/>
        <v>2.4</v>
      </c>
      <c r="AD99">
        <f t="shared" si="30"/>
        <v>1.2</v>
      </c>
      <c r="AF99">
        <f t="shared" si="31"/>
        <v>0.75</v>
      </c>
      <c r="AH99">
        <f t="shared" si="32"/>
        <v>12</v>
      </c>
      <c r="AK99">
        <f t="shared" si="33"/>
        <v>6.1333333333333337</v>
      </c>
      <c r="AL99">
        <f t="shared" si="34"/>
        <v>1.5111111111111111</v>
      </c>
      <c r="AM99">
        <f t="shared" si="35"/>
        <v>1</v>
      </c>
      <c r="AN99">
        <f t="shared" si="36"/>
        <v>6.1333333333333337</v>
      </c>
      <c r="AO99">
        <f t="shared" si="37"/>
        <v>1.5111111111111111</v>
      </c>
      <c r="AP99">
        <f t="shared" si="38"/>
        <v>1</v>
      </c>
      <c r="AR99">
        <f t="shared" si="39"/>
        <v>4.4835164835164836</v>
      </c>
      <c r="AT99">
        <f t="shared" si="40"/>
        <v>4.4835164835164836</v>
      </c>
      <c r="AV99">
        <f t="shared" si="41"/>
        <v>952</v>
      </c>
      <c r="AW99">
        <f t="shared" si="42"/>
        <v>1768</v>
      </c>
    </row>
    <row r="100" spans="1:49" x14ac:dyDescent="0.15">
      <c r="A100" s="5">
        <v>90</v>
      </c>
      <c r="B100" s="5">
        <f t="shared" si="27"/>
        <v>5580</v>
      </c>
      <c r="C100" s="5">
        <f t="shared" si="23"/>
        <v>1375</v>
      </c>
      <c r="D100" s="5">
        <f t="shared" si="23"/>
        <v>910</v>
      </c>
      <c r="E100" s="5">
        <f t="shared" si="23"/>
        <v>276</v>
      </c>
      <c r="F100" s="5">
        <f t="shared" si="23"/>
        <v>368</v>
      </c>
      <c r="G100" s="5">
        <f t="shared" si="24"/>
        <v>13392</v>
      </c>
      <c r="H100" s="5">
        <f t="shared" si="24"/>
        <v>3300</v>
      </c>
      <c r="I100" s="5">
        <f t="shared" si="24"/>
        <v>2184</v>
      </c>
      <c r="J100" s="5">
        <f t="shared" si="24"/>
        <v>662.4</v>
      </c>
      <c r="K100" s="5">
        <f t="shared" si="24"/>
        <v>883.19999999999993</v>
      </c>
      <c r="L100" s="5">
        <f t="shared" si="25"/>
        <v>6696</v>
      </c>
      <c r="M100" s="5">
        <f t="shared" si="25"/>
        <v>1650</v>
      </c>
      <c r="N100" s="5">
        <f t="shared" si="25"/>
        <v>1092</v>
      </c>
      <c r="O100" s="5">
        <f t="shared" si="25"/>
        <v>331.2</v>
      </c>
      <c r="P100" s="5">
        <f t="shared" si="25"/>
        <v>441.59999999999997</v>
      </c>
      <c r="Q100" s="5">
        <f t="shared" si="26"/>
        <v>25668</v>
      </c>
      <c r="R100" s="5">
        <f t="shared" si="26"/>
        <v>6325</v>
      </c>
      <c r="S100" s="5">
        <f t="shared" si="26"/>
        <v>4186</v>
      </c>
      <c r="T100" s="5">
        <f t="shared" si="26"/>
        <v>1269.5999999999999</v>
      </c>
      <c r="U100" s="5">
        <f t="shared" si="26"/>
        <v>1692.7999999999997</v>
      </c>
      <c r="V100" s="5">
        <f>B100*战斗力计算!$B$8+C100*战斗力计算!$B$9+D100*战斗力计算!$B$10+E100*战斗力计算!$B$11+F100*战斗力计算!$B$12</f>
        <v>40360</v>
      </c>
      <c r="W100" s="5">
        <f>G100*战斗力计算!$B$8+H100*战斗力计算!$B$9+I100*战斗力计算!$B$10+J100*战斗力计算!$B$11+K100*战斗力计算!$B$12+L100*战斗力计算!$B$8+M100*战斗力计算!$B$9+N100*战斗力计算!$B$10+O100*战斗力计算!$B$11+P100*战斗力计算!$B$12</f>
        <v>145296</v>
      </c>
      <c r="X100" s="5">
        <f t="shared" si="28"/>
        <v>185656</v>
      </c>
      <c r="AC100">
        <f t="shared" si="29"/>
        <v>2.4</v>
      </c>
      <c r="AD100">
        <f t="shared" si="30"/>
        <v>1.2</v>
      </c>
      <c r="AF100">
        <f t="shared" si="31"/>
        <v>0.75000000000000011</v>
      </c>
      <c r="AH100">
        <f t="shared" si="32"/>
        <v>12</v>
      </c>
      <c r="AK100">
        <f t="shared" si="33"/>
        <v>6.1318681318681323</v>
      </c>
      <c r="AL100">
        <f t="shared" si="34"/>
        <v>1.5109890109890109</v>
      </c>
      <c r="AM100">
        <f t="shared" si="35"/>
        <v>1</v>
      </c>
      <c r="AN100">
        <f t="shared" si="36"/>
        <v>6.1318681318681323</v>
      </c>
      <c r="AO100">
        <f t="shared" si="37"/>
        <v>1.5109890109890109</v>
      </c>
      <c r="AP100">
        <f t="shared" si="38"/>
        <v>1</v>
      </c>
      <c r="AR100">
        <f t="shared" si="39"/>
        <v>4.4836956521739131</v>
      </c>
      <c r="AT100">
        <f t="shared" si="40"/>
        <v>4.4836956521739131</v>
      </c>
      <c r="AV100">
        <f t="shared" si="41"/>
        <v>962</v>
      </c>
      <c r="AW100">
        <f t="shared" si="42"/>
        <v>1787</v>
      </c>
    </row>
    <row r="101" spans="1:49" x14ac:dyDescent="0.15">
      <c r="A101" s="5">
        <v>91</v>
      </c>
      <c r="B101" s="5">
        <f t="shared" si="27"/>
        <v>5640</v>
      </c>
      <c r="C101" s="5">
        <f t="shared" si="23"/>
        <v>1390</v>
      </c>
      <c r="D101" s="5">
        <f t="shared" si="23"/>
        <v>920</v>
      </c>
      <c r="E101" s="5">
        <f t="shared" si="23"/>
        <v>279</v>
      </c>
      <c r="F101" s="5">
        <f t="shared" si="23"/>
        <v>372</v>
      </c>
      <c r="G101" s="5">
        <f t="shared" si="24"/>
        <v>13536</v>
      </c>
      <c r="H101" s="5">
        <f t="shared" si="24"/>
        <v>3336</v>
      </c>
      <c r="I101" s="5">
        <f t="shared" si="24"/>
        <v>2208</v>
      </c>
      <c r="J101" s="5">
        <f t="shared" si="24"/>
        <v>669.6</v>
      </c>
      <c r="K101" s="5">
        <f t="shared" si="24"/>
        <v>892.8</v>
      </c>
      <c r="L101" s="5">
        <f t="shared" si="25"/>
        <v>6768</v>
      </c>
      <c r="M101" s="5">
        <f t="shared" si="25"/>
        <v>1668</v>
      </c>
      <c r="N101" s="5">
        <f t="shared" si="25"/>
        <v>1104</v>
      </c>
      <c r="O101" s="5">
        <f t="shared" si="25"/>
        <v>334.8</v>
      </c>
      <c r="P101" s="5">
        <f t="shared" si="25"/>
        <v>446.4</v>
      </c>
      <c r="Q101" s="5">
        <f t="shared" si="26"/>
        <v>25944</v>
      </c>
      <c r="R101" s="5">
        <f t="shared" si="26"/>
        <v>6394</v>
      </c>
      <c r="S101" s="5">
        <f t="shared" si="26"/>
        <v>4232</v>
      </c>
      <c r="T101" s="5">
        <f t="shared" si="26"/>
        <v>1283.4000000000001</v>
      </c>
      <c r="U101" s="5">
        <f t="shared" si="26"/>
        <v>1711.1999999999998</v>
      </c>
      <c r="V101" s="5">
        <f>B101*战斗力计算!$B$8+C101*战斗力计算!$B$9+D101*战斗力计算!$B$10+E101*战斗力计算!$B$11+F101*战斗力计算!$B$12</f>
        <v>40800</v>
      </c>
      <c r="W101" s="5">
        <f>G101*战斗力计算!$B$8+H101*战斗力计算!$B$9+I101*战斗力计算!$B$10+J101*战斗力计算!$B$11+K101*战斗力计算!$B$12+L101*战斗力计算!$B$8+M101*战斗力计算!$B$9+N101*战斗力计算!$B$10+O101*战斗力计算!$B$11+P101*战斗力计算!$B$12</f>
        <v>146880</v>
      </c>
      <c r="X101" s="5">
        <f t="shared" si="28"/>
        <v>187680</v>
      </c>
      <c r="AC101">
        <f t="shared" si="29"/>
        <v>2.4</v>
      </c>
      <c r="AD101">
        <f t="shared" si="30"/>
        <v>1.2</v>
      </c>
      <c r="AF101">
        <f t="shared" si="31"/>
        <v>0.75000000000000011</v>
      </c>
      <c r="AH101">
        <f t="shared" si="32"/>
        <v>12</v>
      </c>
      <c r="AK101">
        <f t="shared" si="33"/>
        <v>6.1304347826086953</v>
      </c>
      <c r="AL101">
        <f t="shared" si="34"/>
        <v>1.5108695652173914</v>
      </c>
      <c r="AM101">
        <f t="shared" si="35"/>
        <v>1</v>
      </c>
      <c r="AN101">
        <f t="shared" si="36"/>
        <v>6.1304347826086953</v>
      </c>
      <c r="AO101">
        <f t="shared" si="37"/>
        <v>1.5108695652173914</v>
      </c>
      <c r="AP101">
        <f t="shared" si="38"/>
        <v>1</v>
      </c>
      <c r="AR101">
        <f t="shared" si="39"/>
        <v>4.4838709677419351</v>
      </c>
      <c r="AT101">
        <f t="shared" si="40"/>
        <v>4.4838709677419351</v>
      </c>
      <c r="AV101">
        <f t="shared" si="41"/>
        <v>973</v>
      </c>
      <c r="AW101">
        <f t="shared" si="42"/>
        <v>1807</v>
      </c>
    </row>
    <row r="102" spans="1:49" x14ac:dyDescent="0.15">
      <c r="A102" s="5">
        <v>92</v>
      </c>
      <c r="B102" s="5">
        <f t="shared" si="27"/>
        <v>5700</v>
      </c>
      <c r="C102" s="5">
        <f t="shared" si="23"/>
        <v>1405</v>
      </c>
      <c r="D102" s="5">
        <f t="shared" si="23"/>
        <v>930</v>
      </c>
      <c r="E102" s="5">
        <f t="shared" si="23"/>
        <v>282</v>
      </c>
      <c r="F102" s="5">
        <f t="shared" si="23"/>
        <v>376</v>
      </c>
      <c r="G102" s="5">
        <f t="shared" si="24"/>
        <v>13680</v>
      </c>
      <c r="H102" s="5">
        <f t="shared" si="24"/>
        <v>3372</v>
      </c>
      <c r="I102" s="5">
        <f t="shared" si="24"/>
        <v>2232</v>
      </c>
      <c r="J102" s="5">
        <f t="shared" si="24"/>
        <v>676.8</v>
      </c>
      <c r="K102" s="5">
        <f t="shared" si="24"/>
        <v>902.4</v>
      </c>
      <c r="L102" s="5">
        <f t="shared" si="25"/>
        <v>6840</v>
      </c>
      <c r="M102" s="5">
        <f t="shared" si="25"/>
        <v>1686</v>
      </c>
      <c r="N102" s="5">
        <f t="shared" si="25"/>
        <v>1116</v>
      </c>
      <c r="O102" s="5">
        <f t="shared" si="25"/>
        <v>338.4</v>
      </c>
      <c r="P102" s="5">
        <f t="shared" si="25"/>
        <v>451.2</v>
      </c>
      <c r="Q102" s="5">
        <f t="shared" si="26"/>
        <v>26220</v>
      </c>
      <c r="R102" s="5">
        <f t="shared" si="26"/>
        <v>6463</v>
      </c>
      <c r="S102" s="5">
        <f t="shared" si="26"/>
        <v>4278</v>
      </c>
      <c r="T102" s="5">
        <f t="shared" si="26"/>
        <v>1297.1999999999998</v>
      </c>
      <c r="U102" s="5">
        <f t="shared" si="26"/>
        <v>1729.6000000000001</v>
      </c>
      <c r="V102" s="5">
        <f>B102*战斗力计算!$B$8+C102*战斗力计算!$B$9+D102*战斗力计算!$B$10+E102*战斗力计算!$B$11+F102*战斗力计算!$B$12</f>
        <v>41240</v>
      </c>
      <c r="W102" s="5">
        <f>G102*战斗力计算!$B$8+H102*战斗力计算!$B$9+I102*战斗力计算!$B$10+J102*战斗力计算!$B$11+K102*战斗力计算!$B$12+L102*战斗力计算!$B$8+M102*战斗力计算!$B$9+N102*战斗力计算!$B$10+O102*战斗力计算!$B$11+P102*战斗力计算!$B$12</f>
        <v>148464</v>
      </c>
      <c r="X102" s="5">
        <f t="shared" si="28"/>
        <v>189704</v>
      </c>
      <c r="AC102">
        <f t="shared" si="29"/>
        <v>2.4</v>
      </c>
      <c r="AD102">
        <f t="shared" si="30"/>
        <v>1.2</v>
      </c>
      <c r="AF102">
        <f t="shared" si="31"/>
        <v>0.74999999999999989</v>
      </c>
      <c r="AH102">
        <f t="shared" si="32"/>
        <v>12</v>
      </c>
      <c r="AK102">
        <f t="shared" si="33"/>
        <v>6.129032258064516</v>
      </c>
      <c r="AL102">
        <f t="shared" si="34"/>
        <v>1.510752688172043</v>
      </c>
      <c r="AM102">
        <f t="shared" si="35"/>
        <v>1</v>
      </c>
      <c r="AN102">
        <f t="shared" si="36"/>
        <v>6.129032258064516</v>
      </c>
      <c r="AO102">
        <f t="shared" si="37"/>
        <v>1.510752688172043</v>
      </c>
      <c r="AP102">
        <f t="shared" si="38"/>
        <v>1</v>
      </c>
      <c r="AR102">
        <f t="shared" si="39"/>
        <v>4.4840425531914896</v>
      </c>
      <c r="AT102">
        <f t="shared" si="40"/>
        <v>4.4840425531914896</v>
      </c>
      <c r="AV102">
        <f t="shared" si="41"/>
        <v>983</v>
      </c>
      <c r="AW102">
        <f t="shared" si="42"/>
        <v>1826</v>
      </c>
    </row>
    <row r="103" spans="1:49" x14ac:dyDescent="0.15">
      <c r="A103" s="5">
        <v>93</v>
      </c>
      <c r="B103" s="5">
        <f t="shared" si="27"/>
        <v>5760</v>
      </c>
      <c r="C103" s="5">
        <f t="shared" si="23"/>
        <v>1420</v>
      </c>
      <c r="D103" s="5">
        <f t="shared" si="23"/>
        <v>940</v>
      </c>
      <c r="E103" s="5">
        <f t="shared" si="23"/>
        <v>285</v>
      </c>
      <c r="F103" s="5">
        <f t="shared" si="23"/>
        <v>380</v>
      </c>
      <c r="G103" s="5">
        <f t="shared" si="24"/>
        <v>13824</v>
      </c>
      <c r="H103" s="5">
        <f t="shared" si="24"/>
        <v>3408</v>
      </c>
      <c r="I103" s="5">
        <f t="shared" si="24"/>
        <v>2256</v>
      </c>
      <c r="J103" s="5">
        <f t="shared" si="24"/>
        <v>684</v>
      </c>
      <c r="K103" s="5">
        <f t="shared" si="24"/>
        <v>912</v>
      </c>
      <c r="L103" s="5">
        <f t="shared" si="25"/>
        <v>6912</v>
      </c>
      <c r="M103" s="5">
        <f t="shared" si="25"/>
        <v>1704</v>
      </c>
      <c r="N103" s="5">
        <f t="shared" si="25"/>
        <v>1128</v>
      </c>
      <c r="O103" s="5">
        <f t="shared" si="25"/>
        <v>342</v>
      </c>
      <c r="P103" s="5">
        <f t="shared" si="25"/>
        <v>456</v>
      </c>
      <c r="Q103" s="5">
        <f t="shared" si="26"/>
        <v>26496</v>
      </c>
      <c r="R103" s="5">
        <f t="shared" si="26"/>
        <v>6532</v>
      </c>
      <c r="S103" s="5">
        <f t="shared" si="26"/>
        <v>4324</v>
      </c>
      <c r="T103" s="5">
        <f t="shared" si="26"/>
        <v>1311</v>
      </c>
      <c r="U103" s="5">
        <f t="shared" si="26"/>
        <v>1748</v>
      </c>
      <c r="V103" s="5">
        <f>B103*战斗力计算!$B$8+C103*战斗力计算!$B$9+D103*战斗力计算!$B$10+E103*战斗力计算!$B$11+F103*战斗力计算!$B$12</f>
        <v>41680</v>
      </c>
      <c r="W103" s="5">
        <f>G103*战斗力计算!$B$8+H103*战斗力计算!$B$9+I103*战斗力计算!$B$10+J103*战斗力计算!$B$11+K103*战斗力计算!$B$12+L103*战斗力计算!$B$8+M103*战斗力计算!$B$9+N103*战斗力计算!$B$10+O103*战斗力计算!$B$11+P103*战斗力计算!$B$12</f>
        <v>150048</v>
      </c>
      <c r="X103" s="5">
        <f t="shared" si="28"/>
        <v>191728</v>
      </c>
      <c r="AC103">
        <f t="shared" si="29"/>
        <v>2.4</v>
      </c>
      <c r="AD103">
        <f t="shared" si="30"/>
        <v>1.2</v>
      </c>
      <c r="AF103">
        <f t="shared" si="31"/>
        <v>0.75</v>
      </c>
      <c r="AH103">
        <f t="shared" si="32"/>
        <v>12</v>
      </c>
      <c r="AK103">
        <f t="shared" si="33"/>
        <v>6.1276595744680851</v>
      </c>
      <c r="AL103">
        <f t="shared" si="34"/>
        <v>1.5106382978723405</v>
      </c>
      <c r="AM103">
        <f t="shared" si="35"/>
        <v>1</v>
      </c>
      <c r="AN103">
        <f t="shared" si="36"/>
        <v>6.1276595744680851</v>
      </c>
      <c r="AO103">
        <f t="shared" si="37"/>
        <v>1.5106382978723405</v>
      </c>
      <c r="AP103">
        <f t="shared" si="38"/>
        <v>1</v>
      </c>
      <c r="AR103">
        <f t="shared" si="39"/>
        <v>4.4842105263157892</v>
      </c>
      <c r="AT103">
        <f t="shared" si="40"/>
        <v>4.4842105263157892</v>
      </c>
      <c r="AV103">
        <f t="shared" si="41"/>
        <v>994</v>
      </c>
      <c r="AW103">
        <f t="shared" si="42"/>
        <v>1846</v>
      </c>
    </row>
    <row r="104" spans="1:49" x14ac:dyDescent="0.15">
      <c r="A104" s="5">
        <v>94</v>
      </c>
      <c r="B104" s="5">
        <f t="shared" si="27"/>
        <v>5820</v>
      </c>
      <c r="C104" s="5">
        <f t="shared" si="23"/>
        <v>1435</v>
      </c>
      <c r="D104" s="5">
        <f t="shared" si="23"/>
        <v>950</v>
      </c>
      <c r="E104" s="5">
        <f t="shared" si="23"/>
        <v>288</v>
      </c>
      <c r="F104" s="5">
        <f t="shared" si="23"/>
        <v>384</v>
      </c>
      <c r="G104" s="5">
        <f t="shared" si="24"/>
        <v>13968</v>
      </c>
      <c r="H104" s="5">
        <f t="shared" si="24"/>
        <v>3444</v>
      </c>
      <c r="I104" s="5">
        <f t="shared" si="24"/>
        <v>2280</v>
      </c>
      <c r="J104" s="5">
        <f t="shared" si="24"/>
        <v>691.19999999999993</v>
      </c>
      <c r="K104" s="5">
        <f t="shared" si="24"/>
        <v>921.59999999999991</v>
      </c>
      <c r="L104" s="5">
        <f t="shared" si="25"/>
        <v>6984</v>
      </c>
      <c r="M104" s="5">
        <f t="shared" si="25"/>
        <v>1722</v>
      </c>
      <c r="N104" s="5">
        <f t="shared" si="25"/>
        <v>1140</v>
      </c>
      <c r="O104" s="5">
        <f t="shared" si="25"/>
        <v>345.59999999999997</v>
      </c>
      <c r="P104" s="5">
        <f t="shared" si="25"/>
        <v>460.79999999999995</v>
      </c>
      <c r="Q104" s="5">
        <f t="shared" si="26"/>
        <v>26772</v>
      </c>
      <c r="R104" s="5">
        <f t="shared" si="26"/>
        <v>6601</v>
      </c>
      <c r="S104" s="5">
        <f t="shared" si="26"/>
        <v>4370</v>
      </c>
      <c r="T104" s="5">
        <f t="shared" si="26"/>
        <v>1324.8</v>
      </c>
      <c r="U104" s="5">
        <f t="shared" si="26"/>
        <v>1766.3999999999999</v>
      </c>
      <c r="V104" s="5">
        <f>B104*战斗力计算!$B$8+C104*战斗力计算!$B$9+D104*战斗力计算!$B$10+E104*战斗力计算!$B$11+F104*战斗力计算!$B$12</f>
        <v>42120</v>
      </c>
      <c r="W104" s="5">
        <f>G104*战斗力计算!$B$8+H104*战斗力计算!$B$9+I104*战斗力计算!$B$10+J104*战斗力计算!$B$11+K104*战斗力计算!$B$12+L104*战斗力计算!$B$8+M104*战斗力计算!$B$9+N104*战斗力计算!$B$10+O104*战斗力计算!$B$11+P104*战斗力计算!$B$12</f>
        <v>151632</v>
      </c>
      <c r="X104" s="5">
        <f t="shared" si="28"/>
        <v>193752</v>
      </c>
      <c r="AC104">
        <f t="shared" si="29"/>
        <v>2.4</v>
      </c>
      <c r="AD104">
        <f t="shared" si="30"/>
        <v>1.2</v>
      </c>
      <c r="AF104">
        <f t="shared" si="31"/>
        <v>0.75</v>
      </c>
      <c r="AH104">
        <f t="shared" si="32"/>
        <v>12</v>
      </c>
      <c r="AK104">
        <f t="shared" si="33"/>
        <v>6.1263157894736846</v>
      </c>
      <c r="AL104">
        <f t="shared" si="34"/>
        <v>1.5105263157894737</v>
      </c>
      <c r="AM104">
        <f t="shared" si="35"/>
        <v>1</v>
      </c>
      <c r="AN104">
        <f t="shared" si="36"/>
        <v>6.1263157894736846</v>
      </c>
      <c r="AO104">
        <f t="shared" si="37"/>
        <v>1.5105263157894737</v>
      </c>
      <c r="AP104">
        <f t="shared" si="38"/>
        <v>1</v>
      </c>
      <c r="AR104">
        <f t="shared" si="39"/>
        <v>4.484375</v>
      </c>
      <c r="AT104">
        <f t="shared" si="40"/>
        <v>4.484375</v>
      </c>
      <c r="AV104">
        <f t="shared" si="41"/>
        <v>1004</v>
      </c>
      <c r="AW104">
        <f t="shared" si="42"/>
        <v>1865</v>
      </c>
    </row>
    <row r="105" spans="1:49" x14ac:dyDescent="0.15">
      <c r="A105" s="5">
        <v>95</v>
      </c>
      <c r="B105" s="5">
        <f t="shared" si="27"/>
        <v>5880</v>
      </c>
      <c r="C105" s="5">
        <f t="shared" si="23"/>
        <v>1450</v>
      </c>
      <c r="D105" s="5">
        <f t="shared" si="23"/>
        <v>960</v>
      </c>
      <c r="E105" s="5">
        <f t="shared" si="23"/>
        <v>291</v>
      </c>
      <c r="F105" s="5">
        <f t="shared" si="23"/>
        <v>388</v>
      </c>
      <c r="G105" s="5">
        <f t="shared" si="24"/>
        <v>14112</v>
      </c>
      <c r="H105" s="5">
        <f t="shared" si="24"/>
        <v>3480</v>
      </c>
      <c r="I105" s="5">
        <f t="shared" si="24"/>
        <v>2304</v>
      </c>
      <c r="J105" s="5">
        <f t="shared" si="24"/>
        <v>698.4</v>
      </c>
      <c r="K105" s="5">
        <f t="shared" si="24"/>
        <v>931.19999999999993</v>
      </c>
      <c r="L105" s="5">
        <f t="shared" si="25"/>
        <v>7056</v>
      </c>
      <c r="M105" s="5">
        <f t="shared" si="25"/>
        <v>1740</v>
      </c>
      <c r="N105" s="5">
        <f t="shared" si="25"/>
        <v>1152</v>
      </c>
      <c r="O105" s="5">
        <f t="shared" si="25"/>
        <v>349.2</v>
      </c>
      <c r="P105" s="5">
        <f t="shared" si="25"/>
        <v>465.59999999999997</v>
      </c>
      <c r="Q105" s="5">
        <f t="shared" si="26"/>
        <v>27048</v>
      </c>
      <c r="R105" s="5">
        <f t="shared" si="26"/>
        <v>6670</v>
      </c>
      <c r="S105" s="5">
        <f t="shared" si="26"/>
        <v>4416</v>
      </c>
      <c r="T105" s="5">
        <f t="shared" si="26"/>
        <v>1338.6</v>
      </c>
      <c r="U105" s="5">
        <f t="shared" si="26"/>
        <v>1784.7999999999997</v>
      </c>
      <c r="V105" s="5">
        <f>B105*战斗力计算!$B$8+C105*战斗力计算!$B$9+D105*战斗力计算!$B$10+E105*战斗力计算!$B$11+F105*战斗力计算!$B$12</f>
        <v>42560</v>
      </c>
      <c r="W105" s="5">
        <f>G105*战斗力计算!$B$8+H105*战斗力计算!$B$9+I105*战斗力计算!$B$10+J105*战斗力计算!$B$11+K105*战斗力计算!$B$12+L105*战斗力计算!$B$8+M105*战斗力计算!$B$9+N105*战斗力计算!$B$10+O105*战斗力计算!$B$11+P105*战斗力计算!$B$12</f>
        <v>153216</v>
      </c>
      <c r="X105" s="5">
        <f t="shared" si="28"/>
        <v>195776</v>
      </c>
      <c r="AC105">
        <f t="shared" si="29"/>
        <v>2.4</v>
      </c>
      <c r="AD105">
        <f t="shared" si="30"/>
        <v>1.2</v>
      </c>
      <c r="AF105">
        <f t="shared" si="31"/>
        <v>0.75000000000000011</v>
      </c>
      <c r="AH105">
        <f t="shared" si="32"/>
        <v>12</v>
      </c>
      <c r="AK105">
        <f t="shared" si="33"/>
        <v>6.125</v>
      </c>
      <c r="AL105">
        <f t="shared" si="34"/>
        <v>1.5104166666666667</v>
      </c>
      <c r="AM105">
        <f t="shared" si="35"/>
        <v>1</v>
      </c>
      <c r="AN105">
        <f t="shared" si="36"/>
        <v>6.125</v>
      </c>
      <c r="AO105">
        <f t="shared" si="37"/>
        <v>1.5104166666666667</v>
      </c>
      <c r="AP105">
        <f t="shared" si="38"/>
        <v>1</v>
      </c>
      <c r="AR105">
        <f t="shared" si="39"/>
        <v>4.4845360824742269</v>
      </c>
      <c r="AT105">
        <f t="shared" si="40"/>
        <v>4.4845360824742269</v>
      </c>
      <c r="AV105">
        <f t="shared" si="41"/>
        <v>1015</v>
      </c>
      <c r="AW105">
        <f t="shared" si="42"/>
        <v>1885</v>
      </c>
    </row>
    <row r="106" spans="1:49" x14ac:dyDescent="0.15">
      <c r="A106" s="5">
        <v>96</v>
      </c>
      <c r="B106" s="5">
        <f t="shared" si="27"/>
        <v>5940</v>
      </c>
      <c r="C106" s="5">
        <f t="shared" si="23"/>
        <v>1465</v>
      </c>
      <c r="D106" s="5">
        <f t="shared" si="23"/>
        <v>970</v>
      </c>
      <c r="E106" s="5">
        <f t="shared" si="23"/>
        <v>294</v>
      </c>
      <c r="F106" s="5">
        <f t="shared" si="23"/>
        <v>392</v>
      </c>
      <c r="G106" s="5">
        <f t="shared" si="24"/>
        <v>14256</v>
      </c>
      <c r="H106" s="5">
        <f t="shared" si="24"/>
        <v>3516</v>
      </c>
      <c r="I106" s="5">
        <f t="shared" si="24"/>
        <v>2328</v>
      </c>
      <c r="J106" s="5">
        <f t="shared" si="24"/>
        <v>705.6</v>
      </c>
      <c r="K106" s="5">
        <f t="shared" si="24"/>
        <v>940.8</v>
      </c>
      <c r="L106" s="5">
        <f t="shared" si="25"/>
        <v>7128</v>
      </c>
      <c r="M106" s="5">
        <f t="shared" si="25"/>
        <v>1758</v>
      </c>
      <c r="N106" s="5">
        <f t="shared" si="25"/>
        <v>1164</v>
      </c>
      <c r="O106" s="5">
        <f t="shared" si="25"/>
        <v>352.8</v>
      </c>
      <c r="P106" s="5">
        <f t="shared" si="25"/>
        <v>470.4</v>
      </c>
      <c r="Q106" s="5">
        <f t="shared" si="26"/>
        <v>27324</v>
      </c>
      <c r="R106" s="5">
        <f t="shared" si="26"/>
        <v>6739</v>
      </c>
      <c r="S106" s="5">
        <f t="shared" si="26"/>
        <v>4462</v>
      </c>
      <c r="T106" s="5">
        <f t="shared" si="26"/>
        <v>1352.4</v>
      </c>
      <c r="U106" s="5">
        <f t="shared" si="26"/>
        <v>1803.1999999999998</v>
      </c>
      <c r="V106" s="5">
        <f>B106*战斗力计算!$B$8+C106*战斗力计算!$B$9+D106*战斗力计算!$B$10+E106*战斗力计算!$B$11+F106*战斗力计算!$B$12</f>
        <v>43000</v>
      </c>
      <c r="W106" s="5">
        <f>G106*战斗力计算!$B$8+H106*战斗力计算!$B$9+I106*战斗力计算!$B$10+J106*战斗力计算!$B$11+K106*战斗力计算!$B$12+L106*战斗力计算!$B$8+M106*战斗力计算!$B$9+N106*战斗力计算!$B$10+O106*战斗力计算!$B$11+P106*战斗力计算!$B$12</f>
        <v>154800</v>
      </c>
      <c r="X106" s="5">
        <f t="shared" si="28"/>
        <v>197800</v>
      </c>
      <c r="AC106">
        <f t="shared" si="29"/>
        <v>2.4</v>
      </c>
      <c r="AD106">
        <f t="shared" si="30"/>
        <v>1.2</v>
      </c>
      <c r="AF106">
        <f t="shared" si="31"/>
        <v>0.75000000000000011</v>
      </c>
      <c r="AH106">
        <f t="shared" si="32"/>
        <v>12</v>
      </c>
      <c r="AK106">
        <f t="shared" si="33"/>
        <v>6.1237113402061851</v>
      </c>
      <c r="AL106">
        <f t="shared" si="34"/>
        <v>1.5103092783505154</v>
      </c>
      <c r="AM106">
        <f t="shared" si="35"/>
        <v>1</v>
      </c>
      <c r="AN106">
        <f t="shared" si="36"/>
        <v>6.1237113402061851</v>
      </c>
      <c r="AO106">
        <f t="shared" si="37"/>
        <v>1.5103092783505154</v>
      </c>
      <c r="AP106">
        <f t="shared" si="38"/>
        <v>1</v>
      </c>
      <c r="AR106">
        <f t="shared" si="39"/>
        <v>4.4846938775510203</v>
      </c>
      <c r="AT106">
        <f t="shared" si="40"/>
        <v>4.4846938775510203</v>
      </c>
      <c r="AV106">
        <f t="shared" si="41"/>
        <v>1025</v>
      </c>
      <c r="AW106">
        <f t="shared" si="42"/>
        <v>1904</v>
      </c>
    </row>
    <row r="107" spans="1:49" x14ac:dyDescent="0.15">
      <c r="A107" s="5">
        <v>97</v>
      </c>
      <c r="B107" s="5">
        <f t="shared" si="27"/>
        <v>6000</v>
      </c>
      <c r="C107" s="5">
        <f t="shared" si="23"/>
        <v>1480</v>
      </c>
      <c r="D107" s="5">
        <f t="shared" si="23"/>
        <v>980</v>
      </c>
      <c r="E107" s="5">
        <f t="shared" si="23"/>
        <v>297</v>
      </c>
      <c r="F107" s="5">
        <f t="shared" si="23"/>
        <v>396</v>
      </c>
      <c r="G107" s="5">
        <f t="shared" si="24"/>
        <v>14400</v>
      </c>
      <c r="H107" s="5">
        <f t="shared" si="24"/>
        <v>3552</v>
      </c>
      <c r="I107" s="5">
        <f t="shared" si="24"/>
        <v>2352</v>
      </c>
      <c r="J107" s="5">
        <f t="shared" si="24"/>
        <v>712.8</v>
      </c>
      <c r="K107" s="5">
        <f t="shared" si="24"/>
        <v>950.4</v>
      </c>
      <c r="L107" s="5">
        <f t="shared" si="25"/>
        <v>7200</v>
      </c>
      <c r="M107" s="5">
        <f t="shared" si="25"/>
        <v>1776</v>
      </c>
      <c r="N107" s="5">
        <f t="shared" si="25"/>
        <v>1176</v>
      </c>
      <c r="O107" s="5">
        <f t="shared" si="25"/>
        <v>356.4</v>
      </c>
      <c r="P107" s="5">
        <f t="shared" si="25"/>
        <v>475.2</v>
      </c>
      <c r="Q107" s="5">
        <f t="shared" si="26"/>
        <v>27600</v>
      </c>
      <c r="R107" s="5">
        <f t="shared" si="26"/>
        <v>6808</v>
      </c>
      <c r="S107" s="5">
        <f t="shared" si="26"/>
        <v>4508</v>
      </c>
      <c r="T107" s="5">
        <f t="shared" si="26"/>
        <v>1366.1999999999998</v>
      </c>
      <c r="U107" s="5">
        <f t="shared" si="26"/>
        <v>1821.6000000000001</v>
      </c>
      <c r="V107" s="5">
        <f>B107*战斗力计算!$B$8+C107*战斗力计算!$B$9+D107*战斗力计算!$B$10+E107*战斗力计算!$B$11+F107*战斗力计算!$B$12</f>
        <v>43440</v>
      </c>
      <c r="W107" s="5">
        <f>G107*战斗力计算!$B$8+H107*战斗力计算!$B$9+I107*战斗力计算!$B$10+J107*战斗力计算!$B$11+K107*战斗力计算!$B$12+L107*战斗力计算!$B$8+M107*战斗力计算!$B$9+N107*战斗力计算!$B$10+O107*战斗力计算!$B$11+P107*战斗力计算!$B$12</f>
        <v>156384</v>
      </c>
      <c r="X107" s="5">
        <f t="shared" si="28"/>
        <v>199824</v>
      </c>
      <c r="AC107">
        <f t="shared" si="29"/>
        <v>2.4</v>
      </c>
      <c r="AD107">
        <f t="shared" si="30"/>
        <v>1.2</v>
      </c>
      <c r="AF107">
        <f t="shared" si="31"/>
        <v>0.74999999999999989</v>
      </c>
      <c r="AH107">
        <f t="shared" si="32"/>
        <v>12</v>
      </c>
      <c r="AK107">
        <f t="shared" si="33"/>
        <v>6.1224489795918364</v>
      </c>
      <c r="AL107">
        <f t="shared" si="34"/>
        <v>1.510204081632653</v>
      </c>
      <c r="AM107">
        <f t="shared" si="35"/>
        <v>1</v>
      </c>
      <c r="AN107">
        <f t="shared" si="36"/>
        <v>6.1224489795918364</v>
      </c>
      <c r="AO107">
        <f t="shared" si="37"/>
        <v>1.510204081632653</v>
      </c>
      <c r="AP107">
        <f t="shared" si="38"/>
        <v>1</v>
      </c>
      <c r="AR107">
        <f t="shared" si="39"/>
        <v>4.4848484848484844</v>
      </c>
      <c r="AT107">
        <f t="shared" si="40"/>
        <v>4.4848484848484844</v>
      </c>
      <c r="AV107">
        <f t="shared" si="41"/>
        <v>1036</v>
      </c>
      <c r="AW107">
        <f t="shared" si="42"/>
        <v>1924</v>
      </c>
    </row>
    <row r="108" spans="1:49" x14ac:dyDescent="0.15">
      <c r="A108" s="5">
        <v>98</v>
      </c>
      <c r="B108" s="5">
        <f t="shared" si="27"/>
        <v>6060</v>
      </c>
      <c r="C108" s="5">
        <f t="shared" si="23"/>
        <v>1495</v>
      </c>
      <c r="D108" s="5">
        <f t="shared" si="23"/>
        <v>990</v>
      </c>
      <c r="E108" s="5">
        <f t="shared" si="23"/>
        <v>300</v>
      </c>
      <c r="F108" s="5">
        <f t="shared" si="23"/>
        <v>400</v>
      </c>
      <c r="G108" s="5">
        <f t="shared" si="24"/>
        <v>14544</v>
      </c>
      <c r="H108" s="5">
        <f t="shared" si="24"/>
        <v>3588</v>
      </c>
      <c r="I108" s="5">
        <f t="shared" si="24"/>
        <v>2376</v>
      </c>
      <c r="J108" s="5">
        <f t="shared" si="24"/>
        <v>720</v>
      </c>
      <c r="K108" s="5">
        <f t="shared" si="24"/>
        <v>960</v>
      </c>
      <c r="L108" s="5">
        <f t="shared" si="25"/>
        <v>7272</v>
      </c>
      <c r="M108" s="5">
        <f t="shared" si="25"/>
        <v>1794</v>
      </c>
      <c r="N108" s="5">
        <f t="shared" si="25"/>
        <v>1188</v>
      </c>
      <c r="O108" s="5">
        <f t="shared" si="25"/>
        <v>360</v>
      </c>
      <c r="P108" s="5">
        <f t="shared" si="25"/>
        <v>480</v>
      </c>
      <c r="Q108" s="5">
        <f t="shared" si="26"/>
        <v>27876</v>
      </c>
      <c r="R108" s="5">
        <f t="shared" si="26"/>
        <v>6877</v>
      </c>
      <c r="S108" s="5">
        <f t="shared" si="26"/>
        <v>4554</v>
      </c>
      <c r="T108" s="5">
        <f t="shared" si="26"/>
        <v>1380</v>
      </c>
      <c r="U108" s="5">
        <f t="shared" si="26"/>
        <v>1840</v>
      </c>
      <c r="V108" s="5">
        <f>B108*战斗力计算!$B$8+C108*战斗力计算!$B$9+D108*战斗力计算!$B$10+E108*战斗力计算!$B$11+F108*战斗力计算!$B$12</f>
        <v>43880</v>
      </c>
      <c r="W108" s="5">
        <f>G108*战斗力计算!$B$8+H108*战斗力计算!$B$9+I108*战斗力计算!$B$10+J108*战斗力计算!$B$11+K108*战斗力计算!$B$12+L108*战斗力计算!$B$8+M108*战斗力计算!$B$9+N108*战斗力计算!$B$10+O108*战斗力计算!$B$11+P108*战斗力计算!$B$12</f>
        <v>157968</v>
      </c>
      <c r="X108" s="5">
        <f t="shared" si="28"/>
        <v>201848</v>
      </c>
      <c r="AC108">
        <f t="shared" si="29"/>
        <v>2.4</v>
      </c>
      <c r="AD108">
        <f t="shared" si="30"/>
        <v>1.2</v>
      </c>
      <c r="AF108">
        <f t="shared" si="31"/>
        <v>0.75</v>
      </c>
      <c r="AH108">
        <f t="shared" si="32"/>
        <v>12</v>
      </c>
      <c r="AK108">
        <f t="shared" si="33"/>
        <v>6.1212121212121211</v>
      </c>
      <c r="AL108">
        <f t="shared" si="34"/>
        <v>1.5101010101010102</v>
      </c>
      <c r="AM108">
        <f t="shared" si="35"/>
        <v>1</v>
      </c>
      <c r="AN108">
        <f t="shared" si="36"/>
        <v>6.1212121212121211</v>
      </c>
      <c r="AO108">
        <f t="shared" si="37"/>
        <v>1.5101010101010102</v>
      </c>
      <c r="AP108">
        <f t="shared" si="38"/>
        <v>1</v>
      </c>
      <c r="AR108">
        <f t="shared" si="39"/>
        <v>4.4850000000000003</v>
      </c>
      <c r="AT108">
        <f t="shared" si="40"/>
        <v>4.4850000000000003</v>
      </c>
      <c r="AV108">
        <f t="shared" si="41"/>
        <v>1046</v>
      </c>
      <c r="AW108">
        <f t="shared" si="42"/>
        <v>1943</v>
      </c>
    </row>
    <row r="109" spans="1:49" x14ac:dyDescent="0.15">
      <c r="A109" s="5">
        <v>99</v>
      </c>
      <c r="B109" s="5">
        <f t="shared" si="27"/>
        <v>6120</v>
      </c>
      <c r="C109" s="5">
        <f t="shared" si="23"/>
        <v>1510</v>
      </c>
      <c r="D109" s="5">
        <f t="shared" si="23"/>
        <v>1000</v>
      </c>
      <c r="E109" s="5">
        <f t="shared" si="23"/>
        <v>303</v>
      </c>
      <c r="F109" s="5">
        <f t="shared" si="23"/>
        <v>404</v>
      </c>
      <c r="G109" s="5">
        <f t="shared" si="24"/>
        <v>14688</v>
      </c>
      <c r="H109" s="5">
        <f t="shared" si="24"/>
        <v>3624</v>
      </c>
      <c r="I109" s="5">
        <f t="shared" si="24"/>
        <v>2400</v>
      </c>
      <c r="J109" s="5">
        <f t="shared" si="24"/>
        <v>727.19999999999993</v>
      </c>
      <c r="K109" s="5">
        <f t="shared" si="24"/>
        <v>969.59999999999991</v>
      </c>
      <c r="L109" s="5">
        <f t="shared" si="25"/>
        <v>7344</v>
      </c>
      <c r="M109" s="5">
        <f t="shared" si="25"/>
        <v>1812</v>
      </c>
      <c r="N109" s="5">
        <f t="shared" si="25"/>
        <v>1200</v>
      </c>
      <c r="O109" s="5">
        <f t="shared" si="25"/>
        <v>363.59999999999997</v>
      </c>
      <c r="P109" s="5">
        <f t="shared" si="25"/>
        <v>484.79999999999995</v>
      </c>
      <c r="Q109" s="5">
        <f t="shared" si="26"/>
        <v>28152</v>
      </c>
      <c r="R109" s="5">
        <f t="shared" si="26"/>
        <v>6946</v>
      </c>
      <c r="S109" s="5">
        <f t="shared" si="26"/>
        <v>4600</v>
      </c>
      <c r="T109" s="5">
        <f t="shared" si="26"/>
        <v>1393.7999999999997</v>
      </c>
      <c r="U109" s="5">
        <f t="shared" si="26"/>
        <v>1858.3999999999999</v>
      </c>
      <c r="V109" s="5">
        <f>B109*战斗力计算!$B$8+C109*战斗力计算!$B$9+D109*战斗力计算!$B$10+E109*战斗力计算!$B$11+F109*战斗力计算!$B$12</f>
        <v>44320</v>
      </c>
      <c r="W109" s="5">
        <f>G109*战斗力计算!$B$8+H109*战斗力计算!$B$9+I109*战斗力计算!$B$10+J109*战斗力计算!$B$11+K109*战斗力计算!$B$12+L109*战斗力计算!$B$8+M109*战斗力计算!$B$9+N109*战斗力计算!$B$10+O109*战斗力计算!$B$11+P109*战斗力计算!$B$12</f>
        <v>159552</v>
      </c>
      <c r="X109" s="5">
        <f t="shared" si="28"/>
        <v>203872</v>
      </c>
      <c r="AC109">
        <f t="shared" si="29"/>
        <v>2.4</v>
      </c>
      <c r="AD109">
        <f t="shared" si="30"/>
        <v>1.2</v>
      </c>
      <c r="AF109">
        <f t="shared" si="31"/>
        <v>0.74999999999999989</v>
      </c>
      <c r="AH109">
        <f t="shared" si="32"/>
        <v>12</v>
      </c>
      <c r="AK109">
        <f t="shared" si="33"/>
        <v>6.12</v>
      </c>
      <c r="AL109">
        <f t="shared" si="34"/>
        <v>1.51</v>
      </c>
      <c r="AM109">
        <f t="shared" si="35"/>
        <v>1</v>
      </c>
      <c r="AN109">
        <f t="shared" si="36"/>
        <v>6.12</v>
      </c>
      <c r="AO109">
        <f t="shared" si="37"/>
        <v>1.51</v>
      </c>
      <c r="AP109">
        <f t="shared" si="38"/>
        <v>1</v>
      </c>
      <c r="AR109">
        <f t="shared" si="39"/>
        <v>4.4851485148514856</v>
      </c>
      <c r="AT109">
        <f t="shared" si="40"/>
        <v>4.4851485148514856</v>
      </c>
      <c r="AV109">
        <f t="shared" si="41"/>
        <v>1057</v>
      </c>
      <c r="AW109">
        <f t="shared" si="42"/>
        <v>1963</v>
      </c>
    </row>
    <row r="110" spans="1:49" x14ac:dyDescent="0.15">
      <c r="A110" s="5">
        <v>100</v>
      </c>
      <c r="B110" s="5">
        <f t="shared" si="27"/>
        <v>6180</v>
      </c>
      <c r="C110" s="5">
        <f t="shared" si="23"/>
        <v>1525</v>
      </c>
      <c r="D110" s="5">
        <f t="shared" si="23"/>
        <v>1010</v>
      </c>
      <c r="E110" s="5">
        <f t="shared" si="23"/>
        <v>306</v>
      </c>
      <c r="F110" s="5">
        <f t="shared" si="23"/>
        <v>408</v>
      </c>
      <c r="G110" s="5">
        <f t="shared" si="24"/>
        <v>14832</v>
      </c>
      <c r="H110" s="5">
        <f t="shared" si="24"/>
        <v>3660</v>
      </c>
      <c r="I110" s="5">
        <f t="shared" si="24"/>
        <v>2424</v>
      </c>
      <c r="J110" s="5">
        <f t="shared" si="24"/>
        <v>734.4</v>
      </c>
      <c r="K110" s="5">
        <f t="shared" si="24"/>
        <v>979.19999999999993</v>
      </c>
      <c r="L110" s="5">
        <f t="shared" si="25"/>
        <v>7416</v>
      </c>
      <c r="M110" s="5">
        <f t="shared" si="25"/>
        <v>1830</v>
      </c>
      <c r="N110" s="5">
        <f t="shared" si="25"/>
        <v>1212</v>
      </c>
      <c r="O110" s="5">
        <f t="shared" si="25"/>
        <v>367.2</v>
      </c>
      <c r="P110" s="5">
        <f t="shared" si="25"/>
        <v>489.59999999999997</v>
      </c>
      <c r="Q110" s="5">
        <f t="shared" si="26"/>
        <v>28428</v>
      </c>
      <c r="R110" s="5">
        <f t="shared" si="26"/>
        <v>7015</v>
      </c>
      <c r="S110" s="5">
        <f t="shared" si="26"/>
        <v>4646</v>
      </c>
      <c r="T110" s="5">
        <f t="shared" si="26"/>
        <v>1407.6000000000001</v>
      </c>
      <c r="U110" s="5">
        <f t="shared" si="26"/>
        <v>1876.7999999999997</v>
      </c>
      <c r="V110" s="5">
        <f>B110*战斗力计算!$B$8+C110*战斗力计算!$B$9+D110*战斗力计算!$B$10+E110*战斗力计算!$B$11+F110*战斗力计算!$B$12</f>
        <v>44760</v>
      </c>
      <c r="W110" s="5">
        <f>G110*战斗力计算!$B$8+H110*战斗力计算!$B$9+I110*战斗力计算!$B$10+J110*战斗力计算!$B$11+K110*战斗力计算!$B$12+L110*战斗力计算!$B$8+M110*战斗力计算!$B$9+N110*战斗力计算!$B$10+O110*战斗力计算!$B$11+P110*战斗力计算!$B$12</f>
        <v>161136</v>
      </c>
      <c r="X110" s="5">
        <f t="shared" si="28"/>
        <v>205896</v>
      </c>
      <c r="AC110">
        <f t="shared" si="29"/>
        <v>2.4</v>
      </c>
      <c r="AD110">
        <f t="shared" si="30"/>
        <v>1.2</v>
      </c>
      <c r="AF110">
        <f t="shared" si="31"/>
        <v>0.75000000000000022</v>
      </c>
      <c r="AH110">
        <f t="shared" si="32"/>
        <v>12</v>
      </c>
      <c r="AK110">
        <f t="shared" si="33"/>
        <v>6.1188118811881189</v>
      </c>
      <c r="AL110">
        <f t="shared" si="34"/>
        <v>1.5099009900990099</v>
      </c>
      <c r="AM110">
        <f t="shared" si="35"/>
        <v>1</v>
      </c>
      <c r="AN110">
        <f t="shared" si="36"/>
        <v>6.1188118811881189</v>
      </c>
      <c r="AO110">
        <f t="shared" si="37"/>
        <v>1.5099009900990099</v>
      </c>
      <c r="AP110">
        <f t="shared" si="38"/>
        <v>1</v>
      </c>
      <c r="AR110">
        <f t="shared" si="39"/>
        <v>4.4852941176470589</v>
      </c>
      <c r="AT110">
        <f t="shared" si="40"/>
        <v>4.4852941176470589</v>
      </c>
      <c r="AV110">
        <f t="shared" si="41"/>
        <v>1067</v>
      </c>
      <c r="AW110">
        <f t="shared" si="42"/>
        <v>1982</v>
      </c>
    </row>
    <row r="111" spans="1:49" x14ac:dyDescent="0.15">
      <c r="A111" s="5">
        <v>101</v>
      </c>
      <c r="B111" s="5">
        <f t="shared" si="27"/>
        <v>6240</v>
      </c>
      <c r="C111" s="5">
        <f t="shared" si="23"/>
        <v>1540</v>
      </c>
      <c r="D111" s="5">
        <f t="shared" si="23"/>
        <v>1020</v>
      </c>
      <c r="E111" s="5">
        <f t="shared" si="23"/>
        <v>309</v>
      </c>
      <c r="F111" s="5">
        <f t="shared" si="23"/>
        <v>412</v>
      </c>
      <c r="G111" s="5">
        <f t="shared" si="24"/>
        <v>14976</v>
      </c>
      <c r="H111" s="5">
        <f t="shared" si="24"/>
        <v>3696</v>
      </c>
      <c r="I111" s="5">
        <f t="shared" si="24"/>
        <v>2448</v>
      </c>
      <c r="J111" s="5">
        <f t="shared" si="24"/>
        <v>741.6</v>
      </c>
      <c r="K111" s="5">
        <f t="shared" si="24"/>
        <v>988.8</v>
      </c>
      <c r="L111" s="5">
        <f t="shared" si="25"/>
        <v>7488</v>
      </c>
      <c r="M111" s="5">
        <f t="shared" si="25"/>
        <v>1848</v>
      </c>
      <c r="N111" s="5">
        <f t="shared" si="25"/>
        <v>1224</v>
      </c>
      <c r="O111" s="5">
        <f t="shared" si="25"/>
        <v>370.8</v>
      </c>
      <c r="P111" s="5">
        <f t="shared" si="25"/>
        <v>494.4</v>
      </c>
      <c r="Q111" s="5">
        <f t="shared" si="26"/>
        <v>28704</v>
      </c>
      <c r="R111" s="5">
        <f t="shared" si="26"/>
        <v>7084</v>
      </c>
      <c r="S111" s="5">
        <f t="shared" si="26"/>
        <v>4692</v>
      </c>
      <c r="T111" s="5">
        <f t="shared" si="26"/>
        <v>1421.3999999999999</v>
      </c>
      <c r="U111" s="5">
        <f t="shared" si="26"/>
        <v>1895.1999999999998</v>
      </c>
      <c r="V111" s="5">
        <f>B111*战斗力计算!$B$8+C111*战斗力计算!$B$9+D111*战斗力计算!$B$10+E111*战斗力计算!$B$11+F111*战斗力计算!$B$12</f>
        <v>45200</v>
      </c>
      <c r="W111" s="5">
        <f>G111*战斗力计算!$B$8+H111*战斗力计算!$B$9+I111*战斗力计算!$B$10+J111*战斗力计算!$B$11+K111*战斗力计算!$B$12+L111*战斗力计算!$B$8+M111*战斗力计算!$B$9+N111*战斗力计算!$B$10+O111*战斗力计算!$B$11+P111*战斗力计算!$B$12</f>
        <v>162720</v>
      </c>
      <c r="X111" s="5">
        <f t="shared" si="28"/>
        <v>207920</v>
      </c>
      <c r="AC111">
        <f t="shared" si="29"/>
        <v>2.4</v>
      </c>
      <c r="AD111">
        <f t="shared" si="30"/>
        <v>1.2</v>
      </c>
      <c r="AF111">
        <f t="shared" si="31"/>
        <v>0.75</v>
      </c>
      <c r="AH111">
        <f t="shared" si="32"/>
        <v>12</v>
      </c>
      <c r="AK111">
        <f t="shared" si="33"/>
        <v>6.117647058823529</v>
      </c>
      <c r="AL111">
        <f t="shared" si="34"/>
        <v>1.5098039215686274</v>
      </c>
      <c r="AM111">
        <f t="shared" si="35"/>
        <v>1</v>
      </c>
      <c r="AN111">
        <f t="shared" si="36"/>
        <v>6.117647058823529</v>
      </c>
      <c r="AO111">
        <f t="shared" si="37"/>
        <v>1.5098039215686274</v>
      </c>
      <c r="AP111">
        <f t="shared" si="38"/>
        <v>1</v>
      </c>
      <c r="AR111">
        <f t="shared" si="39"/>
        <v>4.4854368932038833</v>
      </c>
      <c r="AT111">
        <f t="shared" si="40"/>
        <v>4.4854368932038833</v>
      </c>
      <c r="AV111">
        <f t="shared" si="41"/>
        <v>1078</v>
      </c>
      <c r="AW111">
        <f t="shared" si="42"/>
        <v>2002</v>
      </c>
    </row>
    <row r="112" spans="1:49" x14ac:dyDescent="0.15">
      <c r="A112" s="5">
        <v>102</v>
      </c>
      <c r="B112" s="5">
        <f t="shared" si="27"/>
        <v>6300</v>
      </c>
      <c r="C112" s="5">
        <f t="shared" si="23"/>
        <v>1555</v>
      </c>
      <c r="D112" s="5">
        <f t="shared" si="23"/>
        <v>1030</v>
      </c>
      <c r="E112" s="5">
        <f t="shared" si="23"/>
        <v>312</v>
      </c>
      <c r="F112" s="5">
        <f t="shared" si="23"/>
        <v>416</v>
      </c>
      <c r="G112" s="5">
        <f t="shared" si="24"/>
        <v>15120</v>
      </c>
      <c r="H112" s="5">
        <f t="shared" si="24"/>
        <v>3732</v>
      </c>
      <c r="I112" s="5">
        <f t="shared" si="24"/>
        <v>2472</v>
      </c>
      <c r="J112" s="5">
        <f t="shared" si="24"/>
        <v>748.8</v>
      </c>
      <c r="K112" s="5">
        <f t="shared" si="24"/>
        <v>998.4</v>
      </c>
      <c r="L112" s="5">
        <f t="shared" si="25"/>
        <v>7560</v>
      </c>
      <c r="M112" s="5">
        <f t="shared" si="25"/>
        <v>1866</v>
      </c>
      <c r="N112" s="5">
        <f t="shared" si="25"/>
        <v>1236</v>
      </c>
      <c r="O112" s="5">
        <f t="shared" si="25"/>
        <v>374.4</v>
      </c>
      <c r="P112" s="5">
        <f t="shared" si="25"/>
        <v>499.2</v>
      </c>
      <c r="Q112" s="5">
        <f t="shared" si="26"/>
        <v>28980</v>
      </c>
      <c r="R112" s="5">
        <f t="shared" si="26"/>
        <v>7153</v>
      </c>
      <c r="S112" s="5">
        <f t="shared" si="26"/>
        <v>4738</v>
      </c>
      <c r="T112" s="5">
        <f t="shared" si="26"/>
        <v>1435.1999999999998</v>
      </c>
      <c r="U112" s="5">
        <f t="shared" si="26"/>
        <v>1913.6000000000001</v>
      </c>
      <c r="V112" s="5">
        <f>B112*战斗力计算!$B$8+C112*战斗力计算!$B$9+D112*战斗力计算!$B$10+E112*战斗力计算!$B$11+F112*战斗力计算!$B$12</f>
        <v>45640</v>
      </c>
      <c r="W112" s="5">
        <f>G112*战斗力计算!$B$8+H112*战斗力计算!$B$9+I112*战斗力计算!$B$10+J112*战斗力计算!$B$11+K112*战斗力计算!$B$12+L112*战斗力计算!$B$8+M112*战斗力计算!$B$9+N112*战斗力计算!$B$10+O112*战斗力计算!$B$11+P112*战斗力计算!$B$12</f>
        <v>164304</v>
      </c>
      <c r="X112" s="5">
        <f t="shared" si="28"/>
        <v>209944</v>
      </c>
      <c r="AC112">
        <f t="shared" si="29"/>
        <v>2.4</v>
      </c>
      <c r="AD112">
        <f t="shared" si="30"/>
        <v>1.2</v>
      </c>
      <c r="AF112">
        <f t="shared" si="31"/>
        <v>0.74999999999999989</v>
      </c>
      <c r="AH112">
        <f t="shared" si="32"/>
        <v>12</v>
      </c>
      <c r="AK112">
        <f t="shared" si="33"/>
        <v>6.116504854368932</v>
      </c>
      <c r="AL112">
        <f t="shared" si="34"/>
        <v>1.5097087378640777</v>
      </c>
      <c r="AM112">
        <f t="shared" si="35"/>
        <v>1</v>
      </c>
      <c r="AN112">
        <f t="shared" si="36"/>
        <v>6.116504854368932</v>
      </c>
      <c r="AO112">
        <f t="shared" si="37"/>
        <v>1.5097087378640777</v>
      </c>
      <c r="AP112">
        <f t="shared" si="38"/>
        <v>1</v>
      </c>
      <c r="AR112">
        <f t="shared" si="39"/>
        <v>4.4855769230769234</v>
      </c>
      <c r="AT112">
        <f t="shared" si="40"/>
        <v>4.4855769230769234</v>
      </c>
      <c r="AV112">
        <f t="shared" si="41"/>
        <v>1088</v>
      </c>
      <c r="AW112">
        <f t="shared" si="42"/>
        <v>2021</v>
      </c>
    </row>
    <row r="113" spans="1:49" x14ac:dyDescent="0.15">
      <c r="A113" s="5">
        <v>103</v>
      </c>
      <c r="B113" s="5">
        <f t="shared" si="27"/>
        <v>6360</v>
      </c>
      <c r="C113" s="5">
        <f t="shared" si="23"/>
        <v>1570</v>
      </c>
      <c r="D113" s="5">
        <f t="shared" si="23"/>
        <v>1040</v>
      </c>
      <c r="E113" s="5">
        <f t="shared" si="23"/>
        <v>315</v>
      </c>
      <c r="F113" s="5">
        <f t="shared" si="23"/>
        <v>420</v>
      </c>
      <c r="G113" s="5">
        <f t="shared" si="24"/>
        <v>15264</v>
      </c>
      <c r="H113" s="5">
        <f t="shared" si="24"/>
        <v>3768</v>
      </c>
      <c r="I113" s="5">
        <f t="shared" si="24"/>
        <v>2496</v>
      </c>
      <c r="J113" s="5">
        <f t="shared" si="24"/>
        <v>756</v>
      </c>
      <c r="K113" s="5">
        <f t="shared" si="24"/>
        <v>1008</v>
      </c>
      <c r="L113" s="5">
        <f t="shared" si="25"/>
        <v>7632</v>
      </c>
      <c r="M113" s="5">
        <f t="shared" si="25"/>
        <v>1884</v>
      </c>
      <c r="N113" s="5">
        <f t="shared" si="25"/>
        <v>1248</v>
      </c>
      <c r="O113" s="5">
        <f t="shared" si="25"/>
        <v>378</v>
      </c>
      <c r="P113" s="5">
        <f t="shared" si="25"/>
        <v>504</v>
      </c>
      <c r="Q113" s="5">
        <f t="shared" si="26"/>
        <v>29256</v>
      </c>
      <c r="R113" s="5">
        <f t="shared" si="26"/>
        <v>7222</v>
      </c>
      <c r="S113" s="5">
        <f t="shared" si="26"/>
        <v>4784</v>
      </c>
      <c r="T113" s="5">
        <f t="shared" si="26"/>
        <v>1449</v>
      </c>
      <c r="U113" s="5">
        <f t="shared" si="26"/>
        <v>1932</v>
      </c>
      <c r="V113" s="5">
        <f>B113*战斗力计算!$B$8+C113*战斗力计算!$B$9+D113*战斗力计算!$B$10+E113*战斗力计算!$B$11+F113*战斗力计算!$B$12</f>
        <v>46080</v>
      </c>
      <c r="W113" s="5">
        <f>G113*战斗力计算!$B$8+H113*战斗力计算!$B$9+I113*战斗力计算!$B$10+J113*战斗力计算!$B$11+K113*战斗力计算!$B$12+L113*战斗力计算!$B$8+M113*战斗力计算!$B$9+N113*战斗力计算!$B$10+O113*战斗力计算!$B$11+P113*战斗力计算!$B$12</f>
        <v>165888</v>
      </c>
      <c r="X113" s="5">
        <f t="shared" si="28"/>
        <v>211968</v>
      </c>
      <c r="AC113">
        <f t="shared" si="29"/>
        <v>2.4</v>
      </c>
      <c r="AD113">
        <f t="shared" si="30"/>
        <v>1.2</v>
      </c>
      <c r="AF113">
        <f t="shared" si="31"/>
        <v>0.75</v>
      </c>
      <c r="AH113">
        <f t="shared" si="32"/>
        <v>12</v>
      </c>
      <c r="AK113">
        <f t="shared" si="33"/>
        <v>6.115384615384615</v>
      </c>
      <c r="AL113">
        <f t="shared" si="34"/>
        <v>1.5096153846153846</v>
      </c>
      <c r="AM113">
        <f t="shared" si="35"/>
        <v>1</v>
      </c>
      <c r="AN113">
        <f t="shared" si="36"/>
        <v>6.115384615384615</v>
      </c>
      <c r="AO113">
        <f t="shared" si="37"/>
        <v>1.5096153846153846</v>
      </c>
      <c r="AP113">
        <f t="shared" si="38"/>
        <v>1</v>
      </c>
      <c r="AR113">
        <f t="shared" si="39"/>
        <v>4.4857142857142858</v>
      </c>
      <c r="AT113">
        <f t="shared" si="40"/>
        <v>4.4857142857142858</v>
      </c>
      <c r="AV113">
        <f t="shared" si="41"/>
        <v>1099</v>
      </c>
      <c r="AW113">
        <f t="shared" si="42"/>
        <v>2041</v>
      </c>
    </row>
    <row r="114" spans="1:49" x14ac:dyDescent="0.15">
      <c r="A114" s="5">
        <v>104</v>
      </c>
      <c r="B114" s="5">
        <f t="shared" si="27"/>
        <v>6420</v>
      </c>
      <c r="C114" s="5">
        <f t="shared" si="23"/>
        <v>1585</v>
      </c>
      <c r="D114" s="5">
        <f t="shared" si="23"/>
        <v>1050</v>
      </c>
      <c r="E114" s="5">
        <f t="shared" si="23"/>
        <v>318</v>
      </c>
      <c r="F114" s="5">
        <f t="shared" si="23"/>
        <v>424</v>
      </c>
      <c r="G114" s="5">
        <f t="shared" si="24"/>
        <v>15408</v>
      </c>
      <c r="H114" s="5">
        <f t="shared" si="24"/>
        <v>3804</v>
      </c>
      <c r="I114" s="5">
        <f t="shared" si="24"/>
        <v>2520</v>
      </c>
      <c r="J114" s="5">
        <f t="shared" si="24"/>
        <v>763.19999999999993</v>
      </c>
      <c r="K114" s="5">
        <f t="shared" si="24"/>
        <v>1017.5999999999999</v>
      </c>
      <c r="L114" s="5">
        <f t="shared" si="25"/>
        <v>7704</v>
      </c>
      <c r="M114" s="5">
        <f t="shared" si="25"/>
        <v>1902</v>
      </c>
      <c r="N114" s="5">
        <f t="shared" si="25"/>
        <v>1260</v>
      </c>
      <c r="O114" s="5">
        <f t="shared" si="25"/>
        <v>381.59999999999997</v>
      </c>
      <c r="P114" s="5">
        <f t="shared" si="25"/>
        <v>508.79999999999995</v>
      </c>
      <c r="Q114" s="5">
        <f t="shared" si="26"/>
        <v>29532</v>
      </c>
      <c r="R114" s="5">
        <f t="shared" si="26"/>
        <v>7291</v>
      </c>
      <c r="S114" s="5">
        <f t="shared" si="26"/>
        <v>4830</v>
      </c>
      <c r="T114" s="5">
        <f t="shared" si="26"/>
        <v>1462.7999999999997</v>
      </c>
      <c r="U114" s="5">
        <f t="shared" si="26"/>
        <v>1950.3999999999999</v>
      </c>
      <c r="V114" s="5">
        <f>B114*战斗力计算!$B$8+C114*战斗力计算!$B$9+D114*战斗力计算!$B$10+E114*战斗力计算!$B$11+F114*战斗力计算!$B$12</f>
        <v>46520</v>
      </c>
      <c r="W114" s="5">
        <f>G114*战斗力计算!$B$8+H114*战斗力计算!$B$9+I114*战斗力计算!$B$10+J114*战斗力计算!$B$11+K114*战斗力计算!$B$12+L114*战斗力计算!$B$8+M114*战斗力计算!$B$9+N114*战斗力计算!$B$10+O114*战斗力计算!$B$11+P114*战斗力计算!$B$12</f>
        <v>167472</v>
      </c>
      <c r="X114" s="5">
        <f t="shared" si="28"/>
        <v>213992</v>
      </c>
      <c r="AC114">
        <f t="shared" si="29"/>
        <v>2.4</v>
      </c>
      <c r="AD114">
        <f t="shared" si="30"/>
        <v>1.2</v>
      </c>
      <c r="AF114">
        <f t="shared" si="31"/>
        <v>0.74999999999999989</v>
      </c>
      <c r="AH114">
        <f t="shared" si="32"/>
        <v>12</v>
      </c>
      <c r="AK114">
        <f t="shared" si="33"/>
        <v>6.1142857142857139</v>
      </c>
      <c r="AL114">
        <f t="shared" si="34"/>
        <v>1.5095238095238095</v>
      </c>
      <c r="AM114">
        <f t="shared" si="35"/>
        <v>1</v>
      </c>
      <c r="AN114">
        <f t="shared" si="36"/>
        <v>6.1142857142857139</v>
      </c>
      <c r="AO114">
        <f t="shared" si="37"/>
        <v>1.5095238095238095</v>
      </c>
      <c r="AP114">
        <f t="shared" si="38"/>
        <v>1</v>
      </c>
      <c r="AR114">
        <f t="shared" si="39"/>
        <v>4.4858490566037732</v>
      </c>
      <c r="AT114">
        <f t="shared" si="40"/>
        <v>4.4858490566037732</v>
      </c>
      <c r="AV114">
        <f t="shared" si="41"/>
        <v>1109</v>
      </c>
      <c r="AW114">
        <f t="shared" si="42"/>
        <v>2060</v>
      </c>
    </row>
    <row r="115" spans="1:49" x14ac:dyDescent="0.15">
      <c r="A115" s="5">
        <v>105</v>
      </c>
      <c r="B115" s="5">
        <f t="shared" si="27"/>
        <v>6480</v>
      </c>
      <c r="C115" s="5">
        <f t="shared" si="23"/>
        <v>1600</v>
      </c>
      <c r="D115" s="5">
        <f t="shared" si="23"/>
        <v>1060</v>
      </c>
      <c r="E115" s="5">
        <f t="shared" si="23"/>
        <v>321</v>
      </c>
      <c r="F115" s="5">
        <f t="shared" si="23"/>
        <v>428</v>
      </c>
      <c r="G115" s="5">
        <f t="shared" si="24"/>
        <v>15552</v>
      </c>
      <c r="H115" s="5">
        <f t="shared" si="24"/>
        <v>3840</v>
      </c>
      <c r="I115" s="5">
        <f t="shared" si="24"/>
        <v>2544</v>
      </c>
      <c r="J115" s="5">
        <f t="shared" si="24"/>
        <v>770.4</v>
      </c>
      <c r="K115" s="5">
        <f t="shared" si="24"/>
        <v>1027.2</v>
      </c>
      <c r="L115" s="5">
        <f t="shared" si="25"/>
        <v>7776</v>
      </c>
      <c r="M115" s="5">
        <f t="shared" si="25"/>
        <v>1920</v>
      </c>
      <c r="N115" s="5">
        <f t="shared" si="25"/>
        <v>1272</v>
      </c>
      <c r="O115" s="5">
        <f t="shared" si="25"/>
        <v>385.2</v>
      </c>
      <c r="P115" s="5">
        <f t="shared" si="25"/>
        <v>513.6</v>
      </c>
      <c r="Q115" s="5">
        <f t="shared" si="26"/>
        <v>29808</v>
      </c>
      <c r="R115" s="5">
        <f t="shared" si="26"/>
        <v>7360</v>
      </c>
      <c r="S115" s="5">
        <f t="shared" si="26"/>
        <v>4876</v>
      </c>
      <c r="T115" s="5">
        <f t="shared" si="26"/>
        <v>1476.6000000000001</v>
      </c>
      <c r="U115" s="5">
        <f t="shared" si="26"/>
        <v>1968.8000000000002</v>
      </c>
      <c r="V115" s="5">
        <f>B115*战斗力计算!$B$8+C115*战斗力计算!$B$9+D115*战斗力计算!$B$10+E115*战斗力计算!$B$11+F115*战斗力计算!$B$12</f>
        <v>46960</v>
      </c>
      <c r="W115" s="5">
        <f>G115*战斗力计算!$B$8+H115*战斗力计算!$B$9+I115*战斗力计算!$B$10+J115*战斗力计算!$B$11+K115*战斗力计算!$B$12+L115*战斗力计算!$B$8+M115*战斗力计算!$B$9+N115*战斗力计算!$B$10+O115*战斗力计算!$B$11+P115*战斗力计算!$B$12</f>
        <v>169056</v>
      </c>
      <c r="X115" s="5">
        <f t="shared" si="28"/>
        <v>216016</v>
      </c>
      <c r="AC115">
        <f t="shared" si="29"/>
        <v>2.4</v>
      </c>
      <c r="AD115">
        <f t="shared" si="30"/>
        <v>1.2</v>
      </c>
      <c r="AF115">
        <f t="shared" si="31"/>
        <v>0.75</v>
      </c>
      <c r="AH115">
        <f t="shared" si="32"/>
        <v>12</v>
      </c>
      <c r="AK115">
        <f t="shared" si="33"/>
        <v>6.1132075471698117</v>
      </c>
      <c r="AL115">
        <f t="shared" si="34"/>
        <v>1.5094339622641511</v>
      </c>
      <c r="AM115">
        <f t="shared" si="35"/>
        <v>1</v>
      </c>
      <c r="AN115">
        <f t="shared" si="36"/>
        <v>6.1132075471698117</v>
      </c>
      <c r="AO115">
        <f t="shared" si="37"/>
        <v>1.5094339622641511</v>
      </c>
      <c r="AP115">
        <f t="shared" si="38"/>
        <v>1</v>
      </c>
      <c r="AR115">
        <f t="shared" si="39"/>
        <v>4.4859813084112146</v>
      </c>
      <c r="AT115">
        <f t="shared" si="40"/>
        <v>4.4859813084112146</v>
      </c>
      <c r="AV115">
        <f t="shared" si="41"/>
        <v>1120</v>
      </c>
      <c r="AW115">
        <f t="shared" si="42"/>
        <v>2080</v>
      </c>
    </row>
    <row r="116" spans="1:49" x14ac:dyDescent="0.15">
      <c r="A116" s="5">
        <v>106</v>
      </c>
      <c r="B116" s="5">
        <f t="shared" si="27"/>
        <v>6540</v>
      </c>
      <c r="C116" s="5">
        <f t="shared" si="23"/>
        <v>1615</v>
      </c>
      <c r="D116" s="5">
        <f t="shared" si="23"/>
        <v>1070</v>
      </c>
      <c r="E116" s="5">
        <f t="shared" si="23"/>
        <v>324</v>
      </c>
      <c r="F116" s="5">
        <f t="shared" si="23"/>
        <v>432</v>
      </c>
      <c r="G116" s="5">
        <f t="shared" si="24"/>
        <v>15696</v>
      </c>
      <c r="H116" s="5">
        <f t="shared" si="24"/>
        <v>3876</v>
      </c>
      <c r="I116" s="5">
        <f t="shared" si="24"/>
        <v>2568</v>
      </c>
      <c r="J116" s="5">
        <f t="shared" si="24"/>
        <v>777.6</v>
      </c>
      <c r="K116" s="5">
        <f t="shared" si="24"/>
        <v>1036.8</v>
      </c>
      <c r="L116" s="5">
        <f t="shared" si="25"/>
        <v>7848</v>
      </c>
      <c r="M116" s="5">
        <f t="shared" si="25"/>
        <v>1938</v>
      </c>
      <c r="N116" s="5">
        <f t="shared" si="25"/>
        <v>1284</v>
      </c>
      <c r="O116" s="5">
        <f t="shared" si="25"/>
        <v>388.8</v>
      </c>
      <c r="P116" s="5">
        <f t="shared" si="25"/>
        <v>518.4</v>
      </c>
      <c r="Q116" s="5">
        <f t="shared" si="26"/>
        <v>30084</v>
      </c>
      <c r="R116" s="5">
        <f t="shared" si="26"/>
        <v>7429</v>
      </c>
      <c r="S116" s="5">
        <f t="shared" si="26"/>
        <v>4922</v>
      </c>
      <c r="T116" s="5">
        <f t="shared" si="26"/>
        <v>1490.3999999999999</v>
      </c>
      <c r="U116" s="5">
        <f t="shared" si="26"/>
        <v>1987.1999999999998</v>
      </c>
      <c r="V116" s="5">
        <f>B116*战斗力计算!$B$8+C116*战斗力计算!$B$9+D116*战斗力计算!$B$10+E116*战斗力计算!$B$11+F116*战斗力计算!$B$12</f>
        <v>47400</v>
      </c>
      <c r="W116" s="5">
        <f>G116*战斗力计算!$B$8+H116*战斗力计算!$B$9+I116*战斗力计算!$B$10+J116*战斗力计算!$B$11+K116*战斗力计算!$B$12+L116*战斗力计算!$B$8+M116*战斗力计算!$B$9+N116*战斗力计算!$B$10+O116*战斗力计算!$B$11+P116*战斗力计算!$B$12</f>
        <v>170640</v>
      </c>
      <c r="X116" s="5">
        <f t="shared" si="28"/>
        <v>218040</v>
      </c>
      <c r="AC116">
        <f t="shared" si="29"/>
        <v>2.4</v>
      </c>
      <c r="AD116">
        <f t="shared" si="30"/>
        <v>1.2</v>
      </c>
      <c r="AF116">
        <f t="shared" si="31"/>
        <v>0.75</v>
      </c>
      <c r="AH116">
        <f t="shared" si="32"/>
        <v>12</v>
      </c>
      <c r="AK116">
        <f t="shared" si="33"/>
        <v>6.1121495327102799</v>
      </c>
      <c r="AL116">
        <f t="shared" si="34"/>
        <v>1.5093457943925233</v>
      </c>
      <c r="AM116">
        <f t="shared" si="35"/>
        <v>1</v>
      </c>
      <c r="AN116">
        <f t="shared" si="36"/>
        <v>6.1121495327102799</v>
      </c>
      <c r="AO116">
        <f t="shared" si="37"/>
        <v>1.5093457943925233</v>
      </c>
      <c r="AP116">
        <f t="shared" si="38"/>
        <v>1</v>
      </c>
      <c r="AR116">
        <f t="shared" si="39"/>
        <v>4.4861111111111107</v>
      </c>
      <c r="AT116">
        <f t="shared" si="40"/>
        <v>4.4861111111111107</v>
      </c>
      <c r="AV116">
        <f t="shared" si="41"/>
        <v>1130</v>
      </c>
      <c r="AW116">
        <f t="shared" si="42"/>
        <v>2099</v>
      </c>
    </row>
    <row r="117" spans="1:49" x14ac:dyDescent="0.15">
      <c r="A117" s="5">
        <v>107</v>
      </c>
      <c r="B117" s="5">
        <f t="shared" si="27"/>
        <v>6600</v>
      </c>
      <c r="C117" s="5">
        <f t="shared" si="23"/>
        <v>1630</v>
      </c>
      <c r="D117" s="5">
        <f t="shared" si="23"/>
        <v>1080</v>
      </c>
      <c r="E117" s="5">
        <f t="shared" si="23"/>
        <v>327</v>
      </c>
      <c r="F117" s="5">
        <f t="shared" si="23"/>
        <v>436</v>
      </c>
      <c r="G117" s="5">
        <f t="shared" si="24"/>
        <v>15840</v>
      </c>
      <c r="H117" s="5">
        <f t="shared" si="24"/>
        <v>3912</v>
      </c>
      <c r="I117" s="5">
        <f t="shared" si="24"/>
        <v>2592</v>
      </c>
      <c r="J117" s="5">
        <f t="shared" si="24"/>
        <v>784.8</v>
      </c>
      <c r="K117" s="5">
        <f t="shared" si="24"/>
        <v>1046.3999999999999</v>
      </c>
      <c r="L117" s="5">
        <f t="shared" si="25"/>
        <v>7920</v>
      </c>
      <c r="M117" s="5">
        <f t="shared" si="25"/>
        <v>1956</v>
      </c>
      <c r="N117" s="5">
        <f t="shared" si="25"/>
        <v>1296</v>
      </c>
      <c r="O117" s="5">
        <f t="shared" si="25"/>
        <v>392.4</v>
      </c>
      <c r="P117" s="5">
        <f t="shared" si="25"/>
        <v>523.19999999999993</v>
      </c>
      <c r="Q117" s="5">
        <f t="shared" si="26"/>
        <v>30360</v>
      </c>
      <c r="R117" s="5">
        <f t="shared" si="26"/>
        <v>7498</v>
      </c>
      <c r="S117" s="5">
        <f t="shared" si="26"/>
        <v>4968</v>
      </c>
      <c r="T117" s="5">
        <f t="shared" si="26"/>
        <v>1504.1999999999998</v>
      </c>
      <c r="U117" s="5">
        <f t="shared" si="26"/>
        <v>2005.6</v>
      </c>
      <c r="V117" s="5">
        <f>B117*战斗力计算!$B$8+C117*战斗力计算!$B$9+D117*战斗力计算!$B$10+E117*战斗力计算!$B$11+F117*战斗力计算!$B$12</f>
        <v>47840</v>
      </c>
      <c r="W117" s="5">
        <f>G117*战斗力计算!$B$8+H117*战斗力计算!$B$9+I117*战斗力计算!$B$10+J117*战斗力计算!$B$11+K117*战斗力计算!$B$12+L117*战斗力计算!$B$8+M117*战斗力计算!$B$9+N117*战斗力计算!$B$10+O117*战斗力计算!$B$11+P117*战斗力计算!$B$12</f>
        <v>172224</v>
      </c>
      <c r="X117" s="5">
        <f t="shared" si="28"/>
        <v>220064</v>
      </c>
      <c r="AC117">
        <f t="shared" si="29"/>
        <v>2.4</v>
      </c>
      <c r="AD117">
        <f t="shared" si="30"/>
        <v>1.2</v>
      </c>
      <c r="AF117">
        <f t="shared" si="31"/>
        <v>0.74999999999999989</v>
      </c>
      <c r="AH117">
        <f t="shared" si="32"/>
        <v>12</v>
      </c>
      <c r="AK117">
        <f t="shared" si="33"/>
        <v>6.1111111111111107</v>
      </c>
      <c r="AL117">
        <f t="shared" si="34"/>
        <v>1.5092592592592593</v>
      </c>
      <c r="AM117">
        <f t="shared" si="35"/>
        <v>1</v>
      </c>
      <c r="AN117">
        <f t="shared" si="36"/>
        <v>6.1111111111111107</v>
      </c>
      <c r="AO117">
        <f t="shared" si="37"/>
        <v>1.5092592592592593</v>
      </c>
      <c r="AP117">
        <f t="shared" si="38"/>
        <v>1</v>
      </c>
      <c r="AR117">
        <f t="shared" si="39"/>
        <v>4.4862385321100922</v>
      </c>
      <c r="AT117">
        <f t="shared" si="40"/>
        <v>4.4862385321100922</v>
      </c>
      <c r="AV117">
        <f t="shared" si="41"/>
        <v>1141</v>
      </c>
      <c r="AW117">
        <f t="shared" si="42"/>
        <v>2119</v>
      </c>
    </row>
    <row r="118" spans="1:49" x14ac:dyDescent="0.15">
      <c r="A118" s="5">
        <v>108</v>
      </c>
      <c r="B118" s="5">
        <f t="shared" si="27"/>
        <v>6660</v>
      </c>
      <c r="C118" s="5">
        <f t="shared" si="23"/>
        <v>1645</v>
      </c>
      <c r="D118" s="5">
        <f t="shared" si="23"/>
        <v>1090</v>
      </c>
      <c r="E118" s="5">
        <f t="shared" si="23"/>
        <v>330</v>
      </c>
      <c r="F118" s="5">
        <f t="shared" si="23"/>
        <v>440</v>
      </c>
      <c r="G118" s="5">
        <f t="shared" si="24"/>
        <v>15984</v>
      </c>
      <c r="H118" s="5">
        <f t="shared" si="24"/>
        <v>3948</v>
      </c>
      <c r="I118" s="5">
        <f t="shared" si="24"/>
        <v>2616</v>
      </c>
      <c r="J118" s="5">
        <f t="shared" si="24"/>
        <v>792</v>
      </c>
      <c r="K118" s="5">
        <f t="shared" si="24"/>
        <v>1056</v>
      </c>
      <c r="L118" s="5">
        <f t="shared" si="25"/>
        <v>7992</v>
      </c>
      <c r="M118" s="5">
        <f t="shared" si="25"/>
        <v>1974</v>
      </c>
      <c r="N118" s="5">
        <f t="shared" si="25"/>
        <v>1308</v>
      </c>
      <c r="O118" s="5">
        <f t="shared" si="25"/>
        <v>396</v>
      </c>
      <c r="P118" s="5">
        <f t="shared" si="25"/>
        <v>528</v>
      </c>
      <c r="Q118" s="5">
        <f t="shared" si="26"/>
        <v>30636</v>
      </c>
      <c r="R118" s="5">
        <f t="shared" si="26"/>
        <v>7567</v>
      </c>
      <c r="S118" s="5">
        <f t="shared" si="26"/>
        <v>5014</v>
      </c>
      <c r="T118" s="5">
        <f t="shared" si="26"/>
        <v>1518</v>
      </c>
      <c r="U118" s="5">
        <f t="shared" si="26"/>
        <v>2024</v>
      </c>
      <c r="V118" s="5">
        <f>B118*战斗力计算!$B$8+C118*战斗力计算!$B$9+D118*战斗力计算!$B$10+E118*战斗力计算!$B$11+F118*战斗力计算!$B$12</f>
        <v>48280</v>
      </c>
      <c r="W118" s="5">
        <f>G118*战斗力计算!$B$8+H118*战斗力计算!$B$9+I118*战斗力计算!$B$10+J118*战斗力计算!$B$11+K118*战斗力计算!$B$12+L118*战斗力计算!$B$8+M118*战斗力计算!$B$9+N118*战斗力计算!$B$10+O118*战斗力计算!$B$11+P118*战斗力计算!$B$12</f>
        <v>173808</v>
      </c>
      <c r="X118" s="5">
        <f t="shared" si="28"/>
        <v>222088</v>
      </c>
      <c r="AC118">
        <f t="shared" si="29"/>
        <v>2.4</v>
      </c>
      <c r="AD118">
        <f t="shared" si="30"/>
        <v>1.2</v>
      </c>
      <c r="AF118">
        <f t="shared" si="31"/>
        <v>0.75</v>
      </c>
      <c r="AH118">
        <f t="shared" si="32"/>
        <v>12</v>
      </c>
      <c r="AK118">
        <f t="shared" si="33"/>
        <v>6.1100917431192663</v>
      </c>
      <c r="AL118">
        <f t="shared" si="34"/>
        <v>1.5091743119266054</v>
      </c>
      <c r="AM118">
        <f t="shared" si="35"/>
        <v>1</v>
      </c>
      <c r="AN118">
        <f t="shared" si="36"/>
        <v>6.1100917431192663</v>
      </c>
      <c r="AO118">
        <f t="shared" si="37"/>
        <v>1.5091743119266054</v>
      </c>
      <c r="AP118">
        <f t="shared" si="38"/>
        <v>1</v>
      </c>
      <c r="AR118">
        <f t="shared" si="39"/>
        <v>4.4863636363636363</v>
      </c>
      <c r="AT118">
        <f t="shared" si="40"/>
        <v>4.4863636363636363</v>
      </c>
      <c r="AV118">
        <f t="shared" si="41"/>
        <v>1151</v>
      </c>
      <c r="AW118">
        <f t="shared" si="42"/>
        <v>2138</v>
      </c>
    </row>
    <row r="119" spans="1:49" x14ac:dyDescent="0.15">
      <c r="A119" s="5">
        <v>109</v>
      </c>
      <c r="B119" s="5">
        <f t="shared" si="27"/>
        <v>6720</v>
      </c>
      <c r="C119" s="5">
        <f t="shared" si="23"/>
        <v>1660</v>
      </c>
      <c r="D119" s="5">
        <f t="shared" si="23"/>
        <v>1100</v>
      </c>
      <c r="E119" s="5">
        <f t="shared" si="23"/>
        <v>333</v>
      </c>
      <c r="F119" s="5">
        <f t="shared" si="23"/>
        <v>444</v>
      </c>
      <c r="G119" s="5">
        <f t="shared" si="24"/>
        <v>16128</v>
      </c>
      <c r="H119" s="5">
        <f t="shared" si="24"/>
        <v>3984</v>
      </c>
      <c r="I119" s="5">
        <f t="shared" si="24"/>
        <v>2640</v>
      </c>
      <c r="J119" s="5">
        <f t="shared" si="24"/>
        <v>799.19999999999993</v>
      </c>
      <c r="K119" s="5">
        <f t="shared" si="24"/>
        <v>1065.5999999999999</v>
      </c>
      <c r="L119" s="5">
        <f t="shared" si="25"/>
        <v>8064</v>
      </c>
      <c r="M119" s="5">
        <f t="shared" si="25"/>
        <v>1992</v>
      </c>
      <c r="N119" s="5">
        <f t="shared" si="25"/>
        <v>1320</v>
      </c>
      <c r="O119" s="5">
        <f t="shared" si="25"/>
        <v>399.59999999999997</v>
      </c>
      <c r="P119" s="5">
        <f t="shared" si="25"/>
        <v>532.79999999999995</v>
      </c>
      <c r="Q119" s="5">
        <f t="shared" si="26"/>
        <v>30912</v>
      </c>
      <c r="R119" s="5">
        <f t="shared" si="26"/>
        <v>7636</v>
      </c>
      <c r="S119" s="5">
        <f t="shared" si="26"/>
        <v>5060</v>
      </c>
      <c r="T119" s="5">
        <f t="shared" si="26"/>
        <v>1531.7999999999997</v>
      </c>
      <c r="U119" s="5">
        <f t="shared" si="26"/>
        <v>2042.3999999999999</v>
      </c>
      <c r="V119" s="5">
        <f>B119*战斗力计算!$B$8+C119*战斗力计算!$B$9+D119*战斗力计算!$B$10+E119*战斗力计算!$B$11+F119*战斗力计算!$B$12</f>
        <v>48720</v>
      </c>
      <c r="W119" s="5">
        <f>G119*战斗力计算!$B$8+H119*战斗力计算!$B$9+I119*战斗力计算!$B$10+J119*战斗力计算!$B$11+K119*战斗力计算!$B$12+L119*战斗力计算!$B$8+M119*战斗力计算!$B$9+N119*战斗力计算!$B$10+O119*战斗力计算!$B$11+P119*战斗力计算!$B$12</f>
        <v>175392</v>
      </c>
      <c r="X119" s="5">
        <f t="shared" si="28"/>
        <v>224112</v>
      </c>
      <c r="AC119">
        <f t="shared" si="29"/>
        <v>2.4</v>
      </c>
      <c r="AD119">
        <f t="shared" si="30"/>
        <v>1.2</v>
      </c>
      <c r="AF119">
        <f t="shared" si="31"/>
        <v>0.74999999999999989</v>
      </c>
      <c r="AH119">
        <f t="shared" si="32"/>
        <v>12</v>
      </c>
      <c r="AK119">
        <f t="shared" si="33"/>
        <v>6.1090909090909093</v>
      </c>
      <c r="AL119">
        <f t="shared" si="34"/>
        <v>1.509090909090909</v>
      </c>
      <c r="AM119">
        <f t="shared" si="35"/>
        <v>1</v>
      </c>
      <c r="AN119">
        <f t="shared" si="36"/>
        <v>6.1090909090909093</v>
      </c>
      <c r="AO119">
        <f t="shared" si="37"/>
        <v>1.509090909090909</v>
      </c>
      <c r="AP119">
        <f t="shared" si="38"/>
        <v>1</v>
      </c>
      <c r="AR119">
        <f t="shared" si="39"/>
        <v>4.4864864864864868</v>
      </c>
      <c r="AT119">
        <f t="shared" si="40"/>
        <v>4.4864864864864868</v>
      </c>
      <c r="AV119">
        <f t="shared" si="41"/>
        <v>1162</v>
      </c>
      <c r="AW119">
        <f t="shared" si="42"/>
        <v>2158</v>
      </c>
    </row>
    <row r="120" spans="1:49" x14ac:dyDescent="0.15">
      <c r="A120" s="5">
        <v>110</v>
      </c>
      <c r="B120" s="5">
        <f t="shared" si="27"/>
        <v>6780</v>
      </c>
      <c r="C120" s="5">
        <f t="shared" si="23"/>
        <v>1675</v>
      </c>
      <c r="D120" s="5">
        <f t="shared" si="23"/>
        <v>1110</v>
      </c>
      <c r="E120" s="5">
        <f t="shared" si="23"/>
        <v>336</v>
      </c>
      <c r="F120" s="5">
        <f t="shared" si="23"/>
        <v>448</v>
      </c>
      <c r="G120" s="5">
        <f t="shared" si="24"/>
        <v>16272</v>
      </c>
      <c r="H120" s="5">
        <f t="shared" si="24"/>
        <v>4020</v>
      </c>
      <c r="I120" s="5">
        <f t="shared" si="24"/>
        <v>2664</v>
      </c>
      <c r="J120" s="5">
        <f t="shared" si="24"/>
        <v>806.4</v>
      </c>
      <c r="K120" s="5">
        <f t="shared" si="24"/>
        <v>1075.2</v>
      </c>
      <c r="L120" s="5">
        <f t="shared" si="25"/>
        <v>8136</v>
      </c>
      <c r="M120" s="5">
        <f t="shared" si="25"/>
        <v>2010</v>
      </c>
      <c r="N120" s="5">
        <f t="shared" si="25"/>
        <v>1332</v>
      </c>
      <c r="O120" s="5">
        <f t="shared" si="25"/>
        <v>403.2</v>
      </c>
      <c r="P120" s="5">
        <f t="shared" si="25"/>
        <v>537.6</v>
      </c>
      <c r="Q120" s="5">
        <f t="shared" si="26"/>
        <v>31188</v>
      </c>
      <c r="R120" s="5">
        <f t="shared" si="26"/>
        <v>7705</v>
      </c>
      <c r="S120" s="5">
        <f t="shared" si="26"/>
        <v>5106</v>
      </c>
      <c r="T120" s="5">
        <f t="shared" si="26"/>
        <v>1545.6000000000001</v>
      </c>
      <c r="U120" s="5">
        <f t="shared" si="26"/>
        <v>2060.8000000000002</v>
      </c>
      <c r="V120" s="5">
        <f>B120*战斗力计算!$B$8+C120*战斗力计算!$B$9+D120*战斗力计算!$B$10+E120*战斗力计算!$B$11+F120*战斗力计算!$B$12</f>
        <v>49160</v>
      </c>
      <c r="W120" s="5">
        <f>G120*战斗力计算!$B$8+H120*战斗力计算!$B$9+I120*战斗力计算!$B$10+J120*战斗力计算!$B$11+K120*战斗力计算!$B$12+L120*战斗力计算!$B$8+M120*战斗力计算!$B$9+N120*战斗力计算!$B$10+O120*战斗力计算!$B$11+P120*战斗力计算!$B$12</f>
        <v>176976</v>
      </c>
      <c r="X120" s="5">
        <f t="shared" si="28"/>
        <v>226136</v>
      </c>
      <c r="AC120">
        <f t="shared" si="29"/>
        <v>2.4</v>
      </c>
      <c r="AD120">
        <f t="shared" si="30"/>
        <v>1.2</v>
      </c>
      <c r="AF120">
        <f t="shared" si="31"/>
        <v>0.75</v>
      </c>
      <c r="AH120">
        <f t="shared" si="32"/>
        <v>12</v>
      </c>
      <c r="AK120">
        <f t="shared" si="33"/>
        <v>6.1081081081081079</v>
      </c>
      <c r="AL120">
        <f t="shared" si="34"/>
        <v>1.5090090090090089</v>
      </c>
      <c r="AM120">
        <f t="shared" si="35"/>
        <v>1</v>
      </c>
      <c r="AN120">
        <f t="shared" si="36"/>
        <v>6.1081081081081079</v>
      </c>
      <c r="AO120">
        <f t="shared" si="37"/>
        <v>1.5090090090090089</v>
      </c>
      <c r="AP120">
        <f t="shared" si="38"/>
        <v>1</v>
      </c>
      <c r="AR120">
        <f t="shared" si="39"/>
        <v>4.4866071428571432</v>
      </c>
      <c r="AT120">
        <f t="shared" si="40"/>
        <v>4.4866071428571432</v>
      </c>
      <c r="AV120">
        <f t="shared" si="41"/>
        <v>1172</v>
      </c>
      <c r="AW120">
        <f t="shared" si="42"/>
        <v>2177</v>
      </c>
    </row>
    <row r="121" spans="1:49" x14ac:dyDescent="0.15">
      <c r="A121" s="5">
        <v>111</v>
      </c>
      <c r="B121" s="5">
        <f t="shared" si="27"/>
        <v>6840</v>
      </c>
      <c r="C121" s="5">
        <f t="shared" si="23"/>
        <v>1690</v>
      </c>
      <c r="D121" s="5">
        <f t="shared" si="23"/>
        <v>1120</v>
      </c>
      <c r="E121" s="5">
        <f t="shared" si="23"/>
        <v>339</v>
      </c>
      <c r="F121" s="5">
        <f t="shared" si="23"/>
        <v>452</v>
      </c>
      <c r="G121" s="5">
        <f t="shared" si="24"/>
        <v>16416</v>
      </c>
      <c r="H121" s="5">
        <f t="shared" si="24"/>
        <v>4056</v>
      </c>
      <c r="I121" s="5">
        <f t="shared" si="24"/>
        <v>2688</v>
      </c>
      <c r="J121" s="5">
        <f t="shared" si="24"/>
        <v>813.6</v>
      </c>
      <c r="K121" s="5">
        <f t="shared" si="24"/>
        <v>1084.8</v>
      </c>
      <c r="L121" s="5">
        <f t="shared" si="25"/>
        <v>8208</v>
      </c>
      <c r="M121" s="5">
        <f t="shared" si="25"/>
        <v>2028</v>
      </c>
      <c r="N121" s="5">
        <f t="shared" si="25"/>
        <v>1344</v>
      </c>
      <c r="O121" s="5">
        <f t="shared" si="25"/>
        <v>406.8</v>
      </c>
      <c r="P121" s="5">
        <f t="shared" si="25"/>
        <v>542.4</v>
      </c>
      <c r="Q121" s="5">
        <f t="shared" si="26"/>
        <v>31464</v>
      </c>
      <c r="R121" s="5">
        <f t="shared" si="26"/>
        <v>7774</v>
      </c>
      <c r="S121" s="5">
        <f t="shared" si="26"/>
        <v>5152</v>
      </c>
      <c r="T121" s="5">
        <f t="shared" si="26"/>
        <v>1559.3999999999999</v>
      </c>
      <c r="U121" s="5">
        <f t="shared" si="26"/>
        <v>2079.1999999999998</v>
      </c>
      <c r="V121" s="5">
        <f>B121*战斗力计算!$B$8+C121*战斗力计算!$B$9+D121*战斗力计算!$B$10+E121*战斗力计算!$B$11+F121*战斗力计算!$B$12</f>
        <v>49600</v>
      </c>
      <c r="W121" s="5">
        <f>G121*战斗力计算!$B$8+H121*战斗力计算!$B$9+I121*战斗力计算!$B$10+J121*战斗力计算!$B$11+K121*战斗力计算!$B$12+L121*战斗力计算!$B$8+M121*战斗力计算!$B$9+N121*战斗力计算!$B$10+O121*战斗力计算!$B$11+P121*战斗力计算!$B$12</f>
        <v>178560</v>
      </c>
      <c r="X121" s="5">
        <f t="shared" si="28"/>
        <v>228160</v>
      </c>
      <c r="AC121">
        <f t="shared" si="29"/>
        <v>2.4</v>
      </c>
      <c r="AD121">
        <f t="shared" si="30"/>
        <v>1.2</v>
      </c>
      <c r="AF121">
        <f t="shared" si="31"/>
        <v>0.75</v>
      </c>
      <c r="AH121">
        <f t="shared" si="32"/>
        <v>12</v>
      </c>
      <c r="AK121">
        <f t="shared" si="33"/>
        <v>6.1071428571428568</v>
      </c>
      <c r="AL121">
        <f t="shared" si="34"/>
        <v>1.5089285714285714</v>
      </c>
      <c r="AM121">
        <f t="shared" si="35"/>
        <v>1</v>
      </c>
      <c r="AN121">
        <f t="shared" si="36"/>
        <v>6.1071428571428568</v>
      </c>
      <c r="AO121">
        <f t="shared" si="37"/>
        <v>1.5089285714285714</v>
      </c>
      <c r="AP121">
        <f t="shared" si="38"/>
        <v>1</v>
      </c>
      <c r="AR121">
        <f t="shared" si="39"/>
        <v>4.4867256637168138</v>
      </c>
      <c r="AT121">
        <f t="shared" si="40"/>
        <v>4.4867256637168138</v>
      </c>
      <c r="AV121">
        <f t="shared" si="41"/>
        <v>1183</v>
      </c>
      <c r="AW121">
        <f t="shared" si="42"/>
        <v>2197</v>
      </c>
    </row>
    <row r="122" spans="1:49" x14ac:dyDescent="0.15">
      <c r="A122" s="5">
        <v>112</v>
      </c>
      <c r="B122" s="5">
        <f t="shared" si="27"/>
        <v>6900</v>
      </c>
      <c r="C122" s="5">
        <f t="shared" si="23"/>
        <v>1705</v>
      </c>
      <c r="D122" s="5">
        <f t="shared" si="23"/>
        <v>1130</v>
      </c>
      <c r="E122" s="5">
        <f t="shared" si="23"/>
        <v>342</v>
      </c>
      <c r="F122" s="5">
        <f t="shared" si="23"/>
        <v>456</v>
      </c>
      <c r="G122" s="5">
        <f t="shared" si="24"/>
        <v>16560</v>
      </c>
      <c r="H122" s="5">
        <f t="shared" si="24"/>
        <v>4092</v>
      </c>
      <c r="I122" s="5">
        <f t="shared" si="24"/>
        <v>2712</v>
      </c>
      <c r="J122" s="5">
        <f t="shared" si="24"/>
        <v>820.8</v>
      </c>
      <c r="K122" s="5">
        <f t="shared" si="24"/>
        <v>1094.3999999999999</v>
      </c>
      <c r="L122" s="5">
        <f t="shared" si="25"/>
        <v>8280</v>
      </c>
      <c r="M122" s="5">
        <f t="shared" si="25"/>
        <v>2046</v>
      </c>
      <c r="N122" s="5">
        <f t="shared" si="25"/>
        <v>1356</v>
      </c>
      <c r="O122" s="5">
        <f t="shared" si="25"/>
        <v>410.4</v>
      </c>
      <c r="P122" s="5">
        <f t="shared" si="25"/>
        <v>547.19999999999993</v>
      </c>
      <c r="Q122" s="5">
        <f t="shared" si="26"/>
        <v>31740</v>
      </c>
      <c r="R122" s="5">
        <f t="shared" si="26"/>
        <v>7843</v>
      </c>
      <c r="S122" s="5">
        <f t="shared" si="26"/>
        <v>5198</v>
      </c>
      <c r="T122" s="5">
        <f t="shared" si="26"/>
        <v>1573.1999999999998</v>
      </c>
      <c r="U122" s="5">
        <f t="shared" si="26"/>
        <v>2097.6</v>
      </c>
      <c r="V122" s="5">
        <f>B122*战斗力计算!$B$8+C122*战斗力计算!$B$9+D122*战斗力计算!$B$10+E122*战斗力计算!$B$11+F122*战斗力计算!$B$12</f>
        <v>50040</v>
      </c>
      <c r="W122" s="5">
        <f>G122*战斗力计算!$B$8+H122*战斗力计算!$B$9+I122*战斗力计算!$B$10+J122*战斗力计算!$B$11+K122*战斗力计算!$B$12+L122*战斗力计算!$B$8+M122*战斗力计算!$B$9+N122*战斗力计算!$B$10+O122*战斗力计算!$B$11+P122*战斗力计算!$B$12</f>
        <v>180144</v>
      </c>
      <c r="X122" s="5">
        <f t="shared" si="28"/>
        <v>230184</v>
      </c>
      <c r="AC122">
        <f t="shared" si="29"/>
        <v>2.4</v>
      </c>
      <c r="AD122">
        <f t="shared" si="30"/>
        <v>1.2</v>
      </c>
      <c r="AF122">
        <f t="shared" si="31"/>
        <v>0.75</v>
      </c>
      <c r="AH122">
        <f t="shared" si="32"/>
        <v>12</v>
      </c>
      <c r="AK122">
        <f t="shared" si="33"/>
        <v>6.1061946902654869</v>
      </c>
      <c r="AL122">
        <f t="shared" si="34"/>
        <v>1.5088495575221239</v>
      </c>
      <c r="AM122">
        <f t="shared" si="35"/>
        <v>1</v>
      </c>
      <c r="AN122">
        <f t="shared" si="36"/>
        <v>6.1061946902654869</v>
      </c>
      <c r="AO122">
        <f t="shared" si="37"/>
        <v>1.5088495575221239</v>
      </c>
      <c r="AP122">
        <f t="shared" si="38"/>
        <v>1</v>
      </c>
      <c r="AR122">
        <f t="shared" si="39"/>
        <v>4.4868421052631575</v>
      </c>
      <c r="AT122">
        <f t="shared" si="40"/>
        <v>4.4868421052631575</v>
      </c>
      <c r="AV122">
        <f t="shared" si="41"/>
        <v>1193</v>
      </c>
      <c r="AW122">
        <f t="shared" si="42"/>
        <v>2216</v>
      </c>
    </row>
    <row r="123" spans="1:49" x14ac:dyDescent="0.15">
      <c r="A123" s="5">
        <v>113</v>
      </c>
      <c r="B123" s="5">
        <f t="shared" si="27"/>
        <v>6960</v>
      </c>
      <c r="C123" s="5">
        <f t="shared" si="23"/>
        <v>1720</v>
      </c>
      <c r="D123" s="5">
        <f t="shared" si="23"/>
        <v>1140</v>
      </c>
      <c r="E123" s="5">
        <f t="shared" si="23"/>
        <v>345</v>
      </c>
      <c r="F123" s="5">
        <f t="shared" si="23"/>
        <v>460</v>
      </c>
      <c r="G123" s="5">
        <f t="shared" si="24"/>
        <v>16704</v>
      </c>
      <c r="H123" s="5">
        <f t="shared" si="24"/>
        <v>4128</v>
      </c>
      <c r="I123" s="5">
        <f t="shared" si="24"/>
        <v>2736</v>
      </c>
      <c r="J123" s="5">
        <f t="shared" si="24"/>
        <v>828</v>
      </c>
      <c r="K123" s="5">
        <f t="shared" si="24"/>
        <v>1104</v>
      </c>
      <c r="L123" s="5">
        <f t="shared" si="25"/>
        <v>8352</v>
      </c>
      <c r="M123" s="5">
        <f t="shared" si="25"/>
        <v>2064</v>
      </c>
      <c r="N123" s="5">
        <f t="shared" si="25"/>
        <v>1368</v>
      </c>
      <c r="O123" s="5">
        <f t="shared" si="25"/>
        <v>414</v>
      </c>
      <c r="P123" s="5">
        <f t="shared" si="25"/>
        <v>552</v>
      </c>
      <c r="Q123" s="5">
        <f t="shared" si="26"/>
        <v>32016</v>
      </c>
      <c r="R123" s="5">
        <f t="shared" si="26"/>
        <v>7912</v>
      </c>
      <c r="S123" s="5">
        <f t="shared" si="26"/>
        <v>5244</v>
      </c>
      <c r="T123" s="5">
        <f t="shared" si="26"/>
        <v>1587</v>
      </c>
      <c r="U123" s="5">
        <f t="shared" si="26"/>
        <v>2116</v>
      </c>
      <c r="V123" s="5">
        <f>B123*战斗力计算!$B$8+C123*战斗力计算!$B$9+D123*战斗力计算!$B$10+E123*战斗力计算!$B$11+F123*战斗力计算!$B$12</f>
        <v>50480</v>
      </c>
      <c r="W123" s="5">
        <f>G123*战斗力计算!$B$8+H123*战斗力计算!$B$9+I123*战斗力计算!$B$10+J123*战斗力计算!$B$11+K123*战斗力计算!$B$12+L123*战斗力计算!$B$8+M123*战斗力计算!$B$9+N123*战斗力计算!$B$10+O123*战斗力计算!$B$11+P123*战斗力计算!$B$12</f>
        <v>181728</v>
      </c>
      <c r="X123" s="5">
        <f t="shared" si="28"/>
        <v>232208</v>
      </c>
      <c r="AC123">
        <f t="shared" si="29"/>
        <v>2.4</v>
      </c>
      <c r="AD123">
        <f t="shared" si="30"/>
        <v>1.2</v>
      </c>
      <c r="AF123">
        <f t="shared" si="31"/>
        <v>0.75</v>
      </c>
      <c r="AH123">
        <f t="shared" si="32"/>
        <v>12</v>
      </c>
      <c r="AK123">
        <f t="shared" si="33"/>
        <v>6.1052631578947372</v>
      </c>
      <c r="AL123">
        <f t="shared" si="34"/>
        <v>1.5087719298245614</v>
      </c>
      <c r="AM123">
        <f t="shared" si="35"/>
        <v>1</v>
      </c>
      <c r="AN123">
        <f t="shared" si="36"/>
        <v>6.1052631578947372</v>
      </c>
      <c r="AO123">
        <f t="shared" si="37"/>
        <v>1.5087719298245614</v>
      </c>
      <c r="AP123">
        <f t="shared" si="38"/>
        <v>1</v>
      </c>
      <c r="AR123">
        <f t="shared" si="39"/>
        <v>4.4869565217391303</v>
      </c>
      <c r="AT123">
        <f t="shared" si="40"/>
        <v>4.4869565217391303</v>
      </c>
      <c r="AV123">
        <f t="shared" si="41"/>
        <v>1204</v>
      </c>
      <c r="AW123">
        <f t="shared" si="42"/>
        <v>2236</v>
      </c>
    </row>
    <row r="124" spans="1:49" x14ac:dyDescent="0.15">
      <c r="A124" s="5">
        <v>114</v>
      </c>
      <c r="B124" s="5">
        <f t="shared" si="27"/>
        <v>7020</v>
      </c>
      <c r="C124" s="5">
        <f t="shared" si="23"/>
        <v>1735</v>
      </c>
      <c r="D124" s="5">
        <f t="shared" si="23"/>
        <v>1150</v>
      </c>
      <c r="E124" s="5">
        <f t="shared" si="23"/>
        <v>348</v>
      </c>
      <c r="F124" s="5">
        <f t="shared" si="23"/>
        <v>464</v>
      </c>
      <c r="G124" s="5">
        <f t="shared" si="24"/>
        <v>16848</v>
      </c>
      <c r="H124" s="5">
        <f t="shared" si="24"/>
        <v>4164</v>
      </c>
      <c r="I124" s="5">
        <f t="shared" si="24"/>
        <v>2760</v>
      </c>
      <c r="J124" s="5">
        <f t="shared" si="24"/>
        <v>835.19999999999993</v>
      </c>
      <c r="K124" s="5">
        <f t="shared" si="24"/>
        <v>1113.5999999999999</v>
      </c>
      <c r="L124" s="5">
        <f t="shared" si="25"/>
        <v>8424</v>
      </c>
      <c r="M124" s="5">
        <f t="shared" si="25"/>
        <v>2082</v>
      </c>
      <c r="N124" s="5">
        <f t="shared" si="25"/>
        <v>1380</v>
      </c>
      <c r="O124" s="5">
        <f t="shared" si="25"/>
        <v>417.59999999999997</v>
      </c>
      <c r="P124" s="5">
        <f t="shared" si="25"/>
        <v>556.79999999999995</v>
      </c>
      <c r="Q124" s="5">
        <f t="shared" si="26"/>
        <v>32292</v>
      </c>
      <c r="R124" s="5">
        <f t="shared" si="26"/>
        <v>7981</v>
      </c>
      <c r="S124" s="5">
        <f t="shared" si="26"/>
        <v>5290</v>
      </c>
      <c r="T124" s="5">
        <f t="shared" si="26"/>
        <v>1600.7999999999997</v>
      </c>
      <c r="U124" s="5">
        <f t="shared" si="26"/>
        <v>2134.3999999999996</v>
      </c>
      <c r="V124" s="5">
        <f>B124*战斗力计算!$B$8+C124*战斗力计算!$B$9+D124*战斗力计算!$B$10+E124*战斗力计算!$B$11+F124*战斗力计算!$B$12</f>
        <v>50920</v>
      </c>
      <c r="W124" s="5">
        <f>G124*战斗力计算!$B$8+H124*战斗力计算!$B$9+I124*战斗力计算!$B$10+J124*战斗力计算!$B$11+K124*战斗力计算!$B$12+L124*战斗力计算!$B$8+M124*战斗力计算!$B$9+N124*战斗力计算!$B$10+O124*战斗力计算!$B$11+P124*战斗力计算!$B$12</f>
        <v>183312</v>
      </c>
      <c r="X124" s="5">
        <f t="shared" si="28"/>
        <v>234232</v>
      </c>
      <c r="AC124">
        <f t="shared" si="29"/>
        <v>2.4</v>
      </c>
      <c r="AD124">
        <f t="shared" si="30"/>
        <v>1.2</v>
      </c>
      <c r="AF124">
        <f t="shared" si="31"/>
        <v>0.75</v>
      </c>
      <c r="AH124">
        <f t="shared" si="32"/>
        <v>12</v>
      </c>
      <c r="AK124">
        <f t="shared" si="33"/>
        <v>6.1043478260869568</v>
      </c>
      <c r="AL124">
        <f t="shared" si="34"/>
        <v>1.508695652173913</v>
      </c>
      <c r="AM124">
        <f t="shared" si="35"/>
        <v>1</v>
      </c>
      <c r="AN124">
        <f t="shared" si="36"/>
        <v>6.1043478260869568</v>
      </c>
      <c r="AO124">
        <f t="shared" si="37"/>
        <v>1.508695652173913</v>
      </c>
      <c r="AP124">
        <f t="shared" si="38"/>
        <v>1</v>
      </c>
      <c r="AR124">
        <f t="shared" si="39"/>
        <v>4.4870689655172411</v>
      </c>
      <c r="AT124">
        <f t="shared" si="40"/>
        <v>4.4870689655172411</v>
      </c>
      <c r="AV124">
        <f t="shared" si="41"/>
        <v>1214</v>
      </c>
      <c r="AW124">
        <f t="shared" si="42"/>
        <v>2255</v>
      </c>
    </row>
    <row r="125" spans="1:49" x14ac:dyDescent="0.15">
      <c r="A125" s="5">
        <v>115</v>
      </c>
      <c r="B125" s="5">
        <f t="shared" si="27"/>
        <v>7080</v>
      </c>
      <c r="C125" s="5">
        <f t="shared" si="23"/>
        <v>1750</v>
      </c>
      <c r="D125" s="5">
        <f t="shared" si="23"/>
        <v>1160</v>
      </c>
      <c r="E125" s="5">
        <f t="shared" si="23"/>
        <v>351</v>
      </c>
      <c r="F125" s="5">
        <f t="shared" si="23"/>
        <v>468</v>
      </c>
      <c r="G125" s="5">
        <f t="shared" si="24"/>
        <v>16992</v>
      </c>
      <c r="H125" s="5">
        <f t="shared" si="24"/>
        <v>4200</v>
      </c>
      <c r="I125" s="5">
        <f t="shared" si="24"/>
        <v>2784</v>
      </c>
      <c r="J125" s="5">
        <f t="shared" si="24"/>
        <v>842.4</v>
      </c>
      <c r="K125" s="5">
        <f t="shared" si="24"/>
        <v>1123.2</v>
      </c>
      <c r="L125" s="5">
        <f t="shared" si="25"/>
        <v>8496</v>
      </c>
      <c r="M125" s="5">
        <f t="shared" si="25"/>
        <v>2100</v>
      </c>
      <c r="N125" s="5">
        <f t="shared" si="25"/>
        <v>1392</v>
      </c>
      <c r="O125" s="5">
        <f t="shared" si="25"/>
        <v>421.2</v>
      </c>
      <c r="P125" s="5">
        <f t="shared" si="25"/>
        <v>561.6</v>
      </c>
      <c r="Q125" s="5">
        <f t="shared" si="26"/>
        <v>32568</v>
      </c>
      <c r="R125" s="5">
        <f t="shared" si="26"/>
        <v>8050</v>
      </c>
      <c r="S125" s="5">
        <f t="shared" si="26"/>
        <v>5336</v>
      </c>
      <c r="T125" s="5">
        <f t="shared" si="26"/>
        <v>1614.6000000000001</v>
      </c>
      <c r="U125" s="5">
        <f t="shared" si="26"/>
        <v>2152.8000000000002</v>
      </c>
      <c r="V125" s="5">
        <f>B125*战斗力计算!$B$8+C125*战斗力计算!$B$9+D125*战斗力计算!$B$10+E125*战斗力计算!$B$11+F125*战斗力计算!$B$12</f>
        <v>51360</v>
      </c>
      <c r="W125" s="5">
        <f>G125*战斗力计算!$B$8+H125*战斗力计算!$B$9+I125*战斗力计算!$B$10+J125*战斗力计算!$B$11+K125*战斗力计算!$B$12+L125*战斗力计算!$B$8+M125*战斗力计算!$B$9+N125*战斗力计算!$B$10+O125*战斗力计算!$B$11+P125*战斗力计算!$B$12</f>
        <v>184896</v>
      </c>
      <c r="X125" s="5">
        <f t="shared" si="28"/>
        <v>236256</v>
      </c>
      <c r="AC125">
        <f t="shared" si="29"/>
        <v>2.4</v>
      </c>
      <c r="AD125">
        <f t="shared" si="30"/>
        <v>1.2</v>
      </c>
      <c r="AF125">
        <f t="shared" si="31"/>
        <v>0.75</v>
      </c>
      <c r="AH125">
        <f t="shared" si="32"/>
        <v>12</v>
      </c>
      <c r="AK125">
        <f t="shared" si="33"/>
        <v>6.1034482758620694</v>
      </c>
      <c r="AL125">
        <f t="shared" si="34"/>
        <v>1.5086206896551724</v>
      </c>
      <c r="AM125">
        <f t="shared" si="35"/>
        <v>1</v>
      </c>
      <c r="AN125">
        <f t="shared" si="36"/>
        <v>6.1034482758620694</v>
      </c>
      <c r="AO125">
        <f t="shared" si="37"/>
        <v>1.5086206896551724</v>
      </c>
      <c r="AP125">
        <f t="shared" si="38"/>
        <v>1</v>
      </c>
      <c r="AR125">
        <f t="shared" si="39"/>
        <v>4.4871794871794872</v>
      </c>
      <c r="AT125">
        <f t="shared" si="40"/>
        <v>4.4871794871794872</v>
      </c>
      <c r="AV125">
        <f t="shared" si="41"/>
        <v>1225</v>
      </c>
      <c r="AW125">
        <f t="shared" si="42"/>
        <v>2275</v>
      </c>
    </row>
    <row r="126" spans="1:49" x14ac:dyDescent="0.15">
      <c r="A126" s="5">
        <v>116</v>
      </c>
      <c r="B126" s="5">
        <f t="shared" si="27"/>
        <v>7140</v>
      </c>
      <c r="C126" s="5">
        <f t="shared" si="23"/>
        <v>1765</v>
      </c>
      <c r="D126" s="5">
        <f t="shared" si="23"/>
        <v>1170</v>
      </c>
      <c r="E126" s="5">
        <f t="shared" si="23"/>
        <v>354</v>
      </c>
      <c r="F126" s="5">
        <f t="shared" si="23"/>
        <v>472</v>
      </c>
      <c r="G126" s="5">
        <f t="shared" ref="G126:K176" si="43">HLOOKUP(G$10,$B$10:$F$610,$A126+1,0)*$AC126</f>
        <v>17136</v>
      </c>
      <c r="H126" s="5">
        <f t="shared" si="43"/>
        <v>4236</v>
      </c>
      <c r="I126" s="5">
        <f t="shared" si="43"/>
        <v>2808</v>
      </c>
      <c r="J126" s="5">
        <f t="shared" si="43"/>
        <v>849.6</v>
      </c>
      <c r="K126" s="5">
        <f t="shared" si="43"/>
        <v>1132.8</v>
      </c>
      <c r="L126" s="5">
        <f t="shared" ref="L126:P176" si="44">HLOOKUP(L$10,$B$10:$F$610,$A126+1,0)*$AD126</f>
        <v>8568</v>
      </c>
      <c r="M126" s="5">
        <f t="shared" si="44"/>
        <v>2118</v>
      </c>
      <c r="N126" s="5">
        <f t="shared" si="44"/>
        <v>1404</v>
      </c>
      <c r="O126" s="5">
        <f t="shared" si="44"/>
        <v>424.8</v>
      </c>
      <c r="P126" s="5">
        <f t="shared" si="44"/>
        <v>566.4</v>
      </c>
      <c r="Q126" s="5">
        <f t="shared" ref="Q126:U160" si="45">B126+G126+L126</f>
        <v>32844</v>
      </c>
      <c r="R126" s="5">
        <f t="shared" si="45"/>
        <v>8119</v>
      </c>
      <c r="S126" s="5">
        <f t="shared" si="45"/>
        <v>5382</v>
      </c>
      <c r="T126" s="5">
        <f t="shared" si="45"/>
        <v>1628.3999999999999</v>
      </c>
      <c r="U126" s="5">
        <f t="shared" si="45"/>
        <v>2171.1999999999998</v>
      </c>
      <c r="V126" s="5">
        <f>B126*战斗力计算!$B$8+C126*战斗力计算!$B$9+D126*战斗力计算!$B$10+E126*战斗力计算!$B$11+F126*战斗力计算!$B$12</f>
        <v>51800</v>
      </c>
      <c r="W126" s="5">
        <f>G126*战斗力计算!$B$8+H126*战斗力计算!$B$9+I126*战斗力计算!$B$10+J126*战斗力计算!$B$11+K126*战斗力计算!$B$12+L126*战斗力计算!$B$8+M126*战斗力计算!$B$9+N126*战斗力计算!$B$10+O126*战斗力计算!$B$11+P126*战斗力计算!$B$12</f>
        <v>186480</v>
      </c>
      <c r="X126" s="5">
        <f t="shared" si="28"/>
        <v>238280</v>
      </c>
      <c r="AC126">
        <f t="shared" si="29"/>
        <v>2.4</v>
      </c>
      <c r="AD126">
        <f t="shared" si="30"/>
        <v>1.2</v>
      </c>
      <c r="AF126">
        <f t="shared" si="31"/>
        <v>0.75</v>
      </c>
      <c r="AH126">
        <f t="shared" si="32"/>
        <v>12</v>
      </c>
      <c r="AK126">
        <f t="shared" si="33"/>
        <v>6.1025641025641022</v>
      </c>
      <c r="AL126">
        <f t="shared" si="34"/>
        <v>1.5085470085470085</v>
      </c>
      <c r="AM126">
        <f t="shared" si="35"/>
        <v>1</v>
      </c>
      <c r="AN126">
        <f t="shared" si="36"/>
        <v>6.1025641025641022</v>
      </c>
      <c r="AO126">
        <f t="shared" si="37"/>
        <v>1.5085470085470085</v>
      </c>
      <c r="AP126">
        <f t="shared" si="38"/>
        <v>1</v>
      </c>
      <c r="AR126">
        <f t="shared" si="39"/>
        <v>4.4872881355932206</v>
      </c>
      <c r="AT126">
        <f t="shared" si="40"/>
        <v>4.4872881355932206</v>
      </c>
      <c r="AV126">
        <f t="shared" si="41"/>
        <v>1235</v>
      </c>
      <c r="AW126">
        <f t="shared" si="42"/>
        <v>2294</v>
      </c>
    </row>
    <row r="127" spans="1:49" x14ac:dyDescent="0.15">
      <c r="A127" s="5">
        <v>117</v>
      </c>
      <c r="B127" s="5">
        <f t="shared" si="27"/>
        <v>7200</v>
      </c>
      <c r="C127" s="5">
        <f t="shared" si="23"/>
        <v>1780</v>
      </c>
      <c r="D127" s="5">
        <f t="shared" si="23"/>
        <v>1180</v>
      </c>
      <c r="E127" s="5">
        <f t="shared" si="23"/>
        <v>357</v>
      </c>
      <c r="F127" s="5">
        <f t="shared" si="23"/>
        <v>476</v>
      </c>
      <c r="G127" s="5">
        <f t="shared" si="43"/>
        <v>17280</v>
      </c>
      <c r="H127" s="5">
        <f t="shared" si="43"/>
        <v>4272</v>
      </c>
      <c r="I127" s="5">
        <f t="shared" si="43"/>
        <v>2832</v>
      </c>
      <c r="J127" s="5">
        <f t="shared" si="43"/>
        <v>856.8</v>
      </c>
      <c r="K127" s="5">
        <f t="shared" si="43"/>
        <v>1142.3999999999999</v>
      </c>
      <c r="L127" s="5">
        <f t="shared" si="44"/>
        <v>8640</v>
      </c>
      <c r="M127" s="5">
        <f t="shared" si="44"/>
        <v>2136</v>
      </c>
      <c r="N127" s="5">
        <f t="shared" si="44"/>
        <v>1416</v>
      </c>
      <c r="O127" s="5">
        <f t="shared" si="44"/>
        <v>428.4</v>
      </c>
      <c r="P127" s="5">
        <f t="shared" si="44"/>
        <v>571.19999999999993</v>
      </c>
      <c r="Q127" s="5">
        <f t="shared" si="45"/>
        <v>33120</v>
      </c>
      <c r="R127" s="5">
        <f t="shared" si="45"/>
        <v>8188</v>
      </c>
      <c r="S127" s="5">
        <f t="shared" si="45"/>
        <v>5428</v>
      </c>
      <c r="T127" s="5">
        <f t="shared" si="45"/>
        <v>1642.1999999999998</v>
      </c>
      <c r="U127" s="5">
        <f t="shared" si="45"/>
        <v>2189.6</v>
      </c>
      <c r="V127" s="5">
        <f>B127*战斗力计算!$B$8+C127*战斗力计算!$B$9+D127*战斗力计算!$B$10+E127*战斗力计算!$B$11+F127*战斗力计算!$B$12</f>
        <v>52240</v>
      </c>
      <c r="W127" s="5">
        <f>G127*战斗力计算!$B$8+H127*战斗力计算!$B$9+I127*战斗力计算!$B$10+J127*战斗力计算!$B$11+K127*战斗力计算!$B$12+L127*战斗力计算!$B$8+M127*战斗力计算!$B$9+N127*战斗力计算!$B$10+O127*战斗力计算!$B$11+P127*战斗力计算!$B$12</f>
        <v>188064</v>
      </c>
      <c r="X127" s="5">
        <f t="shared" si="28"/>
        <v>240304</v>
      </c>
      <c r="AC127">
        <f t="shared" si="29"/>
        <v>2.4</v>
      </c>
      <c r="AD127">
        <f t="shared" si="30"/>
        <v>1.2</v>
      </c>
      <c r="AF127">
        <f t="shared" si="31"/>
        <v>0.75</v>
      </c>
      <c r="AH127">
        <f t="shared" si="32"/>
        <v>12</v>
      </c>
      <c r="AK127">
        <f t="shared" si="33"/>
        <v>6.101694915254237</v>
      </c>
      <c r="AL127">
        <f t="shared" si="34"/>
        <v>1.5084745762711864</v>
      </c>
      <c r="AM127">
        <f t="shared" si="35"/>
        <v>1</v>
      </c>
      <c r="AN127">
        <f t="shared" si="36"/>
        <v>6.101694915254237</v>
      </c>
      <c r="AO127">
        <f t="shared" si="37"/>
        <v>1.5084745762711864</v>
      </c>
      <c r="AP127">
        <f t="shared" si="38"/>
        <v>1</v>
      </c>
      <c r="AR127">
        <f t="shared" si="39"/>
        <v>4.4873949579831933</v>
      </c>
      <c r="AT127">
        <f t="shared" si="40"/>
        <v>4.4873949579831933</v>
      </c>
      <c r="AV127">
        <f t="shared" si="41"/>
        <v>1246</v>
      </c>
      <c r="AW127">
        <f t="shared" si="42"/>
        <v>2314</v>
      </c>
    </row>
    <row r="128" spans="1:49" x14ac:dyDescent="0.15">
      <c r="A128" s="5">
        <v>118</v>
      </c>
      <c r="B128" s="5">
        <f t="shared" si="27"/>
        <v>7260</v>
      </c>
      <c r="C128" s="5">
        <f t="shared" si="23"/>
        <v>1795</v>
      </c>
      <c r="D128" s="5">
        <f t="shared" si="23"/>
        <v>1190</v>
      </c>
      <c r="E128" s="5">
        <f t="shared" si="23"/>
        <v>360</v>
      </c>
      <c r="F128" s="5">
        <f t="shared" si="23"/>
        <v>480</v>
      </c>
      <c r="G128" s="5">
        <f t="shared" si="43"/>
        <v>17424</v>
      </c>
      <c r="H128" s="5">
        <f t="shared" si="43"/>
        <v>4308</v>
      </c>
      <c r="I128" s="5">
        <f t="shared" si="43"/>
        <v>2856</v>
      </c>
      <c r="J128" s="5">
        <f t="shared" si="43"/>
        <v>864</v>
      </c>
      <c r="K128" s="5">
        <f t="shared" si="43"/>
        <v>1152</v>
      </c>
      <c r="L128" s="5">
        <f t="shared" si="44"/>
        <v>8712</v>
      </c>
      <c r="M128" s="5">
        <f t="shared" si="44"/>
        <v>2154</v>
      </c>
      <c r="N128" s="5">
        <f t="shared" si="44"/>
        <v>1428</v>
      </c>
      <c r="O128" s="5">
        <f t="shared" si="44"/>
        <v>432</v>
      </c>
      <c r="P128" s="5">
        <f t="shared" si="44"/>
        <v>576</v>
      </c>
      <c r="Q128" s="5">
        <f t="shared" si="45"/>
        <v>33396</v>
      </c>
      <c r="R128" s="5">
        <f t="shared" si="45"/>
        <v>8257</v>
      </c>
      <c r="S128" s="5">
        <f t="shared" si="45"/>
        <v>5474</v>
      </c>
      <c r="T128" s="5">
        <f t="shared" si="45"/>
        <v>1656</v>
      </c>
      <c r="U128" s="5">
        <f t="shared" si="45"/>
        <v>2208</v>
      </c>
      <c r="V128" s="5">
        <f>B128*战斗力计算!$B$8+C128*战斗力计算!$B$9+D128*战斗力计算!$B$10+E128*战斗力计算!$B$11+F128*战斗力计算!$B$12</f>
        <v>52680</v>
      </c>
      <c r="W128" s="5">
        <f>G128*战斗力计算!$B$8+H128*战斗力计算!$B$9+I128*战斗力计算!$B$10+J128*战斗力计算!$B$11+K128*战斗力计算!$B$12+L128*战斗力计算!$B$8+M128*战斗力计算!$B$9+N128*战斗力计算!$B$10+O128*战斗力计算!$B$11+P128*战斗力计算!$B$12</f>
        <v>189648</v>
      </c>
      <c r="X128" s="5">
        <f t="shared" si="28"/>
        <v>242328</v>
      </c>
      <c r="AC128">
        <f t="shared" si="29"/>
        <v>2.4</v>
      </c>
      <c r="AD128">
        <f t="shared" si="30"/>
        <v>1.2</v>
      </c>
      <c r="AF128">
        <f t="shared" si="31"/>
        <v>0.75</v>
      </c>
      <c r="AH128">
        <f t="shared" si="32"/>
        <v>12</v>
      </c>
      <c r="AK128">
        <f t="shared" si="33"/>
        <v>6.1008403361344534</v>
      </c>
      <c r="AL128">
        <f t="shared" si="34"/>
        <v>1.5084033613445378</v>
      </c>
      <c r="AM128">
        <f t="shared" si="35"/>
        <v>1</v>
      </c>
      <c r="AN128">
        <f t="shared" si="36"/>
        <v>6.1008403361344534</v>
      </c>
      <c r="AO128">
        <f t="shared" si="37"/>
        <v>1.5084033613445378</v>
      </c>
      <c r="AP128">
        <f t="shared" si="38"/>
        <v>1</v>
      </c>
      <c r="AR128">
        <f t="shared" si="39"/>
        <v>4.4874999999999998</v>
      </c>
      <c r="AT128">
        <f t="shared" si="40"/>
        <v>4.4874999999999998</v>
      </c>
      <c r="AV128">
        <f t="shared" si="41"/>
        <v>1256</v>
      </c>
      <c r="AW128">
        <f t="shared" si="42"/>
        <v>2333</v>
      </c>
    </row>
    <row r="129" spans="1:49" x14ac:dyDescent="0.15">
      <c r="A129" s="5">
        <v>119</v>
      </c>
      <c r="B129" s="5">
        <f t="shared" si="27"/>
        <v>7320</v>
      </c>
      <c r="C129" s="5">
        <f t="shared" si="23"/>
        <v>1810</v>
      </c>
      <c r="D129" s="5">
        <f t="shared" si="23"/>
        <v>1200</v>
      </c>
      <c r="E129" s="5">
        <f t="shared" si="23"/>
        <v>363</v>
      </c>
      <c r="F129" s="5">
        <f t="shared" si="23"/>
        <v>484</v>
      </c>
      <c r="G129" s="5">
        <f t="shared" si="43"/>
        <v>17568</v>
      </c>
      <c r="H129" s="5">
        <f t="shared" si="43"/>
        <v>4344</v>
      </c>
      <c r="I129" s="5">
        <f t="shared" si="43"/>
        <v>2880</v>
      </c>
      <c r="J129" s="5">
        <f t="shared" si="43"/>
        <v>871.19999999999993</v>
      </c>
      <c r="K129" s="5">
        <f t="shared" si="43"/>
        <v>1161.5999999999999</v>
      </c>
      <c r="L129" s="5">
        <f t="shared" si="44"/>
        <v>8784</v>
      </c>
      <c r="M129" s="5">
        <f t="shared" si="44"/>
        <v>2172</v>
      </c>
      <c r="N129" s="5">
        <f t="shared" si="44"/>
        <v>1440</v>
      </c>
      <c r="O129" s="5">
        <f t="shared" si="44"/>
        <v>435.59999999999997</v>
      </c>
      <c r="P129" s="5">
        <f t="shared" si="44"/>
        <v>580.79999999999995</v>
      </c>
      <c r="Q129" s="5">
        <f t="shared" si="45"/>
        <v>33672</v>
      </c>
      <c r="R129" s="5">
        <f t="shared" si="45"/>
        <v>8326</v>
      </c>
      <c r="S129" s="5">
        <f t="shared" si="45"/>
        <v>5520</v>
      </c>
      <c r="T129" s="5">
        <f t="shared" si="45"/>
        <v>1669.7999999999997</v>
      </c>
      <c r="U129" s="5">
        <f t="shared" si="45"/>
        <v>2226.3999999999996</v>
      </c>
      <c r="V129" s="5">
        <f>B129*战斗力计算!$B$8+C129*战斗力计算!$B$9+D129*战斗力计算!$B$10+E129*战斗力计算!$B$11+F129*战斗力计算!$B$12</f>
        <v>53120</v>
      </c>
      <c r="W129" s="5">
        <f>G129*战斗力计算!$B$8+H129*战斗力计算!$B$9+I129*战斗力计算!$B$10+J129*战斗力计算!$B$11+K129*战斗力计算!$B$12+L129*战斗力计算!$B$8+M129*战斗力计算!$B$9+N129*战斗力计算!$B$10+O129*战斗力计算!$B$11+P129*战斗力计算!$B$12</f>
        <v>191232</v>
      </c>
      <c r="X129" s="5">
        <f t="shared" si="28"/>
        <v>244352</v>
      </c>
      <c r="AC129">
        <f t="shared" si="29"/>
        <v>2.4</v>
      </c>
      <c r="AD129">
        <f t="shared" si="30"/>
        <v>1.2</v>
      </c>
      <c r="AF129">
        <f t="shared" si="31"/>
        <v>0.75</v>
      </c>
      <c r="AH129">
        <f t="shared" si="32"/>
        <v>12</v>
      </c>
      <c r="AK129">
        <f t="shared" si="33"/>
        <v>6.1</v>
      </c>
      <c r="AL129">
        <f t="shared" si="34"/>
        <v>1.5083333333333333</v>
      </c>
      <c r="AM129">
        <f t="shared" si="35"/>
        <v>1</v>
      </c>
      <c r="AN129">
        <f t="shared" si="36"/>
        <v>6.1</v>
      </c>
      <c r="AO129">
        <f t="shared" si="37"/>
        <v>1.5083333333333333</v>
      </c>
      <c r="AP129">
        <f t="shared" si="38"/>
        <v>1</v>
      </c>
      <c r="AR129">
        <f t="shared" si="39"/>
        <v>4.4876033057851243</v>
      </c>
      <c r="AT129">
        <f t="shared" si="40"/>
        <v>4.4876033057851243</v>
      </c>
      <c r="AV129">
        <f t="shared" si="41"/>
        <v>1267</v>
      </c>
      <c r="AW129">
        <f t="shared" si="42"/>
        <v>2353</v>
      </c>
    </row>
    <row r="130" spans="1:49" x14ac:dyDescent="0.15">
      <c r="A130" s="5">
        <v>120</v>
      </c>
      <c r="B130" s="5">
        <f t="shared" si="27"/>
        <v>7380</v>
      </c>
      <c r="C130" s="5">
        <f t="shared" si="23"/>
        <v>1825</v>
      </c>
      <c r="D130" s="5">
        <f t="shared" si="23"/>
        <v>1210</v>
      </c>
      <c r="E130" s="5">
        <f t="shared" si="23"/>
        <v>366</v>
      </c>
      <c r="F130" s="5">
        <f t="shared" si="23"/>
        <v>488</v>
      </c>
      <c r="G130" s="5">
        <f t="shared" si="43"/>
        <v>19188</v>
      </c>
      <c r="H130" s="5">
        <f t="shared" si="43"/>
        <v>4745</v>
      </c>
      <c r="I130" s="5">
        <f t="shared" si="43"/>
        <v>3146</v>
      </c>
      <c r="J130" s="5">
        <f t="shared" si="43"/>
        <v>951.6</v>
      </c>
      <c r="K130" s="5">
        <f t="shared" si="43"/>
        <v>1268.8</v>
      </c>
      <c r="L130" s="5">
        <f t="shared" si="44"/>
        <v>9594</v>
      </c>
      <c r="M130" s="5">
        <f t="shared" si="44"/>
        <v>2372.5</v>
      </c>
      <c r="N130" s="5">
        <f t="shared" si="44"/>
        <v>1573</v>
      </c>
      <c r="O130" s="5">
        <f t="shared" si="44"/>
        <v>475.8</v>
      </c>
      <c r="P130" s="5">
        <f t="shared" si="44"/>
        <v>634.4</v>
      </c>
      <c r="Q130" s="5">
        <f t="shared" si="45"/>
        <v>36162</v>
      </c>
      <c r="R130" s="5">
        <f t="shared" si="45"/>
        <v>8942.5</v>
      </c>
      <c r="S130" s="5">
        <f t="shared" si="45"/>
        <v>5929</v>
      </c>
      <c r="T130" s="5">
        <f t="shared" si="45"/>
        <v>1793.3999999999999</v>
      </c>
      <c r="U130" s="5">
        <f t="shared" si="45"/>
        <v>2391.1999999999998</v>
      </c>
      <c r="V130" s="5">
        <f>B130*战斗力计算!$B$8+C130*战斗力计算!$B$9+D130*战斗力计算!$B$10+E130*战斗力计算!$B$11+F130*战斗力计算!$B$12</f>
        <v>53560</v>
      </c>
      <c r="W130" s="5">
        <f>G130*战斗力计算!$B$8+H130*战斗力计算!$B$9+I130*战斗力计算!$B$10+J130*战斗力计算!$B$11+K130*战斗力计算!$B$12+L130*战斗力计算!$B$8+M130*战斗力计算!$B$9+N130*战斗力计算!$B$10+O130*战斗力计算!$B$11+P130*战斗力计算!$B$12</f>
        <v>208884</v>
      </c>
      <c r="X130" s="5">
        <f t="shared" si="28"/>
        <v>262444</v>
      </c>
      <c r="AC130">
        <f t="shared" si="29"/>
        <v>2.6</v>
      </c>
      <c r="AD130">
        <f t="shared" si="30"/>
        <v>1.3</v>
      </c>
      <c r="AF130">
        <f t="shared" si="31"/>
        <v>0.75</v>
      </c>
      <c r="AH130">
        <f t="shared" si="32"/>
        <v>12</v>
      </c>
      <c r="AK130">
        <f t="shared" si="33"/>
        <v>6.0991735537190079</v>
      </c>
      <c r="AL130">
        <f t="shared" si="34"/>
        <v>1.5082644628099173</v>
      </c>
      <c r="AM130">
        <f t="shared" si="35"/>
        <v>1</v>
      </c>
      <c r="AN130">
        <f t="shared" si="36"/>
        <v>6.0991735537190079</v>
      </c>
      <c r="AO130">
        <f t="shared" si="37"/>
        <v>1.5082644628099173</v>
      </c>
      <c r="AP130">
        <f t="shared" si="38"/>
        <v>1</v>
      </c>
      <c r="AR130">
        <f t="shared" si="39"/>
        <v>4.4877049180327866</v>
      </c>
      <c r="AT130">
        <f t="shared" si="40"/>
        <v>4.4877049180327866</v>
      </c>
      <c r="AV130">
        <f t="shared" si="41"/>
        <v>1277</v>
      </c>
      <c r="AW130">
        <f t="shared" si="42"/>
        <v>2372</v>
      </c>
    </row>
    <row r="131" spans="1:49" x14ac:dyDescent="0.15">
      <c r="A131" s="5">
        <v>121</v>
      </c>
      <c r="B131" s="5">
        <f t="shared" si="27"/>
        <v>7440</v>
      </c>
      <c r="C131" s="5">
        <f t="shared" si="23"/>
        <v>1840</v>
      </c>
      <c r="D131" s="5">
        <f t="shared" si="23"/>
        <v>1220</v>
      </c>
      <c r="E131" s="5">
        <f t="shared" si="23"/>
        <v>369</v>
      </c>
      <c r="F131" s="5">
        <f t="shared" si="23"/>
        <v>492</v>
      </c>
      <c r="G131" s="5">
        <f t="shared" si="43"/>
        <v>19344</v>
      </c>
      <c r="H131" s="5">
        <f t="shared" si="43"/>
        <v>4784</v>
      </c>
      <c r="I131" s="5">
        <f t="shared" si="43"/>
        <v>3172</v>
      </c>
      <c r="J131" s="5">
        <f t="shared" si="43"/>
        <v>959.4</v>
      </c>
      <c r="K131" s="5">
        <f t="shared" si="43"/>
        <v>1279.2</v>
      </c>
      <c r="L131" s="5">
        <f t="shared" si="44"/>
        <v>9672</v>
      </c>
      <c r="M131" s="5">
        <f t="shared" si="44"/>
        <v>2392</v>
      </c>
      <c r="N131" s="5">
        <f t="shared" si="44"/>
        <v>1586</v>
      </c>
      <c r="O131" s="5">
        <f t="shared" si="44"/>
        <v>479.7</v>
      </c>
      <c r="P131" s="5">
        <f t="shared" si="44"/>
        <v>639.6</v>
      </c>
      <c r="Q131" s="5">
        <f t="shared" si="45"/>
        <v>36456</v>
      </c>
      <c r="R131" s="5">
        <f t="shared" si="45"/>
        <v>9016</v>
      </c>
      <c r="S131" s="5">
        <f t="shared" si="45"/>
        <v>5978</v>
      </c>
      <c r="T131" s="5">
        <f t="shared" si="45"/>
        <v>1808.1000000000001</v>
      </c>
      <c r="U131" s="5">
        <f t="shared" si="45"/>
        <v>2410.8000000000002</v>
      </c>
      <c r="V131" s="5">
        <f>B131*战斗力计算!$B$8+C131*战斗力计算!$B$9+D131*战斗力计算!$B$10+E131*战斗力计算!$B$11+F131*战斗力计算!$B$12</f>
        <v>54000</v>
      </c>
      <c r="W131" s="5">
        <f>G131*战斗力计算!$B$8+H131*战斗力计算!$B$9+I131*战斗力计算!$B$10+J131*战斗力计算!$B$11+K131*战斗力计算!$B$12+L131*战斗力计算!$B$8+M131*战斗力计算!$B$9+N131*战斗力计算!$B$10+O131*战斗力计算!$B$11+P131*战斗力计算!$B$12</f>
        <v>210600</v>
      </c>
      <c r="X131" s="5">
        <f t="shared" si="28"/>
        <v>264600</v>
      </c>
      <c r="AC131">
        <f t="shared" si="29"/>
        <v>2.6</v>
      </c>
      <c r="AD131">
        <f t="shared" si="30"/>
        <v>1.3</v>
      </c>
      <c r="AF131">
        <f t="shared" si="31"/>
        <v>0.75</v>
      </c>
      <c r="AH131">
        <f t="shared" si="32"/>
        <v>12</v>
      </c>
      <c r="AK131">
        <f t="shared" si="33"/>
        <v>6.0983606557377046</v>
      </c>
      <c r="AL131">
        <f t="shared" si="34"/>
        <v>1.5081967213114753</v>
      </c>
      <c r="AM131">
        <f t="shared" si="35"/>
        <v>1</v>
      </c>
      <c r="AN131">
        <f t="shared" si="36"/>
        <v>6.0983606557377046</v>
      </c>
      <c r="AO131">
        <f t="shared" si="37"/>
        <v>1.5081967213114753</v>
      </c>
      <c r="AP131">
        <f t="shared" si="38"/>
        <v>1</v>
      </c>
      <c r="AR131">
        <f t="shared" si="39"/>
        <v>4.4878048780487809</v>
      </c>
      <c r="AT131">
        <f t="shared" si="40"/>
        <v>4.4878048780487809</v>
      </c>
      <c r="AV131">
        <f t="shared" si="41"/>
        <v>1288</v>
      </c>
      <c r="AW131">
        <f t="shared" si="42"/>
        <v>2392</v>
      </c>
    </row>
    <row r="132" spans="1:49" x14ac:dyDescent="0.15">
      <c r="A132" s="5">
        <v>122</v>
      </c>
      <c r="B132" s="5">
        <f t="shared" si="27"/>
        <v>7500</v>
      </c>
      <c r="C132" s="5">
        <f t="shared" si="23"/>
        <v>1855</v>
      </c>
      <c r="D132" s="5">
        <f t="shared" si="23"/>
        <v>1230</v>
      </c>
      <c r="E132" s="5">
        <f t="shared" si="23"/>
        <v>372</v>
      </c>
      <c r="F132" s="5">
        <f t="shared" si="23"/>
        <v>496</v>
      </c>
      <c r="G132" s="5">
        <f t="shared" si="43"/>
        <v>19500</v>
      </c>
      <c r="H132" s="5">
        <f t="shared" si="43"/>
        <v>4823</v>
      </c>
      <c r="I132" s="5">
        <f t="shared" si="43"/>
        <v>3198</v>
      </c>
      <c r="J132" s="5">
        <f t="shared" si="43"/>
        <v>967.2</v>
      </c>
      <c r="K132" s="5">
        <f t="shared" si="43"/>
        <v>1289.6000000000001</v>
      </c>
      <c r="L132" s="5">
        <f t="shared" si="44"/>
        <v>9750</v>
      </c>
      <c r="M132" s="5">
        <f t="shared" si="44"/>
        <v>2411.5</v>
      </c>
      <c r="N132" s="5">
        <f t="shared" si="44"/>
        <v>1599</v>
      </c>
      <c r="O132" s="5">
        <f t="shared" si="44"/>
        <v>483.6</v>
      </c>
      <c r="P132" s="5">
        <f t="shared" si="44"/>
        <v>644.80000000000007</v>
      </c>
      <c r="Q132" s="5">
        <f t="shared" si="45"/>
        <v>36750</v>
      </c>
      <c r="R132" s="5">
        <f t="shared" si="45"/>
        <v>9089.5</v>
      </c>
      <c r="S132" s="5">
        <f t="shared" si="45"/>
        <v>6027</v>
      </c>
      <c r="T132" s="5">
        <f t="shared" si="45"/>
        <v>1822.8000000000002</v>
      </c>
      <c r="U132" s="5">
        <f t="shared" si="45"/>
        <v>2430.4</v>
      </c>
      <c r="V132" s="5">
        <f>B132*战斗力计算!$B$8+C132*战斗力计算!$B$9+D132*战斗力计算!$B$10+E132*战斗力计算!$B$11+F132*战斗力计算!$B$12</f>
        <v>54440</v>
      </c>
      <c r="W132" s="5">
        <f>G132*战斗力计算!$B$8+H132*战斗力计算!$B$9+I132*战斗力计算!$B$10+J132*战斗力计算!$B$11+K132*战斗力计算!$B$12+L132*战斗力计算!$B$8+M132*战斗力计算!$B$9+N132*战斗力计算!$B$10+O132*战斗力计算!$B$11+P132*战斗力计算!$B$12</f>
        <v>212316</v>
      </c>
      <c r="X132" s="5">
        <f t="shared" si="28"/>
        <v>266756</v>
      </c>
      <c r="AC132">
        <f t="shared" si="29"/>
        <v>2.6</v>
      </c>
      <c r="AD132">
        <f t="shared" si="30"/>
        <v>1.3</v>
      </c>
      <c r="AF132">
        <f t="shared" si="31"/>
        <v>0.75</v>
      </c>
      <c r="AH132">
        <f t="shared" si="32"/>
        <v>12</v>
      </c>
      <c r="AK132">
        <f t="shared" si="33"/>
        <v>6.0975609756097562</v>
      </c>
      <c r="AL132">
        <f t="shared" si="34"/>
        <v>1.5081300813008129</v>
      </c>
      <c r="AM132">
        <f t="shared" si="35"/>
        <v>1</v>
      </c>
      <c r="AN132">
        <f t="shared" si="36"/>
        <v>6.0975609756097562</v>
      </c>
      <c r="AO132">
        <f t="shared" si="37"/>
        <v>1.5081300813008129</v>
      </c>
      <c r="AP132">
        <f t="shared" si="38"/>
        <v>1</v>
      </c>
      <c r="AR132">
        <f t="shared" si="39"/>
        <v>4.487903225806452</v>
      </c>
      <c r="AT132">
        <f t="shared" si="40"/>
        <v>4.487903225806452</v>
      </c>
      <c r="AV132">
        <f t="shared" si="41"/>
        <v>1298</v>
      </c>
      <c r="AW132">
        <f t="shared" si="42"/>
        <v>2411</v>
      </c>
    </row>
    <row r="133" spans="1:49" x14ac:dyDescent="0.15">
      <c r="A133" s="5">
        <v>123</v>
      </c>
      <c r="B133" s="5">
        <f t="shared" si="27"/>
        <v>7560</v>
      </c>
      <c r="C133" s="5">
        <f t="shared" si="23"/>
        <v>1870</v>
      </c>
      <c r="D133" s="5">
        <f t="shared" si="23"/>
        <v>1240</v>
      </c>
      <c r="E133" s="5">
        <f t="shared" si="23"/>
        <v>375</v>
      </c>
      <c r="F133" s="5">
        <f t="shared" si="23"/>
        <v>500</v>
      </c>
      <c r="G133" s="5">
        <f t="shared" si="43"/>
        <v>19656</v>
      </c>
      <c r="H133" s="5">
        <f t="shared" si="43"/>
        <v>4862</v>
      </c>
      <c r="I133" s="5">
        <f t="shared" si="43"/>
        <v>3224</v>
      </c>
      <c r="J133" s="5">
        <f t="shared" si="43"/>
        <v>975</v>
      </c>
      <c r="K133" s="5">
        <f t="shared" si="43"/>
        <v>1300</v>
      </c>
      <c r="L133" s="5">
        <f t="shared" si="44"/>
        <v>9828</v>
      </c>
      <c r="M133" s="5">
        <f t="shared" si="44"/>
        <v>2431</v>
      </c>
      <c r="N133" s="5">
        <f t="shared" si="44"/>
        <v>1612</v>
      </c>
      <c r="O133" s="5">
        <f t="shared" si="44"/>
        <v>487.5</v>
      </c>
      <c r="P133" s="5">
        <f t="shared" si="44"/>
        <v>650</v>
      </c>
      <c r="Q133" s="5">
        <f t="shared" si="45"/>
        <v>37044</v>
      </c>
      <c r="R133" s="5">
        <f t="shared" si="45"/>
        <v>9163</v>
      </c>
      <c r="S133" s="5">
        <f t="shared" si="45"/>
        <v>6076</v>
      </c>
      <c r="T133" s="5">
        <f t="shared" si="45"/>
        <v>1837.5</v>
      </c>
      <c r="U133" s="5">
        <f t="shared" si="45"/>
        <v>2450</v>
      </c>
      <c r="V133" s="5">
        <f>B133*战斗力计算!$B$8+C133*战斗力计算!$B$9+D133*战斗力计算!$B$10+E133*战斗力计算!$B$11+F133*战斗力计算!$B$12</f>
        <v>54880</v>
      </c>
      <c r="W133" s="5">
        <f>G133*战斗力计算!$B$8+H133*战斗力计算!$B$9+I133*战斗力计算!$B$10+J133*战斗力计算!$B$11+K133*战斗力计算!$B$12+L133*战斗力计算!$B$8+M133*战斗力计算!$B$9+N133*战斗力计算!$B$10+O133*战斗力计算!$B$11+P133*战斗力计算!$B$12</f>
        <v>214032</v>
      </c>
      <c r="X133" s="5">
        <f t="shared" si="28"/>
        <v>268912</v>
      </c>
      <c r="AC133">
        <f t="shared" si="29"/>
        <v>2.6</v>
      </c>
      <c r="AD133">
        <f t="shared" si="30"/>
        <v>1.3</v>
      </c>
      <c r="AF133">
        <f t="shared" si="31"/>
        <v>0.75</v>
      </c>
      <c r="AH133">
        <f t="shared" si="32"/>
        <v>12</v>
      </c>
      <c r="AK133">
        <f t="shared" si="33"/>
        <v>6.096774193548387</v>
      </c>
      <c r="AL133">
        <f t="shared" si="34"/>
        <v>1.5080645161290323</v>
      </c>
      <c r="AM133">
        <f t="shared" si="35"/>
        <v>1</v>
      </c>
      <c r="AN133">
        <f t="shared" si="36"/>
        <v>6.096774193548387</v>
      </c>
      <c r="AO133">
        <f t="shared" si="37"/>
        <v>1.5080645161290323</v>
      </c>
      <c r="AP133">
        <f t="shared" si="38"/>
        <v>1</v>
      </c>
      <c r="AR133">
        <f t="shared" si="39"/>
        <v>4.4880000000000004</v>
      </c>
      <c r="AT133">
        <f t="shared" si="40"/>
        <v>4.4880000000000004</v>
      </c>
      <c r="AV133">
        <f t="shared" si="41"/>
        <v>1309</v>
      </c>
      <c r="AW133">
        <f t="shared" si="42"/>
        <v>2431</v>
      </c>
    </row>
    <row r="134" spans="1:49" x14ac:dyDescent="0.15">
      <c r="A134" s="5">
        <v>124</v>
      </c>
      <c r="B134" s="5">
        <f t="shared" si="27"/>
        <v>7620</v>
      </c>
      <c r="C134" s="5">
        <f t="shared" si="23"/>
        <v>1885</v>
      </c>
      <c r="D134" s="5">
        <f t="shared" si="23"/>
        <v>1250</v>
      </c>
      <c r="E134" s="5">
        <f t="shared" si="23"/>
        <v>378</v>
      </c>
      <c r="F134" s="5">
        <f t="shared" si="23"/>
        <v>504</v>
      </c>
      <c r="G134" s="5">
        <f t="shared" si="43"/>
        <v>19812</v>
      </c>
      <c r="H134" s="5">
        <f t="shared" si="43"/>
        <v>4901</v>
      </c>
      <c r="I134" s="5">
        <f t="shared" si="43"/>
        <v>3250</v>
      </c>
      <c r="J134" s="5">
        <f t="shared" si="43"/>
        <v>982.80000000000007</v>
      </c>
      <c r="K134" s="5">
        <f t="shared" si="43"/>
        <v>1310.4000000000001</v>
      </c>
      <c r="L134" s="5">
        <f t="shared" si="44"/>
        <v>9906</v>
      </c>
      <c r="M134" s="5">
        <f t="shared" si="44"/>
        <v>2450.5</v>
      </c>
      <c r="N134" s="5">
        <f t="shared" si="44"/>
        <v>1625</v>
      </c>
      <c r="O134" s="5">
        <f t="shared" si="44"/>
        <v>491.40000000000003</v>
      </c>
      <c r="P134" s="5">
        <f t="shared" si="44"/>
        <v>655.20000000000005</v>
      </c>
      <c r="Q134" s="5">
        <f t="shared" si="45"/>
        <v>37338</v>
      </c>
      <c r="R134" s="5">
        <f t="shared" si="45"/>
        <v>9236.5</v>
      </c>
      <c r="S134" s="5">
        <f t="shared" si="45"/>
        <v>6125</v>
      </c>
      <c r="T134" s="5">
        <f t="shared" si="45"/>
        <v>1852.2000000000003</v>
      </c>
      <c r="U134" s="5">
        <f t="shared" si="45"/>
        <v>2469.6000000000004</v>
      </c>
      <c r="V134" s="5">
        <f>B134*战斗力计算!$B$8+C134*战斗力计算!$B$9+D134*战斗力计算!$B$10+E134*战斗力计算!$B$11+F134*战斗力计算!$B$12</f>
        <v>55320</v>
      </c>
      <c r="W134" s="5">
        <f>G134*战斗力计算!$B$8+H134*战斗力计算!$B$9+I134*战斗力计算!$B$10+J134*战斗力计算!$B$11+K134*战斗力计算!$B$12+L134*战斗力计算!$B$8+M134*战斗力计算!$B$9+N134*战斗力计算!$B$10+O134*战斗力计算!$B$11+P134*战斗力计算!$B$12</f>
        <v>215748</v>
      </c>
      <c r="X134" s="5">
        <f t="shared" si="28"/>
        <v>271068</v>
      </c>
      <c r="AC134">
        <f t="shared" si="29"/>
        <v>2.6</v>
      </c>
      <c r="AD134">
        <f t="shared" si="30"/>
        <v>1.3</v>
      </c>
      <c r="AF134">
        <f t="shared" si="31"/>
        <v>0.75</v>
      </c>
      <c r="AH134">
        <f t="shared" si="32"/>
        <v>12</v>
      </c>
      <c r="AK134">
        <f t="shared" si="33"/>
        <v>6.0960000000000001</v>
      </c>
      <c r="AL134">
        <f t="shared" si="34"/>
        <v>1.508</v>
      </c>
      <c r="AM134">
        <f t="shared" si="35"/>
        <v>1</v>
      </c>
      <c r="AN134">
        <f t="shared" si="36"/>
        <v>6.0960000000000001</v>
      </c>
      <c r="AO134">
        <f t="shared" si="37"/>
        <v>1.508</v>
      </c>
      <c r="AP134">
        <f t="shared" si="38"/>
        <v>1</v>
      </c>
      <c r="AR134">
        <f t="shared" si="39"/>
        <v>4.4880952380952381</v>
      </c>
      <c r="AT134">
        <f t="shared" si="40"/>
        <v>4.4880952380952381</v>
      </c>
      <c r="AV134">
        <f t="shared" si="41"/>
        <v>1319</v>
      </c>
      <c r="AW134">
        <f t="shared" si="42"/>
        <v>2450</v>
      </c>
    </row>
    <row r="135" spans="1:49" x14ac:dyDescent="0.15">
      <c r="A135" s="5">
        <v>125</v>
      </c>
      <c r="B135" s="5">
        <f t="shared" si="27"/>
        <v>7680</v>
      </c>
      <c r="C135" s="5">
        <f t="shared" si="23"/>
        <v>1900</v>
      </c>
      <c r="D135" s="5">
        <f t="shared" si="23"/>
        <v>1260</v>
      </c>
      <c r="E135" s="5">
        <f t="shared" si="23"/>
        <v>381</v>
      </c>
      <c r="F135" s="5">
        <f t="shared" si="23"/>
        <v>508</v>
      </c>
      <c r="G135" s="5">
        <f t="shared" si="43"/>
        <v>19968</v>
      </c>
      <c r="H135" s="5">
        <f t="shared" si="43"/>
        <v>4940</v>
      </c>
      <c r="I135" s="5">
        <f t="shared" si="43"/>
        <v>3276</v>
      </c>
      <c r="J135" s="5">
        <f t="shared" si="43"/>
        <v>990.6</v>
      </c>
      <c r="K135" s="5">
        <f t="shared" si="43"/>
        <v>1320.8</v>
      </c>
      <c r="L135" s="5">
        <f t="shared" si="44"/>
        <v>9984</v>
      </c>
      <c r="M135" s="5">
        <f t="shared" si="44"/>
        <v>2470</v>
      </c>
      <c r="N135" s="5">
        <f t="shared" si="44"/>
        <v>1638</v>
      </c>
      <c r="O135" s="5">
        <f t="shared" si="44"/>
        <v>495.3</v>
      </c>
      <c r="P135" s="5">
        <f t="shared" si="44"/>
        <v>660.4</v>
      </c>
      <c r="Q135" s="5">
        <f t="shared" si="45"/>
        <v>37632</v>
      </c>
      <c r="R135" s="5">
        <f t="shared" si="45"/>
        <v>9310</v>
      </c>
      <c r="S135" s="5">
        <f t="shared" si="45"/>
        <v>6174</v>
      </c>
      <c r="T135" s="5">
        <f t="shared" si="45"/>
        <v>1866.8999999999999</v>
      </c>
      <c r="U135" s="5">
        <f t="shared" si="45"/>
        <v>2489.1999999999998</v>
      </c>
      <c r="V135" s="5">
        <f>B135*战斗力计算!$B$8+C135*战斗力计算!$B$9+D135*战斗力计算!$B$10+E135*战斗力计算!$B$11+F135*战斗力计算!$B$12</f>
        <v>55760</v>
      </c>
      <c r="W135" s="5">
        <f>G135*战斗力计算!$B$8+H135*战斗力计算!$B$9+I135*战斗力计算!$B$10+J135*战斗力计算!$B$11+K135*战斗力计算!$B$12+L135*战斗力计算!$B$8+M135*战斗力计算!$B$9+N135*战斗力计算!$B$10+O135*战斗力计算!$B$11+P135*战斗力计算!$B$12</f>
        <v>217464</v>
      </c>
      <c r="X135" s="5">
        <f t="shared" si="28"/>
        <v>273224</v>
      </c>
      <c r="AC135">
        <f t="shared" si="29"/>
        <v>2.6</v>
      </c>
      <c r="AD135">
        <f t="shared" si="30"/>
        <v>1.3</v>
      </c>
      <c r="AF135">
        <f t="shared" si="31"/>
        <v>0.75</v>
      </c>
      <c r="AH135">
        <f t="shared" si="32"/>
        <v>12</v>
      </c>
      <c r="AK135">
        <f t="shared" si="33"/>
        <v>6.0952380952380949</v>
      </c>
      <c r="AL135">
        <f t="shared" si="34"/>
        <v>1.5079365079365079</v>
      </c>
      <c r="AM135">
        <f t="shared" si="35"/>
        <v>1</v>
      </c>
      <c r="AN135">
        <f t="shared" si="36"/>
        <v>6.0952380952380949</v>
      </c>
      <c r="AO135">
        <f t="shared" si="37"/>
        <v>1.5079365079365079</v>
      </c>
      <c r="AP135">
        <f t="shared" si="38"/>
        <v>1</v>
      </c>
      <c r="AR135">
        <f t="shared" si="39"/>
        <v>4.4881889763779528</v>
      </c>
      <c r="AT135">
        <f t="shared" si="40"/>
        <v>4.4881889763779528</v>
      </c>
      <c r="AV135">
        <f t="shared" si="41"/>
        <v>1330</v>
      </c>
      <c r="AW135">
        <f t="shared" si="42"/>
        <v>2470</v>
      </c>
    </row>
    <row r="136" spans="1:49" x14ac:dyDescent="0.15">
      <c r="A136" s="5">
        <v>126</v>
      </c>
      <c r="B136" s="5">
        <f t="shared" si="27"/>
        <v>7740</v>
      </c>
      <c r="C136" s="5">
        <f t="shared" si="23"/>
        <v>1915</v>
      </c>
      <c r="D136" s="5">
        <f t="shared" si="23"/>
        <v>1270</v>
      </c>
      <c r="E136" s="5">
        <f t="shared" si="23"/>
        <v>384</v>
      </c>
      <c r="F136" s="5">
        <f t="shared" si="23"/>
        <v>512</v>
      </c>
      <c r="G136" s="5">
        <f t="shared" si="43"/>
        <v>20124</v>
      </c>
      <c r="H136" s="5">
        <f t="shared" si="43"/>
        <v>4979</v>
      </c>
      <c r="I136" s="5">
        <f t="shared" si="43"/>
        <v>3302</v>
      </c>
      <c r="J136" s="5">
        <f t="shared" si="43"/>
        <v>998.40000000000009</v>
      </c>
      <c r="K136" s="5">
        <f t="shared" si="43"/>
        <v>1331.2</v>
      </c>
      <c r="L136" s="5">
        <f t="shared" si="44"/>
        <v>10062</v>
      </c>
      <c r="M136" s="5">
        <f t="shared" si="44"/>
        <v>2489.5</v>
      </c>
      <c r="N136" s="5">
        <f t="shared" si="44"/>
        <v>1651</v>
      </c>
      <c r="O136" s="5">
        <f t="shared" si="44"/>
        <v>499.20000000000005</v>
      </c>
      <c r="P136" s="5">
        <f t="shared" si="44"/>
        <v>665.6</v>
      </c>
      <c r="Q136" s="5">
        <f t="shared" si="45"/>
        <v>37926</v>
      </c>
      <c r="R136" s="5">
        <f t="shared" si="45"/>
        <v>9383.5</v>
      </c>
      <c r="S136" s="5">
        <f t="shared" si="45"/>
        <v>6223</v>
      </c>
      <c r="T136" s="5">
        <f t="shared" si="45"/>
        <v>1881.6000000000001</v>
      </c>
      <c r="U136" s="5">
        <f t="shared" si="45"/>
        <v>2508.8000000000002</v>
      </c>
      <c r="V136" s="5">
        <f>B136*战斗力计算!$B$8+C136*战斗力计算!$B$9+D136*战斗力计算!$B$10+E136*战斗力计算!$B$11+F136*战斗力计算!$B$12</f>
        <v>56200</v>
      </c>
      <c r="W136" s="5">
        <f>G136*战斗力计算!$B$8+H136*战斗力计算!$B$9+I136*战斗力计算!$B$10+J136*战斗力计算!$B$11+K136*战斗力计算!$B$12+L136*战斗力计算!$B$8+M136*战斗力计算!$B$9+N136*战斗力计算!$B$10+O136*战斗力计算!$B$11+P136*战斗力计算!$B$12</f>
        <v>219180</v>
      </c>
      <c r="X136" s="5">
        <f t="shared" si="28"/>
        <v>275380</v>
      </c>
      <c r="AC136">
        <f t="shared" si="29"/>
        <v>2.6</v>
      </c>
      <c r="AD136">
        <f t="shared" si="30"/>
        <v>1.3</v>
      </c>
      <c r="AF136">
        <f t="shared" si="31"/>
        <v>0.75</v>
      </c>
      <c r="AH136">
        <f t="shared" si="32"/>
        <v>12</v>
      </c>
      <c r="AK136">
        <f t="shared" si="33"/>
        <v>6.0944881889763778</v>
      </c>
      <c r="AL136">
        <f t="shared" si="34"/>
        <v>1.5078740157480315</v>
      </c>
      <c r="AM136">
        <f t="shared" si="35"/>
        <v>1</v>
      </c>
      <c r="AN136">
        <f t="shared" si="36"/>
        <v>6.0944881889763778</v>
      </c>
      <c r="AO136">
        <f t="shared" si="37"/>
        <v>1.5078740157480315</v>
      </c>
      <c r="AP136">
        <f t="shared" si="38"/>
        <v>1</v>
      </c>
      <c r="AR136">
        <f t="shared" si="39"/>
        <v>4.48828125</v>
      </c>
      <c r="AT136">
        <f t="shared" si="40"/>
        <v>4.48828125</v>
      </c>
      <c r="AV136">
        <f t="shared" si="41"/>
        <v>1340</v>
      </c>
      <c r="AW136">
        <f t="shared" si="42"/>
        <v>2489</v>
      </c>
    </row>
    <row r="137" spans="1:49" x14ac:dyDescent="0.15">
      <c r="A137" s="5">
        <v>127</v>
      </c>
      <c r="B137" s="5">
        <f t="shared" si="27"/>
        <v>7800</v>
      </c>
      <c r="C137" s="5">
        <f t="shared" si="23"/>
        <v>1930</v>
      </c>
      <c r="D137" s="5">
        <f t="shared" si="23"/>
        <v>1280</v>
      </c>
      <c r="E137" s="5">
        <f t="shared" si="23"/>
        <v>387</v>
      </c>
      <c r="F137" s="5">
        <f t="shared" si="23"/>
        <v>516</v>
      </c>
      <c r="G137" s="5">
        <f t="shared" si="43"/>
        <v>20280</v>
      </c>
      <c r="H137" s="5">
        <f t="shared" si="43"/>
        <v>5018</v>
      </c>
      <c r="I137" s="5">
        <f t="shared" si="43"/>
        <v>3328</v>
      </c>
      <c r="J137" s="5">
        <f t="shared" si="43"/>
        <v>1006.2</v>
      </c>
      <c r="K137" s="5">
        <f t="shared" si="43"/>
        <v>1341.6000000000001</v>
      </c>
      <c r="L137" s="5">
        <f t="shared" si="44"/>
        <v>10140</v>
      </c>
      <c r="M137" s="5">
        <f t="shared" si="44"/>
        <v>2509</v>
      </c>
      <c r="N137" s="5">
        <f t="shared" si="44"/>
        <v>1664</v>
      </c>
      <c r="O137" s="5">
        <f t="shared" si="44"/>
        <v>503.1</v>
      </c>
      <c r="P137" s="5">
        <f t="shared" si="44"/>
        <v>670.80000000000007</v>
      </c>
      <c r="Q137" s="5">
        <f t="shared" si="45"/>
        <v>38220</v>
      </c>
      <c r="R137" s="5">
        <f t="shared" si="45"/>
        <v>9457</v>
      </c>
      <c r="S137" s="5">
        <f t="shared" si="45"/>
        <v>6272</v>
      </c>
      <c r="T137" s="5">
        <f t="shared" si="45"/>
        <v>1896.3000000000002</v>
      </c>
      <c r="U137" s="5">
        <f t="shared" si="45"/>
        <v>2528.4</v>
      </c>
      <c r="V137" s="5">
        <f>B137*战斗力计算!$B$8+C137*战斗力计算!$B$9+D137*战斗力计算!$B$10+E137*战斗力计算!$B$11+F137*战斗力计算!$B$12</f>
        <v>56640</v>
      </c>
      <c r="W137" s="5">
        <f>G137*战斗力计算!$B$8+H137*战斗力计算!$B$9+I137*战斗力计算!$B$10+J137*战斗力计算!$B$11+K137*战斗力计算!$B$12+L137*战斗力计算!$B$8+M137*战斗力计算!$B$9+N137*战斗力计算!$B$10+O137*战斗力计算!$B$11+P137*战斗力计算!$B$12</f>
        <v>220896</v>
      </c>
      <c r="X137" s="5">
        <f t="shared" si="28"/>
        <v>277536</v>
      </c>
      <c r="AC137">
        <f t="shared" si="29"/>
        <v>2.6</v>
      </c>
      <c r="AD137">
        <f t="shared" si="30"/>
        <v>1.3</v>
      </c>
      <c r="AF137">
        <f t="shared" si="31"/>
        <v>0.75</v>
      </c>
      <c r="AH137">
        <f t="shared" si="32"/>
        <v>12</v>
      </c>
      <c r="AK137">
        <f t="shared" si="33"/>
        <v>6.09375</v>
      </c>
      <c r="AL137">
        <f t="shared" si="34"/>
        <v>1.5078125</v>
      </c>
      <c r="AM137">
        <f t="shared" si="35"/>
        <v>1</v>
      </c>
      <c r="AN137">
        <f t="shared" si="36"/>
        <v>6.09375</v>
      </c>
      <c r="AO137">
        <f t="shared" si="37"/>
        <v>1.5078125</v>
      </c>
      <c r="AP137">
        <f t="shared" si="38"/>
        <v>1</v>
      </c>
      <c r="AR137">
        <f t="shared" si="39"/>
        <v>4.4883720930232558</v>
      </c>
      <c r="AT137">
        <f t="shared" si="40"/>
        <v>4.4883720930232558</v>
      </c>
      <c r="AV137">
        <f t="shared" si="41"/>
        <v>1351</v>
      </c>
      <c r="AW137">
        <f t="shared" si="42"/>
        <v>2509</v>
      </c>
    </row>
    <row r="138" spans="1:49" x14ac:dyDescent="0.15">
      <c r="A138" s="5">
        <v>128</v>
      </c>
      <c r="B138" s="5">
        <f t="shared" si="27"/>
        <v>7860</v>
      </c>
      <c r="C138" s="5">
        <f t="shared" si="27"/>
        <v>1945</v>
      </c>
      <c r="D138" s="5">
        <f t="shared" si="27"/>
        <v>1290</v>
      </c>
      <c r="E138" s="5">
        <f t="shared" si="27"/>
        <v>390</v>
      </c>
      <c r="F138" s="5">
        <f t="shared" si="27"/>
        <v>520</v>
      </c>
      <c r="G138" s="5">
        <f t="shared" si="43"/>
        <v>20436</v>
      </c>
      <c r="H138" s="5">
        <f t="shared" si="43"/>
        <v>5057</v>
      </c>
      <c r="I138" s="5">
        <f t="shared" si="43"/>
        <v>3354</v>
      </c>
      <c r="J138" s="5">
        <f t="shared" si="43"/>
        <v>1014</v>
      </c>
      <c r="K138" s="5">
        <f t="shared" si="43"/>
        <v>1352</v>
      </c>
      <c r="L138" s="5">
        <f t="shared" si="44"/>
        <v>10218</v>
      </c>
      <c r="M138" s="5">
        <f t="shared" si="44"/>
        <v>2528.5</v>
      </c>
      <c r="N138" s="5">
        <f t="shared" si="44"/>
        <v>1677</v>
      </c>
      <c r="O138" s="5">
        <f t="shared" si="44"/>
        <v>507</v>
      </c>
      <c r="P138" s="5">
        <f t="shared" si="44"/>
        <v>676</v>
      </c>
      <c r="Q138" s="5">
        <f t="shared" si="45"/>
        <v>38514</v>
      </c>
      <c r="R138" s="5">
        <f t="shared" si="45"/>
        <v>9530.5</v>
      </c>
      <c r="S138" s="5">
        <f t="shared" si="45"/>
        <v>6321</v>
      </c>
      <c r="T138" s="5">
        <f t="shared" si="45"/>
        <v>1911</v>
      </c>
      <c r="U138" s="5">
        <f t="shared" si="45"/>
        <v>2548</v>
      </c>
      <c r="V138" s="5">
        <f>B138*战斗力计算!$B$8+C138*战斗力计算!$B$9+D138*战斗力计算!$B$10+E138*战斗力计算!$B$11+F138*战斗力计算!$B$12</f>
        <v>57080</v>
      </c>
      <c r="W138" s="5">
        <f>G138*战斗力计算!$B$8+H138*战斗力计算!$B$9+I138*战斗力计算!$B$10+J138*战斗力计算!$B$11+K138*战斗力计算!$B$12+L138*战斗力计算!$B$8+M138*战斗力计算!$B$9+N138*战斗力计算!$B$10+O138*战斗力计算!$B$11+P138*战斗力计算!$B$12</f>
        <v>222612</v>
      </c>
      <c r="X138" s="5">
        <f t="shared" si="28"/>
        <v>279692</v>
      </c>
      <c r="AC138">
        <f t="shared" si="29"/>
        <v>2.6</v>
      </c>
      <c r="AD138">
        <f t="shared" si="30"/>
        <v>1.3</v>
      </c>
      <c r="AF138">
        <f t="shared" si="31"/>
        <v>0.75</v>
      </c>
      <c r="AH138">
        <f t="shared" si="32"/>
        <v>12</v>
      </c>
      <c r="AK138">
        <f t="shared" si="33"/>
        <v>6.0930232558139537</v>
      </c>
      <c r="AL138">
        <f t="shared" si="34"/>
        <v>1.5077519379844961</v>
      </c>
      <c r="AM138">
        <f t="shared" si="35"/>
        <v>1</v>
      </c>
      <c r="AN138">
        <f t="shared" si="36"/>
        <v>6.0930232558139537</v>
      </c>
      <c r="AO138">
        <f t="shared" si="37"/>
        <v>1.5077519379844961</v>
      </c>
      <c r="AP138">
        <f t="shared" si="38"/>
        <v>1</v>
      </c>
      <c r="AR138">
        <f t="shared" si="39"/>
        <v>4.4884615384615385</v>
      </c>
      <c r="AT138">
        <f t="shared" si="40"/>
        <v>4.4884615384615385</v>
      </c>
      <c r="AV138">
        <f t="shared" si="41"/>
        <v>1361</v>
      </c>
      <c r="AW138">
        <f t="shared" si="42"/>
        <v>2528</v>
      </c>
    </row>
    <row r="139" spans="1:49" x14ac:dyDescent="0.15">
      <c r="A139" s="5">
        <v>129</v>
      </c>
      <c r="B139" s="5">
        <f t="shared" si="27"/>
        <v>7920</v>
      </c>
      <c r="C139" s="5">
        <f t="shared" si="27"/>
        <v>1960</v>
      </c>
      <c r="D139" s="5">
        <f t="shared" si="27"/>
        <v>1300</v>
      </c>
      <c r="E139" s="5">
        <f t="shared" si="27"/>
        <v>393</v>
      </c>
      <c r="F139" s="5">
        <f t="shared" si="27"/>
        <v>524</v>
      </c>
      <c r="G139" s="5">
        <f t="shared" si="43"/>
        <v>20592</v>
      </c>
      <c r="H139" s="5">
        <f t="shared" si="43"/>
        <v>5096</v>
      </c>
      <c r="I139" s="5">
        <f t="shared" si="43"/>
        <v>3380</v>
      </c>
      <c r="J139" s="5">
        <f t="shared" si="43"/>
        <v>1021.8000000000001</v>
      </c>
      <c r="K139" s="5">
        <f t="shared" si="43"/>
        <v>1362.4</v>
      </c>
      <c r="L139" s="5">
        <f t="shared" si="44"/>
        <v>10296</v>
      </c>
      <c r="M139" s="5">
        <f t="shared" si="44"/>
        <v>2548</v>
      </c>
      <c r="N139" s="5">
        <f t="shared" si="44"/>
        <v>1690</v>
      </c>
      <c r="O139" s="5">
        <f t="shared" si="44"/>
        <v>510.90000000000003</v>
      </c>
      <c r="P139" s="5">
        <f t="shared" si="44"/>
        <v>681.2</v>
      </c>
      <c r="Q139" s="5">
        <f t="shared" si="45"/>
        <v>38808</v>
      </c>
      <c r="R139" s="5">
        <f t="shared" si="45"/>
        <v>9604</v>
      </c>
      <c r="S139" s="5">
        <f t="shared" si="45"/>
        <v>6370</v>
      </c>
      <c r="T139" s="5">
        <f t="shared" si="45"/>
        <v>1925.7000000000003</v>
      </c>
      <c r="U139" s="5">
        <f t="shared" si="45"/>
        <v>2567.6000000000004</v>
      </c>
      <c r="V139" s="5">
        <f>B139*战斗力计算!$B$8+C139*战斗力计算!$B$9+D139*战斗力计算!$B$10+E139*战斗力计算!$B$11+F139*战斗力计算!$B$12</f>
        <v>57520</v>
      </c>
      <c r="W139" s="5">
        <f>G139*战斗力计算!$B$8+H139*战斗力计算!$B$9+I139*战斗力计算!$B$10+J139*战斗力计算!$B$11+K139*战斗力计算!$B$12+L139*战斗力计算!$B$8+M139*战斗力计算!$B$9+N139*战斗力计算!$B$10+O139*战斗力计算!$B$11+P139*战斗力计算!$B$12</f>
        <v>224328</v>
      </c>
      <c r="X139" s="5">
        <f t="shared" si="28"/>
        <v>281848</v>
      </c>
      <c r="AC139">
        <f t="shared" si="29"/>
        <v>2.6</v>
      </c>
      <c r="AD139">
        <f t="shared" si="30"/>
        <v>1.3</v>
      </c>
      <c r="AF139">
        <f t="shared" si="31"/>
        <v>0.75</v>
      </c>
      <c r="AH139">
        <f t="shared" si="32"/>
        <v>12</v>
      </c>
      <c r="AK139">
        <f t="shared" si="33"/>
        <v>6.092307692307692</v>
      </c>
      <c r="AL139">
        <f t="shared" si="34"/>
        <v>1.5076923076923077</v>
      </c>
      <c r="AM139">
        <f t="shared" si="35"/>
        <v>1</v>
      </c>
      <c r="AN139">
        <f t="shared" si="36"/>
        <v>6.092307692307692</v>
      </c>
      <c r="AO139">
        <f t="shared" si="37"/>
        <v>1.5076923076923077</v>
      </c>
      <c r="AP139">
        <f t="shared" si="38"/>
        <v>1</v>
      </c>
      <c r="AR139">
        <f t="shared" si="39"/>
        <v>4.4885496183206106</v>
      </c>
      <c r="AT139">
        <f t="shared" si="40"/>
        <v>4.4885496183206106</v>
      </c>
      <c r="AV139">
        <f t="shared" si="41"/>
        <v>1372</v>
      </c>
      <c r="AW139">
        <f t="shared" si="42"/>
        <v>2548</v>
      </c>
    </row>
    <row r="140" spans="1:49" x14ac:dyDescent="0.15">
      <c r="A140" s="5">
        <v>130</v>
      </c>
      <c r="B140" s="5">
        <f t="shared" ref="B140:F203" si="46">INT(VLOOKUP(B$10,$A$2:$C$7,2,0)+($A140-1)*VLOOKUP(B$10,$A$2:$C$7,3,0))</f>
        <v>7980</v>
      </c>
      <c r="C140" s="5">
        <f t="shared" si="46"/>
        <v>1975</v>
      </c>
      <c r="D140" s="5">
        <f t="shared" si="46"/>
        <v>1310</v>
      </c>
      <c r="E140" s="5">
        <f t="shared" si="46"/>
        <v>396</v>
      </c>
      <c r="F140" s="5">
        <f t="shared" si="46"/>
        <v>528</v>
      </c>
      <c r="G140" s="5">
        <f t="shared" si="43"/>
        <v>20748</v>
      </c>
      <c r="H140" s="5">
        <f t="shared" si="43"/>
        <v>5135</v>
      </c>
      <c r="I140" s="5">
        <f t="shared" si="43"/>
        <v>3406</v>
      </c>
      <c r="J140" s="5">
        <f t="shared" si="43"/>
        <v>1029.6000000000001</v>
      </c>
      <c r="K140" s="5">
        <f t="shared" si="43"/>
        <v>1372.8</v>
      </c>
      <c r="L140" s="5">
        <f t="shared" si="44"/>
        <v>10374</v>
      </c>
      <c r="M140" s="5">
        <f t="shared" si="44"/>
        <v>2567.5</v>
      </c>
      <c r="N140" s="5">
        <f t="shared" si="44"/>
        <v>1703</v>
      </c>
      <c r="O140" s="5">
        <f t="shared" si="44"/>
        <v>514.80000000000007</v>
      </c>
      <c r="P140" s="5">
        <f t="shared" si="44"/>
        <v>686.4</v>
      </c>
      <c r="Q140" s="5">
        <f t="shared" si="45"/>
        <v>39102</v>
      </c>
      <c r="R140" s="5">
        <f t="shared" si="45"/>
        <v>9677.5</v>
      </c>
      <c r="S140" s="5">
        <f t="shared" si="45"/>
        <v>6419</v>
      </c>
      <c r="T140" s="5">
        <f t="shared" si="45"/>
        <v>1940.4</v>
      </c>
      <c r="U140" s="5">
        <f t="shared" si="45"/>
        <v>2587.1999999999998</v>
      </c>
      <c r="V140" s="5">
        <f>B140*战斗力计算!$B$8+C140*战斗力计算!$B$9+D140*战斗力计算!$B$10+E140*战斗力计算!$B$11+F140*战斗力计算!$B$12</f>
        <v>57960</v>
      </c>
      <c r="W140" s="5">
        <f>G140*战斗力计算!$B$8+H140*战斗力计算!$B$9+I140*战斗力计算!$B$10+J140*战斗力计算!$B$11+K140*战斗力计算!$B$12+L140*战斗力计算!$B$8+M140*战斗力计算!$B$9+N140*战斗力计算!$B$10+O140*战斗力计算!$B$11+P140*战斗力计算!$B$12</f>
        <v>226044</v>
      </c>
      <c r="X140" s="5">
        <f t="shared" ref="X140:X160" si="47">V140+W140</f>
        <v>284004</v>
      </c>
      <c r="AC140">
        <f t="shared" ref="AC140:AC203" si="48">VLOOKUP($A140,$Z$2:$AA$13,2,1)*$E$3</f>
        <v>2.6</v>
      </c>
      <c r="AD140">
        <f t="shared" ref="AD140:AD203" si="49">VLOOKUP($A140,$Z$2:$AA$13,2,1)*$E$6</f>
        <v>1.3</v>
      </c>
      <c r="AF140">
        <f t="shared" ref="AF140:AF203" si="50">T140/U140</f>
        <v>0.75000000000000011</v>
      </c>
      <c r="AH140">
        <f t="shared" ref="AH140:AH203" si="51">Q140/(R140-S140)</f>
        <v>12</v>
      </c>
      <c r="AK140">
        <f t="shared" ref="AK140:AK203" si="52">B140/D140</f>
        <v>6.0916030534351142</v>
      </c>
      <c r="AL140">
        <f t="shared" ref="AL140:AL203" si="53">C140/D140</f>
        <v>1.5076335877862594</v>
      </c>
      <c r="AM140">
        <f t="shared" ref="AM140:AM203" si="54">D140/D140</f>
        <v>1</v>
      </c>
      <c r="AN140">
        <f t="shared" ref="AN140:AN203" si="55">(G140+L140)/(I140+N140)</f>
        <v>6.0916030534351142</v>
      </c>
      <c r="AO140">
        <f t="shared" ref="AO140:AO203" si="56">(H140+M140)/(I140+N140)</f>
        <v>1.5076335877862594</v>
      </c>
      <c r="AP140">
        <f t="shared" ref="AP140:AP203" si="57">(I140+N140)/(I140+N140)</f>
        <v>1</v>
      </c>
      <c r="AR140">
        <f t="shared" ref="AR140:AR203" si="58">(B140*1+C140*12+D140*12)/(E140*16+F140*8)</f>
        <v>4.4886363636363633</v>
      </c>
      <c r="AT140">
        <f t="shared" ref="AT140:AT203" si="59">(G140*1+H140*12+I140*12+L140*1+M140*12+N140*12)/(J140*16+K140*8+O140*16+P140*8)</f>
        <v>4.4886363636363633</v>
      </c>
      <c r="AV140">
        <f t="shared" ref="AV140:AV203" si="60">INT(C140*$H$5)</f>
        <v>1382</v>
      </c>
      <c r="AW140">
        <f t="shared" ref="AW140:AW203" si="61">INT(C140*$H$3)</f>
        <v>2567</v>
      </c>
    </row>
    <row r="141" spans="1:49" x14ac:dyDescent="0.15">
      <c r="A141" s="5">
        <v>131</v>
      </c>
      <c r="B141" s="5">
        <f t="shared" si="46"/>
        <v>8040</v>
      </c>
      <c r="C141" s="5">
        <f t="shared" si="46"/>
        <v>1990</v>
      </c>
      <c r="D141" s="5">
        <f t="shared" si="46"/>
        <v>1320</v>
      </c>
      <c r="E141" s="5">
        <f t="shared" si="46"/>
        <v>399</v>
      </c>
      <c r="F141" s="5">
        <f t="shared" si="46"/>
        <v>532</v>
      </c>
      <c r="G141" s="5">
        <f t="shared" si="43"/>
        <v>20904</v>
      </c>
      <c r="H141" s="5">
        <f t="shared" si="43"/>
        <v>5174</v>
      </c>
      <c r="I141" s="5">
        <f t="shared" si="43"/>
        <v>3432</v>
      </c>
      <c r="J141" s="5">
        <f t="shared" si="43"/>
        <v>1037.4000000000001</v>
      </c>
      <c r="K141" s="5">
        <f t="shared" si="43"/>
        <v>1383.2</v>
      </c>
      <c r="L141" s="5">
        <f t="shared" si="44"/>
        <v>10452</v>
      </c>
      <c r="M141" s="5">
        <f t="shared" si="44"/>
        <v>2587</v>
      </c>
      <c r="N141" s="5">
        <f t="shared" si="44"/>
        <v>1716</v>
      </c>
      <c r="O141" s="5">
        <f t="shared" si="44"/>
        <v>518.70000000000005</v>
      </c>
      <c r="P141" s="5">
        <f t="shared" si="44"/>
        <v>691.6</v>
      </c>
      <c r="Q141" s="5">
        <f t="shared" si="45"/>
        <v>39396</v>
      </c>
      <c r="R141" s="5">
        <f t="shared" si="45"/>
        <v>9751</v>
      </c>
      <c r="S141" s="5">
        <f t="shared" si="45"/>
        <v>6468</v>
      </c>
      <c r="T141" s="5">
        <f t="shared" si="45"/>
        <v>1955.1000000000001</v>
      </c>
      <c r="U141" s="5">
        <f t="shared" si="45"/>
        <v>2606.8000000000002</v>
      </c>
      <c r="V141" s="5">
        <f>B141*战斗力计算!$B$8+C141*战斗力计算!$B$9+D141*战斗力计算!$B$10+E141*战斗力计算!$B$11+F141*战斗力计算!$B$12</f>
        <v>58400</v>
      </c>
      <c r="W141" s="5">
        <f>G141*战斗力计算!$B$8+H141*战斗力计算!$B$9+I141*战斗力计算!$B$10+J141*战斗力计算!$B$11+K141*战斗力计算!$B$12+L141*战斗力计算!$B$8+M141*战斗力计算!$B$9+N141*战斗力计算!$B$10+O141*战斗力计算!$B$11+P141*战斗力计算!$B$12</f>
        <v>227760</v>
      </c>
      <c r="X141" s="5">
        <f t="shared" si="47"/>
        <v>286160</v>
      </c>
      <c r="AC141">
        <f t="shared" si="48"/>
        <v>2.6</v>
      </c>
      <c r="AD141">
        <f t="shared" si="49"/>
        <v>1.3</v>
      </c>
      <c r="AF141">
        <f t="shared" si="50"/>
        <v>0.75</v>
      </c>
      <c r="AH141">
        <f t="shared" si="51"/>
        <v>12</v>
      </c>
      <c r="AK141">
        <f t="shared" si="52"/>
        <v>6.0909090909090908</v>
      </c>
      <c r="AL141">
        <f t="shared" si="53"/>
        <v>1.5075757575757576</v>
      </c>
      <c r="AM141">
        <f t="shared" si="54"/>
        <v>1</v>
      </c>
      <c r="AN141">
        <f t="shared" si="55"/>
        <v>6.0909090909090908</v>
      </c>
      <c r="AO141">
        <f t="shared" si="56"/>
        <v>1.5075757575757576</v>
      </c>
      <c r="AP141">
        <f t="shared" si="57"/>
        <v>1</v>
      </c>
      <c r="AR141">
        <f t="shared" si="58"/>
        <v>4.488721804511278</v>
      </c>
      <c r="AT141">
        <f t="shared" si="59"/>
        <v>4.488721804511278</v>
      </c>
      <c r="AV141">
        <f t="shared" si="60"/>
        <v>1393</v>
      </c>
      <c r="AW141">
        <f t="shared" si="61"/>
        <v>2587</v>
      </c>
    </row>
    <row r="142" spans="1:49" x14ac:dyDescent="0.15">
      <c r="A142" s="5">
        <v>132</v>
      </c>
      <c r="B142" s="5">
        <f t="shared" si="46"/>
        <v>8100</v>
      </c>
      <c r="C142" s="5">
        <f t="shared" si="46"/>
        <v>2005</v>
      </c>
      <c r="D142" s="5">
        <f t="shared" si="46"/>
        <v>1330</v>
      </c>
      <c r="E142" s="5">
        <f t="shared" si="46"/>
        <v>402</v>
      </c>
      <c r="F142" s="5">
        <f t="shared" si="46"/>
        <v>536</v>
      </c>
      <c r="G142" s="5">
        <f t="shared" si="43"/>
        <v>21060</v>
      </c>
      <c r="H142" s="5">
        <f t="shared" si="43"/>
        <v>5213</v>
      </c>
      <c r="I142" s="5">
        <f t="shared" si="43"/>
        <v>3458</v>
      </c>
      <c r="J142" s="5">
        <f t="shared" si="43"/>
        <v>1045.2</v>
      </c>
      <c r="K142" s="5">
        <f t="shared" si="43"/>
        <v>1393.6000000000001</v>
      </c>
      <c r="L142" s="5">
        <f t="shared" si="44"/>
        <v>10530</v>
      </c>
      <c r="M142" s="5">
        <f t="shared" si="44"/>
        <v>2606.5</v>
      </c>
      <c r="N142" s="5">
        <f t="shared" si="44"/>
        <v>1729</v>
      </c>
      <c r="O142" s="5">
        <f t="shared" si="44"/>
        <v>522.6</v>
      </c>
      <c r="P142" s="5">
        <f t="shared" si="44"/>
        <v>696.80000000000007</v>
      </c>
      <c r="Q142" s="5">
        <f t="shared" si="45"/>
        <v>39690</v>
      </c>
      <c r="R142" s="5">
        <f t="shared" si="45"/>
        <v>9824.5</v>
      </c>
      <c r="S142" s="5">
        <f t="shared" si="45"/>
        <v>6517</v>
      </c>
      <c r="T142" s="5">
        <f t="shared" si="45"/>
        <v>1969.8000000000002</v>
      </c>
      <c r="U142" s="5">
        <f t="shared" si="45"/>
        <v>2626.4</v>
      </c>
      <c r="V142" s="5">
        <f>B142*战斗力计算!$B$8+C142*战斗力计算!$B$9+D142*战斗力计算!$B$10+E142*战斗力计算!$B$11+F142*战斗力计算!$B$12</f>
        <v>58840</v>
      </c>
      <c r="W142" s="5">
        <f>G142*战斗力计算!$B$8+H142*战斗力计算!$B$9+I142*战斗力计算!$B$10+J142*战斗力计算!$B$11+K142*战斗力计算!$B$12+L142*战斗力计算!$B$8+M142*战斗力计算!$B$9+N142*战斗力计算!$B$10+O142*战斗力计算!$B$11+P142*战斗力计算!$B$12</f>
        <v>229476</v>
      </c>
      <c r="X142" s="5">
        <f t="shared" si="47"/>
        <v>288316</v>
      </c>
      <c r="AC142">
        <f t="shared" si="48"/>
        <v>2.6</v>
      </c>
      <c r="AD142">
        <f t="shared" si="49"/>
        <v>1.3</v>
      </c>
      <c r="AF142">
        <f t="shared" si="50"/>
        <v>0.75</v>
      </c>
      <c r="AH142">
        <f t="shared" si="51"/>
        <v>12</v>
      </c>
      <c r="AK142">
        <f t="shared" si="52"/>
        <v>6.0902255639097742</v>
      </c>
      <c r="AL142">
        <f t="shared" si="53"/>
        <v>1.5075187969924813</v>
      </c>
      <c r="AM142">
        <f t="shared" si="54"/>
        <v>1</v>
      </c>
      <c r="AN142">
        <f t="shared" si="55"/>
        <v>6.0902255639097742</v>
      </c>
      <c r="AO142">
        <f t="shared" si="56"/>
        <v>1.5075187969924813</v>
      </c>
      <c r="AP142">
        <f t="shared" si="57"/>
        <v>1</v>
      </c>
      <c r="AR142">
        <f t="shared" si="58"/>
        <v>4.4888059701492535</v>
      </c>
      <c r="AT142">
        <f t="shared" si="59"/>
        <v>4.4888059701492535</v>
      </c>
      <c r="AV142">
        <f t="shared" si="60"/>
        <v>1403</v>
      </c>
      <c r="AW142">
        <f t="shared" si="61"/>
        <v>2606</v>
      </c>
    </row>
    <row r="143" spans="1:49" x14ac:dyDescent="0.15">
      <c r="A143" s="5">
        <v>133</v>
      </c>
      <c r="B143" s="5">
        <f t="shared" si="46"/>
        <v>8160</v>
      </c>
      <c r="C143" s="5">
        <f t="shared" si="46"/>
        <v>2020</v>
      </c>
      <c r="D143" s="5">
        <f t="shared" si="46"/>
        <v>1340</v>
      </c>
      <c r="E143" s="5">
        <f t="shared" si="46"/>
        <v>405</v>
      </c>
      <c r="F143" s="5">
        <f t="shared" si="46"/>
        <v>540</v>
      </c>
      <c r="G143" s="5">
        <f t="shared" si="43"/>
        <v>21216</v>
      </c>
      <c r="H143" s="5">
        <f t="shared" si="43"/>
        <v>5252</v>
      </c>
      <c r="I143" s="5">
        <f t="shared" si="43"/>
        <v>3484</v>
      </c>
      <c r="J143" s="5">
        <f t="shared" si="43"/>
        <v>1053</v>
      </c>
      <c r="K143" s="5">
        <f t="shared" si="43"/>
        <v>1404</v>
      </c>
      <c r="L143" s="5">
        <f t="shared" si="44"/>
        <v>10608</v>
      </c>
      <c r="M143" s="5">
        <f t="shared" si="44"/>
        <v>2626</v>
      </c>
      <c r="N143" s="5">
        <f t="shared" si="44"/>
        <v>1742</v>
      </c>
      <c r="O143" s="5">
        <f t="shared" si="44"/>
        <v>526.5</v>
      </c>
      <c r="P143" s="5">
        <f t="shared" si="44"/>
        <v>702</v>
      </c>
      <c r="Q143" s="5">
        <f t="shared" si="45"/>
        <v>39984</v>
      </c>
      <c r="R143" s="5">
        <f t="shared" si="45"/>
        <v>9898</v>
      </c>
      <c r="S143" s="5">
        <f t="shared" si="45"/>
        <v>6566</v>
      </c>
      <c r="T143" s="5">
        <f t="shared" si="45"/>
        <v>1984.5</v>
      </c>
      <c r="U143" s="5">
        <f t="shared" si="45"/>
        <v>2646</v>
      </c>
      <c r="V143" s="5">
        <f>B143*战斗力计算!$B$8+C143*战斗力计算!$B$9+D143*战斗力计算!$B$10+E143*战斗力计算!$B$11+F143*战斗力计算!$B$12</f>
        <v>59280</v>
      </c>
      <c r="W143" s="5">
        <f>G143*战斗力计算!$B$8+H143*战斗力计算!$B$9+I143*战斗力计算!$B$10+J143*战斗力计算!$B$11+K143*战斗力计算!$B$12+L143*战斗力计算!$B$8+M143*战斗力计算!$B$9+N143*战斗力计算!$B$10+O143*战斗力计算!$B$11+P143*战斗力计算!$B$12</f>
        <v>231192</v>
      </c>
      <c r="X143" s="5">
        <f t="shared" si="47"/>
        <v>290472</v>
      </c>
      <c r="AC143">
        <f t="shared" si="48"/>
        <v>2.6</v>
      </c>
      <c r="AD143">
        <f t="shared" si="49"/>
        <v>1.3</v>
      </c>
      <c r="AF143">
        <f t="shared" si="50"/>
        <v>0.75</v>
      </c>
      <c r="AH143">
        <f t="shared" si="51"/>
        <v>12</v>
      </c>
      <c r="AK143">
        <f t="shared" si="52"/>
        <v>6.08955223880597</v>
      </c>
      <c r="AL143">
        <f t="shared" si="53"/>
        <v>1.5074626865671641</v>
      </c>
      <c r="AM143">
        <f t="shared" si="54"/>
        <v>1</v>
      </c>
      <c r="AN143">
        <f t="shared" si="55"/>
        <v>6.08955223880597</v>
      </c>
      <c r="AO143">
        <f t="shared" si="56"/>
        <v>1.5074626865671641</v>
      </c>
      <c r="AP143">
        <f t="shared" si="57"/>
        <v>1</v>
      </c>
      <c r="AR143">
        <f t="shared" si="58"/>
        <v>4.4888888888888889</v>
      </c>
      <c r="AT143">
        <f t="shared" si="59"/>
        <v>4.4888888888888889</v>
      </c>
      <c r="AV143">
        <f t="shared" si="60"/>
        <v>1414</v>
      </c>
      <c r="AW143">
        <f t="shared" si="61"/>
        <v>2626</v>
      </c>
    </row>
    <row r="144" spans="1:49" x14ac:dyDescent="0.15">
      <c r="A144" s="5">
        <v>134</v>
      </c>
      <c r="B144" s="5">
        <f t="shared" si="46"/>
        <v>8220</v>
      </c>
      <c r="C144" s="5">
        <f t="shared" si="46"/>
        <v>2035</v>
      </c>
      <c r="D144" s="5">
        <f t="shared" si="46"/>
        <v>1350</v>
      </c>
      <c r="E144" s="5">
        <f t="shared" si="46"/>
        <v>408</v>
      </c>
      <c r="F144" s="5">
        <f t="shared" si="46"/>
        <v>544</v>
      </c>
      <c r="G144" s="5">
        <f t="shared" si="43"/>
        <v>21372</v>
      </c>
      <c r="H144" s="5">
        <f t="shared" si="43"/>
        <v>5291</v>
      </c>
      <c r="I144" s="5">
        <f t="shared" si="43"/>
        <v>3510</v>
      </c>
      <c r="J144" s="5">
        <f t="shared" si="43"/>
        <v>1060.8</v>
      </c>
      <c r="K144" s="5">
        <f t="shared" si="43"/>
        <v>1414.4</v>
      </c>
      <c r="L144" s="5">
        <f t="shared" si="44"/>
        <v>10686</v>
      </c>
      <c r="M144" s="5">
        <f t="shared" si="44"/>
        <v>2645.5</v>
      </c>
      <c r="N144" s="5">
        <f t="shared" si="44"/>
        <v>1755</v>
      </c>
      <c r="O144" s="5">
        <f t="shared" si="44"/>
        <v>530.4</v>
      </c>
      <c r="P144" s="5">
        <f t="shared" si="44"/>
        <v>707.2</v>
      </c>
      <c r="Q144" s="5">
        <f t="shared" si="45"/>
        <v>40278</v>
      </c>
      <c r="R144" s="5">
        <f t="shared" si="45"/>
        <v>9971.5</v>
      </c>
      <c r="S144" s="5">
        <f t="shared" si="45"/>
        <v>6615</v>
      </c>
      <c r="T144" s="5">
        <f t="shared" si="45"/>
        <v>1999.1999999999998</v>
      </c>
      <c r="U144" s="5">
        <f t="shared" si="45"/>
        <v>2665.6000000000004</v>
      </c>
      <c r="V144" s="5">
        <f>B144*战斗力计算!$B$8+C144*战斗力计算!$B$9+D144*战斗力计算!$B$10+E144*战斗力计算!$B$11+F144*战斗力计算!$B$12</f>
        <v>59720</v>
      </c>
      <c r="W144" s="5">
        <f>G144*战斗力计算!$B$8+H144*战斗力计算!$B$9+I144*战斗力计算!$B$10+J144*战斗力计算!$B$11+K144*战斗力计算!$B$12+L144*战斗力计算!$B$8+M144*战斗力计算!$B$9+N144*战斗力计算!$B$10+O144*战斗力计算!$B$11+P144*战斗力计算!$B$12</f>
        <v>232908</v>
      </c>
      <c r="X144" s="5">
        <f t="shared" si="47"/>
        <v>292628</v>
      </c>
      <c r="AC144">
        <f t="shared" si="48"/>
        <v>2.6</v>
      </c>
      <c r="AD144">
        <f t="shared" si="49"/>
        <v>1.3</v>
      </c>
      <c r="AF144">
        <f t="shared" si="50"/>
        <v>0.74999999999999978</v>
      </c>
      <c r="AH144">
        <f t="shared" si="51"/>
        <v>12</v>
      </c>
      <c r="AK144">
        <f t="shared" si="52"/>
        <v>6.0888888888888886</v>
      </c>
      <c r="AL144">
        <f t="shared" si="53"/>
        <v>1.5074074074074073</v>
      </c>
      <c r="AM144">
        <f t="shared" si="54"/>
        <v>1</v>
      </c>
      <c r="AN144">
        <f t="shared" si="55"/>
        <v>6.0888888888888886</v>
      </c>
      <c r="AO144">
        <f t="shared" si="56"/>
        <v>1.5074074074074073</v>
      </c>
      <c r="AP144">
        <f t="shared" si="57"/>
        <v>1</v>
      </c>
      <c r="AR144">
        <f t="shared" si="58"/>
        <v>4.4889705882352944</v>
      </c>
      <c r="AT144">
        <f t="shared" si="59"/>
        <v>4.4889705882352944</v>
      </c>
      <c r="AV144">
        <f t="shared" si="60"/>
        <v>1424</v>
      </c>
      <c r="AW144">
        <f t="shared" si="61"/>
        <v>2645</v>
      </c>
    </row>
    <row r="145" spans="1:49" x14ac:dyDescent="0.15">
      <c r="A145" s="5">
        <v>135</v>
      </c>
      <c r="B145" s="5">
        <f t="shared" si="46"/>
        <v>8280</v>
      </c>
      <c r="C145" s="5">
        <f t="shared" si="46"/>
        <v>2050</v>
      </c>
      <c r="D145" s="5">
        <f t="shared" si="46"/>
        <v>1360</v>
      </c>
      <c r="E145" s="5">
        <f t="shared" si="46"/>
        <v>411</v>
      </c>
      <c r="F145" s="5">
        <f t="shared" si="46"/>
        <v>548</v>
      </c>
      <c r="G145" s="5">
        <f t="shared" si="43"/>
        <v>21528</v>
      </c>
      <c r="H145" s="5">
        <f t="shared" si="43"/>
        <v>5330</v>
      </c>
      <c r="I145" s="5">
        <f t="shared" si="43"/>
        <v>3536</v>
      </c>
      <c r="J145" s="5">
        <f t="shared" si="43"/>
        <v>1068.6000000000001</v>
      </c>
      <c r="K145" s="5">
        <f t="shared" si="43"/>
        <v>1424.8</v>
      </c>
      <c r="L145" s="5">
        <f t="shared" si="44"/>
        <v>10764</v>
      </c>
      <c r="M145" s="5">
        <f t="shared" si="44"/>
        <v>2665</v>
      </c>
      <c r="N145" s="5">
        <f t="shared" si="44"/>
        <v>1768</v>
      </c>
      <c r="O145" s="5">
        <f t="shared" si="44"/>
        <v>534.30000000000007</v>
      </c>
      <c r="P145" s="5">
        <f t="shared" si="44"/>
        <v>712.4</v>
      </c>
      <c r="Q145" s="5">
        <f t="shared" si="45"/>
        <v>40572</v>
      </c>
      <c r="R145" s="5">
        <f t="shared" si="45"/>
        <v>10045</v>
      </c>
      <c r="S145" s="5">
        <f t="shared" si="45"/>
        <v>6664</v>
      </c>
      <c r="T145" s="5">
        <f t="shared" si="45"/>
        <v>2013.9</v>
      </c>
      <c r="U145" s="5">
        <f t="shared" si="45"/>
        <v>2685.2</v>
      </c>
      <c r="V145" s="5">
        <f>B145*战斗力计算!$B$8+C145*战斗力计算!$B$9+D145*战斗力计算!$B$10+E145*战斗力计算!$B$11+F145*战斗力计算!$B$12</f>
        <v>60160</v>
      </c>
      <c r="W145" s="5">
        <f>G145*战斗力计算!$B$8+H145*战斗力计算!$B$9+I145*战斗力计算!$B$10+J145*战斗力计算!$B$11+K145*战斗力计算!$B$12+L145*战斗力计算!$B$8+M145*战斗力计算!$B$9+N145*战斗力计算!$B$10+O145*战斗力计算!$B$11+P145*战斗力计算!$B$12</f>
        <v>234624</v>
      </c>
      <c r="X145" s="5">
        <f t="shared" si="47"/>
        <v>294784</v>
      </c>
      <c r="AC145">
        <f t="shared" si="48"/>
        <v>2.6</v>
      </c>
      <c r="AD145">
        <f t="shared" si="49"/>
        <v>1.3</v>
      </c>
      <c r="AF145">
        <f t="shared" si="50"/>
        <v>0.75000000000000011</v>
      </c>
      <c r="AH145">
        <f t="shared" si="51"/>
        <v>12</v>
      </c>
      <c r="AK145">
        <f t="shared" si="52"/>
        <v>6.0882352941176467</v>
      </c>
      <c r="AL145">
        <f t="shared" si="53"/>
        <v>1.5073529411764706</v>
      </c>
      <c r="AM145">
        <f t="shared" si="54"/>
        <v>1</v>
      </c>
      <c r="AN145">
        <f t="shared" si="55"/>
        <v>6.0882352941176467</v>
      </c>
      <c r="AO145">
        <f t="shared" si="56"/>
        <v>1.5073529411764706</v>
      </c>
      <c r="AP145">
        <f t="shared" si="57"/>
        <v>1</v>
      </c>
      <c r="AR145">
        <f t="shared" si="58"/>
        <v>4.4890510948905114</v>
      </c>
      <c r="AT145">
        <f t="shared" si="59"/>
        <v>4.4890510948905114</v>
      </c>
      <c r="AV145">
        <f t="shared" si="60"/>
        <v>1435</v>
      </c>
      <c r="AW145">
        <f t="shared" si="61"/>
        <v>2665</v>
      </c>
    </row>
    <row r="146" spans="1:49" x14ac:dyDescent="0.15">
      <c r="A146" s="5">
        <v>136</v>
      </c>
      <c r="B146" s="5">
        <f t="shared" si="46"/>
        <v>8340</v>
      </c>
      <c r="C146" s="5">
        <f t="shared" si="46"/>
        <v>2065</v>
      </c>
      <c r="D146" s="5">
        <f t="shared" si="46"/>
        <v>1370</v>
      </c>
      <c r="E146" s="5">
        <f t="shared" si="46"/>
        <v>414</v>
      </c>
      <c r="F146" s="5">
        <f t="shared" si="46"/>
        <v>552</v>
      </c>
      <c r="G146" s="5">
        <f t="shared" si="43"/>
        <v>21684</v>
      </c>
      <c r="H146" s="5">
        <f t="shared" si="43"/>
        <v>5369</v>
      </c>
      <c r="I146" s="5">
        <f t="shared" si="43"/>
        <v>3562</v>
      </c>
      <c r="J146" s="5">
        <f t="shared" si="43"/>
        <v>1076.4000000000001</v>
      </c>
      <c r="K146" s="5">
        <f t="shared" si="43"/>
        <v>1435.2</v>
      </c>
      <c r="L146" s="5">
        <f t="shared" si="44"/>
        <v>10842</v>
      </c>
      <c r="M146" s="5">
        <f t="shared" si="44"/>
        <v>2684.5</v>
      </c>
      <c r="N146" s="5">
        <f t="shared" si="44"/>
        <v>1781</v>
      </c>
      <c r="O146" s="5">
        <f t="shared" si="44"/>
        <v>538.20000000000005</v>
      </c>
      <c r="P146" s="5">
        <f t="shared" si="44"/>
        <v>717.6</v>
      </c>
      <c r="Q146" s="5">
        <f t="shared" si="45"/>
        <v>40866</v>
      </c>
      <c r="R146" s="5">
        <f t="shared" si="45"/>
        <v>10118.5</v>
      </c>
      <c r="S146" s="5">
        <f t="shared" si="45"/>
        <v>6713</v>
      </c>
      <c r="T146" s="5">
        <f t="shared" si="45"/>
        <v>2028.6000000000001</v>
      </c>
      <c r="U146" s="5">
        <f t="shared" si="45"/>
        <v>2704.8</v>
      </c>
      <c r="V146" s="5">
        <f>B146*战斗力计算!$B$8+C146*战斗力计算!$B$9+D146*战斗力计算!$B$10+E146*战斗力计算!$B$11+F146*战斗力计算!$B$12</f>
        <v>60600</v>
      </c>
      <c r="W146" s="5">
        <f>G146*战斗力计算!$B$8+H146*战斗力计算!$B$9+I146*战斗力计算!$B$10+J146*战斗力计算!$B$11+K146*战斗力计算!$B$12+L146*战斗力计算!$B$8+M146*战斗力计算!$B$9+N146*战斗力计算!$B$10+O146*战斗力计算!$B$11+P146*战斗力计算!$B$12</f>
        <v>236340</v>
      </c>
      <c r="X146" s="5">
        <f t="shared" si="47"/>
        <v>296940</v>
      </c>
      <c r="AC146">
        <f t="shared" si="48"/>
        <v>2.6</v>
      </c>
      <c r="AD146">
        <f t="shared" si="49"/>
        <v>1.3</v>
      </c>
      <c r="AF146">
        <f t="shared" si="50"/>
        <v>0.75</v>
      </c>
      <c r="AH146">
        <f t="shared" si="51"/>
        <v>12</v>
      </c>
      <c r="AK146">
        <f t="shared" si="52"/>
        <v>6.0875912408759127</v>
      </c>
      <c r="AL146">
        <f t="shared" si="53"/>
        <v>1.5072992700729928</v>
      </c>
      <c r="AM146">
        <f t="shared" si="54"/>
        <v>1</v>
      </c>
      <c r="AN146">
        <f t="shared" si="55"/>
        <v>6.0875912408759127</v>
      </c>
      <c r="AO146">
        <f t="shared" si="56"/>
        <v>1.5072992700729928</v>
      </c>
      <c r="AP146">
        <f t="shared" si="57"/>
        <v>1</v>
      </c>
      <c r="AR146">
        <f t="shared" si="58"/>
        <v>4.4891304347826084</v>
      </c>
      <c r="AT146">
        <f t="shared" si="59"/>
        <v>4.4891304347826084</v>
      </c>
      <c r="AV146">
        <f t="shared" si="60"/>
        <v>1445</v>
      </c>
      <c r="AW146">
        <f t="shared" si="61"/>
        <v>2684</v>
      </c>
    </row>
    <row r="147" spans="1:49" x14ac:dyDescent="0.15">
      <c r="A147" s="5">
        <v>137</v>
      </c>
      <c r="B147" s="5">
        <f t="shared" si="46"/>
        <v>8400</v>
      </c>
      <c r="C147" s="5">
        <f t="shared" si="46"/>
        <v>2080</v>
      </c>
      <c r="D147" s="5">
        <f t="shared" si="46"/>
        <v>1380</v>
      </c>
      <c r="E147" s="5">
        <f t="shared" si="46"/>
        <v>417</v>
      </c>
      <c r="F147" s="5">
        <f t="shared" si="46"/>
        <v>556</v>
      </c>
      <c r="G147" s="5">
        <f t="shared" si="43"/>
        <v>21840</v>
      </c>
      <c r="H147" s="5">
        <f t="shared" si="43"/>
        <v>5408</v>
      </c>
      <c r="I147" s="5">
        <f t="shared" si="43"/>
        <v>3588</v>
      </c>
      <c r="J147" s="5">
        <f t="shared" si="43"/>
        <v>1084.2</v>
      </c>
      <c r="K147" s="5">
        <f t="shared" si="43"/>
        <v>1445.6000000000001</v>
      </c>
      <c r="L147" s="5">
        <f t="shared" si="44"/>
        <v>10920</v>
      </c>
      <c r="M147" s="5">
        <f t="shared" si="44"/>
        <v>2704</v>
      </c>
      <c r="N147" s="5">
        <f t="shared" si="44"/>
        <v>1794</v>
      </c>
      <c r="O147" s="5">
        <f t="shared" si="44"/>
        <v>542.1</v>
      </c>
      <c r="P147" s="5">
        <f t="shared" si="44"/>
        <v>722.80000000000007</v>
      </c>
      <c r="Q147" s="5">
        <f t="shared" si="45"/>
        <v>41160</v>
      </c>
      <c r="R147" s="5">
        <f t="shared" si="45"/>
        <v>10192</v>
      </c>
      <c r="S147" s="5">
        <f t="shared" si="45"/>
        <v>6762</v>
      </c>
      <c r="T147" s="5">
        <f t="shared" si="45"/>
        <v>2043.3000000000002</v>
      </c>
      <c r="U147" s="5">
        <f t="shared" si="45"/>
        <v>2724.4</v>
      </c>
      <c r="V147" s="5">
        <f>B147*战斗力计算!$B$8+C147*战斗力计算!$B$9+D147*战斗力计算!$B$10+E147*战斗力计算!$B$11+F147*战斗力计算!$B$12</f>
        <v>61040</v>
      </c>
      <c r="W147" s="5">
        <f>G147*战斗力计算!$B$8+H147*战斗力计算!$B$9+I147*战斗力计算!$B$10+J147*战斗力计算!$B$11+K147*战斗力计算!$B$12+L147*战斗力计算!$B$8+M147*战斗力计算!$B$9+N147*战斗力计算!$B$10+O147*战斗力计算!$B$11+P147*战斗力计算!$B$12</f>
        <v>238056</v>
      </c>
      <c r="X147" s="5">
        <f t="shared" si="47"/>
        <v>299096</v>
      </c>
      <c r="AC147">
        <f t="shared" si="48"/>
        <v>2.6</v>
      </c>
      <c r="AD147">
        <f t="shared" si="49"/>
        <v>1.3</v>
      </c>
      <c r="AF147">
        <f t="shared" si="50"/>
        <v>0.75</v>
      </c>
      <c r="AH147">
        <f t="shared" si="51"/>
        <v>12</v>
      </c>
      <c r="AK147">
        <f t="shared" si="52"/>
        <v>6.0869565217391308</v>
      </c>
      <c r="AL147">
        <f t="shared" si="53"/>
        <v>1.5072463768115942</v>
      </c>
      <c r="AM147">
        <f t="shared" si="54"/>
        <v>1</v>
      </c>
      <c r="AN147">
        <f t="shared" si="55"/>
        <v>6.0869565217391308</v>
      </c>
      <c r="AO147">
        <f t="shared" si="56"/>
        <v>1.5072463768115942</v>
      </c>
      <c r="AP147">
        <f t="shared" si="57"/>
        <v>1</v>
      </c>
      <c r="AR147">
        <f t="shared" si="58"/>
        <v>4.4892086330935248</v>
      </c>
      <c r="AT147">
        <f t="shared" si="59"/>
        <v>4.4892086330935248</v>
      </c>
      <c r="AV147">
        <f t="shared" si="60"/>
        <v>1456</v>
      </c>
      <c r="AW147">
        <f t="shared" si="61"/>
        <v>2704</v>
      </c>
    </row>
    <row r="148" spans="1:49" x14ac:dyDescent="0.15">
      <c r="A148" s="5">
        <v>138</v>
      </c>
      <c r="B148" s="5">
        <f t="shared" si="46"/>
        <v>8460</v>
      </c>
      <c r="C148" s="5">
        <f t="shared" si="46"/>
        <v>2095</v>
      </c>
      <c r="D148" s="5">
        <f t="shared" si="46"/>
        <v>1390</v>
      </c>
      <c r="E148" s="5">
        <f t="shared" si="46"/>
        <v>420</v>
      </c>
      <c r="F148" s="5">
        <f t="shared" si="46"/>
        <v>560</v>
      </c>
      <c r="G148" s="5">
        <f t="shared" si="43"/>
        <v>21996</v>
      </c>
      <c r="H148" s="5">
        <f t="shared" si="43"/>
        <v>5447</v>
      </c>
      <c r="I148" s="5">
        <f t="shared" si="43"/>
        <v>3614</v>
      </c>
      <c r="J148" s="5">
        <f t="shared" si="43"/>
        <v>1092</v>
      </c>
      <c r="K148" s="5">
        <f t="shared" si="43"/>
        <v>1456</v>
      </c>
      <c r="L148" s="5">
        <f t="shared" si="44"/>
        <v>10998</v>
      </c>
      <c r="M148" s="5">
        <f t="shared" si="44"/>
        <v>2723.5</v>
      </c>
      <c r="N148" s="5">
        <f t="shared" si="44"/>
        <v>1807</v>
      </c>
      <c r="O148" s="5">
        <f t="shared" si="44"/>
        <v>546</v>
      </c>
      <c r="P148" s="5">
        <f t="shared" si="44"/>
        <v>728</v>
      </c>
      <c r="Q148" s="5">
        <f t="shared" si="45"/>
        <v>41454</v>
      </c>
      <c r="R148" s="5">
        <f t="shared" si="45"/>
        <v>10265.5</v>
      </c>
      <c r="S148" s="5">
        <f t="shared" si="45"/>
        <v>6811</v>
      </c>
      <c r="T148" s="5">
        <f t="shared" si="45"/>
        <v>2058</v>
      </c>
      <c r="U148" s="5">
        <f t="shared" si="45"/>
        <v>2744</v>
      </c>
      <c r="V148" s="5">
        <f>B148*战斗力计算!$B$8+C148*战斗力计算!$B$9+D148*战斗力计算!$B$10+E148*战斗力计算!$B$11+F148*战斗力计算!$B$12</f>
        <v>61480</v>
      </c>
      <c r="W148" s="5">
        <f>G148*战斗力计算!$B$8+H148*战斗力计算!$B$9+I148*战斗力计算!$B$10+J148*战斗力计算!$B$11+K148*战斗力计算!$B$12+L148*战斗力计算!$B$8+M148*战斗力计算!$B$9+N148*战斗力计算!$B$10+O148*战斗力计算!$B$11+P148*战斗力计算!$B$12</f>
        <v>239772</v>
      </c>
      <c r="X148" s="5">
        <f t="shared" si="47"/>
        <v>301252</v>
      </c>
      <c r="AC148">
        <f t="shared" si="48"/>
        <v>2.6</v>
      </c>
      <c r="AD148">
        <f t="shared" si="49"/>
        <v>1.3</v>
      </c>
      <c r="AF148">
        <f t="shared" si="50"/>
        <v>0.75</v>
      </c>
      <c r="AH148">
        <f t="shared" si="51"/>
        <v>12</v>
      </c>
      <c r="AK148">
        <f t="shared" si="52"/>
        <v>6.0863309352517989</v>
      </c>
      <c r="AL148">
        <f t="shared" si="53"/>
        <v>1.5071942446043165</v>
      </c>
      <c r="AM148">
        <f t="shared" si="54"/>
        <v>1</v>
      </c>
      <c r="AN148">
        <f t="shared" si="55"/>
        <v>6.0863309352517989</v>
      </c>
      <c r="AO148">
        <f t="shared" si="56"/>
        <v>1.5071942446043165</v>
      </c>
      <c r="AP148">
        <f t="shared" si="57"/>
        <v>1</v>
      </c>
      <c r="AR148">
        <f t="shared" si="58"/>
        <v>4.4892857142857139</v>
      </c>
      <c r="AT148">
        <f t="shared" si="59"/>
        <v>4.4892857142857139</v>
      </c>
      <c r="AV148">
        <f t="shared" si="60"/>
        <v>1466</v>
      </c>
      <c r="AW148">
        <f t="shared" si="61"/>
        <v>2723</v>
      </c>
    </row>
    <row r="149" spans="1:49" x14ac:dyDescent="0.15">
      <c r="A149" s="5">
        <v>139</v>
      </c>
      <c r="B149" s="5">
        <f t="shared" si="46"/>
        <v>8520</v>
      </c>
      <c r="C149" s="5">
        <f t="shared" si="46"/>
        <v>2110</v>
      </c>
      <c r="D149" s="5">
        <f t="shared" si="46"/>
        <v>1400</v>
      </c>
      <c r="E149" s="5">
        <f t="shared" si="46"/>
        <v>423</v>
      </c>
      <c r="F149" s="5">
        <f t="shared" si="46"/>
        <v>564</v>
      </c>
      <c r="G149" s="5">
        <f t="shared" si="43"/>
        <v>22152</v>
      </c>
      <c r="H149" s="5">
        <f t="shared" si="43"/>
        <v>5486</v>
      </c>
      <c r="I149" s="5">
        <f t="shared" si="43"/>
        <v>3640</v>
      </c>
      <c r="J149" s="5">
        <f t="shared" si="43"/>
        <v>1099.8</v>
      </c>
      <c r="K149" s="5">
        <f t="shared" si="43"/>
        <v>1466.4</v>
      </c>
      <c r="L149" s="5">
        <f t="shared" si="44"/>
        <v>11076</v>
      </c>
      <c r="M149" s="5">
        <f t="shared" si="44"/>
        <v>2743</v>
      </c>
      <c r="N149" s="5">
        <f t="shared" si="44"/>
        <v>1820</v>
      </c>
      <c r="O149" s="5">
        <f t="shared" si="44"/>
        <v>549.9</v>
      </c>
      <c r="P149" s="5">
        <f t="shared" si="44"/>
        <v>733.2</v>
      </c>
      <c r="Q149" s="5">
        <f t="shared" si="45"/>
        <v>41748</v>
      </c>
      <c r="R149" s="5">
        <f t="shared" si="45"/>
        <v>10339</v>
      </c>
      <c r="S149" s="5">
        <f t="shared" si="45"/>
        <v>6860</v>
      </c>
      <c r="T149" s="5">
        <f t="shared" si="45"/>
        <v>2072.6999999999998</v>
      </c>
      <c r="U149" s="5">
        <f t="shared" si="45"/>
        <v>2763.6000000000004</v>
      </c>
      <c r="V149" s="5">
        <f>B149*战斗力计算!$B$8+C149*战斗力计算!$B$9+D149*战斗力计算!$B$10+E149*战斗力计算!$B$11+F149*战斗力计算!$B$12</f>
        <v>61920</v>
      </c>
      <c r="W149" s="5">
        <f>G149*战斗力计算!$B$8+H149*战斗力计算!$B$9+I149*战斗力计算!$B$10+J149*战斗力计算!$B$11+K149*战斗力计算!$B$12+L149*战斗力计算!$B$8+M149*战斗力计算!$B$9+N149*战斗力计算!$B$10+O149*战斗力计算!$B$11+P149*战斗力计算!$B$12</f>
        <v>241488</v>
      </c>
      <c r="X149" s="5">
        <f t="shared" si="47"/>
        <v>303408</v>
      </c>
      <c r="AC149">
        <f t="shared" si="48"/>
        <v>2.6</v>
      </c>
      <c r="AD149">
        <f t="shared" si="49"/>
        <v>1.3</v>
      </c>
      <c r="AF149">
        <f t="shared" si="50"/>
        <v>0.74999999999999989</v>
      </c>
      <c r="AH149">
        <f t="shared" si="51"/>
        <v>12</v>
      </c>
      <c r="AK149">
        <f t="shared" si="52"/>
        <v>6.0857142857142854</v>
      </c>
      <c r="AL149">
        <f t="shared" si="53"/>
        <v>1.5071428571428571</v>
      </c>
      <c r="AM149">
        <f t="shared" si="54"/>
        <v>1</v>
      </c>
      <c r="AN149">
        <f t="shared" si="55"/>
        <v>6.0857142857142854</v>
      </c>
      <c r="AO149">
        <f t="shared" si="56"/>
        <v>1.5071428571428571</v>
      </c>
      <c r="AP149">
        <f t="shared" si="57"/>
        <v>1</v>
      </c>
      <c r="AR149">
        <f t="shared" si="58"/>
        <v>4.4893617021276597</v>
      </c>
      <c r="AT149">
        <f t="shared" si="59"/>
        <v>4.4893617021276597</v>
      </c>
      <c r="AV149">
        <f t="shared" si="60"/>
        <v>1477</v>
      </c>
      <c r="AW149">
        <f t="shared" si="61"/>
        <v>2743</v>
      </c>
    </row>
    <row r="150" spans="1:49" x14ac:dyDescent="0.15">
      <c r="A150" s="5">
        <v>140</v>
      </c>
      <c r="B150" s="5">
        <f t="shared" si="46"/>
        <v>8580</v>
      </c>
      <c r="C150" s="5">
        <f t="shared" si="46"/>
        <v>2125</v>
      </c>
      <c r="D150" s="5">
        <f t="shared" si="46"/>
        <v>1410</v>
      </c>
      <c r="E150" s="5">
        <f t="shared" si="46"/>
        <v>426</v>
      </c>
      <c r="F150" s="5">
        <f t="shared" si="46"/>
        <v>568</v>
      </c>
      <c r="G150" s="5">
        <f t="shared" si="43"/>
        <v>22308</v>
      </c>
      <c r="H150" s="5">
        <f t="shared" si="43"/>
        <v>5525</v>
      </c>
      <c r="I150" s="5">
        <f t="shared" si="43"/>
        <v>3666</v>
      </c>
      <c r="J150" s="5">
        <f t="shared" si="43"/>
        <v>1107.6000000000001</v>
      </c>
      <c r="K150" s="5">
        <f t="shared" si="43"/>
        <v>1476.8</v>
      </c>
      <c r="L150" s="5">
        <f t="shared" si="44"/>
        <v>11154</v>
      </c>
      <c r="M150" s="5">
        <f t="shared" si="44"/>
        <v>2762.5</v>
      </c>
      <c r="N150" s="5">
        <f t="shared" si="44"/>
        <v>1833</v>
      </c>
      <c r="O150" s="5">
        <f t="shared" si="44"/>
        <v>553.80000000000007</v>
      </c>
      <c r="P150" s="5">
        <f t="shared" si="44"/>
        <v>738.4</v>
      </c>
      <c r="Q150" s="5">
        <f t="shared" si="45"/>
        <v>42042</v>
      </c>
      <c r="R150" s="5">
        <f t="shared" si="45"/>
        <v>10412.5</v>
      </c>
      <c r="S150" s="5">
        <f t="shared" si="45"/>
        <v>6909</v>
      </c>
      <c r="T150" s="5">
        <f t="shared" si="45"/>
        <v>2087.4</v>
      </c>
      <c r="U150" s="5">
        <f t="shared" si="45"/>
        <v>2783.2</v>
      </c>
      <c r="V150" s="5">
        <f>B150*战斗力计算!$B$8+C150*战斗力计算!$B$9+D150*战斗力计算!$B$10+E150*战斗力计算!$B$11+F150*战斗力计算!$B$12</f>
        <v>62360</v>
      </c>
      <c r="W150" s="5">
        <f>G150*战斗力计算!$B$8+H150*战斗力计算!$B$9+I150*战斗力计算!$B$10+J150*战斗力计算!$B$11+K150*战斗力计算!$B$12+L150*战斗力计算!$B$8+M150*战斗力计算!$B$9+N150*战斗力计算!$B$10+O150*战斗力计算!$B$11+P150*战斗力计算!$B$12</f>
        <v>243204</v>
      </c>
      <c r="X150" s="5">
        <f t="shared" si="47"/>
        <v>305564</v>
      </c>
      <c r="AC150">
        <f t="shared" si="48"/>
        <v>2.6</v>
      </c>
      <c r="AD150">
        <f t="shared" si="49"/>
        <v>1.3</v>
      </c>
      <c r="AF150">
        <f t="shared" si="50"/>
        <v>0.75000000000000011</v>
      </c>
      <c r="AH150">
        <f t="shared" si="51"/>
        <v>12</v>
      </c>
      <c r="AK150">
        <f t="shared" si="52"/>
        <v>6.0851063829787231</v>
      </c>
      <c r="AL150">
        <f t="shared" si="53"/>
        <v>1.5070921985815602</v>
      </c>
      <c r="AM150">
        <f t="shared" si="54"/>
        <v>1</v>
      </c>
      <c r="AN150">
        <f t="shared" si="55"/>
        <v>6.0851063829787231</v>
      </c>
      <c r="AO150">
        <f t="shared" si="56"/>
        <v>1.5070921985815602</v>
      </c>
      <c r="AP150">
        <f t="shared" si="57"/>
        <v>1</v>
      </c>
      <c r="AR150">
        <f t="shared" si="58"/>
        <v>4.48943661971831</v>
      </c>
      <c r="AT150">
        <f t="shared" si="59"/>
        <v>4.48943661971831</v>
      </c>
      <c r="AV150">
        <f t="shared" si="60"/>
        <v>1487</v>
      </c>
      <c r="AW150">
        <f t="shared" si="61"/>
        <v>2762</v>
      </c>
    </row>
    <row r="151" spans="1:49" x14ac:dyDescent="0.15">
      <c r="A151" s="5">
        <v>141</v>
      </c>
      <c r="B151" s="5">
        <f t="shared" si="46"/>
        <v>8640</v>
      </c>
      <c r="C151" s="5">
        <f t="shared" si="46"/>
        <v>2140</v>
      </c>
      <c r="D151" s="5">
        <f t="shared" si="46"/>
        <v>1420</v>
      </c>
      <c r="E151" s="5">
        <f t="shared" si="46"/>
        <v>429</v>
      </c>
      <c r="F151" s="5">
        <f t="shared" si="46"/>
        <v>572</v>
      </c>
      <c r="G151" s="5">
        <f t="shared" si="43"/>
        <v>22464</v>
      </c>
      <c r="H151" s="5">
        <f t="shared" si="43"/>
        <v>5564</v>
      </c>
      <c r="I151" s="5">
        <f t="shared" si="43"/>
        <v>3692</v>
      </c>
      <c r="J151" s="5">
        <f t="shared" si="43"/>
        <v>1115.4000000000001</v>
      </c>
      <c r="K151" s="5">
        <f t="shared" si="43"/>
        <v>1487.2</v>
      </c>
      <c r="L151" s="5">
        <f t="shared" si="44"/>
        <v>11232</v>
      </c>
      <c r="M151" s="5">
        <f t="shared" si="44"/>
        <v>2782</v>
      </c>
      <c r="N151" s="5">
        <f t="shared" si="44"/>
        <v>1846</v>
      </c>
      <c r="O151" s="5">
        <f t="shared" si="44"/>
        <v>557.70000000000005</v>
      </c>
      <c r="P151" s="5">
        <f t="shared" si="44"/>
        <v>743.6</v>
      </c>
      <c r="Q151" s="5">
        <f t="shared" si="45"/>
        <v>42336</v>
      </c>
      <c r="R151" s="5">
        <f t="shared" si="45"/>
        <v>10486</v>
      </c>
      <c r="S151" s="5">
        <f t="shared" si="45"/>
        <v>6958</v>
      </c>
      <c r="T151" s="5">
        <f t="shared" si="45"/>
        <v>2102.1000000000004</v>
      </c>
      <c r="U151" s="5">
        <f t="shared" si="45"/>
        <v>2802.7999999999997</v>
      </c>
      <c r="V151" s="5">
        <f>B151*战斗力计算!$B$8+C151*战斗力计算!$B$9+D151*战斗力计算!$B$10+E151*战斗力计算!$B$11+F151*战斗力计算!$B$12</f>
        <v>62800</v>
      </c>
      <c r="W151" s="5">
        <f>G151*战斗力计算!$B$8+H151*战斗力计算!$B$9+I151*战斗力计算!$B$10+J151*战斗力计算!$B$11+K151*战斗力计算!$B$12+L151*战斗力计算!$B$8+M151*战斗力计算!$B$9+N151*战斗力计算!$B$10+O151*战斗力计算!$B$11+P151*战斗力计算!$B$12</f>
        <v>244920</v>
      </c>
      <c r="X151" s="5">
        <f t="shared" si="47"/>
        <v>307720</v>
      </c>
      <c r="AC151">
        <f t="shared" si="48"/>
        <v>2.6</v>
      </c>
      <c r="AD151">
        <f t="shared" si="49"/>
        <v>1.3</v>
      </c>
      <c r="AF151">
        <f t="shared" si="50"/>
        <v>0.75000000000000022</v>
      </c>
      <c r="AH151">
        <f t="shared" si="51"/>
        <v>12</v>
      </c>
      <c r="AK151">
        <f t="shared" si="52"/>
        <v>6.084507042253521</v>
      </c>
      <c r="AL151">
        <f t="shared" si="53"/>
        <v>1.5070422535211268</v>
      </c>
      <c r="AM151">
        <f t="shared" si="54"/>
        <v>1</v>
      </c>
      <c r="AN151">
        <f t="shared" si="55"/>
        <v>6.084507042253521</v>
      </c>
      <c r="AO151">
        <f t="shared" si="56"/>
        <v>1.5070422535211268</v>
      </c>
      <c r="AP151">
        <f t="shared" si="57"/>
        <v>1</v>
      </c>
      <c r="AR151">
        <f t="shared" si="58"/>
        <v>4.4895104895104891</v>
      </c>
      <c r="AT151">
        <f t="shared" si="59"/>
        <v>4.4895104895104891</v>
      </c>
      <c r="AV151">
        <f t="shared" si="60"/>
        <v>1498</v>
      </c>
      <c r="AW151">
        <f t="shared" si="61"/>
        <v>2782</v>
      </c>
    </row>
    <row r="152" spans="1:49" x14ac:dyDescent="0.15">
      <c r="A152" s="5">
        <v>142</v>
      </c>
      <c r="B152" s="5">
        <f t="shared" si="46"/>
        <v>8700</v>
      </c>
      <c r="C152" s="5">
        <f t="shared" si="46"/>
        <v>2155</v>
      </c>
      <c r="D152" s="5">
        <f t="shared" si="46"/>
        <v>1430</v>
      </c>
      <c r="E152" s="5">
        <f t="shared" si="46"/>
        <v>432</v>
      </c>
      <c r="F152" s="5">
        <f t="shared" si="46"/>
        <v>576</v>
      </c>
      <c r="G152" s="5">
        <f t="shared" si="43"/>
        <v>22620</v>
      </c>
      <c r="H152" s="5">
        <f t="shared" si="43"/>
        <v>5603</v>
      </c>
      <c r="I152" s="5">
        <f t="shared" si="43"/>
        <v>3718</v>
      </c>
      <c r="J152" s="5">
        <f t="shared" si="43"/>
        <v>1123.2</v>
      </c>
      <c r="K152" s="5">
        <f t="shared" si="43"/>
        <v>1497.6000000000001</v>
      </c>
      <c r="L152" s="5">
        <f t="shared" si="44"/>
        <v>11310</v>
      </c>
      <c r="M152" s="5">
        <f t="shared" si="44"/>
        <v>2801.5</v>
      </c>
      <c r="N152" s="5">
        <f t="shared" si="44"/>
        <v>1859</v>
      </c>
      <c r="O152" s="5">
        <f t="shared" si="44"/>
        <v>561.6</v>
      </c>
      <c r="P152" s="5">
        <f t="shared" si="44"/>
        <v>748.80000000000007</v>
      </c>
      <c r="Q152" s="5">
        <f t="shared" si="45"/>
        <v>42630</v>
      </c>
      <c r="R152" s="5">
        <f t="shared" si="45"/>
        <v>10559.5</v>
      </c>
      <c r="S152" s="5">
        <f t="shared" si="45"/>
        <v>7007</v>
      </c>
      <c r="T152" s="5">
        <f t="shared" si="45"/>
        <v>2116.8000000000002</v>
      </c>
      <c r="U152" s="5">
        <f t="shared" si="45"/>
        <v>2822.4000000000005</v>
      </c>
      <c r="V152" s="5">
        <f>B152*战斗力计算!$B$8+C152*战斗力计算!$B$9+D152*战斗力计算!$B$10+E152*战斗力计算!$B$11+F152*战斗力计算!$B$12</f>
        <v>63240</v>
      </c>
      <c r="W152" s="5">
        <f>G152*战斗力计算!$B$8+H152*战斗力计算!$B$9+I152*战斗力计算!$B$10+J152*战斗力计算!$B$11+K152*战斗力计算!$B$12+L152*战斗力计算!$B$8+M152*战斗力计算!$B$9+N152*战斗力计算!$B$10+O152*战斗力计算!$B$11+P152*战斗力计算!$B$12</f>
        <v>246636</v>
      </c>
      <c r="X152" s="5">
        <f t="shared" si="47"/>
        <v>309876</v>
      </c>
      <c r="AC152">
        <f t="shared" si="48"/>
        <v>2.6</v>
      </c>
      <c r="AD152">
        <f t="shared" si="49"/>
        <v>1.3</v>
      </c>
      <c r="AF152">
        <f t="shared" si="50"/>
        <v>0.74999999999999989</v>
      </c>
      <c r="AH152">
        <f t="shared" si="51"/>
        <v>12</v>
      </c>
      <c r="AK152">
        <f t="shared" si="52"/>
        <v>6.0839160839160842</v>
      </c>
      <c r="AL152">
        <f t="shared" si="53"/>
        <v>1.5069930069930071</v>
      </c>
      <c r="AM152">
        <f t="shared" si="54"/>
        <v>1</v>
      </c>
      <c r="AN152">
        <f t="shared" si="55"/>
        <v>6.0839160839160842</v>
      </c>
      <c r="AO152">
        <f t="shared" si="56"/>
        <v>1.5069930069930071</v>
      </c>
      <c r="AP152">
        <f t="shared" si="57"/>
        <v>1</v>
      </c>
      <c r="AR152">
        <f t="shared" si="58"/>
        <v>4.489583333333333</v>
      </c>
      <c r="AT152">
        <f t="shared" si="59"/>
        <v>4.489583333333333</v>
      </c>
      <c r="AV152">
        <f t="shared" si="60"/>
        <v>1508</v>
      </c>
      <c r="AW152">
        <f t="shared" si="61"/>
        <v>2801</v>
      </c>
    </row>
    <row r="153" spans="1:49" x14ac:dyDescent="0.15">
      <c r="A153" s="5">
        <v>143</v>
      </c>
      <c r="B153" s="5">
        <f t="shared" si="46"/>
        <v>8760</v>
      </c>
      <c r="C153" s="5">
        <f t="shared" si="46"/>
        <v>2170</v>
      </c>
      <c r="D153" s="5">
        <f t="shared" si="46"/>
        <v>1440</v>
      </c>
      <c r="E153" s="5">
        <f t="shared" si="46"/>
        <v>435</v>
      </c>
      <c r="F153" s="5">
        <f t="shared" si="46"/>
        <v>580</v>
      </c>
      <c r="G153" s="5">
        <f t="shared" si="43"/>
        <v>22776</v>
      </c>
      <c r="H153" s="5">
        <f t="shared" si="43"/>
        <v>5642</v>
      </c>
      <c r="I153" s="5">
        <f t="shared" si="43"/>
        <v>3744</v>
      </c>
      <c r="J153" s="5">
        <f t="shared" si="43"/>
        <v>1131</v>
      </c>
      <c r="K153" s="5">
        <f t="shared" si="43"/>
        <v>1508</v>
      </c>
      <c r="L153" s="5">
        <f t="shared" si="44"/>
        <v>11388</v>
      </c>
      <c r="M153" s="5">
        <f t="shared" si="44"/>
        <v>2821</v>
      </c>
      <c r="N153" s="5">
        <f t="shared" si="44"/>
        <v>1872</v>
      </c>
      <c r="O153" s="5">
        <f t="shared" si="44"/>
        <v>565.5</v>
      </c>
      <c r="P153" s="5">
        <f t="shared" si="44"/>
        <v>754</v>
      </c>
      <c r="Q153" s="5">
        <f t="shared" si="45"/>
        <v>42924</v>
      </c>
      <c r="R153" s="5">
        <f t="shared" si="45"/>
        <v>10633</v>
      </c>
      <c r="S153" s="5">
        <f t="shared" si="45"/>
        <v>7056</v>
      </c>
      <c r="T153" s="5">
        <f t="shared" si="45"/>
        <v>2131.5</v>
      </c>
      <c r="U153" s="5">
        <f t="shared" si="45"/>
        <v>2842</v>
      </c>
      <c r="V153" s="5">
        <f>B153*战斗力计算!$B$8+C153*战斗力计算!$B$9+D153*战斗力计算!$B$10+E153*战斗力计算!$B$11+F153*战斗力计算!$B$12</f>
        <v>63680</v>
      </c>
      <c r="W153" s="5">
        <f>G153*战斗力计算!$B$8+H153*战斗力计算!$B$9+I153*战斗力计算!$B$10+J153*战斗力计算!$B$11+K153*战斗力计算!$B$12+L153*战斗力计算!$B$8+M153*战斗力计算!$B$9+N153*战斗力计算!$B$10+O153*战斗力计算!$B$11+P153*战斗力计算!$B$12</f>
        <v>248352</v>
      </c>
      <c r="X153" s="5">
        <f t="shared" si="47"/>
        <v>312032</v>
      </c>
      <c r="AC153">
        <f t="shared" si="48"/>
        <v>2.6</v>
      </c>
      <c r="AD153">
        <f t="shared" si="49"/>
        <v>1.3</v>
      </c>
      <c r="AF153">
        <f t="shared" si="50"/>
        <v>0.75</v>
      </c>
      <c r="AH153">
        <f t="shared" si="51"/>
        <v>12</v>
      </c>
      <c r="AK153">
        <f t="shared" si="52"/>
        <v>6.083333333333333</v>
      </c>
      <c r="AL153">
        <f t="shared" si="53"/>
        <v>1.5069444444444444</v>
      </c>
      <c r="AM153">
        <f t="shared" si="54"/>
        <v>1</v>
      </c>
      <c r="AN153">
        <f t="shared" si="55"/>
        <v>6.083333333333333</v>
      </c>
      <c r="AO153">
        <f t="shared" si="56"/>
        <v>1.5069444444444444</v>
      </c>
      <c r="AP153">
        <f t="shared" si="57"/>
        <v>1</v>
      </c>
      <c r="AR153">
        <f t="shared" si="58"/>
        <v>4.4896551724137934</v>
      </c>
      <c r="AT153">
        <f t="shared" si="59"/>
        <v>4.4896551724137934</v>
      </c>
      <c r="AV153">
        <f t="shared" si="60"/>
        <v>1519</v>
      </c>
      <c r="AW153">
        <f t="shared" si="61"/>
        <v>2821</v>
      </c>
    </row>
    <row r="154" spans="1:49" x14ac:dyDescent="0.15">
      <c r="A154" s="5">
        <v>144</v>
      </c>
      <c r="B154" s="5">
        <f t="shared" si="46"/>
        <v>8820</v>
      </c>
      <c r="C154" s="5">
        <f t="shared" si="46"/>
        <v>2185</v>
      </c>
      <c r="D154" s="5">
        <f t="shared" si="46"/>
        <v>1450</v>
      </c>
      <c r="E154" s="5">
        <f t="shared" si="46"/>
        <v>438</v>
      </c>
      <c r="F154" s="5">
        <f t="shared" si="46"/>
        <v>584</v>
      </c>
      <c r="G154" s="5">
        <f t="shared" si="43"/>
        <v>22932</v>
      </c>
      <c r="H154" s="5">
        <f t="shared" si="43"/>
        <v>5681</v>
      </c>
      <c r="I154" s="5">
        <f t="shared" si="43"/>
        <v>3770</v>
      </c>
      <c r="J154" s="5">
        <f t="shared" si="43"/>
        <v>1138.8</v>
      </c>
      <c r="K154" s="5">
        <f t="shared" si="43"/>
        <v>1518.4</v>
      </c>
      <c r="L154" s="5">
        <f t="shared" si="44"/>
        <v>11466</v>
      </c>
      <c r="M154" s="5">
        <f t="shared" si="44"/>
        <v>2840.5</v>
      </c>
      <c r="N154" s="5">
        <f t="shared" si="44"/>
        <v>1885</v>
      </c>
      <c r="O154" s="5">
        <f t="shared" si="44"/>
        <v>569.4</v>
      </c>
      <c r="P154" s="5">
        <f t="shared" si="44"/>
        <v>759.2</v>
      </c>
      <c r="Q154" s="5">
        <f t="shared" si="45"/>
        <v>43218</v>
      </c>
      <c r="R154" s="5">
        <f t="shared" si="45"/>
        <v>10706.5</v>
      </c>
      <c r="S154" s="5">
        <f t="shared" si="45"/>
        <v>7105</v>
      </c>
      <c r="T154" s="5">
        <f t="shared" si="45"/>
        <v>2146.1999999999998</v>
      </c>
      <c r="U154" s="5">
        <f t="shared" si="45"/>
        <v>2861.6000000000004</v>
      </c>
      <c r="V154" s="5">
        <f>B154*战斗力计算!$B$8+C154*战斗力计算!$B$9+D154*战斗力计算!$B$10+E154*战斗力计算!$B$11+F154*战斗力计算!$B$12</f>
        <v>64120</v>
      </c>
      <c r="W154" s="5">
        <f>G154*战斗力计算!$B$8+H154*战斗力计算!$B$9+I154*战斗力计算!$B$10+J154*战斗力计算!$B$11+K154*战斗力计算!$B$12+L154*战斗力计算!$B$8+M154*战斗力计算!$B$9+N154*战斗力计算!$B$10+O154*战斗力计算!$B$11+P154*战斗力计算!$B$12</f>
        <v>250068</v>
      </c>
      <c r="X154" s="5">
        <f t="shared" si="47"/>
        <v>314188</v>
      </c>
      <c r="AC154">
        <f t="shared" si="48"/>
        <v>2.6</v>
      </c>
      <c r="AD154">
        <f t="shared" si="49"/>
        <v>1.3</v>
      </c>
      <c r="AF154">
        <f t="shared" si="50"/>
        <v>0.74999999999999989</v>
      </c>
      <c r="AH154">
        <f t="shared" si="51"/>
        <v>12</v>
      </c>
      <c r="AK154">
        <f t="shared" si="52"/>
        <v>6.0827586206896553</v>
      </c>
      <c r="AL154">
        <f t="shared" si="53"/>
        <v>1.5068965517241379</v>
      </c>
      <c r="AM154">
        <f t="shared" si="54"/>
        <v>1</v>
      </c>
      <c r="AN154">
        <f t="shared" si="55"/>
        <v>6.0827586206896553</v>
      </c>
      <c r="AO154">
        <f t="shared" si="56"/>
        <v>1.5068965517241379</v>
      </c>
      <c r="AP154">
        <f t="shared" si="57"/>
        <v>1</v>
      </c>
      <c r="AR154">
        <f t="shared" si="58"/>
        <v>4.4897260273972606</v>
      </c>
      <c r="AT154">
        <f t="shared" si="59"/>
        <v>4.4897260273972606</v>
      </c>
      <c r="AV154">
        <f t="shared" si="60"/>
        <v>1529</v>
      </c>
      <c r="AW154">
        <f t="shared" si="61"/>
        <v>2840</v>
      </c>
    </row>
    <row r="155" spans="1:49" x14ac:dyDescent="0.15">
      <c r="A155" s="5">
        <v>145</v>
      </c>
      <c r="B155" s="5">
        <f t="shared" si="46"/>
        <v>8880</v>
      </c>
      <c r="C155" s="5">
        <f t="shared" si="46"/>
        <v>2200</v>
      </c>
      <c r="D155" s="5">
        <f t="shared" si="46"/>
        <v>1460</v>
      </c>
      <c r="E155" s="5">
        <f t="shared" si="46"/>
        <v>441</v>
      </c>
      <c r="F155" s="5">
        <f t="shared" si="46"/>
        <v>588</v>
      </c>
      <c r="G155" s="5">
        <f t="shared" si="43"/>
        <v>23088</v>
      </c>
      <c r="H155" s="5">
        <f t="shared" si="43"/>
        <v>5720</v>
      </c>
      <c r="I155" s="5">
        <f t="shared" si="43"/>
        <v>3796</v>
      </c>
      <c r="J155" s="5">
        <f t="shared" si="43"/>
        <v>1146.6000000000001</v>
      </c>
      <c r="K155" s="5">
        <f t="shared" si="43"/>
        <v>1528.8</v>
      </c>
      <c r="L155" s="5">
        <f t="shared" si="44"/>
        <v>11544</v>
      </c>
      <c r="M155" s="5">
        <f t="shared" si="44"/>
        <v>2860</v>
      </c>
      <c r="N155" s="5">
        <f t="shared" si="44"/>
        <v>1898</v>
      </c>
      <c r="O155" s="5">
        <f t="shared" si="44"/>
        <v>573.30000000000007</v>
      </c>
      <c r="P155" s="5">
        <f t="shared" si="44"/>
        <v>764.4</v>
      </c>
      <c r="Q155" s="5">
        <f t="shared" si="45"/>
        <v>43512</v>
      </c>
      <c r="R155" s="5">
        <f t="shared" si="45"/>
        <v>10780</v>
      </c>
      <c r="S155" s="5">
        <f t="shared" si="45"/>
        <v>7154</v>
      </c>
      <c r="T155" s="5">
        <f t="shared" si="45"/>
        <v>2160.9</v>
      </c>
      <c r="U155" s="5">
        <f t="shared" si="45"/>
        <v>2881.2000000000003</v>
      </c>
      <c r="V155" s="5">
        <f>B155*战斗力计算!$B$8+C155*战斗力计算!$B$9+D155*战斗力计算!$B$10+E155*战斗力计算!$B$11+F155*战斗力计算!$B$12</f>
        <v>64560</v>
      </c>
      <c r="W155" s="5">
        <f>G155*战斗力计算!$B$8+H155*战斗力计算!$B$9+I155*战斗力计算!$B$10+J155*战斗力计算!$B$11+K155*战斗力计算!$B$12+L155*战斗力计算!$B$8+M155*战斗力计算!$B$9+N155*战斗力计算!$B$10+O155*战斗力计算!$B$11+P155*战斗力计算!$B$12</f>
        <v>251784</v>
      </c>
      <c r="X155" s="5">
        <f t="shared" si="47"/>
        <v>316344</v>
      </c>
      <c r="AC155">
        <f t="shared" si="48"/>
        <v>2.6</v>
      </c>
      <c r="AD155">
        <f t="shared" si="49"/>
        <v>1.3</v>
      </c>
      <c r="AF155">
        <f t="shared" si="50"/>
        <v>0.75</v>
      </c>
      <c r="AH155">
        <f t="shared" si="51"/>
        <v>12</v>
      </c>
      <c r="AK155">
        <f t="shared" si="52"/>
        <v>6.0821917808219181</v>
      </c>
      <c r="AL155">
        <f t="shared" si="53"/>
        <v>1.5068493150684932</v>
      </c>
      <c r="AM155">
        <f t="shared" si="54"/>
        <v>1</v>
      </c>
      <c r="AN155">
        <f t="shared" si="55"/>
        <v>6.0821917808219181</v>
      </c>
      <c r="AO155">
        <f t="shared" si="56"/>
        <v>1.5068493150684932</v>
      </c>
      <c r="AP155">
        <f t="shared" si="57"/>
        <v>1</v>
      </c>
      <c r="AR155">
        <f t="shared" si="58"/>
        <v>4.4897959183673466</v>
      </c>
      <c r="AT155">
        <f t="shared" si="59"/>
        <v>4.4897959183673466</v>
      </c>
      <c r="AV155">
        <f t="shared" si="60"/>
        <v>1540</v>
      </c>
      <c r="AW155">
        <f t="shared" si="61"/>
        <v>2860</v>
      </c>
    </row>
    <row r="156" spans="1:49" x14ac:dyDescent="0.15">
      <c r="A156" s="5">
        <v>146</v>
      </c>
      <c r="B156" s="5">
        <f t="shared" si="46"/>
        <v>8940</v>
      </c>
      <c r="C156" s="5">
        <f t="shared" si="46"/>
        <v>2215</v>
      </c>
      <c r="D156" s="5">
        <f t="shared" si="46"/>
        <v>1470</v>
      </c>
      <c r="E156" s="5">
        <f t="shared" si="46"/>
        <v>444</v>
      </c>
      <c r="F156" s="5">
        <f t="shared" si="46"/>
        <v>592</v>
      </c>
      <c r="G156" s="5">
        <f t="shared" si="43"/>
        <v>23244</v>
      </c>
      <c r="H156" s="5">
        <f t="shared" si="43"/>
        <v>5759</v>
      </c>
      <c r="I156" s="5">
        <f t="shared" si="43"/>
        <v>3822</v>
      </c>
      <c r="J156" s="5">
        <f t="shared" si="43"/>
        <v>1154.4000000000001</v>
      </c>
      <c r="K156" s="5">
        <f t="shared" si="43"/>
        <v>1539.2</v>
      </c>
      <c r="L156" s="5">
        <f t="shared" si="44"/>
        <v>11622</v>
      </c>
      <c r="M156" s="5">
        <f t="shared" si="44"/>
        <v>2879.5</v>
      </c>
      <c r="N156" s="5">
        <f t="shared" si="44"/>
        <v>1911</v>
      </c>
      <c r="O156" s="5">
        <f t="shared" si="44"/>
        <v>577.20000000000005</v>
      </c>
      <c r="P156" s="5">
        <f t="shared" si="44"/>
        <v>769.6</v>
      </c>
      <c r="Q156" s="5">
        <f t="shared" si="45"/>
        <v>43806</v>
      </c>
      <c r="R156" s="5">
        <f t="shared" si="45"/>
        <v>10853.5</v>
      </c>
      <c r="S156" s="5">
        <f t="shared" si="45"/>
        <v>7203</v>
      </c>
      <c r="T156" s="5">
        <f t="shared" si="45"/>
        <v>2175.6000000000004</v>
      </c>
      <c r="U156" s="5">
        <f t="shared" si="45"/>
        <v>2900.7999999999997</v>
      </c>
      <c r="V156" s="5">
        <f>B156*战斗力计算!$B$8+C156*战斗力计算!$B$9+D156*战斗力计算!$B$10+E156*战斗力计算!$B$11+F156*战斗力计算!$B$12</f>
        <v>65000</v>
      </c>
      <c r="W156" s="5">
        <f>G156*战斗力计算!$B$8+H156*战斗力计算!$B$9+I156*战斗力计算!$B$10+J156*战斗力计算!$B$11+K156*战斗力计算!$B$12+L156*战斗力计算!$B$8+M156*战斗力计算!$B$9+N156*战斗力计算!$B$10+O156*战斗力计算!$B$11+P156*战斗力计算!$B$12</f>
        <v>253500</v>
      </c>
      <c r="X156" s="5">
        <f t="shared" si="47"/>
        <v>318500</v>
      </c>
      <c r="AC156">
        <f t="shared" si="48"/>
        <v>2.6</v>
      </c>
      <c r="AD156">
        <f t="shared" si="49"/>
        <v>1.3</v>
      </c>
      <c r="AF156">
        <f t="shared" si="50"/>
        <v>0.75000000000000022</v>
      </c>
      <c r="AH156">
        <f t="shared" si="51"/>
        <v>12</v>
      </c>
      <c r="AK156">
        <f t="shared" si="52"/>
        <v>6.0816326530612246</v>
      </c>
      <c r="AL156">
        <f t="shared" si="53"/>
        <v>1.5068027210884354</v>
      </c>
      <c r="AM156">
        <f t="shared" si="54"/>
        <v>1</v>
      </c>
      <c r="AN156">
        <f t="shared" si="55"/>
        <v>6.0816326530612246</v>
      </c>
      <c r="AO156">
        <f t="shared" si="56"/>
        <v>1.5068027210884354</v>
      </c>
      <c r="AP156">
        <f t="shared" si="57"/>
        <v>1</v>
      </c>
      <c r="AR156">
        <f t="shared" si="58"/>
        <v>4.4898648648648649</v>
      </c>
      <c r="AT156">
        <f t="shared" si="59"/>
        <v>4.4898648648648649</v>
      </c>
      <c r="AV156">
        <f t="shared" si="60"/>
        <v>1550</v>
      </c>
      <c r="AW156">
        <f t="shared" si="61"/>
        <v>2879</v>
      </c>
    </row>
    <row r="157" spans="1:49" x14ac:dyDescent="0.15">
      <c r="A157" s="5">
        <v>147</v>
      </c>
      <c r="B157" s="5">
        <f t="shared" si="46"/>
        <v>9000</v>
      </c>
      <c r="C157" s="5">
        <f t="shared" si="46"/>
        <v>2230</v>
      </c>
      <c r="D157" s="5">
        <f t="shared" si="46"/>
        <v>1480</v>
      </c>
      <c r="E157" s="5">
        <f t="shared" si="46"/>
        <v>447</v>
      </c>
      <c r="F157" s="5">
        <f t="shared" si="46"/>
        <v>596</v>
      </c>
      <c r="G157" s="5">
        <f t="shared" si="43"/>
        <v>23400</v>
      </c>
      <c r="H157" s="5">
        <f t="shared" si="43"/>
        <v>5798</v>
      </c>
      <c r="I157" s="5">
        <f t="shared" si="43"/>
        <v>3848</v>
      </c>
      <c r="J157" s="5">
        <f t="shared" si="43"/>
        <v>1162.2</v>
      </c>
      <c r="K157" s="5">
        <f t="shared" si="43"/>
        <v>1549.6000000000001</v>
      </c>
      <c r="L157" s="5">
        <f t="shared" si="44"/>
        <v>11700</v>
      </c>
      <c r="M157" s="5">
        <f t="shared" si="44"/>
        <v>2899</v>
      </c>
      <c r="N157" s="5">
        <f t="shared" si="44"/>
        <v>1924</v>
      </c>
      <c r="O157" s="5">
        <f t="shared" si="44"/>
        <v>581.1</v>
      </c>
      <c r="P157" s="5">
        <f t="shared" si="44"/>
        <v>774.80000000000007</v>
      </c>
      <c r="Q157" s="5">
        <f t="shared" si="45"/>
        <v>44100</v>
      </c>
      <c r="R157" s="5">
        <f t="shared" si="45"/>
        <v>10927</v>
      </c>
      <c r="S157" s="5">
        <f t="shared" si="45"/>
        <v>7252</v>
      </c>
      <c r="T157" s="5">
        <f t="shared" si="45"/>
        <v>2190.3000000000002</v>
      </c>
      <c r="U157" s="5">
        <f t="shared" si="45"/>
        <v>2920.4000000000005</v>
      </c>
      <c r="V157" s="5">
        <f>B157*战斗力计算!$B$8+C157*战斗力计算!$B$9+D157*战斗力计算!$B$10+E157*战斗力计算!$B$11+F157*战斗力计算!$B$12</f>
        <v>65440</v>
      </c>
      <c r="W157" s="5">
        <f>G157*战斗力计算!$B$8+H157*战斗力计算!$B$9+I157*战斗力计算!$B$10+J157*战斗力计算!$B$11+K157*战斗力计算!$B$12+L157*战斗力计算!$B$8+M157*战斗力计算!$B$9+N157*战斗力计算!$B$10+O157*战斗力计算!$B$11+P157*战斗力计算!$B$12</f>
        <v>255216</v>
      </c>
      <c r="X157" s="5">
        <f t="shared" si="47"/>
        <v>320656</v>
      </c>
      <c r="AC157">
        <f t="shared" si="48"/>
        <v>2.6</v>
      </c>
      <c r="AD157">
        <f t="shared" si="49"/>
        <v>1.3</v>
      </c>
      <c r="AF157">
        <f t="shared" si="50"/>
        <v>0.74999999999999989</v>
      </c>
      <c r="AH157">
        <f t="shared" si="51"/>
        <v>12</v>
      </c>
      <c r="AK157">
        <f t="shared" si="52"/>
        <v>6.0810810810810807</v>
      </c>
      <c r="AL157">
        <f t="shared" si="53"/>
        <v>1.5067567567567568</v>
      </c>
      <c r="AM157">
        <f t="shared" si="54"/>
        <v>1</v>
      </c>
      <c r="AN157">
        <f t="shared" si="55"/>
        <v>6.0810810810810807</v>
      </c>
      <c r="AO157">
        <f t="shared" si="56"/>
        <v>1.5067567567567568</v>
      </c>
      <c r="AP157">
        <f t="shared" si="57"/>
        <v>1</v>
      </c>
      <c r="AR157">
        <f t="shared" si="58"/>
        <v>4.4899328859060406</v>
      </c>
      <c r="AT157">
        <f t="shared" si="59"/>
        <v>4.4899328859060406</v>
      </c>
      <c r="AV157">
        <f t="shared" si="60"/>
        <v>1561</v>
      </c>
      <c r="AW157">
        <f t="shared" si="61"/>
        <v>2899</v>
      </c>
    </row>
    <row r="158" spans="1:49" x14ac:dyDescent="0.15">
      <c r="A158" s="5">
        <v>148</v>
      </c>
      <c r="B158" s="5">
        <f t="shared" si="46"/>
        <v>9060</v>
      </c>
      <c r="C158" s="5">
        <f t="shared" si="46"/>
        <v>2245</v>
      </c>
      <c r="D158" s="5">
        <f t="shared" si="46"/>
        <v>1490</v>
      </c>
      <c r="E158" s="5">
        <f t="shared" si="46"/>
        <v>450</v>
      </c>
      <c r="F158" s="5">
        <f t="shared" si="46"/>
        <v>600</v>
      </c>
      <c r="G158" s="5">
        <f t="shared" si="43"/>
        <v>23556</v>
      </c>
      <c r="H158" s="5">
        <f t="shared" si="43"/>
        <v>5837</v>
      </c>
      <c r="I158" s="5">
        <f t="shared" si="43"/>
        <v>3874</v>
      </c>
      <c r="J158" s="5">
        <f t="shared" si="43"/>
        <v>1170</v>
      </c>
      <c r="K158" s="5">
        <f t="shared" si="43"/>
        <v>1560</v>
      </c>
      <c r="L158" s="5">
        <f t="shared" si="44"/>
        <v>11778</v>
      </c>
      <c r="M158" s="5">
        <f t="shared" si="44"/>
        <v>2918.5</v>
      </c>
      <c r="N158" s="5">
        <f t="shared" si="44"/>
        <v>1937</v>
      </c>
      <c r="O158" s="5">
        <f t="shared" si="44"/>
        <v>585</v>
      </c>
      <c r="P158" s="5">
        <f t="shared" si="44"/>
        <v>780</v>
      </c>
      <c r="Q158" s="5">
        <f t="shared" si="45"/>
        <v>44394</v>
      </c>
      <c r="R158" s="5">
        <f t="shared" si="45"/>
        <v>11000.5</v>
      </c>
      <c r="S158" s="5">
        <f t="shared" si="45"/>
        <v>7301</v>
      </c>
      <c r="T158" s="5">
        <f t="shared" si="45"/>
        <v>2205</v>
      </c>
      <c r="U158" s="5">
        <f t="shared" si="45"/>
        <v>2940</v>
      </c>
      <c r="V158" s="5">
        <f>B158*战斗力计算!$B$8+C158*战斗力计算!$B$9+D158*战斗力计算!$B$10+E158*战斗力计算!$B$11+F158*战斗力计算!$B$12</f>
        <v>65880</v>
      </c>
      <c r="W158" s="5">
        <f>G158*战斗力计算!$B$8+H158*战斗力计算!$B$9+I158*战斗力计算!$B$10+J158*战斗力计算!$B$11+K158*战斗力计算!$B$12+L158*战斗力计算!$B$8+M158*战斗力计算!$B$9+N158*战斗力计算!$B$10+O158*战斗力计算!$B$11+P158*战斗力计算!$B$12</f>
        <v>256932</v>
      </c>
      <c r="X158" s="5">
        <f t="shared" si="47"/>
        <v>322812</v>
      </c>
      <c r="AC158">
        <f t="shared" si="48"/>
        <v>2.6</v>
      </c>
      <c r="AD158">
        <f t="shared" si="49"/>
        <v>1.3</v>
      </c>
      <c r="AF158">
        <f t="shared" si="50"/>
        <v>0.75</v>
      </c>
      <c r="AH158">
        <f t="shared" si="51"/>
        <v>12</v>
      </c>
      <c r="AK158">
        <f t="shared" si="52"/>
        <v>6.0805369127516782</v>
      </c>
      <c r="AL158">
        <f t="shared" si="53"/>
        <v>1.5067114093959733</v>
      </c>
      <c r="AM158">
        <f t="shared" si="54"/>
        <v>1</v>
      </c>
      <c r="AN158">
        <f t="shared" si="55"/>
        <v>6.0805369127516782</v>
      </c>
      <c r="AO158">
        <f t="shared" si="56"/>
        <v>1.5067114093959733</v>
      </c>
      <c r="AP158">
        <f t="shared" si="57"/>
        <v>1</v>
      </c>
      <c r="AR158">
        <f t="shared" si="58"/>
        <v>4.49</v>
      </c>
      <c r="AT158">
        <f t="shared" si="59"/>
        <v>4.49</v>
      </c>
      <c r="AV158">
        <f t="shared" si="60"/>
        <v>1571</v>
      </c>
      <c r="AW158">
        <f t="shared" si="61"/>
        <v>2918</v>
      </c>
    </row>
    <row r="159" spans="1:49" x14ac:dyDescent="0.15">
      <c r="A159" s="5">
        <v>149</v>
      </c>
      <c r="B159" s="5">
        <f t="shared" si="46"/>
        <v>9120</v>
      </c>
      <c r="C159" s="5">
        <f t="shared" si="46"/>
        <v>2260</v>
      </c>
      <c r="D159" s="5">
        <f t="shared" si="46"/>
        <v>1500</v>
      </c>
      <c r="E159" s="5">
        <f t="shared" si="46"/>
        <v>453</v>
      </c>
      <c r="F159" s="5">
        <f t="shared" si="46"/>
        <v>604</v>
      </c>
      <c r="G159" s="5">
        <f t="shared" si="43"/>
        <v>23712</v>
      </c>
      <c r="H159" s="5">
        <f t="shared" si="43"/>
        <v>5876</v>
      </c>
      <c r="I159" s="5">
        <f t="shared" si="43"/>
        <v>3900</v>
      </c>
      <c r="J159" s="5">
        <f t="shared" si="43"/>
        <v>1177.8</v>
      </c>
      <c r="K159" s="5">
        <f t="shared" si="43"/>
        <v>1570.4</v>
      </c>
      <c r="L159" s="5">
        <f t="shared" si="44"/>
        <v>11856</v>
      </c>
      <c r="M159" s="5">
        <f t="shared" si="44"/>
        <v>2938</v>
      </c>
      <c r="N159" s="5">
        <f t="shared" si="44"/>
        <v>1950</v>
      </c>
      <c r="O159" s="5">
        <f t="shared" si="44"/>
        <v>588.9</v>
      </c>
      <c r="P159" s="5">
        <f t="shared" si="44"/>
        <v>785.2</v>
      </c>
      <c r="Q159" s="5">
        <f t="shared" si="45"/>
        <v>44688</v>
      </c>
      <c r="R159" s="5">
        <f t="shared" si="45"/>
        <v>11074</v>
      </c>
      <c r="S159" s="5">
        <f t="shared" si="45"/>
        <v>7350</v>
      </c>
      <c r="T159" s="5">
        <f t="shared" si="45"/>
        <v>2219.6999999999998</v>
      </c>
      <c r="U159" s="5">
        <f t="shared" si="45"/>
        <v>2959.6000000000004</v>
      </c>
      <c r="V159" s="5">
        <f>B159*战斗力计算!$B$8+C159*战斗力计算!$B$9+D159*战斗力计算!$B$10+E159*战斗力计算!$B$11+F159*战斗力计算!$B$12</f>
        <v>66320</v>
      </c>
      <c r="W159" s="5">
        <f>G159*战斗力计算!$B$8+H159*战斗力计算!$B$9+I159*战斗力计算!$B$10+J159*战斗力计算!$B$11+K159*战斗力计算!$B$12+L159*战斗力计算!$B$8+M159*战斗力计算!$B$9+N159*战斗力计算!$B$10+O159*战斗力计算!$B$11+P159*战斗力计算!$B$12</f>
        <v>258648</v>
      </c>
      <c r="X159" s="5">
        <f t="shared" si="47"/>
        <v>324968</v>
      </c>
      <c r="AC159">
        <f t="shared" si="48"/>
        <v>2.6</v>
      </c>
      <c r="AD159">
        <f t="shared" si="49"/>
        <v>1.3</v>
      </c>
      <c r="AF159">
        <f t="shared" si="50"/>
        <v>0.74999999999999989</v>
      </c>
      <c r="AH159">
        <f t="shared" si="51"/>
        <v>12</v>
      </c>
      <c r="AK159">
        <f t="shared" si="52"/>
        <v>6.08</v>
      </c>
      <c r="AL159">
        <f t="shared" si="53"/>
        <v>1.5066666666666666</v>
      </c>
      <c r="AM159">
        <f t="shared" si="54"/>
        <v>1</v>
      </c>
      <c r="AN159">
        <f t="shared" si="55"/>
        <v>6.08</v>
      </c>
      <c r="AO159">
        <f t="shared" si="56"/>
        <v>1.5066666666666666</v>
      </c>
      <c r="AP159">
        <f t="shared" si="57"/>
        <v>1</v>
      </c>
      <c r="AR159">
        <f t="shared" si="58"/>
        <v>4.4900662251655632</v>
      </c>
      <c r="AT159">
        <f t="shared" si="59"/>
        <v>4.4900662251655632</v>
      </c>
      <c r="AV159">
        <f t="shared" si="60"/>
        <v>1582</v>
      </c>
      <c r="AW159">
        <f t="shared" si="61"/>
        <v>2938</v>
      </c>
    </row>
    <row r="160" spans="1:49" x14ac:dyDescent="0.15">
      <c r="A160" s="5">
        <v>150</v>
      </c>
      <c r="B160" s="5">
        <f t="shared" si="46"/>
        <v>9180</v>
      </c>
      <c r="C160" s="5">
        <f t="shared" si="46"/>
        <v>2275</v>
      </c>
      <c r="D160" s="5">
        <f t="shared" si="46"/>
        <v>1510</v>
      </c>
      <c r="E160" s="5">
        <f t="shared" si="46"/>
        <v>456</v>
      </c>
      <c r="F160" s="5">
        <f t="shared" si="46"/>
        <v>608</v>
      </c>
      <c r="G160" s="5">
        <f t="shared" si="43"/>
        <v>23868</v>
      </c>
      <c r="H160" s="5">
        <f t="shared" si="43"/>
        <v>5915</v>
      </c>
      <c r="I160" s="5">
        <f t="shared" si="43"/>
        <v>3926</v>
      </c>
      <c r="J160" s="5">
        <f t="shared" si="43"/>
        <v>1185.6000000000001</v>
      </c>
      <c r="K160" s="5">
        <f t="shared" si="43"/>
        <v>1580.8</v>
      </c>
      <c r="L160" s="5">
        <f t="shared" si="44"/>
        <v>11934</v>
      </c>
      <c r="M160" s="5">
        <f t="shared" si="44"/>
        <v>2957.5</v>
      </c>
      <c r="N160" s="5">
        <f t="shared" si="44"/>
        <v>1963</v>
      </c>
      <c r="O160" s="5">
        <f t="shared" si="44"/>
        <v>592.80000000000007</v>
      </c>
      <c r="P160" s="5">
        <f t="shared" si="44"/>
        <v>790.4</v>
      </c>
      <c r="Q160" s="5">
        <f t="shared" si="45"/>
        <v>44982</v>
      </c>
      <c r="R160" s="5">
        <f t="shared" si="45"/>
        <v>11147.5</v>
      </c>
      <c r="S160" s="5">
        <f t="shared" si="45"/>
        <v>7399</v>
      </c>
      <c r="T160" s="5">
        <f t="shared" si="45"/>
        <v>2234.4</v>
      </c>
      <c r="U160" s="5">
        <f t="shared" si="45"/>
        <v>2979.2000000000003</v>
      </c>
      <c r="V160" s="5">
        <f>B160*战斗力计算!$B$8+C160*战斗力计算!$B$9+D160*战斗力计算!$B$10+E160*战斗力计算!$B$11+F160*战斗力计算!$B$12</f>
        <v>66760</v>
      </c>
      <c r="W160" s="5">
        <f>G160*战斗力计算!$B$8+H160*战斗力计算!$B$9+I160*战斗力计算!$B$10+J160*战斗力计算!$B$11+K160*战斗力计算!$B$12+L160*战斗力计算!$B$8+M160*战斗力计算!$B$9+N160*战斗力计算!$B$10+O160*战斗力计算!$B$11+P160*战斗力计算!$B$12</f>
        <v>260364</v>
      </c>
      <c r="X160" s="5">
        <f t="shared" si="47"/>
        <v>327124</v>
      </c>
      <c r="AC160">
        <f t="shared" si="48"/>
        <v>2.6</v>
      </c>
      <c r="AD160">
        <f t="shared" si="49"/>
        <v>1.3</v>
      </c>
      <c r="AF160">
        <f t="shared" si="50"/>
        <v>0.75</v>
      </c>
      <c r="AH160">
        <f t="shared" si="51"/>
        <v>12</v>
      </c>
      <c r="AK160">
        <f t="shared" si="52"/>
        <v>6.0794701986754971</v>
      </c>
      <c r="AL160">
        <f t="shared" si="53"/>
        <v>1.5066225165562914</v>
      </c>
      <c r="AM160">
        <f t="shared" si="54"/>
        <v>1</v>
      </c>
      <c r="AN160">
        <f t="shared" si="55"/>
        <v>6.0794701986754971</v>
      </c>
      <c r="AO160">
        <f t="shared" si="56"/>
        <v>1.5066225165562914</v>
      </c>
      <c r="AP160">
        <f t="shared" si="57"/>
        <v>1</v>
      </c>
      <c r="AR160">
        <f t="shared" si="58"/>
        <v>4.4901315789473681</v>
      </c>
      <c r="AT160">
        <f t="shared" si="59"/>
        <v>4.4901315789473681</v>
      </c>
      <c r="AV160">
        <f t="shared" si="60"/>
        <v>1592</v>
      </c>
      <c r="AW160">
        <f t="shared" si="61"/>
        <v>2957</v>
      </c>
    </row>
    <row r="161" spans="1:49" x14ac:dyDescent="0.15">
      <c r="A161" s="5">
        <v>151</v>
      </c>
      <c r="B161" s="5">
        <f t="shared" si="46"/>
        <v>9240</v>
      </c>
      <c r="C161" s="5">
        <f t="shared" si="46"/>
        <v>2290</v>
      </c>
      <c r="D161" s="5">
        <f t="shared" si="46"/>
        <v>1520</v>
      </c>
      <c r="E161" s="5">
        <f t="shared" si="46"/>
        <v>459</v>
      </c>
      <c r="F161" s="5">
        <f t="shared" si="46"/>
        <v>612</v>
      </c>
      <c r="G161" s="5">
        <f t="shared" si="43"/>
        <v>24024</v>
      </c>
      <c r="H161" s="5">
        <f t="shared" si="43"/>
        <v>5954</v>
      </c>
      <c r="I161" s="5">
        <f t="shared" si="43"/>
        <v>3952</v>
      </c>
      <c r="J161" s="5">
        <f t="shared" si="43"/>
        <v>1193.4000000000001</v>
      </c>
      <c r="K161" s="5">
        <f t="shared" si="43"/>
        <v>1591.2</v>
      </c>
      <c r="L161" s="5">
        <f t="shared" si="44"/>
        <v>12012</v>
      </c>
      <c r="M161" s="5">
        <f t="shared" si="44"/>
        <v>2977</v>
      </c>
      <c r="N161" s="5">
        <f t="shared" si="44"/>
        <v>1976</v>
      </c>
      <c r="O161" s="5">
        <f t="shared" si="44"/>
        <v>596.70000000000005</v>
      </c>
      <c r="P161" s="5">
        <f t="shared" si="44"/>
        <v>795.6</v>
      </c>
      <c r="Q161" s="5">
        <f t="shared" ref="Q161:Q224" si="62">B161+G161+L161</f>
        <v>45276</v>
      </c>
      <c r="R161" s="5">
        <f t="shared" ref="R161:R224" si="63">C161+H161+M161</f>
        <v>11221</v>
      </c>
      <c r="S161" s="5">
        <f t="shared" ref="S161:S224" si="64">D161+I161+N161</f>
        <v>7448</v>
      </c>
      <c r="T161" s="5">
        <f t="shared" ref="T161:T224" si="65">E161+J161+O161</f>
        <v>2249.1000000000004</v>
      </c>
      <c r="U161" s="5">
        <f t="shared" ref="U161:U224" si="66">F161+K161+P161</f>
        <v>2998.7999999999997</v>
      </c>
      <c r="V161" s="5">
        <f>B161*战斗力计算!$B$8+C161*战斗力计算!$B$9+D161*战斗力计算!$B$10+E161*战斗力计算!$B$11+F161*战斗力计算!$B$12</f>
        <v>67200</v>
      </c>
      <c r="W161" s="5">
        <f>G161*战斗力计算!$B$8+H161*战斗力计算!$B$9+I161*战斗力计算!$B$10+J161*战斗力计算!$B$11+K161*战斗力计算!$B$12+L161*战斗力计算!$B$8+M161*战斗力计算!$B$9+N161*战斗力计算!$B$10+O161*战斗力计算!$B$11+P161*战斗力计算!$B$12</f>
        <v>262080</v>
      </c>
      <c r="X161" s="5">
        <f t="shared" ref="X161:X224" si="67">V161+W161</f>
        <v>329280</v>
      </c>
      <c r="AC161">
        <f t="shared" si="48"/>
        <v>2.6</v>
      </c>
      <c r="AD161">
        <f t="shared" si="49"/>
        <v>1.3</v>
      </c>
      <c r="AF161">
        <f t="shared" si="50"/>
        <v>0.75000000000000022</v>
      </c>
      <c r="AH161">
        <f t="shared" si="51"/>
        <v>12</v>
      </c>
      <c r="AK161">
        <f t="shared" si="52"/>
        <v>6.0789473684210522</v>
      </c>
      <c r="AL161">
        <f t="shared" si="53"/>
        <v>1.506578947368421</v>
      </c>
      <c r="AM161">
        <f t="shared" si="54"/>
        <v>1</v>
      </c>
      <c r="AN161">
        <f t="shared" si="55"/>
        <v>6.0789473684210522</v>
      </c>
      <c r="AO161">
        <f t="shared" si="56"/>
        <v>1.506578947368421</v>
      </c>
      <c r="AP161">
        <f t="shared" si="57"/>
        <v>1</v>
      </c>
      <c r="AR161">
        <f t="shared" si="58"/>
        <v>4.4901960784313726</v>
      </c>
      <c r="AT161">
        <f t="shared" si="59"/>
        <v>4.4901960784313726</v>
      </c>
      <c r="AV161">
        <f t="shared" si="60"/>
        <v>1603</v>
      </c>
      <c r="AW161">
        <f t="shared" si="61"/>
        <v>2977</v>
      </c>
    </row>
    <row r="162" spans="1:49" x14ac:dyDescent="0.15">
      <c r="A162" s="5">
        <v>152</v>
      </c>
      <c r="B162" s="5">
        <f t="shared" si="46"/>
        <v>9300</v>
      </c>
      <c r="C162" s="5">
        <f t="shared" si="46"/>
        <v>2305</v>
      </c>
      <c r="D162" s="5">
        <f t="shared" si="46"/>
        <v>1530</v>
      </c>
      <c r="E162" s="5">
        <f t="shared" si="46"/>
        <v>462</v>
      </c>
      <c r="F162" s="5">
        <f t="shared" si="46"/>
        <v>616</v>
      </c>
      <c r="G162" s="5">
        <f t="shared" si="43"/>
        <v>24180</v>
      </c>
      <c r="H162" s="5">
        <f t="shared" si="43"/>
        <v>5993</v>
      </c>
      <c r="I162" s="5">
        <f t="shared" si="43"/>
        <v>3978</v>
      </c>
      <c r="J162" s="5">
        <f t="shared" si="43"/>
        <v>1201.2</v>
      </c>
      <c r="K162" s="5">
        <f t="shared" si="43"/>
        <v>1601.6000000000001</v>
      </c>
      <c r="L162" s="5">
        <f t="shared" si="44"/>
        <v>12090</v>
      </c>
      <c r="M162" s="5">
        <f t="shared" si="44"/>
        <v>2996.5</v>
      </c>
      <c r="N162" s="5">
        <f t="shared" si="44"/>
        <v>1989</v>
      </c>
      <c r="O162" s="5">
        <f t="shared" si="44"/>
        <v>600.6</v>
      </c>
      <c r="P162" s="5">
        <f t="shared" si="44"/>
        <v>800.80000000000007</v>
      </c>
      <c r="Q162" s="5">
        <f t="shared" si="62"/>
        <v>45570</v>
      </c>
      <c r="R162" s="5">
        <f t="shared" si="63"/>
        <v>11294.5</v>
      </c>
      <c r="S162" s="5">
        <f t="shared" si="64"/>
        <v>7497</v>
      </c>
      <c r="T162" s="5">
        <f t="shared" si="65"/>
        <v>2263.8000000000002</v>
      </c>
      <c r="U162" s="5">
        <f t="shared" si="66"/>
        <v>3018.4000000000005</v>
      </c>
      <c r="V162" s="5">
        <f>B162*战斗力计算!$B$8+C162*战斗力计算!$B$9+D162*战斗力计算!$B$10+E162*战斗力计算!$B$11+F162*战斗力计算!$B$12</f>
        <v>67640</v>
      </c>
      <c r="W162" s="5">
        <f>G162*战斗力计算!$B$8+H162*战斗力计算!$B$9+I162*战斗力计算!$B$10+J162*战斗力计算!$B$11+K162*战斗力计算!$B$12+L162*战斗力计算!$B$8+M162*战斗力计算!$B$9+N162*战斗力计算!$B$10+O162*战斗力计算!$B$11+P162*战斗力计算!$B$12</f>
        <v>263796</v>
      </c>
      <c r="X162" s="5">
        <f t="shared" si="67"/>
        <v>331436</v>
      </c>
      <c r="AC162">
        <f t="shared" si="48"/>
        <v>2.6</v>
      </c>
      <c r="AD162">
        <f t="shared" si="49"/>
        <v>1.3</v>
      </c>
      <c r="AF162">
        <f t="shared" si="50"/>
        <v>0.74999999999999989</v>
      </c>
      <c r="AH162">
        <f t="shared" si="51"/>
        <v>12</v>
      </c>
      <c r="AK162">
        <f t="shared" si="52"/>
        <v>6.0784313725490193</v>
      </c>
      <c r="AL162">
        <f t="shared" si="53"/>
        <v>1.5065359477124183</v>
      </c>
      <c r="AM162">
        <f t="shared" si="54"/>
        <v>1</v>
      </c>
      <c r="AN162">
        <f t="shared" si="55"/>
        <v>6.0784313725490193</v>
      </c>
      <c r="AO162">
        <f t="shared" si="56"/>
        <v>1.5065359477124183</v>
      </c>
      <c r="AP162">
        <f t="shared" si="57"/>
        <v>1</v>
      </c>
      <c r="AR162">
        <f t="shared" si="58"/>
        <v>4.4902597402597406</v>
      </c>
      <c r="AT162">
        <f t="shared" si="59"/>
        <v>4.4902597402597406</v>
      </c>
      <c r="AV162">
        <f t="shared" si="60"/>
        <v>1613</v>
      </c>
      <c r="AW162">
        <f t="shared" si="61"/>
        <v>2996</v>
      </c>
    </row>
    <row r="163" spans="1:49" x14ac:dyDescent="0.15">
      <c r="A163" s="5">
        <v>153</v>
      </c>
      <c r="B163" s="5">
        <f t="shared" si="46"/>
        <v>9360</v>
      </c>
      <c r="C163" s="5">
        <f t="shared" si="46"/>
        <v>2320</v>
      </c>
      <c r="D163" s="5">
        <f t="shared" si="46"/>
        <v>1540</v>
      </c>
      <c r="E163" s="5">
        <f t="shared" si="46"/>
        <v>465</v>
      </c>
      <c r="F163" s="5">
        <f t="shared" si="46"/>
        <v>620</v>
      </c>
      <c r="G163" s="5">
        <f t="shared" si="43"/>
        <v>24336</v>
      </c>
      <c r="H163" s="5">
        <f t="shared" si="43"/>
        <v>6032</v>
      </c>
      <c r="I163" s="5">
        <f t="shared" si="43"/>
        <v>4004</v>
      </c>
      <c r="J163" s="5">
        <f t="shared" si="43"/>
        <v>1209</v>
      </c>
      <c r="K163" s="5">
        <f t="shared" si="43"/>
        <v>1612</v>
      </c>
      <c r="L163" s="5">
        <f t="shared" si="44"/>
        <v>12168</v>
      </c>
      <c r="M163" s="5">
        <f t="shared" si="44"/>
        <v>3016</v>
      </c>
      <c r="N163" s="5">
        <f t="shared" si="44"/>
        <v>2002</v>
      </c>
      <c r="O163" s="5">
        <f t="shared" si="44"/>
        <v>604.5</v>
      </c>
      <c r="P163" s="5">
        <f t="shared" si="44"/>
        <v>806</v>
      </c>
      <c r="Q163" s="5">
        <f t="shared" si="62"/>
        <v>45864</v>
      </c>
      <c r="R163" s="5">
        <f t="shared" si="63"/>
        <v>11368</v>
      </c>
      <c r="S163" s="5">
        <f t="shared" si="64"/>
        <v>7546</v>
      </c>
      <c r="T163" s="5">
        <f t="shared" si="65"/>
        <v>2278.5</v>
      </c>
      <c r="U163" s="5">
        <f t="shared" si="66"/>
        <v>3038</v>
      </c>
      <c r="V163" s="5">
        <f>B163*战斗力计算!$B$8+C163*战斗力计算!$B$9+D163*战斗力计算!$B$10+E163*战斗力计算!$B$11+F163*战斗力计算!$B$12</f>
        <v>68080</v>
      </c>
      <c r="W163" s="5">
        <f>G163*战斗力计算!$B$8+H163*战斗力计算!$B$9+I163*战斗力计算!$B$10+J163*战斗力计算!$B$11+K163*战斗力计算!$B$12+L163*战斗力计算!$B$8+M163*战斗力计算!$B$9+N163*战斗力计算!$B$10+O163*战斗力计算!$B$11+P163*战斗力计算!$B$12</f>
        <v>265512</v>
      </c>
      <c r="X163" s="5">
        <f t="shared" si="67"/>
        <v>333592</v>
      </c>
      <c r="AC163">
        <f t="shared" si="48"/>
        <v>2.6</v>
      </c>
      <c r="AD163">
        <f t="shared" si="49"/>
        <v>1.3</v>
      </c>
      <c r="AF163">
        <f t="shared" si="50"/>
        <v>0.75</v>
      </c>
      <c r="AH163">
        <f t="shared" si="51"/>
        <v>12</v>
      </c>
      <c r="AK163">
        <f t="shared" si="52"/>
        <v>6.0779220779220777</v>
      </c>
      <c r="AL163">
        <f t="shared" si="53"/>
        <v>1.5064935064935066</v>
      </c>
      <c r="AM163">
        <f t="shared" si="54"/>
        <v>1</v>
      </c>
      <c r="AN163">
        <f t="shared" si="55"/>
        <v>6.0779220779220777</v>
      </c>
      <c r="AO163">
        <f t="shared" si="56"/>
        <v>1.5064935064935066</v>
      </c>
      <c r="AP163">
        <f t="shared" si="57"/>
        <v>1</v>
      </c>
      <c r="AR163">
        <f t="shared" si="58"/>
        <v>4.4903225806451612</v>
      </c>
      <c r="AT163">
        <f t="shared" si="59"/>
        <v>4.4903225806451612</v>
      </c>
      <c r="AV163">
        <f t="shared" si="60"/>
        <v>1624</v>
      </c>
      <c r="AW163">
        <f t="shared" si="61"/>
        <v>3016</v>
      </c>
    </row>
    <row r="164" spans="1:49" x14ac:dyDescent="0.15">
      <c r="A164" s="5">
        <v>154</v>
      </c>
      <c r="B164" s="5">
        <f t="shared" si="46"/>
        <v>9420</v>
      </c>
      <c r="C164" s="5">
        <f t="shared" si="46"/>
        <v>2335</v>
      </c>
      <c r="D164" s="5">
        <f t="shared" si="46"/>
        <v>1550</v>
      </c>
      <c r="E164" s="5">
        <f t="shared" si="46"/>
        <v>468</v>
      </c>
      <c r="F164" s="5">
        <f t="shared" si="46"/>
        <v>624</v>
      </c>
      <c r="G164" s="5">
        <f t="shared" si="43"/>
        <v>24492</v>
      </c>
      <c r="H164" s="5">
        <f t="shared" si="43"/>
        <v>6071</v>
      </c>
      <c r="I164" s="5">
        <f t="shared" si="43"/>
        <v>4030</v>
      </c>
      <c r="J164" s="5">
        <f t="shared" si="43"/>
        <v>1216.8</v>
      </c>
      <c r="K164" s="5">
        <f t="shared" si="43"/>
        <v>1622.4</v>
      </c>
      <c r="L164" s="5">
        <f t="shared" si="44"/>
        <v>12246</v>
      </c>
      <c r="M164" s="5">
        <f t="shared" si="44"/>
        <v>3035.5</v>
      </c>
      <c r="N164" s="5">
        <f t="shared" si="44"/>
        <v>2015</v>
      </c>
      <c r="O164" s="5">
        <f t="shared" si="44"/>
        <v>608.4</v>
      </c>
      <c r="P164" s="5">
        <f t="shared" si="44"/>
        <v>811.2</v>
      </c>
      <c r="Q164" s="5">
        <f t="shared" si="62"/>
        <v>46158</v>
      </c>
      <c r="R164" s="5">
        <f t="shared" si="63"/>
        <v>11441.5</v>
      </c>
      <c r="S164" s="5">
        <f t="shared" si="64"/>
        <v>7595</v>
      </c>
      <c r="T164" s="5">
        <f t="shared" si="65"/>
        <v>2293.1999999999998</v>
      </c>
      <c r="U164" s="5">
        <f t="shared" si="66"/>
        <v>3057.6000000000004</v>
      </c>
      <c r="V164" s="5">
        <f>B164*战斗力计算!$B$8+C164*战斗力计算!$B$9+D164*战斗力计算!$B$10+E164*战斗力计算!$B$11+F164*战斗力计算!$B$12</f>
        <v>68520</v>
      </c>
      <c r="W164" s="5">
        <f>G164*战斗力计算!$B$8+H164*战斗力计算!$B$9+I164*战斗力计算!$B$10+J164*战斗力计算!$B$11+K164*战斗力计算!$B$12+L164*战斗力计算!$B$8+M164*战斗力计算!$B$9+N164*战斗力计算!$B$10+O164*战斗力计算!$B$11+P164*战斗力计算!$B$12</f>
        <v>267228</v>
      </c>
      <c r="X164" s="5">
        <f t="shared" si="67"/>
        <v>335748</v>
      </c>
      <c r="AC164">
        <f t="shared" si="48"/>
        <v>2.6</v>
      </c>
      <c r="AD164">
        <f t="shared" si="49"/>
        <v>1.3</v>
      </c>
      <c r="AF164">
        <f t="shared" si="50"/>
        <v>0.74999999999999989</v>
      </c>
      <c r="AH164">
        <f t="shared" si="51"/>
        <v>12</v>
      </c>
      <c r="AK164">
        <f t="shared" si="52"/>
        <v>6.0774193548387094</v>
      </c>
      <c r="AL164">
        <f t="shared" si="53"/>
        <v>1.5064516129032257</v>
      </c>
      <c r="AM164">
        <f t="shared" si="54"/>
        <v>1</v>
      </c>
      <c r="AN164">
        <f t="shared" si="55"/>
        <v>6.0774193548387094</v>
      </c>
      <c r="AO164">
        <f t="shared" si="56"/>
        <v>1.5064516129032257</v>
      </c>
      <c r="AP164">
        <f t="shared" si="57"/>
        <v>1</v>
      </c>
      <c r="AR164">
        <f t="shared" si="58"/>
        <v>4.490384615384615</v>
      </c>
      <c r="AT164">
        <f t="shared" si="59"/>
        <v>4.490384615384615</v>
      </c>
      <c r="AV164">
        <f t="shared" si="60"/>
        <v>1634</v>
      </c>
      <c r="AW164">
        <f t="shared" si="61"/>
        <v>3035</v>
      </c>
    </row>
    <row r="165" spans="1:49" x14ac:dyDescent="0.15">
      <c r="A165" s="5">
        <v>155</v>
      </c>
      <c r="B165" s="5">
        <f t="shared" si="46"/>
        <v>9480</v>
      </c>
      <c r="C165" s="5">
        <f t="shared" si="46"/>
        <v>2350</v>
      </c>
      <c r="D165" s="5">
        <f t="shared" si="46"/>
        <v>1560</v>
      </c>
      <c r="E165" s="5">
        <f t="shared" si="46"/>
        <v>471</v>
      </c>
      <c r="F165" s="5">
        <f t="shared" si="46"/>
        <v>628</v>
      </c>
      <c r="G165" s="5">
        <f t="shared" si="43"/>
        <v>24648</v>
      </c>
      <c r="H165" s="5">
        <f t="shared" si="43"/>
        <v>6110</v>
      </c>
      <c r="I165" s="5">
        <f t="shared" si="43"/>
        <v>4056</v>
      </c>
      <c r="J165" s="5">
        <f t="shared" si="43"/>
        <v>1224.6000000000001</v>
      </c>
      <c r="K165" s="5">
        <f t="shared" si="43"/>
        <v>1632.8</v>
      </c>
      <c r="L165" s="5">
        <f t="shared" si="44"/>
        <v>12324</v>
      </c>
      <c r="M165" s="5">
        <f t="shared" si="44"/>
        <v>3055</v>
      </c>
      <c r="N165" s="5">
        <f t="shared" si="44"/>
        <v>2028</v>
      </c>
      <c r="O165" s="5">
        <f t="shared" si="44"/>
        <v>612.30000000000007</v>
      </c>
      <c r="P165" s="5">
        <f t="shared" si="44"/>
        <v>816.4</v>
      </c>
      <c r="Q165" s="5">
        <f t="shared" si="62"/>
        <v>46452</v>
      </c>
      <c r="R165" s="5">
        <f t="shared" si="63"/>
        <v>11515</v>
      </c>
      <c r="S165" s="5">
        <f t="shared" si="64"/>
        <v>7644</v>
      </c>
      <c r="T165" s="5">
        <f t="shared" si="65"/>
        <v>2307.9</v>
      </c>
      <c r="U165" s="5">
        <f t="shared" si="66"/>
        <v>3077.2000000000003</v>
      </c>
      <c r="V165" s="5">
        <f>B165*战斗力计算!$B$8+C165*战斗力计算!$B$9+D165*战斗力计算!$B$10+E165*战斗力计算!$B$11+F165*战斗力计算!$B$12</f>
        <v>68960</v>
      </c>
      <c r="W165" s="5">
        <f>G165*战斗力计算!$B$8+H165*战斗力计算!$B$9+I165*战斗力计算!$B$10+J165*战斗力计算!$B$11+K165*战斗力计算!$B$12+L165*战斗力计算!$B$8+M165*战斗力计算!$B$9+N165*战斗力计算!$B$10+O165*战斗力计算!$B$11+P165*战斗力计算!$B$12</f>
        <v>268944</v>
      </c>
      <c r="X165" s="5">
        <f t="shared" si="67"/>
        <v>337904</v>
      </c>
      <c r="AC165">
        <f t="shared" si="48"/>
        <v>2.6</v>
      </c>
      <c r="AD165">
        <f t="shared" si="49"/>
        <v>1.3</v>
      </c>
      <c r="AF165">
        <f t="shared" si="50"/>
        <v>0.75</v>
      </c>
      <c r="AH165">
        <f t="shared" si="51"/>
        <v>12</v>
      </c>
      <c r="AK165">
        <f t="shared" si="52"/>
        <v>6.0769230769230766</v>
      </c>
      <c r="AL165">
        <f t="shared" si="53"/>
        <v>1.5064102564102564</v>
      </c>
      <c r="AM165">
        <f t="shared" si="54"/>
        <v>1</v>
      </c>
      <c r="AN165">
        <f t="shared" si="55"/>
        <v>6.0769230769230766</v>
      </c>
      <c r="AO165">
        <f t="shared" si="56"/>
        <v>1.5064102564102564</v>
      </c>
      <c r="AP165">
        <f t="shared" si="57"/>
        <v>1</v>
      </c>
      <c r="AR165">
        <f t="shared" si="58"/>
        <v>4.4904458598726116</v>
      </c>
      <c r="AT165">
        <f t="shared" si="59"/>
        <v>4.4904458598726116</v>
      </c>
      <c r="AV165">
        <f t="shared" si="60"/>
        <v>1645</v>
      </c>
      <c r="AW165">
        <f t="shared" si="61"/>
        <v>3055</v>
      </c>
    </row>
    <row r="166" spans="1:49" x14ac:dyDescent="0.15">
      <c r="A166" s="5">
        <v>156</v>
      </c>
      <c r="B166" s="5">
        <f t="shared" si="46"/>
        <v>9540</v>
      </c>
      <c r="C166" s="5">
        <f t="shared" si="46"/>
        <v>2365</v>
      </c>
      <c r="D166" s="5">
        <f t="shared" si="46"/>
        <v>1570</v>
      </c>
      <c r="E166" s="5">
        <f t="shared" si="46"/>
        <v>474</v>
      </c>
      <c r="F166" s="5">
        <f t="shared" si="46"/>
        <v>632</v>
      </c>
      <c r="G166" s="5">
        <f t="shared" si="43"/>
        <v>24804</v>
      </c>
      <c r="H166" s="5">
        <f t="shared" si="43"/>
        <v>6149</v>
      </c>
      <c r="I166" s="5">
        <f t="shared" si="43"/>
        <v>4082</v>
      </c>
      <c r="J166" s="5">
        <f t="shared" si="43"/>
        <v>1232.4000000000001</v>
      </c>
      <c r="K166" s="5">
        <f t="shared" si="43"/>
        <v>1643.2</v>
      </c>
      <c r="L166" s="5">
        <f t="shared" si="44"/>
        <v>12402</v>
      </c>
      <c r="M166" s="5">
        <f t="shared" si="44"/>
        <v>3074.5</v>
      </c>
      <c r="N166" s="5">
        <f t="shared" si="44"/>
        <v>2041</v>
      </c>
      <c r="O166" s="5">
        <f t="shared" si="44"/>
        <v>616.20000000000005</v>
      </c>
      <c r="P166" s="5">
        <f t="shared" si="44"/>
        <v>821.6</v>
      </c>
      <c r="Q166" s="5">
        <f t="shared" si="62"/>
        <v>46746</v>
      </c>
      <c r="R166" s="5">
        <f t="shared" si="63"/>
        <v>11588.5</v>
      </c>
      <c r="S166" s="5">
        <f t="shared" si="64"/>
        <v>7693</v>
      </c>
      <c r="T166" s="5">
        <f t="shared" si="65"/>
        <v>2322.6000000000004</v>
      </c>
      <c r="U166" s="5">
        <f t="shared" si="66"/>
        <v>3096.7999999999997</v>
      </c>
      <c r="V166" s="5">
        <f>B166*战斗力计算!$B$8+C166*战斗力计算!$B$9+D166*战斗力计算!$B$10+E166*战斗力计算!$B$11+F166*战斗力计算!$B$12</f>
        <v>69400</v>
      </c>
      <c r="W166" s="5">
        <f>G166*战斗力计算!$B$8+H166*战斗力计算!$B$9+I166*战斗力计算!$B$10+J166*战斗力计算!$B$11+K166*战斗力计算!$B$12+L166*战斗力计算!$B$8+M166*战斗力计算!$B$9+N166*战斗力计算!$B$10+O166*战斗力计算!$B$11+P166*战斗力计算!$B$12</f>
        <v>270660</v>
      </c>
      <c r="X166" s="5">
        <f t="shared" si="67"/>
        <v>340060</v>
      </c>
      <c r="AC166">
        <f t="shared" si="48"/>
        <v>2.6</v>
      </c>
      <c r="AD166">
        <f t="shared" si="49"/>
        <v>1.3</v>
      </c>
      <c r="AF166">
        <f t="shared" si="50"/>
        <v>0.75000000000000022</v>
      </c>
      <c r="AH166">
        <f t="shared" si="51"/>
        <v>12</v>
      </c>
      <c r="AK166">
        <f t="shared" si="52"/>
        <v>6.0764331210191083</v>
      </c>
      <c r="AL166">
        <f t="shared" si="53"/>
        <v>1.5063694267515924</v>
      </c>
      <c r="AM166">
        <f t="shared" si="54"/>
        <v>1</v>
      </c>
      <c r="AN166">
        <f t="shared" si="55"/>
        <v>6.0764331210191083</v>
      </c>
      <c r="AO166">
        <f t="shared" si="56"/>
        <v>1.5063694267515924</v>
      </c>
      <c r="AP166">
        <f t="shared" si="57"/>
        <v>1</v>
      </c>
      <c r="AR166">
        <f t="shared" si="58"/>
        <v>4.4905063291139244</v>
      </c>
      <c r="AT166">
        <f t="shared" si="59"/>
        <v>4.4905063291139244</v>
      </c>
      <c r="AV166">
        <f t="shared" si="60"/>
        <v>1655</v>
      </c>
      <c r="AW166">
        <f t="shared" si="61"/>
        <v>3074</v>
      </c>
    </row>
    <row r="167" spans="1:49" x14ac:dyDescent="0.15">
      <c r="A167" s="5">
        <v>157</v>
      </c>
      <c r="B167" s="5">
        <f t="shared" si="46"/>
        <v>9600</v>
      </c>
      <c r="C167" s="5">
        <f t="shared" si="46"/>
        <v>2380</v>
      </c>
      <c r="D167" s="5">
        <f t="shared" si="46"/>
        <v>1580</v>
      </c>
      <c r="E167" s="5">
        <f t="shared" si="46"/>
        <v>477</v>
      </c>
      <c r="F167" s="5">
        <f t="shared" si="46"/>
        <v>636</v>
      </c>
      <c r="G167" s="5">
        <f t="shared" si="43"/>
        <v>24960</v>
      </c>
      <c r="H167" s="5">
        <f t="shared" si="43"/>
        <v>6188</v>
      </c>
      <c r="I167" s="5">
        <f t="shared" si="43"/>
        <v>4108</v>
      </c>
      <c r="J167" s="5">
        <f t="shared" si="43"/>
        <v>1240.2</v>
      </c>
      <c r="K167" s="5">
        <f t="shared" si="43"/>
        <v>1653.6000000000001</v>
      </c>
      <c r="L167" s="5">
        <f t="shared" si="44"/>
        <v>12480</v>
      </c>
      <c r="M167" s="5">
        <f t="shared" si="44"/>
        <v>3094</v>
      </c>
      <c r="N167" s="5">
        <f t="shared" si="44"/>
        <v>2054</v>
      </c>
      <c r="O167" s="5">
        <f t="shared" si="44"/>
        <v>620.1</v>
      </c>
      <c r="P167" s="5">
        <f t="shared" si="44"/>
        <v>826.80000000000007</v>
      </c>
      <c r="Q167" s="5">
        <f t="shared" si="62"/>
        <v>47040</v>
      </c>
      <c r="R167" s="5">
        <f t="shared" si="63"/>
        <v>11662</v>
      </c>
      <c r="S167" s="5">
        <f t="shared" si="64"/>
        <v>7742</v>
      </c>
      <c r="T167" s="5">
        <f t="shared" si="65"/>
        <v>2337.3000000000002</v>
      </c>
      <c r="U167" s="5">
        <f t="shared" si="66"/>
        <v>3116.4000000000005</v>
      </c>
      <c r="V167" s="5">
        <f>B167*战斗力计算!$B$8+C167*战斗力计算!$B$9+D167*战斗力计算!$B$10+E167*战斗力计算!$B$11+F167*战斗力计算!$B$12</f>
        <v>69840</v>
      </c>
      <c r="W167" s="5">
        <f>G167*战斗力计算!$B$8+H167*战斗力计算!$B$9+I167*战斗力计算!$B$10+J167*战斗力计算!$B$11+K167*战斗力计算!$B$12+L167*战斗力计算!$B$8+M167*战斗力计算!$B$9+N167*战斗力计算!$B$10+O167*战斗力计算!$B$11+P167*战斗力计算!$B$12</f>
        <v>272376</v>
      </c>
      <c r="X167" s="5">
        <f t="shared" si="67"/>
        <v>342216</v>
      </c>
      <c r="AC167">
        <f t="shared" si="48"/>
        <v>2.6</v>
      </c>
      <c r="AD167">
        <f t="shared" si="49"/>
        <v>1.3</v>
      </c>
      <c r="AF167">
        <f t="shared" si="50"/>
        <v>0.74999999999999989</v>
      </c>
      <c r="AH167">
        <f t="shared" si="51"/>
        <v>12</v>
      </c>
      <c r="AK167">
        <f t="shared" si="52"/>
        <v>6.075949367088608</v>
      </c>
      <c r="AL167">
        <f t="shared" si="53"/>
        <v>1.5063291139240507</v>
      </c>
      <c r="AM167">
        <f t="shared" si="54"/>
        <v>1</v>
      </c>
      <c r="AN167">
        <f t="shared" si="55"/>
        <v>6.075949367088608</v>
      </c>
      <c r="AO167">
        <f t="shared" si="56"/>
        <v>1.5063291139240507</v>
      </c>
      <c r="AP167">
        <f t="shared" si="57"/>
        <v>1</v>
      </c>
      <c r="AR167">
        <f t="shared" si="58"/>
        <v>4.4905660377358494</v>
      </c>
      <c r="AT167">
        <f t="shared" si="59"/>
        <v>4.4905660377358494</v>
      </c>
      <c r="AV167">
        <f t="shared" si="60"/>
        <v>1666</v>
      </c>
      <c r="AW167">
        <f t="shared" si="61"/>
        <v>3094</v>
      </c>
    </row>
    <row r="168" spans="1:49" x14ac:dyDescent="0.15">
      <c r="A168" s="5">
        <v>158</v>
      </c>
      <c r="B168" s="5">
        <f t="shared" si="46"/>
        <v>9660</v>
      </c>
      <c r="C168" s="5">
        <f t="shared" si="46"/>
        <v>2395</v>
      </c>
      <c r="D168" s="5">
        <f t="shared" si="46"/>
        <v>1590</v>
      </c>
      <c r="E168" s="5">
        <f t="shared" si="46"/>
        <v>480</v>
      </c>
      <c r="F168" s="5">
        <f t="shared" si="46"/>
        <v>640</v>
      </c>
      <c r="G168" s="5">
        <f t="shared" si="43"/>
        <v>25116</v>
      </c>
      <c r="H168" s="5">
        <f t="shared" si="43"/>
        <v>6227</v>
      </c>
      <c r="I168" s="5">
        <f t="shared" si="43"/>
        <v>4134</v>
      </c>
      <c r="J168" s="5">
        <f t="shared" si="43"/>
        <v>1248</v>
      </c>
      <c r="K168" s="5">
        <f t="shared" si="43"/>
        <v>1664</v>
      </c>
      <c r="L168" s="5">
        <f t="shared" si="44"/>
        <v>12558</v>
      </c>
      <c r="M168" s="5">
        <f t="shared" si="44"/>
        <v>3113.5</v>
      </c>
      <c r="N168" s="5">
        <f t="shared" si="44"/>
        <v>2067</v>
      </c>
      <c r="O168" s="5">
        <f t="shared" si="44"/>
        <v>624</v>
      </c>
      <c r="P168" s="5">
        <f t="shared" si="44"/>
        <v>832</v>
      </c>
      <c r="Q168" s="5">
        <f t="shared" si="62"/>
        <v>47334</v>
      </c>
      <c r="R168" s="5">
        <f t="shared" si="63"/>
        <v>11735.5</v>
      </c>
      <c r="S168" s="5">
        <f t="shared" si="64"/>
        <v>7791</v>
      </c>
      <c r="T168" s="5">
        <f t="shared" si="65"/>
        <v>2352</v>
      </c>
      <c r="U168" s="5">
        <f t="shared" si="66"/>
        <v>3136</v>
      </c>
      <c r="V168" s="5">
        <f>B168*战斗力计算!$B$8+C168*战斗力计算!$B$9+D168*战斗力计算!$B$10+E168*战斗力计算!$B$11+F168*战斗力计算!$B$12</f>
        <v>70280</v>
      </c>
      <c r="W168" s="5">
        <f>G168*战斗力计算!$B$8+H168*战斗力计算!$B$9+I168*战斗力计算!$B$10+J168*战斗力计算!$B$11+K168*战斗力计算!$B$12+L168*战斗力计算!$B$8+M168*战斗力计算!$B$9+N168*战斗力计算!$B$10+O168*战斗力计算!$B$11+P168*战斗力计算!$B$12</f>
        <v>274092</v>
      </c>
      <c r="X168" s="5">
        <f t="shared" si="67"/>
        <v>344372</v>
      </c>
      <c r="AC168">
        <f t="shared" si="48"/>
        <v>2.6</v>
      </c>
      <c r="AD168">
        <f t="shared" si="49"/>
        <v>1.3</v>
      </c>
      <c r="AF168">
        <f t="shared" si="50"/>
        <v>0.75</v>
      </c>
      <c r="AH168">
        <f t="shared" si="51"/>
        <v>12</v>
      </c>
      <c r="AK168">
        <f t="shared" si="52"/>
        <v>6.0754716981132075</v>
      </c>
      <c r="AL168">
        <f t="shared" si="53"/>
        <v>1.5062893081761006</v>
      </c>
      <c r="AM168">
        <f t="shared" si="54"/>
        <v>1</v>
      </c>
      <c r="AN168">
        <f t="shared" si="55"/>
        <v>6.0754716981132075</v>
      </c>
      <c r="AO168">
        <f t="shared" si="56"/>
        <v>1.5062893081761006</v>
      </c>
      <c r="AP168">
        <f t="shared" si="57"/>
        <v>1</v>
      </c>
      <c r="AR168">
        <f t="shared" si="58"/>
        <v>4.4906249999999996</v>
      </c>
      <c r="AT168">
        <f t="shared" si="59"/>
        <v>4.4906249999999996</v>
      </c>
      <c r="AV168">
        <f t="shared" si="60"/>
        <v>1676</v>
      </c>
      <c r="AW168">
        <f t="shared" si="61"/>
        <v>3113</v>
      </c>
    </row>
    <row r="169" spans="1:49" x14ac:dyDescent="0.15">
      <c r="A169" s="5">
        <v>159</v>
      </c>
      <c r="B169" s="5">
        <f t="shared" si="46"/>
        <v>9720</v>
      </c>
      <c r="C169" s="5">
        <f t="shared" si="46"/>
        <v>2410</v>
      </c>
      <c r="D169" s="5">
        <f t="shared" si="46"/>
        <v>1600</v>
      </c>
      <c r="E169" s="5">
        <f t="shared" si="46"/>
        <v>483</v>
      </c>
      <c r="F169" s="5">
        <f t="shared" si="46"/>
        <v>644</v>
      </c>
      <c r="G169" s="5">
        <f t="shared" si="43"/>
        <v>25272</v>
      </c>
      <c r="H169" s="5">
        <f t="shared" si="43"/>
        <v>6266</v>
      </c>
      <c r="I169" s="5">
        <f t="shared" si="43"/>
        <v>4160</v>
      </c>
      <c r="J169" s="5">
        <f t="shared" si="43"/>
        <v>1255.8</v>
      </c>
      <c r="K169" s="5">
        <f t="shared" si="43"/>
        <v>1674.4</v>
      </c>
      <c r="L169" s="5">
        <f t="shared" si="44"/>
        <v>12636</v>
      </c>
      <c r="M169" s="5">
        <f t="shared" si="44"/>
        <v>3133</v>
      </c>
      <c r="N169" s="5">
        <f t="shared" si="44"/>
        <v>2080</v>
      </c>
      <c r="O169" s="5">
        <f t="shared" si="44"/>
        <v>627.9</v>
      </c>
      <c r="P169" s="5">
        <f t="shared" si="44"/>
        <v>837.2</v>
      </c>
      <c r="Q169" s="5">
        <f t="shared" si="62"/>
        <v>47628</v>
      </c>
      <c r="R169" s="5">
        <f t="shared" si="63"/>
        <v>11809</v>
      </c>
      <c r="S169" s="5">
        <f t="shared" si="64"/>
        <v>7840</v>
      </c>
      <c r="T169" s="5">
        <f t="shared" si="65"/>
        <v>2366.6999999999998</v>
      </c>
      <c r="U169" s="5">
        <f t="shared" si="66"/>
        <v>3155.6000000000004</v>
      </c>
      <c r="V169" s="5">
        <f>B169*战斗力计算!$B$8+C169*战斗力计算!$B$9+D169*战斗力计算!$B$10+E169*战斗力计算!$B$11+F169*战斗力计算!$B$12</f>
        <v>70720</v>
      </c>
      <c r="W169" s="5">
        <f>G169*战斗力计算!$B$8+H169*战斗力计算!$B$9+I169*战斗力计算!$B$10+J169*战斗力计算!$B$11+K169*战斗力计算!$B$12+L169*战斗力计算!$B$8+M169*战斗力计算!$B$9+N169*战斗力计算!$B$10+O169*战斗力计算!$B$11+P169*战斗力计算!$B$12</f>
        <v>275808</v>
      </c>
      <c r="X169" s="5">
        <f t="shared" si="67"/>
        <v>346528</v>
      </c>
      <c r="AC169">
        <f t="shared" si="48"/>
        <v>2.6</v>
      </c>
      <c r="AD169">
        <f t="shared" si="49"/>
        <v>1.3</v>
      </c>
      <c r="AF169">
        <f t="shared" si="50"/>
        <v>0.74999999999999989</v>
      </c>
      <c r="AH169">
        <f t="shared" si="51"/>
        <v>12</v>
      </c>
      <c r="AK169">
        <f t="shared" si="52"/>
        <v>6.0750000000000002</v>
      </c>
      <c r="AL169">
        <f t="shared" si="53"/>
        <v>1.5062500000000001</v>
      </c>
      <c r="AM169">
        <f t="shared" si="54"/>
        <v>1</v>
      </c>
      <c r="AN169">
        <f t="shared" si="55"/>
        <v>6.0750000000000002</v>
      </c>
      <c r="AO169">
        <f t="shared" si="56"/>
        <v>1.5062500000000001</v>
      </c>
      <c r="AP169">
        <f t="shared" si="57"/>
        <v>1</v>
      </c>
      <c r="AR169">
        <f t="shared" si="58"/>
        <v>4.4906832298136647</v>
      </c>
      <c r="AT169">
        <f t="shared" si="59"/>
        <v>4.4906832298136647</v>
      </c>
      <c r="AV169">
        <f t="shared" si="60"/>
        <v>1687</v>
      </c>
      <c r="AW169">
        <f t="shared" si="61"/>
        <v>3133</v>
      </c>
    </row>
    <row r="170" spans="1:49" x14ac:dyDescent="0.15">
      <c r="A170" s="5">
        <v>160</v>
      </c>
      <c r="B170" s="5">
        <f t="shared" si="46"/>
        <v>9780</v>
      </c>
      <c r="C170" s="5">
        <f t="shared" si="46"/>
        <v>2425</v>
      </c>
      <c r="D170" s="5">
        <f t="shared" si="46"/>
        <v>1610</v>
      </c>
      <c r="E170" s="5">
        <f t="shared" si="46"/>
        <v>486</v>
      </c>
      <c r="F170" s="5">
        <f t="shared" si="46"/>
        <v>648</v>
      </c>
      <c r="G170" s="5">
        <f t="shared" si="43"/>
        <v>25428</v>
      </c>
      <c r="H170" s="5">
        <f t="shared" si="43"/>
        <v>6305</v>
      </c>
      <c r="I170" s="5">
        <f t="shared" si="43"/>
        <v>4186</v>
      </c>
      <c r="J170" s="5">
        <f t="shared" si="43"/>
        <v>1263.6000000000001</v>
      </c>
      <c r="K170" s="5">
        <f t="shared" si="43"/>
        <v>1684.8</v>
      </c>
      <c r="L170" s="5">
        <f t="shared" si="44"/>
        <v>12714</v>
      </c>
      <c r="M170" s="5">
        <f t="shared" si="44"/>
        <v>3152.5</v>
      </c>
      <c r="N170" s="5">
        <f t="shared" si="44"/>
        <v>2093</v>
      </c>
      <c r="O170" s="5">
        <f t="shared" si="44"/>
        <v>631.80000000000007</v>
      </c>
      <c r="P170" s="5">
        <f t="shared" si="44"/>
        <v>842.4</v>
      </c>
      <c r="Q170" s="5">
        <f t="shared" si="62"/>
        <v>47922</v>
      </c>
      <c r="R170" s="5">
        <f t="shared" si="63"/>
        <v>11882.5</v>
      </c>
      <c r="S170" s="5">
        <f t="shared" si="64"/>
        <v>7889</v>
      </c>
      <c r="T170" s="5">
        <f t="shared" si="65"/>
        <v>2381.4</v>
      </c>
      <c r="U170" s="5">
        <f t="shared" si="66"/>
        <v>3175.2000000000003</v>
      </c>
      <c r="V170" s="5">
        <f>B170*战斗力计算!$B$8+C170*战斗力计算!$B$9+D170*战斗力计算!$B$10+E170*战斗力计算!$B$11+F170*战斗力计算!$B$12</f>
        <v>71160</v>
      </c>
      <c r="W170" s="5">
        <f>G170*战斗力计算!$B$8+H170*战斗力计算!$B$9+I170*战斗力计算!$B$10+J170*战斗力计算!$B$11+K170*战斗力计算!$B$12+L170*战斗力计算!$B$8+M170*战斗力计算!$B$9+N170*战斗力计算!$B$10+O170*战斗力计算!$B$11+P170*战斗力计算!$B$12</f>
        <v>277524</v>
      </c>
      <c r="X170" s="5">
        <f t="shared" si="67"/>
        <v>348684</v>
      </c>
      <c r="AC170">
        <f t="shared" si="48"/>
        <v>2.6</v>
      </c>
      <c r="AD170">
        <f t="shared" si="49"/>
        <v>1.3</v>
      </c>
      <c r="AF170">
        <f t="shared" si="50"/>
        <v>0.75</v>
      </c>
      <c r="AH170">
        <f t="shared" si="51"/>
        <v>12</v>
      </c>
      <c r="AK170">
        <f t="shared" si="52"/>
        <v>6.0745341614906829</v>
      </c>
      <c r="AL170">
        <f t="shared" si="53"/>
        <v>1.5062111801242235</v>
      </c>
      <c r="AM170">
        <f t="shared" si="54"/>
        <v>1</v>
      </c>
      <c r="AN170">
        <f t="shared" si="55"/>
        <v>6.0745341614906829</v>
      </c>
      <c r="AO170">
        <f t="shared" si="56"/>
        <v>1.5062111801242235</v>
      </c>
      <c r="AP170">
        <f t="shared" si="57"/>
        <v>1</v>
      </c>
      <c r="AR170">
        <f t="shared" si="58"/>
        <v>4.4907407407407405</v>
      </c>
      <c r="AT170">
        <f t="shared" si="59"/>
        <v>4.4907407407407405</v>
      </c>
      <c r="AV170">
        <f t="shared" si="60"/>
        <v>1697</v>
      </c>
      <c r="AW170">
        <f t="shared" si="61"/>
        <v>3152</v>
      </c>
    </row>
    <row r="171" spans="1:49" x14ac:dyDescent="0.15">
      <c r="A171" s="5">
        <v>161</v>
      </c>
      <c r="B171" s="5">
        <f t="shared" si="46"/>
        <v>9840</v>
      </c>
      <c r="C171" s="5">
        <f t="shared" si="46"/>
        <v>2440</v>
      </c>
      <c r="D171" s="5">
        <f t="shared" si="46"/>
        <v>1620</v>
      </c>
      <c r="E171" s="5">
        <f t="shared" si="46"/>
        <v>489</v>
      </c>
      <c r="F171" s="5">
        <f t="shared" si="46"/>
        <v>652</v>
      </c>
      <c r="G171" s="5">
        <f t="shared" si="43"/>
        <v>25584</v>
      </c>
      <c r="H171" s="5">
        <f t="shared" si="43"/>
        <v>6344</v>
      </c>
      <c r="I171" s="5">
        <f t="shared" si="43"/>
        <v>4212</v>
      </c>
      <c r="J171" s="5">
        <f t="shared" si="43"/>
        <v>1271.4000000000001</v>
      </c>
      <c r="K171" s="5">
        <f t="shared" si="43"/>
        <v>1695.2</v>
      </c>
      <c r="L171" s="5">
        <f t="shared" si="44"/>
        <v>12792</v>
      </c>
      <c r="M171" s="5">
        <f t="shared" si="44"/>
        <v>3172</v>
      </c>
      <c r="N171" s="5">
        <f t="shared" si="44"/>
        <v>2106</v>
      </c>
      <c r="O171" s="5">
        <f t="shared" si="44"/>
        <v>635.70000000000005</v>
      </c>
      <c r="P171" s="5">
        <f t="shared" si="44"/>
        <v>847.6</v>
      </c>
      <c r="Q171" s="5">
        <f t="shared" si="62"/>
        <v>48216</v>
      </c>
      <c r="R171" s="5">
        <f t="shared" si="63"/>
        <v>11956</v>
      </c>
      <c r="S171" s="5">
        <f t="shared" si="64"/>
        <v>7938</v>
      </c>
      <c r="T171" s="5">
        <f t="shared" si="65"/>
        <v>2396.1000000000004</v>
      </c>
      <c r="U171" s="5">
        <f t="shared" si="66"/>
        <v>3194.7999999999997</v>
      </c>
      <c r="V171" s="5">
        <f>B171*战斗力计算!$B$8+C171*战斗力计算!$B$9+D171*战斗力计算!$B$10+E171*战斗力计算!$B$11+F171*战斗力计算!$B$12</f>
        <v>71600</v>
      </c>
      <c r="W171" s="5">
        <f>G171*战斗力计算!$B$8+H171*战斗力计算!$B$9+I171*战斗力计算!$B$10+J171*战斗力计算!$B$11+K171*战斗力计算!$B$12+L171*战斗力计算!$B$8+M171*战斗力计算!$B$9+N171*战斗力计算!$B$10+O171*战斗力计算!$B$11+P171*战斗力计算!$B$12</f>
        <v>279240</v>
      </c>
      <c r="X171" s="5">
        <f t="shared" si="67"/>
        <v>350840</v>
      </c>
      <c r="AC171">
        <f t="shared" si="48"/>
        <v>2.6</v>
      </c>
      <c r="AD171">
        <f t="shared" si="49"/>
        <v>1.3</v>
      </c>
      <c r="AF171">
        <f t="shared" si="50"/>
        <v>0.75000000000000022</v>
      </c>
      <c r="AH171">
        <f t="shared" si="51"/>
        <v>12</v>
      </c>
      <c r="AK171">
        <f t="shared" si="52"/>
        <v>6.0740740740740744</v>
      </c>
      <c r="AL171">
        <f t="shared" si="53"/>
        <v>1.5061728395061729</v>
      </c>
      <c r="AM171">
        <f t="shared" si="54"/>
        <v>1</v>
      </c>
      <c r="AN171">
        <f t="shared" si="55"/>
        <v>6.0740740740740744</v>
      </c>
      <c r="AO171">
        <f t="shared" si="56"/>
        <v>1.5061728395061729</v>
      </c>
      <c r="AP171">
        <f t="shared" si="57"/>
        <v>1</v>
      </c>
      <c r="AR171">
        <f t="shared" si="58"/>
        <v>4.4907975460122698</v>
      </c>
      <c r="AT171">
        <f t="shared" si="59"/>
        <v>4.4907975460122698</v>
      </c>
      <c r="AV171">
        <f t="shared" si="60"/>
        <v>1708</v>
      </c>
      <c r="AW171">
        <f t="shared" si="61"/>
        <v>3172</v>
      </c>
    </row>
    <row r="172" spans="1:49" x14ac:dyDescent="0.15">
      <c r="A172" s="5">
        <v>162</v>
      </c>
      <c r="B172" s="5">
        <f t="shared" si="46"/>
        <v>9900</v>
      </c>
      <c r="C172" s="5">
        <f t="shared" si="46"/>
        <v>2455</v>
      </c>
      <c r="D172" s="5">
        <f t="shared" si="46"/>
        <v>1630</v>
      </c>
      <c r="E172" s="5">
        <f t="shared" si="46"/>
        <v>492</v>
      </c>
      <c r="F172" s="5">
        <f t="shared" si="46"/>
        <v>656</v>
      </c>
      <c r="G172" s="5">
        <f t="shared" si="43"/>
        <v>25740</v>
      </c>
      <c r="H172" s="5">
        <f t="shared" si="43"/>
        <v>6383</v>
      </c>
      <c r="I172" s="5">
        <f t="shared" si="43"/>
        <v>4238</v>
      </c>
      <c r="J172" s="5">
        <f t="shared" si="43"/>
        <v>1279.2</v>
      </c>
      <c r="K172" s="5">
        <f t="shared" si="43"/>
        <v>1705.6000000000001</v>
      </c>
      <c r="L172" s="5">
        <f t="shared" si="44"/>
        <v>12870</v>
      </c>
      <c r="M172" s="5">
        <f t="shared" si="44"/>
        <v>3191.5</v>
      </c>
      <c r="N172" s="5">
        <f t="shared" si="44"/>
        <v>2119</v>
      </c>
      <c r="O172" s="5">
        <f t="shared" si="44"/>
        <v>639.6</v>
      </c>
      <c r="P172" s="5">
        <f t="shared" si="44"/>
        <v>852.80000000000007</v>
      </c>
      <c r="Q172" s="5">
        <f t="shared" si="62"/>
        <v>48510</v>
      </c>
      <c r="R172" s="5">
        <f t="shared" si="63"/>
        <v>12029.5</v>
      </c>
      <c r="S172" s="5">
        <f t="shared" si="64"/>
        <v>7987</v>
      </c>
      <c r="T172" s="5">
        <f t="shared" si="65"/>
        <v>2410.8000000000002</v>
      </c>
      <c r="U172" s="5">
        <f t="shared" si="66"/>
        <v>3214.4000000000005</v>
      </c>
      <c r="V172" s="5">
        <f>B172*战斗力计算!$B$8+C172*战斗力计算!$B$9+D172*战斗力计算!$B$10+E172*战斗力计算!$B$11+F172*战斗力计算!$B$12</f>
        <v>72040</v>
      </c>
      <c r="W172" s="5">
        <f>G172*战斗力计算!$B$8+H172*战斗力计算!$B$9+I172*战斗力计算!$B$10+J172*战斗力计算!$B$11+K172*战斗力计算!$B$12+L172*战斗力计算!$B$8+M172*战斗力计算!$B$9+N172*战斗力计算!$B$10+O172*战斗力计算!$B$11+P172*战斗力计算!$B$12</f>
        <v>280956</v>
      </c>
      <c r="X172" s="5">
        <f t="shared" si="67"/>
        <v>352996</v>
      </c>
      <c r="AC172">
        <f t="shared" si="48"/>
        <v>2.6</v>
      </c>
      <c r="AD172">
        <f t="shared" si="49"/>
        <v>1.3</v>
      </c>
      <c r="AF172">
        <f t="shared" si="50"/>
        <v>0.74999999999999989</v>
      </c>
      <c r="AH172">
        <f t="shared" si="51"/>
        <v>12</v>
      </c>
      <c r="AK172">
        <f t="shared" si="52"/>
        <v>6.0736196319018401</v>
      </c>
      <c r="AL172">
        <f t="shared" si="53"/>
        <v>1.5061349693251533</v>
      </c>
      <c r="AM172">
        <f t="shared" si="54"/>
        <v>1</v>
      </c>
      <c r="AN172">
        <f t="shared" si="55"/>
        <v>6.0736196319018401</v>
      </c>
      <c r="AO172">
        <f t="shared" si="56"/>
        <v>1.5061349693251533</v>
      </c>
      <c r="AP172">
        <f t="shared" si="57"/>
        <v>1</v>
      </c>
      <c r="AR172">
        <f t="shared" si="58"/>
        <v>4.4908536585365857</v>
      </c>
      <c r="AT172">
        <f t="shared" si="59"/>
        <v>4.4908536585365857</v>
      </c>
      <c r="AV172">
        <f t="shared" si="60"/>
        <v>1718</v>
      </c>
      <c r="AW172">
        <f t="shared" si="61"/>
        <v>3191</v>
      </c>
    </row>
    <row r="173" spans="1:49" x14ac:dyDescent="0.15">
      <c r="A173" s="5">
        <v>163</v>
      </c>
      <c r="B173" s="5">
        <f t="shared" si="46"/>
        <v>9960</v>
      </c>
      <c r="C173" s="5">
        <f t="shared" si="46"/>
        <v>2470</v>
      </c>
      <c r="D173" s="5">
        <f t="shared" si="46"/>
        <v>1640</v>
      </c>
      <c r="E173" s="5">
        <f t="shared" si="46"/>
        <v>495</v>
      </c>
      <c r="F173" s="5">
        <f t="shared" si="46"/>
        <v>660</v>
      </c>
      <c r="G173" s="5">
        <f t="shared" si="43"/>
        <v>25896</v>
      </c>
      <c r="H173" s="5">
        <f t="shared" si="43"/>
        <v>6422</v>
      </c>
      <c r="I173" s="5">
        <f t="shared" si="43"/>
        <v>4264</v>
      </c>
      <c r="J173" s="5">
        <f t="shared" si="43"/>
        <v>1287</v>
      </c>
      <c r="K173" s="5">
        <f t="shared" si="43"/>
        <v>1716</v>
      </c>
      <c r="L173" s="5">
        <f t="shared" si="44"/>
        <v>12948</v>
      </c>
      <c r="M173" s="5">
        <f t="shared" si="44"/>
        <v>3211</v>
      </c>
      <c r="N173" s="5">
        <f t="shared" si="44"/>
        <v>2132</v>
      </c>
      <c r="O173" s="5">
        <f t="shared" si="44"/>
        <v>643.5</v>
      </c>
      <c r="P173" s="5">
        <f t="shared" si="44"/>
        <v>858</v>
      </c>
      <c r="Q173" s="5">
        <f t="shared" si="62"/>
        <v>48804</v>
      </c>
      <c r="R173" s="5">
        <f t="shared" si="63"/>
        <v>12103</v>
      </c>
      <c r="S173" s="5">
        <f t="shared" si="64"/>
        <v>8036</v>
      </c>
      <c r="T173" s="5">
        <f t="shared" si="65"/>
        <v>2425.5</v>
      </c>
      <c r="U173" s="5">
        <f t="shared" si="66"/>
        <v>3234</v>
      </c>
      <c r="V173" s="5">
        <f>B173*战斗力计算!$B$8+C173*战斗力计算!$B$9+D173*战斗力计算!$B$10+E173*战斗力计算!$B$11+F173*战斗力计算!$B$12</f>
        <v>72480</v>
      </c>
      <c r="W173" s="5">
        <f>G173*战斗力计算!$B$8+H173*战斗力计算!$B$9+I173*战斗力计算!$B$10+J173*战斗力计算!$B$11+K173*战斗力计算!$B$12+L173*战斗力计算!$B$8+M173*战斗力计算!$B$9+N173*战斗力计算!$B$10+O173*战斗力计算!$B$11+P173*战斗力计算!$B$12</f>
        <v>282672</v>
      </c>
      <c r="X173" s="5">
        <f t="shared" si="67"/>
        <v>355152</v>
      </c>
      <c r="AC173">
        <f t="shared" si="48"/>
        <v>2.6</v>
      </c>
      <c r="AD173">
        <f t="shared" si="49"/>
        <v>1.3</v>
      </c>
      <c r="AF173">
        <f t="shared" si="50"/>
        <v>0.75</v>
      </c>
      <c r="AH173">
        <f t="shared" si="51"/>
        <v>12</v>
      </c>
      <c r="AK173">
        <f t="shared" si="52"/>
        <v>6.0731707317073171</v>
      </c>
      <c r="AL173">
        <f t="shared" si="53"/>
        <v>1.5060975609756098</v>
      </c>
      <c r="AM173">
        <f t="shared" si="54"/>
        <v>1</v>
      </c>
      <c r="AN173">
        <f t="shared" si="55"/>
        <v>6.0731707317073171</v>
      </c>
      <c r="AO173">
        <f t="shared" si="56"/>
        <v>1.5060975609756098</v>
      </c>
      <c r="AP173">
        <f t="shared" si="57"/>
        <v>1</v>
      </c>
      <c r="AR173">
        <f t="shared" si="58"/>
        <v>4.4909090909090912</v>
      </c>
      <c r="AT173">
        <f t="shared" si="59"/>
        <v>4.4909090909090912</v>
      </c>
      <c r="AV173">
        <f t="shared" si="60"/>
        <v>1729</v>
      </c>
      <c r="AW173">
        <f t="shared" si="61"/>
        <v>3211</v>
      </c>
    </row>
    <row r="174" spans="1:49" x14ac:dyDescent="0.15">
      <c r="A174" s="5">
        <v>164</v>
      </c>
      <c r="B174" s="5">
        <f t="shared" si="46"/>
        <v>10020</v>
      </c>
      <c r="C174" s="5">
        <f t="shared" si="46"/>
        <v>2485</v>
      </c>
      <c r="D174" s="5">
        <f t="shared" si="46"/>
        <v>1650</v>
      </c>
      <c r="E174" s="5">
        <f t="shared" si="46"/>
        <v>498</v>
      </c>
      <c r="F174" s="5">
        <f t="shared" si="46"/>
        <v>664</v>
      </c>
      <c r="G174" s="5">
        <f t="shared" si="43"/>
        <v>26052</v>
      </c>
      <c r="H174" s="5">
        <f t="shared" si="43"/>
        <v>6461</v>
      </c>
      <c r="I174" s="5">
        <f t="shared" si="43"/>
        <v>4290</v>
      </c>
      <c r="J174" s="5">
        <f t="shared" si="43"/>
        <v>1294.8</v>
      </c>
      <c r="K174" s="5">
        <f t="shared" si="43"/>
        <v>1726.4</v>
      </c>
      <c r="L174" s="5">
        <f t="shared" si="44"/>
        <v>13026</v>
      </c>
      <c r="M174" s="5">
        <f t="shared" si="44"/>
        <v>3230.5</v>
      </c>
      <c r="N174" s="5">
        <f t="shared" si="44"/>
        <v>2145</v>
      </c>
      <c r="O174" s="5">
        <f t="shared" si="44"/>
        <v>647.4</v>
      </c>
      <c r="P174" s="5">
        <f t="shared" si="44"/>
        <v>863.2</v>
      </c>
      <c r="Q174" s="5">
        <f t="shared" si="62"/>
        <v>49098</v>
      </c>
      <c r="R174" s="5">
        <f t="shared" si="63"/>
        <v>12176.5</v>
      </c>
      <c r="S174" s="5">
        <f t="shared" si="64"/>
        <v>8085</v>
      </c>
      <c r="T174" s="5">
        <f t="shared" si="65"/>
        <v>2440.1999999999998</v>
      </c>
      <c r="U174" s="5">
        <f t="shared" si="66"/>
        <v>3253.6000000000004</v>
      </c>
      <c r="V174" s="5">
        <f>B174*战斗力计算!$B$8+C174*战斗力计算!$B$9+D174*战斗力计算!$B$10+E174*战斗力计算!$B$11+F174*战斗力计算!$B$12</f>
        <v>72920</v>
      </c>
      <c r="W174" s="5">
        <f>G174*战斗力计算!$B$8+H174*战斗力计算!$B$9+I174*战斗力计算!$B$10+J174*战斗力计算!$B$11+K174*战斗力计算!$B$12+L174*战斗力计算!$B$8+M174*战斗力计算!$B$9+N174*战斗力计算!$B$10+O174*战斗力计算!$B$11+P174*战斗力计算!$B$12</f>
        <v>284388</v>
      </c>
      <c r="X174" s="5">
        <f t="shared" si="67"/>
        <v>357308</v>
      </c>
      <c r="AC174">
        <f t="shared" si="48"/>
        <v>2.6</v>
      </c>
      <c r="AD174">
        <f t="shared" si="49"/>
        <v>1.3</v>
      </c>
      <c r="AF174">
        <f t="shared" si="50"/>
        <v>0.74999999999999989</v>
      </c>
      <c r="AH174">
        <f t="shared" si="51"/>
        <v>12</v>
      </c>
      <c r="AK174">
        <f t="shared" si="52"/>
        <v>6.0727272727272723</v>
      </c>
      <c r="AL174">
        <f t="shared" si="53"/>
        <v>1.5060606060606061</v>
      </c>
      <c r="AM174">
        <f t="shared" si="54"/>
        <v>1</v>
      </c>
      <c r="AN174">
        <f t="shared" si="55"/>
        <v>6.0727272727272723</v>
      </c>
      <c r="AO174">
        <f t="shared" si="56"/>
        <v>1.5060606060606061</v>
      </c>
      <c r="AP174">
        <f t="shared" si="57"/>
        <v>1</v>
      </c>
      <c r="AR174">
        <f t="shared" si="58"/>
        <v>4.4909638554216871</v>
      </c>
      <c r="AT174">
        <f t="shared" si="59"/>
        <v>4.4909638554216871</v>
      </c>
      <c r="AV174">
        <f t="shared" si="60"/>
        <v>1739</v>
      </c>
      <c r="AW174">
        <f t="shared" si="61"/>
        <v>3230</v>
      </c>
    </row>
    <row r="175" spans="1:49" x14ac:dyDescent="0.15">
      <c r="A175" s="5">
        <v>165</v>
      </c>
      <c r="B175" s="5">
        <f t="shared" si="46"/>
        <v>10080</v>
      </c>
      <c r="C175" s="5">
        <f t="shared" si="46"/>
        <v>2500</v>
      </c>
      <c r="D175" s="5">
        <f t="shared" si="46"/>
        <v>1660</v>
      </c>
      <c r="E175" s="5">
        <f t="shared" si="46"/>
        <v>501</v>
      </c>
      <c r="F175" s="5">
        <f t="shared" si="46"/>
        <v>668</v>
      </c>
      <c r="G175" s="5">
        <f t="shared" si="43"/>
        <v>26208</v>
      </c>
      <c r="H175" s="5">
        <f t="shared" si="43"/>
        <v>6500</v>
      </c>
      <c r="I175" s="5">
        <f t="shared" si="43"/>
        <v>4316</v>
      </c>
      <c r="J175" s="5">
        <f t="shared" si="43"/>
        <v>1302.6000000000001</v>
      </c>
      <c r="K175" s="5">
        <f t="shared" si="43"/>
        <v>1736.8</v>
      </c>
      <c r="L175" s="5">
        <f t="shared" si="44"/>
        <v>13104</v>
      </c>
      <c r="M175" s="5">
        <f t="shared" si="44"/>
        <v>3250</v>
      </c>
      <c r="N175" s="5">
        <f t="shared" si="44"/>
        <v>2158</v>
      </c>
      <c r="O175" s="5">
        <f t="shared" si="44"/>
        <v>651.30000000000007</v>
      </c>
      <c r="P175" s="5">
        <f t="shared" si="44"/>
        <v>868.4</v>
      </c>
      <c r="Q175" s="5">
        <f t="shared" si="62"/>
        <v>49392</v>
      </c>
      <c r="R175" s="5">
        <f t="shared" si="63"/>
        <v>12250</v>
      </c>
      <c r="S175" s="5">
        <f t="shared" si="64"/>
        <v>8134</v>
      </c>
      <c r="T175" s="5">
        <f t="shared" si="65"/>
        <v>2454.9</v>
      </c>
      <c r="U175" s="5">
        <f t="shared" si="66"/>
        <v>3273.2000000000003</v>
      </c>
      <c r="V175" s="5">
        <f>B175*战斗力计算!$B$8+C175*战斗力计算!$B$9+D175*战斗力计算!$B$10+E175*战斗力计算!$B$11+F175*战斗力计算!$B$12</f>
        <v>73360</v>
      </c>
      <c r="W175" s="5">
        <f>G175*战斗力计算!$B$8+H175*战斗力计算!$B$9+I175*战斗力计算!$B$10+J175*战斗力计算!$B$11+K175*战斗力计算!$B$12+L175*战斗力计算!$B$8+M175*战斗力计算!$B$9+N175*战斗力计算!$B$10+O175*战斗力计算!$B$11+P175*战斗力计算!$B$12</f>
        <v>286104</v>
      </c>
      <c r="X175" s="5">
        <f t="shared" si="67"/>
        <v>359464</v>
      </c>
      <c r="AC175">
        <f t="shared" si="48"/>
        <v>2.6</v>
      </c>
      <c r="AD175">
        <f t="shared" si="49"/>
        <v>1.3</v>
      </c>
      <c r="AF175">
        <f t="shared" si="50"/>
        <v>0.75</v>
      </c>
      <c r="AH175">
        <f t="shared" si="51"/>
        <v>12</v>
      </c>
      <c r="AK175">
        <f t="shared" si="52"/>
        <v>6.072289156626506</v>
      </c>
      <c r="AL175">
        <f t="shared" si="53"/>
        <v>1.5060240963855422</v>
      </c>
      <c r="AM175">
        <f t="shared" si="54"/>
        <v>1</v>
      </c>
      <c r="AN175">
        <f t="shared" si="55"/>
        <v>6.072289156626506</v>
      </c>
      <c r="AO175">
        <f t="shared" si="56"/>
        <v>1.5060240963855422</v>
      </c>
      <c r="AP175">
        <f t="shared" si="57"/>
        <v>1</v>
      </c>
      <c r="AR175">
        <f t="shared" si="58"/>
        <v>4.4910179640718564</v>
      </c>
      <c r="AT175">
        <f t="shared" si="59"/>
        <v>4.4910179640718564</v>
      </c>
      <c r="AV175">
        <f t="shared" si="60"/>
        <v>1750</v>
      </c>
      <c r="AW175">
        <f t="shared" si="61"/>
        <v>3250</v>
      </c>
    </row>
    <row r="176" spans="1:49" x14ac:dyDescent="0.15">
      <c r="A176" s="5">
        <v>166</v>
      </c>
      <c r="B176" s="5">
        <f t="shared" si="46"/>
        <v>10140</v>
      </c>
      <c r="C176" s="5">
        <f t="shared" si="46"/>
        <v>2515</v>
      </c>
      <c r="D176" s="5">
        <f t="shared" si="46"/>
        <v>1670</v>
      </c>
      <c r="E176" s="5">
        <f t="shared" si="46"/>
        <v>504</v>
      </c>
      <c r="F176" s="5">
        <f t="shared" si="46"/>
        <v>672</v>
      </c>
      <c r="G176" s="5">
        <f t="shared" si="43"/>
        <v>26364</v>
      </c>
      <c r="H176" s="5">
        <f t="shared" si="43"/>
        <v>6539</v>
      </c>
      <c r="I176" s="5">
        <f t="shared" si="43"/>
        <v>4342</v>
      </c>
      <c r="J176" s="5">
        <f t="shared" si="43"/>
        <v>1310.4000000000001</v>
      </c>
      <c r="K176" s="5">
        <f t="shared" si="43"/>
        <v>1747.2</v>
      </c>
      <c r="L176" s="5">
        <f t="shared" si="44"/>
        <v>13182</v>
      </c>
      <c r="M176" s="5">
        <f t="shared" si="44"/>
        <v>3269.5</v>
      </c>
      <c r="N176" s="5">
        <f t="shared" si="44"/>
        <v>2171</v>
      </c>
      <c r="O176" s="5">
        <f t="shared" si="44"/>
        <v>655.20000000000005</v>
      </c>
      <c r="P176" s="5">
        <f t="shared" si="44"/>
        <v>873.6</v>
      </c>
      <c r="Q176" s="5">
        <f t="shared" si="62"/>
        <v>49686</v>
      </c>
      <c r="R176" s="5">
        <f t="shared" si="63"/>
        <v>12323.5</v>
      </c>
      <c r="S176" s="5">
        <f t="shared" si="64"/>
        <v>8183</v>
      </c>
      <c r="T176" s="5">
        <f t="shared" si="65"/>
        <v>2469.6000000000004</v>
      </c>
      <c r="U176" s="5">
        <f t="shared" si="66"/>
        <v>3292.7999999999997</v>
      </c>
      <c r="V176" s="5">
        <f>B176*战斗力计算!$B$8+C176*战斗力计算!$B$9+D176*战斗力计算!$B$10+E176*战斗力计算!$B$11+F176*战斗力计算!$B$12</f>
        <v>73800</v>
      </c>
      <c r="W176" s="5">
        <f>G176*战斗力计算!$B$8+H176*战斗力计算!$B$9+I176*战斗力计算!$B$10+J176*战斗力计算!$B$11+K176*战斗力计算!$B$12+L176*战斗力计算!$B$8+M176*战斗力计算!$B$9+N176*战斗力计算!$B$10+O176*战斗力计算!$B$11+P176*战斗力计算!$B$12</f>
        <v>287820</v>
      </c>
      <c r="X176" s="5">
        <f t="shared" si="67"/>
        <v>361620</v>
      </c>
      <c r="AC176">
        <f t="shared" si="48"/>
        <v>2.6</v>
      </c>
      <c r="AD176">
        <f t="shared" si="49"/>
        <v>1.3</v>
      </c>
      <c r="AF176">
        <f t="shared" si="50"/>
        <v>0.75000000000000022</v>
      </c>
      <c r="AH176">
        <f t="shared" si="51"/>
        <v>12</v>
      </c>
      <c r="AK176">
        <f t="shared" si="52"/>
        <v>6.0718562874251498</v>
      </c>
      <c r="AL176">
        <f t="shared" si="53"/>
        <v>1.5059880239520957</v>
      </c>
      <c r="AM176">
        <f t="shared" si="54"/>
        <v>1</v>
      </c>
      <c r="AN176">
        <f t="shared" si="55"/>
        <v>6.0718562874251498</v>
      </c>
      <c r="AO176">
        <f t="shared" si="56"/>
        <v>1.5059880239520957</v>
      </c>
      <c r="AP176">
        <f t="shared" si="57"/>
        <v>1</v>
      </c>
      <c r="AR176">
        <f t="shared" si="58"/>
        <v>4.4910714285714288</v>
      </c>
      <c r="AT176">
        <f t="shared" si="59"/>
        <v>4.4910714285714288</v>
      </c>
      <c r="AV176">
        <f t="shared" si="60"/>
        <v>1760</v>
      </c>
      <c r="AW176">
        <f t="shared" si="61"/>
        <v>3269</v>
      </c>
    </row>
    <row r="177" spans="1:49" x14ac:dyDescent="0.15">
      <c r="A177" s="5">
        <v>167</v>
      </c>
      <c r="B177" s="5">
        <f t="shared" si="46"/>
        <v>10200</v>
      </c>
      <c r="C177" s="5">
        <f t="shared" si="46"/>
        <v>2530</v>
      </c>
      <c r="D177" s="5">
        <f t="shared" si="46"/>
        <v>1680</v>
      </c>
      <c r="E177" s="5">
        <f t="shared" si="46"/>
        <v>507</v>
      </c>
      <c r="F177" s="5">
        <f t="shared" si="46"/>
        <v>676</v>
      </c>
      <c r="G177" s="5">
        <f t="shared" ref="G177:K227" si="68">HLOOKUP(G$10,$B$10:$F$610,$A177+1,0)*$AC177</f>
        <v>26520</v>
      </c>
      <c r="H177" s="5">
        <f t="shared" si="68"/>
        <v>6578</v>
      </c>
      <c r="I177" s="5">
        <f t="shared" si="68"/>
        <v>4368</v>
      </c>
      <c r="J177" s="5">
        <f t="shared" si="68"/>
        <v>1318.2</v>
      </c>
      <c r="K177" s="5">
        <f t="shared" si="68"/>
        <v>1757.6000000000001</v>
      </c>
      <c r="L177" s="5">
        <f t="shared" ref="L177:P227" si="69">HLOOKUP(L$10,$B$10:$F$610,$A177+1,0)*$AD177</f>
        <v>13260</v>
      </c>
      <c r="M177" s="5">
        <f t="shared" si="69"/>
        <v>3289</v>
      </c>
      <c r="N177" s="5">
        <f t="shared" si="69"/>
        <v>2184</v>
      </c>
      <c r="O177" s="5">
        <f t="shared" si="69"/>
        <v>659.1</v>
      </c>
      <c r="P177" s="5">
        <f t="shared" si="69"/>
        <v>878.80000000000007</v>
      </c>
      <c r="Q177" s="5">
        <f t="shared" si="62"/>
        <v>49980</v>
      </c>
      <c r="R177" s="5">
        <f t="shared" si="63"/>
        <v>12397</v>
      </c>
      <c r="S177" s="5">
        <f t="shared" si="64"/>
        <v>8232</v>
      </c>
      <c r="T177" s="5">
        <f t="shared" si="65"/>
        <v>2484.3000000000002</v>
      </c>
      <c r="U177" s="5">
        <f t="shared" si="66"/>
        <v>3312.4000000000005</v>
      </c>
      <c r="V177" s="5">
        <f>B177*战斗力计算!$B$8+C177*战斗力计算!$B$9+D177*战斗力计算!$B$10+E177*战斗力计算!$B$11+F177*战斗力计算!$B$12</f>
        <v>74240</v>
      </c>
      <c r="W177" s="5">
        <f>G177*战斗力计算!$B$8+H177*战斗力计算!$B$9+I177*战斗力计算!$B$10+J177*战斗力计算!$B$11+K177*战斗力计算!$B$12+L177*战斗力计算!$B$8+M177*战斗力计算!$B$9+N177*战斗力计算!$B$10+O177*战斗力计算!$B$11+P177*战斗力计算!$B$12</f>
        <v>289536</v>
      </c>
      <c r="X177" s="5">
        <f t="shared" si="67"/>
        <v>363776</v>
      </c>
      <c r="AC177">
        <f t="shared" si="48"/>
        <v>2.6</v>
      </c>
      <c r="AD177">
        <f t="shared" si="49"/>
        <v>1.3</v>
      </c>
      <c r="AF177">
        <f t="shared" si="50"/>
        <v>0.74999999999999989</v>
      </c>
      <c r="AH177">
        <f t="shared" si="51"/>
        <v>12</v>
      </c>
      <c r="AK177">
        <f t="shared" si="52"/>
        <v>6.0714285714285712</v>
      </c>
      <c r="AL177">
        <f t="shared" si="53"/>
        <v>1.5059523809523809</v>
      </c>
      <c r="AM177">
        <f t="shared" si="54"/>
        <v>1</v>
      </c>
      <c r="AN177">
        <f t="shared" si="55"/>
        <v>6.0714285714285712</v>
      </c>
      <c r="AO177">
        <f t="shared" si="56"/>
        <v>1.5059523809523809</v>
      </c>
      <c r="AP177">
        <f t="shared" si="57"/>
        <v>1</v>
      </c>
      <c r="AR177">
        <f t="shared" si="58"/>
        <v>4.4911242603550292</v>
      </c>
      <c r="AT177">
        <f t="shared" si="59"/>
        <v>4.4911242603550292</v>
      </c>
      <c r="AV177">
        <f t="shared" si="60"/>
        <v>1771</v>
      </c>
      <c r="AW177">
        <f t="shared" si="61"/>
        <v>3289</v>
      </c>
    </row>
    <row r="178" spans="1:49" x14ac:dyDescent="0.15">
      <c r="A178" s="5">
        <v>168</v>
      </c>
      <c r="B178" s="5">
        <f t="shared" si="46"/>
        <v>10260</v>
      </c>
      <c r="C178" s="5">
        <f t="shared" si="46"/>
        <v>2545</v>
      </c>
      <c r="D178" s="5">
        <f t="shared" si="46"/>
        <v>1690</v>
      </c>
      <c r="E178" s="5">
        <f t="shared" si="46"/>
        <v>510</v>
      </c>
      <c r="F178" s="5">
        <f t="shared" si="46"/>
        <v>680</v>
      </c>
      <c r="G178" s="5">
        <f t="shared" si="68"/>
        <v>26676</v>
      </c>
      <c r="H178" s="5">
        <f t="shared" si="68"/>
        <v>6617</v>
      </c>
      <c r="I178" s="5">
        <f t="shared" si="68"/>
        <v>4394</v>
      </c>
      <c r="J178" s="5">
        <f t="shared" si="68"/>
        <v>1326</v>
      </c>
      <c r="K178" s="5">
        <f t="shared" si="68"/>
        <v>1768</v>
      </c>
      <c r="L178" s="5">
        <f t="shared" si="69"/>
        <v>13338</v>
      </c>
      <c r="M178" s="5">
        <f t="shared" si="69"/>
        <v>3308.5</v>
      </c>
      <c r="N178" s="5">
        <f t="shared" si="69"/>
        <v>2197</v>
      </c>
      <c r="O178" s="5">
        <f t="shared" si="69"/>
        <v>663</v>
      </c>
      <c r="P178" s="5">
        <f t="shared" si="69"/>
        <v>884</v>
      </c>
      <c r="Q178" s="5">
        <f t="shared" si="62"/>
        <v>50274</v>
      </c>
      <c r="R178" s="5">
        <f t="shared" si="63"/>
        <v>12470.5</v>
      </c>
      <c r="S178" s="5">
        <f t="shared" si="64"/>
        <v>8281</v>
      </c>
      <c r="T178" s="5">
        <f t="shared" si="65"/>
        <v>2499</v>
      </c>
      <c r="U178" s="5">
        <f t="shared" si="66"/>
        <v>3332</v>
      </c>
      <c r="V178" s="5">
        <f>B178*战斗力计算!$B$8+C178*战斗力计算!$B$9+D178*战斗力计算!$B$10+E178*战斗力计算!$B$11+F178*战斗力计算!$B$12</f>
        <v>74680</v>
      </c>
      <c r="W178" s="5">
        <f>G178*战斗力计算!$B$8+H178*战斗力计算!$B$9+I178*战斗力计算!$B$10+J178*战斗力计算!$B$11+K178*战斗力计算!$B$12+L178*战斗力计算!$B$8+M178*战斗力计算!$B$9+N178*战斗力计算!$B$10+O178*战斗力计算!$B$11+P178*战斗力计算!$B$12</f>
        <v>291252</v>
      </c>
      <c r="X178" s="5">
        <f t="shared" si="67"/>
        <v>365932</v>
      </c>
      <c r="AC178">
        <f t="shared" si="48"/>
        <v>2.6</v>
      </c>
      <c r="AD178">
        <f t="shared" si="49"/>
        <v>1.3</v>
      </c>
      <c r="AF178">
        <f t="shared" si="50"/>
        <v>0.75</v>
      </c>
      <c r="AH178">
        <f t="shared" si="51"/>
        <v>12</v>
      </c>
      <c r="AK178">
        <f t="shared" si="52"/>
        <v>6.0710059171597637</v>
      </c>
      <c r="AL178">
        <f t="shared" si="53"/>
        <v>1.5059171597633136</v>
      </c>
      <c r="AM178">
        <f t="shared" si="54"/>
        <v>1</v>
      </c>
      <c r="AN178">
        <f t="shared" si="55"/>
        <v>6.0710059171597637</v>
      </c>
      <c r="AO178">
        <f t="shared" si="56"/>
        <v>1.5059171597633136</v>
      </c>
      <c r="AP178">
        <f t="shared" si="57"/>
        <v>1</v>
      </c>
      <c r="AR178">
        <f t="shared" si="58"/>
        <v>4.4911764705882353</v>
      </c>
      <c r="AT178">
        <f t="shared" si="59"/>
        <v>4.4911764705882353</v>
      </c>
      <c r="AV178">
        <f t="shared" si="60"/>
        <v>1781</v>
      </c>
      <c r="AW178">
        <f t="shared" si="61"/>
        <v>3308</v>
      </c>
    </row>
    <row r="179" spans="1:49" x14ac:dyDescent="0.15">
      <c r="A179" s="5">
        <v>169</v>
      </c>
      <c r="B179" s="5">
        <f t="shared" si="46"/>
        <v>10320</v>
      </c>
      <c r="C179" s="5">
        <f t="shared" si="46"/>
        <v>2560</v>
      </c>
      <c r="D179" s="5">
        <f t="shared" si="46"/>
        <v>1700</v>
      </c>
      <c r="E179" s="5">
        <f t="shared" si="46"/>
        <v>513</v>
      </c>
      <c r="F179" s="5">
        <f t="shared" si="46"/>
        <v>684</v>
      </c>
      <c r="G179" s="5">
        <f t="shared" si="68"/>
        <v>26832</v>
      </c>
      <c r="H179" s="5">
        <f t="shared" si="68"/>
        <v>6656</v>
      </c>
      <c r="I179" s="5">
        <f t="shared" si="68"/>
        <v>4420</v>
      </c>
      <c r="J179" s="5">
        <f t="shared" si="68"/>
        <v>1333.8</v>
      </c>
      <c r="K179" s="5">
        <f t="shared" si="68"/>
        <v>1778.4</v>
      </c>
      <c r="L179" s="5">
        <f t="shared" si="69"/>
        <v>13416</v>
      </c>
      <c r="M179" s="5">
        <f t="shared" si="69"/>
        <v>3328</v>
      </c>
      <c r="N179" s="5">
        <f t="shared" si="69"/>
        <v>2210</v>
      </c>
      <c r="O179" s="5">
        <f t="shared" si="69"/>
        <v>666.9</v>
      </c>
      <c r="P179" s="5">
        <f t="shared" si="69"/>
        <v>889.2</v>
      </c>
      <c r="Q179" s="5">
        <f t="shared" si="62"/>
        <v>50568</v>
      </c>
      <c r="R179" s="5">
        <f t="shared" si="63"/>
        <v>12544</v>
      </c>
      <c r="S179" s="5">
        <f t="shared" si="64"/>
        <v>8330</v>
      </c>
      <c r="T179" s="5">
        <f t="shared" si="65"/>
        <v>2513.6999999999998</v>
      </c>
      <c r="U179" s="5">
        <f t="shared" si="66"/>
        <v>3351.6000000000004</v>
      </c>
      <c r="V179" s="5">
        <f>B179*战斗力计算!$B$8+C179*战斗力计算!$B$9+D179*战斗力计算!$B$10+E179*战斗力计算!$B$11+F179*战斗力计算!$B$12</f>
        <v>75120</v>
      </c>
      <c r="W179" s="5">
        <f>G179*战斗力计算!$B$8+H179*战斗力计算!$B$9+I179*战斗力计算!$B$10+J179*战斗力计算!$B$11+K179*战斗力计算!$B$12+L179*战斗力计算!$B$8+M179*战斗力计算!$B$9+N179*战斗力计算!$B$10+O179*战斗力计算!$B$11+P179*战斗力计算!$B$12</f>
        <v>292968</v>
      </c>
      <c r="X179" s="5">
        <f t="shared" si="67"/>
        <v>368088</v>
      </c>
      <c r="AC179">
        <f t="shared" si="48"/>
        <v>2.6</v>
      </c>
      <c r="AD179">
        <f t="shared" si="49"/>
        <v>1.3</v>
      </c>
      <c r="AF179">
        <f t="shared" si="50"/>
        <v>0.74999999999999989</v>
      </c>
      <c r="AH179">
        <f t="shared" si="51"/>
        <v>12</v>
      </c>
      <c r="AK179">
        <f t="shared" si="52"/>
        <v>6.0705882352941174</v>
      </c>
      <c r="AL179">
        <f t="shared" si="53"/>
        <v>1.5058823529411764</v>
      </c>
      <c r="AM179">
        <f t="shared" si="54"/>
        <v>1</v>
      </c>
      <c r="AN179">
        <f t="shared" si="55"/>
        <v>6.0705882352941174</v>
      </c>
      <c r="AO179">
        <f t="shared" si="56"/>
        <v>1.5058823529411764</v>
      </c>
      <c r="AP179">
        <f t="shared" si="57"/>
        <v>1</v>
      </c>
      <c r="AR179">
        <f t="shared" si="58"/>
        <v>4.4912280701754383</v>
      </c>
      <c r="AT179">
        <f t="shared" si="59"/>
        <v>4.4912280701754383</v>
      </c>
      <c r="AV179">
        <f t="shared" si="60"/>
        <v>1792</v>
      </c>
      <c r="AW179">
        <f t="shared" si="61"/>
        <v>3328</v>
      </c>
    </row>
    <row r="180" spans="1:49" x14ac:dyDescent="0.15">
      <c r="A180" s="5">
        <v>170</v>
      </c>
      <c r="B180" s="5">
        <f t="shared" si="46"/>
        <v>10380</v>
      </c>
      <c r="C180" s="5">
        <f t="shared" si="46"/>
        <v>2575</v>
      </c>
      <c r="D180" s="5">
        <f t="shared" si="46"/>
        <v>1710</v>
      </c>
      <c r="E180" s="5">
        <f t="shared" si="46"/>
        <v>516</v>
      </c>
      <c r="F180" s="5">
        <f t="shared" si="46"/>
        <v>688</v>
      </c>
      <c r="G180" s="5">
        <f t="shared" si="68"/>
        <v>26988</v>
      </c>
      <c r="H180" s="5">
        <f t="shared" si="68"/>
        <v>6695</v>
      </c>
      <c r="I180" s="5">
        <f t="shared" si="68"/>
        <v>4446</v>
      </c>
      <c r="J180" s="5">
        <f t="shared" si="68"/>
        <v>1341.6000000000001</v>
      </c>
      <c r="K180" s="5">
        <f t="shared" si="68"/>
        <v>1788.8</v>
      </c>
      <c r="L180" s="5">
        <f t="shared" si="69"/>
        <v>13494</v>
      </c>
      <c r="M180" s="5">
        <f t="shared" si="69"/>
        <v>3347.5</v>
      </c>
      <c r="N180" s="5">
        <f t="shared" si="69"/>
        <v>2223</v>
      </c>
      <c r="O180" s="5">
        <f t="shared" si="69"/>
        <v>670.80000000000007</v>
      </c>
      <c r="P180" s="5">
        <f t="shared" si="69"/>
        <v>894.4</v>
      </c>
      <c r="Q180" s="5">
        <f t="shared" si="62"/>
        <v>50862</v>
      </c>
      <c r="R180" s="5">
        <f t="shared" si="63"/>
        <v>12617.5</v>
      </c>
      <c r="S180" s="5">
        <f t="shared" si="64"/>
        <v>8379</v>
      </c>
      <c r="T180" s="5">
        <f t="shared" si="65"/>
        <v>2528.4</v>
      </c>
      <c r="U180" s="5">
        <f t="shared" si="66"/>
        <v>3371.2000000000003</v>
      </c>
      <c r="V180" s="5">
        <f>B180*战斗力计算!$B$8+C180*战斗力计算!$B$9+D180*战斗力计算!$B$10+E180*战斗力计算!$B$11+F180*战斗力计算!$B$12</f>
        <v>75560</v>
      </c>
      <c r="W180" s="5">
        <f>G180*战斗力计算!$B$8+H180*战斗力计算!$B$9+I180*战斗力计算!$B$10+J180*战斗力计算!$B$11+K180*战斗力计算!$B$12+L180*战斗力计算!$B$8+M180*战斗力计算!$B$9+N180*战斗力计算!$B$10+O180*战斗力计算!$B$11+P180*战斗力计算!$B$12</f>
        <v>294684</v>
      </c>
      <c r="X180" s="5">
        <f t="shared" si="67"/>
        <v>370244</v>
      </c>
      <c r="AC180">
        <f t="shared" si="48"/>
        <v>2.6</v>
      </c>
      <c r="AD180">
        <f t="shared" si="49"/>
        <v>1.3</v>
      </c>
      <c r="AF180">
        <f t="shared" si="50"/>
        <v>0.75</v>
      </c>
      <c r="AH180">
        <f t="shared" si="51"/>
        <v>12</v>
      </c>
      <c r="AK180">
        <f t="shared" si="52"/>
        <v>6.0701754385964914</v>
      </c>
      <c r="AL180">
        <f t="shared" si="53"/>
        <v>1.5058479532163742</v>
      </c>
      <c r="AM180">
        <f t="shared" si="54"/>
        <v>1</v>
      </c>
      <c r="AN180">
        <f t="shared" si="55"/>
        <v>6.0701754385964914</v>
      </c>
      <c r="AO180">
        <f t="shared" si="56"/>
        <v>1.5058479532163742</v>
      </c>
      <c r="AP180">
        <f t="shared" si="57"/>
        <v>1</v>
      </c>
      <c r="AR180">
        <f t="shared" si="58"/>
        <v>4.4912790697674421</v>
      </c>
      <c r="AT180">
        <f t="shared" si="59"/>
        <v>4.4912790697674421</v>
      </c>
      <c r="AV180">
        <f t="shared" si="60"/>
        <v>1802</v>
      </c>
      <c r="AW180">
        <f t="shared" si="61"/>
        <v>3347</v>
      </c>
    </row>
    <row r="181" spans="1:49" x14ac:dyDescent="0.15">
      <c r="A181" s="5">
        <v>171</v>
      </c>
      <c r="B181" s="5">
        <f t="shared" si="46"/>
        <v>10440</v>
      </c>
      <c r="C181" s="5">
        <f t="shared" si="46"/>
        <v>2590</v>
      </c>
      <c r="D181" s="5">
        <f t="shared" si="46"/>
        <v>1720</v>
      </c>
      <c r="E181" s="5">
        <f t="shared" si="46"/>
        <v>519</v>
      </c>
      <c r="F181" s="5">
        <f t="shared" si="46"/>
        <v>692</v>
      </c>
      <c r="G181" s="5">
        <f t="shared" si="68"/>
        <v>27144</v>
      </c>
      <c r="H181" s="5">
        <f t="shared" si="68"/>
        <v>6734</v>
      </c>
      <c r="I181" s="5">
        <f t="shared" si="68"/>
        <v>4472</v>
      </c>
      <c r="J181" s="5">
        <f t="shared" si="68"/>
        <v>1349.4</v>
      </c>
      <c r="K181" s="5">
        <f t="shared" si="68"/>
        <v>1799.2</v>
      </c>
      <c r="L181" s="5">
        <f t="shared" si="69"/>
        <v>13572</v>
      </c>
      <c r="M181" s="5">
        <f t="shared" si="69"/>
        <v>3367</v>
      </c>
      <c r="N181" s="5">
        <f t="shared" si="69"/>
        <v>2236</v>
      </c>
      <c r="O181" s="5">
        <f t="shared" si="69"/>
        <v>674.7</v>
      </c>
      <c r="P181" s="5">
        <f t="shared" si="69"/>
        <v>899.6</v>
      </c>
      <c r="Q181" s="5">
        <f t="shared" si="62"/>
        <v>51156</v>
      </c>
      <c r="R181" s="5">
        <f t="shared" si="63"/>
        <v>12691</v>
      </c>
      <c r="S181" s="5">
        <f t="shared" si="64"/>
        <v>8428</v>
      </c>
      <c r="T181" s="5">
        <f t="shared" si="65"/>
        <v>2543.1000000000004</v>
      </c>
      <c r="U181" s="5">
        <f t="shared" si="66"/>
        <v>3390.7999999999997</v>
      </c>
      <c r="V181" s="5">
        <f>B181*战斗力计算!$B$8+C181*战斗力计算!$B$9+D181*战斗力计算!$B$10+E181*战斗力计算!$B$11+F181*战斗力计算!$B$12</f>
        <v>76000</v>
      </c>
      <c r="W181" s="5">
        <f>G181*战斗力计算!$B$8+H181*战斗力计算!$B$9+I181*战斗力计算!$B$10+J181*战斗力计算!$B$11+K181*战斗力计算!$B$12+L181*战斗力计算!$B$8+M181*战斗力计算!$B$9+N181*战斗力计算!$B$10+O181*战斗力计算!$B$11+P181*战斗力计算!$B$12</f>
        <v>296400</v>
      </c>
      <c r="X181" s="5">
        <f t="shared" si="67"/>
        <v>372400</v>
      </c>
      <c r="AC181">
        <f t="shared" si="48"/>
        <v>2.6</v>
      </c>
      <c r="AD181">
        <f t="shared" si="49"/>
        <v>1.3</v>
      </c>
      <c r="AF181">
        <f t="shared" si="50"/>
        <v>0.75000000000000022</v>
      </c>
      <c r="AH181">
        <f t="shared" si="51"/>
        <v>12</v>
      </c>
      <c r="AK181">
        <f t="shared" si="52"/>
        <v>6.0697674418604652</v>
      </c>
      <c r="AL181">
        <f t="shared" si="53"/>
        <v>1.5058139534883721</v>
      </c>
      <c r="AM181">
        <f t="shared" si="54"/>
        <v>1</v>
      </c>
      <c r="AN181">
        <f t="shared" si="55"/>
        <v>6.0697674418604652</v>
      </c>
      <c r="AO181">
        <f t="shared" si="56"/>
        <v>1.5058139534883721</v>
      </c>
      <c r="AP181">
        <f t="shared" si="57"/>
        <v>1</v>
      </c>
      <c r="AR181">
        <f t="shared" si="58"/>
        <v>4.4913294797687859</v>
      </c>
      <c r="AT181">
        <f t="shared" si="59"/>
        <v>4.4913294797687859</v>
      </c>
      <c r="AV181">
        <f t="shared" si="60"/>
        <v>1813</v>
      </c>
      <c r="AW181">
        <f t="shared" si="61"/>
        <v>3367</v>
      </c>
    </row>
    <row r="182" spans="1:49" x14ac:dyDescent="0.15">
      <c r="A182" s="5">
        <v>172</v>
      </c>
      <c r="B182" s="5">
        <f t="shared" si="46"/>
        <v>10500</v>
      </c>
      <c r="C182" s="5">
        <f t="shared" si="46"/>
        <v>2605</v>
      </c>
      <c r="D182" s="5">
        <f t="shared" si="46"/>
        <v>1730</v>
      </c>
      <c r="E182" s="5">
        <f t="shared" si="46"/>
        <v>522</v>
      </c>
      <c r="F182" s="5">
        <f t="shared" si="46"/>
        <v>696</v>
      </c>
      <c r="G182" s="5">
        <f t="shared" si="68"/>
        <v>27300</v>
      </c>
      <c r="H182" s="5">
        <f t="shared" si="68"/>
        <v>6773</v>
      </c>
      <c r="I182" s="5">
        <f t="shared" si="68"/>
        <v>4498</v>
      </c>
      <c r="J182" s="5">
        <f t="shared" si="68"/>
        <v>1357.2</v>
      </c>
      <c r="K182" s="5">
        <f t="shared" si="68"/>
        <v>1809.6000000000001</v>
      </c>
      <c r="L182" s="5">
        <f t="shared" si="69"/>
        <v>13650</v>
      </c>
      <c r="M182" s="5">
        <f t="shared" si="69"/>
        <v>3386.5</v>
      </c>
      <c r="N182" s="5">
        <f t="shared" si="69"/>
        <v>2249</v>
      </c>
      <c r="O182" s="5">
        <f t="shared" si="69"/>
        <v>678.6</v>
      </c>
      <c r="P182" s="5">
        <f t="shared" si="69"/>
        <v>904.80000000000007</v>
      </c>
      <c r="Q182" s="5">
        <f t="shared" si="62"/>
        <v>51450</v>
      </c>
      <c r="R182" s="5">
        <f t="shared" si="63"/>
        <v>12764.5</v>
      </c>
      <c r="S182" s="5">
        <f t="shared" si="64"/>
        <v>8477</v>
      </c>
      <c r="T182" s="5">
        <f t="shared" si="65"/>
        <v>2557.8000000000002</v>
      </c>
      <c r="U182" s="5">
        <f t="shared" si="66"/>
        <v>3410.4000000000005</v>
      </c>
      <c r="V182" s="5">
        <f>B182*战斗力计算!$B$8+C182*战斗力计算!$B$9+D182*战斗力计算!$B$10+E182*战斗力计算!$B$11+F182*战斗力计算!$B$12</f>
        <v>76440</v>
      </c>
      <c r="W182" s="5">
        <f>G182*战斗力计算!$B$8+H182*战斗力计算!$B$9+I182*战斗力计算!$B$10+J182*战斗力计算!$B$11+K182*战斗力计算!$B$12+L182*战斗力计算!$B$8+M182*战斗力计算!$B$9+N182*战斗力计算!$B$10+O182*战斗力计算!$B$11+P182*战斗力计算!$B$12</f>
        <v>298116</v>
      </c>
      <c r="X182" s="5">
        <f t="shared" si="67"/>
        <v>374556</v>
      </c>
      <c r="AC182">
        <f t="shared" si="48"/>
        <v>2.6</v>
      </c>
      <c r="AD182">
        <f t="shared" si="49"/>
        <v>1.3</v>
      </c>
      <c r="AF182">
        <f t="shared" si="50"/>
        <v>0.74999999999999989</v>
      </c>
      <c r="AH182">
        <f t="shared" si="51"/>
        <v>12</v>
      </c>
      <c r="AK182">
        <f t="shared" si="52"/>
        <v>6.0693641618497107</v>
      </c>
      <c r="AL182">
        <f t="shared" si="53"/>
        <v>1.5057803468208093</v>
      </c>
      <c r="AM182">
        <f t="shared" si="54"/>
        <v>1</v>
      </c>
      <c r="AN182">
        <f t="shared" si="55"/>
        <v>6.0693641618497107</v>
      </c>
      <c r="AO182">
        <f t="shared" si="56"/>
        <v>1.5057803468208093</v>
      </c>
      <c r="AP182">
        <f t="shared" si="57"/>
        <v>1</v>
      </c>
      <c r="AR182">
        <f t="shared" si="58"/>
        <v>4.4913793103448274</v>
      </c>
      <c r="AT182">
        <f t="shared" si="59"/>
        <v>4.4913793103448274</v>
      </c>
      <c r="AV182">
        <f t="shared" si="60"/>
        <v>1823</v>
      </c>
      <c r="AW182">
        <f t="shared" si="61"/>
        <v>3386</v>
      </c>
    </row>
    <row r="183" spans="1:49" x14ac:dyDescent="0.15">
      <c r="A183" s="5">
        <v>173</v>
      </c>
      <c r="B183" s="5">
        <f t="shared" si="46"/>
        <v>10560</v>
      </c>
      <c r="C183" s="5">
        <f t="shared" si="46"/>
        <v>2620</v>
      </c>
      <c r="D183" s="5">
        <f t="shared" si="46"/>
        <v>1740</v>
      </c>
      <c r="E183" s="5">
        <f t="shared" si="46"/>
        <v>525</v>
      </c>
      <c r="F183" s="5">
        <f t="shared" si="46"/>
        <v>700</v>
      </c>
      <c r="G183" s="5">
        <f t="shared" si="68"/>
        <v>27456</v>
      </c>
      <c r="H183" s="5">
        <f t="shared" si="68"/>
        <v>6812</v>
      </c>
      <c r="I183" s="5">
        <f t="shared" si="68"/>
        <v>4524</v>
      </c>
      <c r="J183" s="5">
        <f t="shared" si="68"/>
        <v>1365</v>
      </c>
      <c r="K183" s="5">
        <f t="shared" si="68"/>
        <v>1820</v>
      </c>
      <c r="L183" s="5">
        <f t="shared" si="69"/>
        <v>13728</v>
      </c>
      <c r="M183" s="5">
        <f t="shared" si="69"/>
        <v>3406</v>
      </c>
      <c r="N183" s="5">
        <f t="shared" si="69"/>
        <v>2262</v>
      </c>
      <c r="O183" s="5">
        <f t="shared" si="69"/>
        <v>682.5</v>
      </c>
      <c r="P183" s="5">
        <f t="shared" si="69"/>
        <v>910</v>
      </c>
      <c r="Q183" s="5">
        <f t="shared" si="62"/>
        <v>51744</v>
      </c>
      <c r="R183" s="5">
        <f t="shared" si="63"/>
        <v>12838</v>
      </c>
      <c r="S183" s="5">
        <f t="shared" si="64"/>
        <v>8526</v>
      </c>
      <c r="T183" s="5">
        <f t="shared" si="65"/>
        <v>2572.5</v>
      </c>
      <c r="U183" s="5">
        <f t="shared" si="66"/>
        <v>3430</v>
      </c>
      <c r="V183" s="5">
        <f>B183*战斗力计算!$B$8+C183*战斗力计算!$B$9+D183*战斗力计算!$B$10+E183*战斗力计算!$B$11+F183*战斗力计算!$B$12</f>
        <v>76880</v>
      </c>
      <c r="W183" s="5">
        <f>G183*战斗力计算!$B$8+H183*战斗力计算!$B$9+I183*战斗力计算!$B$10+J183*战斗力计算!$B$11+K183*战斗力计算!$B$12+L183*战斗力计算!$B$8+M183*战斗力计算!$B$9+N183*战斗力计算!$B$10+O183*战斗力计算!$B$11+P183*战斗力计算!$B$12</f>
        <v>299832</v>
      </c>
      <c r="X183" s="5">
        <f t="shared" si="67"/>
        <v>376712</v>
      </c>
      <c r="AC183">
        <f t="shared" si="48"/>
        <v>2.6</v>
      </c>
      <c r="AD183">
        <f t="shared" si="49"/>
        <v>1.3</v>
      </c>
      <c r="AF183">
        <f t="shared" si="50"/>
        <v>0.75</v>
      </c>
      <c r="AH183">
        <f t="shared" si="51"/>
        <v>12</v>
      </c>
      <c r="AK183">
        <f t="shared" si="52"/>
        <v>6.068965517241379</v>
      </c>
      <c r="AL183">
        <f t="shared" si="53"/>
        <v>1.5057471264367817</v>
      </c>
      <c r="AM183">
        <f t="shared" si="54"/>
        <v>1</v>
      </c>
      <c r="AN183">
        <f t="shared" si="55"/>
        <v>6.068965517241379</v>
      </c>
      <c r="AO183">
        <f t="shared" si="56"/>
        <v>1.5057471264367817</v>
      </c>
      <c r="AP183">
        <f t="shared" si="57"/>
        <v>1</v>
      </c>
      <c r="AR183">
        <f t="shared" si="58"/>
        <v>4.4914285714285711</v>
      </c>
      <c r="AT183">
        <f t="shared" si="59"/>
        <v>4.4914285714285711</v>
      </c>
      <c r="AV183">
        <f t="shared" si="60"/>
        <v>1834</v>
      </c>
      <c r="AW183">
        <f t="shared" si="61"/>
        <v>3406</v>
      </c>
    </row>
    <row r="184" spans="1:49" x14ac:dyDescent="0.15">
      <c r="A184" s="5">
        <v>174</v>
      </c>
      <c r="B184" s="5">
        <f t="shared" si="46"/>
        <v>10620</v>
      </c>
      <c r="C184" s="5">
        <f t="shared" si="46"/>
        <v>2635</v>
      </c>
      <c r="D184" s="5">
        <f t="shared" si="46"/>
        <v>1750</v>
      </c>
      <c r="E184" s="5">
        <f t="shared" si="46"/>
        <v>528</v>
      </c>
      <c r="F184" s="5">
        <f t="shared" si="46"/>
        <v>704</v>
      </c>
      <c r="G184" s="5">
        <f t="shared" si="68"/>
        <v>27612</v>
      </c>
      <c r="H184" s="5">
        <f t="shared" si="68"/>
        <v>6851</v>
      </c>
      <c r="I184" s="5">
        <f t="shared" si="68"/>
        <v>4550</v>
      </c>
      <c r="J184" s="5">
        <f t="shared" si="68"/>
        <v>1372.8</v>
      </c>
      <c r="K184" s="5">
        <f t="shared" si="68"/>
        <v>1830.4</v>
      </c>
      <c r="L184" s="5">
        <f t="shared" si="69"/>
        <v>13806</v>
      </c>
      <c r="M184" s="5">
        <f t="shared" si="69"/>
        <v>3425.5</v>
      </c>
      <c r="N184" s="5">
        <f t="shared" si="69"/>
        <v>2275</v>
      </c>
      <c r="O184" s="5">
        <f t="shared" si="69"/>
        <v>686.4</v>
      </c>
      <c r="P184" s="5">
        <f t="shared" si="69"/>
        <v>915.2</v>
      </c>
      <c r="Q184" s="5">
        <f t="shared" si="62"/>
        <v>52038</v>
      </c>
      <c r="R184" s="5">
        <f t="shared" si="63"/>
        <v>12911.5</v>
      </c>
      <c r="S184" s="5">
        <f t="shared" si="64"/>
        <v>8575</v>
      </c>
      <c r="T184" s="5">
        <f t="shared" si="65"/>
        <v>2587.1999999999998</v>
      </c>
      <c r="U184" s="5">
        <f t="shared" si="66"/>
        <v>3449.6000000000004</v>
      </c>
      <c r="V184" s="5">
        <f>B184*战斗力计算!$B$8+C184*战斗力计算!$B$9+D184*战斗力计算!$B$10+E184*战斗力计算!$B$11+F184*战斗力计算!$B$12</f>
        <v>77320</v>
      </c>
      <c r="W184" s="5">
        <f>G184*战斗力计算!$B$8+H184*战斗力计算!$B$9+I184*战斗力计算!$B$10+J184*战斗力计算!$B$11+K184*战斗力计算!$B$12+L184*战斗力计算!$B$8+M184*战斗力计算!$B$9+N184*战斗力计算!$B$10+O184*战斗力计算!$B$11+P184*战斗力计算!$B$12</f>
        <v>301548</v>
      </c>
      <c r="X184" s="5">
        <f t="shared" si="67"/>
        <v>378868</v>
      </c>
      <c r="AC184">
        <f t="shared" si="48"/>
        <v>2.6</v>
      </c>
      <c r="AD184">
        <f t="shared" si="49"/>
        <v>1.3</v>
      </c>
      <c r="AF184">
        <f t="shared" si="50"/>
        <v>0.74999999999999989</v>
      </c>
      <c r="AH184">
        <f t="shared" si="51"/>
        <v>12</v>
      </c>
      <c r="AK184">
        <f t="shared" si="52"/>
        <v>6.0685714285714285</v>
      </c>
      <c r="AL184">
        <f t="shared" si="53"/>
        <v>1.5057142857142858</v>
      </c>
      <c r="AM184">
        <f t="shared" si="54"/>
        <v>1</v>
      </c>
      <c r="AN184">
        <f t="shared" si="55"/>
        <v>6.0685714285714285</v>
      </c>
      <c r="AO184">
        <f t="shared" si="56"/>
        <v>1.5057142857142858</v>
      </c>
      <c r="AP184">
        <f t="shared" si="57"/>
        <v>1</v>
      </c>
      <c r="AR184">
        <f t="shared" si="58"/>
        <v>4.4914772727272725</v>
      </c>
      <c r="AT184">
        <f t="shared" si="59"/>
        <v>4.4914772727272725</v>
      </c>
      <c r="AV184">
        <f t="shared" si="60"/>
        <v>1844</v>
      </c>
      <c r="AW184">
        <f t="shared" si="61"/>
        <v>3425</v>
      </c>
    </row>
    <row r="185" spans="1:49" x14ac:dyDescent="0.15">
      <c r="A185" s="5">
        <v>175</v>
      </c>
      <c r="B185" s="5">
        <f t="shared" si="46"/>
        <v>10680</v>
      </c>
      <c r="C185" s="5">
        <f t="shared" si="46"/>
        <v>2650</v>
      </c>
      <c r="D185" s="5">
        <f t="shared" si="46"/>
        <v>1760</v>
      </c>
      <c r="E185" s="5">
        <f t="shared" si="46"/>
        <v>531</v>
      </c>
      <c r="F185" s="5">
        <f t="shared" si="46"/>
        <v>708</v>
      </c>
      <c r="G185" s="5">
        <f t="shared" si="68"/>
        <v>27768</v>
      </c>
      <c r="H185" s="5">
        <f t="shared" si="68"/>
        <v>6890</v>
      </c>
      <c r="I185" s="5">
        <f t="shared" si="68"/>
        <v>4576</v>
      </c>
      <c r="J185" s="5">
        <f t="shared" si="68"/>
        <v>1380.6000000000001</v>
      </c>
      <c r="K185" s="5">
        <f t="shared" si="68"/>
        <v>1840.8</v>
      </c>
      <c r="L185" s="5">
        <f t="shared" si="69"/>
        <v>13884</v>
      </c>
      <c r="M185" s="5">
        <f t="shared" si="69"/>
        <v>3445</v>
      </c>
      <c r="N185" s="5">
        <f t="shared" si="69"/>
        <v>2288</v>
      </c>
      <c r="O185" s="5">
        <f t="shared" si="69"/>
        <v>690.30000000000007</v>
      </c>
      <c r="P185" s="5">
        <f t="shared" si="69"/>
        <v>920.4</v>
      </c>
      <c r="Q185" s="5">
        <f t="shared" si="62"/>
        <v>52332</v>
      </c>
      <c r="R185" s="5">
        <f t="shared" si="63"/>
        <v>12985</v>
      </c>
      <c r="S185" s="5">
        <f t="shared" si="64"/>
        <v>8624</v>
      </c>
      <c r="T185" s="5">
        <f t="shared" si="65"/>
        <v>2601.9</v>
      </c>
      <c r="U185" s="5">
        <f t="shared" si="66"/>
        <v>3469.2000000000003</v>
      </c>
      <c r="V185" s="5">
        <f>B185*战斗力计算!$B$8+C185*战斗力计算!$B$9+D185*战斗力计算!$B$10+E185*战斗力计算!$B$11+F185*战斗力计算!$B$12</f>
        <v>77760</v>
      </c>
      <c r="W185" s="5">
        <f>G185*战斗力计算!$B$8+H185*战斗力计算!$B$9+I185*战斗力计算!$B$10+J185*战斗力计算!$B$11+K185*战斗力计算!$B$12+L185*战斗力计算!$B$8+M185*战斗力计算!$B$9+N185*战斗力计算!$B$10+O185*战斗力计算!$B$11+P185*战斗力计算!$B$12</f>
        <v>303264</v>
      </c>
      <c r="X185" s="5">
        <f t="shared" si="67"/>
        <v>381024</v>
      </c>
      <c r="AC185">
        <f t="shared" si="48"/>
        <v>2.6</v>
      </c>
      <c r="AD185">
        <f t="shared" si="49"/>
        <v>1.3</v>
      </c>
      <c r="AF185">
        <f t="shared" si="50"/>
        <v>0.75</v>
      </c>
      <c r="AH185">
        <f t="shared" si="51"/>
        <v>12</v>
      </c>
      <c r="AK185">
        <f t="shared" si="52"/>
        <v>6.0681818181818183</v>
      </c>
      <c r="AL185">
        <f t="shared" si="53"/>
        <v>1.5056818181818181</v>
      </c>
      <c r="AM185">
        <f t="shared" si="54"/>
        <v>1</v>
      </c>
      <c r="AN185">
        <f t="shared" si="55"/>
        <v>6.0681818181818183</v>
      </c>
      <c r="AO185">
        <f t="shared" si="56"/>
        <v>1.5056818181818181</v>
      </c>
      <c r="AP185">
        <f t="shared" si="57"/>
        <v>1</v>
      </c>
      <c r="AR185">
        <f t="shared" si="58"/>
        <v>4.4915254237288131</v>
      </c>
      <c r="AT185">
        <f t="shared" si="59"/>
        <v>4.4915254237288131</v>
      </c>
      <c r="AV185">
        <f t="shared" si="60"/>
        <v>1855</v>
      </c>
      <c r="AW185">
        <f t="shared" si="61"/>
        <v>3445</v>
      </c>
    </row>
    <row r="186" spans="1:49" x14ac:dyDescent="0.15">
      <c r="A186" s="5">
        <v>176</v>
      </c>
      <c r="B186" s="5">
        <f t="shared" si="46"/>
        <v>10740</v>
      </c>
      <c r="C186" s="5">
        <f t="shared" si="46"/>
        <v>2665</v>
      </c>
      <c r="D186" s="5">
        <f t="shared" si="46"/>
        <v>1770</v>
      </c>
      <c r="E186" s="5">
        <f t="shared" si="46"/>
        <v>534</v>
      </c>
      <c r="F186" s="5">
        <f t="shared" si="46"/>
        <v>712</v>
      </c>
      <c r="G186" s="5">
        <f t="shared" si="68"/>
        <v>27924</v>
      </c>
      <c r="H186" s="5">
        <f t="shared" si="68"/>
        <v>6929</v>
      </c>
      <c r="I186" s="5">
        <f t="shared" si="68"/>
        <v>4602</v>
      </c>
      <c r="J186" s="5">
        <f t="shared" si="68"/>
        <v>1388.4</v>
      </c>
      <c r="K186" s="5">
        <f t="shared" si="68"/>
        <v>1851.2</v>
      </c>
      <c r="L186" s="5">
        <f t="shared" si="69"/>
        <v>13962</v>
      </c>
      <c r="M186" s="5">
        <f t="shared" si="69"/>
        <v>3464.5</v>
      </c>
      <c r="N186" s="5">
        <f t="shared" si="69"/>
        <v>2301</v>
      </c>
      <c r="O186" s="5">
        <f t="shared" si="69"/>
        <v>694.2</v>
      </c>
      <c r="P186" s="5">
        <f t="shared" si="69"/>
        <v>925.6</v>
      </c>
      <c r="Q186" s="5">
        <f t="shared" si="62"/>
        <v>52626</v>
      </c>
      <c r="R186" s="5">
        <f t="shared" si="63"/>
        <v>13058.5</v>
      </c>
      <c r="S186" s="5">
        <f t="shared" si="64"/>
        <v>8673</v>
      </c>
      <c r="T186" s="5">
        <f t="shared" si="65"/>
        <v>2616.6000000000004</v>
      </c>
      <c r="U186" s="5">
        <f t="shared" si="66"/>
        <v>3488.7999999999997</v>
      </c>
      <c r="V186" s="5">
        <f>B186*战斗力计算!$B$8+C186*战斗力计算!$B$9+D186*战斗力计算!$B$10+E186*战斗力计算!$B$11+F186*战斗力计算!$B$12</f>
        <v>78200</v>
      </c>
      <c r="W186" s="5">
        <f>G186*战斗力计算!$B$8+H186*战斗力计算!$B$9+I186*战斗力计算!$B$10+J186*战斗力计算!$B$11+K186*战斗力计算!$B$12+L186*战斗力计算!$B$8+M186*战斗力计算!$B$9+N186*战斗力计算!$B$10+O186*战斗力计算!$B$11+P186*战斗力计算!$B$12</f>
        <v>304980</v>
      </c>
      <c r="X186" s="5">
        <f t="shared" si="67"/>
        <v>383180</v>
      </c>
      <c r="AC186">
        <f t="shared" si="48"/>
        <v>2.6</v>
      </c>
      <c r="AD186">
        <f t="shared" si="49"/>
        <v>1.3</v>
      </c>
      <c r="AF186">
        <f t="shared" si="50"/>
        <v>0.75000000000000011</v>
      </c>
      <c r="AH186">
        <f t="shared" si="51"/>
        <v>12</v>
      </c>
      <c r="AK186">
        <f t="shared" si="52"/>
        <v>6.0677966101694913</v>
      </c>
      <c r="AL186">
        <f t="shared" si="53"/>
        <v>1.5056497175141244</v>
      </c>
      <c r="AM186">
        <f t="shared" si="54"/>
        <v>1</v>
      </c>
      <c r="AN186">
        <f t="shared" si="55"/>
        <v>6.0677966101694913</v>
      </c>
      <c r="AO186">
        <f t="shared" si="56"/>
        <v>1.5056497175141244</v>
      </c>
      <c r="AP186">
        <f t="shared" si="57"/>
        <v>1</v>
      </c>
      <c r="AR186">
        <f t="shared" si="58"/>
        <v>4.4915730337078648</v>
      </c>
      <c r="AT186">
        <f t="shared" si="59"/>
        <v>4.4915730337078648</v>
      </c>
      <c r="AV186">
        <f t="shared" si="60"/>
        <v>1865</v>
      </c>
      <c r="AW186">
        <f t="shared" si="61"/>
        <v>3464</v>
      </c>
    </row>
    <row r="187" spans="1:49" x14ac:dyDescent="0.15">
      <c r="A187" s="5">
        <v>177</v>
      </c>
      <c r="B187" s="5">
        <f t="shared" si="46"/>
        <v>10800</v>
      </c>
      <c r="C187" s="5">
        <f t="shared" si="46"/>
        <v>2680</v>
      </c>
      <c r="D187" s="5">
        <f t="shared" si="46"/>
        <v>1780</v>
      </c>
      <c r="E187" s="5">
        <f t="shared" si="46"/>
        <v>537</v>
      </c>
      <c r="F187" s="5">
        <f t="shared" ref="C187:F250" si="70">INT(VLOOKUP(F$10,$A$2:$C$7,2,0)+($A187-1)*VLOOKUP(F$10,$A$2:$C$7,3,0))</f>
        <v>716</v>
      </c>
      <c r="G187" s="5">
        <f t="shared" si="68"/>
        <v>28080</v>
      </c>
      <c r="H187" s="5">
        <f t="shared" si="68"/>
        <v>6968</v>
      </c>
      <c r="I187" s="5">
        <f t="shared" si="68"/>
        <v>4628</v>
      </c>
      <c r="J187" s="5">
        <f t="shared" si="68"/>
        <v>1396.2</v>
      </c>
      <c r="K187" s="5">
        <f t="shared" si="68"/>
        <v>1861.6000000000001</v>
      </c>
      <c r="L187" s="5">
        <f t="shared" si="69"/>
        <v>14040</v>
      </c>
      <c r="M187" s="5">
        <f t="shared" si="69"/>
        <v>3484</v>
      </c>
      <c r="N187" s="5">
        <f t="shared" si="69"/>
        <v>2314</v>
      </c>
      <c r="O187" s="5">
        <f t="shared" si="69"/>
        <v>698.1</v>
      </c>
      <c r="P187" s="5">
        <f t="shared" si="69"/>
        <v>930.80000000000007</v>
      </c>
      <c r="Q187" s="5">
        <f t="shared" si="62"/>
        <v>52920</v>
      </c>
      <c r="R187" s="5">
        <f t="shared" si="63"/>
        <v>13132</v>
      </c>
      <c r="S187" s="5">
        <f t="shared" si="64"/>
        <v>8722</v>
      </c>
      <c r="T187" s="5">
        <f t="shared" si="65"/>
        <v>2631.3</v>
      </c>
      <c r="U187" s="5">
        <f t="shared" si="66"/>
        <v>3508.4000000000005</v>
      </c>
      <c r="V187" s="5">
        <f>B187*战斗力计算!$B$8+C187*战斗力计算!$B$9+D187*战斗力计算!$B$10+E187*战斗力计算!$B$11+F187*战斗力计算!$B$12</f>
        <v>78640</v>
      </c>
      <c r="W187" s="5">
        <f>G187*战斗力计算!$B$8+H187*战斗力计算!$B$9+I187*战斗力计算!$B$10+J187*战斗力计算!$B$11+K187*战斗力计算!$B$12+L187*战斗力计算!$B$8+M187*战斗力计算!$B$9+N187*战斗力计算!$B$10+O187*战斗力计算!$B$11+P187*战斗力计算!$B$12</f>
        <v>306696</v>
      </c>
      <c r="X187" s="5">
        <f t="shared" si="67"/>
        <v>385336</v>
      </c>
      <c r="AC187">
        <f t="shared" si="48"/>
        <v>2.6</v>
      </c>
      <c r="AD187">
        <f t="shared" si="49"/>
        <v>1.3</v>
      </c>
      <c r="AF187">
        <f t="shared" si="50"/>
        <v>0.74999999999999989</v>
      </c>
      <c r="AH187">
        <f t="shared" si="51"/>
        <v>12</v>
      </c>
      <c r="AK187">
        <f t="shared" si="52"/>
        <v>6.0674157303370784</v>
      </c>
      <c r="AL187">
        <f t="shared" si="53"/>
        <v>1.5056179775280898</v>
      </c>
      <c r="AM187">
        <f t="shared" si="54"/>
        <v>1</v>
      </c>
      <c r="AN187">
        <f t="shared" si="55"/>
        <v>6.0674157303370784</v>
      </c>
      <c r="AO187">
        <f t="shared" si="56"/>
        <v>1.5056179775280898</v>
      </c>
      <c r="AP187">
        <f t="shared" si="57"/>
        <v>1</v>
      </c>
      <c r="AR187">
        <f t="shared" si="58"/>
        <v>4.4916201117318435</v>
      </c>
      <c r="AT187">
        <f t="shared" si="59"/>
        <v>4.4916201117318435</v>
      </c>
      <c r="AV187">
        <f t="shared" si="60"/>
        <v>1876</v>
      </c>
      <c r="AW187">
        <f t="shared" si="61"/>
        <v>3484</v>
      </c>
    </row>
    <row r="188" spans="1:49" x14ac:dyDescent="0.15">
      <c r="A188" s="5">
        <v>178</v>
      </c>
      <c r="B188" s="5">
        <f t="shared" si="46"/>
        <v>10860</v>
      </c>
      <c r="C188" s="5">
        <f t="shared" si="70"/>
        <v>2695</v>
      </c>
      <c r="D188" s="5">
        <f t="shared" si="70"/>
        <v>1790</v>
      </c>
      <c r="E188" s="5">
        <f t="shared" si="70"/>
        <v>540</v>
      </c>
      <c r="F188" s="5">
        <f t="shared" si="70"/>
        <v>720</v>
      </c>
      <c r="G188" s="5">
        <f t="shared" si="68"/>
        <v>28236</v>
      </c>
      <c r="H188" s="5">
        <f t="shared" si="68"/>
        <v>7007</v>
      </c>
      <c r="I188" s="5">
        <f t="shared" si="68"/>
        <v>4654</v>
      </c>
      <c r="J188" s="5">
        <f t="shared" si="68"/>
        <v>1404</v>
      </c>
      <c r="K188" s="5">
        <f t="shared" si="68"/>
        <v>1872</v>
      </c>
      <c r="L188" s="5">
        <f t="shared" si="69"/>
        <v>14118</v>
      </c>
      <c r="M188" s="5">
        <f t="shared" si="69"/>
        <v>3503.5</v>
      </c>
      <c r="N188" s="5">
        <f t="shared" si="69"/>
        <v>2327</v>
      </c>
      <c r="O188" s="5">
        <f t="shared" si="69"/>
        <v>702</v>
      </c>
      <c r="P188" s="5">
        <f t="shared" si="69"/>
        <v>936</v>
      </c>
      <c r="Q188" s="5">
        <f t="shared" si="62"/>
        <v>53214</v>
      </c>
      <c r="R188" s="5">
        <f t="shared" si="63"/>
        <v>13205.5</v>
      </c>
      <c r="S188" s="5">
        <f t="shared" si="64"/>
        <v>8771</v>
      </c>
      <c r="T188" s="5">
        <f t="shared" si="65"/>
        <v>2646</v>
      </c>
      <c r="U188" s="5">
        <f t="shared" si="66"/>
        <v>3528</v>
      </c>
      <c r="V188" s="5">
        <f>B188*战斗力计算!$B$8+C188*战斗力计算!$B$9+D188*战斗力计算!$B$10+E188*战斗力计算!$B$11+F188*战斗力计算!$B$12</f>
        <v>79080</v>
      </c>
      <c r="W188" s="5">
        <f>G188*战斗力计算!$B$8+H188*战斗力计算!$B$9+I188*战斗力计算!$B$10+J188*战斗力计算!$B$11+K188*战斗力计算!$B$12+L188*战斗力计算!$B$8+M188*战斗力计算!$B$9+N188*战斗力计算!$B$10+O188*战斗力计算!$B$11+P188*战斗力计算!$B$12</f>
        <v>308412</v>
      </c>
      <c r="X188" s="5">
        <f t="shared" si="67"/>
        <v>387492</v>
      </c>
      <c r="AC188">
        <f t="shared" si="48"/>
        <v>2.6</v>
      </c>
      <c r="AD188">
        <f t="shared" si="49"/>
        <v>1.3</v>
      </c>
      <c r="AF188">
        <f t="shared" si="50"/>
        <v>0.75</v>
      </c>
      <c r="AH188">
        <f t="shared" si="51"/>
        <v>12</v>
      </c>
      <c r="AK188">
        <f t="shared" si="52"/>
        <v>6.0670391061452511</v>
      </c>
      <c r="AL188">
        <f t="shared" si="53"/>
        <v>1.505586592178771</v>
      </c>
      <c r="AM188">
        <f t="shared" si="54"/>
        <v>1</v>
      </c>
      <c r="AN188">
        <f t="shared" si="55"/>
        <v>6.0670391061452511</v>
      </c>
      <c r="AO188">
        <f t="shared" si="56"/>
        <v>1.505586592178771</v>
      </c>
      <c r="AP188">
        <f t="shared" si="57"/>
        <v>1</v>
      </c>
      <c r="AR188">
        <f t="shared" si="58"/>
        <v>4.4916666666666663</v>
      </c>
      <c r="AT188">
        <f t="shared" si="59"/>
        <v>4.4916666666666663</v>
      </c>
      <c r="AV188">
        <f t="shared" si="60"/>
        <v>1886</v>
      </c>
      <c r="AW188">
        <f t="shared" si="61"/>
        <v>3503</v>
      </c>
    </row>
    <row r="189" spans="1:49" x14ac:dyDescent="0.15">
      <c r="A189" s="5">
        <v>179</v>
      </c>
      <c r="B189" s="5">
        <f t="shared" si="46"/>
        <v>10920</v>
      </c>
      <c r="C189" s="5">
        <f t="shared" si="70"/>
        <v>2710</v>
      </c>
      <c r="D189" s="5">
        <f t="shared" si="70"/>
        <v>1800</v>
      </c>
      <c r="E189" s="5">
        <f t="shared" si="70"/>
        <v>543</v>
      </c>
      <c r="F189" s="5">
        <f t="shared" si="70"/>
        <v>724</v>
      </c>
      <c r="G189" s="5">
        <f t="shared" si="68"/>
        <v>28392</v>
      </c>
      <c r="H189" s="5">
        <f t="shared" si="68"/>
        <v>7046</v>
      </c>
      <c r="I189" s="5">
        <f t="shared" si="68"/>
        <v>4680</v>
      </c>
      <c r="J189" s="5">
        <f t="shared" si="68"/>
        <v>1411.8</v>
      </c>
      <c r="K189" s="5">
        <f t="shared" si="68"/>
        <v>1882.4</v>
      </c>
      <c r="L189" s="5">
        <f t="shared" si="69"/>
        <v>14196</v>
      </c>
      <c r="M189" s="5">
        <f t="shared" si="69"/>
        <v>3523</v>
      </c>
      <c r="N189" s="5">
        <f t="shared" si="69"/>
        <v>2340</v>
      </c>
      <c r="O189" s="5">
        <f t="shared" si="69"/>
        <v>705.9</v>
      </c>
      <c r="P189" s="5">
        <f t="shared" si="69"/>
        <v>941.2</v>
      </c>
      <c r="Q189" s="5">
        <f t="shared" si="62"/>
        <v>53508</v>
      </c>
      <c r="R189" s="5">
        <f t="shared" si="63"/>
        <v>13279</v>
      </c>
      <c r="S189" s="5">
        <f t="shared" si="64"/>
        <v>8820</v>
      </c>
      <c r="T189" s="5">
        <f t="shared" si="65"/>
        <v>2660.7</v>
      </c>
      <c r="U189" s="5">
        <f t="shared" si="66"/>
        <v>3547.6000000000004</v>
      </c>
      <c r="V189" s="5">
        <f>B189*战斗力计算!$B$8+C189*战斗力计算!$B$9+D189*战斗力计算!$B$10+E189*战斗力计算!$B$11+F189*战斗力计算!$B$12</f>
        <v>79520</v>
      </c>
      <c r="W189" s="5">
        <f>G189*战斗力计算!$B$8+H189*战斗力计算!$B$9+I189*战斗力计算!$B$10+J189*战斗力计算!$B$11+K189*战斗力计算!$B$12+L189*战斗力计算!$B$8+M189*战斗力计算!$B$9+N189*战斗力计算!$B$10+O189*战斗力计算!$B$11+P189*战斗力计算!$B$12</f>
        <v>310128</v>
      </c>
      <c r="X189" s="5">
        <f t="shared" si="67"/>
        <v>389648</v>
      </c>
      <c r="AC189">
        <f t="shared" si="48"/>
        <v>2.6</v>
      </c>
      <c r="AD189">
        <f t="shared" si="49"/>
        <v>1.3</v>
      </c>
      <c r="AF189">
        <f t="shared" si="50"/>
        <v>0.74999999999999989</v>
      </c>
      <c r="AH189">
        <f t="shared" si="51"/>
        <v>12</v>
      </c>
      <c r="AK189">
        <f t="shared" si="52"/>
        <v>6.0666666666666664</v>
      </c>
      <c r="AL189">
        <f t="shared" si="53"/>
        <v>1.5055555555555555</v>
      </c>
      <c r="AM189">
        <f t="shared" si="54"/>
        <v>1</v>
      </c>
      <c r="AN189">
        <f t="shared" si="55"/>
        <v>6.0666666666666664</v>
      </c>
      <c r="AO189">
        <f t="shared" si="56"/>
        <v>1.5055555555555555</v>
      </c>
      <c r="AP189">
        <f t="shared" si="57"/>
        <v>1</v>
      </c>
      <c r="AR189">
        <f t="shared" si="58"/>
        <v>4.4917127071823204</v>
      </c>
      <c r="AT189">
        <f t="shared" si="59"/>
        <v>4.4917127071823204</v>
      </c>
      <c r="AV189">
        <f t="shared" si="60"/>
        <v>1897</v>
      </c>
      <c r="AW189">
        <f t="shared" si="61"/>
        <v>3523</v>
      </c>
    </row>
    <row r="190" spans="1:49" x14ac:dyDescent="0.15">
      <c r="A190" s="5">
        <v>180</v>
      </c>
      <c r="B190" s="5">
        <f t="shared" si="46"/>
        <v>10980</v>
      </c>
      <c r="C190" s="5">
        <f t="shared" si="70"/>
        <v>2725</v>
      </c>
      <c r="D190" s="5">
        <f t="shared" si="70"/>
        <v>1810</v>
      </c>
      <c r="E190" s="5">
        <f t="shared" si="70"/>
        <v>546</v>
      </c>
      <c r="F190" s="5">
        <f t="shared" si="70"/>
        <v>728</v>
      </c>
      <c r="G190" s="5">
        <f t="shared" si="68"/>
        <v>28548</v>
      </c>
      <c r="H190" s="5">
        <f t="shared" si="68"/>
        <v>7085</v>
      </c>
      <c r="I190" s="5">
        <f t="shared" si="68"/>
        <v>4706</v>
      </c>
      <c r="J190" s="5">
        <f t="shared" si="68"/>
        <v>1419.6000000000001</v>
      </c>
      <c r="K190" s="5">
        <f t="shared" si="68"/>
        <v>1892.8</v>
      </c>
      <c r="L190" s="5">
        <f t="shared" si="69"/>
        <v>14274</v>
      </c>
      <c r="M190" s="5">
        <f t="shared" si="69"/>
        <v>3542.5</v>
      </c>
      <c r="N190" s="5">
        <f t="shared" si="69"/>
        <v>2353</v>
      </c>
      <c r="O190" s="5">
        <f t="shared" si="69"/>
        <v>709.80000000000007</v>
      </c>
      <c r="P190" s="5">
        <f t="shared" si="69"/>
        <v>946.4</v>
      </c>
      <c r="Q190" s="5">
        <f t="shared" si="62"/>
        <v>53802</v>
      </c>
      <c r="R190" s="5">
        <f t="shared" si="63"/>
        <v>13352.5</v>
      </c>
      <c r="S190" s="5">
        <f t="shared" si="64"/>
        <v>8869</v>
      </c>
      <c r="T190" s="5">
        <f t="shared" si="65"/>
        <v>2675.4</v>
      </c>
      <c r="U190" s="5">
        <f t="shared" si="66"/>
        <v>3567.2000000000003</v>
      </c>
      <c r="V190" s="5">
        <f>B190*战斗力计算!$B$8+C190*战斗力计算!$B$9+D190*战斗力计算!$B$10+E190*战斗力计算!$B$11+F190*战斗力计算!$B$12</f>
        <v>79960</v>
      </c>
      <c r="W190" s="5">
        <f>G190*战斗力计算!$B$8+H190*战斗力计算!$B$9+I190*战斗力计算!$B$10+J190*战斗力计算!$B$11+K190*战斗力计算!$B$12+L190*战斗力计算!$B$8+M190*战斗力计算!$B$9+N190*战斗力计算!$B$10+O190*战斗力计算!$B$11+P190*战斗力计算!$B$12</f>
        <v>311844</v>
      </c>
      <c r="X190" s="5">
        <f t="shared" si="67"/>
        <v>391804</v>
      </c>
      <c r="AC190">
        <f t="shared" si="48"/>
        <v>2.6</v>
      </c>
      <c r="AD190">
        <f t="shared" si="49"/>
        <v>1.3</v>
      </c>
      <c r="AF190">
        <f t="shared" si="50"/>
        <v>0.75</v>
      </c>
      <c r="AH190">
        <f t="shared" si="51"/>
        <v>12</v>
      </c>
      <c r="AK190">
        <f t="shared" si="52"/>
        <v>6.0662983425414367</v>
      </c>
      <c r="AL190">
        <f t="shared" si="53"/>
        <v>1.5055248618784531</v>
      </c>
      <c r="AM190">
        <f t="shared" si="54"/>
        <v>1</v>
      </c>
      <c r="AN190">
        <f t="shared" si="55"/>
        <v>6.0662983425414367</v>
      </c>
      <c r="AO190">
        <f t="shared" si="56"/>
        <v>1.5055248618784531</v>
      </c>
      <c r="AP190">
        <f t="shared" si="57"/>
        <v>1</v>
      </c>
      <c r="AR190">
        <f t="shared" si="58"/>
        <v>4.4917582417582418</v>
      </c>
      <c r="AT190">
        <f t="shared" si="59"/>
        <v>4.4917582417582418</v>
      </c>
      <c r="AV190">
        <f t="shared" si="60"/>
        <v>1907</v>
      </c>
      <c r="AW190">
        <f t="shared" si="61"/>
        <v>3542</v>
      </c>
    </row>
    <row r="191" spans="1:49" x14ac:dyDescent="0.15">
      <c r="A191" s="5">
        <v>181</v>
      </c>
      <c r="B191" s="5">
        <f t="shared" si="46"/>
        <v>11040</v>
      </c>
      <c r="C191" s="5">
        <f t="shared" si="70"/>
        <v>2740</v>
      </c>
      <c r="D191" s="5">
        <f t="shared" si="70"/>
        <v>1820</v>
      </c>
      <c r="E191" s="5">
        <f t="shared" si="70"/>
        <v>549</v>
      </c>
      <c r="F191" s="5">
        <f t="shared" si="70"/>
        <v>732</v>
      </c>
      <c r="G191" s="5">
        <f t="shared" si="68"/>
        <v>28704</v>
      </c>
      <c r="H191" s="5">
        <f t="shared" si="68"/>
        <v>7124</v>
      </c>
      <c r="I191" s="5">
        <f t="shared" si="68"/>
        <v>4732</v>
      </c>
      <c r="J191" s="5">
        <f t="shared" si="68"/>
        <v>1427.4</v>
      </c>
      <c r="K191" s="5">
        <f t="shared" si="68"/>
        <v>1903.2</v>
      </c>
      <c r="L191" s="5">
        <f t="shared" si="69"/>
        <v>14352</v>
      </c>
      <c r="M191" s="5">
        <f t="shared" si="69"/>
        <v>3562</v>
      </c>
      <c r="N191" s="5">
        <f t="shared" si="69"/>
        <v>2366</v>
      </c>
      <c r="O191" s="5">
        <f t="shared" si="69"/>
        <v>713.7</v>
      </c>
      <c r="P191" s="5">
        <f t="shared" si="69"/>
        <v>951.6</v>
      </c>
      <c r="Q191" s="5">
        <f t="shared" si="62"/>
        <v>54096</v>
      </c>
      <c r="R191" s="5">
        <f t="shared" si="63"/>
        <v>13426</v>
      </c>
      <c r="S191" s="5">
        <f t="shared" si="64"/>
        <v>8918</v>
      </c>
      <c r="T191" s="5">
        <f t="shared" si="65"/>
        <v>2690.1000000000004</v>
      </c>
      <c r="U191" s="5">
        <f t="shared" si="66"/>
        <v>3586.7999999999997</v>
      </c>
      <c r="V191" s="5">
        <f>B191*战斗力计算!$B$8+C191*战斗力计算!$B$9+D191*战斗力计算!$B$10+E191*战斗力计算!$B$11+F191*战斗力计算!$B$12</f>
        <v>80400</v>
      </c>
      <c r="W191" s="5">
        <f>G191*战斗力计算!$B$8+H191*战斗力计算!$B$9+I191*战斗力计算!$B$10+J191*战斗力计算!$B$11+K191*战斗力计算!$B$12+L191*战斗力计算!$B$8+M191*战斗力计算!$B$9+N191*战斗力计算!$B$10+O191*战斗力计算!$B$11+P191*战斗力计算!$B$12</f>
        <v>313560</v>
      </c>
      <c r="X191" s="5">
        <f t="shared" si="67"/>
        <v>393960</v>
      </c>
      <c r="AC191">
        <f t="shared" si="48"/>
        <v>2.6</v>
      </c>
      <c r="AD191">
        <f t="shared" si="49"/>
        <v>1.3</v>
      </c>
      <c r="AF191">
        <f t="shared" si="50"/>
        <v>0.75000000000000011</v>
      </c>
      <c r="AH191">
        <f t="shared" si="51"/>
        <v>12</v>
      </c>
      <c r="AK191">
        <f t="shared" si="52"/>
        <v>6.0659340659340657</v>
      </c>
      <c r="AL191">
        <f t="shared" si="53"/>
        <v>1.5054945054945055</v>
      </c>
      <c r="AM191">
        <f t="shared" si="54"/>
        <v>1</v>
      </c>
      <c r="AN191">
        <f t="shared" si="55"/>
        <v>6.0659340659340657</v>
      </c>
      <c r="AO191">
        <f t="shared" si="56"/>
        <v>1.5054945054945055</v>
      </c>
      <c r="AP191">
        <f t="shared" si="57"/>
        <v>1</v>
      </c>
      <c r="AR191">
        <f t="shared" si="58"/>
        <v>4.4918032786885247</v>
      </c>
      <c r="AT191">
        <f t="shared" si="59"/>
        <v>4.4918032786885247</v>
      </c>
      <c r="AV191">
        <f t="shared" si="60"/>
        <v>1918</v>
      </c>
      <c r="AW191">
        <f t="shared" si="61"/>
        <v>3562</v>
      </c>
    </row>
    <row r="192" spans="1:49" x14ac:dyDescent="0.15">
      <c r="A192" s="5">
        <v>182</v>
      </c>
      <c r="B192" s="5">
        <f t="shared" si="46"/>
        <v>11100</v>
      </c>
      <c r="C192" s="5">
        <f t="shared" si="70"/>
        <v>2755</v>
      </c>
      <c r="D192" s="5">
        <f t="shared" si="70"/>
        <v>1830</v>
      </c>
      <c r="E192" s="5">
        <f t="shared" si="70"/>
        <v>552</v>
      </c>
      <c r="F192" s="5">
        <f t="shared" si="70"/>
        <v>736</v>
      </c>
      <c r="G192" s="5">
        <f t="shared" si="68"/>
        <v>28860</v>
      </c>
      <c r="H192" s="5">
        <f t="shared" si="68"/>
        <v>7163</v>
      </c>
      <c r="I192" s="5">
        <f t="shared" si="68"/>
        <v>4758</v>
      </c>
      <c r="J192" s="5">
        <f t="shared" si="68"/>
        <v>1435.2</v>
      </c>
      <c r="K192" s="5">
        <f t="shared" si="68"/>
        <v>1913.6000000000001</v>
      </c>
      <c r="L192" s="5">
        <f t="shared" si="69"/>
        <v>14430</v>
      </c>
      <c r="M192" s="5">
        <f t="shared" si="69"/>
        <v>3581.5</v>
      </c>
      <c r="N192" s="5">
        <f t="shared" si="69"/>
        <v>2379</v>
      </c>
      <c r="O192" s="5">
        <f t="shared" si="69"/>
        <v>717.6</v>
      </c>
      <c r="P192" s="5">
        <f t="shared" si="69"/>
        <v>956.80000000000007</v>
      </c>
      <c r="Q192" s="5">
        <f t="shared" si="62"/>
        <v>54390</v>
      </c>
      <c r="R192" s="5">
        <f t="shared" si="63"/>
        <v>13499.5</v>
      </c>
      <c r="S192" s="5">
        <f t="shared" si="64"/>
        <v>8967</v>
      </c>
      <c r="T192" s="5">
        <f t="shared" si="65"/>
        <v>2704.8</v>
      </c>
      <c r="U192" s="5">
        <f t="shared" si="66"/>
        <v>3606.4000000000005</v>
      </c>
      <c r="V192" s="5">
        <f>B192*战斗力计算!$B$8+C192*战斗力计算!$B$9+D192*战斗力计算!$B$10+E192*战斗力计算!$B$11+F192*战斗力计算!$B$12</f>
        <v>80840</v>
      </c>
      <c r="W192" s="5">
        <f>G192*战斗力计算!$B$8+H192*战斗力计算!$B$9+I192*战斗力计算!$B$10+J192*战斗力计算!$B$11+K192*战斗力计算!$B$12+L192*战斗力计算!$B$8+M192*战斗力计算!$B$9+N192*战斗力计算!$B$10+O192*战斗力计算!$B$11+P192*战斗力计算!$B$12</f>
        <v>315276</v>
      </c>
      <c r="X192" s="5">
        <f t="shared" si="67"/>
        <v>396116</v>
      </c>
      <c r="AC192">
        <f t="shared" si="48"/>
        <v>2.6</v>
      </c>
      <c r="AD192">
        <f t="shared" si="49"/>
        <v>1.3</v>
      </c>
      <c r="AF192">
        <f t="shared" si="50"/>
        <v>0.74999999999999989</v>
      </c>
      <c r="AH192">
        <f t="shared" si="51"/>
        <v>12</v>
      </c>
      <c r="AK192">
        <f t="shared" si="52"/>
        <v>6.0655737704918034</v>
      </c>
      <c r="AL192">
        <f t="shared" si="53"/>
        <v>1.5054644808743169</v>
      </c>
      <c r="AM192">
        <f t="shared" si="54"/>
        <v>1</v>
      </c>
      <c r="AN192">
        <f t="shared" si="55"/>
        <v>6.0655737704918034</v>
      </c>
      <c r="AO192">
        <f t="shared" si="56"/>
        <v>1.5054644808743169</v>
      </c>
      <c r="AP192">
        <f t="shared" si="57"/>
        <v>1</v>
      </c>
      <c r="AR192">
        <f t="shared" si="58"/>
        <v>4.4918478260869561</v>
      </c>
      <c r="AT192">
        <f t="shared" si="59"/>
        <v>4.4918478260869561</v>
      </c>
      <c r="AV192">
        <f t="shared" si="60"/>
        <v>1928</v>
      </c>
      <c r="AW192">
        <f t="shared" si="61"/>
        <v>3581</v>
      </c>
    </row>
    <row r="193" spans="1:49" x14ac:dyDescent="0.15">
      <c r="A193" s="5">
        <v>183</v>
      </c>
      <c r="B193" s="5">
        <f t="shared" si="46"/>
        <v>11160</v>
      </c>
      <c r="C193" s="5">
        <f t="shared" si="70"/>
        <v>2770</v>
      </c>
      <c r="D193" s="5">
        <f t="shared" si="70"/>
        <v>1840</v>
      </c>
      <c r="E193" s="5">
        <f t="shared" si="70"/>
        <v>555</v>
      </c>
      <c r="F193" s="5">
        <f t="shared" si="70"/>
        <v>740</v>
      </c>
      <c r="G193" s="5">
        <f t="shared" si="68"/>
        <v>29016</v>
      </c>
      <c r="H193" s="5">
        <f t="shared" si="68"/>
        <v>7202</v>
      </c>
      <c r="I193" s="5">
        <f t="shared" si="68"/>
        <v>4784</v>
      </c>
      <c r="J193" s="5">
        <f t="shared" si="68"/>
        <v>1443</v>
      </c>
      <c r="K193" s="5">
        <f t="shared" si="68"/>
        <v>1924</v>
      </c>
      <c r="L193" s="5">
        <f t="shared" si="69"/>
        <v>14508</v>
      </c>
      <c r="M193" s="5">
        <f t="shared" si="69"/>
        <v>3601</v>
      </c>
      <c r="N193" s="5">
        <f t="shared" si="69"/>
        <v>2392</v>
      </c>
      <c r="O193" s="5">
        <f t="shared" si="69"/>
        <v>721.5</v>
      </c>
      <c r="P193" s="5">
        <f t="shared" si="69"/>
        <v>962</v>
      </c>
      <c r="Q193" s="5">
        <f t="shared" si="62"/>
        <v>54684</v>
      </c>
      <c r="R193" s="5">
        <f t="shared" si="63"/>
        <v>13573</v>
      </c>
      <c r="S193" s="5">
        <f t="shared" si="64"/>
        <v>9016</v>
      </c>
      <c r="T193" s="5">
        <f t="shared" si="65"/>
        <v>2719.5</v>
      </c>
      <c r="U193" s="5">
        <f t="shared" si="66"/>
        <v>3626</v>
      </c>
      <c r="V193" s="5">
        <f>B193*战斗力计算!$B$8+C193*战斗力计算!$B$9+D193*战斗力计算!$B$10+E193*战斗力计算!$B$11+F193*战斗力计算!$B$12</f>
        <v>81280</v>
      </c>
      <c r="W193" s="5">
        <f>G193*战斗力计算!$B$8+H193*战斗力计算!$B$9+I193*战斗力计算!$B$10+J193*战斗力计算!$B$11+K193*战斗力计算!$B$12+L193*战斗力计算!$B$8+M193*战斗力计算!$B$9+N193*战斗力计算!$B$10+O193*战斗力计算!$B$11+P193*战斗力计算!$B$12</f>
        <v>316992</v>
      </c>
      <c r="X193" s="5">
        <f t="shared" si="67"/>
        <v>398272</v>
      </c>
      <c r="AC193">
        <f t="shared" si="48"/>
        <v>2.6</v>
      </c>
      <c r="AD193">
        <f t="shared" si="49"/>
        <v>1.3</v>
      </c>
      <c r="AF193">
        <f t="shared" si="50"/>
        <v>0.75</v>
      </c>
      <c r="AH193">
        <f t="shared" si="51"/>
        <v>12</v>
      </c>
      <c r="AK193">
        <f t="shared" si="52"/>
        <v>6.0652173913043477</v>
      </c>
      <c r="AL193">
        <f t="shared" si="53"/>
        <v>1.5054347826086956</v>
      </c>
      <c r="AM193">
        <f t="shared" si="54"/>
        <v>1</v>
      </c>
      <c r="AN193">
        <f t="shared" si="55"/>
        <v>6.0652173913043477</v>
      </c>
      <c r="AO193">
        <f t="shared" si="56"/>
        <v>1.5054347826086956</v>
      </c>
      <c r="AP193">
        <f t="shared" si="57"/>
        <v>1</v>
      </c>
      <c r="AR193">
        <f t="shared" si="58"/>
        <v>4.4918918918918918</v>
      </c>
      <c r="AT193">
        <f t="shared" si="59"/>
        <v>4.4918918918918918</v>
      </c>
      <c r="AV193">
        <f t="shared" si="60"/>
        <v>1939</v>
      </c>
      <c r="AW193">
        <f t="shared" si="61"/>
        <v>3601</v>
      </c>
    </row>
    <row r="194" spans="1:49" x14ac:dyDescent="0.15">
      <c r="A194" s="5">
        <v>184</v>
      </c>
      <c r="B194" s="5">
        <f t="shared" si="46"/>
        <v>11220</v>
      </c>
      <c r="C194" s="5">
        <f t="shared" si="70"/>
        <v>2785</v>
      </c>
      <c r="D194" s="5">
        <f t="shared" si="70"/>
        <v>1850</v>
      </c>
      <c r="E194" s="5">
        <f t="shared" si="70"/>
        <v>558</v>
      </c>
      <c r="F194" s="5">
        <f t="shared" si="70"/>
        <v>744</v>
      </c>
      <c r="G194" s="5">
        <f t="shared" si="68"/>
        <v>29172</v>
      </c>
      <c r="H194" s="5">
        <f t="shared" si="68"/>
        <v>7241</v>
      </c>
      <c r="I194" s="5">
        <f t="shared" si="68"/>
        <v>4810</v>
      </c>
      <c r="J194" s="5">
        <f t="shared" si="68"/>
        <v>1450.8</v>
      </c>
      <c r="K194" s="5">
        <f t="shared" si="68"/>
        <v>1934.4</v>
      </c>
      <c r="L194" s="5">
        <f t="shared" si="69"/>
        <v>14586</v>
      </c>
      <c r="M194" s="5">
        <f t="shared" si="69"/>
        <v>3620.5</v>
      </c>
      <c r="N194" s="5">
        <f t="shared" si="69"/>
        <v>2405</v>
      </c>
      <c r="O194" s="5">
        <f t="shared" si="69"/>
        <v>725.4</v>
      </c>
      <c r="P194" s="5">
        <f t="shared" si="69"/>
        <v>967.2</v>
      </c>
      <c r="Q194" s="5">
        <f t="shared" si="62"/>
        <v>54978</v>
      </c>
      <c r="R194" s="5">
        <f t="shared" si="63"/>
        <v>13646.5</v>
      </c>
      <c r="S194" s="5">
        <f t="shared" si="64"/>
        <v>9065</v>
      </c>
      <c r="T194" s="5">
        <f t="shared" si="65"/>
        <v>2734.2</v>
      </c>
      <c r="U194" s="5">
        <f t="shared" si="66"/>
        <v>3645.6000000000004</v>
      </c>
      <c r="V194" s="5">
        <f>B194*战斗力计算!$B$8+C194*战斗力计算!$B$9+D194*战斗力计算!$B$10+E194*战斗力计算!$B$11+F194*战斗力计算!$B$12</f>
        <v>81720</v>
      </c>
      <c r="W194" s="5">
        <f>G194*战斗力计算!$B$8+H194*战斗力计算!$B$9+I194*战斗力计算!$B$10+J194*战斗力计算!$B$11+K194*战斗力计算!$B$12+L194*战斗力计算!$B$8+M194*战斗力计算!$B$9+N194*战斗力计算!$B$10+O194*战斗力计算!$B$11+P194*战斗力计算!$B$12</f>
        <v>318708</v>
      </c>
      <c r="X194" s="5">
        <f t="shared" si="67"/>
        <v>400428</v>
      </c>
      <c r="AC194">
        <f t="shared" si="48"/>
        <v>2.6</v>
      </c>
      <c r="AD194">
        <f t="shared" si="49"/>
        <v>1.3</v>
      </c>
      <c r="AF194">
        <f t="shared" si="50"/>
        <v>0.74999999999999989</v>
      </c>
      <c r="AH194">
        <f t="shared" si="51"/>
        <v>12</v>
      </c>
      <c r="AK194">
        <f t="shared" si="52"/>
        <v>6.0648648648648651</v>
      </c>
      <c r="AL194">
        <f t="shared" si="53"/>
        <v>1.5054054054054054</v>
      </c>
      <c r="AM194">
        <f t="shared" si="54"/>
        <v>1</v>
      </c>
      <c r="AN194">
        <f t="shared" si="55"/>
        <v>6.0648648648648651</v>
      </c>
      <c r="AO194">
        <f t="shared" si="56"/>
        <v>1.5054054054054054</v>
      </c>
      <c r="AP194">
        <f t="shared" si="57"/>
        <v>1</v>
      </c>
      <c r="AR194">
        <f t="shared" si="58"/>
        <v>4.491935483870968</v>
      </c>
      <c r="AT194">
        <f t="shared" si="59"/>
        <v>4.491935483870968</v>
      </c>
      <c r="AV194">
        <f t="shared" si="60"/>
        <v>1949</v>
      </c>
      <c r="AW194">
        <f t="shared" si="61"/>
        <v>3620</v>
      </c>
    </row>
    <row r="195" spans="1:49" x14ac:dyDescent="0.15">
      <c r="A195" s="5">
        <v>185</v>
      </c>
      <c r="B195" s="5">
        <f t="shared" si="46"/>
        <v>11280</v>
      </c>
      <c r="C195" s="5">
        <f t="shared" si="70"/>
        <v>2800</v>
      </c>
      <c r="D195" s="5">
        <f t="shared" si="70"/>
        <v>1860</v>
      </c>
      <c r="E195" s="5">
        <f t="shared" si="70"/>
        <v>561</v>
      </c>
      <c r="F195" s="5">
        <f t="shared" si="70"/>
        <v>748</v>
      </c>
      <c r="G195" s="5">
        <f t="shared" si="68"/>
        <v>29328</v>
      </c>
      <c r="H195" s="5">
        <f t="shared" si="68"/>
        <v>7280</v>
      </c>
      <c r="I195" s="5">
        <f t="shared" si="68"/>
        <v>4836</v>
      </c>
      <c r="J195" s="5">
        <f t="shared" si="68"/>
        <v>1458.6000000000001</v>
      </c>
      <c r="K195" s="5">
        <f t="shared" si="68"/>
        <v>1944.8</v>
      </c>
      <c r="L195" s="5">
        <f t="shared" si="69"/>
        <v>14664</v>
      </c>
      <c r="M195" s="5">
        <f t="shared" si="69"/>
        <v>3640</v>
      </c>
      <c r="N195" s="5">
        <f t="shared" si="69"/>
        <v>2418</v>
      </c>
      <c r="O195" s="5">
        <f t="shared" si="69"/>
        <v>729.30000000000007</v>
      </c>
      <c r="P195" s="5">
        <f t="shared" si="69"/>
        <v>972.4</v>
      </c>
      <c r="Q195" s="5">
        <f t="shared" si="62"/>
        <v>55272</v>
      </c>
      <c r="R195" s="5">
        <f t="shared" si="63"/>
        <v>13720</v>
      </c>
      <c r="S195" s="5">
        <f t="shared" si="64"/>
        <v>9114</v>
      </c>
      <c r="T195" s="5">
        <f t="shared" si="65"/>
        <v>2748.9</v>
      </c>
      <c r="U195" s="5">
        <f t="shared" si="66"/>
        <v>3665.2000000000003</v>
      </c>
      <c r="V195" s="5">
        <f>B195*战斗力计算!$B$8+C195*战斗力计算!$B$9+D195*战斗力计算!$B$10+E195*战斗力计算!$B$11+F195*战斗力计算!$B$12</f>
        <v>82160</v>
      </c>
      <c r="W195" s="5">
        <f>G195*战斗力计算!$B$8+H195*战斗力计算!$B$9+I195*战斗力计算!$B$10+J195*战斗力计算!$B$11+K195*战斗力计算!$B$12+L195*战斗力计算!$B$8+M195*战斗力计算!$B$9+N195*战斗力计算!$B$10+O195*战斗力计算!$B$11+P195*战斗力计算!$B$12</f>
        <v>320424</v>
      </c>
      <c r="X195" s="5">
        <f t="shared" si="67"/>
        <v>402584</v>
      </c>
      <c r="AC195">
        <f t="shared" si="48"/>
        <v>2.6</v>
      </c>
      <c r="AD195">
        <f t="shared" si="49"/>
        <v>1.3</v>
      </c>
      <c r="AF195">
        <f t="shared" si="50"/>
        <v>0.75</v>
      </c>
      <c r="AH195">
        <f t="shared" si="51"/>
        <v>12</v>
      </c>
      <c r="AK195">
        <f t="shared" si="52"/>
        <v>6.064516129032258</v>
      </c>
      <c r="AL195">
        <f t="shared" si="53"/>
        <v>1.5053763440860215</v>
      </c>
      <c r="AM195">
        <f t="shared" si="54"/>
        <v>1</v>
      </c>
      <c r="AN195">
        <f t="shared" si="55"/>
        <v>6.064516129032258</v>
      </c>
      <c r="AO195">
        <f t="shared" si="56"/>
        <v>1.5053763440860215</v>
      </c>
      <c r="AP195">
        <f t="shared" si="57"/>
        <v>1</v>
      </c>
      <c r="AR195">
        <f t="shared" si="58"/>
        <v>4.4919786096256686</v>
      </c>
      <c r="AT195">
        <f t="shared" si="59"/>
        <v>4.4919786096256686</v>
      </c>
      <c r="AV195">
        <f t="shared" si="60"/>
        <v>1960</v>
      </c>
      <c r="AW195">
        <f t="shared" si="61"/>
        <v>3640</v>
      </c>
    </row>
    <row r="196" spans="1:49" x14ac:dyDescent="0.15">
      <c r="A196" s="5">
        <v>186</v>
      </c>
      <c r="B196" s="5">
        <f t="shared" si="46"/>
        <v>11340</v>
      </c>
      <c r="C196" s="5">
        <f t="shared" si="70"/>
        <v>2815</v>
      </c>
      <c r="D196" s="5">
        <f t="shared" si="70"/>
        <v>1870</v>
      </c>
      <c r="E196" s="5">
        <f t="shared" si="70"/>
        <v>564</v>
      </c>
      <c r="F196" s="5">
        <f t="shared" si="70"/>
        <v>752</v>
      </c>
      <c r="G196" s="5">
        <f t="shared" si="68"/>
        <v>29484</v>
      </c>
      <c r="H196" s="5">
        <f t="shared" si="68"/>
        <v>7319</v>
      </c>
      <c r="I196" s="5">
        <f t="shared" si="68"/>
        <v>4862</v>
      </c>
      <c r="J196" s="5">
        <f t="shared" si="68"/>
        <v>1466.4</v>
      </c>
      <c r="K196" s="5">
        <f t="shared" si="68"/>
        <v>1955.2</v>
      </c>
      <c r="L196" s="5">
        <f t="shared" si="69"/>
        <v>14742</v>
      </c>
      <c r="M196" s="5">
        <f t="shared" si="69"/>
        <v>3659.5</v>
      </c>
      <c r="N196" s="5">
        <f t="shared" si="69"/>
        <v>2431</v>
      </c>
      <c r="O196" s="5">
        <f t="shared" si="69"/>
        <v>733.2</v>
      </c>
      <c r="P196" s="5">
        <f t="shared" si="69"/>
        <v>977.6</v>
      </c>
      <c r="Q196" s="5">
        <f t="shared" si="62"/>
        <v>55566</v>
      </c>
      <c r="R196" s="5">
        <f t="shared" si="63"/>
        <v>13793.5</v>
      </c>
      <c r="S196" s="5">
        <f t="shared" si="64"/>
        <v>9163</v>
      </c>
      <c r="T196" s="5">
        <f t="shared" si="65"/>
        <v>2763.6000000000004</v>
      </c>
      <c r="U196" s="5">
        <f t="shared" si="66"/>
        <v>3684.7999999999997</v>
      </c>
      <c r="V196" s="5">
        <f>B196*战斗力计算!$B$8+C196*战斗力计算!$B$9+D196*战斗力计算!$B$10+E196*战斗力计算!$B$11+F196*战斗力计算!$B$12</f>
        <v>82600</v>
      </c>
      <c r="W196" s="5">
        <f>G196*战斗力计算!$B$8+H196*战斗力计算!$B$9+I196*战斗力计算!$B$10+J196*战斗力计算!$B$11+K196*战斗力计算!$B$12+L196*战斗力计算!$B$8+M196*战斗力计算!$B$9+N196*战斗力计算!$B$10+O196*战斗力计算!$B$11+P196*战斗力计算!$B$12</f>
        <v>322140</v>
      </c>
      <c r="X196" s="5">
        <f t="shared" si="67"/>
        <v>404740</v>
      </c>
      <c r="AC196">
        <f t="shared" si="48"/>
        <v>2.6</v>
      </c>
      <c r="AD196">
        <f t="shared" si="49"/>
        <v>1.3</v>
      </c>
      <c r="AF196">
        <f t="shared" si="50"/>
        <v>0.75000000000000011</v>
      </c>
      <c r="AH196">
        <f t="shared" si="51"/>
        <v>12</v>
      </c>
      <c r="AK196">
        <f t="shared" si="52"/>
        <v>6.0641711229946527</v>
      </c>
      <c r="AL196">
        <f t="shared" si="53"/>
        <v>1.5053475935828877</v>
      </c>
      <c r="AM196">
        <f t="shared" si="54"/>
        <v>1</v>
      </c>
      <c r="AN196">
        <f t="shared" si="55"/>
        <v>6.0641711229946527</v>
      </c>
      <c r="AO196">
        <f t="shared" si="56"/>
        <v>1.5053475935828877</v>
      </c>
      <c r="AP196">
        <f t="shared" si="57"/>
        <v>1</v>
      </c>
      <c r="AR196">
        <f t="shared" si="58"/>
        <v>4.4920212765957448</v>
      </c>
      <c r="AT196">
        <f t="shared" si="59"/>
        <v>4.4920212765957448</v>
      </c>
      <c r="AV196">
        <f t="shared" si="60"/>
        <v>1970</v>
      </c>
      <c r="AW196">
        <f t="shared" si="61"/>
        <v>3659</v>
      </c>
    </row>
    <row r="197" spans="1:49" x14ac:dyDescent="0.15">
      <c r="A197" s="5">
        <v>187</v>
      </c>
      <c r="B197" s="5">
        <f t="shared" si="46"/>
        <v>11400</v>
      </c>
      <c r="C197" s="5">
        <f t="shared" si="70"/>
        <v>2830</v>
      </c>
      <c r="D197" s="5">
        <f t="shared" si="70"/>
        <v>1880</v>
      </c>
      <c r="E197" s="5">
        <f t="shared" si="70"/>
        <v>567</v>
      </c>
      <c r="F197" s="5">
        <f t="shared" si="70"/>
        <v>756</v>
      </c>
      <c r="G197" s="5">
        <f t="shared" si="68"/>
        <v>29640</v>
      </c>
      <c r="H197" s="5">
        <f t="shared" si="68"/>
        <v>7358</v>
      </c>
      <c r="I197" s="5">
        <f t="shared" si="68"/>
        <v>4888</v>
      </c>
      <c r="J197" s="5">
        <f t="shared" si="68"/>
        <v>1474.2</v>
      </c>
      <c r="K197" s="5">
        <f t="shared" si="68"/>
        <v>1965.6000000000001</v>
      </c>
      <c r="L197" s="5">
        <f t="shared" si="69"/>
        <v>14820</v>
      </c>
      <c r="M197" s="5">
        <f t="shared" si="69"/>
        <v>3679</v>
      </c>
      <c r="N197" s="5">
        <f t="shared" si="69"/>
        <v>2444</v>
      </c>
      <c r="O197" s="5">
        <f t="shared" si="69"/>
        <v>737.1</v>
      </c>
      <c r="P197" s="5">
        <f t="shared" si="69"/>
        <v>982.80000000000007</v>
      </c>
      <c r="Q197" s="5">
        <f t="shared" si="62"/>
        <v>55860</v>
      </c>
      <c r="R197" s="5">
        <f t="shared" si="63"/>
        <v>13867</v>
      </c>
      <c r="S197" s="5">
        <f t="shared" si="64"/>
        <v>9212</v>
      </c>
      <c r="T197" s="5">
        <f t="shared" si="65"/>
        <v>2778.3</v>
      </c>
      <c r="U197" s="5">
        <f t="shared" si="66"/>
        <v>3704.4000000000005</v>
      </c>
      <c r="V197" s="5">
        <f>B197*战斗力计算!$B$8+C197*战斗力计算!$B$9+D197*战斗力计算!$B$10+E197*战斗力计算!$B$11+F197*战斗力计算!$B$12</f>
        <v>83040</v>
      </c>
      <c r="W197" s="5">
        <f>G197*战斗力计算!$B$8+H197*战斗力计算!$B$9+I197*战斗力计算!$B$10+J197*战斗力计算!$B$11+K197*战斗力计算!$B$12+L197*战斗力计算!$B$8+M197*战斗力计算!$B$9+N197*战斗力计算!$B$10+O197*战斗力计算!$B$11+P197*战斗力计算!$B$12</f>
        <v>323856</v>
      </c>
      <c r="X197" s="5">
        <f t="shared" si="67"/>
        <v>406896</v>
      </c>
      <c r="AC197">
        <f t="shared" si="48"/>
        <v>2.6</v>
      </c>
      <c r="AD197">
        <f t="shared" si="49"/>
        <v>1.3</v>
      </c>
      <c r="AF197">
        <f t="shared" si="50"/>
        <v>0.74999999999999989</v>
      </c>
      <c r="AH197">
        <f t="shared" si="51"/>
        <v>12</v>
      </c>
      <c r="AK197">
        <f t="shared" si="52"/>
        <v>6.0638297872340425</v>
      </c>
      <c r="AL197">
        <f t="shared" si="53"/>
        <v>1.5053191489361701</v>
      </c>
      <c r="AM197">
        <f t="shared" si="54"/>
        <v>1</v>
      </c>
      <c r="AN197">
        <f t="shared" si="55"/>
        <v>6.0638297872340425</v>
      </c>
      <c r="AO197">
        <f t="shared" si="56"/>
        <v>1.5053191489361701</v>
      </c>
      <c r="AP197">
        <f t="shared" si="57"/>
        <v>1</v>
      </c>
      <c r="AR197">
        <f t="shared" si="58"/>
        <v>4.4920634920634921</v>
      </c>
      <c r="AT197">
        <f t="shared" si="59"/>
        <v>4.4920634920634921</v>
      </c>
      <c r="AV197">
        <f t="shared" si="60"/>
        <v>1981</v>
      </c>
      <c r="AW197">
        <f t="shared" si="61"/>
        <v>3679</v>
      </c>
    </row>
    <row r="198" spans="1:49" x14ac:dyDescent="0.15">
      <c r="A198" s="5">
        <v>188</v>
      </c>
      <c r="B198" s="5">
        <f t="shared" si="46"/>
        <v>11460</v>
      </c>
      <c r="C198" s="5">
        <f t="shared" si="70"/>
        <v>2845</v>
      </c>
      <c r="D198" s="5">
        <f t="shared" si="70"/>
        <v>1890</v>
      </c>
      <c r="E198" s="5">
        <f t="shared" si="70"/>
        <v>570</v>
      </c>
      <c r="F198" s="5">
        <f t="shared" si="70"/>
        <v>760</v>
      </c>
      <c r="G198" s="5">
        <f t="shared" si="68"/>
        <v>29796</v>
      </c>
      <c r="H198" s="5">
        <f t="shared" si="68"/>
        <v>7397</v>
      </c>
      <c r="I198" s="5">
        <f t="shared" si="68"/>
        <v>4914</v>
      </c>
      <c r="J198" s="5">
        <f t="shared" si="68"/>
        <v>1482</v>
      </c>
      <c r="K198" s="5">
        <f t="shared" si="68"/>
        <v>1976</v>
      </c>
      <c r="L198" s="5">
        <f t="shared" si="69"/>
        <v>14898</v>
      </c>
      <c r="M198" s="5">
        <f t="shared" si="69"/>
        <v>3698.5</v>
      </c>
      <c r="N198" s="5">
        <f t="shared" si="69"/>
        <v>2457</v>
      </c>
      <c r="O198" s="5">
        <f t="shared" si="69"/>
        <v>741</v>
      </c>
      <c r="P198" s="5">
        <f t="shared" si="69"/>
        <v>988</v>
      </c>
      <c r="Q198" s="5">
        <f t="shared" si="62"/>
        <v>56154</v>
      </c>
      <c r="R198" s="5">
        <f t="shared" si="63"/>
        <v>13940.5</v>
      </c>
      <c r="S198" s="5">
        <f t="shared" si="64"/>
        <v>9261</v>
      </c>
      <c r="T198" s="5">
        <f t="shared" si="65"/>
        <v>2793</v>
      </c>
      <c r="U198" s="5">
        <f t="shared" si="66"/>
        <v>3724</v>
      </c>
      <c r="V198" s="5">
        <f>B198*战斗力计算!$B$8+C198*战斗力计算!$B$9+D198*战斗力计算!$B$10+E198*战斗力计算!$B$11+F198*战斗力计算!$B$12</f>
        <v>83480</v>
      </c>
      <c r="W198" s="5">
        <f>G198*战斗力计算!$B$8+H198*战斗力计算!$B$9+I198*战斗力计算!$B$10+J198*战斗力计算!$B$11+K198*战斗力计算!$B$12+L198*战斗力计算!$B$8+M198*战斗力计算!$B$9+N198*战斗力计算!$B$10+O198*战斗力计算!$B$11+P198*战斗力计算!$B$12</f>
        <v>325572</v>
      </c>
      <c r="X198" s="5">
        <f t="shared" si="67"/>
        <v>409052</v>
      </c>
      <c r="AC198">
        <f t="shared" si="48"/>
        <v>2.6</v>
      </c>
      <c r="AD198">
        <f t="shared" si="49"/>
        <v>1.3</v>
      </c>
      <c r="AF198">
        <f t="shared" si="50"/>
        <v>0.75</v>
      </c>
      <c r="AH198">
        <f t="shared" si="51"/>
        <v>12</v>
      </c>
      <c r="AK198">
        <f t="shared" si="52"/>
        <v>6.0634920634920633</v>
      </c>
      <c r="AL198">
        <f t="shared" si="53"/>
        <v>1.5052910052910053</v>
      </c>
      <c r="AM198">
        <f t="shared" si="54"/>
        <v>1</v>
      </c>
      <c r="AN198">
        <f t="shared" si="55"/>
        <v>6.0634920634920633</v>
      </c>
      <c r="AO198">
        <f t="shared" si="56"/>
        <v>1.5052910052910053</v>
      </c>
      <c r="AP198">
        <f t="shared" si="57"/>
        <v>1</v>
      </c>
      <c r="AR198">
        <f t="shared" si="58"/>
        <v>4.492105263157895</v>
      </c>
      <c r="AT198">
        <f t="shared" si="59"/>
        <v>4.492105263157895</v>
      </c>
      <c r="AV198">
        <f t="shared" si="60"/>
        <v>1991</v>
      </c>
      <c r="AW198">
        <f t="shared" si="61"/>
        <v>3698</v>
      </c>
    </row>
    <row r="199" spans="1:49" x14ac:dyDescent="0.15">
      <c r="A199" s="5">
        <v>189</v>
      </c>
      <c r="B199" s="5">
        <f t="shared" si="46"/>
        <v>11520</v>
      </c>
      <c r="C199" s="5">
        <f t="shared" si="70"/>
        <v>2860</v>
      </c>
      <c r="D199" s="5">
        <f t="shared" si="70"/>
        <v>1900</v>
      </c>
      <c r="E199" s="5">
        <f t="shared" si="70"/>
        <v>573</v>
      </c>
      <c r="F199" s="5">
        <f t="shared" si="70"/>
        <v>764</v>
      </c>
      <c r="G199" s="5">
        <f t="shared" si="68"/>
        <v>29952</v>
      </c>
      <c r="H199" s="5">
        <f t="shared" si="68"/>
        <v>7436</v>
      </c>
      <c r="I199" s="5">
        <f t="shared" si="68"/>
        <v>4940</v>
      </c>
      <c r="J199" s="5">
        <f t="shared" si="68"/>
        <v>1489.8</v>
      </c>
      <c r="K199" s="5">
        <f t="shared" si="68"/>
        <v>1986.4</v>
      </c>
      <c r="L199" s="5">
        <f t="shared" si="69"/>
        <v>14976</v>
      </c>
      <c r="M199" s="5">
        <f t="shared" si="69"/>
        <v>3718</v>
      </c>
      <c r="N199" s="5">
        <f t="shared" si="69"/>
        <v>2470</v>
      </c>
      <c r="O199" s="5">
        <f t="shared" si="69"/>
        <v>744.9</v>
      </c>
      <c r="P199" s="5">
        <f t="shared" si="69"/>
        <v>993.2</v>
      </c>
      <c r="Q199" s="5">
        <f t="shared" si="62"/>
        <v>56448</v>
      </c>
      <c r="R199" s="5">
        <f t="shared" si="63"/>
        <v>14014</v>
      </c>
      <c r="S199" s="5">
        <f t="shared" si="64"/>
        <v>9310</v>
      </c>
      <c r="T199" s="5">
        <f t="shared" si="65"/>
        <v>2807.7000000000003</v>
      </c>
      <c r="U199" s="5">
        <f t="shared" si="66"/>
        <v>3743.6000000000004</v>
      </c>
      <c r="V199" s="5">
        <f>B199*战斗力计算!$B$8+C199*战斗力计算!$B$9+D199*战斗力计算!$B$10+E199*战斗力计算!$B$11+F199*战斗力计算!$B$12</f>
        <v>83920</v>
      </c>
      <c r="W199" s="5">
        <f>G199*战斗力计算!$B$8+H199*战斗力计算!$B$9+I199*战斗力计算!$B$10+J199*战斗力计算!$B$11+K199*战斗力计算!$B$12+L199*战斗力计算!$B$8+M199*战斗力计算!$B$9+N199*战斗力计算!$B$10+O199*战斗力计算!$B$11+P199*战斗力计算!$B$12</f>
        <v>327288</v>
      </c>
      <c r="X199" s="5">
        <f t="shared" si="67"/>
        <v>411208</v>
      </c>
      <c r="AC199">
        <f t="shared" si="48"/>
        <v>2.6</v>
      </c>
      <c r="AD199">
        <f t="shared" si="49"/>
        <v>1.3</v>
      </c>
      <c r="AF199">
        <f t="shared" si="50"/>
        <v>0.75</v>
      </c>
      <c r="AH199">
        <f t="shared" si="51"/>
        <v>12</v>
      </c>
      <c r="AK199">
        <f t="shared" si="52"/>
        <v>6.0631578947368423</v>
      </c>
      <c r="AL199">
        <f t="shared" si="53"/>
        <v>1.5052631578947369</v>
      </c>
      <c r="AM199">
        <f t="shared" si="54"/>
        <v>1</v>
      </c>
      <c r="AN199">
        <f t="shared" si="55"/>
        <v>6.0631578947368423</v>
      </c>
      <c r="AO199">
        <f t="shared" si="56"/>
        <v>1.5052631578947369</v>
      </c>
      <c r="AP199">
        <f t="shared" si="57"/>
        <v>1</v>
      </c>
      <c r="AR199">
        <f t="shared" si="58"/>
        <v>4.4921465968586389</v>
      </c>
      <c r="AT199">
        <f t="shared" si="59"/>
        <v>4.4921465968586389</v>
      </c>
      <c r="AV199">
        <f t="shared" si="60"/>
        <v>2002</v>
      </c>
      <c r="AW199">
        <f t="shared" si="61"/>
        <v>3718</v>
      </c>
    </row>
    <row r="200" spans="1:49" x14ac:dyDescent="0.15">
      <c r="A200" s="5">
        <v>190</v>
      </c>
      <c r="B200" s="5">
        <f t="shared" si="46"/>
        <v>11580</v>
      </c>
      <c r="C200" s="5">
        <f t="shared" si="70"/>
        <v>2875</v>
      </c>
      <c r="D200" s="5">
        <f t="shared" si="70"/>
        <v>1910</v>
      </c>
      <c r="E200" s="5">
        <f t="shared" si="70"/>
        <v>576</v>
      </c>
      <c r="F200" s="5">
        <f t="shared" si="70"/>
        <v>768</v>
      </c>
      <c r="G200" s="5">
        <f t="shared" si="68"/>
        <v>30108</v>
      </c>
      <c r="H200" s="5">
        <f t="shared" si="68"/>
        <v>7475</v>
      </c>
      <c r="I200" s="5">
        <f t="shared" si="68"/>
        <v>4966</v>
      </c>
      <c r="J200" s="5">
        <f t="shared" si="68"/>
        <v>1497.6000000000001</v>
      </c>
      <c r="K200" s="5">
        <f t="shared" si="68"/>
        <v>1996.8000000000002</v>
      </c>
      <c r="L200" s="5">
        <f t="shared" si="69"/>
        <v>15054</v>
      </c>
      <c r="M200" s="5">
        <f t="shared" si="69"/>
        <v>3737.5</v>
      </c>
      <c r="N200" s="5">
        <f t="shared" si="69"/>
        <v>2483</v>
      </c>
      <c r="O200" s="5">
        <f t="shared" si="69"/>
        <v>748.80000000000007</v>
      </c>
      <c r="P200" s="5">
        <f t="shared" si="69"/>
        <v>998.40000000000009</v>
      </c>
      <c r="Q200" s="5">
        <f t="shared" si="62"/>
        <v>56742</v>
      </c>
      <c r="R200" s="5">
        <f t="shared" si="63"/>
        <v>14087.5</v>
      </c>
      <c r="S200" s="5">
        <f t="shared" si="64"/>
        <v>9359</v>
      </c>
      <c r="T200" s="5">
        <f t="shared" si="65"/>
        <v>2822.4000000000005</v>
      </c>
      <c r="U200" s="5">
        <f t="shared" si="66"/>
        <v>3763.2000000000003</v>
      </c>
      <c r="V200" s="5">
        <f>B200*战斗力计算!$B$8+C200*战斗力计算!$B$9+D200*战斗力计算!$B$10+E200*战斗力计算!$B$11+F200*战斗力计算!$B$12</f>
        <v>84360</v>
      </c>
      <c r="W200" s="5">
        <f>G200*战斗力计算!$B$8+H200*战斗力计算!$B$9+I200*战斗力计算!$B$10+J200*战斗力计算!$B$11+K200*战斗力计算!$B$12+L200*战斗力计算!$B$8+M200*战斗力计算!$B$9+N200*战斗力计算!$B$10+O200*战斗力计算!$B$11+P200*战斗力计算!$B$12</f>
        <v>329004</v>
      </c>
      <c r="X200" s="5">
        <f t="shared" si="67"/>
        <v>413364</v>
      </c>
      <c r="AC200">
        <f t="shared" si="48"/>
        <v>2.6</v>
      </c>
      <c r="AD200">
        <f t="shared" si="49"/>
        <v>1.3</v>
      </c>
      <c r="AF200">
        <f t="shared" si="50"/>
        <v>0.75000000000000011</v>
      </c>
      <c r="AH200">
        <f t="shared" si="51"/>
        <v>12</v>
      </c>
      <c r="AK200">
        <f t="shared" si="52"/>
        <v>6.0628272251308903</v>
      </c>
      <c r="AL200">
        <f t="shared" si="53"/>
        <v>1.5052356020942408</v>
      </c>
      <c r="AM200">
        <f t="shared" si="54"/>
        <v>1</v>
      </c>
      <c r="AN200">
        <f t="shared" si="55"/>
        <v>6.0628272251308903</v>
      </c>
      <c r="AO200">
        <f t="shared" si="56"/>
        <v>1.5052356020942408</v>
      </c>
      <c r="AP200">
        <f t="shared" si="57"/>
        <v>1</v>
      </c>
      <c r="AR200">
        <f t="shared" si="58"/>
        <v>4.4921875</v>
      </c>
      <c r="AT200">
        <f t="shared" si="59"/>
        <v>4.4921875</v>
      </c>
      <c r="AV200">
        <f t="shared" si="60"/>
        <v>2012</v>
      </c>
      <c r="AW200">
        <f t="shared" si="61"/>
        <v>3737</v>
      </c>
    </row>
    <row r="201" spans="1:49" x14ac:dyDescent="0.15">
      <c r="A201" s="5">
        <v>191</v>
      </c>
      <c r="B201" s="5">
        <f t="shared" si="46"/>
        <v>11640</v>
      </c>
      <c r="C201" s="5">
        <f t="shared" si="70"/>
        <v>2890</v>
      </c>
      <c r="D201" s="5">
        <f t="shared" si="70"/>
        <v>1920</v>
      </c>
      <c r="E201" s="5">
        <f t="shared" si="70"/>
        <v>579</v>
      </c>
      <c r="F201" s="5">
        <f t="shared" si="70"/>
        <v>772</v>
      </c>
      <c r="G201" s="5">
        <f t="shared" si="68"/>
        <v>30264</v>
      </c>
      <c r="H201" s="5">
        <f t="shared" si="68"/>
        <v>7514</v>
      </c>
      <c r="I201" s="5">
        <f t="shared" si="68"/>
        <v>4992</v>
      </c>
      <c r="J201" s="5">
        <f t="shared" si="68"/>
        <v>1505.4</v>
      </c>
      <c r="K201" s="5">
        <f t="shared" si="68"/>
        <v>2007.2</v>
      </c>
      <c r="L201" s="5">
        <f t="shared" si="69"/>
        <v>15132</v>
      </c>
      <c r="M201" s="5">
        <f t="shared" si="69"/>
        <v>3757</v>
      </c>
      <c r="N201" s="5">
        <f t="shared" si="69"/>
        <v>2496</v>
      </c>
      <c r="O201" s="5">
        <f t="shared" si="69"/>
        <v>752.7</v>
      </c>
      <c r="P201" s="5">
        <f t="shared" si="69"/>
        <v>1003.6</v>
      </c>
      <c r="Q201" s="5">
        <f t="shared" si="62"/>
        <v>57036</v>
      </c>
      <c r="R201" s="5">
        <f t="shared" si="63"/>
        <v>14161</v>
      </c>
      <c r="S201" s="5">
        <f t="shared" si="64"/>
        <v>9408</v>
      </c>
      <c r="T201" s="5">
        <f t="shared" si="65"/>
        <v>2837.1000000000004</v>
      </c>
      <c r="U201" s="5">
        <f t="shared" si="66"/>
        <v>3782.7999999999997</v>
      </c>
      <c r="V201" s="5">
        <f>B201*战斗力计算!$B$8+C201*战斗力计算!$B$9+D201*战斗力计算!$B$10+E201*战斗力计算!$B$11+F201*战斗力计算!$B$12</f>
        <v>84800</v>
      </c>
      <c r="W201" s="5">
        <f>G201*战斗力计算!$B$8+H201*战斗力计算!$B$9+I201*战斗力计算!$B$10+J201*战斗力计算!$B$11+K201*战斗力计算!$B$12+L201*战斗力计算!$B$8+M201*战斗力计算!$B$9+N201*战斗力计算!$B$10+O201*战斗力计算!$B$11+P201*战斗力计算!$B$12</f>
        <v>330720</v>
      </c>
      <c r="X201" s="5">
        <f t="shared" si="67"/>
        <v>415520</v>
      </c>
      <c r="AC201">
        <f t="shared" si="48"/>
        <v>2.6</v>
      </c>
      <c r="AD201">
        <f t="shared" si="49"/>
        <v>1.3</v>
      </c>
      <c r="AF201">
        <f t="shared" si="50"/>
        <v>0.75000000000000011</v>
      </c>
      <c r="AH201">
        <f t="shared" si="51"/>
        <v>12</v>
      </c>
      <c r="AK201">
        <f t="shared" si="52"/>
        <v>6.0625</v>
      </c>
      <c r="AL201">
        <f t="shared" si="53"/>
        <v>1.5052083333333333</v>
      </c>
      <c r="AM201">
        <f t="shared" si="54"/>
        <v>1</v>
      </c>
      <c r="AN201">
        <f t="shared" si="55"/>
        <v>6.0625</v>
      </c>
      <c r="AO201">
        <f t="shared" si="56"/>
        <v>1.5052083333333333</v>
      </c>
      <c r="AP201">
        <f t="shared" si="57"/>
        <v>1</v>
      </c>
      <c r="AR201">
        <f t="shared" si="58"/>
        <v>4.4922279792746114</v>
      </c>
      <c r="AT201">
        <f t="shared" si="59"/>
        <v>4.4922279792746114</v>
      </c>
      <c r="AV201">
        <f t="shared" si="60"/>
        <v>2023</v>
      </c>
      <c r="AW201">
        <f t="shared" si="61"/>
        <v>3757</v>
      </c>
    </row>
    <row r="202" spans="1:49" x14ac:dyDescent="0.15">
      <c r="A202" s="5">
        <v>192</v>
      </c>
      <c r="B202" s="5">
        <f t="shared" si="46"/>
        <v>11700</v>
      </c>
      <c r="C202" s="5">
        <f t="shared" si="70"/>
        <v>2905</v>
      </c>
      <c r="D202" s="5">
        <f t="shared" si="70"/>
        <v>1930</v>
      </c>
      <c r="E202" s="5">
        <f t="shared" si="70"/>
        <v>582</v>
      </c>
      <c r="F202" s="5">
        <f t="shared" si="70"/>
        <v>776</v>
      </c>
      <c r="G202" s="5">
        <f t="shared" si="68"/>
        <v>30420</v>
      </c>
      <c r="H202" s="5">
        <f t="shared" si="68"/>
        <v>7553</v>
      </c>
      <c r="I202" s="5">
        <f t="shared" si="68"/>
        <v>5018</v>
      </c>
      <c r="J202" s="5">
        <f t="shared" si="68"/>
        <v>1513.2</v>
      </c>
      <c r="K202" s="5">
        <f t="shared" si="68"/>
        <v>2017.6000000000001</v>
      </c>
      <c r="L202" s="5">
        <f t="shared" si="69"/>
        <v>15210</v>
      </c>
      <c r="M202" s="5">
        <f t="shared" si="69"/>
        <v>3776.5</v>
      </c>
      <c r="N202" s="5">
        <f t="shared" si="69"/>
        <v>2509</v>
      </c>
      <c r="O202" s="5">
        <f t="shared" si="69"/>
        <v>756.6</v>
      </c>
      <c r="P202" s="5">
        <f t="shared" si="69"/>
        <v>1008.8000000000001</v>
      </c>
      <c r="Q202" s="5">
        <f t="shared" si="62"/>
        <v>57330</v>
      </c>
      <c r="R202" s="5">
        <f t="shared" si="63"/>
        <v>14234.5</v>
      </c>
      <c r="S202" s="5">
        <f t="shared" si="64"/>
        <v>9457</v>
      </c>
      <c r="T202" s="5">
        <f t="shared" si="65"/>
        <v>2851.7999999999997</v>
      </c>
      <c r="U202" s="5">
        <f t="shared" si="66"/>
        <v>3802.4000000000005</v>
      </c>
      <c r="V202" s="5">
        <f>B202*战斗力计算!$B$8+C202*战斗力计算!$B$9+D202*战斗力计算!$B$10+E202*战斗力计算!$B$11+F202*战斗力计算!$B$12</f>
        <v>85240</v>
      </c>
      <c r="W202" s="5">
        <f>G202*战斗力计算!$B$8+H202*战斗力计算!$B$9+I202*战斗力计算!$B$10+J202*战斗力计算!$B$11+K202*战斗力计算!$B$12+L202*战斗力计算!$B$8+M202*战斗力计算!$B$9+N202*战斗力计算!$B$10+O202*战斗力计算!$B$11+P202*战斗力计算!$B$12</f>
        <v>332436</v>
      </c>
      <c r="X202" s="5">
        <f t="shared" si="67"/>
        <v>417676</v>
      </c>
      <c r="AC202">
        <f t="shared" si="48"/>
        <v>2.6</v>
      </c>
      <c r="AD202">
        <f t="shared" si="49"/>
        <v>1.3</v>
      </c>
      <c r="AF202">
        <f t="shared" si="50"/>
        <v>0.74999999999999978</v>
      </c>
      <c r="AH202">
        <f t="shared" si="51"/>
        <v>12</v>
      </c>
      <c r="AK202">
        <f t="shared" si="52"/>
        <v>6.062176165803109</v>
      </c>
      <c r="AL202">
        <f t="shared" si="53"/>
        <v>1.5051813471502591</v>
      </c>
      <c r="AM202">
        <f t="shared" si="54"/>
        <v>1</v>
      </c>
      <c r="AN202">
        <f t="shared" si="55"/>
        <v>6.062176165803109</v>
      </c>
      <c r="AO202">
        <f t="shared" si="56"/>
        <v>1.5051813471502591</v>
      </c>
      <c r="AP202">
        <f t="shared" si="57"/>
        <v>1</v>
      </c>
      <c r="AR202">
        <f t="shared" si="58"/>
        <v>4.4922680412371134</v>
      </c>
      <c r="AT202">
        <f t="shared" si="59"/>
        <v>4.4922680412371134</v>
      </c>
      <c r="AV202">
        <f t="shared" si="60"/>
        <v>2033</v>
      </c>
      <c r="AW202">
        <f t="shared" si="61"/>
        <v>3776</v>
      </c>
    </row>
    <row r="203" spans="1:49" x14ac:dyDescent="0.15">
      <c r="A203" s="5">
        <v>193</v>
      </c>
      <c r="B203" s="5">
        <f t="shared" si="46"/>
        <v>11760</v>
      </c>
      <c r="C203" s="5">
        <f t="shared" si="70"/>
        <v>2920</v>
      </c>
      <c r="D203" s="5">
        <f t="shared" si="70"/>
        <v>1940</v>
      </c>
      <c r="E203" s="5">
        <f t="shared" si="70"/>
        <v>585</v>
      </c>
      <c r="F203" s="5">
        <f t="shared" si="70"/>
        <v>780</v>
      </c>
      <c r="G203" s="5">
        <f t="shared" si="68"/>
        <v>30576</v>
      </c>
      <c r="H203" s="5">
        <f t="shared" si="68"/>
        <v>7592</v>
      </c>
      <c r="I203" s="5">
        <f t="shared" si="68"/>
        <v>5044</v>
      </c>
      <c r="J203" s="5">
        <f t="shared" si="68"/>
        <v>1521</v>
      </c>
      <c r="K203" s="5">
        <f t="shared" si="68"/>
        <v>2028</v>
      </c>
      <c r="L203" s="5">
        <f t="shared" si="69"/>
        <v>15288</v>
      </c>
      <c r="M203" s="5">
        <f t="shared" si="69"/>
        <v>3796</v>
      </c>
      <c r="N203" s="5">
        <f t="shared" si="69"/>
        <v>2522</v>
      </c>
      <c r="O203" s="5">
        <f t="shared" si="69"/>
        <v>760.5</v>
      </c>
      <c r="P203" s="5">
        <f t="shared" si="69"/>
        <v>1014</v>
      </c>
      <c r="Q203" s="5">
        <f t="shared" si="62"/>
        <v>57624</v>
      </c>
      <c r="R203" s="5">
        <f t="shared" si="63"/>
        <v>14308</v>
      </c>
      <c r="S203" s="5">
        <f t="shared" si="64"/>
        <v>9506</v>
      </c>
      <c r="T203" s="5">
        <f t="shared" si="65"/>
        <v>2866.5</v>
      </c>
      <c r="U203" s="5">
        <f t="shared" si="66"/>
        <v>3822</v>
      </c>
      <c r="V203" s="5">
        <f>B203*战斗力计算!$B$8+C203*战斗力计算!$B$9+D203*战斗力计算!$B$10+E203*战斗力计算!$B$11+F203*战斗力计算!$B$12</f>
        <v>85680</v>
      </c>
      <c r="W203" s="5">
        <f>G203*战斗力计算!$B$8+H203*战斗力计算!$B$9+I203*战斗力计算!$B$10+J203*战斗力计算!$B$11+K203*战斗力计算!$B$12+L203*战斗力计算!$B$8+M203*战斗力计算!$B$9+N203*战斗力计算!$B$10+O203*战斗力计算!$B$11+P203*战斗力计算!$B$12</f>
        <v>334152</v>
      </c>
      <c r="X203" s="5">
        <f t="shared" si="67"/>
        <v>419832</v>
      </c>
      <c r="AC203">
        <f t="shared" si="48"/>
        <v>2.6</v>
      </c>
      <c r="AD203">
        <f t="shared" si="49"/>
        <v>1.3</v>
      </c>
      <c r="AF203">
        <f t="shared" si="50"/>
        <v>0.75</v>
      </c>
      <c r="AH203">
        <f t="shared" si="51"/>
        <v>12</v>
      </c>
      <c r="AK203">
        <f t="shared" si="52"/>
        <v>6.0618556701030926</v>
      </c>
      <c r="AL203">
        <f t="shared" si="53"/>
        <v>1.5051546391752577</v>
      </c>
      <c r="AM203">
        <f t="shared" si="54"/>
        <v>1</v>
      </c>
      <c r="AN203">
        <f t="shared" si="55"/>
        <v>6.0618556701030926</v>
      </c>
      <c r="AO203">
        <f t="shared" si="56"/>
        <v>1.5051546391752577</v>
      </c>
      <c r="AP203">
        <f t="shared" si="57"/>
        <v>1</v>
      </c>
      <c r="AR203">
        <f t="shared" si="58"/>
        <v>4.4923076923076923</v>
      </c>
      <c r="AT203">
        <f t="shared" si="59"/>
        <v>4.4923076923076923</v>
      </c>
      <c r="AV203">
        <f t="shared" si="60"/>
        <v>2044</v>
      </c>
      <c r="AW203">
        <f t="shared" si="61"/>
        <v>3796</v>
      </c>
    </row>
    <row r="204" spans="1:49" x14ac:dyDescent="0.15">
      <c r="A204" s="5">
        <v>194</v>
      </c>
      <c r="B204" s="5">
        <f t="shared" ref="B204:F267" si="71">INT(VLOOKUP(B$10,$A$2:$C$7,2,0)+($A204-1)*VLOOKUP(B$10,$A$2:$C$7,3,0))</f>
        <v>11820</v>
      </c>
      <c r="C204" s="5">
        <f t="shared" si="70"/>
        <v>2935</v>
      </c>
      <c r="D204" s="5">
        <f t="shared" si="70"/>
        <v>1950</v>
      </c>
      <c r="E204" s="5">
        <f t="shared" si="70"/>
        <v>588</v>
      </c>
      <c r="F204" s="5">
        <f t="shared" si="70"/>
        <v>784</v>
      </c>
      <c r="G204" s="5">
        <f t="shared" si="68"/>
        <v>30732</v>
      </c>
      <c r="H204" s="5">
        <f t="shared" si="68"/>
        <v>7631</v>
      </c>
      <c r="I204" s="5">
        <f t="shared" si="68"/>
        <v>5070</v>
      </c>
      <c r="J204" s="5">
        <f t="shared" si="68"/>
        <v>1528.8</v>
      </c>
      <c r="K204" s="5">
        <f t="shared" si="68"/>
        <v>2038.4</v>
      </c>
      <c r="L204" s="5">
        <f t="shared" si="69"/>
        <v>15366</v>
      </c>
      <c r="M204" s="5">
        <f t="shared" si="69"/>
        <v>3815.5</v>
      </c>
      <c r="N204" s="5">
        <f t="shared" si="69"/>
        <v>2535</v>
      </c>
      <c r="O204" s="5">
        <f t="shared" si="69"/>
        <v>764.4</v>
      </c>
      <c r="P204" s="5">
        <f t="shared" si="69"/>
        <v>1019.2</v>
      </c>
      <c r="Q204" s="5">
        <f t="shared" si="62"/>
        <v>57918</v>
      </c>
      <c r="R204" s="5">
        <f t="shared" si="63"/>
        <v>14381.5</v>
      </c>
      <c r="S204" s="5">
        <f t="shared" si="64"/>
        <v>9555</v>
      </c>
      <c r="T204" s="5">
        <f t="shared" si="65"/>
        <v>2881.2000000000003</v>
      </c>
      <c r="U204" s="5">
        <f t="shared" si="66"/>
        <v>3841.6000000000004</v>
      </c>
      <c r="V204" s="5">
        <f>B204*战斗力计算!$B$8+C204*战斗力计算!$B$9+D204*战斗力计算!$B$10+E204*战斗力计算!$B$11+F204*战斗力计算!$B$12</f>
        <v>86120</v>
      </c>
      <c r="W204" s="5">
        <f>G204*战斗力计算!$B$8+H204*战斗力计算!$B$9+I204*战斗力计算!$B$10+J204*战斗力计算!$B$11+K204*战斗力计算!$B$12+L204*战斗力计算!$B$8+M204*战斗力计算!$B$9+N204*战斗力计算!$B$10+O204*战斗力计算!$B$11+P204*战斗力计算!$B$12</f>
        <v>335868</v>
      </c>
      <c r="X204" s="5">
        <f t="shared" si="67"/>
        <v>421988</v>
      </c>
      <c r="AC204">
        <f t="shared" ref="AC204:AC267" si="72">VLOOKUP($A204,$Z$2:$AA$13,2,1)*$E$3</f>
        <v>2.6</v>
      </c>
      <c r="AD204">
        <f t="shared" ref="AD204:AD267" si="73">VLOOKUP($A204,$Z$2:$AA$13,2,1)*$E$6</f>
        <v>1.3</v>
      </c>
      <c r="AF204">
        <f t="shared" ref="AF204:AF267" si="74">T204/U204</f>
        <v>0.75</v>
      </c>
      <c r="AH204">
        <f t="shared" ref="AH204:AH267" si="75">Q204/(R204-S204)</f>
        <v>12</v>
      </c>
      <c r="AK204">
        <f t="shared" ref="AK204:AK267" si="76">B204/D204</f>
        <v>6.0615384615384613</v>
      </c>
      <c r="AL204">
        <f t="shared" ref="AL204:AL267" si="77">C204/D204</f>
        <v>1.5051282051282051</v>
      </c>
      <c r="AM204">
        <f t="shared" ref="AM204:AM267" si="78">D204/D204</f>
        <v>1</v>
      </c>
      <c r="AN204">
        <f t="shared" ref="AN204:AN267" si="79">(G204+L204)/(I204+N204)</f>
        <v>6.0615384615384613</v>
      </c>
      <c r="AO204">
        <f t="shared" ref="AO204:AO267" si="80">(H204+M204)/(I204+N204)</f>
        <v>1.5051282051282051</v>
      </c>
      <c r="AP204">
        <f t="shared" ref="AP204:AP267" si="81">(I204+N204)/(I204+N204)</f>
        <v>1</v>
      </c>
      <c r="AR204">
        <f t="shared" ref="AR204:AR267" si="82">(B204*1+C204*12+D204*12)/(E204*16+F204*8)</f>
        <v>4.4923469387755102</v>
      </c>
      <c r="AT204">
        <f t="shared" ref="AT204:AT267" si="83">(G204*1+H204*12+I204*12+L204*1+M204*12+N204*12)/(J204*16+K204*8+O204*16+P204*8)</f>
        <v>4.4923469387755102</v>
      </c>
      <c r="AV204">
        <f t="shared" ref="AV204:AV267" si="84">INT(C204*$H$5)</f>
        <v>2054</v>
      </c>
      <c r="AW204">
        <f t="shared" ref="AW204:AW267" si="85">INT(C204*$H$3)</f>
        <v>3815</v>
      </c>
    </row>
    <row r="205" spans="1:49" x14ac:dyDescent="0.15">
      <c r="A205" s="5">
        <v>195</v>
      </c>
      <c r="B205" s="5">
        <f t="shared" si="71"/>
        <v>11880</v>
      </c>
      <c r="C205" s="5">
        <f t="shared" si="70"/>
        <v>2950</v>
      </c>
      <c r="D205" s="5">
        <f t="shared" si="70"/>
        <v>1960</v>
      </c>
      <c r="E205" s="5">
        <f t="shared" si="70"/>
        <v>591</v>
      </c>
      <c r="F205" s="5">
        <f t="shared" si="70"/>
        <v>788</v>
      </c>
      <c r="G205" s="5">
        <f t="shared" si="68"/>
        <v>30888</v>
      </c>
      <c r="H205" s="5">
        <f t="shared" si="68"/>
        <v>7670</v>
      </c>
      <c r="I205" s="5">
        <f t="shared" si="68"/>
        <v>5096</v>
      </c>
      <c r="J205" s="5">
        <f t="shared" si="68"/>
        <v>1536.6000000000001</v>
      </c>
      <c r="K205" s="5">
        <f t="shared" si="68"/>
        <v>2048.8000000000002</v>
      </c>
      <c r="L205" s="5">
        <f t="shared" si="69"/>
        <v>15444</v>
      </c>
      <c r="M205" s="5">
        <f t="shared" si="69"/>
        <v>3835</v>
      </c>
      <c r="N205" s="5">
        <f t="shared" si="69"/>
        <v>2548</v>
      </c>
      <c r="O205" s="5">
        <f t="shared" si="69"/>
        <v>768.30000000000007</v>
      </c>
      <c r="P205" s="5">
        <f t="shared" si="69"/>
        <v>1024.4000000000001</v>
      </c>
      <c r="Q205" s="5">
        <f t="shared" si="62"/>
        <v>58212</v>
      </c>
      <c r="R205" s="5">
        <f t="shared" si="63"/>
        <v>14455</v>
      </c>
      <c r="S205" s="5">
        <f t="shared" si="64"/>
        <v>9604</v>
      </c>
      <c r="T205" s="5">
        <f t="shared" si="65"/>
        <v>2895.9000000000005</v>
      </c>
      <c r="U205" s="5">
        <f t="shared" si="66"/>
        <v>3861.2000000000003</v>
      </c>
      <c r="V205" s="5">
        <f>B205*战斗力计算!$B$8+C205*战斗力计算!$B$9+D205*战斗力计算!$B$10+E205*战斗力计算!$B$11+F205*战斗力计算!$B$12</f>
        <v>86560</v>
      </c>
      <c r="W205" s="5">
        <f>G205*战斗力计算!$B$8+H205*战斗力计算!$B$9+I205*战斗力计算!$B$10+J205*战斗力计算!$B$11+K205*战斗力计算!$B$12+L205*战斗力计算!$B$8+M205*战斗力计算!$B$9+N205*战斗力计算!$B$10+O205*战斗力计算!$B$11+P205*战斗力计算!$B$12</f>
        <v>337584</v>
      </c>
      <c r="X205" s="5">
        <f t="shared" si="67"/>
        <v>424144</v>
      </c>
      <c r="AC205">
        <f t="shared" si="72"/>
        <v>2.6</v>
      </c>
      <c r="AD205">
        <f t="shared" si="73"/>
        <v>1.3</v>
      </c>
      <c r="AF205">
        <f t="shared" si="74"/>
        <v>0.75000000000000011</v>
      </c>
      <c r="AH205">
        <f t="shared" si="75"/>
        <v>12</v>
      </c>
      <c r="AK205">
        <f t="shared" si="76"/>
        <v>6.0612244897959187</v>
      </c>
      <c r="AL205">
        <f t="shared" si="77"/>
        <v>1.5051020408163265</v>
      </c>
      <c r="AM205">
        <f t="shared" si="78"/>
        <v>1</v>
      </c>
      <c r="AN205">
        <f t="shared" si="79"/>
        <v>6.0612244897959187</v>
      </c>
      <c r="AO205">
        <f t="shared" si="80"/>
        <v>1.5051020408163265</v>
      </c>
      <c r="AP205">
        <f t="shared" si="81"/>
        <v>1</v>
      </c>
      <c r="AR205">
        <f t="shared" si="82"/>
        <v>4.4923857868020303</v>
      </c>
      <c r="AT205">
        <f t="shared" si="83"/>
        <v>4.4923857868020303</v>
      </c>
      <c r="AV205">
        <f t="shared" si="84"/>
        <v>2065</v>
      </c>
      <c r="AW205">
        <f t="shared" si="85"/>
        <v>3835</v>
      </c>
    </row>
    <row r="206" spans="1:49" x14ac:dyDescent="0.15">
      <c r="A206" s="5">
        <v>196</v>
      </c>
      <c r="B206" s="5">
        <f t="shared" si="71"/>
        <v>11940</v>
      </c>
      <c r="C206" s="5">
        <f t="shared" si="70"/>
        <v>2965</v>
      </c>
      <c r="D206" s="5">
        <f t="shared" si="70"/>
        <v>1970</v>
      </c>
      <c r="E206" s="5">
        <f t="shared" si="70"/>
        <v>594</v>
      </c>
      <c r="F206" s="5">
        <f t="shared" si="70"/>
        <v>792</v>
      </c>
      <c r="G206" s="5">
        <f t="shared" si="68"/>
        <v>31044</v>
      </c>
      <c r="H206" s="5">
        <f t="shared" si="68"/>
        <v>7709</v>
      </c>
      <c r="I206" s="5">
        <f t="shared" si="68"/>
        <v>5122</v>
      </c>
      <c r="J206" s="5">
        <f t="shared" si="68"/>
        <v>1544.4</v>
      </c>
      <c r="K206" s="5">
        <f t="shared" si="68"/>
        <v>2059.2000000000003</v>
      </c>
      <c r="L206" s="5">
        <f t="shared" si="69"/>
        <v>15522</v>
      </c>
      <c r="M206" s="5">
        <f t="shared" si="69"/>
        <v>3854.5</v>
      </c>
      <c r="N206" s="5">
        <f t="shared" si="69"/>
        <v>2561</v>
      </c>
      <c r="O206" s="5">
        <f t="shared" si="69"/>
        <v>772.2</v>
      </c>
      <c r="P206" s="5">
        <f t="shared" si="69"/>
        <v>1029.6000000000001</v>
      </c>
      <c r="Q206" s="5">
        <f t="shared" si="62"/>
        <v>58506</v>
      </c>
      <c r="R206" s="5">
        <f t="shared" si="63"/>
        <v>14528.5</v>
      </c>
      <c r="S206" s="5">
        <f t="shared" si="64"/>
        <v>9653</v>
      </c>
      <c r="T206" s="5">
        <f t="shared" si="65"/>
        <v>2910.6000000000004</v>
      </c>
      <c r="U206" s="5">
        <f t="shared" si="66"/>
        <v>3880.8</v>
      </c>
      <c r="V206" s="5">
        <f>B206*战斗力计算!$B$8+C206*战斗力计算!$B$9+D206*战斗力计算!$B$10+E206*战斗力计算!$B$11+F206*战斗力计算!$B$12</f>
        <v>87000</v>
      </c>
      <c r="W206" s="5">
        <f>G206*战斗力计算!$B$8+H206*战斗力计算!$B$9+I206*战斗力计算!$B$10+J206*战斗力计算!$B$11+K206*战斗力计算!$B$12+L206*战斗力计算!$B$8+M206*战斗力计算!$B$9+N206*战斗力计算!$B$10+O206*战斗力计算!$B$11+P206*战斗力计算!$B$12</f>
        <v>339300</v>
      </c>
      <c r="X206" s="5">
        <f t="shared" si="67"/>
        <v>426300</v>
      </c>
      <c r="AC206">
        <f t="shared" si="72"/>
        <v>2.6</v>
      </c>
      <c r="AD206">
        <f t="shared" si="73"/>
        <v>1.3</v>
      </c>
      <c r="AF206">
        <f t="shared" si="74"/>
        <v>0.75000000000000011</v>
      </c>
      <c r="AH206">
        <f t="shared" si="75"/>
        <v>12</v>
      </c>
      <c r="AK206">
        <f t="shared" si="76"/>
        <v>6.0609137055837561</v>
      </c>
      <c r="AL206">
        <f t="shared" si="77"/>
        <v>1.5050761421319796</v>
      </c>
      <c r="AM206">
        <f t="shared" si="78"/>
        <v>1</v>
      </c>
      <c r="AN206">
        <f t="shared" si="79"/>
        <v>6.0609137055837561</v>
      </c>
      <c r="AO206">
        <f t="shared" si="80"/>
        <v>1.5050761421319796</v>
      </c>
      <c r="AP206">
        <f t="shared" si="81"/>
        <v>1</v>
      </c>
      <c r="AR206">
        <f t="shared" si="82"/>
        <v>4.4924242424242422</v>
      </c>
      <c r="AT206">
        <f t="shared" si="83"/>
        <v>4.4924242424242422</v>
      </c>
      <c r="AV206">
        <f t="shared" si="84"/>
        <v>2075</v>
      </c>
      <c r="AW206">
        <f t="shared" si="85"/>
        <v>3854</v>
      </c>
    </row>
    <row r="207" spans="1:49" x14ac:dyDescent="0.15">
      <c r="A207" s="5">
        <v>197</v>
      </c>
      <c r="B207" s="5">
        <f t="shared" si="71"/>
        <v>12000</v>
      </c>
      <c r="C207" s="5">
        <f t="shared" si="70"/>
        <v>2980</v>
      </c>
      <c r="D207" s="5">
        <f t="shared" si="70"/>
        <v>1980</v>
      </c>
      <c r="E207" s="5">
        <f t="shared" si="70"/>
        <v>597</v>
      </c>
      <c r="F207" s="5">
        <f t="shared" si="70"/>
        <v>796</v>
      </c>
      <c r="G207" s="5">
        <f t="shared" si="68"/>
        <v>31200</v>
      </c>
      <c r="H207" s="5">
        <f t="shared" si="68"/>
        <v>7748</v>
      </c>
      <c r="I207" s="5">
        <f t="shared" si="68"/>
        <v>5148</v>
      </c>
      <c r="J207" s="5">
        <f t="shared" si="68"/>
        <v>1552.2</v>
      </c>
      <c r="K207" s="5">
        <f t="shared" si="68"/>
        <v>2069.6</v>
      </c>
      <c r="L207" s="5">
        <f t="shared" si="69"/>
        <v>15600</v>
      </c>
      <c r="M207" s="5">
        <f t="shared" si="69"/>
        <v>3874</v>
      </c>
      <c r="N207" s="5">
        <f t="shared" si="69"/>
        <v>2574</v>
      </c>
      <c r="O207" s="5">
        <f t="shared" si="69"/>
        <v>776.1</v>
      </c>
      <c r="P207" s="5">
        <f t="shared" si="69"/>
        <v>1034.8</v>
      </c>
      <c r="Q207" s="5">
        <f t="shared" si="62"/>
        <v>58800</v>
      </c>
      <c r="R207" s="5">
        <f t="shared" si="63"/>
        <v>14602</v>
      </c>
      <c r="S207" s="5">
        <f t="shared" si="64"/>
        <v>9702</v>
      </c>
      <c r="T207" s="5">
        <f t="shared" si="65"/>
        <v>2925.2999999999997</v>
      </c>
      <c r="U207" s="5">
        <f t="shared" si="66"/>
        <v>3900.3999999999996</v>
      </c>
      <c r="V207" s="5">
        <f>B207*战斗力计算!$B$8+C207*战斗力计算!$B$9+D207*战斗力计算!$B$10+E207*战斗力计算!$B$11+F207*战斗力计算!$B$12</f>
        <v>87440</v>
      </c>
      <c r="W207" s="5">
        <f>G207*战斗力计算!$B$8+H207*战斗力计算!$B$9+I207*战斗力计算!$B$10+J207*战斗力计算!$B$11+K207*战斗力计算!$B$12+L207*战斗力计算!$B$8+M207*战斗力计算!$B$9+N207*战斗力计算!$B$10+O207*战斗力计算!$B$11+P207*战斗力计算!$B$12</f>
        <v>341016</v>
      </c>
      <c r="X207" s="5">
        <f t="shared" si="67"/>
        <v>428456</v>
      </c>
      <c r="AC207">
        <f t="shared" si="72"/>
        <v>2.6</v>
      </c>
      <c r="AD207">
        <f t="shared" si="73"/>
        <v>1.3</v>
      </c>
      <c r="AF207">
        <f t="shared" si="74"/>
        <v>0.75</v>
      </c>
      <c r="AH207">
        <f t="shared" si="75"/>
        <v>12</v>
      </c>
      <c r="AK207">
        <f t="shared" si="76"/>
        <v>6.0606060606060606</v>
      </c>
      <c r="AL207">
        <f t="shared" si="77"/>
        <v>1.505050505050505</v>
      </c>
      <c r="AM207">
        <f t="shared" si="78"/>
        <v>1</v>
      </c>
      <c r="AN207">
        <f t="shared" si="79"/>
        <v>6.0606060606060606</v>
      </c>
      <c r="AO207">
        <f t="shared" si="80"/>
        <v>1.505050505050505</v>
      </c>
      <c r="AP207">
        <f t="shared" si="81"/>
        <v>1</v>
      </c>
      <c r="AR207">
        <f t="shared" si="82"/>
        <v>4.4924623115577891</v>
      </c>
      <c r="AT207">
        <f t="shared" si="83"/>
        <v>4.4924623115577891</v>
      </c>
      <c r="AV207">
        <f t="shared" si="84"/>
        <v>2086</v>
      </c>
      <c r="AW207">
        <f t="shared" si="85"/>
        <v>3874</v>
      </c>
    </row>
    <row r="208" spans="1:49" x14ac:dyDescent="0.15">
      <c r="A208" s="5">
        <v>198</v>
      </c>
      <c r="B208" s="5">
        <f t="shared" si="71"/>
        <v>12060</v>
      </c>
      <c r="C208" s="5">
        <f t="shared" si="70"/>
        <v>2995</v>
      </c>
      <c r="D208" s="5">
        <f t="shared" si="70"/>
        <v>1990</v>
      </c>
      <c r="E208" s="5">
        <f t="shared" si="70"/>
        <v>600</v>
      </c>
      <c r="F208" s="5">
        <f t="shared" si="70"/>
        <v>800</v>
      </c>
      <c r="G208" s="5">
        <f t="shared" si="68"/>
        <v>31356</v>
      </c>
      <c r="H208" s="5">
        <f t="shared" si="68"/>
        <v>7787</v>
      </c>
      <c r="I208" s="5">
        <f t="shared" si="68"/>
        <v>5174</v>
      </c>
      <c r="J208" s="5">
        <f t="shared" si="68"/>
        <v>1560</v>
      </c>
      <c r="K208" s="5">
        <f t="shared" si="68"/>
        <v>2080</v>
      </c>
      <c r="L208" s="5">
        <f t="shared" si="69"/>
        <v>15678</v>
      </c>
      <c r="M208" s="5">
        <f t="shared" si="69"/>
        <v>3893.5</v>
      </c>
      <c r="N208" s="5">
        <f t="shared" si="69"/>
        <v>2587</v>
      </c>
      <c r="O208" s="5">
        <f t="shared" si="69"/>
        <v>780</v>
      </c>
      <c r="P208" s="5">
        <f t="shared" si="69"/>
        <v>1040</v>
      </c>
      <c r="Q208" s="5">
        <f t="shared" si="62"/>
        <v>59094</v>
      </c>
      <c r="R208" s="5">
        <f t="shared" si="63"/>
        <v>14675.5</v>
      </c>
      <c r="S208" s="5">
        <f t="shared" si="64"/>
        <v>9751</v>
      </c>
      <c r="T208" s="5">
        <f t="shared" si="65"/>
        <v>2940</v>
      </c>
      <c r="U208" s="5">
        <f t="shared" si="66"/>
        <v>3920</v>
      </c>
      <c r="V208" s="5">
        <f>B208*战斗力计算!$B$8+C208*战斗力计算!$B$9+D208*战斗力计算!$B$10+E208*战斗力计算!$B$11+F208*战斗力计算!$B$12</f>
        <v>87880</v>
      </c>
      <c r="W208" s="5">
        <f>G208*战斗力计算!$B$8+H208*战斗力计算!$B$9+I208*战斗力计算!$B$10+J208*战斗力计算!$B$11+K208*战斗力计算!$B$12+L208*战斗力计算!$B$8+M208*战斗力计算!$B$9+N208*战斗力计算!$B$10+O208*战斗力计算!$B$11+P208*战斗力计算!$B$12</f>
        <v>342732</v>
      </c>
      <c r="X208" s="5">
        <f t="shared" si="67"/>
        <v>430612</v>
      </c>
      <c r="AC208">
        <f t="shared" si="72"/>
        <v>2.6</v>
      </c>
      <c r="AD208">
        <f t="shared" si="73"/>
        <v>1.3</v>
      </c>
      <c r="AF208">
        <f t="shared" si="74"/>
        <v>0.75</v>
      </c>
      <c r="AH208">
        <f t="shared" si="75"/>
        <v>12</v>
      </c>
      <c r="AK208">
        <f t="shared" si="76"/>
        <v>6.0603015075376883</v>
      </c>
      <c r="AL208">
        <f t="shared" si="77"/>
        <v>1.5050251256281406</v>
      </c>
      <c r="AM208">
        <f t="shared" si="78"/>
        <v>1</v>
      </c>
      <c r="AN208">
        <f t="shared" si="79"/>
        <v>6.0603015075376883</v>
      </c>
      <c r="AO208">
        <f t="shared" si="80"/>
        <v>1.5050251256281406</v>
      </c>
      <c r="AP208">
        <f t="shared" si="81"/>
        <v>1</v>
      </c>
      <c r="AR208">
        <f t="shared" si="82"/>
        <v>4.4924999999999997</v>
      </c>
      <c r="AT208">
        <f t="shared" si="83"/>
        <v>4.4924999999999997</v>
      </c>
      <c r="AV208">
        <f t="shared" si="84"/>
        <v>2096</v>
      </c>
      <c r="AW208">
        <f t="shared" si="85"/>
        <v>3893</v>
      </c>
    </row>
    <row r="209" spans="1:49" x14ac:dyDescent="0.15">
      <c r="A209" s="5">
        <v>199</v>
      </c>
      <c r="B209" s="5">
        <f t="shared" si="71"/>
        <v>12120</v>
      </c>
      <c r="C209" s="5">
        <f t="shared" si="70"/>
        <v>3010</v>
      </c>
      <c r="D209" s="5">
        <f t="shared" si="70"/>
        <v>2000</v>
      </c>
      <c r="E209" s="5">
        <f t="shared" si="70"/>
        <v>603</v>
      </c>
      <c r="F209" s="5">
        <f t="shared" si="70"/>
        <v>804</v>
      </c>
      <c r="G209" s="5">
        <f t="shared" si="68"/>
        <v>31512</v>
      </c>
      <c r="H209" s="5">
        <f t="shared" si="68"/>
        <v>7826</v>
      </c>
      <c r="I209" s="5">
        <f t="shared" si="68"/>
        <v>5200</v>
      </c>
      <c r="J209" s="5">
        <f t="shared" si="68"/>
        <v>1567.8</v>
      </c>
      <c r="K209" s="5">
        <f t="shared" si="68"/>
        <v>2090.4</v>
      </c>
      <c r="L209" s="5">
        <f t="shared" si="69"/>
        <v>15756</v>
      </c>
      <c r="M209" s="5">
        <f t="shared" si="69"/>
        <v>3913</v>
      </c>
      <c r="N209" s="5">
        <f t="shared" si="69"/>
        <v>2600</v>
      </c>
      <c r="O209" s="5">
        <f t="shared" si="69"/>
        <v>783.9</v>
      </c>
      <c r="P209" s="5">
        <f t="shared" si="69"/>
        <v>1045.2</v>
      </c>
      <c r="Q209" s="5">
        <f t="shared" si="62"/>
        <v>59388</v>
      </c>
      <c r="R209" s="5">
        <f t="shared" si="63"/>
        <v>14749</v>
      </c>
      <c r="S209" s="5">
        <f t="shared" si="64"/>
        <v>9800</v>
      </c>
      <c r="T209" s="5">
        <f t="shared" si="65"/>
        <v>2954.7000000000003</v>
      </c>
      <c r="U209" s="5">
        <f t="shared" si="66"/>
        <v>3939.6000000000004</v>
      </c>
      <c r="V209" s="5">
        <f>B209*战斗力计算!$B$8+C209*战斗力计算!$B$9+D209*战斗力计算!$B$10+E209*战斗力计算!$B$11+F209*战斗力计算!$B$12</f>
        <v>88320</v>
      </c>
      <c r="W209" s="5">
        <f>G209*战斗力计算!$B$8+H209*战斗力计算!$B$9+I209*战斗力计算!$B$10+J209*战斗力计算!$B$11+K209*战斗力计算!$B$12+L209*战斗力计算!$B$8+M209*战斗力计算!$B$9+N209*战斗力计算!$B$10+O209*战斗力计算!$B$11+P209*战斗力计算!$B$12</f>
        <v>344448</v>
      </c>
      <c r="X209" s="5">
        <f t="shared" si="67"/>
        <v>432768</v>
      </c>
      <c r="AC209">
        <f t="shared" si="72"/>
        <v>2.6</v>
      </c>
      <c r="AD209">
        <f t="shared" si="73"/>
        <v>1.3</v>
      </c>
      <c r="AF209">
        <f t="shared" si="74"/>
        <v>0.75</v>
      </c>
      <c r="AH209">
        <f t="shared" si="75"/>
        <v>12</v>
      </c>
      <c r="AK209">
        <f t="shared" si="76"/>
        <v>6.06</v>
      </c>
      <c r="AL209">
        <f t="shared" si="77"/>
        <v>1.5049999999999999</v>
      </c>
      <c r="AM209">
        <f t="shared" si="78"/>
        <v>1</v>
      </c>
      <c r="AN209">
        <f t="shared" si="79"/>
        <v>6.06</v>
      </c>
      <c r="AO209">
        <f t="shared" si="80"/>
        <v>1.5049999999999999</v>
      </c>
      <c r="AP209">
        <f t="shared" si="81"/>
        <v>1</v>
      </c>
      <c r="AR209">
        <f t="shared" si="82"/>
        <v>4.4925373134328357</v>
      </c>
      <c r="AT209">
        <f t="shared" si="83"/>
        <v>4.4925373134328357</v>
      </c>
      <c r="AV209">
        <f t="shared" si="84"/>
        <v>2107</v>
      </c>
      <c r="AW209">
        <f t="shared" si="85"/>
        <v>3913</v>
      </c>
    </row>
    <row r="210" spans="1:49" x14ac:dyDescent="0.15">
      <c r="A210" s="5">
        <v>200</v>
      </c>
      <c r="B210" s="5">
        <f t="shared" si="71"/>
        <v>12180</v>
      </c>
      <c r="C210" s="5">
        <f t="shared" si="70"/>
        <v>3025</v>
      </c>
      <c r="D210" s="5">
        <f t="shared" si="70"/>
        <v>2010</v>
      </c>
      <c r="E210" s="5">
        <f t="shared" si="70"/>
        <v>606</v>
      </c>
      <c r="F210" s="5">
        <f t="shared" si="70"/>
        <v>808</v>
      </c>
      <c r="G210" s="5">
        <f t="shared" si="68"/>
        <v>34104</v>
      </c>
      <c r="H210" s="5">
        <f t="shared" si="68"/>
        <v>8470</v>
      </c>
      <c r="I210" s="5">
        <f t="shared" si="68"/>
        <v>5628</v>
      </c>
      <c r="J210" s="5">
        <f t="shared" si="68"/>
        <v>1696.8</v>
      </c>
      <c r="K210" s="5">
        <f t="shared" si="68"/>
        <v>2262.3999999999996</v>
      </c>
      <c r="L210" s="5">
        <f t="shared" si="69"/>
        <v>17052</v>
      </c>
      <c r="M210" s="5">
        <f t="shared" si="69"/>
        <v>4235</v>
      </c>
      <c r="N210" s="5">
        <f t="shared" si="69"/>
        <v>2814</v>
      </c>
      <c r="O210" s="5">
        <f t="shared" si="69"/>
        <v>848.4</v>
      </c>
      <c r="P210" s="5">
        <f t="shared" si="69"/>
        <v>1131.1999999999998</v>
      </c>
      <c r="Q210" s="5">
        <f t="shared" si="62"/>
        <v>63336</v>
      </c>
      <c r="R210" s="5">
        <f t="shared" si="63"/>
        <v>15730</v>
      </c>
      <c r="S210" s="5">
        <f t="shared" si="64"/>
        <v>10452</v>
      </c>
      <c r="T210" s="5">
        <f t="shared" si="65"/>
        <v>3151.2000000000003</v>
      </c>
      <c r="U210" s="5">
        <f t="shared" si="66"/>
        <v>4201.5999999999995</v>
      </c>
      <c r="V210" s="5">
        <f>B210*战斗力计算!$B$8+C210*战斗力计算!$B$9+D210*战斗力计算!$B$10+E210*战斗力计算!$B$11+F210*战斗力计算!$B$12</f>
        <v>88760</v>
      </c>
      <c r="W210" s="5">
        <f>G210*战斗力计算!$B$8+H210*战斗力计算!$B$9+I210*战斗力计算!$B$10+J210*战斗力计算!$B$11+K210*战斗力计算!$B$12+L210*战斗力计算!$B$8+M210*战斗力计算!$B$9+N210*战斗力计算!$B$10+O210*战斗力计算!$B$11+P210*战斗力计算!$B$12</f>
        <v>372792</v>
      </c>
      <c r="X210" s="5">
        <f t="shared" si="67"/>
        <v>461552</v>
      </c>
      <c r="AC210">
        <f t="shared" si="72"/>
        <v>2.8</v>
      </c>
      <c r="AD210">
        <f t="shared" si="73"/>
        <v>1.4</v>
      </c>
      <c r="AF210">
        <f t="shared" si="74"/>
        <v>0.75000000000000011</v>
      </c>
      <c r="AH210">
        <f t="shared" si="75"/>
        <v>12</v>
      </c>
      <c r="AK210">
        <f t="shared" si="76"/>
        <v>6.0597014925373136</v>
      </c>
      <c r="AL210">
        <f t="shared" si="77"/>
        <v>1.5049751243781095</v>
      </c>
      <c r="AM210">
        <f t="shared" si="78"/>
        <v>1</v>
      </c>
      <c r="AN210">
        <f t="shared" si="79"/>
        <v>6.0597014925373136</v>
      </c>
      <c r="AO210">
        <f t="shared" si="80"/>
        <v>1.5049751243781095</v>
      </c>
      <c r="AP210">
        <f t="shared" si="81"/>
        <v>1</v>
      </c>
      <c r="AR210">
        <f t="shared" si="82"/>
        <v>4.4925742574257423</v>
      </c>
      <c r="AT210">
        <f t="shared" si="83"/>
        <v>4.4925742574257423</v>
      </c>
      <c r="AV210">
        <f t="shared" si="84"/>
        <v>2117</v>
      </c>
      <c r="AW210">
        <f t="shared" si="85"/>
        <v>3932</v>
      </c>
    </row>
    <row r="211" spans="1:49" x14ac:dyDescent="0.15">
      <c r="A211" s="5">
        <v>201</v>
      </c>
      <c r="B211" s="5">
        <f t="shared" si="71"/>
        <v>12240</v>
      </c>
      <c r="C211" s="5">
        <f t="shared" si="70"/>
        <v>3040</v>
      </c>
      <c r="D211" s="5">
        <f t="shared" si="70"/>
        <v>2020</v>
      </c>
      <c r="E211" s="5">
        <f t="shared" si="70"/>
        <v>609</v>
      </c>
      <c r="F211" s="5">
        <f t="shared" si="70"/>
        <v>812</v>
      </c>
      <c r="G211" s="5">
        <f t="shared" si="68"/>
        <v>34272</v>
      </c>
      <c r="H211" s="5">
        <f t="shared" si="68"/>
        <v>8512</v>
      </c>
      <c r="I211" s="5">
        <f t="shared" si="68"/>
        <v>5656</v>
      </c>
      <c r="J211" s="5">
        <f t="shared" si="68"/>
        <v>1705.1999999999998</v>
      </c>
      <c r="K211" s="5">
        <f t="shared" si="68"/>
        <v>2273.6</v>
      </c>
      <c r="L211" s="5">
        <f t="shared" si="69"/>
        <v>17136</v>
      </c>
      <c r="M211" s="5">
        <f t="shared" si="69"/>
        <v>4256</v>
      </c>
      <c r="N211" s="5">
        <f t="shared" si="69"/>
        <v>2828</v>
      </c>
      <c r="O211" s="5">
        <f t="shared" si="69"/>
        <v>852.59999999999991</v>
      </c>
      <c r="P211" s="5">
        <f t="shared" si="69"/>
        <v>1136.8</v>
      </c>
      <c r="Q211" s="5">
        <f t="shared" si="62"/>
        <v>63648</v>
      </c>
      <c r="R211" s="5">
        <f t="shared" si="63"/>
        <v>15808</v>
      </c>
      <c r="S211" s="5">
        <f t="shared" si="64"/>
        <v>10504</v>
      </c>
      <c r="T211" s="5">
        <f t="shared" si="65"/>
        <v>3166.7999999999997</v>
      </c>
      <c r="U211" s="5">
        <f t="shared" si="66"/>
        <v>4222.3999999999996</v>
      </c>
      <c r="V211" s="5">
        <f>B211*战斗力计算!$B$8+C211*战斗力计算!$B$9+D211*战斗力计算!$B$10+E211*战斗力计算!$B$11+F211*战斗力计算!$B$12</f>
        <v>89200</v>
      </c>
      <c r="W211" s="5">
        <f>G211*战斗力计算!$B$8+H211*战斗力计算!$B$9+I211*战斗力计算!$B$10+J211*战斗力计算!$B$11+K211*战斗力计算!$B$12+L211*战斗力计算!$B$8+M211*战斗力计算!$B$9+N211*战斗力计算!$B$10+O211*战斗力计算!$B$11+P211*战斗力计算!$B$12</f>
        <v>374640</v>
      </c>
      <c r="X211" s="5">
        <f t="shared" si="67"/>
        <v>463840</v>
      </c>
      <c r="AC211">
        <f t="shared" si="72"/>
        <v>2.8</v>
      </c>
      <c r="AD211">
        <f t="shared" si="73"/>
        <v>1.4</v>
      </c>
      <c r="AF211">
        <f t="shared" si="74"/>
        <v>0.75</v>
      </c>
      <c r="AH211">
        <f t="shared" si="75"/>
        <v>12</v>
      </c>
      <c r="AK211">
        <f t="shared" si="76"/>
        <v>6.0594059405940595</v>
      </c>
      <c r="AL211">
        <f t="shared" si="77"/>
        <v>1.504950495049505</v>
      </c>
      <c r="AM211">
        <f t="shared" si="78"/>
        <v>1</v>
      </c>
      <c r="AN211">
        <f t="shared" si="79"/>
        <v>6.0594059405940595</v>
      </c>
      <c r="AO211">
        <f t="shared" si="80"/>
        <v>1.504950495049505</v>
      </c>
      <c r="AP211">
        <f t="shared" si="81"/>
        <v>1</v>
      </c>
      <c r="AR211">
        <f t="shared" si="82"/>
        <v>4.4926108374384235</v>
      </c>
      <c r="AT211">
        <f t="shared" si="83"/>
        <v>4.4926108374384235</v>
      </c>
      <c r="AV211">
        <f t="shared" si="84"/>
        <v>2128</v>
      </c>
      <c r="AW211">
        <f t="shared" si="85"/>
        <v>3952</v>
      </c>
    </row>
    <row r="212" spans="1:49" x14ac:dyDescent="0.15">
      <c r="A212" s="5">
        <v>202</v>
      </c>
      <c r="B212" s="5">
        <f t="shared" si="71"/>
        <v>12300</v>
      </c>
      <c r="C212" s="5">
        <f t="shared" si="70"/>
        <v>3055</v>
      </c>
      <c r="D212" s="5">
        <f t="shared" si="70"/>
        <v>2030</v>
      </c>
      <c r="E212" s="5">
        <f t="shared" si="70"/>
        <v>612</v>
      </c>
      <c r="F212" s="5">
        <f t="shared" si="70"/>
        <v>816</v>
      </c>
      <c r="G212" s="5">
        <f t="shared" si="68"/>
        <v>34440</v>
      </c>
      <c r="H212" s="5">
        <f t="shared" si="68"/>
        <v>8554</v>
      </c>
      <c r="I212" s="5">
        <f t="shared" si="68"/>
        <v>5684</v>
      </c>
      <c r="J212" s="5">
        <f t="shared" si="68"/>
        <v>1713.6</v>
      </c>
      <c r="K212" s="5">
        <f t="shared" si="68"/>
        <v>2284.7999999999997</v>
      </c>
      <c r="L212" s="5">
        <f t="shared" si="69"/>
        <v>17220</v>
      </c>
      <c r="M212" s="5">
        <f t="shared" si="69"/>
        <v>4277</v>
      </c>
      <c r="N212" s="5">
        <f t="shared" si="69"/>
        <v>2842</v>
      </c>
      <c r="O212" s="5">
        <f t="shared" si="69"/>
        <v>856.8</v>
      </c>
      <c r="P212" s="5">
        <f t="shared" si="69"/>
        <v>1142.3999999999999</v>
      </c>
      <c r="Q212" s="5">
        <f t="shared" si="62"/>
        <v>63960</v>
      </c>
      <c r="R212" s="5">
        <f t="shared" si="63"/>
        <v>15886</v>
      </c>
      <c r="S212" s="5">
        <f t="shared" si="64"/>
        <v>10556</v>
      </c>
      <c r="T212" s="5">
        <f t="shared" si="65"/>
        <v>3182.3999999999996</v>
      </c>
      <c r="U212" s="5">
        <f t="shared" si="66"/>
        <v>4243.2</v>
      </c>
      <c r="V212" s="5">
        <f>B212*战斗力计算!$B$8+C212*战斗力计算!$B$9+D212*战斗力计算!$B$10+E212*战斗力计算!$B$11+F212*战斗力计算!$B$12</f>
        <v>89640</v>
      </c>
      <c r="W212" s="5">
        <f>G212*战斗力计算!$B$8+H212*战斗力计算!$B$9+I212*战斗力计算!$B$10+J212*战斗力计算!$B$11+K212*战斗力计算!$B$12+L212*战斗力计算!$B$8+M212*战斗力计算!$B$9+N212*战斗力计算!$B$10+O212*战斗力计算!$B$11+P212*战斗力计算!$B$12</f>
        <v>376488</v>
      </c>
      <c r="X212" s="5">
        <f t="shared" si="67"/>
        <v>466128</v>
      </c>
      <c r="AC212">
        <f t="shared" si="72"/>
        <v>2.8</v>
      </c>
      <c r="AD212">
        <f t="shared" si="73"/>
        <v>1.4</v>
      </c>
      <c r="AF212">
        <f t="shared" si="74"/>
        <v>0.75</v>
      </c>
      <c r="AH212">
        <f t="shared" si="75"/>
        <v>12</v>
      </c>
      <c r="AK212">
        <f t="shared" si="76"/>
        <v>6.0591133004926112</v>
      </c>
      <c r="AL212">
        <f t="shared" si="77"/>
        <v>1.5049261083743843</v>
      </c>
      <c r="AM212">
        <f t="shared" si="78"/>
        <v>1</v>
      </c>
      <c r="AN212">
        <f t="shared" si="79"/>
        <v>6.0591133004926112</v>
      </c>
      <c r="AO212">
        <f t="shared" si="80"/>
        <v>1.5049261083743843</v>
      </c>
      <c r="AP212">
        <f t="shared" si="81"/>
        <v>1</v>
      </c>
      <c r="AR212">
        <f t="shared" si="82"/>
        <v>4.492647058823529</v>
      </c>
      <c r="AT212">
        <f t="shared" si="83"/>
        <v>4.492647058823529</v>
      </c>
      <c r="AV212">
        <f t="shared" si="84"/>
        <v>2138</v>
      </c>
      <c r="AW212">
        <f t="shared" si="85"/>
        <v>3971</v>
      </c>
    </row>
    <row r="213" spans="1:49" x14ac:dyDescent="0.15">
      <c r="A213" s="5">
        <v>203</v>
      </c>
      <c r="B213" s="5">
        <f t="shared" si="71"/>
        <v>12360</v>
      </c>
      <c r="C213" s="5">
        <f t="shared" si="70"/>
        <v>3070</v>
      </c>
      <c r="D213" s="5">
        <f t="shared" si="70"/>
        <v>2040</v>
      </c>
      <c r="E213" s="5">
        <f t="shared" si="70"/>
        <v>615</v>
      </c>
      <c r="F213" s="5">
        <f t="shared" si="70"/>
        <v>820</v>
      </c>
      <c r="G213" s="5">
        <f t="shared" si="68"/>
        <v>34608</v>
      </c>
      <c r="H213" s="5">
        <f t="shared" si="68"/>
        <v>8596</v>
      </c>
      <c r="I213" s="5">
        <f t="shared" si="68"/>
        <v>5712</v>
      </c>
      <c r="J213" s="5">
        <f t="shared" si="68"/>
        <v>1722</v>
      </c>
      <c r="K213" s="5">
        <f t="shared" si="68"/>
        <v>2296</v>
      </c>
      <c r="L213" s="5">
        <f t="shared" si="69"/>
        <v>17304</v>
      </c>
      <c r="M213" s="5">
        <f t="shared" si="69"/>
        <v>4298</v>
      </c>
      <c r="N213" s="5">
        <f t="shared" si="69"/>
        <v>2856</v>
      </c>
      <c r="O213" s="5">
        <f t="shared" si="69"/>
        <v>861</v>
      </c>
      <c r="P213" s="5">
        <f t="shared" si="69"/>
        <v>1148</v>
      </c>
      <c r="Q213" s="5">
        <f t="shared" si="62"/>
        <v>64272</v>
      </c>
      <c r="R213" s="5">
        <f t="shared" si="63"/>
        <v>15964</v>
      </c>
      <c r="S213" s="5">
        <f t="shared" si="64"/>
        <v>10608</v>
      </c>
      <c r="T213" s="5">
        <f t="shared" si="65"/>
        <v>3198</v>
      </c>
      <c r="U213" s="5">
        <f t="shared" si="66"/>
        <v>4264</v>
      </c>
      <c r="V213" s="5">
        <f>B213*战斗力计算!$B$8+C213*战斗力计算!$B$9+D213*战斗力计算!$B$10+E213*战斗力计算!$B$11+F213*战斗力计算!$B$12</f>
        <v>90080</v>
      </c>
      <c r="W213" s="5">
        <f>G213*战斗力计算!$B$8+H213*战斗力计算!$B$9+I213*战斗力计算!$B$10+J213*战斗力计算!$B$11+K213*战斗力计算!$B$12+L213*战斗力计算!$B$8+M213*战斗力计算!$B$9+N213*战斗力计算!$B$10+O213*战斗力计算!$B$11+P213*战斗力计算!$B$12</f>
        <v>378336</v>
      </c>
      <c r="X213" s="5">
        <f t="shared" si="67"/>
        <v>468416</v>
      </c>
      <c r="AC213">
        <f t="shared" si="72"/>
        <v>2.8</v>
      </c>
      <c r="AD213">
        <f t="shared" si="73"/>
        <v>1.4</v>
      </c>
      <c r="AF213">
        <f t="shared" si="74"/>
        <v>0.75</v>
      </c>
      <c r="AH213">
        <f t="shared" si="75"/>
        <v>12</v>
      </c>
      <c r="AK213">
        <f t="shared" si="76"/>
        <v>6.0588235294117645</v>
      </c>
      <c r="AL213">
        <f t="shared" si="77"/>
        <v>1.5049019607843137</v>
      </c>
      <c r="AM213">
        <f t="shared" si="78"/>
        <v>1</v>
      </c>
      <c r="AN213">
        <f t="shared" si="79"/>
        <v>6.0588235294117645</v>
      </c>
      <c r="AO213">
        <f t="shared" si="80"/>
        <v>1.5049019607843137</v>
      </c>
      <c r="AP213">
        <f t="shared" si="81"/>
        <v>1</v>
      </c>
      <c r="AR213">
        <f t="shared" si="82"/>
        <v>4.4926829268292687</v>
      </c>
      <c r="AT213">
        <f t="shared" si="83"/>
        <v>4.4926829268292687</v>
      </c>
      <c r="AV213">
        <f t="shared" si="84"/>
        <v>2149</v>
      </c>
      <c r="AW213">
        <f t="shared" si="85"/>
        <v>3991</v>
      </c>
    </row>
    <row r="214" spans="1:49" x14ac:dyDescent="0.15">
      <c r="A214" s="5">
        <v>204</v>
      </c>
      <c r="B214" s="5">
        <f t="shared" si="71"/>
        <v>12420</v>
      </c>
      <c r="C214" s="5">
        <f t="shared" si="70"/>
        <v>3085</v>
      </c>
      <c r="D214" s="5">
        <f t="shared" si="70"/>
        <v>2050</v>
      </c>
      <c r="E214" s="5">
        <f t="shared" si="70"/>
        <v>618</v>
      </c>
      <c r="F214" s="5">
        <f t="shared" si="70"/>
        <v>824</v>
      </c>
      <c r="G214" s="5">
        <f t="shared" si="68"/>
        <v>34776</v>
      </c>
      <c r="H214" s="5">
        <f t="shared" si="68"/>
        <v>8638</v>
      </c>
      <c r="I214" s="5">
        <f t="shared" si="68"/>
        <v>5740</v>
      </c>
      <c r="J214" s="5">
        <f t="shared" si="68"/>
        <v>1730.3999999999999</v>
      </c>
      <c r="K214" s="5">
        <f t="shared" si="68"/>
        <v>2307.1999999999998</v>
      </c>
      <c r="L214" s="5">
        <f t="shared" si="69"/>
        <v>17388</v>
      </c>
      <c r="M214" s="5">
        <f t="shared" si="69"/>
        <v>4319</v>
      </c>
      <c r="N214" s="5">
        <f t="shared" si="69"/>
        <v>2870</v>
      </c>
      <c r="O214" s="5">
        <f t="shared" si="69"/>
        <v>865.19999999999993</v>
      </c>
      <c r="P214" s="5">
        <f t="shared" si="69"/>
        <v>1153.5999999999999</v>
      </c>
      <c r="Q214" s="5">
        <f t="shared" si="62"/>
        <v>64584</v>
      </c>
      <c r="R214" s="5">
        <f t="shared" si="63"/>
        <v>16042</v>
      </c>
      <c r="S214" s="5">
        <f t="shared" si="64"/>
        <v>10660</v>
      </c>
      <c r="T214" s="5">
        <f t="shared" si="65"/>
        <v>3213.5999999999995</v>
      </c>
      <c r="U214" s="5">
        <f t="shared" si="66"/>
        <v>4284.7999999999993</v>
      </c>
      <c r="V214" s="5">
        <f>B214*战斗力计算!$B$8+C214*战斗力计算!$B$9+D214*战斗力计算!$B$10+E214*战斗力计算!$B$11+F214*战斗力计算!$B$12</f>
        <v>90520</v>
      </c>
      <c r="W214" s="5">
        <f>G214*战斗力计算!$B$8+H214*战斗力计算!$B$9+I214*战斗力计算!$B$10+J214*战斗力计算!$B$11+K214*战斗力计算!$B$12+L214*战斗力计算!$B$8+M214*战斗力计算!$B$9+N214*战斗力计算!$B$10+O214*战斗力计算!$B$11+P214*战斗力计算!$B$12</f>
        <v>380184</v>
      </c>
      <c r="X214" s="5">
        <f t="shared" si="67"/>
        <v>470704</v>
      </c>
      <c r="AC214">
        <f t="shared" si="72"/>
        <v>2.8</v>
      </c>
      <c r="AD214">
        <f t="shared" si="73"/>
        <v>1.4</v>
      </c>
      <c r="AF214">
        <f t="shared" si="74"/>
        <v>0.75</v>
      </c>
      <c r="AH214">
        <f t="shared" si="75"/>
        <v>12</v>
      </c>
      <c r="AK214">
        <f t="shared" si="76"/>
        <v>6.0585365853658537</v>
      </c>
      <c r="AL214">
        <f t="shared" si="77"/>
        <v>1.5048780487804878</v>
      </c>
      <c r="AM214">
        <f t="shared" si="78"/>
        <v>1</v>
      </c>
      <c r="AN214">
        <f t="shared" si="79"/>
        <v>6.0585365853658537</v>
      </c>
      <c r="AO214">
        <f t="shared" si="80"/>
        <v>1.5048780487804878</v>
      </c>
      <c r="AP214">
        <f t="shared" si="81"/>
        <v>1</v>
      </c>
      <c r="AR214">
        <f t="shared" si="82"/>
        <v>4.4927184466019421</v>
      </c>
      <c r="AT214">
        <f t="shared" si="83"/>
        <v>4.4927184466019421</v>
      </c>
      <c r="AV214">
        <f t="shared" si="84"/>
        <v>2159</v>
      </c>
      <c r="AW214">
        <f t="shared" si="85"/>
        <v>4010</v>
      </c>
    </row>
    <row r="215" spans="1:49" x14ac:dyDescent="0.15">
      <c r="A215" s="5">
        <v>205</v>
      </c>
      <c r="B215" s="5">
        <f t="shared" si="71"/>
        <v>12480</v>
      </c>
      <c r="C215" s="5">
        <f t="shared" si="70"/>
        <v>3100</v>
      </c>
      <c r="D215" s="5">
        <f t="shared" si="70"/>
        <v>2060</v>
      </c>
      <c r="E215" s="5">
        <f t="shared" si="70"/>
        <v>621</v>
      </c>
      <c r="F215" s="5">
        <f t="shared" si="70"/>
        <v>828</v>
      </c>
      <c r="G215" s="5">
        <f t="shared" si="68"/>
        <v>34944</v>
      </c>
      <c r="H215" s="5">
        <f t="shared" si="68"/>
        <v>8680</v>
      </c>
      <c r="I215" s="5">
        <f t="shared" si="68"/>
        <v>5768</v>
      </c>
      <c r="J215" s="5">
        <f t="shared" si="68"/>
        <v>1738.8</v>
      </c>
      <c r="K215" s="5">
        <f t="shared" si="68"/>
        <v>2318.3999999999996</v>
      </c>
      <c r="L215" s="5">
        <f t="shared" si="69"/>
        <v>17472</v>
      </c>
      <c r="M215" s="5">
        <f t="shared" si="69"/>
        <v>4340</v>
      </c>
      <c r="N215" s="5">
        <f t="shared" si="69"/>
        <v>2884</v>
      </c>
      <c r="O215" s="5">
        <f t="shared" si="69"/>
        <v>869.4</v>
      </c>
      <c r="P215" s="5">
        <f t="shared" si="69"/>
        <v>1159.1999999999998</v>
      </c>
      <c r="Q215" s="5">
        <f t="shared" si="62"/>
        <v>64896</v>
      </c>
      <c r="R215" s="5">
        <f t="shared" si="63"/>
        <v>16120</v>
      </c>
      <c r="S215" s="5">
        <f t="shared" si="64"/>
        <v>10712</v>
      </c>
      <c r="T215" s="5">
        <f t="shared" si="65"/>
        <v>3229.2000000000003</v>
      </c>
      <c r="U215" s="5">
        <f t="shared" si="66"/>
        <v>4305.5999999999995</v>
      </c>
      <c r="V215" s="5">
        <f>B215*战斗力计算!$B$8+C215*战斗力计算!$B$9+D215*战斗力计算!$B$10+E215*战斗力计算!$B$11+F215*战斗力计算!$B$12</f>
        <v>90960</v>
      </c>
      <c r="W215" s="5">
        <f>G215*战斗力计算!$B$8+H215*战斗力计算!$B$9+I215*战斗力计算!$B$10+J215*战斗力计算!$B$11+K215*战斗力计算!$B$12+L215*战斗力计算!$B$8+M215*战斗力计算!$B$9+N215*战斗力计算!$B$10+O215*战斗力计算!$B$11+P215*战斗力计算!$B$12</f>
        <v>382032</v>
      </c>
      <c r="X215" s="5">
        <f t="shared" si="67"/>
        <v>472992</v>
      </c>
      <c r="AC215">
        <f t="shared" si="72"/>
        <v>2.8</v>
      </c>
      <c r="AD215">
        <f t="shared" si="73"/>
        <v>1.4</v>
      </c>
      <c r="AF215">
        <f t="shared" si="74"/>
        <v>0.75000000000000011</v>
      </c>
      <c r="AH215">
        <f t="shared" si="75"/>
        <v>12</v>
      </c>
      <c r="AK215">
        <f t="shared" si="76"/>
        <v>6.058252427184466</v>
      </c>
      <c r="AL215">
        <f t="shared" si="77"/>
        <v>1.5048543689320388</v>
      </c>
      <c r="AM215">
        <f t="shared" si="78"/>
        <v>1</v>
      </c>
      <c r="AN215">
        <f t="shared" si="79"/>
        <v>6.058252427184466</v>
      </c>
      <c r="AO215">
        <f t="shared" si="80"/>
        <v>1.5048543689320388</v>
      </c>
      <c r="AP215">
        <f t="shared" si="81"/>
        <v>1</v>
      </c>
      <c r="AR215">
        <f t="shared" si="82"/>
        <v>4.4927536231884062</v>
      </c>
      <c r="AT215">
        <f t="shared" si="83"/>
        <v>4.4927536231884062</v>
      </c>
      <c r="AV215">
        <f t="shared" si="84"/>
        <v>2170</v>
      </c>
      <c r="AW215">
        <f t="shared" si="85"/>
        <v>4030</v>
      </c>
    </row>
    <row r="216" spans="1:49" x14ac:dyDescent="0.15">
      <c r="A216" s="5">
        <v>206</v>
      </c>
      <c r="B216" s="5">
        <f t="shared" si="71"/>
        <v>12540</v>
      </c>
      <c r="C216" s="5">
        <f t="shared" si="70"/>
        <v>3115</v>
      </c>
      <c r="D216" s="5">
        <f t="shared" si="70"/>
        <v>2070</v>
      </c>
      <c r="E216" s="5">
        <f t="shared" si="70"/>
        <v>624</v>
      </c>
      <c r="F216" s="5">
        <f t="shared" si="70"/>
        <v>832</v>
      </c>
      <c r="G216" s="5">
        <f t="shared" si="68"/>
        <v>35112</v>
      </c>
      <c r="H216" s="5">
        <f t="shared" si="68"/>
        <v>8722</v>
      </c>
      <c r="I216" s="5">
        <f t="shared" si="68"/>
        <v>5796</v>
      </c>
      <c r="J216" s="5">
        <f t="shared" si="68"/>
        <v>1747.1999999999998</v>
      </c>
      <c r="K216" s="5">
        <f t="shared" si="68"/>
        <v>2329.6</v>
      </c>
      <c r="L216" s="5">
        <f t="shared" si="69"/>
        <v>17556</v>
      </c>
      <c r="M216" s="5">
        <f t="shared" si="69"/>
        <v>4361</v>
      </c>
      <c r="N216" s="5">
        <f t="shared" si="69"/>
        <v>2898</v>
      </c>
      <c r="O216" s="5">
        <f t="shared" si="69"/>
        <v>873.59999999999991</v>
      </c>
      <c r="P216" s="5">
        <f t="shared" si="69"/>
        <v>1164.8</v>
      </c>
      <c r="Q216" s="5">
        <f t="shared" si="62"/>
        <v>65208</v>
      </c>
      <c r="R216" s="5">
        <f t="shared" si="63"/>
        <v>16198</v>
      </c>
      <c r="S216" s="5">
        <f t="shared" si="64"/>
        <v>10764</v>
      </c>
      <c r="T216" s="5">
        <f t="shared" si="65"/>
        <v>3244.7999999999997</v>
      </c>
      <c r="U216" s="5">
        <f t="shared" si="66"/>
        <v>4326.3999999999996</v>
      </c>
      <c r="V216" s="5">
        <f>B216*战斗力计算!$B$8+C216*战斗力计算!$B$9+D216*战斗力计算!$B$10+E216*战斗力计算!$B$11+F216*战斗力计算!$B$12</f>
        <v>91400</v>
      </c>
      <c r="W216" s="5">
        <f>G216*战斗力计算!$B$8+H216*战斗力计算!$B$9+I216*战斗力计算!$B$10+J216*战斗力计算!$B$11+K216*战斗力计算!$B$12+L216*战斗力计算!$B$8+M216*战斗力计算!$B$9+N216*战斗力计算!$B$10+O216*战斗力计算!$B$11+P216*战斗力计算!$B$12</f>
        <v>383880</v>
      </c>
      <c r="X216" s="5">
        <f t="shared" si="67"/>
        <v>475280</v>
      </c>
      <c r="AC216">
        <f t="shared" si="72"/>
        <v>2.8</v>
      </c>
      <c r="AD216">
        <f t="shared" si="73"/>
        <v>1.4</v>
      </c>
      <c r="AF216">
        <f t="shared" si="74"/>
        <v>0.75</v>
      </c>
      <c r="AH216">
        <f t="shared" si="75"/>
        <v>12</v>
      </c>
      <c r="AK216">
        <f t="shared" si="76"/>
        <v>6.0579710144927539</v>
      </c>
      <c r="AL216">
        <f t="shared" si="77"/>
        <v>1.5048309178743962</v>
      </c>
      <c r="AM216">
        <f t="shared" si="78"/>
        <v>1</v>
      </c>
      <c r="AN216">
        <f t="shared" si="79"/>
        <v>6.0579710144927539</v>
      </c>
      <c r="AO216">
        <f t="shared" si="80"/>
        <v>1.5048309178743962</v>
      </c>
      <c r="AP216">
        <f t="shared" si="81"/>
        <v>1</v>
      </c>
      <c r="AR216">
        <f t="shared" si="82"/>
        <v>4.4927884615384617</v>
      </c>
      <c r="AT216">
        <f t="shared" si="83"/>
        <v>4.4927884615384617</v>
      </c>
      <c r="AV216">
        <f t="shared" si="84"/>
        <v>2180</v>
      </c>
      <c r="AW216">
        <f t="shared" si="85"/>
        <v>4049</v>
      </c>
    </row>
    <row r="217" spans="1:49" x14ac:dyDescent="0.15">
      <c r="A217" s="5">
        <v>207</v>
      </c>
      <c r="B217" s="5">
        <f t="shared" si="71"/>
        <v>12600</v>
      </c>
      <c r="C217" s="5">
        <f t="shared" si="70"/>
        <v>3130</v>
      </c>
      <c r="D217" s="5">
        <f t="shared" si="70"/>
        <v>2080</v>
      </c>
      <c r="E217" s="5">
        <f t="shared" si="70"/>
        <v>627</v>
      </c>
      <c r="F217" s="5">
        <f t="shared" si="70"/>
        <v>836</v>
      </c>
      <c r="G217" s="5">
        <f t="shared" si="68"/>
        <v>35280</v>
      </c>
      <c r="H217" s="5">
        <f t="shared" si="68"/>
        <v>8764</v>
      </c>
      <c r="I217" s="5">
        <f t="shared" si="68"/>
        <v>5824</v>
      </c>
      <c r="J217" s="5">
        <f t="shared" si="68"/>
        <v>1755.6</v>
      </c>
      <c r="K217" s="5">
        <f t="shared" si="68"/>
        <v>2340.7999999999997</v>
      </c>
      <c r="L217" s="5">
        <f t="shared" si="69"/>
        <v>17640</v>
      </c>
      <c r="M217" s="5">
        <f t="shared" si="69"/>
        <v>4382</v>
      </c>
      <c r="N217" s="5">
        <f t="shared" si="69"/>
        <v>2912</v>
      </c>
      <c r="O217" s="5">
        <f t="shared" si="69"/>
        <v>877.8</v>
      </c>
      <c r="P217" s="5">
        <f t="shared" si="69"/>
        <v>1170.3999999999999</v>
      </c>
      <c r="Q217" s="5">
        <f t="shared" si="62"/>
        <v>65520</v>
      </c>
      <c r="R217" s="5">
        <f t="shared" si="63"/>
        <v>16276</v>
      </c>
      <c r="S217" s="5">
        <f t="shared" si="64"/>
        <v>10816</v>
      </c>
      <c r="T217" s="5">
        <f t="shared" si="65"/>
        <v>3260.3999999999996</v>
      </c>
      <c r="U217" s="5">
        <f t="shared" si="66"/>
        <v>4347.2</v>
      </c>
      <c r="V217" s="5">
        <f>B217*战斗力计算!$B$8+C217*战斗力计算!$B$9+D217*战斗力计算!$B$10+E217*战斗力计算!$B$11+F217*战斗力计算!$B$12</f>
        <v>91840</v>
      </c>
      <c r="W217" s="5">
        <f>G217*战斗力计算!$B$8+H217*战斗力计算!$B$9+I217*战斗力计算!$B$10+J217*战斗力计算!$B$11+K217*战斗力计算!$B$12+L217*战斗力计算!$B$8+M217*战斗力计算!$B$9+N217*战斗力计算!$B$10+O217*战斗力计算!$B$11+P217*战斗力计算!$B$12</f>
        <v>385728</v>
      </c>
      <c r="X217" s="5">
        <f t="shared" si="67"/>
        <v>477568</v>
      </c>
      <c r="AC217">
        <f t="shared" si="72"/>
        <v>2.8</v>
      </c>
      <c r="AD217">
        <f t="shared" si="73"/>
        <v>1.4</v>
      </c>
      <c r="AF217">
        <f t="shared" si="74"/>
        <v>0.75</v>
      </c>
      <c r="AH217">
        <f t="shared" si="75"/>
        <v>12</v>
      </c>
      <c r="AK217">
        <f t="shared" si="76"/>
        <v>6.0576923076923075</v>
      </c>
      <c r="AL217">
        <f t="shared" si="77"/>
        <v>1.5048076923076923</v>
      </c>
      <c r="AM217">
        <f t="shared" si="78"/>
        <v>1</v>
      </c>
      <c r="AN217">
        <f t="shared" si="79"/>
        <v>6.0576923076923075</v>
      </c>
      <c r="AO217">
        <f t="shared" si="80"/>
        <v>1.5048076923076923</v>
      </c>
      <c r="AP217">
        <f t="shared" si="81"/>
        <v>1</v>
      </c>
      <c r="AR217">
        <f t="shared" si="82"/>
        <v>4.4928229665071768</v>
      </c>
      <c r="AT217">
        <f t="shared" si="83"/>
        <v>4.4928229665071768</v>
      </c>
      <c r="AV217">
        <f t="shared" si="84"/>
        <v>2191</v>
      </c>
      <c r="AW217">
        <f t="shared" si="85"/>
        <v>4069</v>
      </c>
    </row>
    <row r="218" spans="1:49" x14ac:dyDescent="0.15">
      <c r="A218" s="5">
        <v>208</v>
      </c>
      <c r="B218" s="5">
        <f t="shared" si="71"/>
        <v>12660</v>
      </c>
      <c r="C218" s="5">
        <f t="shared" si="70"/>
        <v>3145</v>
      </c>
      <c r="D218" s="5">
        <f t="shared" si="70"/>
        <v>2090</v>
      </c>
      <c r="E218" s="5">
        <f t="shared" si="70"/>
        <v>630</v>
      </c>
      <c r="F218" s="5">
        <f t="shared" si="70"/>
        <v>840</v>
      </c>
      <c r="G218" s="5">
        <f t="shared" si="68"/>
        <v>35448</v>
      </c>
      <c r="H218" s="5">
        <f t="shared" si="68"/>
        <v>8806</v>
      </c>
      <c r="I218" s="5">
        <f t="shared" si="68"/>
        <v>5852</v>
      </c>
      <c r="J218" s="5">
        <f t="shared" si="68"/>
        <v>1764</v>
      </c>
      <c r="K218" s="5">
        <f t="shared" si="68"/>
        <v>2352</v>
      </c>
      <c r="L218" s="5">
        <f t="shared" si="69"/>
        <v>17724</v>
      </c>
      <c r="M218" s="5">
        <f t="shared" si="69"/>
        <v>4403</v>
      </c>
      <c r="N218" s="5">
        <f t="shared" si="69"/>
        <v>2926</v>
      </c>
      <c r="O218" s="5">
        <f t="shared" si="69"/>
        <v>882</v>
      </c>
      <c r="P218" s="5">
        <f t="shared" si="69"/>
        <v>1176</v>
      </c>
      <c r="Q218" s="5">
        <f t="shared" si="62"/>
        <v>65832</v>
      </c>
      <c r="R218" s="5">
        <f t="shared" si="63"/>
        <v>16354</v>
      </c>
      <c r="S218" s="5">
        <f t="shared" si="64"/>
        <v>10868</v>
      </c>
      <c r="T218" s="5">
        <f t="shared" si="65"/>
        <v>3276</v>
      </c>
      <c r="U218" s="5">
        <f t="shared" si="66"/>
        <v>4368</v>
      </c>
      <c r="V218" s="5">
        <f>B218*战斗力计算!$B$8+C218*战斗力计算!$B$9+D218*战斗力计算!$B$10+E218*战斗力计算!$B$11+F218*战斗力计算!$B$12</f>
        <v>92280</v>
      </c>
      <c r="W218" s="5">
        <f>G218*战斗力计算!$B$8+H218*战斗力计算!$B$9+I218*战斗力计算!$B$10+J218*战斗力计算!$B$11+K218*战斗力计算!$B$12+L218*战斗力计算!$B$8+M218*战斗力计算!$B$9+N218*战斗力计算!$B$10+O218*战斗力计算!$B$11+P218*战斗力计算!$B$12</f>
        <v>387576</v>
      </c>
      <c r="X218" s="5">
        <f t="shared" si="67"/>
        <v>479856</v>
      </c>
      <c r="AC218">
        <f t="shared" si="72"/>
        <v>2.8</v>
      </c>
      <c r="AD218">
        <f t="shared" si="73"/>
        <v>1.4</v>
      </c>
      <c r="AF218">
        <f t="shared" si="74"/>
        <v>0.75</v>
      </c>
      <c r="AH218">
        <f t="shared" si="75"/>
        <v>12</v>
      </c>
      <c r="AK218">
        <f t="shared" si="76"/>
        <v>6.0574162679425836</v>
      </c>
      <c r="AL218">
        <f t="shared" si="77"/>
        <v>1.5047846889952152</v>
      </c>
      <c r="AM218">
        <f t="shared" si="78"/>
        <v>1</v>
      </c>
      <c r="AN218">
        <f t="shared" si="79"/>
        <v>6.0574162679425836</v>
      </c>
      <c r="AO218">
        <f t="shared" si="80"/>
        <v>1.5047846889952152</v>
      </c>
      <c r="AP218">
        <f t="shared" si="81"/>
        <v>1</v>
      </c>
      <c r="AR218">
        <f t="shared" si="82"/>
        <v>4.4928571428571429</v>
      </c>
      <c r="AT218">
        <f t="shared" si="83"/>
        <v>4.4928571428571429</v>
      </c>
      <c r="AV218">
        <f t="shared" si="84"/>
        <v>2201</v>
      </c>
      <c r="AW218">
        <f t="shared" si="85"/>
        <v>4088</v>
      </c>
    </row>
    <row r="219" spans="1:49" x14ac:dyDescent="0.15">
      <c r="A219" s="5">
        <v>209</v>
      </c>
      <c r="B219" s="5">
        <f t="shared" si="71"/>
        <v>12720</v>
      </c>
      <c r="C219" s="5">
        <f t="shared" si="70"/>
        <v>3160</v>
      </c>
      <c r="D219" s="5">
        <f t="shared" si="70"/>
        <v>2100</v>
      </c>
      <c r="E219" s="5">
        <f t="shared" si="70"/>
        <v>633</v>
      </c>
      <c r="F219" s="5">
        <f t="shared" si="70"/>
        <v>844</v>
      </c>
      <c r="G219" s="5">
        <f t="shared" si="68"/>
        <v>35616</v>
      </c>
      <c r="H219" s="5">
        <f t="shared" si="68"/>
        <v>8848</v>
      </c>
      <c r="I219" s="5">
        <f t="shared" si="68"/>
        <v>5880</v>
      </c>
      <c r="J219" s="5">
        <f t="shared" si="68"/>
        <v>1772.3999999999999</v>
      </c>
      <c r="K219" s="5">
        <f t="shared" si="68"/>
        <v>2363.1999999999998</v>
      </c>
      <c r="L219" s="5">
        <f t="shared" si="69"/>
        <v>17808</v>
      </c>
      <c r="M219" s="5">
        <f t="shared" si="69"/>
        <v>4424</v>
      </c>
      <c r="N219" s="5">
        <f t="shared" si="69"/>
        <v>2940</v>
      </c>
      <c r="O219" s="5">
        <f t="shared" si="69"/>
        <v>886.19999999999993</v>
      </c>
      <c r="P219" s="5">
        <f t="shared" si="69"/>
        <v>1181.5999999999999</v>
      </c>
      <c r="Q219" s="5">
        <f t="shared" si="62"/>
        <v>66144</v>
      </c>
      <c r="R219" s="5">
        <f t="shared" si="63"/>
        <v>16432</v>
      </c>
      <c r="S219" s="5">
        <f t="shared" si="64"/>
        <v>10920</v>
      </c>
      <c r="T219" s="5">
        <f t="shared" si="65"/>
        <v>3291.5999999999995</v>
      </c>
      <c r="U219" s="5">
        <f t="shared" si="66"/>
        <v>4388.7999999999993</v>
      </c>
      <c r="V219" s="5">
        <f>B219*战斗力计算!$B$8+C219*战斗力计算!$B$9+D219*战斗力计算!$B$10+E219*战斗力计算!$B$11+F219*战斗力计算!$B$12</f>
        <v>92720</v>
      </c>
      <c r="W219" s="5">
        <f>G219*战斗力计算!$B$8+H219*战斗力计算!$B$9+I219*战斗力计算!$B$10+J219*战斗力计算!$B$11+K219*战斗力计算!$B$12+L219*战斗力计算!$B$8+M219*战斗力计算!$B$9+N219*战斗力计算!$B$10+O219*战斗力计算!$B$11+P219*战斗力计算!$B$12</f>
        <v>389424</v>
      </c>
      <c r="X219" s="5">
        <f t="shared" si="67"/>
        <v>482144</v>
      </c>
      <c r="AC219">
        <f t="shared" si="72"/>
        <v>2.8</v>
      </c>
      <c r="AD219">
        <f t="shared" si="73"/>
        <v>1.4</v>
      </c>
      <c r="AF219">
        <f t="shared" si="74"/>
        <v>0.75</v>
      </c>
      <c r="AH219">
        <f t="shared" si="75"/>
        <v>12</v>
      </c>
      <c r="AK219">
        <f t="shared" si="76"/>
        <v>6.0571428571428569</v>
      </c>
      <c r="AL219">
        <f t="shared" si="77"/>
        <v>1.5047619047619047</v>
      </c>
      <c r="AM219">
        <f t="shared" si="78"/>
        <v>1</v>
      </c>
      <c r="AN219">
        <f t="shared" si="79"/>
        <v>6.0571428571428569</v>
      </c>
      <c r="AO219">
        <f t="shared" si="80"/>
        <v>1.5047619047619047</v>
      </c>
      <c r="AP219">
        <f t="shared" si="81"/>
        <v>1</v>
      </c>
      <c r="AR219">
        <f t="shared" si="82"/>
        <v>4.4928909952606633</v>
      </c>
      <c r="AT219">
        <f t="shared" si="83"/>
        <v>4.4928909952606633</v>
      </c>
      <c r="AV219">
        <f t="shared" si="84"/>
        <v>2212</v>
      </c>
      <c r="AW219">
        <f t="shared" si="85"/>
        <v>4108</v>
      </c>
    </row>
    <row r="220" spans="1:49" x14ac:dyDescent="0.15">
      <c r="A220" s="5">
        <v>210</v>
      </c>
      <c r="B220" s="5">
        <f t="shared" si="71"/>
        <v>12780</v>
      </c>
      <c r="C220" s="5">
        <f t="shared" si="70"/>
        <v>3175</v>
      </c>
      <c r="D220" s="5">
        <f t="shared" si="70"/>
        <v>2110</v>
      </c>
      <c r="E220" s="5">
        <f t="shared" si="70"/>
        <v>636</v>
      </c>
      <c r="F220" s="5">
        <f t="shared" si="70"/>
        <v>848</v>
      </c>
      <c r="G220" s="5">
        <f t="shared" si="68"/>
        <v>35784</v>
      </c>
      <c r="H220" s="5">
        <f t="shared" si="68"/>
        <v>8890</v>
      </c>
      <c r="I220" s="5">
        <f t="shared" si="68"/>
        <v>5908</v>
      </c>
      <c r="J220" s="5">
        <f t="shared" si="68"/>
        <v>1780.8</v>
      </c>
      <c r="K220" s="5">
        <f t="shared" si="68"/>
        <v>2374.3999999999996</v>
      </c>
      <c r="L220" s="5">
        <f t="shared" si="69"/>
        <v>17892</v>
      </c>
      <c r="M220" s="5">
        <f t="shared" si="69"/>
        <v>4445</v>
      </c>
      <c r="N220" s="5">
        <f t="shared" si="69"/>
        <v>2954</v>
      </c>
      <c r="O220" s="5">
        <f t="shared" si="69"/>
        <v>890.4</v>
      </c>
      <c r="P220" s="5">
        <f t="shared" si="69"/>
        <v>1187.1999999999998</v>
      </c>
      <c r="Q220" s="5">
        <f t="shared" si="62"/>
        <v>66456</v>
      </c>
      <c r="R220" s="5">
        <f t="shared" si="63"/>
        <v>16510</v>
      </c>
      <c r="S220" s="5">
        <f t="shared" si="64"/>
        <v>10972</v>
      </c>
      <c r="T220" s="5">
        <f t="shared" si="65"/>
        <v>3307.2000000000003</v>
      </c>
      <c r="U220" s="5">
        <f t="shared" si="66"/>
        <v>4409.5999999999995</v>
      </c>
      <c r="V220" s="5">
        <f>B220*战斗力计算!$B$8+C220*战斗力计算!$B$9+D220*战斗力计算!$B$10+E220*战斗力计算!$B$11+F220*战斗力计算!$B$12</f>
        <v>93160</v>
      </c>
      <c r="W220" s="5">
        <f>G220*战斗力计算!$B$8+H220*战斗力计算!$B$9+I220*战斗力计算!$B$10+J220*战斗力计算!$B$11+K220*战斗力计算!$B$12+L220*战斗力计算!$B$8+M220*战斗力计算!$B$9+N220*战斗力计算!$B$10+O220*战斗力计算!$B$11+P220*战斗力计算!$B$12</f>
        <v>391272</v>
      </c>
      <c r="X220" s="5">
        <f t="shared" si="67"/>
        <v>484432</v>
      </c>
      <c r="AC220">
        <f t="shared" si="72"/>
        <v>2.8</v>
      </c>
      <c r="AD220">
        <f t="shared" si="73"/>
        <v>1.4</v>
      </c>
      <c r="AF220">
        <f t="shared" si="74"/>
        <v>0.75000000000000011</v>
      </c>
      <c r="AH220">
        <f t="shared" si="75"/>
        <v>12</v>
      </c>
      <c r="AK220">
        <f t="shared" si="76"/>
        <v>6.0568720379146921</v>
      </c>
      <c r="AL220">
        <f t="shared" si="77"/>
        <v>1.5047393364928909</v>
      </c>
      <c r="AM220">
        <f t="shared" si="78"/>
        <v>1</v>
      </c>
      <c r="AN220">
        <f t="shared" si="79"/>
        <v>6.0568720379146921</v>
      </c>
      <c r="AO220">
        <f t="shared" si="80"/>
        <v>1.5047393364928909</v>
      </c>
      <c r="AP220">
        <f t="shared" si="81"/>
        <v>1</v>
      </c>
      <c r="AR220">
        <f t="shared" si="82"/>
        <v>4.492924528301887</v>
      </c>
      <c r="AT220">
        <f t="shared" si="83"/>
        <v>4.492924528301887</v>
      </c>
      <c r="AV220">
        <f t="shared" si="84"/>
        <v>2222</v>
      </c>
      <c r="AW220">
        <f t="shared" si="85"/>
        <v>4127</v>
      </c>
    </row>
    <row r="221" spans="1:49" x14ac:dyDescent="0.15">
      <c r="A221" s="5">
        <v>211</v>
      </c>
      <c r="B221" s="5">
        <f t="shared" si="71"/>
        <v>12840</v>
      </c>
      <c r="C221" s="5">
        <f t="shared" si="70"/>
        <v>3190</v>
      </c>
      <c r="D221" s="5">
        <f t="shared" si="70"/>
        <v>2120</v>
      </c>
      <c r="E221" s="5">
        <f t="shared" si="70"/>
        <v>639</v>
      </c>
      <c r="F221" s="5">
        <f t="shared" si="70"/>
        <v>852</v>
      </c>
      <c r="G221" s="5">
        <f t="shared" si="68"/>
        <v>35952</v>
      </c>
      <c r="H221" s="5">
        <f t="shared" si="68"/>
        <v>8932</v>
      </c>
      <c r="I221" s="5">
        <f t="shared" si="68"/>
        <v>5936</v>
      </c>
      <c r="J221" s="5">
        <f t="shared" si="68"/>
        <v>1789.1999999999998</v>
      </c>
      <c r="K221" s="5">
        <f t="shared" si="68"/>
        <v>2385.6</v>
      </c>
      <c r="L221" s="5">
        <f t="shared" si="69"/>
        <v>17976</v>
      </c>
      <c r="M221" s="5">
        <f t="shared" si="69"/>
        <v>4466</v>
      </c>
      <c r="N221" s="5">
        <f t="shared" si="69"/>
        <v>2968</v>
      </c>
      <c r="O221" s="5">
        <f t="shared" si="69"/>
        <v>894.59999999999991</v>
      </c>
      <c r="P221" s="5">
        <f t="shared" si="69"/>
        <v>1192.8</v>
      </c>
      <c r="Q221" s="5">
        <f t="shared" si="62"/>
        <v>66768</v>
      </c>
      <c r="R221" s="5">
        <f t="shared" si="63"/>
        <v>16588</v>
      </c>
      <c r="S221" s="5">
        <f t="shared" si="64"/>
        <v>11024</v>
      </c>
      <c r="T221" s="5">
        <f t="shared" si="65"/>
        <v>3322.7999999999997</v>
      </c>
      <c r="U221" s="5">
        <f t="shared" si="66"/>
        <v>4430.3999999999996</v>
      </c>
      <c r="V221" s="5">
        <f>B221*战斗力计算!$B$8+C221*战斗力计算!$B$9+D221*战斗力计算!$B$10+E221*战斗力计算!$B$11+F221*战斗力计算!$B$12</f>
        <v>93600</v>
      </c>
      <c r="W221" s="5">
        <f>G221*战斗力计算!$B$8+H221*战斗力计算!$B$9+I221*战斗力计算!$B$10+J221*战斗力计算!$B$11+K221*战斗力计算!$B$12+L221*战斗力计算!$B$8+M221*战斗力计算!$B$9+N221*战斗力计算!$B$10+O221*战斗力计算!$B$11+P221*战斗力计算!$B$12</f>
        <v>393120</v>
      </c>
      <c r="X221" s="5">
        <f t="shared" si="67"/>
        <v>486720</v>
      </c>
      <c r="AC221">
        <f t="shared" si="72"/>
        <v>2.8</v>
      </c>
      <c r="AD221">
        <f t="shared" si="73"/>
        <v>1.4</v>
      </c>
      <c r="AF221">
        <f t="shared" si="74"/>
        <v>0.75</v>
      </c>
      <c r="AH221">
        <f t="shared" si="75"/>
        <v>12</v>
      </c>
      <c r="AK221">
        <f t="shared" si="76"/>
        <v>6.0566037735849054</v>
      </c>
      <c r="AL221">
        <f t="shared" si="77"/>
        <v>1.5047169811320755</v>
      </c>
      <c r="AM221">
        <f t="shared" si="78"/>
        <v>1</v>
      </c>
      <c r="AN221">
        <f t="shared" si="79"/>
        <v>6.0566037735849054</v>
      </c>
      <c r="AO221">
        <f t="shared" si="80"/>
        <v>1.5047169811320755</v>
      </c>
      <c r="AP221">
        <f t="shared" si="81"/>
        <v>1</v>
      </c>
      <c r="AR221">
        <f t="shared" si="82"/>
        <v>4.492957746478873</v>
      </c>
      <c r="AT221">
        <f t="shared" si="83"/>
        <v>4.492957746478873</v>
      </c>
      <c r="AV221">
        <f t="shared" si="84"/>
        <v>2233</v>
      </c>
      <c r="AW221">
        <f t="shared" si="85"/>
        <v>4147</v>
      </c>
    </row>
    <row r="222" spans="1:49" x14ac:dyDescent="0.15">
      <c r="A222" s="5">
        <v>212</v>
      </c>
      <c r="B222" s="5">
        <f t="shared" si="71"/>
        <v>12900</v>
      </c>
      <c r="C222" s="5">
        <f t="shared" si="70"/>
        <v>3205</v>
      </c>
      <c r="D222" s="5">
        <f t="shared" si="70"/>
        <v>2130</v>
      </c>
      <c r="E222" s="5">
        <f t="shared" si="70"/>
        <v>642</v>
      </c>
      <c r="F222" s="5">
        <f t="shared" si="70"/>
        <v>856</v>
      </c>
      <c r="G222" s="5">
        <f t="shared" si="68"/>
        <v>36120</v>
      </c>
      <c r="H222" s="5">
        <f t="shared" si="68"/>
        <v>8974</v>
      </c>
      <c r="I222" s="5">
        <f t="shared" si="68"/>
        <v>5964</v>
      </c>
      <c r="J222" s="5">
        <f t="shared" si="68"/>
        <v>1797.6</v>
      </c>
      <c r="K222" s="5">
        <f t="shared" si="68"/>
        <v>2396.7999999999997</v>
      </c>
      <c r="L222" s="5">
        <f t="shared" si="69"/>
        <v>18060</v>
      </c>
      <c r="M222" s="5">
        <f t="shared" si="69"/>
        <v>4487</v>
      </c>
      <c r="N222" s="5">
        <f t="shared" si="69"/>
        <v>2982</v>
      </c>
      <c r="O222" s="5">
        <f t="shared" si="69"/>
        <v>898.8</v>
      </c>
      <c r="P222" s="5">
        <f t="shared" si="69"/>
        <v>1198.3999999999999</v>
      </c>
      <c r="Q222" s="5">
        <f t="shared" si="62"/>
        <v>67080</v>
      </c>
      <c r="R222" s="5">
        <f t="shared" si="63"/>
        <v>16666</v>
      </c>
      <c r="S222" s="5">
        <f t="shared" si="64"/>
        <v>11076</v>
      </c>
      <c r="T222" s="5">
        <f t="shared" si="65"/>
        <v>3338.3999999999996</v>
      </c>
      <c r="U222" s="5">
        <f t="shared" si="66"/>
        <v>4451.2</v>
      </c>
      <c r="V222" s="5">
        <f>B222*战斗力计算!$B$8+C222*战斗力计算!$B$9+D222*战斗力计算!$B$10+E222*战斗力计算!$B$11+F222*战斗力计算!$B$12</f>
        <v>94040</v>
      </c>
      <c r="W222" s="5">
        <f>G222*战斗力计算!$B$8+H222*战斗力计算!$B$9+I222*战斗力计算!$B$10+J222*战斗力计算!$B$11+K222*战斗力计算!$B$12+L222*战斗力计算!$B$8+M222*战斗力计算!$B$9+N222*战斗力计算!$B$10+O222*战斗力计算!$B$11+P222*战斗力计算!$B$12</f>
        <v>394968</v>
      </c>
      <c r="X222" s="5">
        <f t="shared" si="67"/>
        <v>489008</v>
      </c>
      <c r="AC222">
        <f t="shared" si="72"/>
        <v>2.8</v>
      </c>
      <c r="AD222">
        <f t="shared" si="73"/>
        <v>1.4</v>
      </c>
      <c r="AF222">
        <f t="shared" si="74"/>
        <v>0.75</v>
      </c>
      <c r="AH222">
        <f t="shared" si="75"/>
        <v>12</v>
      </c>
      <c r="AK222">
        <f t="shared" si="76"/>
        <v>6.056338028169014</v>
      </c>
      <c r="AL222">
        <f t="shared" si="77"/>
        <v>1.5046948356807512</v>
      </c>
      <c r="AM222">
        <f t="shared" si="78"/>
        <v>1</v>
      </c>
      <c r="AN222">
        <f t="shared" si="79"/>
        <v>6.056338028169014</v>
      </c>
      <c r="AO222">
        <f t="shared" si="80"/>
        <v>1.5046948356807512</v>
      </c>
      <c r="AP222">
        <f t="shared" si="81"/>
        <v>1</v>
      </c>
      <c r="AR222">
        <f t="shared" si="82"/>
        <v>4.4929906542056077</v>
      </c>
      <c r="AT222">
        <f t="shared" si="83"/>
        <v>4.4929906542056077</v>
      </c>
      <c r="AV222">
        <f t="shared" si="84"/>
        <v>2243</v>
      </c>
      <c r="AW222">
        <f t="shared" si="85"/>
        <v>4166</v>
      </c>
    </row>
    <row r="223" spans="1:49" x14ac:dyDescent="0.15">
      <c r="A223" s="5">
        <v>213</v>
      </c>
      <c r="B223" s="5">
        <f t="shared" si="71"/>
        <v>12960</v>
      </c>
      <c r="C223" s="5">
        <f t="shared" si="70"/>
        <v>3220</v>
      </c>
      <c r="D223" s="5">
        <f t="shared" si="70"/>
        <v>2140</v>
      </c>
      <c r="E223" s="5">
        <f t="shared" si="70"/>
        <v>645</v>
      </c>
      <c r="F223" s="5">
        <f t="shared" si="70"/>
        <v>860</v>
      </c>
      <c r="G223" s="5">
        <f t="shared" si="68"/>
        <v>36288</v>
      </c>
      <c r="H223" s="5">
        <f t="shared" si="68"/>
        <v>9016</v>
      </c>
      <c r="I223" s="5">
        <f t="shared" si="68"/>
        <v>5992</v>
      </c>
      <c r="J223" s="5">
        <f t="shared" si="68"/>
        <v>1805.9999999999998</v>
      </c>
      <c r="K223" s="5">
        <f t="shared" si="68"/>
        <v>2408</v>
      </c>
      <c r="L223" s="5">
        <f t="shared" si="69"/>
        <v>18144</v>
      </c>
      <c r="M223" s="5">
        <f t="shared" si="69"/>
        <v>4508</v>
      </c>
      <c r="N223" s="5">
        <f t="shared" si="69"/>
        <v>2996</v>
      </c>
      <c r="O223" s="5">
        <f t="shared" si="69"/>
        <v>902.99999999999989</v>
      </c>
      <c r="P223" s="5">
        <f t="shared" si="69"/>
        <v>1204</v>
      </c>
      <c r="Q223" s="5">
        <f t="shared" si="62"/>
        <v>67392</v>
      </c>
      <c r="R223" s="5">
        <f t="shared" si="63"/>
        <v>16744</v>
      </c>
      <c r="S223" s="5">
        <f t="shared" si="64"/>
        <v>11128</v>
      </c>
      <c r="T223" s="5">
        <f t="shared" si="65"/>
        <v>3354</v>
      </c>
      <c r="U223" s="5">
        <f t="shared" si="66"/>
        <v>4472</v>
      </c>
      <c r="V223" s="5">
        <f>B223*战斗力计算!$B$8+C223*战斗力计算!$B$9+D223*战斗力计算!$B$10+E223*战斗力计算!$B$11+F223*战斗力计算!$B$12</f>
        <v>94480</v>
      </c>
      <c r="W223" s="5">
        <f>G223*战斗力计算!$B$8+H223*战斗力计算!$B$9+I223*战斗力计算!$B$10+J223*战斗力计算!$B$11+K223*战斗力计算!$B$12+L223*战斗力计算!$B$8+M223*战斗力计算!$B$9+N223*战斗力计算!$B$10+O223*战斗力计算!$B$11+P223*战斗力计算!$B$12</f>
        <v>396816</v>
      </c>
      <c r="X223" s="5">
        <f t="shared" si="67"/>
        <v>491296</v>
      </c>
      <c r="AC223">
        <f t="shared" si="72"/>
        <v>2.8</v>
      </c>
      <c r="AD223">
        <f t="shared" si="73"/>
        <v>1.4</v>
      </c>
      <c r="AF223">
        <f t="shared" si="74"/>
        <v>0.75</v>
      </c>
      <c r="AH223">
        <f t="shared" si="75"/>
        <v>12</v>
      </c>
      <c r="AK223">
        <f t="shared" si="76"/>
        <v>6.05607476635514</v>
      </c>
      <c r="AL223">
        <f t="shared" si="77"/>
        <v>1.5046728971962617</v>
      </c>
      <c r="AM223">
        <f t="shared" si="78"/>
        <v>1</v>
      </c>
      <c r="AN223">
        <f t="shared" si="79"/>
        <v>6.05607476635514</v>
      </c>
      <c r="AO223">
        <f t="shared" si="80"/>
        <v>1.5046728971962617</v>
      </c>
      <c r="AP223">
        <f t="shared" si="81"/>
        <v>1</v>
      </c>
      <c r="AR223">
        <f t="shared" si="82"/>
        <v>4.4930232558139531</v>
      </c>
      <c r="AT223">
        <f t="shared" si="83"/>
        <v>4.4930232558139531</v>
      </c>
      <c r="AV223">
        <f t="shared" si="84"/>
        <v>2254</v>
      </c>
      <c r="AW223">
        <f t="shared" si="85"/>
        <v>4186</v>
      </c>
    </row>
    <row r="224" spans="1:49" x14ac:dyDescent="0.15">
      <c r="A224" s="5">
        <v>214</v>
      </c>
      <c r="B224" s="5">
        <f t="shared" si="71"/>
        <v>13020</v>
      </c>
      <c r="C224" s="5">
        <f t="shared" si="70"/>
        <v>3235</v>
      </c>
      <c r="D224" s="5">
        <f t="shared" si="70"/>
        <v>2150</v>
      </c>
      <c r="E224" s="5">
        <f t="shared" si="70"/>
        <v>648</v>
      </c>
      <c r="F224" s="5">
        <f t="shared" si="70"/>
        <v>864</v>
      </c>
      <c r="G224" s="5">
        <f t="shared" si="68"/>
        <v>36456</v>
      </c>
      <c r="H224" s="5">
        <f t="shared" si="68"/>
        <v>9058</v>
      </c>
      <c r="I224" s="5">
        <f t="shared" si="68"/>
        <v>6020</v>
      </c>
      <c r="J224" s="5">
        <f t="shared" si="68"/>
        <v>1814.3999999999999</v>
      </c>
      <c r="K224" s="5">
        <f t="shared" si="68"/>
        <v>2419.1999999999998</v>
      </c>
      <c r="L224" s="5">
        <f t="shared" si="69"/>
        <v>18228</v>
      </c>
      <c r="M224" s="5">
        <f t="shared" si="69"/>
        <v>4529</v>
      </c>
      <c r="N224" s="5">
        <f t="shared" si="69"/>
        <v>3010</v>
      </c>
      <c r="O224" s="5">
        <f t="shared" si="69"/>
        <v>907.19999999999993</v>
      </c>
      <c r="P224" s="5">
        <f t="shared" si="69"/>
        <v>1209.5999999999999</v>
      </c>
      <c r="Q224" s="5">
        <f t="shared" si="62"/>
        <v>67704</v>
      </c>
      <c r="R224" s="5">
        <f t="shared" si="63"/>
        <v>16822</v>
      </c>
      <c r="S224" s="5">
        <f t="shared" si="64"/>
        <v>11180</v>
      </c>
      <c r="T224" s="5">
        <f t="shared" si="65"/>
        <v>3369.5999999999995</v>
      </c>
      <c r="U224" s="5">
        <f t="shared" si="66"/>
        <v>4492.7999999999993</v>
      </c>
      <c r="V224" s="5">
        <f>B224*战斗力计算!$B$8+C224*战斗力计算!$B$9+D224*战斗力计算!$B$10+E224*战斗力计算!$B$11+F224*战斗力计算!$B$12</f>
        <v>94920</v>
      </c>
      <c r="W224" s="5">
        <f>G224*战斗力计算!$B$8+H224*战斗力计算!$B$9+I224*战斗力计算!$B$10+J224*战斗力计算!$B$11+K224*战斗力计算!$B$12+L224*战斗力计算!$B$8+M224*战斗力计算!$B$9+N224*战斗力计算!$B$10+O224*战斗力计算!$B$11+P224*战斗力计算!$B$12</f>
        <v>398664</v>
      </c>
      <c r="X224" s="5">
        <f t="shared" si="67"/>
        <v>493584</v>
      </c>
      <c r="AC224">
        <f t="shared" si="72"/>
        <v>2.8</v>
      </c>
      <c r="AD224">
        <f t="shared" si="73"/>
        <v>1.4</v>
      </c>
      <c r="AF224">
        <f t="shared" si="74"/>
        <v>0.75</v>
      </c>
      <c r="AH224">
        <f t="shared" si="75"/>
        <v>12</v>
      </c>
      <c r="AK224">
        <f t="shared" si="76"/>
        <v>6.0558139534883724</v>
      </c>
      <c r="AL224">
        <f t="shared" si="77"/>
        <v>1.5046511627906978</v>
      </c>
      <c r="AM224">
        <f t="shared" si="78"/>
        <v>1</v>
      </c>
      <c r="AN224">
        <f t="shared" si="79"/>
        <v>6.0558139534883724</v>
      </c>
      <c r="AO224">
        <f t="shared" si="80"/>
        <v>1.5046511627906978</v>
      </c>
      <c r="AP224">
        <f t="shared" si="81"/>
        <v>1</v>
      </c>
      <c r="AR224">
        <f t="shared" si="82"/>
        <v>4.4930555555555554</v>
      </c>
      <c r="AT224">
        <f t="shared" si="83"/>
        <v>4.4930555555555554</v>
      </c>
      <c r="AV224">
        <f t="shared" si="84"/>
        <v>2264</v>
      </c>
      <c r="AW224">
        <f t="shared" si="85"/>
        <v>4205</v>
      </c>
    </row>
    <row r="225" spans="1:49" x14ac:dyDescent="0.15">
      <c r="A225" s="5">
        <v>215</v>
      </c>
      <c r="B225" s="5">
        <f t="shared" si="71"/>
        <v>13080</v>
      </c>
      <c r="C225" s="5">
        <f t="shared" si="70"/>
        <v>3250</v>
      </c>
      <c r="D225" s="5">
        <f t="shared" si="70"/>
        <v>2160</v>
      </c>
      <c r="E225" s="5">
        <f t="shared" si="70"/>
        <v>651</v>
      </c>
      <c r="F225" s="5">
        <f t="shared" si="70"/>
        <v>868</v>
      </c>
      <c r="G225" s="5">
        <f t="shared" si="68"/>
        <v>36624</v>
      </c>
      <c r="H225" s="5">
        <f t="shared" si="68"/>
        <v>9100</v>
      </c>
      <c r="I225" s="5">
        <f t="shared" si="68"/>
        <v>6048</v>
      </c>
      <c r="J225" s="5">
        <f t="shared" si="68"/>
        <v>1822.8</v>
      </c>
      <c r="K225" s="5">
        <f t="shared" si="68"/>
        <v>2430.3999999999996</v>
      </c>
      <c r="L225" s="5">
        <f t="shared" si="69"/>
        <v>18312</v>
      </c>
      <c r="M225" s="5">
        <f t="shared" si="69"/>
        <v>4550</v>
      </c>
      <c r="N225" s="5">
        <f t="shared" si="69"/>
        <v>3024</v>
      </c>
      <c r="O225" s="5">
        <f t="shared" si="69"/>
        <v>911.4</v>
      </c>
      <c r="P225" s="5">
        <f t="shared" si="69"/>
        <v>1215.1999999999998</v>
      </c>
      <c r="Q225" s="5">
        <f t="shared" ref="Q225:Q288" si="86">B225+G225+L225</f>
        <v>68016</v>
      </c>
      <c r="R225" s="5">
        <f t="shared" ref="R225:R288" si="87">C225+H225+M225</f>
        <v>16900</v>
      </c>
      <c r="S225" s="5">
        <f t="shared" ref="S225:S288" si="88">D225+I225+N225</f>
        <v>11232</v>
      </c>
      <c r="T225" s="5">
        <f t="shared" ref="T225:T288" si="89">E225+J225+O225</f>
        <v>3385.2000000000003</v>
      </c>
      <c r="U225" s="5">
        <f t="shared" ref="U225:U288" si="90">F225+K225+P225</f>
        <v>4513.5999999999995</v>
      </c>
      <c r="V225" s="5">
        <f>B225*战斗力计算!$B$8+C225*战斗力计算!$B$9+D225*战斗力计算!$B$10+E225*战斗力计算!$B$11+F225*战斗力计算!$B$12</f>
        <v>95360</v>
      </c>
      <c r="W225" s="5">
        <f>G225*战斗力计算!$B$8+H225*战斗力计算!$B$9+I225*战斗力计算!$B$10+J225*战斗力计算!$B$11+K225*战斗力计算!$B$12+L225*战斗力计算!$B$8+M225*战斗力计算!$B$9+N225*战斗力计算!$B$10+O225*战斗力计算!$B$11+P225*战斗力计算!$B$12</f>
        <v>400512</v>
      </c>
      <c r="X225" s="5">
        <f t="shared" ref="X225:X288" si="91">V225+W225</f>
        <v>495872</v>
      </c>
      <c r="AC225">
        <f t="shared" si="72"/>
        <v>2.8</v>
      </c>
      <c r="AD225">
        <f t="shared" si="73"/>
        <v>1.4</v>
      </c>
      <c r="AF225">
        <f t="shared" si="74"/>
        <v>0.75000000000000011</v>
      </c>
      <c r="AH225">
        <f t="shared" si="75"/>
        <v>12</v>
      </c>
      <c r="AK225">
        <f t="shared" si="76"/>
        <v>6.0555555555555554</v>
      </c>
      <c r="AL225">
        <f t="shared" si="77"/>
        <v>1.5046296296296295</v>
      </c>
      <c r="AM225">
        <f t="shared" si="78"/>
        <v>1</v>
      </c>
      <c r="AN225">
        <f t="shared" si="79"/>
        <v>6.0555555555555554</v>
      </c>
      <c r="AO225">
        <f t="shared" si="80"/>
        <v>1.5046296296296295</v>
      </c>
      <c r="AP225">
        <f t="shared" si="81"/>
        <v>1</v>
      </c>
      <c r="AR225">
        <f t="shared" si="82"/>
        <v>4.4930875576036868</v>
      </c>
      <c r="AT225">
        <f t="shared" si="83"/>
        <v>4.4930875576036868</v>
      </c>
      <c r="AV225">
        <f t="shared" si="84"/>
        <v>2275</v>
      </c>
      <c r="AW225">
        <f t="shared" si="85"/>
        <v>4225</v>
      </c>
    </row>
    <row r="226" spans="1:49" x14ac:dyDescent="0.15">
      <c r="A226" s="5">
        <v>216</v>
      </c>
      <c r="B226" s="5">
        <f t="shared" si="71"/>
        <v>13140</v>
      </c>
      <c r="C226" s="5">
        <f t="shared" si="70"/>
        <v>3265</v>
      </c>
      <c r="D226" s="5">
        <f t="shared" si="70"/>
        <v>2170</v>
      </c>
      <c r="E226" s="5">
        <f t="shared" si="70"/>
        <v>654</v>
      </c>
      <c r="F226" s="5">
        <f t="shared" si="70"/>
        <v>872</v>
      </c>
      <c r="G226" s="5">
        <f t="shared" si="68"/>
        <v>36792</v>
      </c>
      <c r="H226" s="5">
        <f t="shared" si="68"/>
        <v>9142</v>
      </c>
      <c r="I226" s="5">
        <f t="shared" si="68"/>
        <v>6076</v>
      </c>
      <c r="J226" s="5">
        <f t="shared" si="68"/>
        <v>1831.1999999999998</v>
      </c>
      <c r="K226" s="5">
        <f t="shared" si="68"/>
        <v>2441.6</v>
      </c>
      <c r="L226" s="5">
        <f t="shared" si="69"/>
        <v>18396</v>
      </c>
      <c r="M226" s="5">
        <f t="shared" si="69"/>
        <v>4571</v>
      </c>
      <c r="N226" s="5">
        <f t="shared" si="69"/>
        <v>3038</v>
      </c>
      <c r="O226" s="5">
        <f t="shared" si="69"/>
        <v>915.59999999999991</v>
      </c>
      <c r="P226" s="5">
        <f t="shared" si="69"/>
        <v>1220.8</v>
      </c>
      <c r="Q226" s="5">
        <f t="shared" si="86"/>
        <v>68328</v>
      </c>
      <c r="R226" s="5">
        <f t="shared" si="87"/>
        <v>16978</v>
      </c>
      <c r="S226" s="5">
        <f t="shared" si="88"/>
        <v>11284</v>
      </c>
      <c r="T226" s="5">
        <f t="shared" si="89"/>
        <v>3400.7999999999997</v>
      </c>
      <c r="U226" s="5">
        <f t="shared" si="90"/>
        <v>4534.3999999999996</v>
      </c>
      <c r="V226" s="5">
        <f>B226*战斗力计算!$B$8+C226*战斗力计算!$B$9+D226*战斗力计算!$B$10+E226*战斗力计算!$B$11+F226*战斗力计算!$B$12</f>
        <v>95800</v>
      </c>
      <c r="W226" s="5">
        <f>G226*战斗力计算!$B$8+H226*战斗力计算!$B$9+I226*战斗力计算!$B$10+J226*战斗力计算!$B$11+K226*战斗力计算!$B$12+L226*战斗力计算!$B$8+M226*战斗力计算!$B$9+N226*战斗力计算!$B$10+O226*战斗力计算!$B$11+P226*战斗力计算!$B$12</f>
        <v>402360</v>
      </c>
      <c r="X226" s="5">
        <f t="shared" si="91"/>
        <v>498160</v>
      </c>
      <c r="AC226">
        <f t="shared" si="72"/>
        <v>2.8</v>
      </c>
      <c r="AD226">
        <f t="shared" si="73"/>
        <v>1.4</v>
      </c>
      <c r="AF226">
        <f t="shared" si="74"/>
        <v>0.75</v>
      </c>
      <c r="AH226">
        <f t="shared" si="75"/>
        <v>12</v>
      </c>
      <c r="AK226">
        <f t="shared" si="76"/>
        <v>6.0552995391705071</v>
      </c>
      <c r="AL226">
        <f t="shared" si="77"/>
        <v>1.5046082949308757</v>
      </c>
      <c r="AM226">
        <f t="shared" si="78"/>
        <v>1</v>
      </c>
      <c r="AN226">
        <f t="shared" si="79"/>
        <v>6.0552995391705071</v>
      </c>
      <c r="AO226">
        <f t="shared" si="80"/>
        <v>1.5046082949308757</v>
      </c>
      <c r="AP226">
        <f t="shared" si="81"/>
        <v>1</v>
      </c>
      <c r="AR226">
        <f t="shared" si="82"/>
        <v>4.4931192660550456</v>
      </c>
      <c r="AT226">
        <f t="shared" si="83"/>
        <v>4.4931192660550456</v>
      </c>
      <c r="AV226">
        <f t="shared" si="84"/>
        <v>2285</v>
      </c>
      <c r="AW226">
        <f t="shared" si="85"/>
        <v>4244</v>
      </c>
    </row>
    <row r="227" spans="1:49" x14ac:dyDescent="0.15">
      <c r="A227" s="5">
        <v>217</v>
      </c>
      <c r="B227" s="5">
        <f t="shared" si="71"/>
        <v>13200</v>
      </c>
      <c r="C227" s="5">
        <f t="shared" si="70"/>
        <v>3280</v>
      </c>
      <c r="D227" s="5">
        <f t="shared" si="70"/>
        <v>2180</v>
      </c>
      <c r="E227" s="5">
        <f t="shared" si="70"/>
        <v>657</v>
      </c>
      <c r="F227" s="5">
        <f t="shared" si="70"/>
        <v>876</v>
      </c>
      <c r="G227" s="5">
        <f t="shared" si="68"/>
        <v>36960</v>
      </c>
      <c r="H227" s="5">
        <f t="shared" si="68"/>
        <v>9184</v>
      </c>
      <c r="I227" s="5">
        <f t="shared" si="68"/>
        <v>6104</v>
      </c>
      <c r="J227" s="5">
        <f t="shared" si="68"/>
        <v>1839.6</v>
      </c>
      <c r="K227" s="5">
        <f t="shared" si="68"/>
        <v>2452.7999999999997</v>
      </c>
      <c r="L227" s="5">
        <f t="shared" si="69"/>
        <v>18480</v>
      </c>
      <c r="M227" s="5">
        <f t="shared" si="69"/>
        <v>4592</v>
      </c>
      <c r="N227" s="5">
        <f t="shared" si="69"/>
        <v>3052</v>
      </c>
      <c r="O227" s="5">
        <f t="shared" si="69"/>
        <v>919.8</v>
      </c>
      <c r="P227" s="5">
        <f t="shared" si="69"/>
        <v>1226.3999999999999</v>
      </c>
      <c r="Q227" s="5">
        <f t="shared" si="86"/>
        <v>68640</v>
      </c>
      <c r="R227" s="5">
        <f t="shared" si="87"/>
        <v>17056</v>
      </c>
      <c r="S227" s="5">
        <f t="shared" si="88"/>
        <v>11336</v>
      </c>
      <c r="T227" s="5">
        <f t="shared" si="89"/>
        <v>3416.3999999999996</v>
      </c>
      <c r="U227" s="5">
        <f t="shared" si="90"/>
        <v>4555.2</v>
      </c>
      <c r="V227" s="5">
        <f>B227*战斗力计算!$B$8+C227*战斗力计算!$B$9+D227*战斗力计算!$B$10+E227*战斗力计算!$B$11+F227*战斗力计算!$B$12</f>
        <v>96240</v>
      </c>
      <c r="W227" s="5">
        <f>G227*战斗力计算!$B$8+H227*战斗力计算!$B$9+I227*战斗力计算!$B$10+J227*战斗力计算!$B$11+K227*战斗力计算!$B$12+L227*战斗力计算!$B$8+M227*战斗力计算!$B$9+N227*战斗力计算!$B$10+O227*战斗力计算!$B$11+P227*战斗力计算!$B$12</f>
        <v>404208</v>
      </c>
      <c r="X227" s="5">
        <f t="shared" si="91"/>
        <v>500448</v>
      </c>
      <c r="AC227">
        <f t="shared" si="72"/>
        <v>2.8</v>
      </c>
      <c r="AD227">
        <f t="shared" si="73"/>
        <v>1.4</v>
      </c>
      <c r="AF227">
        <f t="shared" si="74"/>
        <v>0.75</v>
      </c>
      <c r="AH227">
        <f t="shared" si="75"/>
        <v>12</v>
      </c>
      <c r="AK227">
        <f t="shared" si="76"/>
        <v>6.0550458715596331</v>
      </c>
      <c r="AL227">
        <f t="shared" si="77"/>
        <v>1.5045871559633028</v>
      </c>
      <c r="AM227">
        <f t="shared" si="78"/>
        <v>1</v>
      </c>
      <c r="AN227">
        <f t="shared" si="79"/>
        <v>6.0550458715596331</v>
      </c>
      <c r="AO227">
        <f t="shared" si="80"/>
        <v>1.5045871559633028</v>
      </c>
      <c r="AP227">
        <f t="shared" si="81"/>
        <v>1</v>
      </c>
      <c r="AR227">
        <f t="shared" si="82"/>
        <v>4.493150684931507</v>
      </c>
      <c r="AT227">
        <f t="shared" si="83"/>
        <v>4.493150684931507</v>
      </c>
      <c r="AV227">
        <f t="shared" si="84"/>
        <v>2296</v>
      </c>
      <c r="AW227">
        <f t="shared" si="85"/>
        <v>4264</v>
      </c>
    </row>
    <row r="228" spans="1:49" x14ac:dyDescent="0.15">
      <c r="A228" s="5">
        <v>218</v>
      </c>
      <c r="B228" s="5">
        <f t="shared" si="71"/>
        <v>13260</v>
      </c>
      <c r="C228" s="5">
        <f t="shared" si="70"/>
        <v>3295</v>
      </c>
      <c r="D228" s="5">
        <f t="shared" si="70"/>
        <v>2190</v>
      </c>
      <c r="E228" s="5">
        <f t="shared" si="70"/>
        <v>660</v>
      </c>
      <c r="F228" s="5">
        <f t="shared" si="70"/>
        <v>880</v>
      </c>
      <c r="G228" s="5">
        <f t="shared" ref="G228:K278" si="92">HLOOKUP(G$10,$B$10:$F$610,$A228+1,0)*$AC228</f>
        <v>37128</v>
      </c>
      <c r="H228" s="5">
        <f t="shared" si="92"/>
        <v>9226</v>
      </c>
      <c r="I228" s="5">
        <f t="shared" si="92"/>
        <v>6132</v>
      </c>
      <c r="J228" s="5">
        <f t="shared" si="92"/>
        <v>1847.9999999999998</v>
      </c>
      <c r="K228" s="5">
        <f t="shared" si="92"/>
        <v>2464</v>
      </c>
      <c r="L228" s="5">
        <f t="shared" ref="L228:P278" si="93">HLOOKUP(L$10,$B$10:$F$610,$A228+1,0)*$AD228</f>
        <v>18564</v>
      </c>
      <c r="M228" s="5">
        <f t="shared" si="93"/>
        <v>4613</v>
      </c>
      <c r="N228" s="5">
        <f t="shared" si="93"/>
        <v>3066</v>
      </c>
      <c r="O228" s="5">
        <f t="shared" si="93"/>
        <v>923.99999999999989</v>
      </c>
      <c r="P228" s="5">
        <f t="shared" si="93"/>
        <v>1232</v>
      </c>
      <c r="Q228" s="5">
        <f t="shared" si="86"/>
        <v>68952</v>
      </c>
      <c r="R228" s="5">
        <f t="shared" si="87"/>
        <v>17134</v>
      </c>
      <c r="S228" s="5">
        <f t="shared" si="88"/>
        <v>11388</v>
      </c>
      <c r="T228" s="5">
        <f t="shared" si="89"/>
        <v>3432</v>
      </c>
      <c r="U228" s="5">
        <f t="shared" si="90"/>
        <v>4576</v>
      </c>
      <c r="V228" s="5">
        <f>B228*战斗力计算!$B$8+C228*战斗力计算!$B$9+D228*战斗力计算!$B$10+E228*战斗力计算!$B$11+F228*战斗力计算!$B$12</f>
        <v>96680</v>
      </c>
      <c r="W228" s="5">
        <f>G228*战斗力计算!$B$8+H228*战斗力计算!$B$9+I228*战斗力计算!$B$10+J228*战斗力计算!$B$11+K228*战斗力计算!$B$12+L228*战斗力计算!$B$8+M228*战斗力计算!$B$9+N228*战斗力计算!$B$10+O228*战斗力计算!$B$11+P228*战斗力计算!$B$12</f>
        <v>406056</v>
      </c>
      <c r="X228" s="5">
        <f t="shared" si="91"/>
        <v>502736</v>
      </c>
      <c r="AC228">
        <f t="shared" si="72"/>
        <v>2.8</v>
      </c>
      <c r="AD228">
        <f t="shared" si="73"/>
        <v>1.4</v>
      </c>
      <c r="AF228">
        <f t="shared" si="74"/>
        <v>0.75</v>
      </c>
      <c r="AH228">
        <f t="shared" si="75"/>
        <v>12</v>
      </c>
      <c r="AK228">
        <f t="shared" si="76"/>
        <v>6.0547945205479454</v>
      </c>
      <c r="AL228">
        <f t="shared" si="77"/>
        <v>1.504566210045662</v>
      </c>
      <c r="AM228">
        <f t="shared" si="78"/>
        <v>1</v>
      </c>
      <c r="AN228">
        <f t="shared" si="79"/>
        <v>6.0547945205479454</v>
      </c>
      <c r="AO228">
        <f t="shared" si="80"/>
        <v>1.504566210045662</v>
      </c>
      <c r="AP228">
        <f t="shared" si="81"/>
        <v>1</v>
      </c>
      <c r="AR228">
        <f t="shared" si="82"/>
        <v>4.4931818181818182</v>
      </c>
      <c r="AT228">
        <f t="shared" si="83"/>
        <v>4.4931818181818182</v>
      </c>
      <c r="AV228">
        <f t="shared" si="84"/>
        <v>2306</v>
      </c>
      <c r="AW228">
        <f t="shared" si="85"/>
        <v>4283</v>
      </c>
    </row>
    <row r="229" spans="1:49" x14ac:dyDescent="0.15">
      <c r="A229" s="5">
        <v>219</v>
      </c>
      <c r="B229" s="5">
        <f t="shared" si="71"/>
        <v>13320</v>
      </c>
      <c r="C229" s="5">
        <f t="shared" si="70"/>
        <v>3310</v>
      </c>
      <c r="D229" s="5">
        <f t="shared" si="70"/>
        <v>2200</v>
      </c>
      <c r="E229" s="5">
        <f t="shared" si="70"/>
        <v>663</v>
      </c>
      <c r="F229" s="5">
        <f t="shared" si="70"/>
        <v>884</v>
      </c>
      <c r="G229" s="5">
        <f t="shared" si="92"/>
        <v>37296</v>
      </c>
      <c r="H229" s="5">
        <f t="shared" si="92"/>
        <v>9268</v>
      </c>
      <c r="I229" s="5">
        <f t="shared" si="92"/>
        <v>6160</v>
      </c>
      <c r="J229" s="5">
        <f t="shared" si="92"/>
        <v>1856.3999999999999</v>
      </c>
      <c r="K229" s="5">
        <f t="shared" si="92"/>
        <v>2475.1999999999998</v>
      </c>
      <c r="L229" s="5">
        <f t="shared" si="93"/>
        <v>18648</v>
      </c>
      <c r="M229" s="5">
        <f t="shared" si="93"/>
        <v>4634</v>
      </c>
      <c r="N229" s="5">
        <f t="shared" si="93"/>
        <v>3080</v>
      </c>
      <c r="O229" s="5">
        <f t="shared" si="93"/>
        <v>928.19999999999993</v>
      </c>
      <c r="P229" s="5">
        <f t="shared" si="93"/>
        <v>1237.5999999999999</v>
      </c>
      <c r="Q229" s="5">
        <f t="shared" si="86"/>
        <v>69264</v>
      </c>
      <c r="R229" s="5">
        <f t="shared" si="87"/>
        <v>17212</v>
      </c>
      <c r="S229" s="5">
        <f t="shared" si="88"/>
        <v>11440</v>
      </c>
      <c r="T229" s="5">
        <f t="shared" si="89"/>
        <v>3447.5999999999995</v>
      </c>
      <c r="U229" s="5">
        <f t="shared" si="90"/>
        <v>4596.7999999999993</v>
      </c>
      <c r="V229" s="5">
        <f>B229*战斗力计算!$B$8+C229*战斗力计算!$B$9+D229*战斗力计算!$B$10+E229*战斗力计算!$B$11+F229*战斗力计算!$B$12</f>
        <v>97120</v>
      </c>
      <c r="W229" s="5">
        <f>G229*战斗力计算!$B$8+H229*战斗力计算!$B$9+I229*战斗力计算!$B$10+J229*战斗力计算!$B$11+K229*战斗力计算!$B$12+L229*战斗力计算!$B$8+M229*战斗力计算!$B$9+N229*战斗力计算!$B$10+O229*战斗力计算!$B$11+P229*战斗力计算!$B$12</f>
        <v>407904</v>
      </c>
      <c r="X229" s="5">
        <f t="shared" si="91"/>
        <v>505024</v>
      </c>
      <c r="AC229">
        <f t="shared" si="72"/>
        <v>2.8</v>
      </c>
      <c r="AD229">
        <f t="shared" si="73"/>
        <v>1.4</v>
      </c>
      <c r="AF229">
        <f t="shared" si="74"/>
        <v>0.75</v>
      </c>
      <c r="AH229">
        <f t="shared" si="75"/>
        <v>12</v>
      </c>
      <c r="AK229">
        <f t="shared" si="76"/>
        <v>6.0545454545454547</v>
      </c>
      <c r="AL229">
        <f t="shared" si="77"/>
        <v>1.5045454545454546</v>
      </c>
      <c r="AM229">
        <f t="shared" si="78"/>
        <v>1</v>
      </c>
      <c r="AN229">
        <f t="shared" si="79"/>
        <v>6.0545454545454547</v>
      </c>
      <c r="AO229">
        <f t="shared" si="80"/>
        <v>1.5045454545454546</v>
      </c>
      <c r="AP229">
        <f t="shared" si="81"/>
        <v>1</v>
      </c>
      <c r="AR229">
        <f t="shared" si="82"/>
        <v>4.4932126696832579</v>
      </c>
      <c r="AT229">
        <f t="shared" si="83"/>
        <v>4.4932126696832579</v>
      </c>
      <c r="AV229">
        <f t="shared" si="84"/>
        <v>2317</v>
      </c>
      <c r="AW229">
        <f t="shared" si="85"/>
        <v>4303</v>
      </c>
    </row>
    <row r="230" spans="1:49" x14ac:dyDescent="0.15">
      <c r="A230" s="5">
        <v>220</v>
      </c>
      <c r="B230" s="5">
        <f t="shared" si="71"/>
        <v>13380</v>
      </c>
      <c r="C230" s="5">
        <f t="shared" si="70"/>
        <v>3325</v>
      </c>
      <c r="D230" s="5">
        <f t="shared" si="70"/>
        <v>2210</v>
      </c>
      <c r="E230" s="5">
        <f t="shared" si="70"/>
        <v>666</v>
      </c>
      <c r="F230" s="5">
        <f t="shared" si="70"/>
        <v>888</v>
      </c>
      <c r="G230" s="5">
        <f t="shared" si="92"/>
        <v>37464</v>
      </c>
      <c r="H230" s="5">
        <f t="shared" si="92"/>
        <v>9310</v>
      </c>
      <c r="I230" s="5">
        <f t="shared" si="92"/>
        <v>6188</v>
      </c>
      <c r="J230" s="5">
        <f t="shared" si="92"/>
        <v>1864.8</v>
      </c>
      <c r="K230" s="5">
        <f t="shared" si="92"/>
        <v>2486.3999999999996</v>
      </c>
      <c r="L230" s="5">
        <f t="shared" si="93"/>
        <v>18732</v>
      </c>
      <c r="M230" s="5">
        <f t="shared" si="93"/>
        <v>4655</v>
      </c>
      <c r="N230" s="5">
        <f t="shared" si="93"/>
        <v>3094</v>
      </c>
      <c r="O230" s="5">
        <f t="shared" si="93"/>
        <v>932.4</v>
      </c>
      <c r="P230" s="5">
        <f t="shared" si="93"/>
        <v>1243.1999999999998</v>
      </c>
      <c r="Q230" s="5">
        <f t="shared" si="86"/>
        <v>69576</v>
      </c>
      <c r="R230" s="5">
        <f t="shared" si="87"/>
        <v>17290</v>
      </c>
      <c r="S230" s="5">
        <f t="shared" si="88"/>
        <v>11492</v>
      </c>
      <c r="T230" s="5">
        <f t="shared" si="89"/>
        <v>3463.2000000000003</v>
      </c>
      <c r="U230" s="5">
        <f t="shared" si="90"/>
        <v>4617.5999999999995</v>
      </c>
      <c r="V230" s="5">
        <f>B230*战斗力计算!$B$8+C230*战斗力计算!$B$9+D230*战斗力计算!$B$10+E230*战斗力计算!$B$11+F230*战斗力计算!$B$12</f>
        <v>97560</v>
      </c>
      <c r="W230" s="5">
        <f>G230*战斗力计算!$B$8+H230*战斗力计算!$B$9+I230*战斗力计算!$B$10+J230*战斗力计算!$B$11+K230*战斗力计算!$B$12+L230*战斗力计算!$B$8+M230*战斗力计算!$B$9+N230*战斗力计算!$B$10+O230*战斗力计算!$B$11+P230*战斗力计算!$B$12</f>
        <v>409752</v>
      </c>
      <c r="X230" s="5">
        <f t="shared" si="91"/>
        <v>507312</v>
      </c>
      <c r="AC230">
        <f t="shared" si="72"/>
        <v>2.8</v>
      </c>
      <c r="AD230">
        <f t="shared" si="73"/>
        <v>1.4</v>
      </c>
      <c r="AF230">
        <f t="shared" si="74"/>
        <v>0.75000000000000011</v>
      </c>
      <c r="AH230">
        <f t="shared" si="75"/>
        <v>12</v>
      </c>
      <c r="AK230">
        <f t="shared" si="76"/>
        <v>6.0542986425339365</v>
      </c>
      <c r="AL230">
        <f t="shared" si="77"/>
        <v>1.504524886877828</v>
      </c>
      <c r="AM230">
        <f t="shared" si="78"/>
        <v>1</v>
      </c>
      <c r="AN230">
        <f t="shared" si="79"/>
        <v>6.0542986425339365</v>
      </c>
      <c r="AO230">
        <f t="shared" si="80"/>
        <v>1.504524886877828</v>
      </c>
      <c r="AP230">
        <f t="shared" si="81"/>
        <v>1</v>
      </c>
      <c r="AR230">
        <f t="shared" si="82"/>
        <v>4.493243243243243</v>
      </c>
      <c r="AT230">
        <f t="shared" si="83"/>
        <v>4.493243243243243</v>
      </c>
      <c r="AV230">
        <f t="shared" si="84"/>
        <v>2327</v>
      </c>
      <c r="AW230">
        <f t="shared" si="85"/>
        <v>4322</v>
      </c>
    </row>
    <row r="231" spans="1:49" x14ac:dyDescent="0.15">
      <c r="A231" s="5">
        <v>221</v>
      </c>
      <c r="B231" s="5">
        <f t="shared" si="71"/>
        <v>13440</v>
      </c>
      <c r="C231" s="5">
        <f t="shared" si="70"/>
        <v>3340</v>
      </c>
      <c r="D231" s="5">
        <f t="shared" si="70"/>
        <v>2220</v>
      </c>
      <c r="E231" s="5">
        <f t="shared" si="70"/>
        <v>669</v>
      </c>
      <c r="F231" s="5">
        <f t="shared" si="70"/>
        <v>892</v>
      </c>
      <c r="G231" s="5">
        <f t="shared" si="92"/>
        <v>37632</v>
      </c>
      <c r="H231" s="5">
        <f t="shared" si="92"/>
        <v>9352</v>
      </c>
      <c r="I231" s="5">
        <f t="shared" si="92"/>
        <v>6216</v>
      </c>
      <c r="J231" s="5">
        <f t="shared" si="92"/>
        <v>1873.1999999999998</v>
      </c>
      <c r="K231" s="5">
        <f t="shared" si="92"/>
        <v>2497.6</v>
      </c>
      <c r="L231" s="5">
        <f t="shared" si="93"/>
        <v>18816</v>
      </c>
      <c r="M231" s="5">
        <f t="shared" si="93"/>
        <v>4676</v>
      </c>
      <c r="N231" s="5">
        <f t="shared" si="93"/>
        <v>3108</v>
      </c>
      <c r="O231" s="5">
        <f t="shared" si="93"/>
        <v>936.59999999999991</v>
      </c>
      <c r="P231" s="5">
        <f t="shared" si="93"/>
        <v>1248.8</v>
      </c>
      <c r="Q231" s="5">
        <f t="shared" si="86"/>
        <v>69888</v>
      </c>
      <c r="R231" s="5">
        <f t="shared" si="87"/>
        <v>17368</v>
      </c>
      <c r="S231" s="5">
        <f t="shared" si="88"/>
        <v>11544</v>
      </c>
      <c r="T231" s="5">
        <f t="shared" si="89"/>
        <v>3478.7999999999997</v>
      </c>
      <c r="U231" s="5">
        <f t="shared" si="90"/>
        <v>4638.3999999999996</v>
      </c>
      <c r="V231" s="5">
        <f>B231*战斗力计算!$B$8+C231*战斗力计算!$B$9+D231*战斗力计算!$B$10+E231*战斗力计算!$B$11+F231*战斗力计算!$B$12</f>
        <v>98000</v>
      </c>
      <c r="W231" s="5">
        <f>G231*战斗力计算!$B$8+H231*战斗力计算!$B$9+I231*战斗力计算!$B$10+J231*战斗力计算!$B$11+K231*战斗力计算!$B$12+L231*战斗力计算!$B$8+M231*战斗力计算!$B$9+N231*战斗力计算!$B$10+O231*战斗力计算!$B$11+P231*战斗力计算!$B$12</f>
        <v>411600</v>
      </c>
      <c r="X231" s="5">
        <f t="shared" si="91"/>
        <v>509600</v>
      </c>
      <c r="AC231">
        <f t="shared" si="72"/>
        <v>2.8</v>
      </c>
      <c r="AD231">
        <f t="shared" si="73"/>
        <v>1.4</v>
      </c>
      <c r="AF231">
        <f t="shared" si="74"/>
        <v>0.75</v>
      </c>
      <c r="AH231">
        <f t="shared" si="75"/>
        <v>12</v>
      </c>
      <c r="AK231">
        <f t="shared" si="76"/>
        <v>6.0540540540540544</v>
      </c>
      <c r="AL231">
        <f t="shared" si="77"/>
        <v>1.5045045045045045</v>
      </c>
      <c r="AM231">
        <f t="shared" si="78"/>
        <v>1</v>
      </c>
      <c r="AN231">
        <f t="shared" si="79"/>
        <v>6.0540540540540544</v>
      </c>
      <c r="AO231">
        <f t="shared" si="80"/>
        <v>1.5045045045045045</v>
      </c>
      <c r="AP231">
        <f t="shared" si="81"/>
        <v>1</v>
      </c>
      <c r="AR231">
        <f t="shared" si="82"/>
        <v>4.493273542600897</v>
      </c>
      <c r="AT231">
        <f t="shared" si="83"/>
        <v>4.493273542600897</v>
      </c>
      <c r="AV231">
        <f t="shared" si="84"/>
        <v>2338</v>
      </c>
      <c r="AW231">
        <f t="shared" si="85"/>
        <v>4342</v>
      </c>
    </row>
    <row r="232" spans="1:49" x14ac:dyDescent="0.15">
      <c r="A232" s="5">
        <v>222</v>
      </c>
      <c r="B232" s="5">
        <f t="shared" si="71"/>
        <v>13500</v>
      </c>
      <c r="C232" s="5">
        <f t="shared" si="70"/>
        <v>3355</v>
      </c>
      <c r="D232" s="5">
        <f t="shared" si="70"/>
        <v>2230</v>
      </c>
      <c r="E232" s="5">
        <f t="shared" si="70"/>
        <v>672</v>
      </c>
      <c r="F232" s="5">
        <f t="shared" si="70"/>
        <v>896</v>
      </c>
      <c r="G232" s="5">
        <f t="shared" si="92"/>
        <v>37800</v>
      </c>
      <c r="H232" s="5">
        <f t="shared" si="92"/>
        <v>9394</v>
      </c>
      <c r="I232" s="5">
        <f t="shared" si="92"/>
        <v>6244</v>
      </c>
      <c r="J232" s="5">
        <f t="shared" si="92"/>
        <v>1881.6</v>
      </c>
      <c r="K232" s="5">
        <f t="shared" si="92"/>
        <v>2508.7999999999997</v>
      </c>
      <c r="L232" s="5">
        <f t="shared" si="93"/>
        <v>18900</v>
      </c>
      <c r="M232" s="5">
        <f t="shared" si="93"/>
        <v>4697</v>
      </c>
      <c r="N232" s="5">
        <f t="shared" si="93"/>
        <v>3122</v>
      </c>
      <c r="O232" s="5">
        <f t="shared" si="93"/>
        <v>940.8</v>
      </c>
      <c r="P232" s="5">
        <f t="shared" si="93"/>
        <v>1254.3999999999999</v>
      </c>
      <c r="Q232" s="5">
        <f t="shared" si="86"/>
        <v>70200</v>
      </c>
      <c r="R232" s="5">
        <f t="shared" si="87"/>
        <v>17446</v>
      </c>
      <c r="S232" s="5">
        <f t="shared" si="88"/>
        <v>11596</v>
      </c>
      <c r="T232" s="5">
        <f t="shared" si="89"/>
        <v>3494.3999999999996</v>
      </c>
      <c r="U232" s="5">
        <f t="shared" si="90"/>
        <v>4659.2</v>
      </c>
      <c r="V232" s="5">
        <f>B232*战斗力计算!$B$8+C232*战斗力计算!$B$9+D232*战斗力计算!$B$10+E232*战斗力计算!$B$11+F232*战斗力计算!$B$12</f>
        <v>98440</v>
      </c>
      <c r="W232" s="5">
        <f>G232*战斗力计算!$B$8+H232*战斗力计算!$B$9+I232*战斗力计算!$B$10+J232*战斗力计算!$B$11+K232*战斗力计算!$B$12+L232*战斗力计算!$B$8+M232*战斗力计算!$B$9+N232*战斗力计算!$B$10+O232*战斗力计算!$B$11+P232*战斗力计算!$B$12</f>
        <v>413448</v>
      </c>
      <c r="X232" s="5">
        <f t="shared" si="91"/>
        <v>511888</v>
      </c>
      <c r="AC232">
        <f t="shared" si="72"/>
        <v>2.8</v>
      </c>
      <c r="AD232">
        <f t="shared" si="73"/>
        <v>1.4</v>
      </c>
      <c r="AF232">
        <f t="shared" si="74"/>
        <v>0.75</v>
      </c>
      <c r="AH232">
        <f t="shared" si="75"/>
        <v>12</v>
      </c>
      <c r="AK232">
        <f t="shared" si="76"/>
        <v>6.0538116591928253</v>
      </c>
      <c r="AL232">
        <f t="shared" si="77"/>
        <v>1.5044843049327354</v>
      </c>
      <c r="AM232">
        <f t="shared" si="78"/>
        <v>1</v>
      </c>
      <c r="AN232">
        <f t="shared" si="79"/>
        <v>6.0538116591928253</v>
      </c>
      <c r="AO232">
        <f t="shared" si="80"/>
        <v>1.5044843049327354</v>
      </c>
      <c r="AP232">
        <f t="shared" si="81"/>
        <v>1</v>
      </c>
      <c r="AR232">
        <f t="shared" si="82"/>
        <v>4.4933035714285712</v>
      </c>
      <c r="AT232">
        <f t="shared" si="83"/>
        <v>4.4933035714285712</v>
      </c>
      <c r="AV232">
        <f t="shared" si="84"/>
        <v>2348</v>
      </c>
      <c r="AW232">
        <f t="shared" si="85"/>
        <v>4361</v>
      </c>
    </row>
    <row r="233" spans="1:49" x14ac:dyDescent="0.15">
      <c r="A233" s="5">
        <v>223</v>
      </c>
      <c r="B233" s="5">
        <f t="shared" si="71"/>
        <v>13560</v>
      </c>
      <c r="C233" s="5">
        <f t="shared" si="70"/>
        <v>3370</v>
      </c>
      <c r="D233" s="5">
        <f t="shared" si="70"/>
        <v>2240</v>
      </c>
      <c r="E233" s="5">
        <f t="shared" si="70"/>
        <v>675</v>
      </c>
      <c r="F233" s="5">
        <f t="shared" si="70"/>
        <v>900</v>
      </c>
      <c r="G233" s="5">
        <f t="shared" si="92"/>
        <v>37968</v>
      </c>
      <c r="H233" s="5">
        <f t="shared" si="92"/>
        <v>9436</v>
      </c>
      <c r="I233" s="5">
        <f t="shared" si="92"/>
        <v>6272</v>
      </c>
      <c r="J233" s="5">
        <f t="shared" si="92"/>
        <v>1889.9999999999998</v>
      </c>
      <c r="K233" s="5">
        <f t="shared" si="92"/>
        <v>2520</v>
      </c>
      <c r="L233" s="5">
        <f t="shared" si="93"/>
        <v>18984</v>
      </c>
      <c r="M233" s="5">
        <f t="shared" si="93"/>
        <v>4718</v>
      </c>
      <c r="N233" s="5">
        <f t="shared" si="93"/>
        <v>3136</v>
      </c>
      <c r="O233" s="5">
        <f t="shared" si="93"/>
        <v>944.99999999999989</v>
      </c>
      <c r="P233" s="5">
        <f t="shared" si="93"/>
        <v>1260</v>
      </c>
      <c r="Q233" s="5">
        <f t="shared" si="86"/>
        <v>70512</v>
      </c>
      <c r="R233" s="5">
        <f t="shared" si="87"/>
        <v>17524</v>
      </c>
      <c r="S233" s="5">
        <f t="shared" si="88"/>
        <v>11648</v>
      </c>
      <c r="T233" s="5">
        <f t="shared" si="89"/>
        <v>3510</v>
      </c>
      <c r="U233" s="5">
        <f t="shared" si="90"/>
        <v>4680</v>
      </c>
      <c r="V233" s="5">
        <f>B233*战斗力计算!$B$8+C233*战斗力计算!$B$9+D233*战斗力计算!$B$10+E233*战斗力计算!$B$11+F233*战斗力计算!$B$12</f>
        <v>98880</v>
      </c>
      <c r="W233" s="5">
        <f>G233*战斗力计算!$B$8+H233*战斗力计算!$B$9+I233*战斗力计算!$B$10+J233*战斗力计算!$B$11+K233*战斗力计算!$B$12+L233*战斗力计算!$B$8+M233*战斗力计算!$B$9+N233*战斗力计算!$B$10+O233*战斗力计算!$B$11+P233*战斗力计算!$B$12</f>
        <v>415296</v>
      </c>
      <c r="X233" s="5">
        <f t="shared" si="91"/>
        <v>514176</v>
      </c>
      <c r="AC233">
        <f t="shared" si="72"/>
        <v>2.8</v>
      </c>
      <c r="AD233">
        <f t="shared" si="73"/>
        <v>1.4</v>
      </c>
      <c r="AF233">
        <f t="shared" si="74"/>
        <v>0.75</v>
      </c>
      <c r="AH233">
        <f t="shared" si="75"/>
        <v>12</v>
      </c>
      <c r="AK233">
        <f t="shared" si="76"/>
        <v>6.0535714285714288</v>
      </c>
      <c r="AL233">
        <f t="shared" si="77"/>
        <v>1.5044642857142858</v>
      </c>
      <c r="AM233">
        <f t="shared" si="78"/>
        <v>1</v>
      </c>
      <c r="AN233">
        <f t="shared" si="79"/>
        <v>6.0535714285714288</v>
      </c>
      <c r="AO233">
        <f t="shared" si="80"/>
        <v>1.5044642857142858</v>
      </c>
      <c r="AP233">
        <f t="shared" si="81"/>
        <v>1</v>
      </c>
      <c r="AR233">
        <f t="shared" si="82"/>
        <v>4.4933333333333332</v>
      </c>
      <c r="AT233">
        <f t="shared" si="83"/>
        <v>4.4933333333333332</v>
      </c>
      <c r="AV233">
        <f t="shared" si="84"/>
        <v>2359</v>
      </c>
      <c r="AW233">
        <f t="shared" si="85"/>
        <v>4381</v>
      </c>
    </row>
    <row r="234" spans="1:49" x14ac:dyDescent="0.15">
      <c r="A234" s="5">
        <v>224</v>
      </c>
      <c r="B234" s="5">
        <f t="shared" si="71"/>
        <v>13620</v>
      </c>
      <c r="C234" s="5">
        <f t="shared" si="70"/>
        <v>3385</v>
      </c>
      <c r="D234" s="5">
        <f t="shared" si="70"/>
        <v>2250</v>
      </c>
      <c r="E234" s="5">
        <f t="shared" si="70"/>
        <v>678</v>
      </c>
      <c r="F234" s="5">
        <f t="shared" si="70"/>
        <v>904</v>
      </c>
      <c r="G234" s="5">
        <f t="shared" si="92"/>
        <v>38136</v>
      </c>
      <c r="H234" s="5">
        <f t="shared" si="92"/>
        <v>9478</v>
      </c>
      <c r="I234" s="5">
        <f t="shared" si="92"/>
        <v>6300</v>
      </c>
      <c r="J234" s="5">
        <f t="shared" si="92"/>
        <v>1898.3999999999999</v>
      </c>
      <c r="K234" s="5">
        <f t="shared" si="92"/>
        <v>2531.1999999999998</v>
      </c>
      <c r="L234" s="5">
        <f t="shared" si="93"/>
        <v>19068</v>
      </c>
      <c r="M234" s="5">
        <f t="shared" si="93"/>
        <v>4739</v>
      </c>
      <c r="N234" s="5">
        <f t="shared" si="93"/>
        <v>3150</v>
      </c>
      <c r="O234" s="5">
        <f t="shared" si="93"/>
        <v>949.19999999999993</v>
      </c>
      <c r="P234" s="5">
        <f t="shared" si="93"/>
        <v>1265.5999999999999</v>
      </c>
      <c r="Q234" s="5">
        <f t="shared" si="86"/>
        <v>70824</v>
      </c>
      <c r="R234" s="5">
        <f t="shared" si="87"/>
        <v>17602</v>
      </c>
      <c r="S234" s="5">
        <f t="shared" si="88"/>
        <v>11700</v>
      </c>
      <c r="T234" s="5">
        <f t="shared" si="89"/>
        <v>3525.5999999999995</v>
      </c>
      <c r="U234" s="5">
        <f t="shared" si="90"/>
        <v>4700.7999999999993</v>
      </c>
      <c r="V234" s="5">
        <f>B234*战斗力计算!$B$8+C234*战斗力计算!$B$9+D234*战斗力计算!$B$10+E234*战斗力计算!$B$11+F234*战斗力计算!$B$12</f>
        <v>99320</v>
      </c>
      <c r="W234" s="5">
        <f>G234*战斗力计算!$B$8+H234*战斗力计算!$B$9+I234*战斗力计算!$B$10+J234*战斗力计算!$B$11+K234*战斗力计算!$B$12+L234*战斗力计算!$B$8+M234*战斗力计算!$B$9+N234*战斗力计算!$B$10+O234*战斗力计算!$B$11+P234*战斗力计算!$B$12</f>
        <v>417144</v>
      </c>
      <c r="X234" s="5">
        <f t="shared" si="91"/>
        <v>516464</v>
      </c>
      <c r="AC234">
        <f t="shared" si="72"/>
        <v>2.8</v>
      </c>
      <c r="AD234">
        <f t="shared" si="73"/>
        <v>1.4</v>
      </c>
      <c r="AF234">
        <f t="shared" si="74"/>
        <v>0.75</v>
      </c>
      <c r="AH234">
        <f t="shared" si="75"/>
        <v>12</v>
      </c>
      <c r="AK234">
        <f t="shared" si="76"/>
        <v>6.0533333333333337</v>
      </c>
      <c r="AL234">
        <f t="shared" si="77"/>
        <v>1.5044444444444445</v>
      </c>
      <c r="AM234">
        <f t="shared" si="78"/>
        <v>1</v>
      </c>
      <c r="AN234">
        <f t="shared" si="79"/>
        <v>6.0533333333333337</v>
      </c>
      <c r="AO234">
        <f t="shared" si="80"/>
        <v>1.5044444444444445</v>
      </c>
      <c r="AP234">
        <f t="shared" si="81"/>
        <v>1</v>
      </c>
      <c r="AR234">
        <f t="shared" si="82"/>
        <v>4.4933628318584073</v>
      </c>
      <c r="AT234">
        <f t="shared" si="83"/>
        <v>4.4933628318584073</v>
      </c>
      <c r="AV234">
        <f t="shared" si="84"/>
        <v>2369</v>
      </c>
      <c r="AW234">
        <f t="shared" si="85"/>
        <v>4400</v>
      </c>
    </row>
    <row r="235" spans="1:49" x14ac:dyDescent="0.15">
      <c r="A235" s="5">
        <v>225</v>
      </c>
      <c r="B235" s="5">
        <f t="shared" si="71"/>
        <v>13680</v>
      </c>
      <c r="C235" s="5">
        <f t="shared" si="70"/>
        <v>3400</v>
      </c>
      <c r="D235" s="5">
        <f t="shared" si="70"/>
        <v>2260</v>
      </c>
      <c r="E235" s="5">
        <f t="shared" si="70"/>
        <v>681</v>
      </c>
      <c r="F235" s="5">
        <f t="shared" si="70"/>
        <v>908</v>
      </c>
      <c r="G235" s="5">
        <f t="shared" si="92"/>
        <v>41040</v>
      </c>
      <c r="H235" s="5">
        <f t="shared" si="92"/>
        <v>10200</v>
      </c>
      <c r="I235" s="5">
        <f t="shared" si="92"/>
        <v>6780</v>
      </c>
      <c r="J235" s="5">
        <f t="shared" si="92"/>
        <v>2043</v>
      </c>
      <c r="K235" s="5">
        <f t="shared" si="92"/>
        <v>2724</v>
      </c>
      <c r="L235" s="5">
        <f t="shared" si="93"/>
        <v>20520</v>
      </c>
      <c r="M235" s="5">
        <f t="shared" si="93"/>
        <v>5100</v>
      </c>
      <c r="N235" s="5">
        <f t="shared" si="93"/>
        <v>3390</v>
      </c>
      <c r="O235" s="5">
        <f t="shared" si="93"/>
        <v>1021.5</v>
      </c>
      <c r="P235" s="5">
        <f t="shared" si="93"/>
        <v>1362</v>
      </c>
      <c r="Q235" s="5">
        <f t="shared" si="86"/>
        <v>75240</v>
      </c>
      <c r="R235" s="5">
        <f t="shared" si="87"/>
        <v>18700</v>
      </c>
      <c r="S235" s="5">
        <f t="shared" si="88"/>
        <v>12430</v>
      </c>
      <c r="T235" s="5">
        <f t="shared" si="89"/>
        <v>3745.5</v>
      </c>
      <c r="U235" s="5">
        <f t="shared" si="90"/>
        <v>4994</v>
      </c>
      <c r="V235" s="5">
        <f>B235*战斗力计算!$B$8+C235*战斗力计算!$B$9+D235*战斗力计算!$B$10+E235*战斗力计算!$B$11+F235*战斗力计算!$B$12</f>
        <v>99760</v>
      </c>
      <c r="W235" s="5">
        <f>G235*战斗力计算!$B$8+H235*战斗力计算!$B$9+I235*战斗力计算!$B$10+J235*战斗力计算!$B$11+K235*战斗力计算!$B$12+L235*战斗力计算!$B$8+M235*战斗力计算!$B$9+N235*战斗力计算!$B$10+O235*战斗力计算!$B$11+P235*战斗力计算!$B$12</f>
        <v>448920</v>
      </c>
      <c r="X235" s="5">
        <f t="shared" si="91"/>
        <v>548680</v>
      </c>
      <c r="AC235">
        <f t="shared" si="72"/>
        <v>3</v>
      </c>
      <c r="AD235">
        <f t="shared" si="73"/>
        <v>1.5</v>
      </c>
      <c r="AF235">
        <f t="shared" si="74"/>
        <v>0.75</v>
      </c>
      <c r="AH235">
        <f t="shared" si="75"/>
        <v>12</v>
      </c>
      <c r="AK235">
        <f t="shared" si="76"/>
        <v>6.053097345132743</v>
      </c>
      <c r="AL235">
        <f t="shared" si="77"/>
        <v>1.5044247787610618</v>
      </c>
      <c r="AM235">
        <f t="shared" si="78"/>
        <v>1</v>
      </c>
      <c r="AN235">
        <f t="shared" si="79"/>
        <v>6.053097345132743</v>
      </c>
      <c r="AO235">
        <f t="shared" si="80"/>
        <v>1.5044247787610618</v>
      </c>
      <c r="AP235">
        <f t="shared" si="81"/>
        <v>1</v>
      </c>
      <c r="AR235">
        <f t="shared" si="82"/>
        <v>4.4933920704845818</v>
      </c>
      <c r="AT235">
        <f t="shared" si="83"/>
        <v>4.4933920704845818</v>
      </c>
      <c r="AV235">
        <f t="shared" si="84"/>
        <v>2380</v>
      </c>
      <c r="AW235">
        <f t="shared" si="85"/>
        <v>4420</v>
      </c>
    </row>
    <row r="236" spans="1:49" x14ac:dyDescent="0.15">
      <c r="A236" s="5">
        <v>226</v>
      </c>
      <c r="B236" s="5">
        <f t="shared" si="71"/>
        <v>13740</v>
      </c>
      <c r="C236" s="5">
        <f t="shared" si="70"/>
        <v>3415</v>
      </c>
      <c r="D236" s="5">
        <f t="shared" si="70"/>
        <v>2270</v>
      </c>
      <c r="E236" s="5">
        <f t="shared" si="70"/>
        <v>684</v>
      </c>
      <c r="F236" s="5">
        <f t="shared" si="70"/>
        <v>912</v>
      </c>
      <c r="G236" s="5">
        <f t="shared" si="92"/>
        <v>41220</v>
      </c>
      <c r="H236" s="5">
        <f t="shared" si="92"/>
        <v>10245</v>
      </c>
      <c r="I236" s="5">
        <f t="shared" si="92"/>
        <v>6810</v>
      </c>
      <c r="J236" s="5">
        <f t="shared" si="92"/>
        <v>2052</v>
      </c>
      <c r="K236" s="5">
        <f t="shared" si="92"/>
        <v>2736</v>
      </c>
      <c r="L236" s="5">
        <f t="shared" si="93"/>
        <v>20610</v>
      </c>
      <c r="M236" s="5">
        <f t="shared" si="93"/>
        <v>5122.5</v>
      </c>
      <c r="N236" s="5">
        <f t="shared" si="93"/>
        <v>3405</v>
      </c>
      <c r="O236" s="5">
        <f t="shared" si="93"/>
        <v>1026</v>
      </c>
      <c r="P236" s="5">
        <f t="shared" si="93"/>
        <v>1368</v>
      </c>
      <c r="Q236" s="5">
        <f t="shared" si="86"/>
        <v>75570</v>
      </c>
      <c r="R236" s="5">
        <f t="shared" si="87"/>
        <v>18782.5</v>
      </c>
      <c r="S236" s="5">
        <f t="shared" si="88"/>
        <v>12485</v>
      </c>
      <c r="T236" s="5">
        <f t="shared" si="89"/>
        <v>3762</v>
      </c>
      <c r="U236" s="5">
        <f t="shared" si="90"/>
        <v>5016</v>
      </c>
      <c r="V236" s="5">
        <f>B236*战斗力计算!$B$8+C236*战斗力计算!$B$9+D236*战斗力计算!$B$10+E236*战斗力计算!$B$11+F236*战斗力计算!$B$12</f>
        <v>100200</v>
      </c>
      <c r="W236" s="5">
        <f>G236*战斗力计算!$B$8+H236*战斗力计算!$B$9+I236*战斗力计算!$B$10+J236*战斗力计算!$B$11+K236*战斗力计算!$B$12+L236*战斗力计算!$B$8+M236*战斗力计算!$B$9+N236*战斗力计算!$B$10+O236*战斗力计算!$B$11+P236*战斗力计算!$B$12</f>
        <v>450900</v>
      </c>
      <c r="X236" s="5">
        <f t="shared" si="91"/>
        <v>551100</v>
      </c>
      <c r="AC236">
        <f t="shared" si="72"/>
        <v>3</v>
      </c>
      <c r="AD236">
        <f t="shared" si="73"/>
        <v>1.5</v>
      </c>
      <c r="AF236">
        <f t="shared" si="74"/>
        <v>0.75</v>
      </c>
      <c r="AH236">
        <f t="shared" si="75"/>
        <v>12</v>
      </c>
      <c r="AK236">
        <f t="shared" si="76"/>
        <v>6.0528634361233484</v>
      </c>
      <c r="AL236">
        <f t="shared" si="77"/>
        <v>1.5044052863436124</v>
      </c>
      <c r="AM236">
        <f t="shared" si="78"/>
        <v>1</v>
      </c>
      <c r="AN236">
        <f t="shared" si="79"/>
        <v>6.0528634361233484</v>
      </c>
      <c r="AO236">
        <f t="shared" si="80"/>
        <v>1.5044052863436124</v>
      </c>
      <c r="AP236">
        <f t="shared" si="81"/>
        <v>1</v>
      </c>
      <c r="AR236">
        <f t="shared" si="82"/>
        <v>4.4934210526315788</v>
      </c>
      <c r="AT236">
        <f t="shared" si="83"/>
        <v>4.4934210526315788</v>
      </c>
      <c r="AV236">
        <f t="shared" si="84"/>
        <v>2390</v>
      </c>
      <c r="AW236">
        <f t="shared" si="85"/>
        <v>4439</v>
      </c>
    </row>
    <row r="237" spans="1:49" x14ac:dyDescent="0.15">
      <c r="A237" s="5">
        <v>227</v>
      </c>
      <c r="B237" s="5">
        <f t="shared" si="71"/>
        <v>13800</v>
      </c>
      <c r="C237" s="5">
        <f t="shared" si="70"/>
        <v>3430</v>
      </c>
      <c r="D237" s="5">
        <f t="shared" si="70"/>
        <v>2280</v>
      </c>
      <c r="E237" s="5">
        <f t="shared" si="70"/>
        <v>687</v>
      </c>
      <c r="F237" s="5">
        <f t="shared" si="70"/>
        <v>916</v>
      </c>
      <c r="G237" s="5">
        <f t="shared" si="92"/>
        <v>41400</v>
      </c>
      <c r="H237" s="5">
        <f t="shared" si="92"/>
        <v>10290</v>
      </c>
      <c r="I237" s="5">
        <f t="shared" si="92"/>
        <v>6840</v>
      </c>
      <c r="J237" s="5">
        <f t="shared" si="92"/>
        <v>2061</v>
      </c>
      <c r="K237" s="5">
        <f t="shared" si="92"/>
        <v>2748</v>
      </c>
      <c r="L237" s="5">
        <f t="shared" si="93"/>
        <v>20700</v>
      </c>
      <c r="M237" s="5">
        <f t="shared" si="93"/>
        <v>5145</v>
      </c>
      <c r="N237" s="5">
        <f t="shared" si="93"/>
        <v>3420</v>
      </c>
      <c r="O237" s="5">
        <f t="shared" si="93"/>
        <v>1030.5</v>
      </c>
      <c r="P237" s="5">
        <f t="shared" si="93"/>
        <v>1374</v>
      </c>
      <c r="Q237" s="5">
        <f t="shared" si="86"/>
        <v>75900</v>
      </c>
      <c r="R237" s="5">
        <f t="shared" si="87"/>
        <v>18865</v>
      </c>
      <c r="S237" s="5">
        <f t="shared" si="88"/>
        <v>12540</v>
      </c>
      <c r="T237" s="5">
        <f t="shared" si="89"/>
        <v>3778.5</v>
      </c>
      <c r="U237" s="5">
        <f t="shared" si="90"/>
        <v>5038</v>
      </c>
      <c r="V237" s="5">
        <f>B237*战斗力计算!$B$8+C237*战斗力计算!$B$9+D237*战斗力计算!$B$10+E237*战斗力计算!$B$11+F237*战斗力计算!$B$12</f>
        <v>100640</v>
      </c>
      <c r="W237" s="5">
        <f>G237*战斗力计算!$B$8+H237*战斗力计算!$B$9+I237*战斗力计算!$B$10+J237*战斗力计算!$B$11+K237*战斗力计算!$B$12+L237*战斗力计算!$B$8+M237*战斗力计算!$B$9+N237*战斗力计算!$B$10+O237*战斗力计算!$B$11+P237*战斗力计算!$B$12</f>
        <v>452880</v>
      </c>
      <c r="X237" s="5">
        <f t="shared" si="91"/>
        <v>553520</v>
      </c>
      <c r="AC237">
        <f t="shared" si="72"/>
        <v>3</v>
      </c>
      <c r="AD237">
        <f t="shared" si="73"/>
        <v>1.5</v>
      </c>
      <c r="AF237">
        <f t="shared" si="74"/>
        <v>0.75</v>
      </c>
      <c r="AH237">
        <f t="shared" si="75"/>
        <v>12</v>
      </c>
      <c r="AK237">
        <f t="shared" si="76"/>
        <v>6.0526315789473681</v>
      </c>
      <c r="AL237">
        <f t="shared" si="77"/>
        <v>1.5043859649122806</v>
      </c>
      <c r="AM237">
        <f t="shared" si="78"/>
        <v>1</v>
      </c>
      <c r="AN237">
        <f t="shared" si="79"/>
        <v>6.0526315789473681</v>
      </c>
      <c r="AO237">
        <f t="shared" si="80"/>
        <v>1.5043859649122806</v>
      </c>
      <c r="AP237">
        <f t="shared" si="81"/>
        <v>1</v>
      </c>
      <c r="AR237">
        <f t="shared" si="82"/>
        <v>4.4934497816593888</v>
      </c>
      <c r="AT237">
        <f t="shared" si="83"/>
        <v>4.4934497816593888</v>
      </c>
      <c r="AV237">
        <f t="shared" si="84"/>
        <v>2401</v>
      </c>
      <c r="AW237">
        <f t="shared" si="85"/>
        <v>4459</v>
      </c>
    </row>
    <row r="238" spans="1:49" x14ac:dyDescent="0.15">
      <c r="A238" s="5">
        <v>228</v>
      </c>
      <c r="B238" s="5">
        <f t="shared" si="71"/>
        <v>13860</v>
      </c>
      <c r="C238" s="5">
        <f t="shared" si="70"/>
        <v>3445</v>
      </c>
      <c r="D238" s="5">
        <f t="shared" si="70"/>
        <v>2290</v>
      </c>
      <c r="E238" s="5">
        <f t="shared" si="70"/>
        <v>690</v>
      </c>
      <c r="F238" s="5">
        <f t="shared" si="70"/>
        <v>920</v>
      </c>
      <c r="G238" s="5">
        <f t="shared" si="92"/>
        <v>41580</v>
      </c>
      <c r="H238" s="5">
        <f t="shared" si="92"/>
        <v>10335</v>
      </c>
      <c r="I238" s="5">
        <f t="shared" si="92"/>
        <v>6870</v>
      </c>
      <c r="J238" s="5">
        <f t="shared" si="92"/>
        <v>2070</v>
      </c>
      <c r="K238" s="5">
        <f t="shared" si="92"/>
        <v>2760</v>
      </c>
      <c r="L238" s="5">
        <f t="shared" si="93"/>
        <v>20790</v>
      </c>
      <c r="M238" s="5">
        <f t="shared" si="93"/>
        <v>5167.5</v>
      </c>
      <c r="N238" s="5">
        <f t="shared" si="93"/>
        <v>3435</v>
      </c>
      <c r="O238" s="5">
        <f t="shared" si="93"/>
        <v>1035</v>
      </c>
      <c r="P238" s="5">
        <f t="shared" si="93"/>
        <v>1380</v>
      </c>
      <c r="Q238" s="5">
        <f t="shared" si="86"/>
        <v>76230</v>
      </c>
      <c r="R238" s="5">
        <f t="shared" si="87"/>
        <v>18947.5</v>
      </c>
      <c r="S238" s="5">
        <f t="shared" si="88"/>
        <v>12595</v>
      </c>
      <c r="T238" s="5">
        <f t="shared" si="89"/>
        <v>3795</v>
      </c>
      <c r="U238" s="5">
        <f t="shared" si="90"/>
        <v>5060</v>
      </c>
      <c r="V238" s="5">
        <f>B238*战斗力计算!$B$8+C238*战斗力计算!$B$9+D238*战斗力计算!$B$10+E238*战斗力计算!$B$11+F238*战斗力计算!$B$12</f>
        <v>101080</v>
      </c>
      <c r="W238" s="5">
        <f>G238*战斗力计算!$B$8+H238*战斗力计算!$B$9+I238*战斗力计算!$B$10+J238*战斗力计算!$B$11+K238*战斗力计算!$B$12+L238*战斗力计算!$B$8+M238*战斗力计算!$B$9+N238*战斗力计算!$B$10+O238*战斗力计算!$B$11+P238*战斗力计算!$B$12</f>
        <v>454860</v>
      </c>
      <c r="X238" s="5">
        <f t="shared" si="91"/>
        <v>555940</v>
      </c>
      <c r="AC238">
        <f t="shared" si="72"/>
        <v>3</v>
      </c>
      <c r="AD238">
        <f t="shared" si="73"/>
        <v>1.5</v>
      </c>
      <c r="AF238">
        <f t="shared" si="74"/>
        <v>0.75</v>
      </c>
      <c r="AH238">
        <f t="shared" si="75"/>
        <v>12</v>
      </c>
      <c r="AK238">
        <f t="shared" si="76"/>
        <v>6.0524017467248905</v>
      </c>
      <c r="AL238">
        <f t="shared" si="77"/>
        <v>1.5043668122270741</v>
      </c>
      <c r="AM238">
        <f t="shared" si="78"/>
        <v>1</v>
      </c>
      <c r="AN238">
        <f t="shared" si="79"/>
        <v>6.0524017467248905</v>
      </c>
      <c r="AO238">
        <f t="shared" si="80"/>
        <v>1.5043668122270741</v>
      </c>
      <c r="AP238">
        <f t="shared" si="81"/>
        <v>1</v>
      </c>
      <c r="AR238">
        <f t="shared" si="82"/>
        <v>4.4934782608695656</v>
      </c>
      <c r="AT238">
        <f t="shared" si="83"/>
        <v>4.4934782608695656</v>
      </c>
      <c r="AV238">
        <f t="shared" si="84"/>
        <v>2411</v>
      </c>
      <c r="AW238">
        <f t="shared" si="85"/>
        <v>4478</v>
      </c>
    </row>
    <row r="239" spans="1:49" x14ac:dyDescent="0.15">
      <c r="A239" s="5">
        <v>229</v>
      </c>
      <c r="B239" s="5">
        <f t="shared" si="71"/>
        <v>13920</v>
      </c>
      <c r="C239" s="5">
        <f t="shared" si="70"/>
        <v>3460</v>
      </c>
      <c r="D239" s="5">
        <f t="shared" si="70"/>
        <v>2300</v>
      </c>
      <c r="E239" s="5">
        <f t="shared" si="70"/>
        <v>693</v>
      </c>
      <c r="F239" s="5">
        <f t="shared" si="70"/>
        <v>924</v>
      </c>
      <c r="G239" s="5">
        <f t="shared" si="92"/>
        <v>41760</v>
      </c>
      <c r="H239" s="5">
        <f t="shared" si="92"/>
        <v>10380</v>
      </c>
      <c r="I239" s="5">
        <f t="shared" si="92"/>
        <v>6900</v>
      </c>
      <c r="J239" s="5">
        <f t="shared" si="92"/>
        <v>2079</v>
      </c>
      <c r="K239" s="5">
        <f t="shared" si="92"/>
        <v>2772</v>
      </c>
      <c r="L239" s="5">
        <f t="shared" si="93"/>
        <v>20880</v>
      </c>
      <c r="M239" s="5">
        <f t="shared" si="93"/>
        <v>5190</v>
      </c>
      <c r="N239" s="5">
        <f t="shared" si="93"/>
        <v>3450</v>
      </c>
      <c r="O239" s="5">
        <f t="shared" si="93"/>
        <v>1039.5</v>
      </c>
      <c r="P239" s="5">
        <f t="shared" si="93"/>
        <v>1386</v>
      </c>
      <c r="Q239" s="5">
        <f t="shared" si="86"/>
        <v>76560</v>
      </c>
      <c r="R239" s="5">
        <f t="shared" si="87"/>
        <v>19030</v>
      </c>
      <c r="S239" s="5">
        <f t="shared" si="88"/>
        <v>12650</v>
      </c>
      <c r="T239" s="5">
        <f t="shared" si="89"/>
        <v>3811.5</v>
      </c>
      <c r="U239" s="5">
        <f t="shared" si="90"/>
        <v>5082</v>
      </c>
      <c r="V239" s="5">
        <f>B239*战斗力计算!$B$8+C239*战斗力计算!$B$9+D239*战斗力计算!$B$10+E239*战斗力计算!$B$11+F239*战斗力计算!$B$12</f>
        <v>101520</v>
      </c>
      <c r="W239" s="5">
        <f>G239*战斗力计算!$B$8+H239*战斗力计算!$B$9+I239*战斗力计算!$B$10+J239*战斗力计算!$B$11+K239*战斗力计算!$B$12+L239*战斗力计算!$B$8+M239*战斗力计算!$B$9+N239*战斗力计算!$B$10+O239*战斗力计算!$B$11+P239*战斗力计算!$B$12</f>
        <v>456840</v>
      </c>
      <c r="X239" s="5">
        <f t="shared" si="91"/>
        <v>558360</v>
      </c>
      <c r="AC239">
        <f t="shared" si="72"/>
        <v>3</v>
      </c>
      <c r="AD239">
        <f t="shared" si="73"/>
        <v>1.5</v>
      </c>
      <c r="AF239">
        <f t="shared" si="74"/>
        <v>0.75</v>
      </c>
      <c r="AH239">
        <f t="shared" si="75"/>
        <v>12</v>
      </c>
      <c r="AK239">
        <f t="shared" si="76"/>
        <v>6.052173913043478</v>
      </c>
      <c r="AL239">
        <f t="shared" si="77"/>
        <v>1.5043478260869565</v>
      </c>
      <c r="AM239">
        <f t="shared" si="78"/>
        <v>1</v>
      </c>
      <c r="AN239">
        <f t="shared" si="79"/>
        <v>6.052173913043478</v>
      </c>
      <c r="AO239">
        <f t="shared" si="80"/>
        <v>1.5043478260869565</v>
      </c>
      <c r="AP239">
        <f t="shared" si="81"/>
        <v>1</v>
      </c>
      <c r="AR239">
        <f t="shared" si="82"/>
        <v>4.4935064935064934</v>
      </c>
      <c r="AT239">
        <f t="shared" si="83"/>
        <v>4.4935064935064934</v>
      </c>
      <c r="AV239">
        <f t="shared" si="84"/>
        <v>2422</v>
      </c>
      <c r="AW239">
        <f t="shared" si="85"/>
        <v>4498</v>
      </c>
    </row>
    <row r="240" spans="1:49" x14ac:dyDescent="0.15">
      <c r="A240" s="5">
        <v>230</v>
      </c>
      <c r="B240" s="5">
        <f t="shared" si="71"/>
        <v>13980</v>
      </c>
      <c r="C240" s="5">
        <f t="shared" si="70"/>
        <v>3475</v>
      </c>
      <c r="D240" s="5">
        <f t="shared" si="70"/>
        <v>2310</v>
      </c>
      <c r="E240" s="5">
        <f t="shared" si="70"/>
        <v>696</v>
      </c>
      <c r="F240" s="5">
        <f t="shared" si="70"/>
        <v>928</v>
      </c>
      <c r="G240" s="5">
        <f t="shared" si="92"/>
        <v>41940</v>
      </c>
      <c r="H240" s="5">
        <f t="shared" si="92"/>
        <v>10425</v>
      </c>
      <c r="I240" s="5">
        <f t="shared" si="92"/>
        <v>6930</v>
      </c>
      <c r="J240" s="5">
        <f t="shared" si="92"/>
        <v>2088</v>
      </c>
      <c r="K240" s="5">
        <f t="shared" si="92"/>
        <v>2784</v>
      </c>
      <c r="L240" s="5">
        <f t="shared" si="93"/>
        <v>20970</v>
      </c>
      <c r="M240" s="5">
        <f t="shared" si="93"/>
        <v>5212.5</v>
      </c>
      <c r="N240" s="5">
        <f t="shared" si="93"/>
        <v>3465</v>
      </c>
      <c r="O240" s="5">
        <f t="shared" si="93"/>
        <v>1044</v>
      </c>
      <c r="P240" s="5">
        <f t="shared" si="93"/>
        <v>1392</v>
      </c>
      <c r="Q240" s="5">
        <f t="shared" si="86"/>
        <v>76890</v>
      </c>
      <c r="R240" s="5">
        <f t="shared" si="87"/>
        <v>19112.5</v>
      </c>
      <c r="S240" s="5">
        <f t="shared" si="88"/>
        <v>12705</v>
      </c>
      <c r="T240" s="5">
        <f t="shared" si="89"/>
        <v>3828</v>
      </c>
      <c r="U240" s="5">
        <f t="shared" si="90"/>
        <v>5104</v>
      </c>
      <c r="V240" s="5">
        <f>B240*战斗力计算!$B$8+C240*战斗力计算!$B$9+D240*战斗力计算!$B$10+E240*战斗力计算!$B$11+F240*战斗力计算!$B$12</f>
        <v>101960</v>
      </c>
      <c r="W240" s="5">
        <f>G240*战斗力计算!$B$8+H240*战斗力计算!$B$9+I240*战斗力计算!$B$10+J240*战斗力计算!$B$11+K240*战斗力计算!$B$12+L240*战斗力计算!$B$8+M240*战斗力计算!$B$9+N240*战斗力计算!$B$10+O240*战斗力计算!$B$11+P240*战斗力计算!$B$12</f>
        <v>458820</v>
      </c>
      <c r="X240" s="5">
        <f t="shared" si="91"/>
        <v>560780</v>
      </c>
      <c r="AC240">
        <f t="shared" si="72"/>
        <v>3</v>
      </c>
      <c r="AD240">
        <f t="shared" si="73"/>
        <v>1.5</v>
      </c>
      <c r="AF240">
        <f t="shared" si="74"/>
        <v>0.75</v>
      </c>
      <c r="AH240">
        <f t="shared" si="75"/>
        <v>12</v>
      </c>
      <c r="AK240">
        <f t="shared" si="76"/>
        <v>6.0519480519480515</v>
      </c>
      <c r="AL240">
        <f t="shared" si="77"/>
        <v>1.5043290043290043</v>
      </c>
      <c r="AM240">
        <f t="shared" si="78"/>
        <v>1</v>
      </c>
      <c r="AN240">
        <f t="shared" si="79"/>
        <v>6.0519480519480515</v>
      </c>
      <c r="AO240">
        <f t="shared" si="80"/>
        <v>1.5043290043290043</v>
      </c>
      <c r="AP240">
        <f t="shared" si="81"/>
        <v>1</v>
      </c>
      <c r="AR240">
        <f t="shared" si="82"/>
        <v>4.493534482758621</v>
      </c>
      <c r="AT240">
        <f t="shared" si="83"/>
        <v>4.493534482758621</v>
      </c>
      <c r="AV240">
        <f t="shared" si="84"/>
        <v>2432</v>
      </c>
      <c r="AW240">
        <f t="shared" si="85"/>
        <v>4517</v>
      </c>
    </row>
    <row r="241" spans="1:49" x14ac:dyDescent="0.15">
      <c r="A241" s="5">
        <v>231</v>
      </c>
      <c r="B241" s="5">
        <f t="shared" si="71"/>
        <v>14040</v>
      </c>
      <c r="C241" s="5">
        <f t="shared" si="70"/>
        <v>3490</v>
      </c>
      <c r="D241" s="5">
        <f t="shared" si="70"/>
        <v>2320</v>
      </c>
      <c r="E241" s="5">
        <f t="shared" si="70"/>
        <v>699</v>
      </c>
      <c r="F241" s="5">
        <f t="shared" si="70"/>
        <v>932</v>
      </c>
      <c r="G241" s="5">
        <f t="shared" si="92"/>
        <v>42120</v>
      </c>
      <c r="H241" s="5">
        <f t="shared" si="92"/>
        <v>10470</v>
      </c>
      <c r="I241" s="5">
        <f t="shared" si="92"/>
        <v>6960</v>
      </c>
      <c r="J241" s="5">
        <f t="shared" si="92"/>
        <v>2097</v>
      </c>
      <c r="K241" s="5">
        <f t="shared" si="92"/>
        <v>2796</v>
      </c>
      <c r="L241" s="5">
        <f t="shared" si="93"/>
        <v>21060</v>
      </c>
      <c r="M241" s="5">
        <f t="shared" si="93"/>
        <v>5235</v>
      </c>
      <c r="N241" s="5">
        <f t="shared" si="93"/>
        <v>3480</v>
      </c>
      <c r="O241" s="5">
        <f t="shared" si="93"/>
        <v>1048.5</v>
      </c>
      <c r="P241" s="5">
        <f t="shared" si="93"/>
        <v>1398</v>
      </c>
      <c r="Q241" s="5">
        <f t="shared" si="86"/>
        <v>77220</v>
      </c>
      <c r="R241" s="5">
        <f t="shared" si="87"/>
        <v>19195</v>
      </c>
      <c r="S241" s="5">
        <f t="shared" si="88"/>
        <v>12760</v>
      </c>
      <c r="T241" s="5">
        <f t="shared" si="89"/>
        <v>3844.5</v>
      </c>
      <c r="U241" s="5">
        <f t="shared" si="90"/>
        <v>5126</v>
      </c>
      <c r="V241" s="5">
        <f>B241*战斗力计算!$B$8+C241*战斗力计算!$B$9+D241*战斗力计算!$B$10+E241*战斗力计算!$B$11+F241*战斗力计算!$B$12</f>
        <v>102400</v>
      </c>
      <c r="W241" s="5">
        <f>G241*战斗力计算!$B$8+H241*战斗力计算!$B$9+I241*战斗力计算!$B$10+J241*战斗力计算!$B$11+K241*战斗力计算!$B$12+L241*战斗力计算!$B$8+M241*战斗力计算!$B$9+N241*战斗力计算!$B$10+O241*战斗力计算!$B$11+P241*战斗力计算!$B$12</f>
        <v>460800</v>
      </c>
      <c r="X241" s="5">
        <f t="shared" si="91"/>
        <v>563200</v>
      </c>
      <c r="AC241">
        <f t="shared" si="72"/>
        <v>3</v>
      </c>
      <c r="AD241">
        <f t="shared" si="73"/>
        <v>1.5</v>
      </c>
      <c r="AF241">
        <f t="shared" si="74"/>
        <v>0.75</v>
      </c>
      <c r="AH241">
        <f t="shared" si="75"/>
        <v>12</v>
      </c>
      <c r="AK241">
        <f t="shared" si="76"/>
        <v>6.0517241379310347</v>
      </c>
      <c r="AL241">
        <f t="shared" si="77"/>
        <v>1.5043103448275863</v>
      </c>
      <c r="AM241">
        <f t="shared" si="78"/>
        <v>1</v>
      </c>
      <c r="AN241">
        <f t="shared" si="79"/>
        <v>6.0517241379310347</v>
      </c>
      <c r="AO241">
        <f t="shared" si="80"/>
        <v>1.5043103448275863</v>
      </c>
      <c r="AP241">
        <f t="shared" si="81"/>
        <v>1</v>
      </c>
      <c r="AR241">
        <f t="shared" si="82"/>
        <v>4.4935622317596566</v>
      </c>
      <c r="AT241">
        <f t="shared" si="83"/>
        <v>4.4935622317596566</v>
      </c>
      <c r="AV241">
        <f t="shared" si="84"/>
        <v>2443</v>
      </c>
      <c r="AW241">
        <f t="shared" si="85"/>
        <v>4537</v>
      </c>
    </row>
    <row r="242" spans="1:49" x14ac:dyDescent="0.15">
      <c r="A242" s="5">
        <v>232</v>
      </c>
      <c r="B242" s="5">
        <f t="shared" si="71"/>
        <v>14100</v>
      </c>
      <c r="C242" s="5">
        <f t="shared" si="70"/>
        <v>3505</v>
      </c>
      <c r="D242" s="5">
        <f t="shared" si="70"/>
        <v>2330</v>
      </c>
      <c r="E242" s="5">
        <f t="shared" si="70"/>
        <v>702</v>
      </c>
      <c r="F242" s="5">
        <f t="shared" si="70"/>
        <v>936</v>
      </c>
      <c r="G242" s="5">
        <f t="shared" si="92"/>
        <v>42300</v>
      </c>
      <c r="H242" s="5">
        <f t="shared" si="92"/>
        <v>10515</v>
      </c>
      <c r="I242" s="5">
        <f t="shared" si="92"/>
        <v>6990</v>
      </c>
      <c r="J242" s="5">
        <f t="shared" si="92"/>
        <v>2106</v>
      </c>
      <c r="K242" s="5">
        <f t="shared" si="92"/>
        <v>2808</v>
      </c>
      <c r="L242" s="5">
        <f t="shared" si="93"/>
        <v>21150</v>
      </c>
      <c r="M242" s="5">
        <f t="shared" si="93"/>
        <v>5257.5</v>
      </c>
      <c r="N242" s="5">
        <f t="shared" si="93"/>
        <v>3495</v>
      </c>
      <c r="O242" s="5">
        <f t="shared" si="93"/>
        <v>1053</v>
      </c>
      <c r="P242" s="5">
        <f t="shared" si="93"/>
        <v>1404</v>
      </c>
      <c r="Q242" s="5">
        <f t="shared" si="86"/>
        <v>77550</v>
      </c>
      <c r="R242" s="5">
        <f t="shared" si="87"/>
        <v>19277.5</v>
      </c>
      <c r="S242" s="5">
        <f t="shared" si="88"/>
        <v>12815</v>
      </c>
      <c r="T242" s="5">
        <f t="shared" si="89"/>
        <v>3861</v>
      </c>
      <c r="U242" s="5">
        <f t="shared" si="90"/>
        <v>5148</v>
      </c>
      <c r="V242" s="5">
        <f>B242*战斗力计算!$B$8+C242*战斗力计算!$B$9+D242*战斗力计算!$B$10+E242*战斗力计算!$B$11+F242*战斗力计算!$B$12</f>
        <v>102840</v>
      </c>
      <c r="W242" s="5">
        <f>G242*战斗力计算!$B$8+H242*战斗力计算!$B$9+I242*战斗力计算!$B$10+J242*战斗力计算!$B$11+K242*战斗力计算!$B$12+L242*战斗力计算!$B$8+M242*战斗力计算!$B$9+N242*战斗力计算!$B$10+O242*战斗力计算!$B$11+P242*战斗力计算!$B$12</f>
        <v>462780</v>
      </c>
      <c r="X242" s="5">
        <f t="shared" si="91"/>
        <v>565620</v>
      </c>
      <c r="AC242">
        <f t="shared" si="72"/>
        <v>3</v>
      </c>
      <c r="AD242">
        <f t="shared" si="73"/>
        <v>1.5</v>
      </c>
      <c r="AF242">
        <f t="shared" si="74"/>
        <v>0.75</v>
      </c>
      <c r="AH242">
        <f t="shared" si="75"/>
        <v>12</v>
      </c>
      <c r="AK242">
        <f t="shared" si="76"/>
        <v>6.0515021459227469</v>
      </c>
      <c r="AL242">
        <f t="shared" si="77"/>
        <v>1.5042918454935623</v>
      </c>
      <c r="AM242">
        <f t="shared" si="78"/>
        <v>1</v>
      </c>
      <c r="AN242">
        <f t="shared" si="79"/>
        <v>6.0515021459227469</v>
      </c>
      <c r="AO242">
        <f t="shared" si="80"/>
        <v>1.5042918454935623</v>
      </c>
      <c r="AP242">
        <f t="shared" si="81"/>
        <v>1</v>
      </c>
      <c r="AR242">
        <f t="shared" si="82"/>
        <v>4.4935897435897436</v>
      </c>
      <c r="AT242">
        <f t="shared" si="83"/>
        <v>4.4935897435897436</v>
      </c>
      <c r="AV242">
        <f t="shared" si="84"/>
        <v>2453</v>
      </c>
      <c r="AW242">
        <f t="shared" si="85"/>
        <v>4556</v>
      </c>
    </row>
    <row r="243" spans="1:49" x14ac:dyDescent="0.15">
      <c r="A243" s="5">
        <v>233</v>
      </c>
      <c r="B243" s="5">
        <f t="shared" si="71"/>
        <v>14160</v>
      </c>
      <c r="C243" s="5">
        <f t="shared" si="70"/>
        <v>3520</v>
      </c>
      <c r="D243" s="5">
        <f t="shared" si="70"/>
        <v>2340</v>
      </c>
      <c r="E243" s="5">
        <f t="shared" si="70"/>
        <v>705</v>
      </c>
      <c r="F243" s="5">
        <f t="shared" si="70"/>
        <v>940</v>
      </c>
      <c r="G243" s="5">
        <f t="shared" si="92"/>
        <v>42480</v>
      </c>
      <c r="H243" s="5">
        <f t="shared" si="92"/>
        <v>10560</v>
      </c>
      <c r="I243" s="5">
        <f t="shared" si="92"/>
        <v>7020</v>
      </c>
      <c r="J243" s="5">
        <f t="shared" si="92"/>
        <v>2115</v>
      </c>
      <c r="K243" s="5">
        <f t="shared" si="92"/>
        <v>2820</v>
      </c>
      <c r="L243" s="5">
        <f t="shared" si="93"/>
        <v>21240</v>
      </c>
      <c r="M243" s="5">
        <f t="shared" si="93"/>
        <v>5280</v>
      </c>
      <c r="N243" s="5">
        <f t="shared" si="93"/>
        <v>3510</v>
      </c>
      <c r="O243" s="5">
        <f t="shared" si="93"/>
        <v>1057.5</v>
      </c>
      <c r="P243" s="5">
        <f t="shared" si="93"/>
        <v>1410</v>
      </c>
      <c r="Q243" s="5">
        <f t="shared" si="86"/>
        <v>77880</v>
      </c>
      <c r="R243" s="5">
        <f t="shared" si="87"/>
        <v>19360</v>
      </c>
      <c r="S243" s="5">
        <f t="shared" si="88"/>
        <v>12870</v>
      </c>
      <c r="T243" s="5">
        <f t="shared" si="89"/>
        <v>3877.5</v>
      </c>
      <c r="U243" s="5">
        <f t="shared" si="90"/>
        <v>5170</v>
      </c>
      <c r="V243" s="5">
        <f>B243*战斗力计算!$B$8+C243*战斗力计算!$B$9+D243*战斗力计算!$B$10+E243*战斗力计算!$B$11+F243*战斗力计算!$B$12</f>
        <v>103280</v>
      </c>
      <c r="W243" s="5">
        <f>G243*战斗力计算!$B$8+H243*战斗力计算!$B$9+I243*战斗力计算!$B$10+J243*战斗力计算!$B$11+K243*战斗力计算!$B$12+L243*战斗力计算!$B$8+M243*战斗力计算!$B$9+N243*战斗力计算!$B$10+O243*战斗力计算!$B$11+P243*战斗力计算!$B$12</f>
        <v>464760</v>
      </c>
      <c r="X243" s="5">
        <f t="shared" si="91"/>
        <v>568040</v>
      </c>
      <c r="AC243">
        <f t="shared" si="72"/>
        <v>3</v>
      </c>
      <c r="AD243">
        <f t="shared" si="73"/>
        <v>1.5</v>
      </c>
      <c r="AF243">
        <f t="shared" si="74"/>
        <v>0.75</v>
      </c>
      <c r="AH243">
        <f t="shared" si="75"/>
        <v>12</v>
      </c>
      <c r="AK243">
        <f t="shared" si="76"/>
        <v>6.0512820512820511</v>
      </c>
      <c r="AL243">
        <f t="shared" si="77"/>
        <v>1.5042735042735043</v>
      </c>
      <c r="AM243">
        <f t="shared" si="78"/>
        <v>1</v>
      </c>
      <c r="AN243">
        <f t="shared" si="79"/>
        <v>6.0512820512820511</v>
      </c>
      <c r="AO243">
        <f t="shared" si="80"/>
        <v>1.5042735042735043</v>
      </c>
      <c r="AP243">
        <f t="shared" si="81"/>
        <v>1</v>
      </c>
      <c r="AR243">
        <f t="shared" si="82"/>
        <v>4.493617021276596</v>
      </c>
      <c r="AT243">
        <f t="shared" si="83"/>
        <v>4.493617021276596</v>
      </c>
      <c r="AV243">
        <f t="shared" si="84"/>
        <v>2464</v>
      </c>
      <c r="AW243">
        <f t="shared" si="85"/>
        <v>4576</v>
      </c>
    </row>
    <row r="244" spans="1:49" x14ac:dyDescent="0.15">
      <c r="A244" s="5">
        <v>234</v>
      </c>
      <c r="B244" s="5">
        <f t="shared" si="71"/>
        <v>14220</v>
      </c>
      <c r="C244" s="5">
        <f t="shared" si="70"/>
        <v>3535</v>
      </c>
      <c r="D244" s="5">
        <f t="shared" si="70"/>
        <v>2350</v>
      </c>
      <c r="E244" s="5">
        <f t="shared" si="70"/>
        <v>708</v>
      </c>
      <c r="F244" s="5">
        <f t="shared" si="70"/>
        <v>944</v>
      </c>
      <c r="G244" s="5">
        <f t="shared" si="92"/>
        <v>42660</v>
      </c>
      <c r="H244" s="5">
        <f t="shared" si="92"/>
        <v>10605</v>
      </c>
      <c r="I244" s="5">
        <f t="shared" si="92"/>
        <v>7050</v>
      </c>
      <c r="J244" s="5">
        <f t="shared" si="92"/>
        <v>2124</v>
      </c>
      <c r="K244" s="5">
        <f t="shared" si="92"/>
        <v>2832</v>
      </c>
      <c r="L244" s="5">
        <f t="shared" si="93"/>
        <v>21330</v>
      </c>
      <c r="M244" s="5">
        <f t="shared" si="93"/>
        <v>5302.5</v>
      </c>
      <c r="N244" s="5">
        <f t="shared" si="93"/>
        <v>3525</v>
      </c>
      <c r="O244" s="5">
        <f t="shared" si="93"/>
        <v>1062</v>
      </c>
      <c r="P244" s="5">
        <f t="shared" si="93"/>
        <v>1416</v>
      </c>
      <c r="Q244" s="5">
        <f t="shared" si="86"/>
        <v>78210</v>
      </c>
      <c r="R244" s="5">
        <f t="shared" si="87"/>
        <v>19442.5</v>
      </c>
      <c r="S244" s="5">
        <f t="shared" si="88"/>
        <v>12925</v>
      </c>
      <c r="T244" s="5">
        <f t="shared" si="89"/>
        <v>3894</v>
      </c>
      <c r="U244" s="5">
        <f t="shared" si="90"/>
        <v>5192</v>
      </c>
      <c r="V244" s="5">
        <f>B244*战斗力计算!$B$8+C244*战斗力计算!$B$9+D244*战斗力计算!$B$10+E244*战斗力计算!$B$11+F244*战斗力计算!$B$12</f>
        <v>103720</v>
      </c>
      <c r="W244" s="5">
        <f>G244*战斗力计算!$B$8+H244*战斗力计算!$B$9+I244*战斗力计算!$B$10+J244*战斗力计算!$B$11+K244*战斗力计算!$B$12+L244*战斗力计算!$B$8+M244*战斗力计算!$B$9+N244*战斗力计算!$B$10+O244*战斗力计算!$B$11+P244*战斗力计算!$B$12</f>
        <v>466740</v>
      </c>
      <c r="X244" s="5">
        <f t="shared" si="91"/>
        <v>570460</v>
      </c>
      <c r="AC244">
        <f t="shared" si="72"/>
        <v>3</v>
      </c>
      <c r="AD244">
        <f t="shared" si="73"/>
        <v>1.5</v>
      </c>
      <c r="AF244">
        <f t="shared" si="74"/>
        <v>0.75</v>
      </c>
      <c r="AH244">
        <f t="shared" si="75"/>
        <v>12</v>
      </c>
      <c r="AK244">
        <f t="shared" si="76"/>
        <v>6.0510638297872337</v>
      </c>
      <c r="AL244">
        <f t="shared" si="77"/>
        <v>1.5042553191489361</v>
      </c>
      <c r="AM244">
        <f t="shared" si="78"/>
        <v>1</v>
      </c>
      <c r="AN244">
        <f t="shared" si="79"/>
        <v>6.0510638297872337</v>
      </c>
      <c r="AO244">
        <f t="shared" si="80"/>
        <v>1.5042553191489361</v>
      </c>
      <c r="AP244">
        <f t="shared" si="81"/>
        <v>1</v>
      </c>
      <c r="AR244">
        <f t="shared" si="82"/>
        <v>4.4936440677966099</v>
      </c>
      <c r="AT244">
        <f t="shared" si="83"/>
        <v>4.4936440677966099</v>
      </c>
      <c r="AV244">
        <f t="shared" si="84"/>
        <v>2474</v>
      </c>
      <c r="AW244">
        <f t="shared" si="85"/>
        <v>4595</v>
      </c>
    </row>
    <row r="245" spans="1:49" x14ac:dyDescent="0.15">
      <c r="A245" s="5">
        <v>235</v>
      </c>
      <c r="B245" s="5">
        <f t="shared" si="71"/>
        <v>14280</v>
      </c>
      <c r="C245" s="5">
        <f t="shared" si="70"/>
        <v>3550</v>
      </c>
      <c r="D245" s="5">
        <f t="shared" si="70"/>
        <v>2360</v>
      </c>
      <c r="E245" s="5">
        <f t="shared" si="70"/>
        <v>711</v>
      </c>
      <c r="F245" s="5">
        <f t="shared" si="70"/>
        <v>948</v>
      </c>
      <c r="G245" s="5">
        <f t="shared" si="92"/>
        <v>42840</v>
      </c>
      <c r="H245" s="5">
        <f t="shared" si="92"/>
        <v>10650</v>
      </c>
      <c r="I245" s="5">
        <f t="shared" si="92"/>
        <v>7080</v>
      </c>
      <c r="J245" s="5">
        <f t="shared" si="92"/>
        <v>2133</v>
      </c>
      <c r="K245" s="5">
        <f t="shared" si="92"/>
        <v>2844</v>
      </c>
      <c r="L245" s="5">
        <f t="shared" si="93"/>
        <v>21420</v>
      </c>
      <c r="M245" s="5">
        <f t="shared" si="93"/>
        <v>5325</v>
      </c>
      <c r="N245" s="5">
        <f t="shared" si="93"/>
        <v>3540</v>
      </c>
      <c r="O245" s="5">
        <f t="shared" si="93"/>
        <v>1066.5</v>
      </c>
      <c r="P245" s="5">
        <f t="shared" si="93"/>
        <v>1422</v>
      </c>
      <c r="Q245" s="5">
        <f t="shared" si="86"/>
        <v>78540</v>
      </c>
      <c r="R245" s="5">
        <f t="shared" si="87"/>
        <v>19525</v>
      </c>
      <c r="S245" s="5">
        <f t="shared" si="88"/>
        <v>12980</v>
      </c>
      <c r="T245" s="5">
        <f t="shared" si="89"/>
        <v>3910.5</v>
      </c>
      <c r="U245" s="5">
        <f t="shared" si="90"/>
        <v>5214</v>
      </c>
      <c r="V245" s="5">
        <f>B245*战斗力计算!$B$8+C245*战斗力计算!$B$9+D245*战斗力计算!$B$10+E245*战斗力计算!$B$11+F245*战斗力计算!$B$12</f>
        <v>104160</v>
      </c>
      <c r="W245" s="5">
        <f>G245*战斗力计算!$B$8+H245*战斗力计算!$B$9+I245*战斗力计算!$B$10+J245*战斗力计算!$B$11+K245*战斗力计算!$B$12+L245*战斗力计算!$B$8+M245*战斗力计算!$B$9+N245*战斗力计算!$B$10+O245*战斗力计算!$B$11+P245*战斗力计算!$B$12</f>
        <v>468720</v>
      </c>
      <c r="X245" s="5">
        <f t="shared" si="91"/>
        <v>572880</v>
      </c>
      <c r="AC245">
        <f t="shared" si="72"/>
        <v>3</v>
      </c>
      <c r="AD245">
        <f t="shared" si="73"/>
        <v>1.5</v>
      </c>
      <c r="AF245">
        <f t="shared" si="74"/>
        <v>0.75</v>
      </c>
      <c r="AH245">
        <f t="shared" si="75"/>
        <v>12</v>
      </c>
      <c r="AK245">
        <f t="shared" si="76"/>
        <v>6.0508474576271185</v>
      </c>
      <c r="AL245">
        <f t="shared" si="77"/>
        <v>1.5042372881355932</v>
      </c>
      <c r="AM245">
        <f t="shared" si="78"/>
        <v>1</v>
      </c>
      <c r="AN245">
        <f t="shared" si="79"/>
        <v>6.0508474576271185</v>
      </c>
      <c r="AO245">
        <f t="shared" si="80"/>
        <v>1.5042372881355932</v>
      </c>
      <c r="AP245">
        <f t="shared" si="81"/>
        <v>1</v>
      </c>
      <c r="AR245">
        <f t="shared" si="82"/>
        <v>4.4936708860759493</v>
      </c>
      <c r="AT245">
        <f t="shared" si="83"/>
        <v>4.4936708860759493</v>
      </c>
      <c r="AV245">
        <f t="shared" si="84"/>
        <v>2485</v>
      </c>
      <c r="AW245">
        <f t="shared" si="85"/>
        <v>4615</v>
      </c>
    </row>
    <row r="246" spans="1:49" x14ac:dyDescent="0.15">
      <c r="A246" s="5">
        <v>236</v>
      </c>
      <c r="B246" s="5">
        <f t="shared" si="71"/>
        <v>14340</v>
      </c>
      <c r="C246" s="5">
        <f t="shared" si="70"/>
        <v>3565</v>
      </c>
      <c r="D246" s="5">
        <f t="shared" si="70"/>
        <v>2370</v>
      </c>
      <c r="E246" s="5">
        <f t="shared" si="70"/>
        <v>714</v>
      </c>
      <c r="F246" s="5">
        <f t="shared" si="70"/>
        <v>952</v>
      </c>
      <c r="G246" s="5">
        <f t="shared" si="92"/>
        <v>43020</v>
      </c>
      <c r="H246" s="5">
        <f t="shared" si="92"/>
        <v>10695</v>
      </c>
      <c r="I246" s="5">
        <f t="shared" si="92"/>
        <v>7110</v>
      </c>
      <c r="J246" s="5">
        <f t="shared" si="92"/>
        <v>2142</v>
      </c>
      <c r="K246" s="5">
        <f t="shared" si="92"/>
        <v>2856</v>
      </c>
      <c r="L246" s="5">
        <f t="shared" si="93"/>
        <v>21510</v>
      </c>
      <c r="M246" s="5">
        <f t="shared" si="93"/>
        <v>5347.5</v>
      </c>
      <c r="N246" s="5">
        <f t="shared" si="93"/>
        <v>3555</v>
      </c>
      <c r="O246" s="5">
        <f t="shared" si="93"/>
        <v>1071</v>
      </c>
      <c r="P246" s="5">
        <f t="shared" si="93"/>
        <v>1428</v>
      </c>
      <c r="Q246" s="5">
        <f t="shared" si="86"/>
        <v>78870</v>
      </c>
      <c r="R246" s="5">
        <f t="shared" si="87"/>
        <v>19607.5</v>
      </c>
      <c r="S246" s="5">
        <f t="shared" si="88"/>
        <v>13035</v>
      </c>
      <c r="T246" s="5">
        <f t="shared" si="89"/>
        <v>3927</v>
      </c>
      <c r="U246" s="5">
        <f t="shared" si="90"/>
        <v>5236</v>
      </c>
      <c r="V246" s="5">
        <f>B246*战斗力计算!$B$8+C246*战斗力计算!$B$9+D246*战斗力计算!$B$10+E246*战斗力计算!$B$11+F246*战斗力计算!$B$12</f>
        <v>104600</v>
      </c>
      <c r="W246" s="5">
        <f>G246*战斗力计算!$B$8+H246*战斗力计算!$B$9+I246*战斗力计算!$B$10+J246*战斗力计算!$B$11+K246*战斗力计算!$B$12+L246*战斗力计算!$B$8+M246*战斗力计算!$B$9+N246*战斗力计算!$B$10+O246*战斗力计算!$B$11+P246*战斗力计算!$B$12</f>
        <v>470700</v>
      </c>
      <c r="X246" s="5">
        <f t="shared" si="91"/>
        <v>575300</v>
      </c>
      <c r="AC246">
        <f t="shared" si="72"/>
        <v>3</v>
      </c>
      <c r="AD246">
        <f t="shared" si="73"/>
        <v>1.5</v>
      </c>
      <c r="AF246">
        <f t="shared" si="74"/>
        <v>0.75</v>
      </c>
      <c r="AH246">
        <f t="shared" si="75"/>
        <v>12</v>
      </c>
      <c r="AK246">
        <f t="shared" si="76"/>
        <v>6.0506329113924053</v>
      </c>
      <c r="AL246">
        <f t="shared" si="77"/>
        <v>1.5042194092827004</v>
      </c>
      <c r="AM246">
        <f t="shared" si="78"/>
        <v>1</v>
      </c>
      <c r="AN246">
        <f t="shared" si="79"/>
        <v>6.0506329113924053</v>
      </c>
      <c r="AO246">
        <f t="shared" si="80"/>
        <v>1.5042194092827004</v>
      </c>
      <c r="AP246">
        <f t="shared" si="81"/>
        <v>1</v>
      </c>
      <c r="AR246">
        <f t="shared" si="82"/>
        <v>4.4936974789915967</v>
      </c>
      <c r="AT246">
        <f t="shared" si="83"/>
        <v>4.4936974789915967</v>
      </c>
      <c r="AV246">
        <f t="shared" si="84"/>
        <v>2495</v>
      </c>
      <c r="AW246">
        <f t="shared" si="85"/>
        <v>4634</v>
      </c>
    </row>
    <row r="247" spans="1:49" x14ac:dyDescent="0.15">
      <c r="A247" s="5">
        <v>237</v>
      </c>
      <c r="B247" s="5">
        <f t="shared" si="71"/>
        <v>14400</v>
      </c>
      <c r="C247" s="5">
        <f t="shared" si="70"/>
        <v>3580</v>
      </c>
      <c r="D247" s="5">
        <f t="shared" si="70"/>
        <v>2380</v>
      </c>
      <c r="E247" s="5">
        <f t="shared" si="70"/>
        <v>717</v>
      </c>
      <c r="F247" s="5">
        <f t="shared" si="70"/>
        <v>956</v>
      </c>
      <c r="G247" s="5">
        <f t="shared" si="92"/>
        <v>43200</v>
      </c>
      <c r="H247" s="5">
        <f t="shared" si="92"/>
        <v>10740</v>
      </c>
      <c r="I247" s="5">
        <f t="shared" si="92"/>
        <v>7140</v>
      </c>
      <c r="J247" s="5">
        <f t="shared" si="92"/>
        <v>2151</v>
      </c>
      <c r="K247" s="5">
        <f t="shared" si="92"/>
        <v>2868</v>
      </c>
      <c r="L247" s="5">
        <f t="shared" si="93"/>
        <v>21600</v>
      </c>
      <c r="M247" s="5">
        <f t="shared" si="93"/>
        <v>5370</v>
      </c>
      <c r="N247" s="5">
        <f t="shared" si="93"/>
        <v>3570</v>
      </c>
      <c r="O247" s="5">
        <f t="shared" si="93"/>
        <v>1075.5</v>
      </c>
      <c r="P247" s="5">
        <f t="shared" si="93"/>
        <v>1434</v>
      </c>
      <c r="Q247" s="5">
        <f t="shared" si="86"/>
        <v>79200</v>
      </c>
      <c r="R247" s="5">
        <f t="shared" si="87"/>
        <v>19690</v>
      </c>
      <c r="S247" s="5">
        <f t="shared" si="88"/>
        <v>13090</v>
      </c>
      <c r="T247" s="5">
        <f t="shared" si="89"/>
        <v>3943.5</v>
      </c>
      <c r="U247" s="5">
        <f t="shared" si="90"/>
        <v>5258</v>
      </c>
      <c r="V247" s="5">
        <f>B247*战斗力计算!$B$8+C247*战斗力计算!$B$9+D247*战斗力计算!$B$10+E247*战斗力计算!$B$11+F247*战斗力计算!$B$12</f>
        <v>105040</v>
      </c>
      <c r="W247" s="5">
        <f>G247*战斗力计算!$B$8+H247*战斗力计算!$B$9+I247*战斗力计算!$B$10+J247*战斗力计算!$B$11+K247*战斗力计算!$B$12+L247*战斗力计算!$B$8+M247*战斗力计算!$B$9+N247*战斗力计算!$B$10+O247*战斗力计算!$B$11+P247*战斗力计算!$B$12</f>
        <v>472680</v>
      </c>
      <c r="X247" s="5">
        <f t="shared" si="91"/>
        <v>577720</v>
      </c>
      <c r="AC247">
        <f t="shared" si="72"/>
        <v>3</v>
      </c>
      <c r="AD247">
        <f t="shared" si="73"/>
        <v>1.5</v>
      </c>
      <c r="AF247">
        <f t="shared" si="74"/>
        <v>0.75</v>
      </c>
      <c r="AH247">
        <f t="shared" si="75"/>
        <v>12</v>
      </c>
      <c r="AK247">
        <f t="shared" si="76"/>
        <v>6.0504201680672267</v>
      </c>
      <c r="AL247">
        <f t="shared" si="77"/>
        <v>1.5042016806722689</v>
      </c>
      <c r="AM247">
        <f t="shared" si="78"/>
        <v>1</v>
      </c>
      <c r="AN247">
        <f t="shared" si="79"/>
        <v>6.0504201680672267</v>
      </c>
      <c r="AO247">
        <f t="shared" si="80"/>
        <v>1.5042016806722689</v>
      </c>
      <c r="AP247">
        <f t="shared" si="81"/>
        <v>1</v>
      </c>
      <c r="AR247">
        <f t="shared" si="82"/>
        <v>4.493723849372385</v>
      </c>
      <c r="AT247">
        <f t="shared" si="83"/>
        <v>4.493723849372385</v>
      </c>
      <c r="AV247">
        <f t="shared" si="84"/>
        <v>2506</v>
      </c>
      <c r="AW247">
        <f t="shared" si="85"/>
        <v>4654</v>
      </c>
    </row>
    <row r="248" spans="1:49" x14ac:dyDescent="0.15">
      <c r="A248" s="5">
        <v>238</v>
      </c>
      <c r="B248" s="5">
        <f t="shared" si="71"/>
        <v>14460</v>
      </c>
      <c r="C248" s="5">
        <f t="shared" si="70"/>
        <v>3595</v>
      </c>
      <c r="D248" s="5">
        <f t="shared" si="70"/>
        <v>2390</v>
      </c>
      <c r="E248" s="5">
        <f t="shared" si="70"/>
        <v>720</v>
      </c>
      <c r="F248" s="5">
        <f t="shared" si="70"/>
        <v>960</v>
      </c>
      <c r="G248" s="5">
        <f t="shared" si="92"/>
        <v>43380</v>
      </c>
      <c r="H248" s="5">
        <f t="shared" si="92"/>
        <v>10785</v>
      </c>
      <c r="I248" s="5">
        <f t="shared" si="92"/>
        <v>7170</v>
      </c>
      <c r="J248" s="5">
        <f t="shared" si="92"/>
        <v>2160</v>
      </c>
      <c r="K248" s="5">
        <f t="shared" si="92"/>
        <v>2880</v>
      </c>
      <c r="L248" s="5">
        <f t="shared" si="93"/>
        <v>21690</v>
      </c>
      <c r="M248" s="5">
        <f t="shared" si="93"/>
        <v>5392.5</v>
      </c>
      <c r="N248" s="5">
        <f t="shared" si="93"/>
        <v>3585</v>
      </c>
      <c r="O248" s="5">
        <f t="shared" si="93"/>
        <v>1080</v>
      </c>
      <c r="P248" s="5">
        <f t="shared" si="93"/>
        <v>1440</v>
      </c>
      <c r="Q248" s="5">
        <f t="shared" si="86"/>
        <v>79530</v>
      </c>
      <c r="R248" s="5">
        <f t="shared" si="87"/>
        <v>19772.5</v>
      </c>
      <c r="S248" s="5">
        <f t="shared" si="88"/>
        <v>13145</v>
      </c>
      <c r="T248" s="5">
        <f t="shared" si="89"/>
        <v>3960</v>
      </c>
      <c r="U248" s="5">
        <f t="shared" si="90"/>
        <v>5280</v>
      </c>
      <c r="V248" s="5">
        <f>B248*战斗力计算!$B$8+C248*战斗力计算!$B$9+D248*战斗力计算!$B$10+E248*战斗力计算!$B$11+F248*战斗力计算!$B$12</f>
        <v>105480</v>
      </c>
      <c r="W248" s="5">
        <f>G248*战斗力计算!$B$8+H248*战斗力计算!$B$9+I248*战斗力计算!$B$10+J248*战斗力计算!$B$11+K248*战斗力计算!$B$12+L248*战斗力计算!$B$8+M248*战斗力计算!$B$9+N248*战斗力计算!$B$10+O248*战斗力计算!$B$11+P248*战斗力计算!$B$12</f>
        <v>474660</v>
      </c>
      <c r="X248" s="5">
        <f t="shared" si="91"/>
        <v>580140</v>
      </c>
      <c r="AC248">
        <f t="shared" si="72"/>
        <v>3</v>
      </c>
      <c r="AD248">
        <f t="shared" si="73"/>
        <v>1.5</v>
      </c>
      <c r="AF248">
        <f t="shared" si="74"/>
        <v>0.75</v>
      </c>
      <c r="AH248">
        <f t="shared" si="75"/>
        <v>12</v>
      </c>
      <c r="AK248">
        <f t="shared" si="76"/>
        <v>6.0502092050209209</v>
      </c>
      <c r="AL248">
        <f t="shared" si="77"/>
        <v>1.50418410041841</v>
      </c>
      <c r="AM248">
        <f t="shared" si="78"/>
        <v>1</v>
      </c>
      <c r="AN248">
        <f t="shared" si="79"/>
        <v>6.0502092050209209</v>
      </c>
      <c r="AO248">
        <f t="shared" si="80"/>
        <v>1.50418410041841</v>
      </c>
      <c r="AP248">
        <f t="shared" si="81"/>
        <v>1</v>
      </c>
      <c r="AR248">
        <f t="shared" si="82"/>
        <v>4.4937500000000004</v>
      </c>
      <c r="AT248">
        <f t="shared" si="83"/>
        <v>4.4937500000000004</v>
      </c>
      <c r="AV248">
        <f t="shared" si="84"/>
        <v>2516</v>
      </c>
      <c r="AW248">
        <f t="shared" si="85"/>
        <v>4673</v>
      </c>
    </row>
    <row r="249" spans="1:49" x14ac:dyDescent="0.15">
      <c r="A249" s="5">
        <v>239</v>
      </c>
      <c r="B249" s="5">
        <f t="shared" si="71"/>
        <v>14520</v>
      </c>
      <c r="C249" s="5">
        <f t="shared" si="70"/>
        <v>3610</v>
      </c>
      <c r="D249" s="5">
        <f t="shared" si="70"/>
        <v>2400</v>
      </c>
      <c r="E249" s="5">
        <f t="shared" si="70"/>
        <v>723</v>
      </c>
      <c r="F249" s="5">
        <f t="shared" si="70"/>
        <v>964</v>
      </c>
      <c r="G249" s="5">
        <f t="shared" si="92"/>
        <v>43560</v>
      </c>
      <c r="H249" s="5">
        <f t="shared" si="92"/>
        <v>10830</v>
      </c>
      <c r="I249" s="5">
        <f t="shared" si="92"/>
        <v>7200</v>
      </c>
      <c r="J249" s="5">
        <f t="shared" si="92"/>
        <v>2169</v>
      </c>
      <c r="K249" s="5">
        <f t="shared" si="92"/>
        <v>2892</v>
      </c>
      <c r="L249" s="5">
        <f t="shared" si="93"/>
        <v>21780</v>
      </c>
      <c r="M249" s="5">
        <f t="shared" si="93"/>
        <v>5415</v>
      </c>
      <c r="N249" s="5">
        <f t="shared" si="93"/>
        <v>3600</v>
      </c>
      <c r="O249" s="5">
        <f t="shared" si="93"/>
        <v>1084.5</v>
      </c>
      <c r="P249" s="5">
        <f t="shared" si="93"/>
        <v>1446</v>
      </c>
      <c r="Q249" s="5">
        <f t="shared" si="86"/>
        <v>79860</v>
      </c>
      <c r="R249" s="5">
        <f t="shared" si="87"/>
        <v>19855</v>
      </c>
      <c r="S249" s="5">
        <f t="shared" si="88"/>
        <v>13200</v>
      </c>
      <c r="T249" s="5">
        <f t="shared" si="89"/>
        <v>3976.5</v>
      </c>
      <c r="U249" s="5">
        <f t="shared" si="90"/>
        <v>5302</v>
      </c>
      <c r="V249" s="5">
        <f>B249*战斗力计算!$B$8+C249*战斗力计算!$B$9+D249*战斗力计算!$B$10+E249*战斗力计算!$B$11+F249*战斗力计算!$B$12</f>
        <v>105920</v>
      </c>
      <c r="W249" s="5">
        <f>G249*战斗力计算!$B$8+H249*战斗力计算!$B$9+I249*战斗力计算!$B$10+J249*战斗力计算!$B$11+K249*战斗力计算!$B$12+L249*战斗力计算!$B$8+M249*战斗力计算!$B$9+N249*战斗力计算!$B$10+O249*战斗力计算!$B$11+P249*战斗力计算!$B$12</f>
        <v>476640</v>
      </c>
      <c r="X249" s="5">
        <f t="shared" si="91"/>
        <v>582560</v>
      </c>
      <c r="AC249">
        <f t="shared" si="72"/>
        <v>3</v>
      </c>
      <c r="AD249">
        <f t="shared" si="73"/>
        <v>1.5</v>
      </c>
      <c r="AF249">
        <f t="shared" si="74"/>
        <v>0.75</v>
      </c>
      <c r="AH249">
        <f t="shared" si="75"/>
        <v>12</v>
      </c>
      <c r="AK249">
        <f t="shared" si="76"/>
        <v>6.05</v>
      </c>
      <c r="AL249">
        <f t="shared" si="77"/>
        <v>1.5041666666666667</v>
      </c>
      <c r="AM249">
        <f t="shared" si="78"/>
        <v>1</v>
      </c>
      <c r="AN249">
        <f t="shared" si="79"/>
        <v>6.05</v>
      </c>
      <c r="AO249">
        <f t="shared" si="80"/>
        <v>1.5041666666666667</v>
      </c>
      <c r="AP249">
        <f t="shared" si="81"/>
        <v>1</v>
      </c>
      <c r="AR249">
        <f t="shared" si="82"/>
        <v>4.4937759336099585</v>
      </c>
      <c r="AT249">
        <f t="shared" si="83"/>
        <v>4.4937759336099585</v>
      </c>
      <c r="AV249">
        <f t="shared" si="84"/>
        <v>2527</v>
      </c>
      <c r="AW249">
        <f t="shared" si="85"/>
        <v>4693</v>
      </c>
    </row>
    <row r="250" spans="1:49" x14ac:dyDescent="0.15">
      <c r="A250" s="5">
        <v>240</v>
      </c>
      <c r="B250" s="5">
        <f t="shared" si="71"/>
        <v>14580</v>
      </c>
      <c r="C250" s="5">
        <f t="shared" si="70"/>
        <v>3625</v>
      </c>
      <c r="D250" s="5">
        <f t="shared" si="70"/>
        <v>2410</v>
      </c>
      <c r="E250" s="5">
        <f t="shared" si="70"/>
        <v>726</v>
      </c>
      <c r="F250" s="5">
        <f t="shared" si="70"/>
        <v>968</v>
      </c>
      <c r="G250" s="5">
        <f t="shared" si="92"/>
        <v>43740</v>
      </c>
      <c r="H250" s="5">
        <f t="shared" si="92"/>
        <v>10875</v>
      </c>
      <c r="I250" s="5">
        <f t="shared" si="92"/>
        <v>7230</v>
      </c>
      <c r="J250" s="5">
        <f t="shared" si="92"/>
        <v>2178</v>
      </c>
      <c r="K250" s="5">
        <f t="shared" si="92"/>
        <v>2904</v>
      </c>
      <c r="L250" s="5">
        <f t="shared" si="93"/>
        <v>21870</v>
      </c>
      <c r="M250" s="5">
        <f t="shared" si="93"/>
        <v>5437.5</v>
      </c>
      <c r="N250" s="5">
        <f t="shared" si="93"/>
        <v>3615</v>
      </c>
      <c r="O250" s="5">
        <f t="shared" si="93"/>
        <v>1089</v>
      </c>
      <c r="P250" s="5">
        <f t="shared" si="93"/>
        <v>1452</v>
      </c>
      <c r="Q250" s="5">
        <f t="shared" si="86"/>
        <v>80190</v>
      </c>
      <c r="R250" s="5">
        <f t="shared" si="87"/>
        <v>19937.5</v>
      </c>
      <c r="S250" s="5">
        <f t="shared" si="88"/>
        <v>13255</v>
      </c>
      <c r="T250" s="5">
        <f t="shared" si="89"/>
        <v>3993</v>
      </c>
      <c r="U250" s="5">
        <f t="shared" si="90"/>
        <v>5324</v>
      </c>
      <c r="V250" s="5">
        <f>B250*战斗力计算!$B$8+C250*战斗力计算!$B$9+D250*战斗力计算!$B$10+E250*战斗力计算!$B$11+F250*战斗力计算!$B$12</f>
        <v>106360</v>
      </c>
      <c r="W250" s="5">
        <f>G250*战斗力计算!$B$8+H250*战斗力计算!$B$9+I250*战斗力计算!$B$10+J250*战斗力计算!$B$11+K250*战斗力计算!$B$12+L250*战斗力计算!$B$8+M250*战斗力计算!$B$9+N250*战斗力计算!$B$10+O250*战斗力计算!$B$11+P250*战斗力计算!$B$12</f>
        <v>478620</v>
      </c>
      <c r="X250" s="5">
        <f t="shared" si="91"/>
        <v>584980</v>
      </c>
      <c r="AC250">
        <f t="shared" si="72"/>
        <v>3</v>
      </c>
      <c r="AD250">
        <f t="shared" si="73"/>
        <v>1.5</v>
      </c>
      <c r="AF250">
        <f t="shared" si="74"/>
        <v>0.75</v>
      </c>
      <c r="AH250">
        <f t="shared" si="75"/>
        <v>12</v>
      </c>
      <c r="AK250">
        <f t="shared" si="76"/>
        <v>6.0497925311203318</v>
      </c>
      <c r="AL250">
        <f t="shared" si="77"/>
        <v>1.504149377593361</v>
      </c>
      <c r="AM250">
        <f t="shared" si="78"/>
        <v>1</v>
      </c>
      <c r="AN250">
        <f t="shared" si="79"/>
        <v>6.0497925311203318</v>
      </c>
      <c r="AO250">
        <f t="shared" si="80"/>
        <v>1.504149377593361</v>
      </c>
      <c r="AP250">
        <f t="shared" si="81"/>
        <v>1</v>
      </c>
      <c r="AR250">
        <f t="shared" si="82"/>
        <v>4.4938016528925617</v>
      </c>
      <c r="AT250">
        <f t="shared" si="83"/>
        <v>4.4938016528925617</v>
      </c>
      <c r="AV250">
        <f t="shared" si="84"/>
        <v>2537</v>
      </c>
      <c r="AW250">
        <f t="shared" si="85"/>
        <v>4712</v>
      </c>
    </row>
    <row r="251" spans="1:49" x14ac:dyDescent="0.15">
      <c r="A251" s="5">
        <v>241</v>
      </c>
      <c r="B251" s="5">
        <f t="shared" si="71"/>
        <v>14640</v>
      </c>
      <c r="C251" s="5">
        <f t="shared" si="71"/>
        <v>3640</v>
      </c>
      <c r="D251" s="5">
        <f t="shared" si="71"/>
        <v>2420</v>
      </c>
      <c r="E251" s="5">
        <f t="shared" si="71"/>
        <v>729</v>
      </c>
      <c r="F251" s="5">
        <f t="shared" si="71"/>
        <v>972</v>
      </c>
      <c r="G251" s="5">
        <f t="shared" si="92"/>
        <v>43920</v>
      </c>
      <c r="H251" s="5">
        <f t="shared" si="92"/>
        <v>10920</v>
      </c>
      <c r="I251" s="5">
        <f t="shared" si="92"/>
        <v>7260</v>
      </c>
      <c r="J251" s="5">
        <f t="shared" si="92"/>
        <v>2187</v>
      </c>
      <c r="K251" s="5">
        <f t="shared" si="92"/>
        <v>2916</v>
      </c>
      <c r="L251" s="5">
        <f t="shared" si="93"/>
        <v>21960</v>
      </c>
      <c r="M251" s="5">
        <f t="shared" si="93"/>
        <v>5460</v>
      </c>
      <c r="N251" s="5">
        <f t="shared" si="93"/>
        <v>3630</v>
      </c>
      <c r="O251" s="5">
        <f t="shared" si="93"/>
        <v>1093.5</v>
      </c>
      <c r="P251" s="5">
        <f t="shared" si="93"/>
        <v>1458</v>
      </c>
      <c r="Q251" s="5">
        <f t="shared" si="86"/>
        <v>80520</v>
      </c>
      <c r="R251" s="5">
        <f t="shared" si="87"/>
        <v>20020</v>
      </c>
      <c r="S251" s="5">
        <f t="shared" si="88"/>
        <v>13310</v>
      </c>
      <c r="T251" s="5">
        <f t="shared" si="89"/>
        <v>4009.5</v>
      </c>
      <c r="U251" s="5">
        <f t="shared" si="90"/>
        <v>5346</v>
      </c>
      <c r="V251" s="5">
        <f>B251*战斗力计算!$B$8+C251*战斗力计算!$B$9+D251*战斗力计算!$B$10+E251*战斗力计算!$B$11+F251*战斗力计算!$B$12</f>
        <v>106800</v>
      </c>
      <c r="W251" s="5">
        <f>G251*战斗力计算!$B$8+H251*战斗力计算!$B$9+I251*战斗力计算!$B$10+J251*战斗力计算!$B$11+K251*战斗力计算!$B$12+L251*战斗力计算!$B$8+M251*战斗力计算!$B$9+N251*战斗力计算!$B$10+O251*战斗力计算!$B$11+P251*战斗力计算!$B$12</f>
        <v>480600</v>
      </c>
      <c r="X251" s="5">
        <f t="shared" si="91"/>
        <v>587400</v>
      </c>
      <c r="AC251">
        <f t="shared" si="72"/>
        <v>3</v>
      </c>
      <c r="AD251">
        <f t="shared" si="73"/>
        <v>1.5</v>
      </c>
      <c r="AF251">
        <f t="shared" si="74"/>
        <v>0.75</v>
      </c>
      <c r="AH251">
        <f t="shared" si="75"/>
        <v>12</v>
      </c>
      <c r="AK251">
        <f t="shared" si="76"/>
        <v>6.0495867768595044</v>
      </c>
      <c r="AL251">
        <f t="shared" si="77"/>
        <v>1.5041322314049588</v>
      </c>
      <c r="AM251">
        <f t="shared" si="78"/>
        <v>1</v>
      </c>
      <c r="AN251">
        <f t="shared" si="79"/>
        <v>6.0495867768595044</v>
      </c>
      <c r="AO251">
        <f t="shared" si="80"/>
        <v>1.5041322314049588</v>
      </c>
      <c r="AP251">
        <f t="shared" si="81"/>
        <v>1</v>
      </c>
      <c r="AR251">
        <f t="shared" si="82"/>
        <v>4.4938271604938276</v>
      </c>
      <c r="AT251">
        <f t="shared" si="83"/>
        <v>4.4938271604938276</v>
      </c>
      <c r="AV251">
        <f t="shared" si="84"/>
        <v>2548</v>
      </c>
      <c r="AW251">
        <f t="shared" si="85"/>
        <v>4732</v>
      </c>
    </row>
    <row r="252" spans="1:49" x14ac:dyDescent="0.15">
      <c r="A252" s="5">
        <v>242</v>
      </c>
      <c r="B252" s="5">
        <f t="shared" si="71"/>
        <v>14700</v>
      </c>
      <c r="C252" s="5">
        <f t="shared" si="71"/>
        <v>3655</v>
      </c>
      <c r="D252" s="5">
        <f t="shared" si="71"/>
        <v>2430</v>
      </c>
      <c r="E252" s="5">
        <f t="shared" si="71"/>
        <v>732</v>
      </c>
      <c r="F252" s="5">
        <f t="shared" si="71"/>
        <v>976</v>
      </c>
      <c r="G252" s="5">
        <f t="shared" si="92"/>
        <v>44100</v>
      </c>
      <c r="H252" s="5">
        <f t="shared" si="92"/>
        <v>10965</v>
      </c>
      <c r="I252" s="5">
        <f t="shared" si="92"/>
        <v>7290</v>
      </c>
      <c r="J252" s="5">
        <f t="shared" si="92"/>
        <v>2196</v>
      </c>
      <c r="K252" s="5">
        <f t="shared" si="92"/>
        <v>2928</v>
      </c>
      <c r="L252" s="5">
        <f t="shared" si="93"/>
        <v>22050</v>
      </c>
      <c r="M252" s="5">
        <f t="shared" si="93"/>
        <v>5482.5</v>
      </c>
      <c r="N252" s="5">
        <f t="shared" si="93"/>
        <v>3645</v>
      </c>
      <c r="O252" s="5">
        <f t="shared" si="93"/>
        <v>1098</v>
      </c>
      <c r="P252" s="5">
        <f t="shared" si="93"/>
        <v>1464</v>
      </c>
      <c r="Q252" s="5">
        <f t="shared" si="86"/>
        <v>80850</v>
      </c>
      <c r="R252" s="5">
        <f t="shared" si="87"/>
        <v>20102.5</v>
      </c>
      <c r="S252" s="5">
        <f t="shared" si="88"/>
        <v>13365</v>
      </c>
      <c r="T252" s="5">
        <f t="shared" si="89"/>
        <v>4026</v>
      </c>
      <c r="U252" s="5">
        <f t="shared" si="90"/>
        <v>5368</v>
      </c>
      <c r="V252" s="5">
        <f>B252*战斗力计算!$B$8+C252*战斗力计算!$B$9+D252*战斗力计算!$B$10+E252*战斗力计算!$B$11+F252*战斗力计算!$B$12</f>
        <v>107240</v>
      </c>
      <c r="W252" s="5">
        <f>G252*战斗力计算!$B$8+H252*战斗力计算!$B$9+I252*战斗力计算!$B$10+J252*战斗力计算!$B$11+K252*战斗力计算!$B$12+L252*战斗力计算!$B$8+M252*战斗力计算!$B$9+N252*战斗力计算!$B$10+O252*战斗力计算!$B$11+P252*战斗力计算!$B$12</f>
        <v>482580</v>
      </c>
      <c r="X252" s="5">
        <f t="shared" si="91"/>
        <v>589820</v>
      </c>
      <c r="AC252">
        <f t="shared" si="72"/>
        <v>3</v>
      </c>
      <c r="AD252">
        <f t="shared" si="73"/>
        <v>1.5</v>
      </c>
      <c r="AF252">
        <f t="shared" si="74"/>
        <v>0.75</v>
      </c>
      <c r="AH252">
        <f t="shared" si="75"/>
        <v>12</v>
      </c>
      <c r="AK252">
        <f t="shared" si="76"/>
        <v>6.0493827160493829</v>
      </c>
      <c r="AL252">
        <f t="shared" si="77"/>
        <v>1.5041152263374487</v>
      </c>
      <c r="AM252">
        <f t="shared" si="78"/>
        <v>1</v>
      </c>
      <c r="AN252">
        <f t="shared" si="79"/>
        <v>6.0493827160493829</v>
      </c>
      <c r="AO252">
        <f t="shared" si="80"/>
        <v>1.5041152263374487</v>
      </c>
      <c r="AP252">
        <f t="shared" si="81"/>
        <v>1</v>
      </c>
      <c r="AR252">
        <f t="shared" si="82"/>
        <v>4.4938524590163933</v>
      </c>
      <c r="AT252">
        <f t="shared" si="83"/>
        <v>4.4938524590163933</v>
      </c>
      <c r="AV252">
        <f t="shared" si="84"/>
        <v>2558</v>
      </c>
      <c r="AW252">
        <f t="shared" si="85"/>
        <v>4751</v>
      </c>
    </row>
    <row r="253" spans="1:49" x14ac:dyDescent="0.15">
      <c r="A253" s="5">
        <v>243</v>
      </c>
      <c r="B253" s="5">
        <f t="shared" si="71"/>
        <v>14760</v>
      </c>
      <c r="C253" s="5">
        <f t="shared" si="71"/>
        <v>3670</v>
      </c>
      <c r="D253" s="5">
        <f t="shared" si="71"/>
        <v>2440</v>
      </c>
      <c r="E253" s="5">
        <f t="shared" si="71"/>
        <v>735</v>
      </c>
      <c r="F253" s="5">
        <f t="shared" si="71"/>
        <v>980</v>
      </c>
      <c r="G253" s="5">
        <f t="shared" si="92"/>
        <v>44280</v>
      </c>
      <c r="H253" s="5">
        <f t="shared" si="92"/>
        <v>11010</v>
      </c>
      <c r="I253" s="5">
        <f t="shared" si="92"/>
        <v>7320</v>
      </c>
      <c r="J253" s="5">
        <f t="shared" si="92"/>
        <v>2205</v>
      </c>
      <c r="K253" s="5">
        <f t="shared" si="92"/>
        <v>2940</v>
      </c>
      <c r="L253" s="5">
        <f t="shared" si="93"/>
        <v>22140</v>
      </c>
      <c r="M253" s="5">
        <f t="shared" si="93"/>
        <v>5505</v>
      </c>
      <c r="N253" s="5">
        <f t="shared" si="93"/>
        <v>3660</v>
      </c>
      <c r="O253" s="5">
        <f t="shared" si="93"/>
        <v>1102.5</v>
      </c>
      <c r="P253" s="5">
        <f t="shared" si="93"/>
        <v>1470</v>
      </c>
      <c r="Q253" s="5">
        <f t="shared" si="86"/>
        <v>81180</v>
      </c>
      <c r="R253" s="5">
        <f t="shared" si="87"/>
        <v>20185</v>
      </c>
      <c r="S253" s="5">
        <f t="shared" si="88"/>
        <v>13420</v>
      </c>
      <c r="T253" s="5">
        <f t="shared" si="89"/>
        <v>4042.5</v>
      </c>
      <c r="U253" s="5">
        <f t="shared" si="90"/>
        <v>5390</v>
      </c>
      <c r="V253" s="5">
        <f>B253*战斗力计算!$B$8+C253*战斗力计算!$B$9+D253*战斗力计算!$B$10+E253*战斗力计算!$B$11+F253*战斗力计算!$B$12</f>
        <v>107680</v>
      </c>
      <c r="W253" s="5">
        <f>G253*战斗力计算!$B$8+H253*战斗力计算!$B$9+I253*战斗力计算!$B$10+J253*战斗力计算!$B$11+K253*战斗力计算!$B$12+L253*战斗力计算!$B$8+M253*战斗力计算!$B$9+N253*战斗力计算!$B$10+O253*战斗力计算!$B$11+P253*战斗力计算!$B$12</f>
        <v>484560</v>
      </c>
      <c r="X253" s="5">
        <f t="shared" si="91"/>
        <v>592240</v>
      </c>
      <c r="AC253">
        <f t="shared" si="72"/>
        <v>3</v>
      </c>
      <c r="AD253">
        <f t="shared" si="73"/>
        <v>1.5</v>
      </c>
      <c r="AF253">
        <f t="shared" si="74"/>
        <v>0.75</v>
      </c>
      <c r="AH253">
        <f t="shared" si="75"/>
        <v>12</v>
      </c>
      <c r="AK253">
        <f t="shared" si="76"/>
        <v>6.0491803278688527</v>
      </c>
      <c r="AL253">
        <f t="shared" si="77"/>
        <v>1.5040983606557377</v>
      </c>
      <c r="AM253">
        <f t="shared" si="78"/>
        <v>1</v>
      </c>
      <c r="AN253">
        <f t="shared" si="79"/>
        <v>6.0491803278688527</v>
      </c>
      <c r="AO253">
        <f t="shared" si="80"/>
        <v>1.5040983606557377</v>
      </c>
      <c r="AP253">
        <f t="shared" si="81"/>
        <v>1</v>
      </c>
      <c r="AR253">
        <f t="shared" si="82"/>
        <v>4.4938775510204083</v>
      </c>
      <c r="AT253">
        <f t="shared" si="83"/>
        <v>4.4938775510204083</v>
      </c>
      <c r="AV253">
        <f t="shared" si="84"/>
        <v>2569</v>
      </c>
      <c r="AW253">
        <f t="shared" si="85"/>
        <v>4771</v>
      </c>
    </row>
    <row r="254" spans="1:49" x14ac:dyDescent="0.15">
      <c r="A254" s="5">
        <v>244</v>
      </c>
      <c r="B254" s="5">
        <f t="shared" si="71"/>
        <v>14820</v>
      </c>
      <c r="C254" s="5">
        <f t="shared" si="71"/>
        <v>3685</v>
      </c>
      <c r="D254" s="5">
        <f t="shared" si="71"/>
        <v>2450</v>
      </c>
      <c r="E254" s="5">
        <f t="shared" si="71"/>
        <v>738</v>
      </c>
      <c r="F254" s="5">
        <f t="shared" si="71"/>
        <v>984</v>
      </c>
      <c r="G254" s="5">
        <f t="shared" si="92"/>
        <v>44460</v>
      </c>
      <c r="H254" s="5">
        <f t="shared" si="92"/>
        <v>11055</v>
      </c>
      <c r="I254" s="5">
        <f t="shared" si="92"/>
        <v>7350</v>
      </c>
      <c r="J254" s="5">
        <f t="shared" si="92"/>
        <v>2214</v>
      </c>
      <c r="K254" s="5">
        <f t="shared" si="92"/>
        <v>2952</v>
      </c>
      <c r="L254" s="5">
        <f t="shared" si="93"/>
        <v>22230</v>
      </c>
      <c r="M254" s="5">
        <f t="shared" si="93"/>
        <v>5527.5</v>
      </c>
      <c r="N254" s="5">
        <f t="shared" si="93"/>
        <v>3675</v>
      </c>
      <c r="O254" s="5">
        <f t="shared" si="93"/>
        <v>1107</v>
      </c>
      <c r="P254" s="5">
        <f t="shared" si="93"/>
        <v>1476</v>
      </c>
      <c r="Q254" s="5">
        <f t="shared" si="86"/>
        <v>81510</v>
      </c>
      <c r="R254" s="5">
        <f t="shared" si="87"/>
        <v>20267.5</v>
      </c>
      <c r="S254" s="5">
        <f t="shared" si="88"/>
        <v>13475</v>
      </c>
      <c r="T254" s="5">
        <f t="shared" si="89"/>
        <v>4059</v>
      </c>
      <c r="U254" s="5">
        <f t="shared" si="90"/>
        <v>5412</v>
      </c>
      <c r="V254" s="5">
        <f>B254*战斗力计算!$B$8+C254*战斗力计算!$B$9+D254*战斗力计算!$B$10+E254*战斗力计算!$B$11+F254*战斗力计算!$B$12</f>
        <v>108120</v>
      </c>
      <c r="W254" s="5">
        <f>G254*战斗力计算!$B$8+H254*战斗力计算!$B$9+I254*战斗力计算!$B$10+J254*战斗力计算!$B$11+K254*战斗力计算!$B$12+L254*战斗力计算!$B$8+M254*战斗力计算!$B$9+N254*战斗力计算!$B$10+O254*战斗力计算!$B$11+P254*战斗力计算!$B$12</f>
        <v>486540</v>
      </c>
      <c r="X254" s="5">
        <f t="shared" si="91"/>
        <v>594660</v>
      </c>
      <c r="AC254">
        <f t="shared" si="72"/>
        <v>3</v>
      </c>
      <c r="AD254">
        <f t="shared" si="73"/>
        <v>1.5</v>
      </c>
      <c r="AF254">
        <f t="shared" si="74"/>
        <v>0.75</v>
      </c>
      <c r="AH254">
        <f t="shared" si="75"/>
        <v>12</v>
      </c>
      <c r="AK254">
        <f t="shared" si="76"/>
        <v>6.0489795918367344</v>
      </c>
      <c r="AL254">
        <f t="shared" si="77"/>
        <v>1.5040816326530613</v>
      </c>
      <c r="AM254">
        <f t="shared" si="78"/>
        <v>1</v>
      </c>
      <c r="AN254">
        <f t="shared" si="79"/>
        <v>6.0489795918367344</v>
      </c>
      <c r="AO254">
        <f t="shared" si="80"/>
        <v>1.5040816326530613</v>
      </c>
      <c r="AP254">
        <f t="shared" si="81"/>
        <v>1</v>
      </c>
      <c r="AR254">
        <f t="shared" si="82"/>
        <v>4.4939024390243905</v>
      </c>
      <c r="AT254">
        <f t="shared" si="83"/>
        <v>4.4939024390243905</v>
      </c>
      <c r="AV254">
        <f t="shared" si="84"/>
        <v>2579</v>
      </c>
      <c r="AW254">
        <f t="shared" si="85"/>
        <v>4790</v>
      </c>
    </row>
    <row r="255" spans="1:49" x14ac:dyDescent="0.15">
      <c r="A255" s="5">
        <v>245</v>
      </c>
      <c r="B255" s="5">
        <f t="shared" si="71"/>
        <v>14880</v>
      </c>
      <c r="C255" s="5">
        <f t="shared" si="71"/>
        <v>3700</v>
      </c>
      <c r="D255" s="5">
        <f t="shared" si="71"/>
        <v>2460</v>
      </c>
      <c r="E255" s="5">
        <f t="shared" si="71"/>
        <v>741</v>
      </c>
      <c r="F255" s="5">
        <f t="shared" si="71"/>
        <v>988</v>
      </c>
      <c r="G255" s="5">
        <f t="shared" si="92"/>
        <v>44640</v>
      </c>
      <c r="H255" s="5">
        <f t="shared" si="92"/>
        <v>11100</v>
      </c>
      <c r="I255" s="5">
        <f t="shared" si="92"/>
        <v>7380</v>
      </c>
      <c r="J255" s="5">
        <f t="shared" si="92"/>
        <v>2223</v>
      </c>
      <c r="K255" s="5">
        <f t="shared" si="92"/>
        <v>2964</v>
      </c>
      <c r="L255" s="5">
        <f t="shared" si="93"/>
        <v>22320</v>
      </c>
      <c r="M255" s="5">
        <f t="shared" si="93"/>
        <v>5550</v>
      </c>
      <c r="N255" s="5">
        <f t="shared" si="93"/>
        <v>3690</v>
      </c>
      <c r="O255" s="5">
        <f t="shared" si="93"/>
        <v>1111.5</v>
      </c>
      <c r="P255" s="5">
        <f t="shared" si="93"/>
        <v>1482</v>
      </c>
      <c r="Q255" s="5">
        <f t="shared" si="86"/>
        <v>81840</v>
      </c>
      <c r="R255" s="5">
        <f t="shared" si="87"/>
        <v>20350</v>
      </c>
      <c r="S255" s="5">
        <f t="shared" si="88"/>
        <v>13530</v>
      </c>
      <c r="T255" s="5">
        <f t="shared" si="89"/>
        <v>4075.5</v>
      </c>
      <c r="U255" s="5">
        <f t="shared" si="90"/>
        <v>5434</v>
      </c>
      <c r="V255" s="5">
        <f>B255*战斗力计算!$B$8+C255*战斗力计算!$B$9+D255*战斗力计算!$B$10+E255*战斗力计算!$B$11+F255*战斗力计算!$B$12</f>
        <v>108560</v>
      </c>
      <c r="W255" s="5">
        <f>G255*战斗力计算!$B$8+H255*战斗力计算!$B$9+I255*战斗力计算!$B$10+J255*战斗力计算!$B$11+K255*战斗力计算!$B$12+L255*战斗力计算!$B$8+M255*战斗力计算!$B$9+N255*战斗力计算!$B$10+O255*战斗力计算!$B$11+P255*战斗力计算!$B$12</f>
        <v>488520</v>
      </c>
      <c r="X255" s="5">
        <f t="shared" si="91"/>
        <v>597080</v>
      </c>
      <c r="AC255">
        <f t="shared" si="72"/>
        <v>3</v>
      </c>
      <c r="AD255">
        <f t="shared" si="73"/>
        <v>1.5</v>
      </c>
      <c r="AF255">
        <f t="shared" si="74"/>
        <v>0.75</v>
      </c>
      <c r="AH255">
        <f t="shared" si="75"/>
        <v>12</v>
      </c>
      <c r="AK255">
        <f t="shared" si="76"/>
        <v>6.0487804878048781</v>
      </c>
      <c r="AL255">
        <f t="shared" si="77"/>
        <v>1.5040650406504066</v>
      </c>
      <c r="AM255">
        <f t="shared" si="78"/>
        <v>1</v>
      </c>
      <c r="AN255">
        <f t="shared" si="79"/>
        <v>6.0487804878048781</v>
      </c>
      <c r="AO255">
        <f t="shared" si="80"/>
        <v>1.5040650406504066</v>
      </c>
      <c r="AP255">
        <f t="shared" si="81"/>
        <v>1</v>
      </c>
      <c r="AR255">
        <f t="shared" si="82"/>
        <v>4.4939271255060733</v>
      </c>
      <c r="AT255">
        <f t="shared" si="83"/>
        <v>4.4939271255060733</v>
      </c>
      <c r="AV255">
        <f t="shared" si="84"/>
        <v>2590</v>
      </c>
      <c r="AW255">
        <f t="shared" si="85"/>
        <v>4810</v>
      </c>
    </row>
    <row r="256" spans="1:49" x14ac:dyDescent="0.15">
      <c r="A256" s="5">
        <v>246</v>
      </c>
      <c r="B256" s="5">
        <f t="shared" si="71"/>
        <v>14940</v>
      </c>
      <c r="C256" s="5">
        <f t="shared" si="71"/>
        <v>3715</v>
      </c>
      <c r="D256" s="5">
        <f t="shared" si="71"/>
        <v>2470</v>
      </c>
      <c r="E256" s="5">
        <f t="shared" si="71"/>
        <v>744</v>
      </c>
      <c r="F256" s="5">
        <f t="shared" si="71"/>
        <v>992</v>
      </c>
      <c r="G256" s="5">
        <f t="shared" si="92"/>
        <v>44820</v>
      </c>
      <c r="H256" s="5">
        <f t="shared" si="92"/>
        <v>11145</v>
      </c>
      <c r="I256" s="5">
        <f t="shared" si="92"/>
        <v>7410</v>
      </c>
      <c r="J256" s="5">
        <f t="shared" si="92"/>
        <v>2232</v>
      </c>
      <c r="K256" s="5">
        <f t="shared" si="92"/>
        <v>2976</v>
      </c>
      <c r="L256" s="5">
        <f t="shared" si="93"/>
        <v>22410</v>
      </c>
      <c r="M256" s="5">
        <f t="shared" si="93"/>
        <v>5572.5</v>
      </c>
      <c r="N256" s="5">
        <f t="shared" si="93"/>
        <v>3705</v>
      </c>
      <c r="O256" s="5">
        <f t="shared" si="93"/>
        <v>1116</v>
      </c>
      <c r="P256" s="5">
        <f t="shared" si="93"/>
        <v>1488</v>
      </c>
      <c r="Q256" s="5">
        <f t="shared" si="86"/>
        <v>82170</v>
      </c>
      <c r="R256" s="5">
        <f t="shared" si="87"/>
        <v>20432.5</v>
      </c>
      <c r="S256" s="5">
        <f t="shared" si="88"/>
        <v>13585</v>
      </c>
      <c r="T256" s="5">
        <f t="shared" si="89"/>
        <v>4092</v>
      </c>
      <c r="U256" s="5">
        <f t="shared" si="90"/>
        <v>5456</v>
      </c>
      <c r="V256" s="5">
        <f>B256*战斗力计算!$B$8+C256*战斗力计算!$B$9+D256*战斗力计算!$B$10+E256*战斗力计算!$B$11+F256*战斗力计算!$B$12</f>
        <v>109000</v>
      </c>
      <c r="W256" s="5">
        <f>G256*战斗力计算!$B$8+H256*战斗力计算!$B$9+I256*战斗力计算!$B$10+J256*战斗力计算!$B$11+K256*战斗力计算!$B$12+L256*战斗力计算!$B$8+M256*战斗力计算!$B$9+N256*战斗力计算!$B$10+O256*战斗力计算!$B$11+P256*战斗力计算!$B$12</f>
        <v>490500</v>
      </c>
      <c r="X256" s="5">
        <f t="shared" si="91"/>
        <v>599500</v>
      </c>
      <c r="AC256">
        <f t="shared" si="72"/>
        <v>3</v>
      </c>
      <c r="AD256">
        <f t="shared" si="73"/>
        <v>1.5</v>
      </c>
      <c r="AF256">
        <f t="shared" si="74"/>
        <v>0.75</v>
      </c>
      <c r="AH256">
        <f t="shared" si="75"/>
        <v>12</v>
      </c>
      <c r="AK256">
        <f t="shared" si="76"/>
        <v>6.048582995951417</v>
      </c>
      <c r="AL256">
        <f t="shared" si="77"/>
        <v>1.5040485829959513</v>
      </c>
      <c r="AM256">
        <f t="shared" si="78"/>
        <v>1</v>
      </c>
      <c r="AN256">
        <f t="shared" si="79"/>
        <v>6.048582995951417</v>
      </c>
      <c r="AO256">
        <f t="shared" si="80"/>
        <v>1.5040485829959513</v>
      </c>
      <c r="AP256">
        <f t="shared" si="81"/>
        <v>1</v>
      </c>
      <c r="AR256">
        <f t="shared" si="82"/>
        <v>4.493951612903226</v>
      </c>
      <c r="AT256">
        <f t="shared" si="83"/>
        <v>4.493951612903226</v>
      </c>
      <c r="AV256">
        <f t="shared" si="84"/>
        <v>2600</v>
      </c>
      <c r="AW256">
        <f t="shared" si="85"/>
        <v>4829</v>
      </c>
    </row>
    <row r="257" spans="1:49" x14ac:dyDescent="0.15">
      <c r="A257" s="5">
        <v>247</v>
      </c>
      <c r="B257" s="5">
        <f t="shared" si="71"/>
        <v>15000</v>
      </c>
      <c r="C257" s="5">
        <f t="shared" si="71"/>
        <v>3730</v>
      </c>
      <c r="D257" s="5">
        <f t="shared" si="71"/>
        <v>2480</v>
      </c>
      <c r="E257" s="5">
        <f t="shared" si="71"/>
        <v>747</v>
      </c>
      <c r="F257" s="5">
        <f t="shared" si="71"/>
        <v>996</v>
      </c>
      <c r="G257" s="5">
        <f t="shared" si="92"/>
        <v>45000</v>
      </c>
      <c r="H257" s="5">
        <f t="shared" si="92"/>
        <v>11190</v>
      </c>
      <c r="I257" s="5">
        <f t="shared" si="92"/>
        <v>7440</v>
      </c>
      <c r="J257" s="5">
        <f t="shared" si="92"/>
        <v>2241</v>
      </c>
      <c r="K257" s="5">
        <f t="shared" si="92"/>
        <v>2988</v>
      </c>
      <c r="L257" s="5">
        <f t="shared" si="93"/>
        <v>22500</v>
      </c>
      <c r="M257" s="5">
        <f t="shared" si="93"/>
        <v>5595</v>
      </c>
      <c r="N257" s="5">
        <f t="shared" si="93"/>
        <v>3720</v>
      </c>
      <c r="O257" s="5">
        <f t="shared" si="93"/>
        <v>1120.5</v>
      </c>
      <c r="P257" s="5">
        <f t="shared" si="93"/>
        <v>1494</v>
      </c>
      <c r="Q257" s="5">
        <f t="shared" si="86"/>
        <v>82500</v>
      </c>
      <c r="R257" s="5">
        <f t="shared" si="87"/>
        <v>20515</v>
      </c>
      <c r="S257" s="5">
        <f t="shared" si="88"/>
        <v>13640</v>
      </c>
      <c r="T257" s="5">
        <f t="shared" si="89"/>
        <v>4108.5</v>
      </c>
      <c r="U257" s="5">
        <f t="shared" si="90"/>
        <v>5478</v>
      </c>
      <c r="V257" s="5">
        <f>B257*战斗力计算!$B$8+C257*战斗力计算!$B$9+D257*战斗力计算!$B$10+E257*战斗力计算!$B$11+F257*战斗力计算!$B$12</f>
        <v>109440</v>
      </c>
      <c r="W257" s="5">
        <f>G257*战斗力计算!$B$8+H257*战斗力计算!$B$9+I257*战斗力计算!$B$10+J257*战斗力计算!$B$11+K257*战斗力计算!$B$12+L257*战斗力计算!$B$8+M257*战斗力计算!$B$9+N257*战斗力计算!$B$10+O257*战斗力计算!$B$11+P257*战斗力计算!$B$12</f>
        <v>492480</v>
      </c>
      <c r="X257" s="5">
        <f t="shared" si="91"/>
        <v>601920</v>
      </c>
      <c r="AC257">
        <f t="shared" si="72"/>
        <v>3</v>
      </c>
      <c r="AD257">
        <f t="shared" si="73"/>
        <v>1.5</v>
      </c>
      <c r="AF257">
        <f t="shared" si="74"/>
        <v>0.75</v>
      </c>
      <c r="AH257">
        <f t="shared" si="75"/>
        <v>12</v>
      </c>
      <c r="AK257">
        <f t="shared" si="76"/>
        <v>6.0483870967741939</v>
      </c>
      <c r="AL257">
        <f t="shared" si="77"/>
        <v>1.5040322580645162</v>
      </c>
      <c r="AM257">
        <f t="shared" si="78"/>
        <v>1</v>
      </c>
      <c r="AN257">
        <f t="shared" si="79"/>
        <v>6.0483870967741939</v>
      </c>
      <c r="AO257">
        <f t="shared" si="80"/>
        <v>1.5040322580645162</v>
      </c>
      <c r="AP257">
        <f t="shared" si="81"/>
        <v>1</v>
      </c>
      <c r="AR257">
        <f t="shared" si="82"/>
        <v>4.4939759036144578</v>
      </c>
      <c r="AT257">
        <f t="shared" si="83"/>
        <v>4.4939759036144578</v>
      </c>
      <c r="AV257">
        <f t="shared" si="84"/>
        <v>2611</v>
      </c>
      <c r="AW257">
        <f t="shared" si="85"/>
        <v>4849</v>
      </c>
    </row>
    <row r="258" spans="1:49" x14ac:dyDescent="0.15">
      <c r="A258" s="5">
        <v>248</v>
      </c>
      <c r="B258" s="5">
        <f t="shared" si="71"/>
        <v>15060</v>
      </c>
      <c r="C258" s="5">
        <f t="shared" si="71"/>
        <v>3745</v>
      </c>
      <c r="D258" s="5">
        <f t="shared" si="71"/>
        <v>2490</v>
      </c>
      <c r="E258" s="5">
        <f t="shared" si="71"/>
        <v>750</v>
      </c>
      <c r="F258" s="5">
        <f t="shared" si="71"/>
        <v>1000</v>
      </c>
      <c r="G258" s="5">
        <f t="shared" si="92"/>
        <v>45180</v>
      </c>
      <c r="H258" s="5">
        <f t="shared" si="92"/>
        <v>11235</v>
      </c>
      <c r="I258" s="5">
        <f t="shared" si="92"/>
        <v>7470</v>
      </c>
      <c r="J258" s="5">
        <f t="shared" si="92"/>
        <v>2250</v>
      </c>
      <c r="K258" s="5">
        <f t="shared" si="92"/>
        <v>3000</v>
      </c>
      <c r="L258" s="5">
        <f t="shared" si="93"/>
        <v>22590</v>
      </c>
      <c r="M258" s="5">
        <f t="shared" si="93"/>
        <v>5617.5</v>
      </c>
      <c r="N258" s="5">
        <f t="shared" si="93"/>
        <v>3735</v>
      </c>
      <c r="O258" s="5">
        <f t="shared" si="93"/>
        <v>1125</v>
      </c>
      <c r="P258" s="5">
        <f t="shared" si="93"/>
        <v>1500</v>
      </c>
      <c r="Q258" s="5">
        <f t="shared" si="86"/>
        <v>82830</v>
      </c>
      <c r="R258" s="5">
        <f t="shared" si="87"/>
        <v>20597.5</v>
      </c>
      <c r="S258" s="5">
        <f t="shared" si="88"/>
        <v>13695</v>
      </c>
      <c r="T258" s="5">
        <f t="shared" si="89"/>
        <v>4125</v>
      </c>
      <c r="U258" s="5">
        <f t="shared" si="90"/>
        <v>5500</v>
      </c>
      <c r="V258" s="5">
        <f>B258*战斗力计算!$B$8+C258*战斗力计算!$B$9+D258*战斗力计算!$B$10+E258*战斗力计算!$B$11+F258*战斗力计算!$B$12</f>
        <v>109880</v>
      </c>
      <c r="W258" s="5">
        <f>G258*战斗力计算!$B$8+H258*战斗力计算!$B$9+I258*战斗力计算!$B$10+J258*战斗力计算!$B$11+K258*战斗力计算!$B$12+L258*战斗力计算!$B$8+M258*战斗力计算!$B$9+N258*战斗力计算!$B$10+O258*战斗力计算!$B$11+P258*战斗力计算!$B$12</f>
        <v>494460</v>
      </c>
      <c r="X258" s="5">
        <f t="shared" si="91"/>
        <v>604340</v>
      </c>
      <c r="AC258">
        <f t="shared" si="72"/>
        <v>3</v>
      </c>
      <c r="AD258">
        <f t="shared" si="73"/>
        <v>1.5</v>
      </c>
      <c r="AF258">
        <f t="shared" si="74"/>
        <v>0.75</v>
      </c>
      <c r="AH258">
        <f t="shared" si="75"/>
        <v>12</v>
      </c>
      <c r="AK258">
        <f t="shared" si="76"/>
        <v>6.0481927710843371</v>
      </c>
      <c r="AL258">
        <f t="shared" si="77"/>
        <v>1.5040160642570282</v>
      </c>
      <c r="AM258">
        <f t="shared" si="78"/>
        <v>1</v>
      </c>
      <c r="AN258">
        <f t="shared" si="79"/>
        <v>6.0481927710843371</v>
      </c>
      <c r="AO258">
        <f t="shared" si="80"/>
        <v>1.5040160642570282</v>
      </c>
      <c r="AP258">
        <f t="shared" si="81"/>
        <v>1</v>
      </c>
      <c r="AR258">
        <f t="shared" si="82"/>
        <v>4.4939999999999998</v>
      </c>
      <c r="AT258">
        <f t="shared" si="83"/>
        <v>4.4939999999999998</v>
      </c>
      <c r="AV258">
        <f t="shared" si="84"/>
        <v>2621</v>
      </c>
      <c r="AW258">
        <f t="shared" si="85"/>
        <v>4868</v>
      </c>
    </row>
    <row r="259" spans="1:49" x14ac:dyDescent="0.15">
      <c r="A259" s="5">
        <v>249</v>
      </c>
      <c r="B259" s="5">
        <f t="shared" si="71"/>
        <v>15120</v>
      </c>
      <c r="C259" s="5">
        <f t="shared" si="71"/>
        <v>3760</v>
      </c>
      <c r="D259" s="5">
        <f t="shared" si="71"/>
        <v>2500</v>
      </c>
      <c r="E259" s="5">
        <f t="shared" si="71"/>
        <v>753</v>
      </c>
      <c r="F259" s="5">
        <f t="shared" si="71"/>
        <v>1004</v>
      </c>
      <c r="G259" s="5">
        <f t="shared" si="92"/>
        <v>45360</v>
      </c>
      <c r="H259" s="5">
        <f t="shared" si="92"/>
        <v>11280</v>
      </c>
      <c r="I259" s="5">
        <f t="shared" si="92"/>
        <v>7500</v>
      </c>
      <c r="J259" s="5">
        <f t="shared" si="92"/>
        <v>2259</v>
      </c>
      <c r="K259" s="5">
        <f t="shared" si="92"/>
        <v>3012</v>
      </c>
      <c r="L259" s="5">
        <f t="shared" si="93"/>
        <v>22680</v>
      </c>
      <c r="M259" s="5">
        <f t="shared" si="93"/>
        <v>5640</v>
      </c>
      <c r="N259" s="5">
        <f t="shared" si="93"/>
        <v>3750</v>
      </c>
      <c r="O259" s="5">
        <f t="shared" si="93"/>
        <v>1129.5</v>
      </c>
      <c r="P259" s="5">
        <f t="shared" si="93"/>
        <v>1506</v>
      </c>
      <c r="Q259" s="5">
        <f t="shared" si="86"/>
        <v>83160</v>
      </c>
      <c r="R259" s="5">
        <f t="shared" si="87"/>
        <v>20680</v>
      </c>
      <c r="S259" s="5">
        <f t="shared" si="88"/>
        <v>13750</v>
      </c>
      <c r="T259" s="5">
        <f t="shared" si="89"/>
        <v>4141.5</v>
      </c>
      <c r="U259" s="5">
        <f t="shared" si="90"/>
        <v>5522</v>
      </c>
      <c r="V259" s="5">
        <f>B259*战斗力计算!$B$8+C259*战斗力计算!$B$9+D259*战斗力计算!$B$10+E259*战斗力计算!$B$11+F259*战斗力计算!$B$12</f>
        <v>110320</v>
      </c>
      <c r="W259" s="5">
        <f>G259*战斗力计算!$B$8+H259*战斗力计算!$B$9+I259*战斗力计算!$B$10+J259*战斗力计算!$B$11+K259*战斗力计算!$B$12+L259*战斗力计算!$B$8+M259*战斗力计算!$B$9+N259*战斗力计算!$B$10+O259*战斗力计算!$B$11+P259*战斗力计算!$B$12</f>
        <v>496440</v>
      </c>
      <c r="X259" s="5">
        <f t="shared" si="91"/>
        <v>606760</v>
      </c>
      <c r="AC259">
        <f t="shared" si="72"/>
        <v>3</v>
      </c>
      <c r="AD259">
        <f t="shared" si="73"/>
        <v>1.5</v>
      </c>
      <c r="AF259">
        <f t="shared" si="74"/>
        <v>0.75</v>
      </c>
      <c r="AH259">
        <f t="shared" si="75"/>
        <v>12</v>
      </c>
      <c r="AK259">
        <f t="shared" si="76"/>
        <v>6.048</v>
      </c>
      <c r="AL259">
        <f t="shared" si="77"/>
        <v>1.504</v>
      </c>
      <c r="AM259">
        <f t="shared" si="78"/>
        <v>1</v>
      </c>
      <c r="AN259">
        <f t="shared" si="79"/>
        <v>6.048</v>
      </c>
      <c r="AO259">
        <f t="shared" si="80"/>
        <v>1.504</v>
      </c>
      <c r="AP259">
        <f t="shared" si="81"/>
        <v>1</v>
      </c>
      <c r="AR259">
        <f t="shared" si="82"/>
        <v>4.4940239043824697</v>
      </c>
      <c r="AT259">
        <f t="shared" si="83"/>
        <v>4.4940239043824697</v>
      </c>
      <c r="AV259">
        <f t="shared" si="84"/>
        <v>2632</v>
      </c>
      <c r="AW259">
        <f t="shared" si="85"/>
        <v>4888</v>
      </c>
    </row>
    <row r="260" spans="1:49" x14ac:dyDescent="0.15">
      <c r="A260" s="5">
        <v>250</v>
      </c>
      <c r="B260" s="5">
        <f t="shared" si="71"/>
        <v>15180</v>
      </c>
      <c r="C260" s="5">
        <f t="shared" si="71"/>
        <v>3775</v>
      </c>
      <c r="D260" s="5">
        <f t="shared" si="71"/>
        <v>2510</v>
      </c>
      <c r="E260" s="5">
        <f t="shared" si="71"/>
        <v>756</v>
      </c>
      <c r="F260" s="5">
        <f t="shared" si="71"/>
        <v>1008</v>
      </c>
      <c r="G260" s="5">
        <f t="shared" si="92"/>
        <v>48576</v>
      </c>
      <c r="H260" s="5">
        <f t="shared" si="92"/>
        <v>12080</v>
      </c>
      <c r="I260" s="5">
        <f t="shared" si="92"/>
        <v>8032</v>
      </c>
      <c r="J260" s="5">
        <f t="shared" si="92"/>
        <v>2419.2000000000003</v>
      </c>
      <c r="K260" s="5">
        <f t="shared" si="92"/>
        <v>3225.6000000000004</v>
      </c>
      <c r="L260" s="5">
        <f t="shared" si="93"/>
        <v>24288</v>
      </c>
      <c r="M260" s="5">
        <f t="shared" si="93"/>
        <v>6040</v>
      </c>
      <c r="N260" s="5">
        <f t="shared" si="93"/>
        <v>4016</v>
      </c>
      <c r="O260" s="5">
        <f t="shared" si="93"/>
        <v>1209.6000000000001</v>
      </c>
      <c r="P260" s="5">
        <f t="shared" si="93"/>
        <v>1612.8000000000002</v>
      </c>
      <c r="Q260" s="5">
        <f t="shared" si="86"/>
        <v>88044</v>
      </c>
      <c r="R260" s="5">
        <f t="shared" si="87"/>
        <v>21895</v>
      </c>
      <c r="S260" s="5">
        <f t="shared" si="88"/>
        <v>14558</v>
      </c>
      <c r="T260" s="5">
        <f t="shared" si="89"/>
        <v>4384.8</v>
      </c>
      <c r="U260" s="5">
        <f t="shared" si="90"/>
        <v>5846.4000000000005</v>
      </c>
      <c r="V260" s="5">
        <f>B260*战斗力计算!$B$8+C260*战斗力计算!$B$9+D260*战斗力计算!$B$10+E260*战斗力计算!$B$11+F260*战斗力计算!$B$12</f>
        <v>110760</v>
      </c>
      <c r="W260" s="5">
        <f>G260*战斗力计算!$B$8+H260*战斗力计算!$B$9+I260*战斗力计算!$B$10+J260*战斗力计算!$B$11+K260*战斗力计算!$B$12+L260*战斗力计算!$B$8+M260*战斗力计算!$B$9+N260*战斗力计算!$B$10+O260*战斗力计算!$B$11+P260*战斗力计算!$B$12</f>
        <v>531648</v>
      </c>
      <c r="X260" s="5">
        <f t="shared" si="91"/>
        <v>642408</v>
      </c>
      <c r="AC260">
        <f t="shared" si="72"/>
        <v>3.2</v>
      </c>
      <c r="AD260">
        <f t="shared" si="73"/>
        <v>1.6</v>
      </c>
      <c r="AF260">
        <f t="shared" si="74"/>
        <v>0.75</v>
      </c>
      <c r="AH260">
        <f t="shared" si="75"/>
        <v>12</v>
      </c>
      <c r="AK260">
        <f t="shared" si="76"/>
        <v>6.047808764940239</v>
      </c>
      <c r="AL260">
        <f t="shared" si="77"/>
        <v>1.5039840637450199</v>
      </c>
      <c r="AM260">
        <f t="shared" si="78"/>
        <v>1</v>
      </c>
      <c r="AN260">
        <f t="shared" si="79"/>
        <v>6.047808764940239</v>
      </c>
      <c r="AO260">
        <f t="shared" si="80"/>
        <v>1.5039840637450199</v>
      </c>
      <c r="AP260">
        <f t="shared" si="81"/>
        <v>1</v>
      </c>
      <c r="AR260">
        <f t="shared" si="82"/>
        <v>4.4940476190476186</v>
      </c>
      <c r="AT260">
        <f t="shared" si="83"/>
        <v>4.4940476190476186</v>
      </c>
      <c r="AV260">
        <f t="shared" si="84"/>
        <v>2642</v>
      </c>
      <c r="AW260">
        <f t="shared" si="85"/>
        <v>4907</v>
      </c>
    </row>
    <row r="261" spans="1:49" x14ac:dyDescent="0.15">
      <c r="A261" s="5">
        <v>251</v>
      </c>
      <c r="B261" s="5">
        <f t="shared" si="71"/>
        <v>15240</v>
      </c>
      <c r="C261" s="5">
        <f t="shared" si="71"/>
        <v>3790</v>
      </c>
      <c r="D261" s="5">
        <f t="shared" si="71"/>
        <v>2520</v>
      </c>
      <c r="E261" s="5">
        <f t="shared" si="71"/>
        <v>759</v>
      </c>
      <c r="F261" s="5">
        <f t="shared" si="71"/>
        <v>1012</v>
      </c>
      <c r="G261" s="5">
        <f t="shared" si="92"/>
        <v>48768</v>
      </c>
      <c r="H261" s="5">
        <f t="shared" si="92"/>
        <v>12128</v>
      </c>
      <c r="I261" s="5">
        <f t="shared" si="92"/>
        <v>8064</v>
      </c>
      <c r="J261" s="5">
        <f t="shared" si="92"/>
        <v>2428.8000000000002</v>
      </c>
      <c r="K261" s="5">
        <f t="shared" si="92"/>
        <v>3238.4</v>
      </c>
      <c r="L261" s="5">
        <f t="shared" si="93"/>
        <v>24384</v>
      </c>
      <c r="M261" s="5">
        <f t="shared" si="93"/>
        <v>6064</v>
      </c>
      <c r="N261" s="5">
        <f t="shared" si="93"/>
        <v>4032</v>
      </c>
      <c r="O261" s="5">
        <f t="shared" si="93"/>
        <v>1214.4000000000001</v>
      </c>
      <c r="P261" s="5">
        <f t="shared" si="93"/>
        <v>1619.2</v>
      </c>
      <c r="Q261" s="5">
        <f t="shared" si="86"/>
        <v>88392</v>
      </c>
      <c r="R261" s="5">
        <f t="shared" si="87"/>
        <v>21982</v>
      </c>
      <c r="S261" s="5">
        <f t="shared" si="88"/>
        <v>14616</v>
      </c>
      <c r="T261" s="5">
        <f t="shared" si="89"/>
        <v>4402.2000000000007</v>
      </c>
      <c r="U261" s="5">
        <f t="shared" si="90"/>
        <v>5869.5999999999995</v>
      </c>
      <c r="V261" s="5">
        <f>B261*战斗力计算!$B$8+C261*战斗力计算!$B$9+D261*战斗力计算!$B$10+E261*战斗力计算!$B$11+F261*战斗力计算!$B$12</f>
        <v>111200</v>
      </c>
      <c r="W261" s="5">
        <f>G261*战斗力计算!$B$8+H261*战斗力计算!$B$9+I261*战斗力计算!$B$10+J261*战斗力计算!$B$11+K261*战斗力计算!$B$12+L261*战斗力计算!$B$8+M261*战斗力计算!$B$9+N261*战斗力计算!$B$10+O261*战斗力计算!$B$11+P261*战斗力计算!$B$12</f>
        <v>533760</v>
      </c>
      <c r="X261" s="5">
        <f t="shared" si="91"/>
        <v>644960</v>
      </c>
      <c r="AC261">
        <f t="shared" si="72"/>
        <v>3.2</v>
      </c>
      <c r="AD261">
        <f t="shared" si="73"/>
        <v>1.6</v>
      </c>
      <c r="AF261">
        <f t="shared" si="74"/>
        <v>0.75000000000000022</v>
      </c>
      <c r="AH261">
        <f t="shared" si="75"/>
        <v>12</v>
      </c>
      <c r="AK261">
        <f t="shared" si="76"/>
        <v>6.0476190476190474</v>
      </c>
      <c r="AL261">
        <f t="shared" si="77"/>
        <v>1.503968253968254</v>
      </c>
      <c r="AM261">
        <f t="shared" si="78"/>
        <v>1</v>
      </c>
      <c r="AN261">
        <f t="shared" si="79"/>
        <v>6.0476190476190474</v>
      </c>
      <c r="AO261">
        <f t="shared" si="80"/>
        <v>1.503968253968254</v>
      </c>
      <c r="AP261">
        <f t="shared" si="81"/>
        <v>1</v>
      </c>
      <c r="AR261">
        <f t="shared" si="82"/>
        <v>4.4940711462450595</v>
      </c>
      <c r="AT261">
        <f t="shared" si="83"/>
        <v>4.4940711462450595</v>
      </c>
      <c r="AV261">
        <f t="shared" si="84"/>
        <v>2653</v>
      </c>
      <c r="AW261">
        <f t="shared" si="85"/>
        <v>4927</v>
      </c>
    </row>
    <row r="262" spans="1:49" x14ac:dyDescent="0.15">
      <c r="A262" s="5">
        <v>252</v>
      </c>
      <c r="B262" s="5">
        <f t="shared" si="71"/>
        <v>15300</v>
      </c>
      <c r="C262" s="5">
        <f t="shared" si="71"/>
        <v>3805</v>
      </c>
      <c r="D262" s="5">
        <f t="shared" si="71"/>
        <v>2530</v>
      </c>
      <c r="E262" s="5">
        <f t="shared" si="71"/>
        <v>762</v>
      </c>
      <c r="F262" s="5">
        <f t="shared" si="71"/>
        <v>1016</v>
      </c>
      <c r="G262" s="5">
        <f t="shared" si="92"/>
        <v>48960</v>
      </c>
      <c r="H262" s="5">
        <f t="shared" si="92"/>
        <v>12176</v>
      </c>
      <c r="I262" s="5">
        <f t="shared" si="92"/>
        <v>8096</v>
      </c>
      <c r="J262" s="5">
        <f t="shared" si="92"/>
        <v>2438.4</v>
      </c>
      <c r="K262" s="5">
        <f t="shared" si="92"/>
        <v>3251.2000000000003</v>
      </c>
      <c r="L262" s="5">
        <f t="shared" si="93"/>
        <v>24480</v>
      </c>
      <c r="M262" s="5">
        <f t="shared" si="93"/>
        <v>6088</v>
      </c>
      <c r="N262" s="5">
        <f t="shared" si="93"/>
        <v>4048</v>
      </c>
      <c r="O262" s="5">
        <f t="shared" si="93"/>
        <v>1219.2</v>
      </c>
      <c r="P262" s="5">
        <f t="shared" si="93"/>
        <v>1625.6000000000001</v>
      </c>
      <c r="Q262" s="5">
        <f t="shared" si="86"/>
        <v>88740</v>
      </c>
      <c r="R262" s="5">
        <f t="shared" si="87"/>
        <v>22069</v>
      </c>
      <c r="S262" s="5">
        <f t="shared" si="88"/>
        <v>14674</v>
      </c>
      <c r="T262" s="5">
        <f t="shared" si="89"/>
        <v>4419.6000000000004</v>
      </c>
      <c r="U262" s="5">
        <f t="shared" si="90"/>
        <v>5892.8000000000011</v>
      </c>
      <c r="V262" s="5">
        <f>B262*战斗力计算!$B$8+C262*战斗力计算!$B$9+D262*战斗力计算!$B$10+E262*战斗力计算!$B$11+F262*战斗力计算!$B$12</f>
        <v>111640</v>
      </c>
      <c r="W262" s="5">
        <f>G262*战斗力计算!$B$8+H262*战斗力计算!$B$9+I262*战斗力计算!$B$10+J262*战斗力计算!$B$11+K262*战斗力计算!$B$12+L262*战斗力计算!$B$8+M262*战斗力计算!$B$9+N262*战斗力计算!$B$10+O262*战斗力计算!$B$11+P262*战斗力计算!$B$12</f>
        <v>535872</v>
      </c>
      <c r="X262" s="5">
        <f t="shared" si="91"/>
        <v>647512</v>
      </c>
      <c r="AC262">
        <f t="shared" si="72"/>
        <v>3.2</v>
      </c>
      <c r="AD262">
        <f t="shared" si="73"/>
        <v>1.6</v>
      </c>
      <c r="AF262">
        <f t="shared" si="74"/>
        <v>0.74999999999999989</v>
      </c>
      <c r="AH262">
        <f t="shared" si="75"/>
        <v>12</v>
      </c>
      <c r="AK262">
        <f t="shared" si="76"/>
        <v>6.0474308300395254</v>
      </c>
      <c r="AL262">
        <f t="shared" si="77"/>
        <v>1.5039525691699605</v>
      </c>
      <c r="AM262">
        <f t="shared" si="78"/>
        <v>1</v>
      </c>
      <c r="AN262">
        <f t="shared" si="79"/>
        <v>6.0474308300395254</v>
      </c>
      <c r="AO262">
        <f t="shared" si="80"/>
        <v>1.5039525691699605</v>
      </c>
      <c r="AP262">
        <f t="shared" si="81"/>
        <v>1</v>
      </c>
      <c r="AR262">
        <f t="shared" si="82"/>
        <v>4.4940944881889759</v>
      </c>
      <c r="AT262">
        <f t="shared" si="83"/>
        <v>4.4940944881889759</v>
      </c>
      <c r="AV262">
        <f t="shared" si="84"/>
        <v>2663</v>
      </c>
      <c r="AW262">
        <f t="shared" si="85"/>
        <v>4946</v>
      </c>
    </row>
    <row r="263" spans="1:49" x14ac:dyDescent="0.15">
      <c r="A263" s="5">
        <v>253</v>
      </c>
      <c r="B263" s="5">
        <f t="shared" si="71"/>
        <v>15360</v>
      </c>
      <c r="C263" s="5">
        <f t="shared" si="71"/>
        <v>3820</v>
      </c>
      <c r="D263" s="5">
        <f t="shared" si="71"/>
        <v>2540</v>
      </c>
      <c r="E263" s="5">
        <f t="shared" si="71"/>
        <v>765</v>
      </c>
      <c r="F263" s="5">
        <f t="shared" si="71"/>
        <v>1020</v>
      </c>
      <c r="G263" s="5">
        <f t="shared" si="92"/>
        <v>49152</v>
      </c>
      <c r="H263" s="5">
        <f t="shared" si="92"/>
        <v>12224</v>
      </c>
      <c r="I263" s="5">
        <f t="shared" si="92"/>
        <v>8128</v>
      </c>
      <c r="J263" s="5">
        <f t="shared" si="92"/>
        <v>2448</v>
      </c>
      <c r="K263" s="5">
        <f t="shared" si="92"/>
        <v>3264</v>
      </c>
      <c r="L263" s="5">
        <f t="shared" si="93"/>
        <v>24576</v>
      </c>
      <c r="M263" s="5">
        <f t="shared" si="93"/>
        <v>6112</v>
      </c>
      <c r="N263" s="5">
        <f t="shared" si="93"/>
        <v>4064</v>
      </c>
      <c r="O263" s="5">
        <f t="shared" si="93"/>
        <v>1224</v>
      </c>
      <c r="P263" s="5">
        <f t="shared" si="93"/>
        <v>1632</v>
      </c>
      <c r="Q263" s="5">
        <f t="shared" si="86"/>
        <v>89088</v>
      </c>
      <c r="R263" s="5">
        <f t="shared" si="87"/>
        <v>22156</v>
      </c>
      <c r="S263" s="5">
        <f t="shared" si="88"/>
        <v>14732</v>
      </c>
      <c r="T263" s="5">
        <f t="shared" si="89"/>
        <v>4437</v>
      </c>
      <c r="U263" s="5">
        <f t="shared" si="90"/>
        <v>5916</v>
      </c>
      <c r="V263" s="5">
        <f>B263*战斗力计算!$B$8+C263*战斗力计算!$B$9+D263*战斗力计算!$B$10+E263*战斗力计算!$B$11+F263*战斗力计算!$B$12</f>
        <v>112080</v>
      </c>
      <c r="W263" s="5">
        <f>G263*战斗力计算!$B$8+H263*战斗力计算!$B$9+I263*战斗力计算!$B$10+J263*战斗力计算!$B$11+K263*战斗力计算!$B$12+L263*战斗力计算!$B$8+M263*战斗力计算!$B$9+N263*战斗力计算!$B$10+O263*战斗力计算!$B$11+P263*战斗力计算!$B$12</f>
        <v>537984</v>
      </c>
      <c r="X263" s="5">
        <f t="shared" si="91"/>
        <v>650064</v>
      </c>
      <c r="AC263">
        <f t="shared" si="72"/>
        <v>3.2</v>
      </c>
      <c r="AD263">
        <f t="shared" si="73"/>
        <v>1.6</v>
      </c>
      <c r="AF263">
        <f t="shared" si="74"/>
        <v>0.75</v>
      </c>
      <c r="AH263">
        <f t="shared" si="75"/>
        <v>12</v>
      </c>
      <c r="AK263">
        <f t="shared" si="76"/>
        <v>6.0472440944881889</v>
      </c>
      <c r="AL263">
        <f t="shared" si="77"/>
        <v>1.5039370078740157</v>
      </c>
      <c r="AM263">
        <f t="shared" si="78"/>
        <v>1</v>
      </c>
      <c r="AN263">
        <f t="shared" si="79"/>
        <v>6.0472440944881889</v>
      </c>
      <c r="AO263">
        <f t="shared" si="80"/>
        <v>1.5039370078740157</v>
      </c>
      <c r="AP263">
        <f t="shared" si="81"/>
        <v>1</v>
      </c>
      <c r="AR263">
        <f t="shared" si="82"/>
        <v>4.4941176470588236</v>
      </c>
      <c r="AT263">
        <f t="shared" si="83"/>
        <v>4.4941176470588236</v>
      </c>
      <c r="AV263">
        <f t="shared" si="84"/>
        <v>2674</v>
      </c>
      <c r="AW263">
        <f t="shared" si="85"/>
        <v>4966</v>
      </c>
    </row>
    <row r="264" spans="1:49" x14ac:dyDescent="0.15">
      <c r="A264" s="5">
        <v>254</v>
      </c>
      <c r="B264" s="5">
        <f t="shared" si="71"/>
        <v>15420</v>
      </c>
      <c r="C264" s="5">
        <f t="shared" si="71"/>
        <v>3835</v>
      </c>
      <c r="D264" s="5">
        <f t="shared" si="71"/>
        <v>2550</v>
      </c>
      <c r="E264" s="5">
        <f t="shared" si="71"/>
        <v>768</v>
      </c>
      <c r="F264" s="5">
        <f t="shared" si="71"/>
        <v>1024</v>
      </c>
      <c r="G264" s="5">
        <f t="shared" si="92"/>
        <v>49344</v>
      </c>
      <c r="H264" s="5">
        <f t="shared" si="92"/>
        <v>12272</v>
      </c>
      <c r="I264" s="5">
        <f t="shared" si="92"/>
        <v>8160</v>
      </c>
      <c r="J264" s="5">
        <f t="shared" si="92"/>
        <v>2457.6000000000004</v>
      </c>
      <c r="K264" s="5">
        <f t="shared" si="92"/>
        <v>3276.8</v>
      </c>
      <c r="L264" s="5">
        <f t="shared" si="93"/>
        <v>24672</v>
      </c>
      <c r="M264" s="5">
        <f t="shared" si="93"/>
        <v>6136</v>
      </c>
      <c r="N264" s="5">
        <f t="shared" si="93"/>
        <v>4080</v>
      </c>
      <c r="O264" s="5">
        <f t="shared" si="93"/>
        <v>1228.8000000000002</v>
      </c>
      <c r="P264" s="5">
        <f t="shared" si="93"/>
        <v>1638.4</v>
      </c>
      <c r="Q264" s="5">
        <f t="shared" si="86"/>
        <v>89436</v>
      </c>
      <c r="R264" s="5">
        <f t="shared" si="87"/>
        <v>22243</v>
      </c>
      <c r="S264" s="5">
        <f t="shared" si="88"/>
        <v>14790</v>
      </c>
      <c r="T264" s="5">
        <f t="shared" si="89"/>
        <v>4454.4000000000005</v>
      </c>
      <c r="U264" s="5">
        <f t="shared" si="90"/>
        <v>5939.2000000000007</v>
      </c>
      <c r="V264" s="5">
        <f>B264*战斗力计算!$B$8+C264*战斗力计算!$B$9+D264*战斗力计算!$B$10+E264*战斗力计算!$B$11+F264*战斗力计算!$B$12</f>
        <v>112520</v>
      </c>
      <c r="W264" s="5">
        <f>G264*战斗力计算!$B$8+H264*战斗力计算!$B$9+I264*战斗力计算!$B$10+J264*战斗力计算!$B$11+K264*战斗力计算!$B$12+L264*战斗力计算!$B$8+M264*战斗力计算!$B$9+N264*战斗力计算!$B$10+O264*战斗力计算!$B$11+P264*战斗力计算!$B$12</f>
        <v>540096</v>
      </c>
      <c r="X264" s="5">
        <f t="shared" si="91"/>
        <v>652616</v>
      </c>
      <c r="AC264">
        <f t="shared" si="72"/>
        <v>3.2</v>
      </c>
      <c r="AD264">
        <f t="shared" si="73"/>
        <v>1.6</v>
      </c>
      <c r="AF264">
        <f t="shared" si="74"/>
        <v>0.75</v>
      </c>
      <c r="AH264">
        <f t="shared" si="75"/>
        <v>12</v>
      </c>
      <c r="AK264">
        <f t="shared" si="76"/>
        <v>6.0470588235294116</v>
      </c>
      <c r="AL264">
        <f t="shared" si="77"/>
        <v>1.503921568627451</v>
      </c>
      <c r="AM264">
        <f t="shared" si="78"/>
        <v>1</v>
      </c>
      <c r="AN264">
        <f t="shared" si="79"/>
        <v>6.0470588235294116</v>
      </c>
      <c r="AO264">
        <f t="shared" si="80"/>
        <v>1.503921568627451</v>
      </c>
      <c r="AP264">
        <f t="shared" si="81"/>
        <v>1</v>
      </c>
      <c r="AR264">
        <f t="shared" si="82"/>
        <v>4.494140625</v>
      </c>
      <c r="AT264">
        <f t="shared" si="83"/>
        <v>4.494140625</v>
      </c>
      <c r="AV264">
        <f t="shared" si="84"/>
        <v>2684</v>
      </c>
      <c r="AW264">
        <f t="shared" si="85"/>
        <v>4985</v>
      </c>
    </row>
    <row r="265" spans="1:49" x14ac:dyDescent="0.15">
      <c r="A265" s="5">
        <v>255</v>
      </c>
      <c r="B265" s="5">
        <f t="shared" si="71"/>
        <v>15480</v>
      </c>
      <c r="C265" s="5">
        <f t="shared" si="71"/>
        <v>3850</v>
      </c>
      <c r="D265" s="5">
        <f t="shared" si="71"/>
        <v>2560</v>
      </c>
      <c r="E265" s="5">
        <f t="shared" si="71"/>
        <v>771</v>
      </c>
      <c r="F265" s="5">
        <f t="shared" si="71"/>
        <v>1028</v>
      </c>
      <c r="G265" s="5">
        <f t="shared" si="92"/>
        <v>49536</v>
      </c>
      <c r="H265" s="5">
        <f t="shared" si="92"/>
        <v>12320</v>
      </c>
      <c r="I265" s="5">
        <f t="shared" si="92"/>
        <v>8192</v>
      </c>
      <c r="J265" s="5">
        <f t="shared" si="92"/>
        <v>2467.2000000000003</v>
      </c>
      <c r="K265" s="5">
        <f t="shared" si="92"/>
        <v>3289.6000000000004</v>
      </c>
      <c r="L265" s="5">
        <f t="shared" si="93"/>
        <v>24768</v>
      </c>
      <c r="M265" s="5">
        <f t="shared" si="93"/>
        <v>6160</v>
      </c>
      <c r="N265" s="5">
        <f t="shared" si="93"/>
        <v>4096</v>
      </c>
      <c r="O265" s="5">
        <f t="shared" si="93"/>
        <v>1233.6000000000001</v>
      </c>
      <c r="P265" s="5">
        <f t="shared" si="93"/>
        <v>1644.8000000000002</v>
      </c>
      <c r="Q265" s="5">
        <f t="shared" si="86"/>
        <v>89784</v>
      </c>
      <c r="R265" s="5">
        <f t="shared" si="87"/>
        <v>22330</v>
      </c>
      <c r="S265" s="5">
        <f t="shared" si="88"/>
        <v>14848</v>
      </c>
      <c r="T265" s="5">
        <f t="shared" si="89"/>
        <v>4471.8</v>
      </c>
      <c r="U265" s="5">
        <f t="shared" si="90"/>
        <v>5962.4000000000005</v>
      </c>
      <c r="V265" s="5">
        <f>B265*战斗力计算!$B$8+C265*战斗力计算!$B$9+D265*战斗力计算!$B$10+E265*战斗力计算!$B$11+F265*战斗力计算!$B$12</f>
        <v>112960</v>
      </c>
      <c r="W265" s="5">
        <f>G265*战斗力计算!$B$8+H265*战斗力计算!$B$9+I265*战斗力计算!$B$10+J265*战斗力计算!$B$11+K265*战斗力计算!$B$12+L265*战斗力计算!$B$8+M265*战斗力计算!$B$9+N265*战斗力计算!$B$10+O265*战斗力计算!$B$11+P265*战斗力计算!$B$12</f>
        <v>542208</v>
      </c>
      <c r="X265" s="5">
        <f t="shared" si="91"/>
        <v>655168</v>
      </c>
      <c r="AC265">
        <f t="shared" si="72"/>
        <v>3.2</v>
      </c>
      <c r="AD265">
        <f t="shared" si="73"/>
        <v>1.6</v>
      </c>
      <c r="AF265">
        <f t="shared" si="74"/>
        <v>0.75</v>
      </c>
      <c r="AH265">
        <f t="shared" si="75"/>
        <v>12</v>
      </c>
      <c r="AK265">
        <f t="shared" si="76"/>
        <v>6.046875</v>
      </c>
      <c r="AL265">
        <f t="shared" si="77"/>
        <v>1.50390625</v>
      </c>
      <c r="AM265">
        <f t="shared" si="78"/>
        <v>1</v>
      </c>
      <c r="AN265">
        <f t="shared" si="79"/>
        <v>6.046875</v>
      </c>
      <c r="AO265">
        <f t="shared" si="80"/>
        <v>1.50390625</v>
      </c>
      <c r="AP265">
        <f t="shared" si="81"/>
        <v>1</v>
      </c>
      <c r="AR265">
        <f t="shared" si="82"/>
        <v>4.4941634241245136</v>
      </c>
      <c r="AT265">
        <f t="shared" si="83"/>
        <v>4.4941634241245136</v>
      </c>
      <c r="AV265">
        <f t="shared" si="84"/>
        <v>2695</v>
      </c>
      <c r="AW265">
        <f t="shared" si="85"/>
        <v>5005</v>
      </c>
    </row>
    <row r="266" spans="1:49" x14ac:dyDescent="0.15">
      <c r="A266" s="5">
        <v>256</v>
      </c>
      <c r="B266" s="5">
        <f t="shared" si="71"/>
        <v>15540</v>
      </c>
      <c r="C266" s="5">
        <f t="shared" si="71"/>
        <v>3865</v>
      </c>
      <c r="D266" s="5">
        <f t="shared" si="71"/>
        <v>2570</v>
      </c>
      <c r="E266" s="5">
        <f t="shared" si="71"/>
        <v>774</v>
      </c>
      <c r="F266" s="5">
        <f t="shared" si="71"/>
        <v>1032</v>
      </c>
      <c r="G266" s="5">
        <f t="shared" si="92"/>
        <v>49728</v>
      </c>
      <c r="H266" s="5">
        <f t="shared" si="92"/>
        <v>12368</v>
      </c>
      <c r="I266" s="5">
        <f t="shared" si="92"/>
        <v>8224</v>
      </c>
      <c r="J266" s="5">
        <f t="shared" si="92"/>
        <v>2476.8000000000002</v>
      </c>
      <c r="K266" s="5">
        <f t="shared" si="92"/>
        <v>3302.4</v>
      </c>
      <c r="L266" s="5">
        <f t="shared" si="93"/>
        <v>24864</v>
      </c>
      <c r="M266" s="5">
        <f t="shared" si="93"/>
        <v>6184</v>
      </c>
      <c r="N266" s="5">
        <f t="shared" si="93"/>
        <v>4112</v>
      </c>
      <c r="O266" s="5">
        <f t="shared" si="93"/>
        <v>1238.4000000000001</v>
      </c>
      <c r="P266" s="5">
        <f t="shared" si="93"/>
        <v>1651.2</v>
      </c>
      <c r="Q266" s="5">
        <f t="shared" si="86"/>
        <v>90132</v>
      </c>
      <c r="R266" s="5">
        <f t="shared" si="87"/>
        <v>22417</v>
      </c>
      <c r="S266" s="5">
        <f t="shared" si="88"/>
        <v>14906</v>
      </c>
      <c r="T266" s="5">
        <f t="shared" si="89"/>
        <v>4489.2000000000007</v>
      </c>
      <c r="U266" s="5">
        <f t="shared" si="90"/>
        <v>5985.5999999999995</v>
      </c>
      <c r="V266" s="5">
        <f>B266*战斗力计算!$B$8+C266*战斗力计算!$B$9+D266*战斗力计算!$B$10+E266*战斗力计算!$B$11+F266*战斗力计算!$B$12</f>
        <v>113400</v>
      </c>
      <c r="W266" s="5">
        <f>G266*战斗力计算!$B$8+H266*战斗力计算!$B$9+I266*战斗力计算!$B$10+J266*战斗力计算!$B$11+K266*战斗力计算!$B$12+L266*战斗力计算!$B$8+M266*战斗力计算!$B$9+N266*战斗力计算!$B$10+O266*战斗力计算!$B$11+P266*战斗力计算!$B$12</f>
        <v>544320</v>
      </c>
      <c r="X266" s="5">
        <f t="shared" si="91"/>
        <v>657720</v>
      </c>
      <c r="AC266">
        <f t="shared" si="72"/>
        <v>3.2</v>
      </c>
      <c r="AD266">
        <f t="shared" si="73"/>
        <v>1.6</v>
      </c>
      <c r="AF266">
        <f t="shared" si="74"/>
        <v>0.75000000000000022</v>
      </c>
      <c r="AH266">
        <f t="shared" si="75"/>
        <v>12</v>
      </c>
      <c r="AK266">
        <f t="shared" si="76"/>
        <v>6.0466926070038909</v>
      </c>
      <c r="AL266">
        <f t="shared" si="77"/>
        <v>1.5038910505836576</v>
      </c>
      <c r="AM266">
        <f t="shared" si="78"/>
        <v>1</v>
      </c>
      <c r="AN266">
        <f t="shared" si="79"/>
        <v>6.0466926070038909</v>
      </c>
      <c r="AO266">
        <f t="shared" si="80"/>
        <v>1.5038910505836576</v>
      </c>
      <c r="AP266">
        <f t="shared" si="81"/>
        <v>1</v>
      </c>
      <c r="AR266">
        <f t="shared" si="82"/>
        <v>4.4941860465116283</v>
      </c>
      <c r="AT266">
        <f t="shared" si="83"/>
        <v>4.4941860465116283</v>
      </c>
      <c r="AV266">
        <f t="shared" si="84"/>
        <v>2705</v>
      </c>
      <c r="AW266">
        <f t="shared" si="85"/>
        <v>5024</v>
      </c>
    </row>
    <row r="267" spans="1:49" x14ac:dyDescent="0.15">
      <c r="A267" s="5">
        <v>257</v>
      </c>
      <c r="B267" s="5">
        <f t="shared" si="71"/>
        <v>15600</v>
      </c>
      <c r="C267" s="5">
        <f t="shared" si="71"/>
        <v>3880</v>
      </c>
      <c r="D267" s="5">
        <f t="shared" si="71"/>
        <v>2580</v>
      </c>
      <c r="E267" s="5">
        <f t="shared" si="71"/>
        <v>777</v>
      </c>
      <c r="F267" s="5">
        <f t="shared" si="71"/>
        <v>1036</v>
      </c>
      <c r="G267" s="5">
        <f t="shared" si="92"/>
        <v>49920</v>
      </c>
      <c r="H267" s="5">
        <f t="shared" si="92"/>
        <v>12416</v>
      </c>
      <c r="I267" s="5">
        <f t="shared" si="92"/>
        <v>8256</v>
      </c>
      <c r="J267" s="5">
        <f t="shared" si="92"/>
        <v>2486.4</v>
      </c>
      <c r="K267" s="5">
        <f t="shared" si="92"/>
        <v>3315.2000000000003</v>
      </c>
      <c r="L267" s="5">
        <f t="shared" si="93"/>
        <v>24960</v>
      </c>
      <c r="M267" s="5">
        <f t="shared" si="93"/>
        <v>6208</v>
      </c>
      <c r="N267" s="5">
        <f t="shared" si="93"/>
        <v>4128</v>
      </c>
      <c r="O267" s="5">
        <f t="shared" si="93"/>
        <v>1243.2</v>
      </c>
      <c r="P267" s="5">
        <f t="shared" si="93"/>
        <v>1657.6000000000001</v>
      </c>
      <c r="Q267" s="5">
        <f t="shared" si="86"/>
        <v>90480</v>
      </c>
      <c r="R267" s="5">
        <f t="shared" si="87"/>
        <v>22504</v>
      </c>
      <c r="S267" s="5">
        <f t="shared" si="88"/>
        <v>14964</v>
      </c>
      <c r="T267" s="5">
        <f t="shared" si="89"/>
        <v>4506.6000000000004</v>
      </c>
      <c r="U267" s="5">
        <f t="shared" si="90"/>
        <v>6008.8000000000011</v>
      </c>
      <c r="V267" s="5">
        <f>B267*战斗力计算!$B$8+C267*战斗力计算!$B$9+D267*战斗力计算!$B$10+E267*战斗力计算!$B$11+F267*战斗力计算!$B$12</f>
        <v>113840</v>
      </c>
      <c r="W267" s="5">
        <f>G267*战斗力计算!$B$8+H267*战斗力计算!$B$9+I267*战斗力计算!$B$10+J267*战斗力计算!$B$11+K267*战斗力计算!$B$12+L267*战斗力计算!$B$8+M267*战斗力计算!$B$9+N267*战斗力计算!$B$10+O267*战斗力计算!$B$11+P267*战斗力计算!$B$12</f>
        <v>546432</v>
      </c>
      <c r="X267" s="5">
        <f t="shared" si="91"/>
        <v>660272</v>
      </c>
      <c r="AC267">
        <f t="shared" si="72"/>
        <v>3.2</v>
      </c>
      <c r="AD267">
        <f t="shared" si="73"/>
        <v>1.6</v>
      </c>
      <c r="AF267">
        <f t="shared" si="74"/>
        <v>0.74999999999999989</v>
      </c>
      <c r="AH267">
        <f t="shared" si="75"/>
        <v>12</v>
      </c>
      <c r="AK267">
        <f t="shared" si="76"/>
        <v>6.0465116279069768</v>
      </c>
      <c r="AL267">
        <f t="shared" si="77"/>
        <v>1.5038759689922481</v>
      </c>
      <c r="AM267">
        <f t="shared" si="78"/>
        <v>1</v>
      </c>
      <c r="AN267">
        <f t="shared" si="79"/>
        <v>6.0465116279069768</v>
      </c>
      <c r="AO267">
        <f t="shared" si="80"/>
        <v>1.5038759689922481</v>
      </c>
      <c r="AP267">
        <f t="shared" si="81"/>
        <v>1</v>
      </c>
      <c r="AR267">
        <f t="shared" si="82"/>
        <v>4.4942084942084941</v>
      </c>
      <c r="AT267">
        <f t="shared" si="83"/>
        <v>4.4942084942084941</v>
      </c>
      <c r="AV267">
        <f t="shared" si="84"/>
        <v>2716</v>
      </c>
      <c r="AW267">
        <f t="shared" si="85"/>
        <v>5044</v>
      </c>
    </row>
    <row r="268" spans="1:49" x14ac:dyDescent="0.15">
      <c r="A268" s="5">
        <v>258</v>
      </c>
      <c r="B268" s="5">
        <f t="shared" ref="B268:F331" si="94">INT(VLOOKUP(B$10,$A$2:$C$7,2,0)+($A268-1)*VLOOKUP(B$10,$A$2:$C$7,3,0))</f>
        <v>15660</v>
      </c>
      <c r="C268" s="5">
        <f t="shared" si="94"/>
        <v>3895</v>
      </c>
      <c r="D268" s="5">
        <f t="shared" si="94"/>
        <v>2590</v>
      </c>
      <c r="E268" s="5">
        <f t="shared" si="94"/>
        <v>780</v>
      </c>
      <c r="F268" s="5">
        <f t="shared" si="94"/>
        <v>1040</v>
      </c>
      <c r="G268" s="5">
        <f t="shared" si="92"/>
        <v>50112</v>
      </c>
      <c r="H268" s="5">
        <f t="shared" si="92"/>
        <v>12464</v>
      </c>
      <c r="I268" s="5">
        <f t="shared" si="92"/>
        <v>8288</v>
      </c>
      <c r="J268" s="5">
        <f t="shared" si="92"/>
        <v>2496</v>
      </c>
      <c r="K268" s="5">
        <f t="shared" si="92"/>
        <v>3328</v>
      </c>
      <c r="L268" s="5">
        <f t="shared" si="93"/>
        <v>25056</v>
      </c>
      <c r="M268" s="5">
        <f t="shared" si="93"/>
        <v>6232</v>
      </c>
      <c r="N268" s="5">
        <f t="shared" si="93"/>
        <v>4144</v>
      </c>
      <c r="O268" s="5">
        <f t="shared" si="93"/>
        <v>1248</v>
      </c>
      <c r="P268" s="5">
        <f t="shared" si="93"/>
        <v>1664</v>
      </c>
      <c r="Q268" s="5">
        <f t="shared" si="86"/>
        <v>90828</v>
      </c>
      <c r="R268" s="5">
        <f t="shared" si="87"/>
        <v>22591</v>
      </c>
      <c r="S268" s="5">
        <f t="shared" si="88"/>
        <v>15022</v>
      </c>
      <c r="T268" s="5">
        <f t="shared" si="89"/>
        <v>4524</v>
      </c>
      <c r="U268" s="5">
        <f t="shared" si="90"/>
        <v>6032</v>
      </c>
      <c r="V268" s="5">
        <f>B268*战斗力计算!$B$8+C268*战斗力计算!$B$9+D268*战斗力计算!$B$10+E268*战斗力计算!$B$11+F268*战斗力计算!$B$12</f>
        <v>114280</v>
      </c>
      <c r="W268" s="5">
        <f>G268*战斗力计算!$B$8+H268*战斗力计算!$B$9+I268*战斗力计算!$B$10+J268*战斗力计算!$B$11+K268*战斗力计算!$B$12+L268*战斗力计算!$B$8+M268*战斗力计算!$B$9+N268*战斗力计算!$B$10+O268*战斗力计算!$B$11+P268*战斗力计算!$B$12</f>
        <v>548544</v>
      </c>
      <c r="X268" s="5">
        <f t="shared" si="91"/>
        <v>662824</v>
      </c>
      <c r="AC268">
        <f t="shared" ref="AC268:AC331" si="95">VLOOKUP($A268,$Z$2:$AA$13,2,1)*$E$3</f>
        <v>3.2</v>
      </c>
      <c r="AD268">
        <f t="shared" ref="AD268:AD331" si="96">VLOOKUP($A268,$Z$2:$AA$13,2,1)*$E$6</f>
        <v>1.6</v>
      </c>
      <c r="AF268">
        <f t="shared" ref="AF268:AF331" si="97">T268/U268</f>
        <v>0.75</v>
      </c>
      <c r="AH268">
        <f t="shared" ref="AH268:AH331" si="98">Q268/(R268-S268)</f>
        <v>12</v>
      </c>
      <c r="AK268">
        <f t="shared" ref="AK268:AK331" si="99">B268/D268</f>
        <v>6.0463320463320462</v>
      </c>
      <c r="AL268">
        <f t="shared" ref="AL268:AL331" si="100">C268/D268</f>
        <v>1.5038610038610039</v>
      </c>
      <c r="AM268">
        <f t="shared" ref="AM268:AM331" si="101">D268/D268</f>
        <v>1</v>
      </c>
      <c r="AN268">
        <f t="shared" ref="AN268:AN331" si="102">(G268+L268)/(I268+N268)</f>
        <v>6.0463320463320462</v>
      </c>
      <c r="AO268">
        <f t="shared" ref="AO268:AO331" si="103">(H268+M268)/(I268+N268)</f>
        <v>1.5038610038610039</v>
      </c>
      <c r="AP268">
        <f t="shared" ref="AP268:AP331" si="104">(I268+N268)/(I268+N268)</f>
        <v>1</v>
      </c>
      <c r="AR268">
        <f t="shared" ref="AR268:AR331" si="105">(B268*1+C268*12+D268*12)/(E268*16+F268*8)</f>
        <v>4.4942307692307688</v>
      </c>
      <c r="AT268">
        <f t="shared" ref="AT268:AT331" si="106">(G268*1+H268*12+I268*12+L268*1+M268*12+N268*12)/(J268*16+K268*8+O268*16+P268*8)</f>
        <v>4.4942307692307688</v>
      </c>
      <c r="AV268">
        <f t="shared" ref="AV268:AV331" si="107">INT(C268*$H$5)</f>
        <v>2726</v>
      </c>
      <c r="AW268">
        <f t="shared" ref="AW268:AW331" si="108">INT(C268*$H$3)</f>
        <v>5063</v>
      </c>
    </row>
    <row r="269" spans="1:49" x14ac:dyDescent="0.15">
      <c r="A269" s="5">
        <v>259</v>
      </c>
      <c r="B269" s="5">
        <f t="shared" si="94"/>
        <v>15720</v>
      </c>
      <c r="C269" s="5">
        <f t="shared" si="94"/>
        <v>3910</v>
      </c>
      <c r="D269" s="5">
        <f t="shared" si="94"/>
        <v>2600</v>
      </c>
      <c r="E269" s="5">
        <f t="shared" si="94"/>
        <v>783</v>
      </c>
      <c r="F269" s="5">
        <f t="shared" si="94"/>
        <v>1044</v>
      </c>
      <c r="G269" s="5">
        <f t="shared" si="92"/>
        <v>50304</v>
      </c>
      <c r="H269" s="5">
        <f t="shared" si="92"/>
        <v>12512</v>
      </c>
      <c r="I269" s="5">
        <f t="shared" si="92"/>
        <v>8320</v>
      </c>
      <c r="J269" s="5">
        <f t="shared" si="92"/>
        <v>2505.6000000000004</v>
      </c>
      <c r="K269" s="5">
        <f t="shared" si="92"/>
        <v>3340.8</v>
      </c>
      <c r="L269" s="5">
        <f t="shared" si="93"/>
        <v>25152</v>
      </c>
      <c r="M269" s="5">
        <f t="shared" si="93"/>
        <v>6256</v>
      </c>
      <c r="N269" s="5">
        <f t="shared" si="93"/>
        <v>4160</v>
      </c>
      <c r="O269" s="5">
        <f t="shared" si="93"/>
        <v>1252.8000000000002</v>
      </c>
      <c r="P269" s="5">
        <f t="shared" si="93"/>
        <v>1670.4</v>
      </c>
      <c r="Q269" s="5">
        <f t="shared" si="86"/>
        <v>91176</v>
      </c>
      <c r="R269" s="5">
        <f t="shared" si="87"/>
        <v>22678</v>
      </c>
      <c r="S269" s="5">
        <f t="shared" si="88"/>
        <v>15080</v>
      </c>
      <c r="T269" s="5">
        <f t="shared" si="89"/>
        <v>4541.4000000000005</v>
      </c>
      <c r="U269" s="5">
        <f t="shared" si="90"/>
        <v>6055.2000000000007</v>
      </c>
      <c r="V269" s="5">
        <f>B269*战斗力计算!$B$8+C269*战斗力计算!$B$9+D269*战斗力计算!$B$10+E269*战斗力计算!$B$11+F269*战斗力计算!$B$12</f>
        <v>114720</v>
      </c>
      <c r="W269" s="5">
        <f>G269*战斗力计算!$B$8+H269*战斗力计算!$B$9+I269*战斗力计算!$B$10+J269*战斗力计算!$B$11+K269*战斗力计算!$B$12+L269*战斗力计算!$B$8+M269*战斗力计算!$B$9+N269*战斗力计算!$B$10+O269*战斗力计算!$B$11+P269*战斗力计算!$B$12</f>
        <v>550656</v>
      </c>
      <c r="X269" s="5">
        <f t="shared" si="91"/>
        <v>665376</v>
      </c>
      <c r="AC269">
        <f t="shared" si="95"/>
        <v>3.2</v>
      </c>
      <c r="AD269">
        <f t="shared" si="96"/>
        <v>1.6</v>
      </c>
      <c r="AF269">
        <f t="shared" si="97"/>
        <v>0.75</v>
      </c>
      <c r="AH269">
        <f t="shared" si="98"/>
        <v>12</v>
      </c>
      <c r="AK269">
        <f t="shared" si="99"/>
        <v>6.046153846153846</v>
      </c>
      <c r="AL269">
        <f t="shared" si="100"/>
        <v>1.5038461538461538</v>
      </c>
      <c r="AM269">
        <f t="shared" si="101"/>
        <v>1</v>
      </c>
      <c r="AN269">
        <f t="shared" si="102"/>
        <v>6.046153846153846</v>
      </c>
      <c r="AO269">
        <f t="shared" si="103"/>
        <v>1.5038461538461538</v>
      </c>
      <c r="AP269">
        <f t="shared" si="104"/>
        <v>1</v>
      </c>
      <c r="AR269">
        <f t="shared" si="105"/>
        <v>4.4942528735632186</v>
      </c>
      <c r="AT269">
        <f t="shared" si="106"/>
        <v>4.4942528735632186</v>
      </c>
      <c r="AV269">
        <f t="shared" si="107"/>
        <v>2737</v>
      </c>
      <c r="AW269">
        <f t="shared" si="108"/>
        <v>5083</v>
      </c>
    </row>
    <row r="270" spans="1:49" x14ac:dyDescent="0.15">
      <c r="A270" s="5">
        <v>260</v>
      </c>
      <c r="B270" s="5">
        <f t="shared" si="94"/>
        <v>15780</v>
      </c>
      <c r="C270" s="5">
        <f t="shared" si="94"/>
        <v>3925</v>
      </c>
      <c r="D270" s="5">
        <f t="shared" si="94"/>
        <v>2610</v>
      </c>
      <c r="E270" s="5">
        <f t="shared" si="94"/>
        <v>786</v>
      </c>
      <c r="F270" s="5">
        <f t="shared" si="94"/>
        <v>1048</v>
      </c>
      <c r="G270" s="5">
        <f t="shared" si="92"/>
        <v>50496</v>
      </c>
      <c r="H270" s="5">
        <f t="shared" si="92"/>
        <v>12560</v>
      </c>
      <c r="I270" s="5">
        <f t="shared" si="92"/>
        <v>8352</v>
      </c>
      <c r="J270" s="5">
        <f t="shared" si="92"/>
        <v>2515.2000000000003</v>
      </c>
      <c r="K270" s="5">
        <f t="shared" si="92"/>
        <v>3353.6000000000004</v>
      </c>
      <c r="L270" s="5">
        <f t="shared" si="93"/>
        <v>25248</v>
      </c>
      <c r="M270" s="5">
        <f t="shared" si="93"/>
        <v>6280</v>
      </c>
      <c r="N270" s="5">
        <f t="shared" si="93"/>
        <v>4176</v>
      </c>
      <c r="O270" s="5">
        <f t="shared" si="93"/>
        <v>1257.6000000000001</v>
      </c>
      <c r="P270" s="5">
        <f t="shared" si="93"/>
        <v>1676.8000000000002</v>
      </c>
      <c r="Q270" s="5">
        <f t="shared" si="86"/>
        <v>91524</v>
      </c>
      <c r="R270" s="5">
        <f t="shared" si="87"/>
        <v>22765</v>
      </c>
      <c r="S270" s="5">
        <f t="shared" si="88"/>
        <v>15138</v>
      </c>
      <c r="T270" s="5">
        <f t="shared" si="89"/>
        <v>4558.8</v>
      </c>
      <c r="U270" s="5">
        <f t="shared" si="90"/>
        <v>6078.4000000000005</v>
      </c>
      <c r="V270" s="5">
        <f>B270*战斗力计算!$B$8+C270*战斗力计算!$B$9+D270*战斗力计算!$B$10+E270*战斗力计算!$B$11+F270*战斗力计算!$B$12</f>
        <v>115160</v>
      </c>
      <c r="W270" s="5">
        <f>G270*战斗力计算!$B$8+H270*战斗力计算!$B$9+I270*战斗力计算!$B$10+J270*战斗力计算!$B$11+K270*战斗力计算!$B$12+L270*战斗力计算!$B$8+M270*战斗力计算!$B$9+N270*战斗力计算!$B$10+O270*战斗力计算!$B$11+P270*战斗力计算!$B$12</f>
        <v>552768</v>
      </c>
      <c r="X270" s="5">
        <f t="shared" si="91"/>
        <v>667928</v>
      </c>
      <c r="AC270">
        <f t="shared" si="95"/>
        <v>3.2</v>
      </c>
      <c r="AD270">
        <f t="shared" si="96"/>
        <v>1.6</v>
      </c>
      <c r="AF270">
        <f t="shared" si="97"/>
        <v>0.75</v>
      </c>
      <c r="AH270">
        <f t="shared" si="98"/>
        <v>12</v>
      </c>
      <c r="AK270">
        <f t="shared" si="99"/>
        <v>6.0459770114942533</v>
      </c>
      <c r="AL270">
        <f t="shared" si="100"/>
        <v>1.5038314176245211</v>
      </c>
      <c r="AM270">
        <f t="shared" si="101"/>
        <v>1</v>
      </c>
      <c r="AN270">
        <f t="shared" si="102"/>
        <v>6.0459770114942533</v>
      </c>
      <c r="AO270">
        <f t="shared" si="103"/>
        <v>1.5038314176245211</v>
      </c>
      <c r="AP270">
        <f t="shared" si="104"/>
        <v>1</v>
      </c>
      <c r="AR270">
        <f t="shared" si="105"/>
        <v>4.4942748091603058</v>
      </c>
      <c r="AT270">
        <f t="shared" si="106"/>
        <v>4.4942748091603058</v>
      </c>
      <c r="AV270">
        <f t="shared" si="107"/>
        <v>2747</v>
      </c>
      <c r="AW270">
        <f t="shared" si="108"/>
        <v>5102</v>
      </c>
    </row>
    <row r="271" spans="1:49" x14ac:dyDescent="0.15">
      <c r="A271" s="5">
        <v>261</v>
      </c>
      <c r="B271" s="5">
        <f t="shared" si="94"/>
        <v>15840</v>
      </c>
      <c r="C271" s="5">
        <f t="shared" si="94"/>
        <v>3940</v>
      </c>
      <c r="D271" s="5">
        <f t="shared" si="94"/>
        <v>2620</v>
      </c>
      <c r="E271" s="5">
        <f t="shared" si="94"/>
        <v>789</v>
      </c>
      <c r="F271" s="5">
        <f t="shared" si="94"/>
        <v>1052</v>
      </c>
      <c r="G271" s="5">
        <f t="shared" si="92"/>
        <v>50688</v>
      </c>
      <c r="H271" s="5">
        <f t="shared" si="92"/>
        <v>12608</v>
      </c>
      <c r="I271" s="5">
        <f t="shared" si="92"/>
        <v>8384</v>
      </c>
      <c r="J271" s="5">
        <f t="shared" si="92"/>
        <v>2524.8000000000002</v>
      </c>
      <c r="K271" s="5">
        <f t="shared" si="92"/>
        <v>3366.4</v>
      </c>
      <c r="L271" s="5">
        <f t="shared" si="93"/>
        <v>25344</v>
      </c>
      <c r="M271" s="5">
        <f t="shared" si="93"/>
        <v>6304</v>
      </c>
      <c r="N271" s="5">
        <f t="shared" si="93"/>
        <v>4192</v>
      </c>
      <c r="O271" s="5">
        <f t="shared" si="93"/>
        <v>1262.4000000000001</v>
      </c>
      <c r="P271" s="5">
        <f t="shared" si="93"/>
        <v>1683.2</v>
      </c>
      <c r="Q271" s="5">
        <f t="shared" si="86"/>
        <v>91872</v>
      </c>
      <c r="R271" s="5">
        <f t="shared" si="87"/>
        <v>22852</v>
      </c>
      <c r="S271" s="5">
        <f t="shared" si="88"/>
        <v>15196</v>
      </c>
      <c r="T271" s="5">
        <f t="shared" si="89"/>
        <v>4576.2000000000007</v>
      </c>
      <c r="U271" s="5">
        <f t="shared" si="90"/>
        <v>6101.5999999999995</v>
      </c>
      <c r="V271" s="5">
        <f>B271*战斗力计算!$B$8+C271*战斗力计算!$B$9+D271*战斗力计算!$B$10+E271*战斗力计算!$B$11+F271*战斗力计算!$B$12</f>
        <v>115600</v>
      </c>
      <c r="W271" s="5">
        <f>G271*战斗力计算!$B$8+H271*战斗力计算!$B$9+I271*战斗力计算!$B$10+J271*战斗力计算!$B$11+K271*战斗力计算!$B$12+L271*战斗力计算!$B$8+M271*战斗力计算!$B$9+N271*战斗力计算!$B$10+O271*战斗力计算!$B$11+P271*战斗力计算!$B$12</f>
        <v>554880</v>
      </c>
      <c r="X271" s="5">
        <f t="shared" si="91"/>
        <v>670480</v>
      </c>
      <c r="AC271">
        <f t="shared" si="95"/>
        <v>3.2</v>
      </c>
      <c r="AD271">
        <f t="shared" si="96"/>
        <v>1.6</v>
      </c>
      <c r="AF271">
        <f t="shared" si="97"/>
        <v>0.75000000000000022</v>
      </c>
      <c r="AH271">
        <f t="shared" si="98"/>
        <v>12</v>
      </c>
      <c r="AK271">
        <f t="shared" si="99"/>
        <v>6.0458015267175576</v>
      </c>
      <c r="AL271">
        <f t="shared" si="100"/>
        <v>1.5038167938931297</v>
      </c>
      <c r="AM271">
        <f t="shared" si="101"/>
        <v>1</v>
      </c>
      <c r="AN271">
        <f t="shared" si="102"/>
        <v>6.0458015267175576</v>
      </c>
      <c r="AO271">
        <f t="shared" si="103"/>
        <v>1.5038167938931297</v>
      </c>
      <c r="AP271">
        <f t="shared" si="104"/>
        <v>1</v>
      </c>
      <c r="AR271">
        <f t="shared" si="105"/>
        <v>4.4942965779467681</v>
      </c>
      <c r="AT271">
        <f t="shared" si="106"/>
        <v>4.4942965779467681</v>
      </c>
      <c r="AV271">
        <f t="shared" si="107"/>
        <v>2758</v>
      </c>
      <c r="AW271">
        <f t="shared" si="108"/>
        <v>5122</v>
      </c>
    </row>
    <row r="272" spans="1:49" x14ac:dyDescent="0.15">
      <c r="A272" s="5">
        <v>262</v>
      </c>
      <c r="B272" s="5">
        <f t="shared" si="94"/>
        <v>15900</v>
      </c>
      <c r="C272" s="5">
        <f t="shared" si="94"/>
        <v>3955</v>
      </c>
      <c r="D272" s="5">
        <f t="shared" si="94"/>
        <v>2630</v>
      </c>
      <c r="E272" s="5">
        <f t="shared" si="94"/>
        <v>792</v>
      </c>
      <c r="F272" s="5">
        <f t="shared" si="94"/>
        <v>1056</v>
      </c>
      <c r="G272" s="5">
        <f t="shared" si="92"/>
        <v>50880</v>
      </c>
      <c r="H272" s="5">
        <f t="shared" si="92"/>
        <v>12656</v>
      </c>
      <c r="I272" s="5">
        <f t="shared" si="92"/>
        <v>8416</v>
      </c>
      <c r="J272" s="5">
        <f t="shared" si="92"/>
        <v>2534.4</v>
      </c>
      <c r="K272" s="5">
        <f t="shared" si="92"/>
        <v>3379.2000000000003</v>
      </c>
      <c r="L272" s="5">
        <f t="shared" si="93"/>
        <v>25440</v>
      </c>
      <c r="M272" s="5">
        <f t="shared" si="93"/>
        <v>6328</v>
      </c>
      <c r="N272" s="5">
        <f t="shared" si="93"/>
        <v>4208</v>
      </c>
      <c r="O272" s="5">
        <f t="shared" si="93"/>
        <v>1267.2</v>
      </c>
      <c r="P272" s="5">
        <f t="shared" si="93"/>
        <v>1689.6000000000001</v>
      </c>
      <c r="Q272" s="5">
        <f t="shared" si="86"/>
        <v>92220</v>
      </c>
      <c r="R272" s="5">
        <f t="shared" si="87"/>
        <v>22939</v>
      </c>
      <c r="S272" s="5">
        <f t="shared" si="88"/>
        <v>15254</v>
      </c>
      <c r="T272" s="5">
        <f t="shared" si="89"/>
        <v>4593.6000000000004</v>
      </c>
      <c r="U272" s="5">
        <f t="shared" si="90"/>
        <v>6124.8000000000011</v>
      </c>
      <c r="V272" s="5">
        <f>B272*战斗力计算!$B$8+C272*战斗力计算!$B$9+D272*战斗力计算!$B$10+E272*战斗力计算!$B$11+F272*战斗力计算!$B$12</f>
        <v>116040</v>
      </c>
      <c r="W272" s="5">
        <f>G272*战斗力计算!$B$8+H272*战斗力计算!$B$9+I272*战斗力计算!$B$10+J272*战斗力计算!$B$11+K272*战斗力计算!$B$12+L272*战斗力计算!$B$8+M272*战斗力计算!$B$9+N272*战斗力计算!$B$10+O272*战斗力计算!$B$11+P272*战斗力计算!$B$12</f>
        <v>556992</v>
      </c>
      <c r="X272" s="5">
        <f t="shared" si="91"/>
        <v>673032</v>
      </c>
      <c r="AC272">
        <f t="shared" si="95"/>
        <v>3.2</v>
      </c>
      <c r="AD272">
        <f t="shared" si="96"/>
        <v>1.6</v>
      </c>
      <c r="AF272">
        <f t="shared" si="97"/>
        <v>0.74999999999999989</v>
      </c>
      <c r="AH272">
        <f t="shared" si="98"/>
        <v>12</v>
      </c>
      <c r="AK272">
        <f t="shared" si="99"/>
        <v>6.0456273764258555</v>
      </c>
      <c r="AL272">
        <f t="shared" si="100"/>
        <v>1.5038022813688212</v>
      </c>
      <c r="AM272">
        <f t="shared" si="101"/>
        <v>1</v>
      </c>
      <c r="AN272">
        <f t="shared" si="102"/>
        <v>6.0456273764258555</v>
      </c>
      <c r="AO272">
        <f t="shared" si="103"/>
        <v>1.5038022813688212</v>
      </c>
      <c r="AP272">
        <f t="shared" si="104"/>
        <v>1</v>
      </c>
      <c r="AR272">
        <f t="shared" si="105"/>
        <v>4.4943181818181817</v>
      </c>
      <c r="AT272">
        <f t="shared" si="106"/>
        <v>4.4943181818181817</v>
      </c>
      <c r="AV272">
        <f t="shared" si="107"/>
        <v>2768</v>
      </c>
      <c r="AW272">
        <f t="shared" si="108"/>
        <v>5141</v>
      </c>
    </row>
    <row r="273" spans="1:49" x14ac:dyDescent="0.15">
      <c r="A273" s="5">
        <v>263</v>
      </c>
      <c r="B273" s="5">
        <f t="shared" si="94"/>
        <v>15960</v>
      </c>
      <c r="C273" s="5">
        <f t="shared" si="94"/>
        <v>3970</v>
      </c>
      <c r="D273" s="5">
        <f t="shared" si="94"/>
        <v>2640</v>
      </c>
      <c r="E273" s="5">
        <f t="shared" si="94"/>
        <v>795</v>
      </c>
      <c r="F273" s="5">
        <f t="shared" si="94"/>
        <v>1060</v>
      </c>
      <c r="G273" s="5">
        <f t="shared" si="92"/>
        <v>51072</v>
      </c>
      <c r="H273" s="5">
        <f t="shared" si="92"/>
        <v>12704</v>
      </c>
      <c r="I273" s="5">
        <f t="shared" si="92"/>
        <v>8448</v>
      </c>
      <c r="J273" s="5">
        <f t="shared" si="92"/>
        <v>2544</v>
      </c>
      <c r="K273" s="5">
        <f t="shared" si="92"/>
        <v>3392</v>
      </c>
      <c r="L273" s="5">
        <f t="shared" si="93"/>
        <v>25536</v>
      </c>
      <c r="M273" s="5">
        <f t="shared" si="93"/>
        <v>6352</v>
      </c>
      <c r="N273" s="5">
        <f t="shared" si="93"/>
        <v>4224</v>
      </c>
      <c r="O273" s="5">
        <f t="shared" si="93"/>
        <v>1272</v>
      </c>
      <c r="P273" s="5">
        <f t="shared" si="93"/>
        <v>1696</v>
      </c>
      <c r="Q273" s="5">
        <f t="shared" si="86"/>
        <v>92568</v>
      </c>
      <c r="R273" s="5">
        <f t="shared" si="87"/>
        <v>23026</v>
      </c>
      <c r="S273" s="5">
        <f t="shared" si="88"/>
        <v>15312</v>
      </c>
      <c r="T273" s="5">
        <f t="shared" si="89"/>
        <v>4611</v>
      </c>
      <c r="U273" s="5">
        <f t="shared" si="90"/>
        <v>6148</v>
      </c>
      <c r="V273" s="5">
        <f>B273*战斗力计算!$B$8+C273*战斗力计算!$B$9+D273*战斗力计算!$B$10+E273*战斗力计算!$B$11+F273*战斗力计算!$B$12</f>
        <v>116480</v>
      </c>
      <c r="W273" s="5">
        <f>G273*战斗力计算!$B$8+H273*战斗力计算!$B$9+I273*战斗力计算!$B$10+J273*战斗力计算!$B$11+K273*战斗力计算!$B$12+L273*战斗力计算!$B$8+M273*战斗力计算!$B$9+N273*战斗力计算!$B$10+O273*战斗力计算!$B$11+P273*战斗力计算!$B$12</f>
        <v>559104</v>
      </c>
      <c r="X273" s="5">
        <f t="shared" si="91"/>
        <v>675584</v>
      </c>
      <c r="AC273">
        <f t="shared" si="95"/>
        <v>3.2</v>
      </c>
      <c r="AD273">
        <f t="shared" si="96"/>
        <v>1.6</v>
      </c>
      <c r="AF273">
        <f t="shared" si="97"/>
        <v>0.75</v>
      </c>
      <c r="AH273">
        <f t="shared" si="98"/>
        <v>12</v>
      </c>
      <c r="AK273">
        <f t="shared" si="99"/>
        <v>6.0454545454545459</v>
      </c>
      <c r="AL273">
        <f t="shared" si="100"/>
        <v>1.5037878787878789</v>
      </c>
      <c r="AM273">
        <f t="shared" si="101"/>
        <v>1</v>
      </c>
      <c r="AN273">
        <f t="shared" si="102"/>
        <v>6.0454545454545459</v>
      </c>
      <c r="AO273">
        <f t="shared" si="103"/>
        <v>1.5037878787878789</v>
      </c>
      <c r="AP273">
        <f t="shared" si="104"/>
        <v>1</v>
      </c>
      <c r="AR273">
        <f t="shared" si="105"/>
        <v>4.4943396226415091</v>
      </c>
      <c r="AT273">
        <f t="shared" si="106"/>
        <v>4.4943396226415091</v>
      </c>
      <c r="AV273">
        <f t="shared" si="107"/>
        <v>2779</v>
      </c>
      <c r="AW273">
        <f t="shared" si="108"/>
        <v>5161</v>
      </c>
    </row>
    <row r="274" spans="1:49" x14ac:dyDescent="0.15">
      <c r="A274" s="5">
        <v>264</v>
      </c>
      <c r="B274" s="5">
        <f t="shared" si="94"/>
        <v>16020</v>
      </c>
      <c r="C274" s="5">
        <f t="shared" si="94"/>
        <v>3985</v>
      </c>
      <c r="D274" s="5">
        <f t="shared" si="94"/>
        <v>2650</v>
      </c>
      <c r="E274" s="5">
        <f t="shared" si="94"/>
        <v>798</v>
      </c>
      <c r="F274" s="5">
        <f t="shared" si="94"/>
        <v>1064</v>
      </c>
      <c r="G274" s="5">
        <f t="shared" si="92"/>
        <v>51264</v>
      </c>
      <c r="H274" s="5">
        <f t="shared" si="92"/>
        <v>12752</v>
      </c>
      <c r="I274" s="5">
        <f t="shared" si="92"/>
        <v>8480</v>
      </c>
      <c r="J274" s="5">
        <f t="shared" si="92"/>
        <v>2553.6000000000004</v>
      </c>
      <c r="K274" s="5">
        <f t="shared" si="92"/>
        <v>3404.8</v>
      </c>
      <c r="L274" s="5">
        <f t="shared" si="93"/>
        <v>25632</v>
      </c>
      <c r="M274" s="5">
        <f t="shared" si="93"/>
        <v>6376</v>
      </c>
      <c r="N274" s="5">
        <f t="shared" si="93"/>
        <v>4240</v>
      </c>
      <c r="O274" s="5">
        <f t="shared" si="93"/>
        <v>1276.8000000000002</v>
      </c>
      <c r="P274" s="5">
        <f t="shared" si="93"/>
        <v>1702.4</v>
      </c>
      <c r="Q274" s="5">
        <f t="shared" si="86"/>
        <v>92916</v>
      </c>
      <c r="R274" s="5">
        <f t="shared" si="87"/>
        <v>23113</v>
      </c>
      <c r="S274" s="5">
        <f t="shared" si="88"/>
        <v>15370</v>
      </c>
      <c r="T274" s="5">
        <f t="shared" si="89"/>
        <v>4628.4000000000005</v>
      </c>
      <c r="U274" s="5">
        <f t="shared" si="90"/>
        <v>6171.2000000000007</v>
      </c>
      <c r="V274" s="5">
        <f>B274*战斗力计算!$B$8+C274*战斗力计算!$B$9+D274*战斗力计算!$B$10+E274*战斗力计算!$B$11+F274*战斗力计算!$B$12</f>
        <v>116920</v>
      </c>
      <c r="W274" s="5">
        <f>G274*战斗力计算!$B$8+H274*战斗力计算!$B$9+I274*战斗力计算!$B$10+J274*战斗力计算!$B$11+K274*战斗力计算!$B$12+L274*战斗力计算!$B$8+M274*战斗力计算!$B$9+N274*战斗力计算!$B$10+O274*战斗力计算!$B$11+P274*战斗力计算!$B$12</f>
        <v>561216</v>
      </c>
      <c r="X274" s="5">
        <f t="shared" si="91"/>
        <v>678136</v>
      </c>
      <c r="AC274">
        <f t="shared" si="95"/>
        <v>3.2</v>
      </c>
      <c r="AD274">
        <f t="shared" si="96"/>
        <v>1.6</v>
      </c>
      <c r="AF274">
        <f t="shared" si="97"/>
        <v>0.75</v>
      </c>
      <c r="AH274">
        <f t="shared" si="98"/>
        <v>12</v>
      </c>
      <c r="AK274">
        <f t="shared" si="99"/>
        <v>6.0452830188679245</v>
      </c>
      <c r="AL274">
        <f t="shared" si="100"/>
        <v>1.5037735849056604</v>
      </c>
      <c r="AM274">
        <f t="shared" si="101"/>
        <v>1</v>
      </c>
      <c r="AN274">
        <f t="shared" si="102"/>
        <v>6.0452830188679245</v>
      </c>
      <c r="AO274">
        <f t="shared" si="103"/>
        <v>1.5037735849056604</v>
      </c>
      <c r="AP274">
        <f t="shared" si="104"/>
        <v>1</v>
      </c>
      <c r="AR274">
        <f t="shared" si="105"/>
        <v>4.4943609022556394</v>
      </c>
      <c r="AT274">
        <f t="shared" si="106"/>
        <v>4.4943609022556394</v>
      </c>
      <c r="AV274">
        <f t="shared" si="107"/>
        <v>2789</v>
      </c>
      <c r="AW274">
        <f t="shared" si="108"/>
        <v>5180</v>
      </c>
    </row>
    <row r="275" spans="1:49" x14ac:dyDescent="0.15">
      <c r="A275" s="5">
        <v>265</v>
      </c>
      <c r="B275" s="5">
        <f t="shared" si="94"/>
        <v>16080</v>
      </c>
      <c r="C275" s="5">
        <f t="shared" si="94"/>
        <v>4000</v>
      </c>
      <c r="D275" s="5">
        <f t="shared" si="94"/>
        <v>2660</v>
      </c>
      <c r="E275" s="5">
        <f t="shared" si="94"/>
        <v>801</v>
      </c>
      <c r="F275" s="5">
        <f t="shared" si="94"/>
        <v>1068</v>
      </c>
      <c r="G275" s="5">
        <f t="shared" si="92"/>
        <v>51456</v>
      </c>
      <c r="H275" s="5">
        <f t="shared" si="92"/>
        <v>12800</v>
      </c>
      <c r="I275" s="5">
        <f t="shared" si="92"/>
        <v>8512</v>
      </c>
      <c r="J275" s="5">
        <f t="shared" si="92"/>
        <v>2563.2000000000003</v>
      </c>
      <c r="K275" s="5">
        <f t="shared" si="92"/>
        <v>3417.6000000000004</v>
      </c>
      <c r="L275" s="5">
        <f t="shared" si="93"/>
        <v>25728</v>
      </c>
      <c r="M275" s="5">
        <f t="shared" si="93"/>
        <v>6400</v>
      </c>
      <c r="N275" s="5">
        <f t="shared" si="93"/>
        <v>4256</v>
      </c>
      <c r="O275" s="5">
        <f t="shared" si="93"/>
        <v>1281.6000000000001</v>
      </c>
      <c r="P275" s="5">
        <f t="shared" si="93"/>
        <v>1708.8000000000002</v>
      </c>
      <c r="Q275" s="5">
        <f t="shared" si="86"/>
        <v>93264</v>
      </c>
      <c r="R275" s="5">
        <f t="shared" si="87"/>
        <v>23200</v>
      </c>
      <c r="S275" s="5">
        <f t="shared" si="88"/>
        <v>15428</v>
      </c>
      <c r="T275" s="5">
        <f t="shared" si="89"/>
        <v>4645.8</v>
      </c>
      <c r="U275" s="5">
        <f t="shared" si="90"/>
        <v>6194.4000000000005</v>
      </c>
      <c r="V275" s="5">
        <f>B275*战斗力计算!$B$8+C275*战斗力计算!$B$9+D275*战斗力计算!$B$10+E275*战斗力计算!$B$11+F275*战斗力计算!$B$12</f>
        <v>117360</v>
      </c>
      <c r="W275" s="5">
        <f>G275*战斗力计算!$B$8+H275*战斗力计算!$B$9+I275*战斗力计算!$B$10+J275*战斗力计算!$B$11+K275*战斗力计算!$B$12+L275*战斗力计算!$B$8+M275*战斗力计算!$B$9+N275*战斗力计算!$B$10+O275*战斗力计算!$B$11+P275*战斗力计算!$B$12</f>
        <v>563328</v>
      </c>
      <c r="X275" s="5">
        <f t="shared" si="91"/>
        <v>680688</v>
      </c>
      <c r="AC275">
        <f t="shared" si="95"/>
        <v>3.2</v>
      </c>
      <c r="AD275">
        <f t="shared" si="96"/>
        <v>1.6</v>
      </c>
      <c r="AF275">
        <f t="shared" si="97"/>
        <v>0.75</v>
      </c>
      <c r="AH275">
        <f t="shared" si="98"/>
        <v>12</v>
      </c>
      <c r="AK275">
        <f t="shared" si="99"/>
        <v>6.0451127819548871</v>
      </c>
      <c r="AL275">
        <f t="shared" si="100"/>
        <v>1.5037593984962405</v>
      </c>
      <c r="AM275">
        <f t="shared" si="101"/>
        <v>1</v>
      </c>
      <c r="AN275">
        <f t="shared" si="102"/>
        <v>6.0451127819548871</v>
      </c>
      <c r="AO275">
        <f t="shared" si="103"/>
        <v>1.5037593984962405</v>
      </c>
      <c r="AP275">
        <f t="shared" si="104"/>
        <v>1</v>
      </c>
      <c r="AR275">
        <f t="shared" si="105"/>
        <v>4.4943820224719104</v>
      </c>
      <c r="AT275">
        <f t="shared" si="106"/>
        <v>4.4943820224719104</v>
      </c>
      <c r="AV275">
        <f t="shared" si="107"/>
        <v>2800</v>
      </c>
      <c r="AW275">
        <f t="shared" si="108"/>
        <v>5200</v>
      </c>
    </row>
    <row r="276" spans="1:49" x14ac:dyDescent="0.15">
      <c r="A276" s="5">
        <v>266</v>
      </c>
      <c r="B276" s="5">
        <f t="shared" si="94"/>
        <v>16140</v>
      </c>
      <c r="C276" s="5">
        <f t="shared" si="94"/>
        <v>4015</v>
      </c>
      <c r="D276" s="5">
        <f t="shared" si="94"/>
        <v>2670</v>
      </c>
      <c r="E276" s="5">
        <f t="shared" si="94"/>
        <v>804</v>
      </c>
      <c r="F276" s="5">
        <f t="shared" si="94"/>
        <v>1072</v>
      </c>
      <c r="G276" s="5">
        <f t="shared" si="92"/>
        <v>51648</v>
      </c>
      <c r="H276" s="5">
        <f t="shared" si="92"/>
        <v>12848</v>
      </c>
      <c r="I276" s="5">
        <f t="shared" si="92"/>
        <v>8544</v>
      </c>
      <c r="J276" s="5">
        <f t="shared" si="92"/>
        <v>2572.8000000000002</v>
      </c>
      <c r="K276" s="5">
        <f t="shared" si="92"/>
        <v>3430.4</v>
      </c>
      <c r="L276" s="5">
        <f t="shared" si="93"/>
        <v>25824</v>
      </c>
      <c r="M276" s="5">
        <f t="shared" si="93"/>
        <v>6424</v>
      </c>
      <c r="N276" s="5">
        <f t="shared" si="93"/>
        <v>4272</v>
      </c>
      <c r="O276" s="5">
        <f t="shared" si="93"/>
        <v>1286.4000000000001</v>
      </c>
      <c r="P276" s="5">
        <f t="shared" si="93"/>
        <v>1715.2</v>
      </c>
      <c r="Q276" s="5">
        <f t="shared" si="86"/>
        <v>93612</v>
      </c>
      <c r="R276" s="5">
        <f t="shared" si="87"/>
        <v>23287</v>
      </c>
      <c r="S276" s="5">
        <f t="shared" si="88"/>
        <v>15486</v>
      </c>
      <c r="T276" s="5">
        <f t="shared" si="89"/>
        <v>4663.2000000000007</v>
      </c>
      <c r="U276" s="5">
        <f t="shared" si="90"/>
        <v>6217.5999999999995</v>
      </c>
      <c r="V276" s="5">
        <f>B276*战斗力计算!$B$8+C276*战斗力计算!$B$9+D276*战斗力计算!$B$10+E276*战斗力计算!$B$11+F276*战斗力计算!$B$12</f>
        <v>117800</v>
      </c>
      <c r="W276" s="5">
        <f>G276*战斗力计算!$B$8+H276*战斗力计算!$B$9+I276*战斗力计算!$B$10+J276*战斗力计算!$B$11+K276*战斗力计算!$B$12+L276*战斗力计算!$B$8+M276*战斗力计算!$B$9+N276*战斗力计算!$B$10+O276*战斗力计算!$B$11+P276*战斗力计算!$B$12</f>
        <v>565440</v>
      </c>
      <c r="X276" s="5">
        <f t="shared" si="91"/>
        <v>683240</v>
      </c>
      <c r="AC276">
        <f t="shared" si="95"/>
        <v>3.2</v>
      </c>
      <c r="AD276">
        <f t="shared" si="96"/>
        <v>1.6</v>
      </c>
      <c r="AF276">
        <f t="shared" si="97"/>
        <v>0.75000000000000022</v>
      </c>
      <c r="AH276">
        <f t="shared" si="98"/>
        <v>12</v>
      </c>
      <c r="AK276">
        <f t="shared" si="99"/>
        <v>6.0449438202247192</v>
      </c>
      <c r="AL276">
        <f t="shared" si="100"/>
        <v>1.5037453183520599</v>
      </c>
      <c r="AM276">
        <f t="shared" si="101"/>
        <v>1</v>
      </c>
      <c r="AN276">
        <f t="shared" si="102"/>
        <v>6.0449438202247192</v>
      </c>
      <c r="AO276">
        <f t="shared" si="103"/>
        <v>1.5037453183520599</v>
      </c>
      <c r="AP276">
        <f t="shared" si="104"/>
        <v>1</v>
      </c>
      <c r="AR276">
        <f t="shared" si="105"/>
        <v>4.4944029850746272</v>
      </c>
      <c r="AT276">
        <f t="shared" si="106"/>
        <v>4.4944029850746272</v>
      </c>
      <c r="AV276">
        <f t="shared" si="107"/>
        <v>2810</v>
      </c>
      <c r="AW276">
        <f t="shared" si="108"/>
        <v>5219</v>
      </c>
    </row>
    <row r="277" spans="1:49" x14ac:dyDescent="0.15">
      <c r="A277" s="5">
        <v>267</v>
      </c>
      <c r="B277" s="5">
        <f t="shared" si="94"/>
        <v>16200</v>
      </c>
      <c r="C277" s="5">
        <f t="shared" si="94"/>
        <v>4030</v>
      </c>
      <c r="D277" s="5">
        <f t="shared" si="94"/>
        <v>2680</v>
      </c>
      <c r="E277" s="5">
        <f t="shared" si="94"/>
        <v>807</v>
      </c>
      <c r="F277" s="5">
        <f t="shared" si="94"/>
        <v>1076</v>
      </c>
      <c r="G277" s="5">
        <f t="shared" si="92"/>
        <v>51840</v>
      </c>
      <c r="H277" s="5">
        <f t="shared" si="92"/>
        <v>12896</v>
      </c>
      <c r="I277" s="5">
        <f t="shared" si="92"/>
        <v>8576</v>
      </c>
      <c r="J277" s="5">
        <f t="shared" si="92"/>
        <v>2582.4</v>
      </c>
      <c r="K277" s="5">
        <f t="shared" si="92"/>
        <v>3443.2000000000003</v>
      </c>
      <c r="L277" s="5">
        <f t="shared" si="93"/>
        <v>25920</v>
      </c>
      <c r="M277" s="5">
        <f t="shared" si="93"/>
        <v>6448</v>
      </c>
      <c r="N277" s="5">
        <f t="shared" si="93"/>
        <v>4288</v>
      </c>
      <c r="O277" s="5">
        <f t="shared" si="93"/>
        <v>1291.2</v>
      </c>
      <c r="P277" s="5">
        <f t="shared" si="93"/>
        <v>1721.6000000000001</v>
      </c>
      <c r="Q277" s="5">
        <f t="shared" si="86"/>
        <v>93960</v>
      </c>
      <c r="R277" s="5">
        <f t="shared" si="87"/>
        <v>23374</v>
      </c>
      <c r="S277" s="5">
        <f t="shared" si="88"/>
        <v>15544</v>
      </c>
      <c r="T277" s="5">
        <f t="shared" si="89"/>
        <v>4680.6000000000004</v>
      </c>
      <c r="U277" s="5">
        <f t="shared" si="90"/>
        <v>6240.8000000000011</v>
      </c>
      <c r="V277" s="5">
        <f>B277*战斗力计算!$B$8+C277*战斗力计算!$B$9+D277*战斗力计算!$B$10+E277*战斗力计算!$B$11+F277*战斗力计算!$B$12</f>
        <v>118240</v>
      </c>
      <c r="W277" s="5">
        <f>G277*战斗力计算!$B$8+H277*战斗力计算!$B$9+I277*战斗力计算!$B$10+J277*战斗力计算!$B$11+K277*战斗力计算!$B$12+L277*战斗力计算!$B$8+M277*战斗力计算!$B$9+N277*战斗力计算!$B$10+O277*战斗力计算!$B$11+P277*战斗力计算!$B$12</f>
        <v>567552</v>
      </c>
      <c r="X277" s="5">
        <f t="shared" si="91"/>
        <v>685792</v>
      </c>
      <c r="AC277">
        <f t="shared" si="95"/>
        <v>3.2</v>
      </c>
      <c r="AD277">
        <f t="shared" si="96"/>
        <v>1.6</v>
      </c>
      <c r="AF277">
        <f t="shared" si="97"/>
        <v>0.74999999999999989</v>
      </c>
      <c r="AH277">
        <f t="shared" si="98"/>
        <v>12</v>
      </c>
      <c r="AK277">
        <f t="shared" si="99"/>
        <v>6.044776119402985</v>
      </c>
      <c r="AL277">
        <f t="shared" si="100"/>
        <v>1.5037313432835822</v>
      </c>
      <c r="AM277">
        <f t="shared" si="101"/>
        <v>1</v>
      </c>
      <c r="AN277">
        <f t="shared" si="102"/>
        <v>6.044776119402985</v>
      </c>
      <c r="AO277">
        <f t="shared" si="103"/>
        <v>1.5037313432835822</v>
      </c>
      <c r="AP277">
        <f t="shared" si="104"/>
        <v>1</v>
      </c>
      <c r="AR277">
        <f t="shared" si="105"/>
        <v>4.4944237918215615</v>
      </c>
      <c r="AT277">
        <f t="shared" si="106"/>
        <v>4.4944237918215615</v>
      </c>
      <c r="AV277">
        <f t="shared" si="107"/>
        <v>2821</v>
      </c>
      <c r="AW277">
        <f t="shared" si="108"/>
        <v>5239</v>
      </c>
    </row>
    <row r="278" spans="1:49" x14ac:dyDescent="0.15">
      <c r="A278" s="5">
        <v>268</v>
      </c>
      <c r="B278" s="5">
        <f t="shared" si="94"/>
        <v>16260</v>
      </c>
      <c r="C278" s="5">
        <f t="shared" si="94"/>
        <v>4045</v>
      </c>
      <c r="D278" s="5">
        <f t="shared" si="94"/>
        <v>2690</v>
      </c>
      <c r="E278" s="5">
        <f t="shared" si="94"/>
        <v>810</v>
      </c>
      <c r="F278" s="5">
        <f t="shared" si="94"/>
        <v>1080</v>
      </c>
      <c r="G278" s="5">
        <f t="shared" si="92"/>
        <v>52032</v>
      </c>
      <c r="H278" s="5">
        <f t="shared" si="92"/>
        <v>12944</v>
      </c>
      <c r="I278" s="5">
        <f t="shared" si="92"/>
        <v>8608</v>
      </c>
      <c r="J278" s="5">
        <f t="shared" si="92"/>
        <v>2592</v>
      </c>
      <c r="K278" s="5">
        <f t="shared" si="92"/>
        <v>3456</v>
      </c>
      <c r="L278" s="5">
        <f t="shared" si="93"/>
        <v>26016</v>
      </c>
      <c r="M278" s="5">
        <f t="shared" si="93"/>
        <v>6472</v>
      </c>
      <c r="N278" s="5">
        <f t="shared" si="93"/>
        <v>4304</v>
      </c>
      <c r="O278" s="5">
        <f t="shared" si="93"/>
        <v>1296</v>
      </c>
      <c r="P278" s="5">
        <f t="shared" si="93"/>
        <v>1728</v>
      </c>
      <c r="Q278" s="5">
        <f t="shared" si="86"/>
        <v>94308</v>
      </c>
      <c r="R278" s="5">
        <f t="shared" si="87"/>
        <v>23461</v>
      </c>
      <c r="S278" s="5">
        <f t="shared" si="88"/>
        <v>15602</v>
      </c>
      <c r="T278" s="5">
        <f t="shared" si="89"/>
        <v>4698</v>
      </c>
      <c r="U278" s="5">
        <f t="shared" si="90"/>
        <v>6264</v>
      </c>
      <c r="V278" s="5">
        <f>B278*战斗力计算!$B$8+C278*战斗力计算!$B$9+D278*战斗力计算!$B$10+E278*战斗力计算!$B$11+F278*战斗力计算!$B$12</f>
        <v>118680</v>
      </c>
      <c r="W278" s="5">
        <f>G278*战斗力计算!$B$8+H278*战斗力计算!$B$9+I278*战斗力计算!$B$10+J278*战斗力计算!$B$11+K278*战斗力计算!$B$12+L278*战斗力计算!$B$8+M278*战斗力计算!$B$9+N278*战斗力计算!$B$10+O278*战斗力计算!$B$11+P278*战斗力计算!$B$12</f>
        <v>569664</v>
      </c>
      <c r="X278" s="5">
        <f t="shared" si="91"/>
        <v>688344</v>
      </c>
      <c r="AC278">
        <f t="shared" si="95"/>
        <v>3.2</v>
      </c>
      <c r="AD278">
        <f t="shared" si="96"/>
        <v>1.6</v>
      </c>
      <c r="AF278">
        <f t="shared" si="97"/>
        <v>0.75</v>
      </c>
      <c r="AH278">
        <f t="shared" si="98"/>
        <v>12</v>
      </c>
      <c r="AK278">
        <f t="shared" si="99"/>
        <v>6.044609665427509</v>
      </c>
      <c r="AL278">
        <f t="shared" si="100"/>
        <v>1.503717472118959</v>
      </c>
      <c r="AM278">
        <f t="shared" si="101"/>
        <v>1</v>
      </c>
      <c r="AN278">
        <f t="shared" si="102"/>
        <v>6.044609665427509</v>
      </c>
      <c r="AO278">
        <f t="shared" si="103"/>
        <v>1.503717472118959</v>
      </c>
      <c r="AP278">
        <f t="shared" si="104"/>
        <v>1</v>
      </c>
      <c r="AR278">
        <f t="shared" si="105"/>
        <v>4.4944444444444445</v>
      </c>
      <c r="AT278">
        <f t="shared" si="106"/>
        <v>4.4944444444444445</v>
      </c>
      <c r="AV278">
        <f t="shared" si="107"/>
        <v>2831</v>
      </c>
      <c r="AW278">
        <f t="shared" si="108"/>
        <v>5258</v>
      </c>
    </row>
    <row r="279" spans="1:49" x14ac:dyDescent="0.15">
      <c r="A279" s="5">
        <v>269</v>
      </c>
      <c r="B279" s="5">
        <f t="shared" si="94"/>
        <v>16320</v>
      </c>
      <c r="C279" s="5">
        <f t="shared" si="94"/>
        <v>4060</v>
      </c>
      <c r="D279" s="5">
        <f t="shared" si="94"/>
        <v>2700</v>
      </c>
      <c r="E279" s="5">
        <f t="shared" si="94"/>
        <v>813</v>
      </c>
      <c r="F279" s="5">
        <f t="shared" si="94"/>
        <v>1084</v>
      </c>
      <c r="G279" s="5">
        <f t="shared" ref="G279:K329" si="109">HLOOKUP(G$10,$B$10:$F$610,$A279+1,0)*$AC279</f>
        <v>52224</v>
      </c>
      <c r="H279" s="5">
        <f t="shared" si="109"/>
        <v>12992</v>
      </c>
      <c r="I279" s="5">
        <f t="shared" si="109"/>
        <v>8640</v>
      </c>
      <c r="J279" s="5">
        <f t="shared" si="109"/>
        <v>2601.6000000000004</v>
      </c>
      <c r="K279" s="5">
        <f t="shared" si="109"/>
        <v>3468.8</v>
      </c>
      <c r="L279" s="5">
        <f t="shared" ref="L279:P329" si="110">HLOOKUP(L$10,$B$10:$F$610,$A279+1,0)*$AD279</f>
        <v>26112</v>
      </c>
      <c r="M279" s="5">
        <f t="shared" si="110"/>
        <v>6496</v>
      </c>
      <c r="N279" s="5">
        <f t="shared" si="110"/>
        <v>4320</v>
      </c>
      <c r="O279" s="5">
        <f t="shared" si="110"/>
        <v>1300.8000000000002</v>
      </c>
      <c r="P279" s="5">
        <f t="shared" si="110"/>
        <v>1734.4</v>
      </c>
      <c r="Q279" s="5">
        <f t="shared" si="86"/>
        <v>94656</v>
      </c>
      <c r="R279" s="5">
        <f t="shared" si="87"/>
        <v>23548</v>
      </c>
      <c r="S279" s="5">
        <f t="shared" si="88"/>
        <v>15660</v>
      </c>
      <c r="T279" s="5">
        <f t="shared" si="89"/>
        <v>4715.4000000000005</v>
      </c>
      <c r="U279" s="5">
        <f t="shared" si="90"/>
        <v>6287.2000000000007</v>
      </c>
      <c r="V279" s="5">
        <f>B279*战斗力计算!$B$8+C279*战斗力计算!$B$9+D279*战斗力计算!$B$10+E279*战斗力计算!$B$11+F279*战斗力计算!$B$12</f>
        <v>119120</v>
      </c>
      <c r="W279" s="5">
        <f>G279*战斗力计算!$B$8+H279*战斗力计算!$B$9+I279*战斗力计算!$B$10+J279*战斗力计算!$B$11+K279*战斗力计算!$B$12+L279*战斗力计算!$B$8+M279*战斗力计算!$B$9+N279*战斗力计算!$B$10+O279*战斗力计算!$B$11+P279*战斗力计算!$B$12</f>
        <v>571776</v>
      </c>
      <c r="X279" s="5">
        <f t="shared" si="91"/>
        <v>690896</v>
      </c>
      <c r="AC279">
        <f t="shared" si="95"/>
        <v>3.2</v>
      </c>
      <c r="AD279">
        <f t="shared" si="96"/>
        <v>1.6</v>
      </c>
      <c r="AF279">
        <f t="shared" si="97"/>
        <v>0.75</v>
      </c>
      <c r="AH279">
        <f t="shared" si="98"/>
        <v>12</v>
      </c>
      <c r="AK279">
        <f t="shared" si="99"/>
        <v>6.0444444444444443</v>
      </c>
      <c r="AL279">
        <f t="shared" si="100"/>
        <v>1.5037037037037038</v>
      </c>
      <c r="AM279">
        <f t="shared" si="101"/>
        <v>1</v>
      </c>
      <c r="AN279">
        <f t="shared" si="102"/>
        <v>6.0444444444444443</v>
      </c>
      <c r="AO279">
        <f t="shared" si="103"/>
        <v>1.5037037037037038</v>
      </c>
      <c r="AP279">
        <f t="shared" si="104"/>
        <v>1</v>
      </c>
      <c r="AR279">
        <f t="shared" si="105"/>
        <v>4.4944649446494465</v>
      </c>
      <c r="AT279">
        <f t="shared" si="106"/>
        <v>4.4944649446494465</v>
      </c>
      <c r="AV279">
        <f t="shared" si="107"/>
        <v>2842</v>
      </c>
      <c r="AW279">
        <f t="shared" si="108"/>
        <v>5278</v>
      </c>
    </row>
    <row r="280" spans="1:49" x14ac:dyDescent="0.15">
      <c r="A280" s="5">
        <v>270</v>
      </c>
      <c r="B280" s="5">
        <f t="shared" si="94"/>
        <v>16380</v>
      </c>
      <c r="C280" s="5">
        <f t="shared" si="94"/>
        <v>4075</v>
      </c>
      <c r="D280" s="5">
        <f t="shared" si="94"/>
        <v>2710</v>
      </c>
      <c r="E280" s="5">
        <f t="shared" si="94"/>
        <v>816</v>
      </c>
      <c r="F280" s="5">
        <f t="shared" si="94"/>
        <v>1088</v>
      </c>
      <c r="G280" s="5">
        <f t="shared" si="109"/>
        <v>52416</v>
      </c>
      <c r="H280" s="5">
        <f t="shared" si="109"/>
        <v>13040</v>
      </c>
      <c r="I280" s="5">
        <f t="shared" si="109"/>
        <v>8672</v>
      </c>
      <c r="J280" s="5">
        <f t="shared" si="109"/>
        <v>2611.2000000000003</v>
      </c>
      <c r="K280" s="5">
        <f t="shared" si="109"/>
        <v>3481.6000000000004</v>
      </c>
      <c r="L280" s="5">
        <f t="shared" si="110"/>
        <v>26208</v>
      </c>
      <c r="M280" s="5">
        <f t="shared" si="110"/>
        <v>6520</v>
      </c>
      <c r="N280" s="5">
        <f t="shared" si="110"/>
        <v>4336</v>
      </c>
      <c r="O280" s="5">
        <f t="shared" si="110"/>
        <v>1305.6000000000001</v>
      </c>
      <c r="P280" s="5">
        <f t="shared" si="110"/>
        <v>1740.8000000000002</v>
      </c>
      <c r="Q280" s="5">
        <f t="shared" si="86"/>
        <v>95004</v>
      </c>
      <c r="R280" s="5">
        <f t="shared" si="87"/>
        <v>23635</v>
      </c>
      <c r="S280" s="5">
        <f t="shared" si="88"/>
        <v>15718</v>
      </c>
      <c r="T280" s="5">
        <f t="shared" si="89"/>
        <v>4732.8</v>
      </c>
      <c r="U280" s="5">
        <f t="shared" si="90"/>
        <v>6310.4000000000005</v>
      </c>
      <c r="V280" s="5">
        <f>B280*战斗力计算!$B$8+C280*战斗力计算!$B$9+D280*战斗力计算!$B$10+E280*战斗力计算!$B$11+F280*战斗力计算!$B$12</f>
        <v>119560</v>
      </c>
      <c r="W280" s="5">
        <f>G280*战斗力计算!$B$8+H280*战斗力计算!$B$9+I280*战斗力计算!$B$10+J280*战斗力计算!$B$11+K280*战斗力计算!$B$12+L280*战斗力计算!$B$8+M280*战斗力计算!$B$9+N280*战斗力计算!$B$10+O280*战斗力计算!$B$11+P280*战斗力计算!$B$12</f>
        <v>573888</v>
      </c>
      <c r="X280" s="5">
        <f t="shared" si="91"/>
        <v>693448</v>
      </c>
      <c r="AC280">
        <f t="shared" si="95"/>
        <v>3.2</v>
      </c>
      <c r="AD280">
        <f t="shared" si="96"/>
        <v>1.6</v>
      </c>
      <c r="AF280">
        <f t="shared" si="97"/>
        <v>0.75</v>
      </c>
      <c r="AH280">
        <f t="shared" si="98"/>
        <v>12</v>
      </c>
      <c r="AK280">
        <f t="shared" si="99"/>
        <v>6.0442804428044283</v>
      </c>
      <c r="AL280">
        <f t="shared" si="100"/>
        <v>1.503690036900369</v>
      </c>
      <c r="AM280">
        <f t="shared" si="101"/>
        <v>1</v>
      </c>
      <c r="AN280">
        <f t="shared" si="102"/>
        <v>6.0442804428044283</v>
      </c>
      <c r="AO280">
        <f t="shared" si="103"/>
        <v>1.503690036900369</v>
      </c>
      <c r="AP280">
        <f t="shared" si="104"/>
        <v>1</v>
      </c>
      <c r="AR280">
        <f t="shared" si="105"/>
        <v>4.4944852941176467</v>
      </c>
      <c r="AT280">
        <f t="shared" si="106"/>
        <v>4.4944852941176467</v>
      </c>
      <c r="AV280">
        <f t="shared" si="107"/>
        <v>2852</v>
      </c>
      <c r="AW280">
        <f t="shared" si="108"/>
        <v>5297</v>
      </c>
    </row>
    <row r="281" spans="1:49" x14ac:dyDescent="0.15">
      <c r="A281" s="5">
        <v>271</v>
      </c>
      <c r="B281" s="5">
        <f t="shared" si="94"/>
        <v>16440</v>
      </c>
      <c r="C281" s="5">
        <f t="shared" si="94"/>
        <v>4090</v>
      </c>
      <c r="D281" s="5">
        <f t="shared" si="94"/>
        <v>2720</v>
      </c>
      <c r="E281" s="5">
        <f t="shared" si="94"/>
        <v>819</v>
      </c>
      <c r="F281" s="5">
        <f t="shared" si="94"/>
        <v>1092</v>
      </c>
      <c r="G281" s="5">
        <f t="shared" si="109"/>
        <v>52608</v>
      </c>
      <c r="H281" s="5">
        <f t="shared" si="109"/>
        <v>13088</v>
      </c>
      <c r="I281" s="5">
        <f t="shared" si="109"/>
        <v>8704</v>
      </c>
      <c r="J281" s="5">
        <f t="shared" si="109"/>
        <v>2620.8000000000002</v>
      </c>
      <c r="K281" s="5">
        <f t="shared" si="109"/>
        <v>3494.4</v>
      </c>
      <c r="L281" s="5">
        <f t="shared" si="110"/>
        <v>26304</v>
      </c>
      <c r="M281" s="5">
        <f t="shared" si="110"/>
        <v>6544</v>
      </c>
      <c r="N281" s="5">
        <f t="shared" si="110"/>
        <v>4352</v>
      </c>
      <c r="O281" s="5">
        <f t="shared" si="110"/>
        <v>1310.4000000000001</v>
      </c>
      <c r="P281" s="5">
        <f t="shared" si="110"/>
        <v>1747.2</v>
      </c>
      <c r="Q281" s="5">
        <f t="shared" si="86"/>
        <v>95352</v>
      </c>
      <c r="R281" s="5">
        <f t="shared" si="87"/>
        <v>23722</v>
      </c>
      <c r="S281" s="5">
        <f t="shared" si="88"/>
        <v>15776</v>
      </c>
      <c r="T281" s="5">
        <f t="shared" si="89"/>
        <v>4750.2000000000007</v>
      </c>
      <c r="U281" s="5">
        <f t="shared" si="90"/>
        <v>6333.5999999999995</v>
      </c>
      <c r="V281" s="5">
        <f>B281*战斗力计算!$B$8+C281*战斗力计算!$B$9+D281*战斗力计算!$B$10+E281*战斗力计算!$B$11+F281*战斗力计算!$B$12</f>
        <v>120000</v>
      </c>
      <c r="W281" s="5">
        <f>G281*战斗力计算!$B$8+H281*战斗力计算!$B$9+I281*战斗力计算!$B$10+J281*战斗力计算!$B$11+K281*战斗力计算!$B$12+L281*战斗力计算!$B$8+M281*战斗力计算!$B$9+N281*战斗力计算!$B$10+O281*战斗力计算!$B$11+P281*战斗力计算!$B$12</f>
        <v>576000</v>
      </c>
      <c r="X281" s="5">
        <f t="shared" si="91"/>
        <v>696000</v>
      </c>
      <c r="AC281">
        <f t="shared" si="95"/>
        <v>3.2</v>
      </c>
      <c r="AD281">
        <f t="shared" si="96"/>
        <v>1.6</v>
      </c>
      <c r="AF281">
        <f t="shared" si="97"/>
        <v>0.75000000000000022</v>
      </c>
      <c r="AH281">
        <f t="shared" si="98"/>
        <v>12</v>
      </c>
      <c r="AK281">
        <f t="shared" si="99"/>
        <v>6.0441176470588234</v>
      </c>
      <c r="AL281">
        <f t="shared" si="100"/>
        <v>1.5036764705882353</v>
      </c>
      <c r="AM281">
        <f t="shared" si="101"/>
        <v>1</v>
      </c>
      <c r="AN281">
        <f t="shared" si="102"/>
        <v>6.0441176470588234</v>
      </c>
      <c r="AO281">
        <f t="shared" si="103"/>
        <v>1.5036764705882353</v>
      </c>
      <c r="AP281">
        <f t="shared" si="104"/>
        <v>1</v>
      </c>
      <c r="AR281">
        <f t="shared" si="105"/>
        <v>4.4945054945054945</v>
      </c>
      <c r="AT281">
        <f t="shared" si="106"/>
        <v>4.4945054945054945</v>
      </c>
      <c r="AV281">
        <f t="shared" si="107"/>
        <v>2863</v>
      </c>
      <c r="AW281">
        <f t="shared" si="108"/>
        <v>5317</v>
      </c>
    </row>
    <row r="282" spans="1:49" x14ac:dyDescent="0.15">
      <c r="A282" s="5">
        <v>272</v>
      </c>
      <c r="B282" s="5">
        <f t="shared" si="94"/>
        <v>16500</v>
      </c>
      <c r="C282" s="5">
        <f t="shared" si="94"/>
        <v>4105</v>
      </c>
      <c r="D282" s="5">
        <f t="shared" si="94"/>
        <v>2730</v>
      </c>
      <c r="E282" s="5">
        <f t="shared" si="94"/>
        <v>822</v>
      </c>
      <c r="F282" s="5">
        <f t="shared" si="94"/>
        <v>1096</v>
      </c>
      <c r="G282" s="5">
        <f t="shared" si="109"/>
        <v>52800</v>
      </c>
      <c r="H282" s="5">
        <f t="shared" si="109"/>
        <v>13136</v>
      </c>
      <c r="I282" s="5">
        <f t="shared" si="109"/>
        <v>8736</v>
      </c>
      <c r="J282" s="5">
        <f t="shared" si="109"/>
        <v>2630.4</v>
      </c>
      <c r="K282" s="5">
        <f t="shared" si="109"/>
        <v>3507.2000000000003</v>
      </c>
      <c r="L282" s="5">
        <f t="shared" si="110"/>
        <v>26400</v>
      </c>
      <c r="M282" s="5">
        <f t="shared" si="110"/>
        <v>6568</v>
      </c>
      <c r="N282" s="5">
        <f t="shared" si="110"/>
        <v>4368</v>
      </c>
      <c r="O282" s="5">
        <f t="shared" si="110"/>
        <v>1315.2</v>
      </c>
      <c r="P282" s="5">
        <f t="shared" si="110"/>
        <v>1753.6000000000001</v>
      </c>
      <c r="Q282" s="5">
        <f t="shared" si="86"/>
        <v>95700</v>
      </c>
      <c r="R282" s="5">
        <f t="shared" si="87"/>
        <v>23809</v>
      </c>
      <c r="S282" s="5">
        <f t="shared" si="88"/>
        <v>15834</v>
      </c>
      <c r="T282" s="5">
        <f t="shared" si="89"/>
        <v>4767.6000000000004</v>
      </c>
      <c r="U282" s="5">
        <f t="shared" si="90"/>
        <v>6356.8000000000011</v>
      </c>
      <c r="V282" s="5">
        <f>B282*战斗力计算!$B$8+C282*战斗力计算!$B$9+D282*战斗力计算!$B$10+E282*战斗力计算!$B$11+F282*战斗力计算!$B$12</f>
        <v>120440</v>
      </c>
      <c r="W282" s="5">
        <f>G282*战斗力计算!$B$8+H282*战斗力计算!$B$9+I282*战斗力计算!$B$10+J282*战斗力计算!$B$11+K282*战斗力计算!$B$12+L282*战斗力计算!$B$8+M282*战斗力计算!$B$9+N282*战斗力计算!$B$10+O282*战斗力计算!$B$11+P282*战斗力计算!$B$12</f>
        <v>578112</v>
      </c>
      <c r="X282" s="5">
        <f t="shared" si="91"/>
        <v>698552</v>
      </c>
      <c r="AC282">
        <f t="shared" si="95"/>
        <v>3.2</v>
      </c>
      <c r="AD282">
        <f t="shared" si="96"/>
        <v>1.6</v>
      </c>
      <c r="AF282">
        <f t="shared" si="97"/>
        <v>0.74999999999999989</v>
      </c>
      <c r="AH282">
        <f t="shared" si="98"/>
        <v>12</v>
      </c>
      <c r="AK282">
        <f t="shared" si="99"/>
        <v>6.0439560439560438</v>
      </c>
      <c r="AL282">
        <f t="shared" si="100"/>
        <v>1.5036630036630036</v>
      </c>
      <c r="AM282">
        <f t="shared" si="101"/>
        <v>1</v>
      </c>
      <c r="AN282">
        <f t="shared" si="102"/>
        <v>6.0439560439560438</v>
      </c>
      <c r="AO282">
        <f t="shared" si="103"/>
        <v>1.5036630036630036</v>
      </c>
      <c r="AP282">
        <f t="shared" si="104"/>
        <v>1</v>
      </c>
      <c r="AR282">
        <f t="shared" si="105"/>
        <v>4.4945255474452557</v>
      </c>
      <c r="AT282">
        <f t="shared" si="106"/>
        <v>4.4945255474452557</v>
      </c>
      <c r="AV282">
        <f t="shared" si="107"/>
        <v>2873</v>
      </c>
      <c r="AW282">
        <f t="shared" si="108"/>
        <v>5336</v>
      </c>
    </row>
    <row r="283" spans="1:49" x14ac:dyDescent="0.15">
      <c r="A283" s="5">
        <v>273</v>
      </c>
      <c r="B283" s="5">
        <f t="shared" si="94"/>
        <v>16560</v>
      </c>
      <c r="C283" s="5">
        <f t="shared" si="94"/>
        <v>4120</v>
      </c>
      <c r="D283" s="5">
        <f t="shared" si="94"/>
        <v>2740</v>
      </c>
      <c r="E283" s="5">
        <f t="shared" si="94"/>
        <v>825</v>
      </c>
      <c r="F283" s="5">
        <f t="shared" si="94"/>
        <v>1100</v>
      </c>
      <c r="G283" s="5">
        <f t="shared" si="109"/>
        <v>52992</v>
      </c>
      <c r="H283" s="5">
        <f t="shared" si="109"/>
        <v>13184</v>
      </c>
      <c r="I283" s="5">
        <f t="shared" si="109"/>
        <v>8768</v>
      </c>
      <c r="J283" s="5">
        <f t="shared" si="109"/>
        <v>2640</v>
      </c>
      <c r="K283" s="5">
        <f t="shared" si="109"/>
        <v>3520</v>
      </c>
      <c r="L283" s="5">
        <f t="shared" si="110"/>
        <v>26496</v>
      </c>
      <c r="M283" s="5">
        <f t="shared" si="110"/>
        <v>6592</v>
      </c>
      <c r="N283" s="5">
        <f t="shared" si="110"/>
        <v>4384</v>
      </c>
      <c r="O283" s="5">
        <f t="shared" si="110"/>
        <v>1320</v>
      </c>
      <c r="P283" s="5">
        <f t="shared" si="110"/>
        <v>1760</v>
      </c>
      <c r="Q283" s="5">
        <f t="shared" si="86"/>
        <v>96048</v>
      </c>
      <c r="R283" s="5">
        <f t="shared" si="87"/>
        <v>23896</v>
      </c>
      <c r="S283" s="5">
        <f t="shared" si="88"/>
        <v>15892</v>
      </c>
      <c r="T283" s="5">
        <f t="shared" si="89"/>
        <v>4785</v>
      </c>
      <c r="U283" s="5">
        <f t="shared" si="90"/>
        <v>6380</v>
      </c>
      <c r="V283" s="5">
        <f>B283*战斗力计算!$B$8+C283*战斗力计算!$B$9+D283*战斗力计算!$B$10+E283*战斗力计算!$B$11+F283*战斗力计算!$B$12</f>
        <v>120880</v>
      </c>
      <c r="W283" s="5">
        <f>G283*战斗力计算!$B$8+H283*战斗力计算!$B$9+I283*战斗力计算!$B$10+J283*战斗力计算!$B$11+K283*战斗力计算!$B$12+L283*战斗力计算!$B$8+M283*战斗力计算!$B$9+N283*战斗力计算!$B$10+O283*战斗力计算!$B$11+P283*战斗力计算!$B$12</f>
        <v>580224</v>
      </c>
      <c r="X283" s="5">
        <f t="shared" si="91"/>
        <v>701104</v>
      </c>
      <c r="AC283">
        <f t="shared" si="95"/>
        <v>3.2</v>
      </c>
      <c r="AD283">
        <f t="shared" si="96"/>
        <v>1.6</v>
      </c>
      <c r="AF283">
        <f t="shared" si="97"/>
        <v>0.75</v>
      </c>
      <c r="AH283">
        <f t="shared" si="98"/>
        <v>12</v>
      </c>
      <c r="AK283">
        <f t="shared" si="99"/>
        <v>6.0437956204379564</v>
      </c>
      <c r="AL283">
        <f t="shared" si="100"/>
        <v>1.5036496350364963</v>
      </c>
      <c r="AM283">
        <f t="shared" si="101"/>
        <v>1</v>
      </c>
      <c r="AN283">
        <f t="shared" si="102"/>
        <v>6.0437956204379564</v>
      </c>
      <c r="AO283">
        <f t="shared" si="103"/>
        <v>1.5036496350364963</v>
      </c>
      <c r="AP283">
        <f t="shared" si="104"/>
        <v>1</v>
      </c>
      <c r="AR283">
        <f t="shared" si="105"/>
        <v>4.4945454545454542</v>
      </c>
      <c r="AT283">
        <f t="shared" si="106"/>
        <v>4.4945454545454542</v>
      </c>
      <c r="AV283">
        <f t="shared" si="107"/>
        <v>2884</v>
      </c>
      <c r="AW283">
        <f t="shared" si="108"/>
        <v>5356</v>
      </c>
    </row>
    <row r="284" spans="1:49" x14ac:dyDescent="0.15">
      <c r="A284" s="5">
        <v>274</v>
      </c>
      <c r="B284" s="5">
        <f t="shared" si="94"/>
        <v>16620</v>
      </c>
      <c r="C284" s="5">
        <f t="shared" si="94"/>
        <v>4135</v>
      </c>
      <c r="D284" s="5">
        <f t="shared" si="94"/>
        <v>2750</v>
      </c>
      <c r="E284" s="5">
        <f t="shared" si="94"/>
        <v>828</v>
      </c>
      <c r="F284" s="5">
        <f t="shared" si="94"/>
        <v>1104</v>
      </c>
      <c r="G284" s="5">
        <f t="shared" si="109"/>
        <v>53184</v>
      </c>
      <c r="H284" s="5">
        <f t="shared" si="109"/>
        <v>13232</v>
      </c>
      <c r="I284" s="5">
        <f t="shared" si="109"/>
        <v>8800</v>
      </c>
      <c r="J284" s="5">
        <f t="shared" si="109"/>
        <v>2649.6000000000004</v>
      </c>
      <c r="K284" s="5">
        <f t="shared" si="109"/>
        <v>3532.8</v>
      </c>
      <c r="L284" s="5">
        <f t="shared" si="110"/>
        <v>26592</v>
      </c>
      <c r="M284" s="5">
        <f t="shared" si="110"/>
        <v>6616</v>
      </c>
      <c r="N284" s="5">
        <f t="shared" si="110"/>
        <v>4400</v>
      </c>
      <c r="O284" s="5">
        <f t="shared" si="110"/>
        <v>1324.8000000000002</v>
      </c>
      <c r="P284" s="5">
        <f t="shared" si="110"/>
        <v>1766.4</v>
      </c>
      <c r="Q284" s="5">
        <f t="shared" si="86"/>
        <v>96396</v>
      </c>
      <c r="R284" s="5">
        <f t="shared" si="87"/>
        <v>23983</v>
      </c>
      <c r="S284" s="5">
        <f t="shared" si="88"/>
        <v>15950</v>
      </c>
      <c r="T284" s="5">
        <f t="shared" si="89"/>
        <v>4802.4000000000005</v>
      </c>
      <c r="U284" s="5">
        <f t="shared" si="90"/>
        <v>6403.2000000000007</v>
      </c>
      <c r="V284" s="5">
        <f>B284*战斗力计算!$B$8+C284*战斗力计算!$B$9+D284*战斗力计算!$B$10+E284*战斗力计算!$B$11+F284*战斗力计算!$B$12</f>
        <v>121320</v>
      </c>
      <c r="W284" s="5">
        <f>G284*战斗力计算!$B$8+H284*战斗力计算!$B$9+I284*战斗力计算!$B$10+J284*战斗力计算!$B$11+K284*战斗力计算!$B$12+L284*战斗力计算!$B$8+M284*战斗力计算!$B$9+N284*战斗力计算!$B$10+O284*战斗力计算!$B$11+P284*战斗力计算!$B$12</f>
        <v>582336</v>
      </c>
      <c r="X284" s="5">
        <f t="shared" si="91"/>
        <v>703656</v>
      </c>
      <c r="AC284">
        <f t="shared" si="95"/>
        <v>3.2</v>
      </c>
      <c r="AD284">
        <f t="shared" si="96"/>
        <v>1.6</v>
      </c>
      <c r="AF284">
        <f t="shared" si="97"/>
        <v>0.75</v>
      </c>
      <c r="AH284">
        <f t="shared" si="98"/>
        <v>12</v>
      </c>
      <c r="AK284">
        <f t="shared" si="99"/>
        <v>6.0436363636363639</v>
      </c>
      <c r="AL284">
        <f t="shared" si="100"/>
        <v>1.5036363636363637</v>
      </c>
      <c r="AM284">
        <f t="shared" si="101"/>
        <v>1</v>
      </c>
      <c r="AN284">
        <f t="shared" si="102"/>
        <v>6.0436363636363639</v>
      </c>
      <c r="AO284">
        <f t="shared" si="103"/>
        <v>1.5036363636363637</v>
      </c>
      <c r="AP284">
        <f t="shared" si="104"/>
        <v>1</v>
      </c>
      <c r="AR284">
        <f t="shared" si="105"/>
        <v>4.4945652173913047</v>
      </c>
      <c r="AT284">
        <f t="shared" si="106"/>
        <v>4.4945652173913047</v>
      </c>
      <c r="AV284">
        <f t="shared" si="107"/>
        <v>2894</v>
      </c>
      <c r="AW284">
        <f t="shared" si="108"/>
        <v>5375</v>
      </c>
    </row>
    <row r="285" spans="1:49" x14ac:dyDescent="0.15">
      <c r="A285" s="5">
        <v>275</v>
      </c>
      <c r="B285" s="5">
        <f t="shared" si="94"/>
        <v>16680</v>
      </c>
      <c r="C285" s="5">
        <f t="shared" si="94"/>
        <v>4150</v>
      </c>
      <c r="D285" s="5">
        <f t="shared" si="94"/>
        <v>2760</v>
      </c>
      <c r="E285" s="5">
        <f t="shared" si="94"/>
        <v>831</v>
      </c>
      <c r="F285" s="5">
        <f t="shared" si="94"/>
        <v>1108</v>
      </c>
      <c r="G285" s="5">
        <f t="shared" si="109"/>
        <v>56712</v>
      </c>
      <c r="H285" s="5">
        <f t="shared" si="109"/>
        <v>14110</v>
      </c>
      <c r="I285" s="5">
        <f t="shared" si="109"/>
        <v>9384</v>
      </c>
      <c r="J285" s="5">
        <f t="shared" si="109"/>
        <v>2825.4</v>
      </c>
      <c r="K285" s="5">
        <f t="shared" si="109"/>
        <v>3767.2</v>
      </c>
      <c r="L285" s="5">
        <f t="shared" si="110"/>
        <v>28356</v>
      </c>
      <c r="M285" s="5">
        <f t="shared" si="110"/>
        <v>7055</v>
      </c>
      <c r="N285" s="5">
        <f t="shared" si="110"/>
        <v>4692</v>
      </c>
      <c r="O285" s="5">
        <f t="shared" si="110"/>
        <v>1412.7</v>
      </c>
      <c r="P285" s="5">
        <f t="shared" si="110"/>
        <v>1883.6</v>
      </c>
      <c r="Q285" s="5">
        <f t="shared" si="86"/>
        <v>101748</v>
      </c>
      <c r="R285" s="5">
        <f t="shared" si="87"/>
        <v>25315</v>
      </c>
      <c r="S285" s="5">
        <f t="shared" si="88"/>
        <v>16836</v>
      </c>
      <c r="T285" s="5">
        <f t="shared" si="89"/>
        <v>5069.1000000000004</v>
      </c>
      <c r="U285" s="5">
        <f t="shared" si="90"/>
        <v>6758.7999999999993</v>
      </c>
      <c r="V285" s="5">
        <f>B285*战斗力计算!$B$8+C285*战斗力计算!$B$9+D285*战斗力计算!$B$10+E285*战斗力计算!$B$11+F285*战斗力计算!$B$12</f>
        <v>121760</v>
      </c>
      <c r="W285" s="5">
        <f>G285*战斗力计算!$B$8+H285*战斗力计算!$B$9+I285*战斗力计算!$B$10+J285*战斗力计算!$B$11+K285*战斗力计算!$B$12+L285*战斗力计算!$B$8+M285*战斗力计算!$B$9+N285*战斗力计算!$B$10+O285*战斗力计算!$B$11+P285*战斗力计算!$B$12</f>
        <v>620976</v>
      </c>
      <c r="X285" s="5">
        <f t="shared" si="91"/>
        <v>742736</v>
      </c>
      <c r="AC285">
        <f t="shared" si="95"/>
        <v>3.4</v>
      </c>
      <c r="AD285">
        <f t="shared" si="96"/>
        <v>1.7</v>
      </c>
      <c r="AF285">
        <f t="shared" si="97"/>
        <v>0.75000000000000011</v>
      </c>
      <c r="AH285">
        <f t="shared" si="98"/>
        <v>12</v>
      </c>
      <c r="AK285">
        <f t="shared" si="99"/>
        <v>6.0434782608695654</v>
      </c>
      <c r="AL285">
        <f t="shared" si="100"/>
        <v>1.5036231884057971</v>
      </c>
      <c r="AM285">
        <f t="shared" si="101"/>
        <v>1</v>
      </c>
      <c r="AN285">
        <f t="shared" si="102"/>
        <v>6.0434782608695654</v>
      </c>
      <c r="AO285">
        <f t="shared" si="103"/>
        <v>1.5036231884057971</v>
      </c>
      <c r="AP285">
        <f t="shared" si="104"/>
        <v>1</v>
      </c>
      <c r="AR285">
        <f t="shared" si="105"/>
        <v>4.4945848375451263</v>
      </c>
      <c r="AT285">
        <f t="shared" si="106"/>
        <v>4.4945848375451263</v>
      </c>
      <c r="AV285">
        <f t="shared" si="107"/>
        <v>2905</v>
      </c>
      <c r="AW285">
        <f t="shared" si="108"/>
        <v>5395</v>
      </c>
    </row>
    <row r="286" spans="1:49" x14ac:dyDescent="0.15">
      <c r="A286" s="5">
        <v>276</v>
      </c>
      <c r="B286" s="5">
        <f t="shared" si="94"/>
        <v>16740</v>
      </c>
      <c r="C286" s="5">
        <f t="shared" si="94"/>
        <v>4165</v>
      </c>
      <c r="D286" s="5">
        <f t="shared" si="94"/>
        <v>2770</v>
      </c>
      <c r="E286" s="5">
        <f t="shared" si="94"/>
        <v>834</v>
      </c>
      <c r="F286" s="5">
        <f t="shared" si="94"/>
        <v>1112</v>
      </c>
      <c r="G286" s="5">
        <f t="shared" si="109"/>
        <v>56916</v>
      </c>
      <c r="H286" s="5">
        <f t="shared" si="109"/>
        <v>14161</v>
      </c>
      <c r="I286" s="5">
        <f t="shared" si="109"/>
        <v>9418</v>
      </c>
      <c r="J286" s="5">
        <f t="shared" si="109"/>
        <v>2835.6</v>
      </c>
      <c r="K286" s="5">
        <f t="shared" si="109"/>
        <v>3780.7999999999997</v>
      </c>
      <c r="L286" s="5">
        <f t="shared" si="110"/>
        <v>28458</v>
      </c>
      <c r="M286" s="5">
        <f t="shared" si="110"/>
        <v>7080.5</v>
      </c>
      <c r="N286" s="5">
        <f t="shared" si="110"/>
        <v>4709</v>
      </c>
      <c r="O286" s="5">
        <f t="shared" si="110"/>
        <v>1417.8</v>
      </c>
      <c r="P286" s="5">
        <f t="shared" si="110"/>
        <v>1890.3999999999999</v>
      </c>
      <c r="Q286" s="5">
        <f t="shared" si="86"/>
        <v>102114</v>
      </c>
      <c r="R286" s="5">
        <f t="shared" si="87"/>
        <v>25406.5</v>
      </c>
      <c r="S286" s="5">
        <f t="shared" si="88"/>
        <v>16897</v>
      </c>
      <c r="T286" s="5">
        <f t="shared" si="89"/>
        <v>5087.3999999999996</v>
      </c>
      <c r="U286" s="5">
        <f t="shared" si="90"/>
        <v>6783.1999999999989</v>
      </c>
      <c r="V286" s="5">
        <f>B286*战斗力计算!$B$8+C286*战斗力计算!$B$9+D286*战斗力计算!$B$10+E286*战斗力计算!$B$11+F286*战斗力计算!$B$12</f>
        <v>122200</v>
      </c>
      <c r="W286" s="5">
        <f>G286*战斗力计算!$B$8+H286*战斗力计算!$B$9+I286*战斗力计算!$B$10+J286*战斗力计算!$B$11+K286*战斗力计算!$B$12+L286*战斗力计算!$B$8+M286*战斗力计算!$B$9+N286*战斗力计算!$B$10+O286*战斗力计算!$B$11+P286*战斗力计算!$B$12</f>
        <v>623220</v>
      </c>
      <c r="X286" s="5">
        <f t="shared" si="91"/>
        <v>745420</v>
      </c>
      <c r="AC286">
        <f t="shared" si="95"/>
        <v>3.4</v>
      </c>
      <c r="AD286">
        <f t="shared" si="96"/>
        <v>1.7</v>
      </c>
      <c r="AF286">
        <f t="shared" si="97"/>
        <v>0.75000000000000011</v>
      </c>
      <c r="AH286">
        <f t="shared" si="98"/>
        <v>12</v>
      </c>
      <c r="AK286">
        <f t="shared" si="99"/>
        <v>6.0433212996389889</v>
      </c>
      <c r="AL286">
        <f t="shared" si="100"/>
        <v>1.5036101083032491</v>
      </c>
      <c r="AM286">
        <f t="shared" si="101"/>
        <v>1</v>
      </c>
      <c r="AN286">
        <f t="shared" si="102"/>
        <v>6.0433212996389889</v>
      </c>
      <c r="AO286">
        <f t="shared" si="103"/>
        <v>1.5036101083032491</v>
      </c>
      <c r="AP286">
        <f t="shared" si="104"/>
        <v>1</v>
      </c>
      <c r="AR286">
        <f t="shared" si="105"/>
        <v>4.4946043165467628</v>
      </c>
      <c r="AT286">
        <f t="shared" si="106"/>
        <v>4.4946043165467628</v>
      </c>
      <c r="AV286">
        <f t="shared" si="107"/>
        <v>2915</v>
      </c>
      <c r="AW286">
        <f t="shared" si="108"/>
        <v>5414</v>
      </c>
    </row>
    <row r="287" spans="1:49" x14ac:dyDescent="0.15">
      <c r="A287" s="5">
        <v>277</v>
      </c>
      <c r="B287" s="5">
        <f t="shared" si="94"/>
        <v>16800</v>
      </c>
      <c r="C287" s="5">
        <f t="shared" si="94"/>
        <v>4180</v>
      </c>
      <c r="D287" s="5">
        <f t="shared" si="94"/>
        <v>2780</v>
      </c>
      <c r="E287" s="5">
        <f t="shared" si="94"/>
        <v>837</v>
      </c>
      <c r="F287" s="5">
        <f t="shared" si="94"/>
        <v>1116</v>
      </c>
      <c r="G287" s="5">
        <f t="shared" si="109"/>
        <v>57120</v>
      </c>
      <c r="H287" s="5">
        <f t="shared" si="109"/>
        <v>14212</v>
      </c>
      <c r="I287" s="5">
        <f t="shared" si="109"/>
        <v>9452</v>
      </c>
      <c r="J287" s="5">
        <f t="shared" si="109"/>
        <v>2845.7999999999997</v>
      </c>
      <c r="K287" s="5">
        <f t="shared" si="109"/>
        <v>3794.4</v>
      </c>
      <c r="L287" s="5">
        <f t="shared" si="110"/>
        <v>28560</v>
      </c>
      <c r="M287" s="5">
        <f t="shared" si="110"/>
        <v>7106</v>
      </c>
      <c r="N287" s="5">
        <f t="shared" si="110"/>
        <v>4726</v>
      </c>
      <c r="O287" s="5">
        <f t="shared" si="110"/>
        <v>1422.8999999999999</v>
      </c>
      <c r="P287" s="5">
        <f t="shared" si="110"/>
        <v>1897.2</v>
      </c>
      <c r="Q287" s="5">
        <f t="shared" si="86"/>
        <v>102480</v>
      </c>
      <c r="R287" s="5">
        <f t="shared" si="87"/>
        <v>25498</v>
      </c>
      <c r="S287" s="5">
        <f t="shared" si="88"/>
        <v>16958</v>
      </c>
      <c r="T287" s="5">
        <f t="shared" si="89"/>
        <v>5105.7</v>
      </c>
      <c r="U287" s="5">
        <f t="shared" si="90"/>
        <v>6807.5999999999995</v>
      </c>
      <c r="V287" s="5">
        <f>B287*战斗力计算!$B$8+C287*战斗力计算!$B$9+D287*战斗力计算!$B$10+E287*战斗力计算!$B$11+F287*战斗力计算!$B$12</f>
        <v>122640</v>
      </c>
      <c r="W287" s="5">
        <f>G287*战斗力计算!$B$8+H287*战斗力计算!$B$9+I287*战斗力计算!$B$10+J287*战斗力计算!$B$11+K287*战斗力计算!$B$12+L287*战斗力计算!$B$8+M287*战斗力计算!$B$9+N287*战斗力计算!$B$10+O287*战斗力计算!$B$11+P287*战斗力计算!$B$12</f>
        <v>625464</v>
      </c>
      <c r="X287" s="5">
        <f t="shared" si="91"/>
        <v>748104</v>
      </c>
      <c r="AC287">
        <f t="shared" si="95"/>
        <v>3.4</v>
      </c>
      <c r="AD287">
        <f t="shared" si="96"/>
        <v>1.7</v>
      </c>
      <c r="AF287">
        <f t="shared" si="97"/>
        <v>0.75</v>
      </c>
      <c r="AH287">
        <f t="shared" si="98"/>
        <v>12</v>
      </c>
      <c r="AK287">
        <f t="shared" si="99"/>
        <v>6.043165467625899</v>
      </c>
      <c r="AL287">
        <f t="shared" si="100"/>
        <v>1.5035971223021583</v>
      </c>
      <c r="AM287">
        <f t="shared" si="101"/>
        <v>1</v>
      </c>
      <c r="AN287">
        <f t="shared" si="102"/>
        <v>6.043165467625899</v>
      </c>
      <c r="AO287">
        <f t="shared" si="103"/>
        <v>1.5035971223021583</v>
      </c>
      <c r="AP287">
        <f t="shared" si="104"/>
        <v>1</v>
      </c>
      <c r="AR287">
        <f t="shared" si="105"/>
        <v>4.4946236559139781</v>
      </c>
      <c r="AT287">
        <f t="shared" si="106"/>
        <v>4.4946236559139781</v>
      </c>
      <c r="AV287">
        <f t="shared" si="107"/>
        <v>2926</v>
      </c>
      <c r="AW287">
        <f t="shared" si="108"/>
        <v>5434</v>
      </c>
    </row>
    <row r="288" spans="1:49" x14ac:dyDescent="0.15">
      <c r="A288" s="5">
        <v>278</v>
      </c>
      <c r="B288" s="5">
        <f t="shared" si="94"/>
        <v>16860</v>
      </c>
      <c r="C288" s="5">
        <f t="shared" si="94"/>
        <v>4195</v>
      </c>
      <c r="D288" s="5">
        <f t="shared" si="94"/>
        <v>2790</v>
      </c>
      <c r="E288" s="5">
        <f t="shared" si="94"/>
        <v>840</v>
      </c>
      <c r="F288" s="5">
        <f t="shared" si="94"/>
        <v>1120</v>
      </c>
      <c r="G288" s="5">
        <f t="shared" si="109"/>
        <v>57324</v>
      </c>
      <c r="H288" s="5">
        <f t="shared" si="109"/>
        <v>14263</v>
      </c>
      <c r="I288" s="5">
        <f t="shared" si="109"/>
        <v>9486</v>
      </c>
      <c r="J288" s="5">
        <f t="shared" si="109"/>
        <v>2856</v>
      </c>
      <c r="K288" s="5">
        <f t="shared" si="109"/>
        <v>3808</v>
      </c>
      <c r="L288" s="5">
        <f t="shared" si="110"/>
        <v>28662</v>
      </c>
      <c r="M288" s="5">
        <f t="shared" si="110"/>
        <v>7131.5</v>
      </c>
      <c r="N288" s="5">
        <f t="shared" si="110"/>
        <v>4743</v>
      </c>
      <c r="O288" s="5">
        <f t="shared" si="110"/>
        <v>1428</v>
      </c>
      <c r="P288" s="5">
        <f t="shared" si="110"/>
        <v>1904</v>
      </c>
      <c r="Q288" s="5">
        <f t="shared" si="86"/>
        <v>102846</v>
      </c>
      <c r="R288" s="5">
        <f t="shared" si="87"/>
        <v>25589.5</v>
      </c>
      <c r="S288" s="5">
        <f t="shared" si="88"/>
        <v>17019</v>
      </c>
      <c r="T288" s="5">
        <f t="shared" si="89"/>
        <v>5124</v>
      </c>
      <c r="U288" s="5">
        <f t="shared" si="90"/>
        <v>6832</v>
      </c>
      <c r="V288" s="5">
        <f>B288*战斗力计算!$B$8+C288*战斗力计算!$B$9+D288*战斗力计算!$B$10+E288*战斗力计算!$B$11+F288*战斗力计算!$B$12</f>
        <v>123080</v>
      </c>
      <c r="W288" s="5">
        <f>G288*战斗力计算!$B$8+H288*战斗力计算!$B$9+I288*战斗力计算!$B$10+J288*战斗力计算!$B$11+K288*战斗力计算!$B$12+L288*战斗力计算!$B$8+M288*战斗力计算!$B$9+N288*战斗力计算!$B$10+O288*战斗力计算!$B$11+P288*战斗力计算!$B$12</f>
        <v>627708</v>
      </c>
      <c r="X288" s="5">
        <f t="shared" si="91"/>
        <v>750788</v>
      </c>
      <c r="AC288">
        <f t="shared" si="95"/>
        <v>3.4</v>
      </c>
      <c r="AD288">
        <f t="shared" si="96"/>
        <v>1.7</v>
      </c>
      <c r="AF288">
        <f t="shared" si="97"/>
        <v>0.75</v>
      </c>
      <c r="AH288">
        <f t="shared" si="98"/>
        <v>12</v>
      </c>
      <c r="AK288">
        <f t="shared" si="99"/>
        <v>6.043010752688172</v>
      </c>
      <c r="AL288">
        <f t="shared" si="100"/>
        <v>1.5035842293906809</v>
      </c>
      <c r="AM288">
        <f t="shared" si="101"/>
        <v>1</v>
      </c>
      <c r="AN288">
        <f t="shared" si="102"/>
        <v>6.043010752688172</v>
      </c>
      <c r="AO288">
        <f t="shared" si="103"/>
        <v>1.5035842293906809</v>
      </c>
      <c r="AP288">
        <f t="shared" si="104"/>
        <v>1</v>
      </c>
      <c r="AR288">
        <f t="shared" si="105"/>
        <v>4.4946428571428569</v>
      </c>
      <c r="AT288">
        <f t="shared" si="106"/>
        <v>4.4946428571428569</v>
      </c>
      <c r="AV288">
        <f t="shared" si="107"/>
        <v>2936</v>
      </c>
      <c r="AW288">
        <f t="shared" si="108"/>
        <v>5453</v>
      </c>
    </row>
    <row r="289" spans="1:49" x14ac:dyDescent="0.15">
      <c r="A289" s="5">
        <v>279</v>
      </c>
      <c r="B289" s="5">
        <f t="shared" si="94"/>
        <v>16920</v>
      </c>
      <c r="C289" s="5">
        <f t="shared" si="94"/>
        <v>4210</v>
      </c>
      <c r="D289" s="5">
        <f t="shared" si="94"/>
        <v>2800</v>
      </c>
      <c r="E289" s="5">
        <f t="shared" si="94"/>
        <v>843</v>
      </c>
      <c r="F289" s="5">
        <f t="shared" si="94"/>
        <v>1124</v>
      </c>
      <c r="G289" s="5">
        <f t="shared" si="109"/>
        <v>57528</v>
      </c>
      <c r="H289" s="5">
        <f t="shared" si="109"/>
        <v>14314</v>
      </c>
      <c r="I289" s="5">
        <f t="shared" si="109"/>
        <v>9520</v>
      </c>
      <c r="J289" s="5">
        <f t="shared" si="109"/>
        <v>2866.2</v>
      </c>
      <c r="K289" s="5">
        <f t="shared" si="109"/>
        <v>3821.6</v>
      </c>
      <c r="L289" s="5">
        <f t="shared" si="110"/>
        <v>28764</v>
      </c>
      <c r="M289" s="5">
        <f t="shared" si="110"/>
        <v>7157</v>
      </c>
      <c r="N289" s="5">
        <f t="shared" si="110"/>
        <v>4760</v>
      </c>
      <c r="O289" s="5">
        <f t="shared" si="110"/>
        <v>1433.1</v>
      </c>
      <c r="P289" s="5">
        <f t="shared" si="110"/>
        <v>1910.8</v>
      </c>
      <c r="Q289" s="5">
        <f t="shared" ref="Q289:Q352" si="111">B289+G289+L289</f>
        <v>103212</v>
      </c>
      <c r="R289" s="5">
        <f t="shared" ref="R289:R352" si="112">C289+H289+M289</f>
        <v>25681</v>
      </c>
      <c r="S289" s="5">
        <f t="shared" ref="S289:S352" si="113">D289+I289+N289</f>
        <v>17080</v>
      </c>
      <c r="T289" s="5">
        <f t="shared" ref="T289:T352" si="114">E289+J289+O289</f>
        <v>5142.2999999999993</v>
      </c>
      <c r="U289" s="5">
        <f t="shared" ref="U289:U352" si="115">F289+K289+P289</f>
        <v>6856.4000000000005</v>
      </c>
      <c r="V289" s="5">
        <f>B289*战斗力计算!$B$8+C289*战斗力计算!$B$9+D289*战斗力计算!$B$10+E289*战斗力计算!$B$11+F289*战斗力计算!$B$12</f>
        <v>123520</v>
      </c>
      <c r="W289" s="5">
        <f>G289*战斗力计算!$B$8+H289*战斗力计算!$B$9+I289*战斗力计算!$B$10+J289*战斗力计算!$B$11+K289*战斗力计算!$B$12+L289*战斗力计算!$B$8+M289*战斗力计算!$B$9+N289*战斗力计算!$B$10+O289*战斗力计算!$B$11+P289*战斗力计算!$B$12</f>
        <v>629952</v>
      </c>
      <c r="X289" s="5">
        <f t="shared" ref="X289:X352" si="116">V289+W289</f>
        <v>753472</v>
      </c>
      <c r="AC289">
        <f t="shared" si="95"/>
        <v>3.4</v>
      </c>
      <c r="AD289">
        <f t="shared" si="96"/>
        <v>1.7</v>
      </c>
      <c r="AF289">
        <f t="shared" si="97"/>
        <v>0.74999999999999989</v>
      </c>
      <c r="AH289">
        <f t="shared" si="98"/>
        <v>12</v>
      </c>
      <c r="AK289">
        <f t="shared" si="99"/>
        <v>6.0428571428571427</v>
      </c>
      <c r="AL289">
        <f t="shared" si="100"/>
        <v>1.5035714285714286</v>
      </c>
      <c r="AM289">
        <f t="shared" si="101"/>
        <v>1</v>
      </c>
      <c r="AN289">
        <f t="shared" si="102"/>
        <v>6.0428571428571427</v>
      </c>
      <c r="AO289">
        <f t="shared" si="103"/>
        <v>1.5035714285714286</v>
      </c>
      <c r="AP289">
        <f t="shared" si="104"/>
        <v>1</v>
      </c>
      <c r="AR289">
        <f t="shared" si="105"/>
        <v>4.4946619217081851</v>
      </c>
      <c r="AT289">
        <f t="shared" si="106"/>
        <v>4.4946619217081851</v>
      </c>
      <c r="AV289">
        <f t="shared" si="107"/>
        <v>2947</v>
      </c>
      <c r="AW289">
        <f t="shared" si="108"/>
        <v>5473</v>
      </c>
    </row>
    <row r="290" spans="1:49" x14ac:dyDescent="0.15">
      <c r="A290" s="5">
        <v>280</v>
      </c>
      <c r="B290" s="5">
        <f t="shared" si="94"/>
        <v>16980</v>
      </c>
      <c r="C290" s="5">
        <f t="shared" si="94"/>
        <v>4225</v>
      </c>
      <c r="D290" s="5">
        <f t="shared" si="94"/>
        <v>2810</v>
      </c>
      <c r="E290" s="5">
        <f t="shared" si="94"/>
        <v>846</v>
      </c>
      <c r="F290" s="5">
        <f t="shared" si="94"/>
        <v>1128</v>
      </c>
      <c r="G290" s="5">
        <f t="shared" si="109"/>
        <v>57732</v>
      </c>
      <c r="H290" s="5">
        <f t="shared" si="109"/>
        <v>14365</v>
      </c>
      <c r="I290" s="5">
        <f t="shared" si="109"/>
        <v>9554</v>
      </c>
      <c r="J290" s="5">
        <f t="shared" si="109"/>
        <v>2876.4</v>
      </c>
      <c r="K290" s="5">
        <f t="shared" si="109"/>
        <v>3835.2</v>
      </c>
      <c r="L290" s="5">
        <f t="shared" si="110"/>
        <v>28866</v>
      </c>
      <c r="M290" s="5">
        <f t="shared" si="110"/>
        <v>7182.5</v>
      </c>
      <c r="N290" s="5">
        <f t="shared" si="110"/>
        <v>4777</v>
      </c>
      <c r="O290" s="5">
        <f t="shared" si="110"/>
        <v>1438.2</v>
      </c>
      <c r="P290" s="5">
        <f t="shared" si="110"/>
        <v>1917.6</v>
      </c>
      <c r="Q290" s="5">
        <f t="shared" si="111"/>
        <v>103578</v>
      </c>
      <c r="R290" s="5">
        <f t="shared" si="112"/>
        <v>25772.5</v>
      </c>
      <c r="S290" s="5">
        <f t="shared" si="113"/>
        <v>17141</v>
      </c>
      <c r="T290" s="5">
        <f t="shared" si="114"/>
        <v>5160.6000000000004</v>
      </c>
      <c r="U290" s="5">
        <f t="shared" si="115"/>
        <v>6880.7999999999993</v>
      </c>
      <c r="V290" s="5">
        <f>B290*战斗力计算!$B$8+C290*战斗力计算!$B$9+D290*战斗力计算!$B$10+E290*战斗力计算!$B$11+F290*战斗力计算!$B$12</f>
        <v>123960</v>
      </c>
      <c r="W290" s="5">
        <f>G290*战斗力计算!$B$8+H290*战斗力计算!$B$9+I290*战斗力计算!$B$10+J290*战斗力计算!$B$11+K290*战斗力计算!$B$12+L290*战斗力计算!$B$8+M290*战斗力计算!$B$9+N290*战斗力计算!$B$10+O290*战斗力计算!$B$11+P290*战斗力计算!$B$12</f>
        <v>632196</v>
      </c>
      <c r="X290" s="5">
        <f t="shared" si="116"/>
        <v>756156</v>
      </c>
      <c r="AC290">
        <f t="shared" si="95"/>
        <v>3.4</v>
      </c>
      <c r="AD290">
        <f t="shared" si="96"/>
        <v>1.7</v>
      </c>
      <c r="AF290">
        <f t="shared" si="97"/>
        <v>0.75000000000000011</v>
      </c>
      <c r="AH290">
        <f t="shared" si="98"/>
        <v>12</v>
      </c>
      <c r="AK290">
        <f t="shared" si="99"/>
        <v>6.0427046263345199</v>
      </c>
      <c r="AL290">
        <f t="shared" si="100"/>
        <v>1.5035587188612101</v>
      </c>
      <c r="AM290">
        <f t="shared" si="101"/>
        <v>1</v>
      </c>
      <c r="AN290">
        <f t="shared" si="102"/>
        <v>6.0427046263345199</v>
      </c>
      <c r="AO290">
        <f t="shared" si="103"/>
        <v>1.5035587188612101</v>
      </c>
      <c r="AP290">
        <f t="shared" si="104"/>
        <v>1</v>
      </c>
      <c r="AR290">
        <f t="shared" si="105"/>
        <v>4.4946808510638299</v>
      </c>
      <c r="AT290">
        <f t="shared" si="106"/>
        <v>4.4946808510638299</v>
      </c>
      <c r="AV290">
        <f t="shared" si="107"/>
        <v>2957</v>
      </c>
      <c r="AW290">
        <f t="shared" si="108"/>
        <v>5492</v>
      </c>
    </row>
    <row r="291" spans="1:49" x14ac:dyDescent="0.15">
      <c r="A291" s="5">
        <v>281</v>
      </c>
      <c r="B291" s="5">
        <f t="shared" si="94"/>
        <v>17040</v>
      </c>
      <c r="C291" s="5">
        <f t="shared" si="94"/>
        <v>4240</v>
      </c>
      <c r="D291" s="5">
        <f t="shared" si="94"/>
        <v>2820</v>
      </c>
      <c r="E291" s="5">
        <f t="shared" si="94"/>
        <v>849</v>
      </c>
      <c r="F291" s="5">
        <f t="shared" si="94"/>
        <v>1132</v>
      </c>
      <c r="G291" s="5">
        <f t="shared" si="109"/>
        <v>57936</v>
      </c>
      <c r="H291" s="5">
        <f t="shared" si="109"/>
        <v>14416</v>
      </c>
      <c r="I291" s="5">
        <f t="shared" si="109"/>
        <v>9588</v>
      </c>
      <c r="J291" s="5">
        <f t="shared" si="109"/>
        <v>2886.6</v>
      </c>
      <c r="K291" s="5">
        <f t="shared" si="109"/>
        <v>3848.7999999999997</v>
      </c>
      <c r="L291" s="5">
        <f t="shared" si="110"/>
        <v>28968</v>
      </c>
      <c r="M291" s="5">
        <f t="shared" si="110"/>
        <v>7208</v>
      </c>
      <c r="N291" s="5">
        <f t="shared" si="110"/>
        <v>4794</v>
      </c>
      <c r="O291" s="5">
        <f t="shared" si="110"/>
        <v>1443.3</v>
      </c>
      <c r="P291" s="5">
        <f t="shared" si="110"/>
        <v>1924.3999999999999</v>
      </c>
      <c r="Q291" s="5">
        <f t="shared" si="111"/>
        <v>103944</v>
      </c>
      <c r="R291" s="5">
        <f t="shared" si="112"/>
        <v>25864</v>
      </c>
      <c r="S291" s="5">
        <f t="shared" si="113"/>
        <v>17202</v>
      </c>
      <c r="T291" s="5">
        <f t="shared" si="114"/>
        <v>5178.8999999999996</v>
      </c>
      <c r="U291" s="5">
        <f t="shared" si="115"/>
        <v>6905.1999999999989</v>
      </c>
      <c r="V291" s="5">
        <f>B291*战斗力计算!$B$8+C291*战斗力计算!$B$9+D291*战斗力计算!$B$10+E291*战斗力计算!$B$11+F291*战斗力计算!$B$12</f>
        <v>124400</v>
      </c>
      <c r="W291" s="5">
        <f>G291*战斗力计算!$B$8+H291*战斗力计算!$B$9+I291*战斗力计算!$B$10+J291*战斗力计算!$B$11+K291*战斗力计算!$B$12+L291*战斗力计算!$B$8+M291*战斗力计算!$B$9+N291*战斗力计算!$B$10+O291*战斗力计算!$B$11+P291*战斗力计算!$B$12</f>
        <v>634440</v>
      </c>
      <c r="X291" s="5">
        <f t="shared" si="116"/>
        <v>758840</v>
      </c>
      <c r="AC291">
        <f t="shared" si="95"/>
        <v>3.4</v>
      </c>
      <c r="AD291">
        <f t="shared" si="96"/>
        <v>1.7</v>
      </c>
      <c r="AF291">
        <f t="shared" si="97"/>
        <v>0.75000000000000011</v>
      </c>
      <c r="AH291">
        <f t="shared" si="98"/>
        <v>12</v>
      </c>
      <c r="AK291">
        <f t="shared" si="99"/>
        <v>6.042553191489362</v>
      </c>
      <c r="AL291">
        <f t="shared" si="100"/>
        <v>1.5035460992907801</v>
      </c>
      <c r="AM291">
        <f t="shared" si="101"/>
        <v>1</v>
      </c>
      <c r="AN291">
        <f t="shared" si="102"/>
        <v>6.042553191489362</v>
      </c>
      <c r="AO291">
        <f t="shared" si="103"/>
        <v>1.5035460992907801</v>
      </c>
      <c r="AP291">
        <f t="shared" si="104"/>
        <v>1</v>
      </c>
      <c r="AR291">
        <f t="shared" si="105"/>
        <v>4.4946996466431095</v>
      </c>
      <c r="AT291">
        <f t="shared" si="106"/>
        <v>4.4946996466431095</v>
      </c>
      <c r="AV291">
        <f t="shared" si="107"/>
        <v>2968</v>
      </c>
      <c r="AW291">
        <f t="shared" si="108"/>
        <v>5512</v>
      </c>
    </row>
    <row r="292" spans="1:49" x14ac:dyDescent="0.15">
      <c r="A292" s="5">
        <v>282</v>
      </c>
      <c r="B292" s="5">
        <f t="shared" si="94"/>
        <v>17100</v>
      </c>
      <c r="C292" s="5">
        <f t="shared" si="94"/>
        <v>4255</v>
      </c>
      <c r="D292" s="5">
        <f t="shared" si="94"/>
        <v>2830</v>
      </c>
      <c r="E292" s="5">
        <f t="shared" si="94"/>
        <v>852</v>
      </c>
      <c r="F292" s="5">
        <f t="shared" si="94"/>
        <v>1136</v>
      </c>
      <c r="G292" s="5">
        <f t="shared" si="109"/>
        <v>58140</v>
      </c>
      <c r="H292" s="5">
        <f t="shared" si="109"/>
        <v>14467</v>
      </c>
      <c r="I292" s="5">
        <f t="shared" si="109"/>
        <v>9622</v>
      </c>
      <c r="J292" s="5">
        <f t="shared" si="109"/>
        <v>2896.7999999999997</v>
      </c>
      <c r="K292" s="5">
        <f t="shared" si="109"/>
        <v>3862.4</v>
      </c>
      <c r="L292" s="5">
        <f t="shared" si="110"/>
        <v>29070</v>
      </c>
      <c r="M292" s="5">
        <f t="shared" si="110"/>
        <v>7233.5</v>
      </c>
      <c r="N292" s="5">
        <f t="shared" si="110"/>
        <v>4811</v>
      </c>
      <c r="O292" s="5">
        <f t="shared" si="110"/>
        <v>1448.3999999999999</v>
      </c>
      <c r="P292" s="5">
        <f t="shared" si="110"/>
        <v>1931.2</v>
      </c>
      <c r="Q292" s="5">
        <f t="shared" si="111"/>
        <v>104310</v>
      </c>
      <c r="R292" s="5">
        <f t="shared" si="112"/>
        <v>25955.5</v>
      </c>
      <c r="S292" s="5">
        <f t="shared" si="113"/>
        <v>17263</v>
      </c>
      <c r="T292" s="5">
        <f t="shared" si="114"/>
        <v>5197.2</v>
      </c>
      <c r="U292" s="5">
        <f t="shared" si="115"/>
        <v>6929.5999999999995</v>
      </c>
      <c r="V292" s="5">
        <f>B292*战斗力计算!$B$8+C292*战斗力计算!$B$9+D292*战斗力计算!$B$10+E292*战斗力计算!$B$11+F292*战斗力计算!$B$12</f>
        <v>124840</v>
      </c>
      <c r="W292" s="5">
        <f>G292*战斗力计算!$B$8+H292*战斗力计算!$B$9+I292*战斗力计算!$B$10+J292*战斗力计算!$B$11+K292*战斗力计算!$B$12+L292*战斗力计算!$B$8+M292*战斗力计算!$B$9+N292*战斗力计算!$B$10+O292*战斗力计算!$B$11+P292*战斗力计算!$B$12</f>
        <v>636684</v>
      </c>
      <c r="X292" s="5">
        <f t="shared" si="116"/>
        <v>761524</v>
      </c>
      <c r="AC292">
        <f t="shared" si="95"/>
        <v>3.4</v>
      </c>
      <c r="AD292">
        <f t="shared" si="96"/>
        <v>1.7</v>
      </c>
      <c r="AF292">
        <f t="shared" si="97"/>
        <v>0.75</v>
      </c>
      <c r="AH292">
        <f t="shared" si="98"/>
        <v>12</v>
      </c>
      <c r="AK292">
        <f t="shared" si="99"/>
        <v>6.042402826855124</v>
      </c>
      <c r="AL292">
        <f t="shared" si="100"/>
        <v>1.5035335689045937</v>
      </c>
      <c r="AM292">
        <f t="shared" si="101"/>
        <v>1</v>
      </c>
      <c r="AN292">
        <f t="shared" si="102"/>
        <v>6.042402826855124</v>
      </c>
      <c r="AO292">
        <f t="shared" si="103"/>
        <v>1.5035335689045937</v>
      </c>
      <c r="AP292">
        <f t="shared" si="104"/>
        <v>1</v>
      </c>
      <c r="AR292">
        <f t="shared" si="105"/>
        <v>4.494718309859155</v>
      </c>
      <c r="AT292">
        <f t="shared" si="106"/>
        <v>4.494718309859155</v>
      </c>
      <c r="AV292">
        <f t="shared" si="107"/>
        <v>2978</v>
      </c>
      <c r="AW292">
        <f t="shared" si="108"/>
        <v>5531</v>
      </c>
    </row>
    <row r="293" spans="1:49" x14ac:dyDescent="0.15">
      <c r="A293" s="5">
        <v>283</v>
      </c>
      <c r="B293" s="5">
        <f t="shared" si="94"/>
        <v>17160</v>
      </c>
      <c r="C293" s="5">
        <f t="shared" si="94"/>
        <v>4270</v>
      </c>
      <c r="D293" s="5">
        <f t="shared" si="94"/>
        <v>2840</v>
      </c>
      <c r="E293" s="5">
        <f t="shared" si="94"/>
        <v>855</v>
      </c>
      <c r="F293" s="5">
        <f t="shared" si="94"/>
        <v>1140</v>
      </c>
      <c r="G293" s="5">
        <f t="shared" si="109"/>
        <v>58344</v>
      </c>
      <c r="H293" s="5">
        <f t="shared" si="109"/>
        <v>14518</v>
      </c>
      <c r="I293" s="5">
        <f t="shared" si="109"/>
        <v>9656</v>
      </c>
      <c r="J293" s="5">
        <f t="shared" si="109"/>
        <v>2907</v>
      </c>
      <c r="K293" s="5">
        <f t="shared" si="109"/>
        <v>3876</v>
      </c>
      <c r="L293" s="5">
        <f t="shared" si="110"/>
        <v>29172</v>
      </c>
      <c r="M293" s="5">
        <f t="shared" si="110"/>
        <v>7259</v>
      </c>
      <c r="N293" s="5">
        <f t="shared" si="110"/>
        <v>4828</v>
      </c>
      <c r="O293" s="5">
        <f t="shared" si="110"/>
        <v>1453.5</v>
      </c>
      <c r="P293" s="5">
        <f t="shared" si="110"/>
        <v>1938</v>
      </c>
      <c r="Q293" s="5">
        <f t="shared" si="111"/>
        <v>104676</v>
      </c>
      <c r="R293" s="5">
        <f t="shared" si="112"/>
        <v>26047</v>
      </c>
      <c r="S293" s="5">
        <f t="shared" si="113"/>
        <v>17324</v>
      </c>
      <c r="T293" s="5">
        <f t="shared" si="114"/>
        <v>5215.5</v>
      </c>
      <c r="U293" s="5">
        <f t="shared" si="115"/>
        <v>6954</v>
      </c>
      <c r="V293" s="5">
        <f>B293*战斗力计算!$B$8+C293*战斗力计算!$B$9+D293*战斗力计算!$B$10+E293*战斗力计算!$B$11+F293*战斗力计算!$B$12</f>
        <v>125280</v>
      </c>
      <c r="W293" s="5">
        <f>G293*战斗力计算!$B$8+H293*战斗力计算!$B$9+I293*战斗力计算!$B$10+J293*战斗力计算!$B$11+K293*战斗力计算!$B$12+L293*战斗力计算!$B$8+M293*战斗力计算!$B$9+N293*战斗力计算!$B$10+O293*战斗力计算!$B$11+P293*战斗力计算!$B$12</f>
        <v>638928</v>
      </c>
      <c r="X293" s="5">
        <f t="shared" si="116"/>
        <v>764208</v>
      </c>
      <c r="AC293">
        <f t="shared" si="95"/>
        <v>3.4</v>
      </c>
      <c r="AD293">
        <f t="shared" si="96"/>
        <v>1.7</v>
      </c>
      <c r="AF293">
        <f t="shared" si="97"/>
        <v>0.75</v>
      </c>
      <c r="AH293">
        <f t="shared" si="98"/>
        <v>12</v>
      </c>
      <c r="AK293">
        <f t="shared" si="99"/>
        <v>6.042253521126761</v>
      </c>
      <c r="AL293">
        <f t="shared" si="100"/>
        <v>1.5035211267605635</v>
      </c>
      <c r="AM293">
        <f t="shared" si="101"/>
        <v>1</v>
      </c>
      <c r="AN293">
        <f t="shared" si="102"/>
        <v>6.042253521126761</v>
      </c>
      <c r="AO293">
        <f t="shared" si="103"/>
        <v>1.5035211267605635</v>
      </c>
      <c r="AP293">
        <f t="shared" si="104"/>
        <v>1</v>
      </c>
      <c r="AR293">
        <f t="shared" si="105"/>
        <v>4.4947368421052634</v>
      </c>
      <c r="AT293">
        <f t="shared" si="106"/>
        <v>4.4947368421052634</v>
      </c>
      <c r="AV293">
        <f t="shared" si="107"/>
        <v>2989</v>
      </c>
      <c r="AW293">
        <f t="shared" si="108"/>
        <v>5551</v>
      </c>
    </row>
    <row r="294" spans="1:49" x14ac:dyDescent="0.15">
      <c r="A294" s="5">
        <v>284</v>
      </c>
      <c r="B294" s="5">
        <f t="shared" si="94"/>
        <v>17220</v>
      </c>
      <c r="C294" s="5">
        <f t="shared" si="94"/>
        <v>4285</v>
      </c>
      <c r="D294" s="5">
        <f t="shared" si="94"/>
        <v>2850</v>
      </c>
      <c r="E294" s="5">
        <f t="shared" si="94"/>
        <v>858</v>
      </c>
      <c r="F294" s="5">
        <f t="shared" si="94"/>
        <v>1144</v>
      </c>
      <c r="G294" s="5">
        <f t="shared" si="109"/>
        <v>58548</v>
      </c>
      <c r="H294" s="5">
        <f t="shared" si="109"/>
        <v>14569</v>
      </c>
      <c r="I294" s="5">
        <f t="shared" si="109"/>
        <v>9690</v>
      </c>
      <c r="J294" s="5">
        <f t="shared" si="109"/>
        <v>2917.2</v>
      </c>
      <c r="K294" s="5">
        <f t="shared" si="109"/>
        <v>3889.6</v>
      </c>
      <c r="L294" s="5">
        <f t="shared" si="110"/>
        <v>29274</v>
      </c>
      <c r="M294" s="5">
        <f t="shared" si="110"/>
        <v>7284.5</v>
      </c>
      <c r="N294" s="5">
        <f t="shared" si="110"/>
        <v>4845</v>
      </c>
      <c r="O294" s="5">
        <f t="shared" si="110"/>
        <v>1458.6</v>
      </c>
      <c r="P294" s="5">
        <f t="shared" si="110"/>
        <v>1944.8</v>
      </c>
      <c r="Q294" s="5">
        <f t="shared" si="111"/>
        <v>105042</v>
      </c>
      <c r="R294" s="5">
        <f t="shared" si="112"/>
        <v>26138.5</v>
      </c>
      <c r="S294" s="5">
        <f t="shared" si="113"/>
        <v>17385</v>
      </c>
      <c r="T294" s="5">
        <f t="shared" si="114"/>
        <v>5233.7999999999993</v>
      </c>
      <c r="U294" s="5">
        <f t="shared" si="115"/>
        <v>6978.4000000000005</v>
      </c>
      <c r="V294" s="5">
        <f>B294*战斗力计算!$B$8+C294*战斗力计算!$B$9+D294*战斗力计算!$B$10+E294*战斗力计算!$B$11+F294*战斗力计算!$B$12</f>
        <v>125720</v>
      </c>
      <c r="W294" s="5">
        <f>G294*战斗力计算!$B$8+H294*战斗力计算!$B$9+I294*战斗力计算!$B$10+J294*战斗力计算!$B$11+K294*战斗力计算!$B$12+L294*战斗力计算!$B$8+M294*战斗力计算!$B$9+N294*战斗力计算!$B$10+O294*战斗力计算!$B$11+P294*战斗力计算!$B$12</f>
        <v>641172</v>
      </c>
      <c r="X294" s="5">
        <f t="shared" si="116"/>
        <v>766892</v>
      </c>
      <c r="AC294">
        <f t="shared" si="95"/>
        <v>3.4</v>
      </c>
      <c r="AD294">
        <f t="shared" si="96"/>
        <v>1.7</v>
      </c>
      <c r="AF294">
        <f t="shared" si="97"/>
        <v>0.74999999999999989</v>
      </c>
      <c r="AH294">
        <f t="shared" si="98"/>
        <v>12</v>
      </c>
      <c r="AK294">
        <f t="shared" si="99"/>
        <v>6.0421052631578949</v>
      </c>
      <c r="AL294">
        <f t="shared" si="100"/>
        <v>1.5035087719298246</v>
      </c>
      <c r="AM294">
        <f t="shared" si="101"/>
        <v>1</v>
      </c>
      <c r="AN294">
        <f t="shared" si="102"/>
        <v>6.0421052631578949</v>
      </c>
      <c r="AO294">
        <f t="shared" si="103"/>
        <v>1.5035087719298246</v>
      </c>
      <c r="AP294">
        <f t="shared" si="104"/>
        <v>1</v>
      </c>
      <c r="AR294">
        <f t="shared" si="105"/>
        <v>4.494755244755245</v>
      </c>
      <c r="AT294">
        <f t="shared" si="106"/>
        <v>4.494755244755245</v>
      </c>
      <c r="AV294">
        <f t="shared" si="107"/>
        <v>2999</v>
      </c>
      <c r="AW294">
        <f t="shared" si="108"/>
        <v>5570</v>
      </c>
    </row>
    <row r="295" spans="1:49" x14ac:dyDescent="0.15">
      <c r="A295" s="5">
        <v>285</v>
      </c>
      <c r="B295" s="5">
        <f t="shared" si="94"/>
        <v>17280</v>
      </c>
      <c r="C295" s="5">
        <f t="shared" si="94"/>
        <v>4300</v>
      </c>
      <c r="D295" s="5">
        <f t="shared" si="94"/>
        <v>2860</v>
      </c>
      <c r="E295" s="5">
        <f t="shared" si="94"/>
        <v>861</v>
      </c>
      <c r="F295" s="5">
        <f t="shared" si="94"/>
        <v>1148</v>
      </c>
      <c r="G295" s="5">
        <f t="shared" si="109"/>
        <v>58752</v>
      </c>
      <c r="H295" s="5">
        <f t="shared" si="109"/>
        <v>14620</v>
      </c>
      <c r="I295" s="5">
        <f t="shared" si="109"/>
        <v>9724</v>
      </c>
      <c r="J295" s="5">
        <f t="shared" si="109"/>
        <v>2927.4</v>
      </c>
      <c r="K295" s="5">
        <f t="shared" si="109"/>
        <v>3903.2</v>
      </c>
      <c r="L295" s="5">
        <f t="shared" si="110"/>
        <v>29376</v>
      </c>
      <c r="M295" s="5">
        <f t="shared" si="110"/>
        <v>7310</v>
      </c>
      <c r="N295" s="5">
        <f t="shared" si="110"/>
        <v>4862</v>
      </c>
      <c r="O295" s="5">
        <f t="shared" si="110"/>
        <v>1463.7</v>
      </c>
      <c r="P295" s="5">
        <f t="shared" si="110"/>
        <v>1951.6</v>
      </c>
      <c r="Q295" s="5">
        <f t="shared" si="111"/>
        <v>105408</v>
      </c>
      <c r="R295" s="5">
        <f t="shared" si="112"/>
        <v>26230</v>
      </c>
      <c r="S295" s="5">
        <f t="shared" si="113"/>
        <v>17446</v>
      </c>
      <c r="T295" s="5">
        <f t="shared" si="114"/>
        <v>5252.1</v>
      </c>
      <c r="U295" s="5">
        <f t="shared" si="115"/>
        <v>7002.7999999999993</v>
      </c>
      <c r="V295" s="5">
        <f>B295*战斗力计算!$B$8+C295*战斗力计算!$B$9+D295*战斗力计算!$B$10+E295*战斗力计算!$B$11+F295*战斗力计算!$B$12</f>
        <v>126160</v>
      </c>
      <c r="W295" s="5">
        <f>G295*战斗力计算!$B$8+H295*战斗力计算!$B$9+I295*战斗力计算!$B$10+J295*战斗力计算!$B$11+K295*战斗力计算!$B$12+L295*战斗力计算!$B$8+M295*战斗力计算!$B$9+N295*战斗力计算!$B$10+O295*战斗力计算!$B$11+P295*战斗力计算!$B$12</f>
        <v>643416</v>
      </c>
      <c r="X295" s="5">
        <f t="shared" si="116"/>
        <v>769576</v>
      </c>
      <c r="AC295">
        <f t="shared" si="95"/>
        <v>3.4</v>
      </c>
      <c r="AD295">
        <f t="shared" si="96"/>
        <v>1.7</v>
      </c>
      <c r="AF295">
        <f t="shared" si="97"/>
        <v>0.75000000000000011</v>
      </c>
      <c r="AH295">
        <f t="shared" si="98"/>
        <v>12</v>
      </c>
      <c r="AK295">
        <f t="shared" si="99"/>
        <v>6.0419580419580416</v>
      </c>
      <c r="AL295">
        <f t="shared" si="100"/>
        <v>1.5034965034965035</v>
      </c>
      <c r="AM295">
        <f t="shared" si="101"/>
        <v>1</v>
      </c>
      <c r="AN295">
        <f t="shared" si="102"/>
        <v>6.0419580419580416</v>
      </c>
      <c r="AO295">
        <f t="shared" si="103"/>
        <v>1.5034965034965035</v>
      </c>
      <c r="AP295">
        <f t="shared" si="104"/>
        <v>1</v>
      </c>
      <c r="AR295">
        <f t="shared" si="105"/>
        <v>4.494773519163763</v>
      </c>
      <c r="AT295">
        <f t="shared" si="106"/>
        <v>4.494773519163763</v>
      </c>
      <c r="AV295">
        <f t="shared" si="107"/>
        <v>3010</v>
      </c>
      <c r="AW295">
        <f t="shared" si="108"/>
        <v>5590</v>
      </c>
    </row>
    <row r="296" spans="1:49" x14ac:dyDescent="0.15">
      <c r="A296" s="5">
        <v>286</v>
      </c>
      <c r="B296" s="5">
        <f t="shared" si="94"/>
        <v>17340</v>
      </c>
      <c r="C296" s="5">
        <f t="shared" si="94"/>
        <v>4315</v>
      </c>
      <c r="D296" s="5">
        <f t="shared" si="94"/>
        <v>2870</v>
      </c>
      <c r="E296" s="5">
        <f t="shared" si="94"/>
        <v>864</v>
      </c>
      <c r="F296" s="5">
        <f t="shared" si="94"/>
        <v>1152</v>
      </c>
      <c r="G296" s="5">
        <f t="shared" si="109"/>
        <v>58956</v>
      </c>
      <c r="H296" s="5">
        <f t="shared" si="109"/>
        <v>14671</v>
      </c>
      <c r="I296" s="5">
        <f t="shared" si="109"/>
        <v>9758</v>
      </c>
      <c r="J296" s="5">
        <f t="shared" si="109"/>
        <v>2937.6</v>
      </c>
      <c r="K296" s="5">
        <f t="shared" si="109"/>
        <v>3916.7999999999997</v>
      </c>
      <c r="L296" s="5">
        <f t="shared" si="110"/>
        <v>29478</v>
      </c>
      <c r="M296" s="5">
        <f t="shared" si="110"/>
        <v>7335.5</v>
      </c>
      <c r="N296" s="5">
        <f t="shared" si="110"/>
        <v>4879</v>
      </c>
      <c r="O296" s="5">
        <f t="shared" si="110"/>
        <v>1468.8</v>
      </c>
      <c r="P296" s="5">
        <f t="shared" si="110"/>
        <v>1958.3999999999999</v>
      </c>
      <c r="Q296" s="5">
        <f t="shared" si="111"/>
        <v>105774</v>
      </c>
      <c r="R296" s="5">
        <f t="shared" si="112"/>
        <v>26321.5</v>
      </c>
      <c r="S296" s="5">
        <f t="shared" si="113"/>
        <v>17507</v>
      </c>
      <c r="T296" s="5">
        <f t="shared" si="114"/>
        <v>5270.4</v>
      </c>
      <c r="U296" s="5">
        <f t="shared" si="115"/>
        <v>7027.1999999999989</v>
      </c>
      <c r="V296" s="5">
        <f>B296*战斗力计算!$B$8+C296*战斗力计算!$B$9+D296*战斗力计算!$B$10+E296*战斗力计算!$B$11+F296*战斗力计算!$B$12</f>
        <v>126600</v>
      </c>
      <c r="W296" s="5">
        <f>G296*战斗力计算!$B$8+H296*战斗力计算!$B$9+I296*战斗力计算!$B$10+J296*战斗力计算!$B$11+K296*战斗力计算!$B$12+L296*战斗力计算!$B$8+M296*战斗力计算!$B$9+N296*战斗力计算!$B$10+O296*战斗力计算!$B$11+P296*战斗力计算!$B$12</f>
        <v>645660</v>
      </c>
      <c r="X296" s="5">
        <f t="shared" si="116"/>
        <v>772260</v>
      </c>
      <c r="AC296">
        <f t="shared" si="95"/>
        <v>3.4</v>
      </c>
      <c r="AD296">
        <f t="shared" si="96"/>
        <v>1.7</v>
      </c>
      <c r="AF296">
        <f t="shared" si="97"/>
        <v>0.75000000000000011</v>
      </c>
      <c r="AH296">
        <f t="shared" si="98"/>
        <v>12</v>
      </c>
      <c r="AK296">
        <f t="shared" si="99"/>
        <v>6.0418118466898951</v>
      </c>
      <c r="AL296">
        <f t="shared" si="100"/>
        <v>1.5034843205574913</v>
      </c>
      <c r="AM296">
        <f t="shared" si="101"/>
        <v>1</v>
      </c>
      <c r="AN296">
        <f t="shared" si="102"/>
        <v>6.0418118466898951</v>
      </c>
      <c r="AO296">
        <f t="shared" si="103"/>
        <v>1.5034843205574913</v>
      </c>
      <c r="AP296">
        <f t="shared" si="104"/>
        <v>1</v>
      </c>
      <c r="AR296">
        <f t="shared" si="105"/>
        <v>4.494791666666667</v>
      </c>
      <c r="AT296">
        <f t="shared" si="106"/>
        <v>4.494791666666667</v>
      </c>
      <c r="AV296">
        <f t="shared" si="107"/>
        <v>3020</v>
      </c>
      <c r="AW296">
        <f t="shared" si="108"/>
        <v>5609</v>
      </c>
    </row>
    <row r="297" spans="1:49" x14ac:dyDescent="0.15">
      <c r="A297" s="5">
        <v>287</v>
      </c>
      <c r="B297" s="5">
        <f t="shared" si="94"/>
        <v>17400</v>
      </c>
      <c r="C297" s="5">
        <f t="shared" si="94"/>
        <v>4330</v>
      </c>
      <c r="D297" s="5">
        <f t="shared" si="94"/>
        <v>2880</v>
      </c>
      <c r="E297" s="5">
        <f t="shared" si="94"/>
        <v>867</v>
      </c>
      <c r="F297" s="5">
        <f t="shared" si="94"/>
        <v>1156</v>
      </c>
      <c r="G297" s="5">
        <f t="shared" si="109"/>
        <v>59160</v>
      </c>
      <c r="H297" s="5">
        <f t="shared" si="109"/>
        <v>14722</v>
      </c>
      <c r="I297" s="5">
        <f t="shared" si="109"/>
        <v>9792</v>
      </c>
      <c r="J297" s="5">
        <f t="shared" si="109"/>
        <v>2947.7999999999997</v>
      </c>
      <c r="K297" s="5">
        <f t="shared" si="109"/>
        <v>3930.4</v>
      </c>
      <c r="L297" s="5">
        <f t="shared" si="110"/>
        <v>29580</v>
      </c>
      <c r="M297" s="5">
        <f t="shared" si="110"/>
        <v>7361</v>
      </c>
      <c r="N297" s="5">
        <f t="shared" si="110"/>
        <v>4896</v>
      </c>
      <c r="O297" s="5">
        <f t="shared" si="110"/>
        <v>1473.8999999999999</v>
      </c>
      <c r="P297" s="5">
        <f t="shared" si="110"/>
        <v>1965.2</v>
      </c>
      <c r="Q297" s="5">
        <f t="shared" si="111"/>
        <v>106140</v>
      </c>
      <c r="R297" s="5">
        <f t="shared" si="112"/>
        <v>26413</v>
      </c>
      <c r="S297" s="5">
        <f t="shared" si="113"/>
        <v>17568</v>
      </c>
      <c r="T297" s="5">
        <f t="shared" si="114"/>
        <v>5288.7</v>
      </c>
      <c r="U297" s="5">
        <f t="shared" si="115"/>
        <v>7051.5999999999995</v>
      </c>
      <c r="V297" s="5">
        <f>B297*战斗力计算!$B$8+C297*战斗力计算!$B$9+D297*战斗力计算!$B$10+E297*战斗力计算!$B$11+F297*战斗力计算!$B$12</f>
        <v>127040</v>
      </c>
      <c r="W297" s="5">
        <f>G297*战斗力计算!$B$8+H297*战斗力计算!$B$9+I297*战斗力计算!$B$10+J297*战斗力计算!$B$11+K297*战斗力计算!$B$12+L297*战斗力计算!$B$8+M297*战斗力计算!$B$9+N297*战斗力计算!$B$10+O297*战斗力计算!$B$11+P297*战斗力计算!$B$12</f>
        <v>647904</v>
      </c>
      <c r="X297" s="5">
        <f t="shared" si="116"/>
        <v>774944</v>
      </c>
      <c r="AC297">
        <f t="shared" si="95"/>
        <v>3.4</v>
      </c>
      <c r="AD297">
        <f t="shared" si="96"/>
        <v>1.7</v>
      </c>
      <c r="AF297">
        <f t="shared" si="97"/>
        <v>0.75</v>
      </c>
      <c r="AH297">
        <f t="shared" si="98"/>
        <v>12</v>
      </c>
      <c r="AK297">
        <f t="shared" si="99"/>
        <v>6.041666666666667</v>
      </c>
      <c r="AL297">
        <f t="shared" si="100"/>
        <v>1.5034722222222223</v>
      </c>
      <c r="AM297">
        <f t="shared" si="101"/>
        <v>1</v>
      </c>
      <c r="AN297">
        <f t="shared" si="102"/>
        <v>6.041666666666667</v>
      </c>
      <c r="AO297">
        <f t="shared" si="103"/>
        <v>1.5034722222222223</v>
      </c>
      <c r="AP297">
        <f t="shared" si="104"/>
        <v>1</v>
      </c>
      <c r="AR297">
        <f t="shared" si="105"/>
        <v>4.4948096885813147</v>
      </c>
      <c r="AT297">
        <f t="shared" si="106"/>
        <v>4.4948096885813147</v>
      </c>
      <c r="AV297">
        <f t="shared" si="107"/>
        <v>3031</v>
      </c>
      <c r="AW297">
        <f t="shared" si="108"/>
        <v>5629</v>
      </c>
    </row>
    <row r="298" spans="1:49" x14ac:dyDescent="0.15">
      <c r="A298" s="5">
        <v>288</v>
      </c>
      <c r="B298" s="5">
        <f t="shared" si="94"/>
        <v>17460</v>
      </c>
      <c r="C298" s="5">
        <f t="shared" si="94"/>
        <v>4345</v>
      </c>
      <c r="D298" s="5">
        <f t="shared" si="94"/>
        <v>2890</v>
      </c>
      <c r="E298" s="5">
        <f t="shared" si="94"/>
        <v>870</v>
      </c>
      <c r="F298" s="5">
        <f t="shared" si="94"/>
        <v>1160</v>
      </c>
      <c r="G298" s="5">
        <f t="shared" si="109"/>
        <v>59364</v>
      </c>
      <c r="H298" s="5">
        <f t="shared" si="109"/>
        <v>14773</v>
      </c>
      <c r="I298" s="5">
        <f t="shared" si="109"/>
        <v>9826</v>
      </c>
      <c r="J298" s="5">
        <f t="shared" si="109"/>
        <v>2958</v>
      </c>
      <c r="K298" s="5">
        <f t="shared" si="109"/>
        <v>3944</v>
      </c>
      <c r="L298" s="5">
        <f t="shared" si="110"/>
        <v>29682</v>
      </c>
      <c r="M298" s="5">
        <f t="shared" si="110"/>
        <v>7386.5</v>
      </c>
      <c r="N298" s="5">
        <f t="shared" si="110"/>
        <v>4913</v>
      </c>
      <c r="O298" s="5">
        <f t="shared" si="110"/>
        <v>1479</v>
      </c>
      <c r="P298" s="5">
        <f t="shared" si="110"/>
        <v>1972</v>
      </c>
      <c r="Q298" s="5">
        <f t="shared" si="111"/>
        <v>106506</v>
      </c>
      <c r="R298" s="5">
        <f t="shared" si="112"/>
        <v>26504.5</v>
      </c>
      <c r="S298" s="5">
        <f t="shared" si="113"/>
        <v>17629</v>
      </c>
      <c r="T298" s="5">
        <f t="shared" si="114"/>
        <v>5307</v>
      </c>
      <c r="U298" s="5">
        <f t="shared" si="115"/>
        <v>7076</v>
      </c>
      <c r="V298" s="5">
        <f>B298*战斗力计算!$B$8+C298*战斗力计算!$B$9+D298*战斗力计算!$B$10+E298*战斗力计算!$B$11+F298*战斗力计算!$B$12</f>
        <v>127480</v>
      </c>
      <c r="W298" s="5">
        <f>G298*战斗力计算!$B$8+H298*战斗力计算!$B$9+I298*战斗力计算!$B$10+J298*战斗力计算!$B$11+K298*战斗力计算!$B$12+L298*战斗力计算!$B$8+M298*战斗力计算!$B$9+N298*战斗力计算!$B$10+O298*战斗力计算!$B$11+P298*战斗力计算!$B$12</f>
        <v>650148</v>
      </c>
      <c r="X298" s="5">
        <f t="shared" si="116"/>
        <v>777628</v>
      </c>
      <c r="AC298">
        <f t="shared" si="95"/>
        <v>3.4</v>
      </c>
      <c r="AD298">
        <f t="shared" si="96"/>
        <v>1.7</v>
      </c>
      <c r="AF298">
        <f t="shared" si="97"/>
        <v>0.75</v>
      </c>
      <c r="AH298">
        <f t="shared" si="98"/>
        <v>12</v>
      </c>
      <c r="AK298">
        <f t="shared" si="99"/>
        <v>6.0415224913494807</v>
      </c>
      <c r="AL298">
        <f t="shared" si="100"/>
        <v>1.5034602076124568</v>
      </c>
      <c r="AM298">
        <f t="shared" si="101"/>
        <v>1</v>
      </c>
      <c r="AN298">
        <f t="shared" si="102"/>
        <v>6.0415224913494807</v>
      </c>
      <c r="AO298">
        <f t="shared" si="103"/>
        <v>1.5034602076124568</v>
      </c>
      <c r="AP298">
        <f t="shared" si="104"/>
        <v>1</v>
      </c>
      <c r="AR298">
        <f t="shared" si="105"/>
        <v>4.4948275862068963</v>
      </c>
      <c r="AT298">
        <f t="shared" si="106"/>
        <v>4.4948275862068963</v>
      </c>
      <c r="AV298">
        <f t="shared" si="107"/>
        <v>3041</v>
      </c>
      <c r="AW298">
        <f t="shared" si="108"/>
        <v>5648</v>
      </c>
    </row>
    <row r="299" spans="1:49" x14ac:dyDescent="0.15">
      <c r="A299" s="5">
        <v>289</v>
      </c>
      <c r="B299" s="5">
        <f t="shared" si="94"/>
        <v>17520</v>
      </c>
      <c r="C299" s="5">
        <f t="shared" si="94"/>
        <v>4360</v>
      </c>
      <c r="D299" s="5">
        <f t="shared" si="94"/>
        <v>2900</v>
      </c>
      <c r="E299" s="5">
        <f t="shared" si="94"/>
        <v>873</v>
      </c>
      <c r="F299" s="5">
        <f t="shared" si="94"/>
        <v>1164</v>
      </c>
      <c r="G299" s="5">
        <f t="shared" si="109"/>
        <v>59568</v>
      </c>
      <c r="H299" s="5">
        <f t="shared" si="109"/>
        <v>14824</v>
      </c>
      <c r="I299" s="5">
        <f t="shared" si="109"/>
        <v>9860</v>
      </c>
      <c r="J299" s="5">
        <f t="shared" si="109"/>
        <v>2968.2</v>
      </c>
      <c r="K299" s="5">
        <f t="shared" si="109"/>
        <v>3957.6</v>
      </c>
      <c r="L299" s="5">
        <f t="shared" si="110"/>
        <v>29784</v>
      </c>
      <c r="M299" s="5">
        <f t="shared" si="110"/>
        <v>7412</v>
      </c>
      <c r="N299" s="5">
        <f t="shared" si="110"/>
        <v>4930</v>
      </c>
      <c r="O299" s="5">
        <f t="shared" si="110"/>
        <v>1484.1</v>
      </c>
      <c r="P299" s="5">
        <f t="shared" si="110"/>
        <v>1978.8</v>
      </c>
      <c r="Q299" s="5">
        <f t="shared" si="111"/>
        <v>106872</v>
      </c>
      <c r="R299" s="5">
        <f t="shared" si="112"/>
        <v>26596</v>
      </c>
      <c r="S299" s="5">
        <f t="shared" si="113"/>
        <v>17690</v>
      </c>
      <c r="T299" s="5">
        <f t="shared" si="114"/>
        <v>5325.2999999999993</v>
      </c>
      <c r="U299" s="5">
        <f t="shared" si="115"/>
        <v>7100.4000000000005</v>
      </c>
      <c r="V299" s="5">
        <f>B299*战斗力计算!$B$8+C299*战斗力计算!$B$9+D299*战斗力计算!$B$10+E299*战斗力计算!$B$11+F299*战斗力计算!$B$12</f>
        <v>127920</v>
      </c>
      <c r="W299" s="5">
        <f>G299*战斗力计算!$B$8+H299*战斗力计算!$B$9+I299*战斗力计算!$B$10+J299*战斗力计算!$B$11+K299*战斗力计算!$B$12+L299*战斗力计算!$B$8+M299*战斗力计算!$B$9+N299*战斗力计算!$B$10+O299*战斗力计算!$B$11+P299*战斗力计算!$B$12</f>
        <v>652392</v>
      </c>
      <c r="X299" s="5">
        <f t="shared" si="116"/>
        <v>780312</v>
      </c>
      <c r="AC299">
        <f t="shared" si="95"/>
        <v>3.4</v>
      </c>
      <c r="AD299">
        <f t="shared" si="96"/>
        <v>1.7</v>
      </c>
      <c r="AF299">
        <f t="shared" si="97"/>
        <v>0.74999999999999989</v>
      </c>
      <c r="AH299">
        <f t="shared" si="98"/>
        <v>12</v>
      </c>
      <c r="AK299">
        <f t="shared" si="99"/>
        <v>6.0413793103448272</v>
      </c>
      <c r="AL299">
        <f t="shared" si="100"/>
        <v>1.5034482758620689</v>
      </c>
      <c r="AM299">
        <f t="shared" si="101"/>
        <v>1</v>
      </c>
      <c r="AN299">
        <f t="shared" si="102"/>
        <v>6.0413793103448272</v>
      </c>
      <c r="AO299">
        <f t="shared" si="103"/>
        <v>1.5034482758620689</v>
      </c>
      <c r="AP299">
        <f t="shared" si="104"/>
        <v>1</v>
      </c>
      <c r="AR299">
        <f t="shared" si="105"/>
        <v>4.4948453608247423</v>
      </c>
      <c r="AT299">
        <f t="shared" si="106"/>
        <v>4.4948453608247423</v>
      </c>
      <c r="AV299">
        <f t="shared" si="107"/>
        <v>3052</v>
      </c>
      <c r="AW299">
        <f t="shared" si="108"/>
        <v>5668</v>
      </c>
    </row>
    <row r="300" spans="1:49" x14ac:dyDescent="0.15">
      <c r="A300" s="5">
        <v>290</v>
      </c>
      <c r="B300" s="5">
        <f t="shared" si="94"/>
        <v>17580</v>
      </c>
      <c r="C300" s="5">
        <f t="shared" si="94"/>
        <v>4375</v>
      </c>
      <c r="D300" s="5">
        <f t="shared" si="94"/>
        <v>2910</v>
      </c>
      <c r="E300" s="5">
        <f t="shared" si="94"/>
        <v>876</v>
      </c>
      <c r="F300" s="5">
        <f t="shared" si="94"/>
        <v>1168</v>
      </c>
      <c r="G300" s="5">
        <f t="shared" si="109"/>
        <v>59772</v>
      </c>
      <c r="H300" s="5">
        <f t="shared" si="109"/>
        <v>14875</v>
      </c>
      <c r="I300" s="5">
        <f t="shared" si="109"/>
        <v>9894</v>
      </c>
      <c r="J300" s="5">
        <f t="shared" si="109"/>
        <v>2978.4</v>
      </c>
      <c r="K300" s="5">
        <f t="shared" si="109"/>
        <v>3971.2</v>
      </c>
      <c r="L300" s="5">
        <f t="shared" si="110"/>
        <v>29886</v>
      </c>
      <c r="M300" s="5">
        <f t="shared" si="110"/>
        <v>7437.5</v>
      </c>
      <c r="N300" s="5">
        <f t="shared" si="110"/>
        <v>4947</v>
      </c>
      <c r="O300" s="5">
        <f t="shared" si="110"/>
        <v>1489.2</v>
      </c>
      <c r="P300" s="5">
        <f t="shared" si="110"/>
        <v>1985.6</v>
      </c>
      <c r="Q300" s="5">
        <f t="shared" si="111"/>
        <v>107238</v>
      </c>
      <c r="R300" s="5">
        <f t="shared" si="112"/>
        <v>26687.5</v>
      </c>
      <c r="S300" s="5">
        <f t="shared" si="113"/>
        <v>17751</v>
      </c>
      <c r="T300" s="5">
        <f t="shared" si="114"/>
        <v>5343.6</v>
      </c>
      <c r="U300" s="5">
        <f t="shared" si="115"/>
        <v>7124.7999999999993</v>
      </c>
      <c r="V300" s="5">
        <f>B300*战斗力计算!$B$8+C300*战斗力计算!$B$9+D300*战斗力计算!$B$10+E300*战斗力计算!$B$11+F300*战斗力计算!$B$12</f>
        <v>128360</v>
      </c>
      <c r="W300" s="5">
        <f>G300*战斗力计算!$B$8+H300*战斗力计算!$B$9+I300*战斗力计算!$B$10+J300*战斗力计算!$B$11+K300*战斗力计算!$B$12+L300*战斗力计算!$B$8+M300*战斗力计算!$B$9+N300*战斗力计算!$B$10+O300*战斗力计算!$B$11+P300*战斗力计算!$B$12</f>
        <v>654636</v>
      </c>
      <c r="X300" s="5">
        <f t="shared" si="116"/>
        <v>782996</v>
      </c>
      <c r="AC300">
        <f t="shared" si="95"/>
        <v>3.4</v>
      </c>
      <c r="AD300">
        <f t="shared" si="96"/>
        <v>1.7</v>
      </c>
      <c r="AF300">
        <f t="shared" si="97"/>
        <v>0.75000000000000011</v>
      </c>
      <c r="AH300">
        <f t="shared" si="98"/>
        <v>12</v>
      </c>
      <c r="AK300">
        <f t="shared" si="99"/>
        <v>6.0412371134020617</v>
      </c>
      <c r="AL300">
        <f t="shared" si="100"/>
        <v>1.5034364261168385</v>
      </c>
      <c r="AM300">
        <f t="shared" si="101"/>
        <v>1</v>
      </c>
      <c r="AN300">
        <f t="shared" si="102"/>
        <v>6.0412371134020617</v>
      </c>
      <c r="AO300">
        <f t="shared" si="103"/>
        <v>1.5034364261168385</v>
      </c>
      <c r="AP300">
        <f t="shared" si="104"/>
        <v>1</v>
      </c>
      <c r="AR300">
        <f t="shared" si="105"/>
        <v>4.4948630136986303</v>
      </c>
      <c r="AT300">
        <f t="shared" si="106"/>
        <v>4.4948630136986303</v>
      </c>
      <c r="AV300">
        <f t="shared" si="107"/>
        <v>3062</v>
      </c>
      <c r="AW300">
        <f t="shared" si="108"/>
        <v>5687</v>
      </c>
    </row>
    <row r="301" spans="1:49" x14ac:dyDescent="0.15">
      <c r="A301" s="5">
        <v>291</v>
      </c>
      <c r="B301" s="5">
        <f t="shared" si="94"/>
        <v>17640</v>
      </c>
      <c r="C301" s="5">
        <f t="shared" si="94"/>
        <v>4390</v>
      </c>
      <c r="D301" s="5">
        <f t="shared" si="94"/>
        <v>2920</v>
      </c>
      <c r="E301" s="5">
        <f t="shared" si="94"/>
        <v>879</v>
      </c>
      <c r="F301" s="5">
        <f t="shared" si="94"/>
        <v>1172</v>
      </c>
      <c r="G301" s="5">
        <f t="shared" si="109"/>
        <v>59976</v>
      </c>
      <c r="H301" s="5">
        <f t="shared" si="109"/>
        <v>14926</v>
      </c>
      <c r="I301" s="5">
        <f t="shared" si="109"/>
        <v>9928</v>
      </c>
      <c r="J301" s="5">
        <f t="shared" si="109"/>
        <v>2988.6</v>
      </c>
      <c r="K301" s="5">
        <f t="shared" si="109"/>
        <v>3984.7999999999997</v>
      </c>
      <c r="L301" s="5">
        <f t="shared" si="110"/>
        <v>29988</v>
      </c>
      <c r="M301" s="5">
        <f t="shared" si="110"/>
        <v>7463</v>
      </c>
      <c r="N301" s="5">
        <f t="shared" si="110"/>
        <v>4964</v>
      </c>
      <c r="O301" s="5">
        <f t="shared" si="110"/>
        <v>1494.3</v>
      </c>
      <c r="P301" s="5">
        <f t="shared" si="110"/>
        <v>1992.3999999999999</v>
      </c>
      <c r="Q301" s="5">
        <f t="shared" si="111"/>
        <v>107604</v>
      </c>
      <c r="R301" s="5">
        <f t="shared" si="112"/>
        <v>26779</v>
      </c>
      <c r="S301" s="5">
        <f t="shared" si="113"/>
        <v>17812</v>
      </c>
      <c r="T301" s="5">
        <f t="shared" si="114"/>
        <v>5361.9</v>
      </c>
      <c r="U301" s="5">
        <f t="shared" si="115"/>
        <v>7149.1999999999989</v>
      </c>
      <c r="V301" s="5">
        <f>B301*战斗力计算!$B$8+C301*战斗力计算!$B$9+D301*战斗力计算!$B$10+E301*战斗力计算!$B$11+F301*战斗力计算!$B$12</f>
        <v>128800</v>
      </c>
      <c r="W301" s="5">
        <f>G301*战斗力计算!$B$8+H301*战斗力计算!$B$9+I301*战斗力计算!$B$10+J301*战斗力计算!$B$11+K301*战斗力计算!$B$12+L301*战斗力计算!$B$8+M301*战斗力计算!$B$9+N301*战斗力计算!$B$10+O301*战斗力计算!$B$11+P301*战斗力计算!$B$12</f>
        <v>656880</v>
      </c>
      <c r="X301" s="5">
        <f t="shared" si="116"/>
        <v>785680</v>
      </c>
      <c r="AC301">
        <f t="shared" si="95"/>
        <v>3.4</v>
      </c>
      <c r="AD301">
        <f t="shared" si="96"/>
        <v>1.7</v>
      </c>
      <c r="AF301">
        <f t="shared" si="97"/>
        <v>0.75000000000000011</v>
      </c>
      <c r="AH301">
        <f t="shared" si="98"/>
        <v>12</v>
      </c>
      <c r="AK301">
        <f t="shared" si="99"/>
        <v>6.0410958904109586</v>
      </c>
      <c r="AL301">
        <f t="shared" si="100"/>
        <v>1.5034246575342465</v>
      </c>
      <c r="AM301">
        <f t="shared" si="101"/>
        <v>1</v>
      </c>
      <c r="AN301">
        <f t="shared" si="102"/>
        <v>6.0410958904109586</v>
      </c>
      <c r="AO301">
        <f t="shared" si="103"/>
        <v>1.5034246575342465</v>
      </c>
      <c r="AP301">
        <f t="shared" si="104"/>
        <v>1</v>
      </c>
      <c r="AR301">
        <f t="shared" si="105"/>
        <v>4.4948805460750849</v>
      </c>
      <c r="AT301">
        <f t="shared" si="106"/>
        <v>4.4948805460750849</v>
      </c>
      <c r="AV301">
        <f t="shared" si="107"/>
        <v>3073</v>
      </c>
      <c r="AW301">
        <f t="shared" si="108"/>
        <v>5707</v>
      </c>
    </row>
    <row r="302" spans="1:49" x14ac:dyDescent="0.15">
      <c r="A302" s="5">
        <v>292</v>
      </c>
      <c r="B302" s="5">
        <f t="shared" si="94"/>
        <v>17700</v>
      </c>
      <c r="C302" s="5">
        <f t="shared" si="94"/>
        <v>4405</v>
      </c>
      <c r="D302" s="5">
        <f t="shared" si="94"/>
        <v>2930</v>
      </c>
      <c r="E302" s="5">
        <f t="shared" si="94"/>
        <v>882</v>
      </c>
      <c r="F302" s="5">
        <f t="shared" si="94"/>
        <v>1176</v>
      </c>
      <c r="G302" s="5">
        <f t="shared" si="109"/>
        <v>60180</v>
      </c>
      <c r="H302" s="5">
        <f t="shared" si="109"/>
        <v>14977</v>
      </c>
      <c r="I302" s="5">
        <f t="shared" si="109"/>
        <v>9962</v>
      </c>
      <c r="J302" s="5">
        <f t="shared" si="109"/>
        <v>2998.7999999999997</v>
      </c>
      <c r="K302" s="5">
        <f t="shared" si="109"/>
        <v>3998.4</v>
      </c>
      <c r="L302" s="5">
        <f t="shared" si="110"/>
        <v>30090</v>
      </c>
      <c r="M302" s="5">
        <f t="shared" si="110"/>
        <v>7488.5</v>
      </c>
      <c r="N302" s="5">
        <f t="shared" si="110"/>
        <v>4981</v>
      </c>
      <c r="O302" s="5">
        <f t="shared" si="110"/>
        <v>1499.3999999999999</v>
      </c>
      <c r="P302" s="5">
        <f t="shared" si="110"/>
        <v>1999.2</v>
      </c>
      <c r="Q302" s="5">
        <f t="shared" si="111"/>
        <v>107970</v>
      </c>
      <c r="R302" s="5">
        <f t="shared" si="112"/>
        <v>26870.5</v>
      </c>
      <c r="S302" s="5">
        <f t="shared" si="113"/>
        <v>17873</v>
      </c>
      <c r="T302" s="5">
        <f t="shared" si="114"/>
        <v>5380.2</v>
      </c>
      <c r="U302" s="5">
        <f t="shared" si="115"/>
        <v>7173.5999999999995</v>
      </c>
      <c r="V302" s="5">
        <f>B302*战斗力计算!$B$8+C302*战斗力计算!$B$9+D302*战斗力计算!$B$10+E302*战斗力计算!$B$11+F302*战斗力计算!$B$12</f>
        <v>129240</v>
      </c>
      <c r="W302" s="5">
        <f>G302*战斗力计算!$B$8+H302*战斗力计算!$B$9+I302*战斗力计算!$B$10+J302*战斗力计算!$B$11+K302*战斗力计算!$B$12+L302*战斗力计算!$B$8+M302*战斗力计算!$B$9+N302*战斗力计算!$B$10+O302*战斗力计算!$B$11+P302*战斗力计算!$B$12</f>
        <v>659124</v>
      </c>
      <c r="X302" s="5">
        <f t="shared" si="116"/>
        <v>788364</v>
      </c>
      <c r="AC302">
        <f t="shared" si="95"/>
        <v>3.4</v>
      </c>
      <c r="AD302">
        <f t="shared" si="96"/>
        <v>1.7</v>
      </c>
      <c r="AF302">
        <f t="shared" si="97"/>
        <v>0.75</v>
      </c>
      <c r="AH302">
        <f t="shared" si="98"/>
        <v>12</v>
      </c>
      <c r="AK302">
        <f t="shared" si="99"/>
        <v>6.0409556313993171</v>
      </c>
      <c r="AL302">
        <f t="shared" si="100"/>
        <v>1.5034129692832765</v>
      </c>
      <c r="AM302">
        <f t="shared" si="101"/>
        <v>1</v>
      </c>
      <c r="AN302">
        <f t="shared" si="102"/>
        <v>6.0409556313993171</v>
      </c>
      <c r="AO302">
        <f t="shared" si="103"/>
        <v>1.5034129692832765</v>
      </c>
      <c r="AP302">
        <f t="shared" si="104"/>
        <v>1</v>
      </c>
      <c r="AR302">
        <f t="shared" si="105"/>
        <v>4.4948979591836737</v>
      </c>
      <c r="AT302">
        <f t="shared" si="106"/>
        <v>4.4948979591836737</v>
      </c>
      <c r="AV302">
        <f t="shared" si="107"/>
        <v>3083</v>
      </c>
      <c r="AW302">
        <f t="shared" si="108"/>
        <v>5726</v>
      </c>
    </row>
    <row r="303" spans="1:49" x14ac:dyDescent="0.15">
      <c r="A303" s="5">
        <v>293</v>
      </c>
      <c r="B303" s="5">
        <f t="shared" si="94"/>
        <v>17760</v>
      </c>
      <c r="C303" s="5">
        <f t="shared" si="94"/>
        <v>4420</v>
      </c>
      <c r="D303" s="5">
        <f t="shared" si="94"/>
        <v>2940</v>
      </c>
      <c r="E303" s="5">
        <f t="shared" si="94"/>
        <v>885</v>
      </c>
      <c r="F303" s="5">
        <f t="shared" si="94"/>
        <v>1180</v>
      </c>
      <c r="G303" s="5">
        <f t="shared" si="109"/>
        <v>60384</v>
      </c>
      <c r="H303" s="5">
        <f t="shared" si="109"/>
        <v>15028</v>
      </c>
      <c r="I303" s="5">
        <f t="shared" si="109"/>
        <v>9996</v>
      </c>
      <c r="J303" s="5">
        <f t="shared" si="109"/>
        <v>3009</v>
      </c>
      <c r="K303" s="5">
        <f t="shared" si="109"/>
        <v>4012</v>
      </c>
      <c r="L303" s="5">
        <f t="shared" si="110"/>
        <v>30192</v>
      </c>
      <c r="M303" s="5">
        <f t="shared" si="110"/>
        <v>7514</v>
      </c>
      <c r="N303" s="5">
        <f t="shared" si="110"/>
        <v>4998</v>
      </c>
      <c r="O303" s="5">
        <f t="shared" si="110"/>
        <v>1504.5</v>
      </c>
      <c r="P303" s="5">
        <f t="shared" si="110"/>
        <v>2006</v>
      </c>
      <c r="Q303" s="5">
        <f t="shared" si="111"/>
        <v>108336</v>
      </c>
      <c r="R303" s="5">
        <f t="shared" si="112"/>
        <v>26962</v>
      </c>
      <c r="S303" s="5">
        <f t="shared" si="113"/>
        <v>17934</v>
      </c>
      <c r="T303" s="5">
        <f t="shared" si="114"/>
        <v>5398.5</v>
      </c>
      <c r="U303" s="5">
        <f t="shared" si="115"/>
        <v>7198</v>
      </c>
      <c r="V303" s="5">
        <f>B303*战斗力计算!$B$8+C303*战斗力计算!$B$9+D303*战斗力计算!$B$10+E303*战斗力计算!$B$11+F303*战斗力计算!$B$12</f>
        <v>129680</v>
      </c>
      <c r="W303" s="5">
        <f>G303*战斗力计算!$B$8+H303*战斗力计算!$B$9+I303*战斗力计算!$B$10+J303*战斗力计算!$B$11+K303*战斗力计算!$B$12+L303*战斗力计算!$B$8+M303*战斗力计算!$B$9+N303*战斗力计算!$B$10+O303*战斗力计算!$B$11+P303*战斗力计算!$B$12</f>
        <v>661368</v>
      </c>
      <c r="X303" s="5">
        <f t="shared" si="116"/>
        <v>791048</v>
      </c>
      <c r="AC303">
        <f t="shared" si="95"/>
        <v>3.4</v>
      </c>
      <c r="AD303">
        <f t="shared" si="96"/>
        <v>1.7</v>
      </c>
      <c r="AF303">
        <f t="shared" si="97"/>
        <v>0.75</v>
      </c>
      <c r="AH303">
        <f t="shared" si="98"/>
        <v>12</v>
      </c>
      <c r="AK303">
        <f t="shared" si="99"/>
        <v>6.0408163265306118</v>
      </c>
      <c r="AL303">
        <f t="shared" si="100"/>
        <v>1.5034013605442176</v>
      </c>
      <c r="AM303">
        <f t="shared" si="101"/>
        <v>1</v>
      </c>
      <c r="AN303">
        <f t="shared" si="102"/>
        <v>6.0408163265306118</v>
      </c>
      <c r="AO303">
        <f t="shared" si="103"/>
        <v>1.5034013605442176</v>
      </c>
      <c r="AP303">
        <f t="shared" si="104"/>
        <v>1</v>
      </c>
      <c r="AR303">
        <f t="shared" si="105"/>
        <v>4.4949152542372879</v>
      </c>
      <c r="AT303">
        <f t="shared" si="106"/>
        <v>4.4949152542372879</v>
      </c>
      <c r="AV303">
        <f t="shared" si="107"/>
        <v>3094</v>
      </c>
      <c r="AW303">
        <f t="shared" si="108"/>
        <v>5746</v>
      </c>
    </row>
    <row r="304" spans="1:49" x14ac:dyDescent="0.15">
      <c r="A304" s="5">
        <v>294</v>
      </c>
      <c r="B304" s="5">
        <f t="shared" si="94"/>
        <v>17820</v>
      </c>
      <c r="C304" s="5">
        <f t="shared" si="94"/>
        <v>4435</v>
      </c>
      <c r="D304" s="5">
        <f t="shared" si="94"/>
        <v>2950</v>
      </c>
      <c r="E304" s="5">
        <f t="shared" si="94"/>
        <v>888</v>
      </c>
      <c r="F304" s="5">
        <f t="shared" si="94"/>
        <v>1184</v>
      </c>
      <c r="G304" s="5">
        <f t="shared" si="109"/>
        <v>60588</v>
      </c>
      <c r="H304" s="5">
        <f t="shared" si="109"/>
        <v>15079</v>
      </c>
      <c r="I304" s="5">
        <f t="shared" si="109"/>
        <v>10030</v>
      </c>
      <c r="J304" s="5">
        <f t="shared" si="109"/>
        <v>3019.2</v>
      </c>
      <c r="K304" s="5">
        <f t="shared" si="109"/>
        <v>4025.6</v>
      </c>
      <c r="L304" s="5">
        <f t="shared" si="110"/>
        <v>30294</v>
      </c>
      <c r="M304" s="5">
        <f t="shared" si="110"/>
        <v>7539.5</v>
      </c>
      <c r="N304" s="5">
        <f t="shared" si="110"/>
        <v>5015</v>
      </c>
      <c r="O304" s="5">
        <f t="shared" si="110"/>
        <v>1509.6</v>
      </c>
      <c r="P304" s="5">
        <f t="shared" si="110"/>
        <v>2012.8</v>
      </c>
      <c r="Q304" s="5">
        <f t="shared" si="111"/>
        <v>108702</v>
      </c>
      <c r="R304" s="5">
        <f t="shared" si="112"/>
        <v>27053.5</v>
      </c>
      <c r="S304" s="5">
        <f t="shared" si="113"/>
        <v>17995</v>
      </c>
      <c r="T304" s="5">
        <f t="shared" si="114"/>
        <v>5416.7999999999993</v>
      </c>
      <c r="U304" s="5">
        <f t="shared" si="115"/>
        <v>7222.4000000000005</v>
      </c>
      <c r="V304" s="5">
        <f>B304*战斗力计算!$B$8+C304*战斗力计算!$B$9+D304*战斗力计算!$B$10+E304*战斗力计算!$B$11+F304*战斗力计算!$B$12</f>
        <v>130120</v>
      </c>
      <c r="W304" s="5">
        <f>G304*战斗力计算!$B$8+H304*战斗力计算!$B$9+I304*战斗力计算!$B$10+J304*战斗力计算!$B$11+K304*战斗力计算!$B$12+L304*战斗力计算!$B$8+M304*战斗力计算!$B$9+N304*战斗力计算!$B$10+O304*战斗力计算!$B$11+P304*战斗力计算!$B$12</f>
        <v>663612</v>
      </c>
      <c r="X304" s="5">
        <f t="shared" si="116"/>
        <v>793732</v>
      </c>
      <c r="AC304">
        <f t="shared" si="95"/>
        <v>3.4</v>
      </c>
      <c r="AD304">
        <f t="shared" si="96"/>
        <v>1.7</v>
      </c>
      <c r="AF304">
        <f t="shared" si="97"/>
        <v>0.74999999999999989</v>
      </c>
      <c r="AH304">
        <f t="shared" si="98"/>
        <v>12</v>
      </c>
      <c r="AK304">
        <f t="shared" si="99"/>
        <v>6.0406779661016952</v>
      </c>
      <c r="AL304">
        <f t="shared" si="100"/>
        <v>1.5033898305084745</v>
      </c>
      <c r="AM304">
        <f t="shared" si="101"/>
        <v>1</v>
      </c>
      <c r="AN304">
        <f t="shared" si="102"/>
        <v>6.0406779661016952</v>
      </c>
      <c r="AO304">
        <f t="shared" si="103"/>
        <v>1.5033898305084745</v>
      </c>
      <c r="AP304">
        <f t="shared" si="104"/>
        <v>1</v>
      </c>
      <c r="AR304">
        <f t="shared" si="105"/>
        <v>4.4949324324324325</v>
      </c>
      <c r="AT304">
        <f t="shared" si="106"/>
        <v>4.4949324324324325</v>
      </c>
      <c r="AV304">
        <f t="shared" si="107"/>
        <v>3104</v>
      </c>
      <c r="AW304">
        <f t="shared" si="108"/>
        <v>5765</v>
      </c>
    </row>
    <row r="305" spans="1:49" x14ac:dyDescent="0.15">
      <c r="A305" s="5">
        <v>295</v>
      </c>
      <c r="B305" s="5">
        <f t="shared" si="94"/>
        <v>17880</v>
      </c>
      <c r="C305" s="5">
        <f t="shared" si="94"/>
        <v>4450</v>
      </c>
      <c r="D305" s="5">
        <f t="shared" si="94"/>
        <v>2960</v>
      </c>
      <c r="E305" s="5">
        <f t="shared" si="94"/>
        <v>891</v>
      </c>
      <c r="F305" s="5">
        <f t="shared" si="94"/>
        <v>1188</v>
      </c>
      <c r="G305" s="5">
        <f t="shared" si="109"/>
        <v>60792</v>
      </c>
      <c r="H305" s="5">
        <f t="shared" si="109"/>
        <v>15130</v>
      </c>
      <c r="I305" s="5">
        <f t="shared" si="109"/>
        <v>10064</v>
      </c>
      <c r="J305" s="5">
        <f t="shared" si="109"/>
        <v>3029.4</v>
      </c>
      <c r="K305" s="5">
        <f t="shared" si="109"/>
        <v>4039.2</v>
      </c>
      <c r="L305" s="5">
        <f t="shared" si="110"/>
        <v>30396</v>
      </c>
      <c r="M305" s="5">
        <f t="shared" si="110"/>
        <v>7565</v>
      </c>
      <c r="N305" s="5">
        <f t="shared" si="110"/>
        <v>5032</v>
      </c>
      <c r="O305" s="5">
        <f t="shared" si="110"/>
        <v>1514.7</v>
      </c>
      <c r="P305" s="5">
        <f t="shared" si="110"/>
        <v>2019.6</v>
      </c>
      <c r="Q305" s="5">
        <f t="shared" si="111"/>
        <v>109068</v>
      </c>
      <c r="R305" s="5">
        <f t="shared" si="112"/>
        <v>27145</v>
      </c>
      <c r="S305" s="5">
        <f t="shared" si="113"/>
        <v>18056</v>
      </c>
      <c r="T305" s="5">
        <f t="shared" si="114"/>
        <v>5435.1</v>
      </c>
      <c r="U305" s="5">
        <f t="shared" si="115"/>
        <v>7246.7999999999993</v>
      </c>
      <c r="V305" s="5">
        <f>B305*战斗力计算!$B$8+C305*战斗力计算!$B$9+D305*战斗力计算!$B$10+E305*战斗力计算!$B$11+F305*战斗力计算!$B$12</f>
        <v>130560</v>
      </c>
      <c r="W305" s="5">
        <f>G305*战斗力计算!$B$8+H305*战斗力计算!$B$9+I305*战斗力计算!$B$10+J305*战斗力计算!$B$11+K305*战斗力计算!$B$12+L305*战斗力计算!$B$8+M305*战斗力计算!$B$9+N305*战斗力计算!$B$10+O305*战斗力计算!$B$11+P305*战斗力计算!$B$12</f>
        <v>665856</v>
      </c>
      <c r="X305" s="5">
        <f t="shared" si="116"/>
        <v>796416</v>
      </c>
      <c r="AC305">
        <f t="shared" si="95"/>
        <v>3.4</v>
      </c>
      <c r="AD305">
        <f t="shared" si="96"/>
        <v>1.7</v>
      </c>
      <c r="AF305">
        <f t="shared" si="97"/>
        <v>0.75000000000000011</v>
      </c>
      <c r="AH305">
        <f t="shared" si="98"/>
        <v>12</v>
      </c>
      <c r="AK305">
        <f t="shared" si="99"/>
        <v>6.0405405405405403</v>
      </c>
      <c r="AL305">
        <f t="shared" si="100"/>
        <v>1.5033783783783783</v>
      </c>
      <c r="AM305">
        <f t="shared" si="101"/>
        <v>1</v>
      </c>
      <c r="AN305">
        <f t="shared" si="102"/>
        <v>6.0405405405405403</v>
      </c>
      <c r="AO305">
        <f t="shared" si="103"/>
        <v>1.5033783783783783</v>
      </c>
      <c r="AP305">
        <f t="shared" si="104"/>
        <v>1</v>
      </c>
      <c r="AR305">
        <f t="shared" si="105"/>
        <v>4.4949494949494948</v>
      </c>
      <c r="AT305">
        <f t="shared" si="106"/>
        <v>4.4949494949494948</v>
      </c>
      <c r="AV305">
        <f t="shared" si="107"/>
        <v>3115</v>
      </c>
      <c r="AW305">
        <f t="shared" si="108"/>
        <v>5785</v>
      </c>
    </row>
    <row r="306" spans="1:49" x14ac:dyDescent="0.15">
      <c r="A306" s="5">
        <v>296</v>
      </c>
      <c r="B306" s="5">
        <f t="shared" si="94"/>
        <v>17940</v>
      </c>
      <c r="C306" s="5">
        <f t="shared" si="94"/>
        <v>4465</v>
      </c>
      <c r="D306" s="5">
        <f t="shared" si="94"/>
        <v>2970</v>
      </c>
      <c r="E306" s="5">
        <f t="shared" si="94"/>
        <v>894</v>
      </c>
      <c r="F306" s="5">
        <f t="shared" si="94"/>
        <v>1192</v>
      </c>
      <c r="G306" s="5">
        <f t="shared" si="109"/>
        <v>60996</v>
      </c>
      <c r="H306" s="5">
        <f t="shared" si="109"/>
        <v>15181</v>
      </c>
      <c r="I306" s="5">
        <f t="shared" si="109"/>
        <v>10098</v>
      </c>
      <c r="J306" s="5">
        <f t="shared" si="109"/>
        <v>3039.6</v>
      </c>
      <c r="K306" s="5">
        <f t="shared" si="109"/>
        <v>4052.7999999999997</v>
      </c>
      <c r="L306" s="5">
        <f t="shared" si="110"/>
        <v>30498</v>
      </c>
      <c r="M306" s="5">
        <f t="shared" si="110"/>
        <v>7590.5</v>
      </c>
      <c r="N306" s="5">
        <f t="shared" si="110"/>
        <v>5049</v>
      </c>
      <c r="O306" s="5">
        <f t="shared" si="110"/>
        <v>1519.8</v>
      </c>
      <c r="P306" s="5">
        <f t="shared" si="110"/>
        <v>2026.3999999999999</v>
      </c>
      <c r="Q306" s="5">
        <f t="shared" si="111"/>
        <v>109434</v>
      </c>
      <c r="R306" s="5">
        <f t="shared" si="112"/>
        <v>27236.5</v>
      </c>
      <c r="S306" s="5">
        <f t="shared" si="113"/>
        <v>18117</v>
      </c>
      <c r="T306" s="5">
        <f t="shared" si="114"/>
        <v>5453.4</v>
      </c>
      <c r="U306" s="5">
        <f t="shared" si="115"/>
        <v>7271.1999999999989</v>
      </c>
      <c r="V306" s="5">
        <f>B306*战斗力计算!$B$8+C306*战斗力计算!$B$9+D306*战斗力计算!$B$10+E306*战斗力计算!$B$11+F306*战斗力计算!$B$12</f>
        <v>131000</v>
      </c>
      <c r="W306" s="5">
        <f>G306*战斗力计算!$B$8+H306*战斗力计算!$B$9+I306*战斗力计算!$B$10+J306*战斗力计算!$B$11+K306*战斗力计算!$B$12+L306*战斗力计算!$B$8+M306*战斗力计算!$B$9+N306*战斗力计算!$B$10+O306*战斗力计算!$B$11+P306*战斗力计算!$B$12</f>
        <v>668100</v>
      </c>
      <c r="X306" s="5">
        <f t="shared" si="116"/>
        <v>799100</v>
      </c>
      <c r="AC306">
        <f t="shared" si="95"/>
        <v>3.4</v>
      </c>
      <c r="AD306">
        <f t="shared" si="96"/>
        <v>1.7</v>
      </c>
      <c r="AF306">
        <f t="shared" si="97"/>
        <v>0.75000000000000011</v>
      </c>
      <c r="AH306">
        <f t="shared" si="98"/>
        <v>12</v>
      </c>
      <c r="AK306">
        <f t="shared" si="99"/>
        <v>6.0404040404040407</v>
      </c>
      <c r="AL306">
        <f t="shared" si="100"/>
        <v>1.5033670033670035</v>
      </c>
      <c r="AM306">
        <f t="shared" si="101"/>
        <v>1</v>
      </c>
      <c r="AN306">
        <f t="shared" si="102"/>
        <v>6.0404040404040407</v>
      </c>
      <c r="AO306">
        <f t="shared" si="103"/>
        <v>1.5033670033670035</v>
      </c>
      <c r="AP306">
        <f t="shared" si="104"/>
        <v>1</v>
      </c>
      <c r="AR306">
        <f t="shared" si="105"/>
        <v>4.4949664429530198</v>
      </c>
      <c r="AT306">
        <f t="shared" si="106"/>
        <v>4.4949664429530198</v>
      </c>
      <c r="AV306">
        <f t="shared" si="107"/>
        <v>3125</v>
      </c>
      <c r="AW306">
        <f t="shared" si="108"/>
        <v>5804</v>
      </c>
    </row>
    <row r="307" spans="1:49" x14ac:dyDescent="0.15">
      <c r="A307" s="5">
        <v>297</v>
      </c>
      <c r="B307" s="5">
        <f t="shared" si="94"/>
        <v>18000</v>
      </c>
      <c r="C307" s="5">
        <f t="shared" si="94"/>
        <v>4480</v>
      </c>
      <c r="D307" s="5">
        <f t="shared" si="94"/>
        <v>2980</v>
      </c>
      <c r="E307" s="5">
        <f t="shared" si="94"/>
        <v>897</v>
      </c>
      <c r="F307" s="5">
        <f t="shared" si="94"/>
        <v>1196</v>
      </c>
      <c r="G307" s="5">
        <f t="shared" si="109"/>
        <v>61200</v>
      </c>
      <c r="H307" s="5">
        <f t="shared" si="109"/>
        <v>15232</v>
      </c>
      <c r="I307" s="5">
        <f t="shared" si="109"/>
        <v>10132</v>
      </c>
      <c r="J307" s="5">
        <f t="shared" si="109"/>
        <v>3049.7999999999997</v>
      </c>
      <c r="K307" s="5">
        <f t="shared" si="109"/>
        <v>4066.4</v>
      </c>
      <c r="L307" s="5">
        <f t="shared" si="110"/>
        <v>30600</v>
      </c>
      <c r="M307" s="5">
        <f t="shared" si="110"/>
        <v>7616</v>
      </c>
      <c r="N307" s="5">
        <f t="shared" si="110"/>
        <v>5066</v>
      </c>
      <c r="O307" s="5">
        <f t="shared" si="110"/>
        <v>1524.8999999999999</v>
      </c>
      <c r="P307" s="5">
        <f t="shared" si="110"/>
        <v>2033.2</v>
      </c>
      <c r="Q307" s="5">
        <f t="shared" si="111"/>
        <v>109800</v>
      </c>
      <c r="R307" s="5">
        <f t="shared" si="112"/>
        <v>27328</v>
      </c>
      <c r="S307" s="5">
        <f t="shared" si="113"/>
        <v>18178</v>
      </c>
      <c r="T307" s="5">
        <f t="shared" si="114"/>
        <v>5471.7</v>
      </c>
      <c r="U307" s="5">
        <f t="shared" si="115"/>
        <v>7295.5999999999995</v>
      </c>
      <c r="V307" s="5">
        <f>B307*战斗力计算!$B$8+C307*战斗力计算!$B$9+D307*战斗力计算!$B$10+E307*战斗力计算!$B$11+F307*战斗力计算!$B$12</f>
        <v>131440</v>
      </c>
      <c r="W307" s="5">
        <f>G307*战斗力计算!$B$8+H307*战斗力计算!$B$9+I307*战斗力计算!$B$10+J307*战斗力计算!$B$11+K307*战斗力计算!$B$12+L307*战斗力计算!$B$8+M307*战斗力计算!$B$9+N307*战斗力计算!$B$10+O307*战斗力计算!$B$11+P307*战斗力计算!$B$12</f>
        <v>670344</v>
      </c>
      <c r="X307" s="5">
        <f t="shared" si="116"/>
        <v>801784</v>
      </c>
      <c r="AC307">
        <f t="shared" si="95"/>
        <v>3.4</v>
      </c>
      <c r="AD307">
        <f t="shared" si="96"/>
        <v>1.7</v>
      </c>
      <c r="AF307">
        <f t="shared" si="97"/>
        <v>0.75</v>
      </c>
      <c r="AH307">
        <f t="shared" si="98"/>
        <v>12</v>
      </c>
      <c r="AK307">
        <f t="shared" si="99"/>
        <v>6.0402684563758386</v>
      </c>
      <c r="AL307">
        <f t="shared" si="100"/>
        <v>1.5033557046979866</v>
      </c>
      <c r="AM307">
        <f t="shared" si="101"/>
        <v>1</v>
      </c>
      <c r="AN307">
        <f t="shared" si="102"/>
        <v>6.0402684563758386</v>
      </c>
      <c r="AO307">
        <f t="shared" si="103"/>
        <v>1.5033557046979866</v>
      </c>
      <c r="AP307">
        <f t="shared" si="104"/>
        <v>1</v>
      </c>
      <c r="AR307">
        <f t="shared" si="105"/>
        <v>4.4949832775919729</v>
      </c>
      <c r="AT307">
        <f t="shared" si="106"/>
        <v>4.4949832775919729</v>
      </c>
      <c r="AV307">
        <f t="shared" si="107"/>
        <v>3136</v>
      </c>
      <c r="AW307">
        <f t="shared" si="108"/>
        <v>5824</v>
      </c>
    </row>
    <row r="308" spans="1:49" x14ac:dyDescent="0.15">
      <c r="A308" s="5">
        <v>298</v>
      </c>
      <c r="B308" s="5">
        <f t="shared" si="94"/>
        <v>18060</v>
      </c>
      <c r="C308" s="5">
        <f t="shared" si="94"/>
        <v>4495</v>
      </c>
      <c r="D308" s="5">
        <f t="shared" si="94"/>
        <v>2990</v>
      </c>
      <c r="E308" s="5">
        <f t="shared" si="94"/>
        <v>900</v>
      </c>
      <c r="F308" s="5">
        <f t="shared" si="94"/>
        <v>1200</v>
      </c>
      <c r="G308" s="5">
        <f t="shared" si="109"/>
        <v>61404</v>
      </c>
      <c r="H308" s="5">
        <f t="shared" si="109"/>
        <v>15283</v>
      </c>
      <c r="I308" s="5">
        <f t="shared" si="109"/>
        <v>10166</v>
      </c>
      <c r="J308" s="5">
        <f t="shared" si="109"/>
        <v>3060</v>
      </c>
      <c r="K308" s="5">
        <f t="shared" si="109"/>
        <v>4080</v>
      </c>
      <c r="L308" s="5">
        <f t="shared" si="110"/>
        <v>30702</v>
      </c>
      <c r="M308" s="5">
        <f t="shared" si="110"/>
        <v>7641.5</v>
      </c>
      <c r="N308" s="5">
        <f t="shared" si="110"/>
        <v>5083</v>
      </c>
      <c r="O308" s="5">
        <f t="shared" si="110"/>
        <v>1530</v>
      </c>
      <c r="P308" s="5">
        <f t="shared" si="110"/>
        <v>2040</v>
      </c>
      <c r="Q308" s="5">
        <f t="shared" si="111"/>
        <v>110166</v>
      </c>
      <c r="R308" s="5">
        <f t="shared" si="112"/>
        <v>27419.5</v>
      </c>
      <c r="S308" s="5">
        <f t="shared" si="113"/>
        <v>18239</v>
      </c>
      <c r="T308" s="5">
        <f t="shared" si="114"/>
        <v>5490</v>
      </c>
      <c r="U308" s="5">
        <f t="shared" si="115"/>
        <v>7320</v>
      </c>
      <c r="V308" s="5">
        <f>B308*战斗力计算!$B$8+C308*战斗力计算!$B$9+D308*战斗力计算!$B$10+E308*战斗力计算!$B$11+F308*战斗力计算!$B$12</f>
        <v>131880</v>
      </c>
      <c r="W308" s="5">
        <f>G308*战斗力计算!$B$8+H308*战斗力计算!$B$9+I308*战斗力计算!$B$10+J308*战斗力计算!$B$11+K308*战斗力计算!$B$12+L308*战斗力计算!$B$8+M308*战斗力计算!$B$9+N308*战斗力计算!$B$10+O308*战斗力计算!$B$11+P308*战斗力计算!$B$12</f>
        <v>672588</v>
      </c>
      <c r="X308" s="5">
        <f t="shared" si="116"/>
        <v>804468</v>
      </c>
      <c r="AC308">
        <f t="shared" si="95"/>
        <v>3.4</v>
      </c>
      <c r="AD308">
        <f t="shared" si="96"/>
        <v>1.7</v>
      </c>
      <c r="AF308">
        <f t="shared" si="97"/>
        <v>0.75</v>
      </c>
      <c r="AH308">
        <f t="shared" si="98"/>
        <v>12</v>
      </c>
      <c r="AK308">
        <f t="shared" si="99"/>
        <v>6.040133779264214</v>
      </c>
      <c r="AL308">
        <f t="shared" si="100"/>
        <v>1.5033444816053512</v>
      </c>
      <c r="AM308">
        <f t="shared" si="101"/>
        <v>1</v>
      </c>
      <c r="AN308">
        <f t="shared" si="102"/>
        <v>6.040133779264214</v>
      </c>
      <c r="AO308">
        <f t="shared" si="103"/>
        <v>1.5033444816053512</v>
      </c>
      <c r="AP308">
        <f t="shared" si="104"/>
        <v>1</v>
      </c>
      <c r="AR308">
        <f t="shared" si="105"/>
        <v>4.4950000000000001</v>
      </c>
      <c r="AT308">
        <f t="shared" si="106"/>
        <v>4.4950000000000001</v>
      </c>
      <c r="AV308">
        <f t="shared" si="107"/>
        <v>3146</v>
      </c>
      <c r="AW308">
        <f t="shared" si="108"/>
        <v>5843</v>
      </c>
    </row>
    <row r="309" spans="1:49" x14ac:dyDescent="0.15">
      <c r="A309" s="5">
        <v>299</v>
      </c>
      <c r="B309" s="5">
        <f t="shared" si="94"/>
        <v>18120</v>
      </c>
      <c r="C309" s="5">
        <f t="shared" si="94"/>
        <v>4510</v>
      </c>
      <c r="D309" s="5">
        <f t="shared" si="94"/>
        <v>3000</v>
      </c>
      <c r="E309" s="5">
        <f t="shared" si="94"/>
        <v>903</v>
      </c>
      <c r="F309" s="5">
        <f t="shared" si="94"/>
        <v>1204</v>
      </c>
      <c r="G309" s="5">
        <f t="shared" si="109"/>
        <v>61608</v>
      </c>
      <c r="H309" s="5">
        <f t="shared" si="109"/>
        <v>15334</v>
      </c>
      <c r="I309" s="5">
        <f t="shared" si="109"/>
        <v>10200</v>
      </c>
      <c r="J309" s="5">
        <f t="shared" si="109"/>
        <v>3070.2</v>
      </c>
      <c r="K309" s="5">
        <f t="shared" si="109"/>
        <v>4093.6</v>
      </c>
      <c r="L309" s="5">
        <f t="shared" si="110"/>
        <v>30804</v>
      </c>
      <c r="M309" s="5">
        <f t="shared" si="110"/>
        <v>7667</v>
      </c>
      <c r="N309" s="5">
        <f t="shared" si="110"/>
        <v>5100</v>
      </c>
      <c r="O309" s="5">
        <f t="shared" si="110"/>
        <v>1535.1</v>
      </c>
      <c r="P309" s="5">
        <f t="shared" si="110"/>
        <v>2046.8</v>
      </c>
      <c r="Q309" s="5">
        <f t="shared" si="111"/>
        <v>110532</v>
      </c>
      <c r="R309" s="5">
        <f t="shared" si="112"/>
        <v>27511</v>
      </c>
      <c r="S309" s="5">
        <f t="shared" si="113"/>
        <v>18300</v>
      </c>
      <c r="T309" s="5">
        <f t="shared" si="114"/>
        <v>5508.2999999999993</v>
      </c>
      <c r="U309" s="5">
        <f t="shared" si="115"/>
        <v>7344.4000000000005</v>
      </c>
      <c r="V309" s="5">
        <f>B309*战斗力计算!$B$8+C309*战斗力计算!$B$9+D309*战斗力计算!$B$10+E309*战斗力计算!$B$11+F309*战斗力计算!$B$12</f>
        <v>132320</v>
      </c>
      <c r="W309" s="5">
        <f>G309*战斗力计算!$B$8+H309*战斗力计算!$B$9+I309*战斗力计算!$B$10+J309*战斗力计算!$B$11+K309*战斗力计算!$B$12+L309*战斗力计算!$B$8+M309*战斗力计算!$B$9+N309*战斗力计算!$B$10+O309*战斗力计算!$B$11+P309*战斗力计算!$B$12</f>
        <v>674832</v>
      </c>
      <c r="X309" s="5">
        <f t="shared" si="116"/>
        <v>807152</v>
      </c>
      <c r="AC309">
        <f t="shared" si="95"/>
        <v>3.4</v>
      </c>
      <c r="AD309">
        <f t="shared" si="96"/>
        <v>1.7</v>
      </c>
      <c r="AF309">
        <f t="shared" si="97"/>
        <v>0.74999999999999989</v>
      </c>
      <c r="AH309">
        <f t="shared" si="98"/>
        <v>12</v>
      </c>
      <c r="AK309">
        <f t="shared" si="99"/>
        <v>6.04</v>
      </c>
      <c r="AL309">
        <f t="shared" si="100"/>
        <v>1.5033333333333334</v>
      </c>
      <c r="AM309">
        <f t="shared" si="101"/>
        <v>1</v>
      </c>
      <c r="AN309">
        <f t="shared" si="102"/>
        <v>6.04</v>
      </c>
      <c r="AO309">
        <f t="shared" si="103"/>
        <v>1.5033333333333334</v>
      </c>
      <c r="AP309">
        <f t="shared" si="104"/>
        <v>1</v>
      </c>
      <c r="AR309">
        <f t="shared" si="105"/>
        <v>4.4950166112956813</v>
      </c>
      <c r="AT309">
        <f t="shared" si="106"/>
        <v>4.4950166112956813</v>
      </c>
      <c r="AV309">
        <f t="shared" si="107"/>
        <v>3157</v>
      </c>
      <c r="AW309">
        <f t="shared" si="108"/>
        <v>5863</v>
      </c>
    </row>
    <row r="310" spans="1:49" x14ac:dyDescent="0.15">
      <c r="A310" s="5">
        <v>300</v>
      </c>
      <c r="B310" s="5">
        <f t="shared" si="94"/>
        <v>18180</v>
      </c>
      <c r="C310" s="5">
        <f t="shared" si="94"/>
        <v>4525</v>
      </c>
      <c r="D310" s="5">
        <f t="shared" si="94"/>
        <v>3010</v>
      </c>
      <c r="E310" s="5">
        <f t="shared" si="94"/>
        <v>906</v>
      </c>
      <c r="F310" s="5">
        <f t="shared" si="94"/>
        <v>1208</v>
      </c>
      <c r="G310" s="5">
        <f t="shared" si="109"/>
        <v>65448</v>
      </c>
      <c r="H310" s="5">
        <f t="shared" si="109"/>
        <v>16290</v>
      </c>
      <c r="I310" s="5">
        <f t="shared" si="109"/>
        <v>10836</v>
      </c>
      <c r="J310" s="5">
        <f t="shared" si="109"/>
        <v>3261.6</v>
      </c>
      <c r="K310" s="5">
        <f t="shared" si="109"/>
        <v>4348.8</v>
      </c>
      <c r="L310" s="5">
        <f t="shared" si="110"/>
        <v>32724</v>
      </c>
      <c r="M310" s="5">
        <f t="shared" si="110"/>
        <v>8145</v>
      </c>
      <c r="N310" s="5">
        <f t="shared" si="110"/>
        <v>5418</v>
      </c>
      <c r="O310" s="5">
        <f t="shared" si="110"/>
        <v>1630.8</v>
      </c>
      <c r="P310" s="5">
        <f t="shared" si="110"/>
        <v>2174.4</v>
      </c>
      <c r="Q310" s="5">
        <f t="shared" si="111"/>
        <v>116352</v>
      </c>
      <c r="R310" s="5">
        <f t="shared" si="112"/>
        <v>28960</v>
      </c>
      <c r="S310" s="5">
        <f t="shared" si="113"/>
        <v>19264</v>
      </c>
      <c r="T310" s="5">
        <f t="shared" si="114"/>
        <v>5798.4000000000005</v>
      </c>
      <c r="U310" s="5">
        <f t="shared" si="115"/>
        <v>7731.2000000000007</v>
      </c>
      <c r="V310" s="5">
        <f>B310*战斗力计算!$B$8+C310*战斗力计算!$B$9+D310*战斗力计算!$B$10+E310*战斗力计算!$B$11+F310*战斗力计算!$B$12</f>
        <v>132760</v>
      </c>
      <c r="W310" s="5">
        <f>G310*战斗力计算!$B$8+H310*战斗力计算!$B$9+I310*战斗力计算!$B$10+J310*战斗力计算!$B$11+K310*战斗力计算!$B$12+L310*战斗力计算!$B$8+M310*战斗力计算!$B$9+N310*战斗力计算!$B$10+O310*战斗力计算!$B$11+P310*战斗力计算!$B$12</f>
        <v>716904</v>
      </c>
      <c r="X310" s="5">
        <f t="shared" si="116"/>
        <v>849664</v>
      </c>
      <c r="AC310">
        <f t="shared" si="95"/>
        <v>3.6</v>
      </c>
      <c r="AD310">
        <f t="shared" si="96"/>
        <v>1.8</v>
      </c>
      <c r="AF310">
        <f t="shared" si="97"/>
        <v>0.75</v>
      </c>
      <c r="AH310">
        <f t="shared" si="98"/>
        <v>12</v>
      </c>
      <c r="AK310">
        <f t="shared" si="99"/>
        <v>6.0398671096345513</v>
      </c>
      <c r="AL310">
        <f t="shared" si="100"/>
        <v>1.5033222591362125</v>
      </c>
      <c r="AM310">
        <f t="shared" si="101"/>
        <v>1</v>
      </c>
      <c r="AN310">
        <f t="shared" si="102"/>
        <v>6.0398671096345513</v>
      </c>
      <c r="AO310">
        <f t="shared" si="103"/>
        <v>1.5033222591362125</v>
      </c>
      <c r="AP310">
        <f t="shared" si="104"/>
        <v>1</v>
      </c>
      <c r="AR310">
        <f t="shared" si="105"/>
        <v>4.4950331125827816</v>
      </c>
      <c r="AT310">
        <f t="shared" si="106"/>
        <v>4.4950331125827816</v>
      </c>
      <c r="AV310">
        <f t="shared" si="107"/>
        <v>3167</v>
      </c>
      <c r="AW310">
        <f t="shared" si="108"/>
        <v>5882</v>
      </c>
    </row>
    <row r="311" spans="1:49" x14ac:dyDescent="0.15">
      <c r="A311" s="5">
        <v>301</v>
      </c>
      <c r="B311" s="5">
        <f t="shared" si="94"/>
        <v>18240</v>
      </c>
      <c r="C311" s="5">
        <f t="shared" si="94"/>
        <v>4540</v>
      </c>
      <c r="D311" s="5">
        <f t="shared" si="94"/>
        <v>3020</v>
      </c>
      <c r="E311" s="5">
        <f t="shared" si="94"/>
        <v>909</v>
      </c>
      <c r="F311" s="5">
        <f t="shared" si="94"/>
        <v>1212</v>
      </c>
      <c r="G311" s="5">
        <f t="shared" si="109"/>
        <v>65664</v>
      </c>
      <c r="H311" s="5">
        <f t="shared" si="109"/>
        <v>16344</v>
      </c>
      <c r="I311" s="5">
        <f t="shared" si="109"/>
        <v>10872</v>
      </c>
      <c r="J311" s="5">
        <f t="shared" si="109"/>
        <v>3272.4</v>
      </c>
      <c r="K311" s="5">
        <f t="shared" si="109"/>
        <v>4363.2</v>
      </c>
      <c r="L311" s="5">
        <f t="shared" si="110"/>
        <v>32832</v>
      </c>
      <c r="M311" s="5">
        <f t="shared" si="110"/>
        <v>8172</v>
      </c>
      <c r="N311" s="5">
        <f t="shared" si="110"/>
        <v>5436</v>
      </c>
      <c r="O311" s="5">
        <f t="shared" si="110"/>
        <v>1636.2</v>
      </c>
      <c r="P311" s="5">
        <f t="shared" si="110"/>
        <v>2181.6</v>
      </c>
      <c r="Q311" s="5">
        <f t="shared" si="111"/>
        <v>116736</v>
      </c>
      <c r="R311" s="5">
        <f t="shared" si="112"/>
        <v>29056</v>
      </c>
      <c r="S311" s="5">
        <f t="shared" si="113"/>
        <v>19328</v>
      </c>
      <c r="T311" s="5">
        <f t="shared" si="114"/>
        <v>5817.5999999999995</v>
      </c>
      <c r="U311" s="5">
        <f t="shared" si="115"/>
        <v>7756.7999999999993</v>
      </c>
      <c r="V311" s="5">
        <f>B311*战斗力计算!$B$8+C311*战斗力计算!$B$9+D311*战斗力计算!$B$10+E311*战斗力计算!$B$11+F311*战斗力计算!$B$12</f>
        <v>133200</v>
      </c>
      <c r="W311" s="5">
        <f>G311*战斗力计算!$B$8+H311*战斗力计算!$B$9+I311*战斗力计算!$B$10+J311*战斗力计算!$B$11+K311*战斗力计算!$B$12+L311*战斗力计算!$B$8+M311*战斗力计算!$B$9+N311*战斗力计算!$B$10+O311*战斗力计算!$B$11+P311*战斗力计算!$B$12</f>
        <v>719280</v>
      </c>
      <c r="X311" s="5">
        <f t="shared" si="116"/>
        <v>852480</v>
      </c>
      <c r="AC311">
        <f t="shared" si="95"/>
        <v>3.6</v>
      </c>
      <c r="AD311">
        <f t="shared" si="96"/>
        <v>1.8</v>
      </c>
      <c r="AF311">
        <f t="shared" si="97"/>
        <v>0.75</v>
      </c>
      <c r="AH311">
        <f t="shared" si="98"/>
        <v>12</v>
      </c>
      <c r="AK311">
        <f t="shared" si="99"/>
        <v>6.0397350993377481</v>
      </c>
      <c r="AL311">
        <f t="shared" si="100"/>
        <v>1.5033112582781456</v>
      </c>
      <c r="AM311">
        <f t="shared" si="101"/>
        <v>1</v>
      </c>
      <c r="AN311">
        <f t="shared" si="102"/>
        <v>6.0397350993377481</v>
      </c>
      <c r="AO311">
        <f t="shared" si="103"/>
        <v>1.5033112582781456</v>
      </c>
      <c r="AP311">
        <f t="shared" si="104"/>
        <v>1</v>
      </c>
      <c r="AR311">
        <f t="shared" si="105"/>
        <v>4.4950495049504955</v>
      </c>
      <c r="AT311">
        <f t="shared" si="106"/>
        <v>4.4950495049504955</v>
      </c>
      <c r="AV311">
        <f t="shared" si="107"/>
        <v>3178</v>
      </c>
      <c r="AW311">
        <f t="shared" si="108"/>
        <v>5902</v>
      </c>
    </row>
    <row r="312" spans="1:49" x14ac:dyDescent="0.15">
      <c r="A312" s="5">
        <v>302</v>
      </c>
      <c r="B312" s="5">
        <f t="shared" si="94"/>
        <v>18300</v>
      </c>
      <c r="C312" s="5">
        <f t="shared" si="94"/>
        <v>4555</v>
      </c>
      <c r="D312" s="5">
        <f t="shared" si="94"/>
        <v>3030</v>
      </c>
      <c r="E312" s="5">
        <f t="shared" si="94"/>
        <v>912</v>
      </c>
      <c r="F312" s="5">
        <f t="shared" si="94"/>
        <v>1216</v>
      </c>
      <c r="G312" s="5">
        <f t="shared" si="109"/>
        <v>65880</v>
      </c>
      <c r="H312" s="5">
        <f t="shared" si="109"/>
        <v>16398</v>
      </c>
      <c r="I312" s="5">
        <f t="shared" si="109"/>
        <v>10908</v>
      </c>
      <c r="J312" s="5">
        <f t="shared" si="109"/>
        <v>3283.2000000000003</v>
      </c>
      <c r="K312" s="5">
        <f t="shared" si="109"/>
        <v>4377.6000000000004</v>
      </c>
      <c r="L312" s="5">
        <f t="shared" si="110"/>
        <v>32940</v>
      </c>
      <c r="M312" s="5">
        <f t="shared" si="110"/>
        <v>8199</v>
      </c>
      <c r="N312" s="5">
        <f t="shared" si="110"/>
        <v>5454</v>
      </c>
      <c r="O312" s="5">
        <f t="shared" si="110"/>
        <v>1641.6000000000001</v>
      </c>
      <c r="P312" s="5">
        <f t="shared" si="110"/>
        <v>2188.8000000000002</v>
      </c>
      <c r="Q312" s="5">
        <f t="shared" si="111"/>
        <v>117120</v>
      </c>
      <c r="R312" s="5">
        <f t="shared" si="112"/>
        <v>29152</v>
      </c>
      <c r="S312" s="5">
        <f t="shared" si="113"/>
        <v>19392</v>
      </c>
      <c r="T312" s="5">
        <f t="shared" si="114"/>
        <v>5836.8000000000011</v>
      </c>
      <c r="U312" s="5">
        <f t="shared" si="115"/>
        <v>7782.4000000000005</v>
      </c>
      <c r="V312" s="5">
        <f>B312*战斗力计算!$B$8+C312*战斗力计算!$B$9+D312*战斗力计算!$B$10+E312*战斗力计算!$B$11+F312*战斗力计算!$B$12</f>
        <v>133640</v>
      </c>
      <c r="W312" s="5">
        <f>G312*战斗力计算!$B$8+H312*战斗力计算!$B$9+I312*战斗力计算!$B$10+J312*战斗力计算!$B$11+K312*战斗力计算!$B$12+L312*战斗力计算!$B$8+M312*战斗力计算!$B$9+N312*战斗力计算!$B$10+O312*战斗力计算!$B$11+P312*战斗力计算!$B$12</f>
        <v>721656</v>
      </c>
      <c r="X312" s="5">
        <f t="shared" si="116"/>
        <v>855296</v>
      </c>
      <c r="AC312">
        <f t="shared" si="95"/>
        <v>3.6</v>
      </c>
      <c r="AD312">
        <f t="shared" si="96"/>
        <v>1.8</v>
      </c>
      <c r="AF312">
        <f t="shared" si="97"/>
        <v>0.75000000000000011</v>
      </c>
      <c r="AH312">
        <f t="shared" si="98"/>
        <v>12</v>
      </c>
      <c r="AK312">
        <f t="shared" si="99"/>
        <v>6.0396039603960396</v>
      </c>
      <c r="AL312">
        <f t="shared" si="100"/>
        <v>1.5033003300330032</v>
      </c>
      <c r="AM312">
        <f t="shared" si="101"/>
        <v>1</v>
      </c>
      <c r="AN312">
        <f t="shared" si="102"/>
        <v>6.0396039603960396</v>
      </c>
      <c r="AO312">
        <f t="shared" si="103"/>
        <v>1.5033003300330032</v>
      </c>
      <c r="AP312">
        <f t="shared" si="104"/>
        <v>1</v>
      </c>
      <c r="AR312">
        <f t="shared" si="105"/>
        <v>4.4950657894736841</v>
      </c>
      <c r="AT312">
        <f t="shared" si="106"/>
        <v>4.4950657894736841</v>
      </c>
      <c r="AV312">
        <f t="shared" si="107"/>
        <v>3188</v>
      </c>
      <c r="AW312">
        <f t="shared" si="108"/>
        <v>5921</v>
      </c>
    </row>
    <row r="313" spans="1:49" x14ac:dyDescent="0.15">
      <c r="A313" s="5">
        <v>303</v>
      </c>
      <c r="B313" s="5">
        <f t="shared" si="94"/>
        <v>18360</v>
      </c>
      <c r="C313" s="5">
        <f t="shared" si="94"/>
        <v>4570</v>
      </c>
      <c r="D313" s="5">
        <f t="shared" si="94"/>
        <v>3040</v>
      </c>
      <c r="E313" s="5">
        <f t="shared" si="94"/>
        <v>915</v>
      </c>
      <c r="F313" s="5">
        <f t="shared" si="94"/>
        <v>1220</v>
      </c>
      <c r="G313" s="5">
        <f t="shared" si="109"/>
        <v>66096</v>
      </c>
      <c r="H313" s="5">
        <f t="shared" si="109"/>
        <v>16452</v>
      </c>
      <c r="I313" s="5">
        <f t="shared" si="109"/>
        <v>10944</v>
      </c>
      <c r="J313" s="5">
        <f t="shared" si="109"/>
        <v>3294</v>
      </c>
      <c r="K313" s="5">
        <f t="shared" si="109"/>
        <v>4392</v>
      </c>
      <c r="L313" s="5">
        <f t="shared" si="110"/>
        <v>33048</v>
      </c>
      <c r="M313" s="5">
        <f t="shared" si="110"/>
        <v>8226</v>
      </c>
      <c r="N313" s="5">
        <f t="shared" si="110"/>
        <v>5472</v>
      </c>
      <c r="O313" s="5">
        <f t="shared" si="110"/>
        <v>1647</v>
      </c>
      <c r="P313" s="5">
        <f t="shared" si="110"/>
        <v>2196</v>
      </c>
      <c r="Q313" s="5">
        <f t="shared" si="111"/>
        <v>117504</v>
      </c>
      <c r="R313" s="5">
        <f t="shared" si="112"/>
        <v>29248</v>
      </c>
      <c r="S313" s="5">
        <f t="shared" si="113"/>
        <v>19456</v>
      </c>
      <c r="T313" s="5">
        <f t="shared" si="114"/>
        <v>5856</v>
      </c>
      <c r="U313" s="5">
        <f t="shared" si="115"/>
        <v>7808</v>
      </c>
      <c r="V313" s="5">
        <f>B313*战斗力计算!$B$8+C313*战斗力计算!$B$9+D313*战斗力计算!$B$10+E313*战斗力计算!$B$11+F313*战斗力计算!$B$12</f>
        <v>134080</v>
      </c>
      <c r="W313" s="5">
        <f>G313*战斗力计算!$B$8+H313*战斗力计算!$B$9+I313*战斗力计算!$B$10+J313*战斗力计算!$B$11+K313*战斗力计算!$B$12+L313*战斗力计算!$B$8+M313*战斗力计算!$B$9+N313*战斗力计算!$B$10+O313*战斗力计算!$B$11+P313*战斗力计算!$B$12</f>
        <v>724032</v>
      </c>
      <c r="X313" s="5">
        <f t="shared" si="116"/>
        <v>858112</v>
      </c>
      <c r="AC313">
        <f t="shared" si="95"/>
        <v>3.6</v>
      </c>
      <c r="AD313">
        <f t="shared" si="96"/>
        <v>1.8</v>
      </c>
      <c r="AF313">
        <f t="shared" si="97"/>
        <v>0.75</v>
      </c>
      <c r="AH313">
        <f t="shared" si="98"/>
        <v>12</v>
      </c>
      <c r="AK313">
        <f t="shared" si="99"/>
        <v>6.0394736842105265</v>
      </c>
      <c r="AL313">
        <f t="shared" si="100"/>
        <v>1.5032894736842106</v>
      </c>
      <c r="AM313">
        <f t="shared" si="101"/>
        <v>1</v>
      </c>
      <c r="AN313">
        <f t="shared" si="102"/>
        <v>6.0394736842105265</v>
      </c>
      <c r="AO313">
        <f t="shared" si="103"/>
        <v>1.5032894736842106</v>
      </c>
      <c r="AP313">
        <f t="shared" si="104"/>
        <v>1</v>
      </c>
      <c r="AR313">
        <f t="shared" si="105"/>
        <v>4.4950819672131148</v>
      </c>
      <c r="AT313">
        <f t="shared" si="106"/>
        <v>4.4950819672131148</v>
      </c>
      <c r="AV313">
        <f t="shared" si="107"/>
        <v>3199</v>
      </c>
      <c r="AW313">
        <f t="shared" si="108"/>
        <v>5941</v>
      </c>
    </row>
    <row r="314" spans="1:49" x14ac:dyDescent="0.15">
      <c r="A314" s="5">
        <v>304</v>
      </c>
      <c r="B314" s="5">
        <f t="shared" si="94"/>
        <v>18420</v>
      </c>
      <c r="C314" s="5">
        <f t="shared" si="94"/>
        <v>4585</v>
      </c>
      <c r="D314" s="5">
        <f t="shared" si="94"/>
        <v>3050</v>
      </c>
      <c r="E314" s="5">
        <f t="shared" si="94"/>
        <v>918</v>
      </c>
      <c r="F314" s="5">
        <f t="shared" si="94"/>
        <v>1224</v>
      </c>
      <c r="G314" s="5">
        <f t="shared" si="109"/>
        <v>66312</v>
      </c>
      <c r="H314" s="5">
        <f t="shared" si="109"/>
        <v>16506</v>
      </c>
      <c r="I314" s="5">
        <f t="shared" si="109"/>
        <v>10980</v>
      </c>
      <c r="J314" s="5">
        <f t="shared" si="109"/>
        <v>3304.8</v>
      </c>
      <c r="K314" s="5">
        <f t="shared" si="109"/>
        <v>4406.4000000000005</v>
      </c>
      <c r="L314" s="5">
        <f t="shared" si="110"/>
        <v>33156</v>
      </c>
      <c r="M314" s="5">
        <f t="shared" si="110"/>
        <v>8253</v>
      </c>
      <c r="N314" s="5">
        <f t="shared" si="110"/>
        <v>5490</v>
      </c>
      <c r="O314" s="5">
        <f t="shared" si="110"/>
        <v>1652.4</v>
      </c>
      <c r="P314" s="5">
        <f t="shared" si="110"/>
        <v>2203.2000000000003</v>
      </c>
      <c r="Q314" s="5">
        <f t="shared" si="111"/>
        <v>117888</v>
      </c>
      <c r="R314" s="5">
        <f t="shared" si="112"/>
        <v>29344</v>
      </c>
      <c r="S314" s="5">
        <f t="shared" si="113"/>
        <v>19520</v>
      </c>
      <c r="T314" s="5">
        <f t="shared" si="114"/>
        <v>5875.2000000000007</v>
      </c>
      <c r="U314" s="5">
        <f t="shared" si="115"/>
        <v>7833.6</v>
      </c>
      <c r="V314" s="5">
        <f>B314*战斗力计算!$B$8+C314*战斗力计算!$B$9+D314*战斗力计算!$B$10+E314*战斗力计算!$B$11+F314*战斗力计算!$B$12</f>
        <v>134520</v>
      </c>
      <c r="W314" s="5">
        <f>G314*战斗力计算!$B$8+H314*战斗力计算!$B$9+I314*战斗力计算!$B$10+J314*战斗力计算!$B$11+K314*战斗力计算!$B$12+L314*战斗力计算!$B$8+M314*战斗力计算!$B$9+N314*战斗力计算!$B$10+O314*战斗力计算!$B$11+P314*战斗力计算!$B$12</f>
        <v>726408</v>
      </c>
      <c r="X314" s="5">
        <f t="shared" si="116"/>
        <v>860928</v>
      </c>
      <c r="AC314">
        <f t="shared" si="95"/>
        <v>3.6</v>
      </c>
      <c r="AD314">
        <f t="shared" si="96"/>
        <v>1.8</v>
      </c>
      <c r="AF314">
        <f t="shared" si="97"/>
        <v>0.75000000000000011</v>
      </c>
      <c r="AH314">
        <f t="shared" si="98"/>
        <v>12</v>
      </c>
      <c r="AK314">
        <f t="shared" si="99"/>
        <v>6.0393442622950824</v>
      </c>
      <c r="AL314">
        <f t="shared" si="100"/>
        <v>1.5032786885245901</v>
      </c>
      <c r="AM314">
        <f t="shared" si="101"/>
        <v>1</v>
      </c>
      <c r="AN314">
        <f t="shared" si="102"/>
        <v>6.0393442622950824</v>
      </c>
      <c r="AO314">
        <f t="shared" si="103"/>
        <v>1.5032786885245901</v>
      </c>
      <c r="AP314">
        <f t="shared" si="104"/>
        <v>1</v>
      </c>
      <c r="AR314">
        <f t="shared" si="105"/>
        <v>4.4950980392156863</v>
      </c>
      <c r="AT314">
        <f t="shared" si="106"/>
        <v>4.4950980392156863</v>
      </c>
      <c r="AV314">
        <f t="shared" si="107"/>
        <v>3209</v>
      </c>
      <c r="AW314">
        <f t="shared" si="108"/>
        <v>5960</v>
      </c>
    </row>
    <row r="315" spans="1:49" x14ac:dyDescent="0.15">
      <c r="A315" s="5">
        <v>305</v>
      </c>
      <c r="B315" s="5">
        <f t="shared" si="94"/>
        <v>18480</v>
      </c>
      <c r="C315" s="5">
        <f t="shared" si="94"/>
        <v>4600</v>
      </c>
      <c r="D315" s="5">
        <f t="shared" si="94"/>
        <v>3060</v>
      </c>
      <c r="E315" s="5">
        <f t="shared" si="94"/>
        <v>921</v>
      </c>
      <c r="F315" s="5">
        <f t="shared" ref="C315:F378" si="117">INT(VLOOKUP(F$10,$A$2:$C$7,2,0)+($A315-1)*VLOOKUP(F$10,$A$2:$C$7,3,0))</f>
        <v>1228</v>
      </c>
      <c r="G315" s="5">
        <f t="shared" si="109"/>
        <v>66528</v>
      </c>
      <c r="H315" s="5">
        <f t="shared" si="109"/>
        <v>16560</v>
      </c>
      <c r="I315" s="5">
        <f t="shared" si="109"/>
        <v>11016</v>
      </c>
      <c r="J315" s="5">
        <f t="shared" si="109"/>
        <v>3315.6</v>
      </c>
      <c r="K315" s="5">
        <f t="shared" si="109"/>
        <v>4420.8</v>
      </c>
      <c r="L315" s="5">
        <f t="shared" si="110"/>
        <v>33264</v>
      </c>
      <c r="M315" s="5">
        <f t="shared" si="110"/>
        <v>8280</v>
      </c>
      <c r="N315" s="5">
        <f t="shared" si="110"/>
        <v>5508</v>
      </c>
      <c r="O315" s="5">
        <f t="shared" si="110"/>
        <v>1657.8</v>
      </c>
      <c r="P315" s="5">
        <f t="shared" si="110"/>
        <v>2210.4</v>
      </c>
      <c r="Q315" s="5">
        <f t="shared" si="111"/>
        <v>118272</v>
      </c>
      <c r="R315" s="5">
        <f t="shared" si="112"/>
        <v>29440</v>
      </c>
      <c r="S315" s="5">
        <f t="shared" si="113"/>
        <v>19584</v>
      </c>
      <c r="T315" s="5">
        <f t="shared" si="114"/>
        <v>5894.4000000000005</v>
      </c>
      <c r="U315" s="5">
        <f t="shared" si="115"/>
        <v>7859.2000000000007</v>
      </c>
      <c r="V315" s="5">
        <f>B315*战斗力计算!$B$8+C315*战斗力计算!$B$9+D315*战斗力计算!$B$10+E315*战斗力计算!$B$11+F315*战斗力计算!$B$12</f>
        <v>134960</v>
      </c>
      <c r="W315" s="5">
        <f>G315*战斗力计算!$B$8+H315*战斗力计算!$B$9+I315*战斗力计算!$B$10+J315*战斗力计算!$B$11+K315*战斗力计算!$B$12+L315*战斗力计算!$B$8+M315*战斗力计算!$B$9+N315*战斗力计算!$B$10+O315*战斗力计算!$B$11+P315*战斗力计算!$B$12</f>
        <v>728784</v>
      </c>
      <c r="X315" s="5">
        <f t="shared" si="116"/>
        <v>863744</v>
      </c>
      <c r="AC315">
        <f t="shared" si="95"/>
        <v>3.6</v>
      </c>
      <c r="AD315">
        <f t="shared" si="96"/>
        <v>1.8</v>
      </c>
      <c r="AF315">
        <f t="shared" si="97"/>
        <v>0.75</v>
      </c>
      <c r="AH315">
        <f t="shared" si="98"/>
        <v>12</v>
      </c>
      <c r="AK315">
        <f t="shared" si="99"/>
        <v>6.0392156862745097</v>
      </c>
      <c r="AL315">
        <f t="shared" si="100"/>
        <v>1.5032679738562091</v>
      </c>
      <c r="AM315">
        <f t="shared" si="101"/>
        <v>1</v>
      </c>
      <c r="AN315">
        <f t="shared" si="102"/>
        <v>6.0392156862745097</v>
      </c>
      <c r="AO315">
        <f t="shared" si="103"/>
        <v>1.5032679738562091</v>
      </c>
      <c r="AP315">
        <f t="shared" si="104"/>
        <v>1</v>
      </c>
      <c r="AR315">
        <f t="shared" si="105"/>
        <v>4.4951140065146582</v>
      </c>
      <c r="AT315">
        <f t="shared" si="106"/>
        <v>4.4951140065146582</v>
      </c>
      <c r="AV315">
        <f t="shared" si="107"/>
        <v>3220</v>
      </c>
      <c r="AW315">
        <f t="shared" si="108"/>
        <v>5980</v>
      </c>
    </row>
    <row r="316" spans="1:49" x14ac:dyDescent="0.15">
      <c r="A316" s="5">
        <v>306</v>
      </c>
      <c r="B316" s="5">
        <f t="shared" si="94"/>
        <v>18540</v>
      </c>
      <c r="C316" s="5">
        <f t="shared" si="117"/>
        <v>4615</v>
      </c>
      <c r="D316" s="5">
        <f t="shared" si="117"/>
        <v>3070</v>
      </c>
      <c r="E316" s="5">
        <f t="shared" si="117"/>
        <v>924</v>
      </c>
      <c r="F316" s="5">
        <f t="shared" si="117"/>
        <v>1232</v>
      </c>
      <c r="G316" s="5">
        <f t="shared" si="109"/>
        <v>66744</v>
      </c>
      <c r="H316" s="5">
        <f t="shared" si="109"/>
        <v>16614</v>
      </c>
      <c r="I316" s="5">
        <f t="shared" si="109"/>
        <v>11052</v>
      </c>
      <c r="J316" s="5">
        <f t="shared" si="109"/>
        <v>3326.4</v>
      </c>
      <c r="K316" s="5">
        <f t="shared" si="109"/>
        <v>4435.2</v>
      </c>
      <c r="L316" s="5">
        <f t="shared" si="110"/>
        <v>33372</v>
      </c>
      <c r="M316" s="5">
        <f t="shared" si="110"/>
        <v>8307</v>
      </c>
      <c r="N316" s="5">
        <f t="shared" si="110"/>
        <v>5526</v>
      </c>
      <c r="O316" s="5">
        <f t="shared" si="110"/>
        <v>1663.2</v>
      </c>
      <c r="P316" s="5">
        <f t="shared" si="110"/>
        <v>2217.6</v>
      </c>
      <c r="Q316" s="5">
        <f t="shared" si="111"/>
        <v>118656</v>
      </c>
      <c r="R316" s="5">
        <f t="shared" si="112"/>
        <v>29536</v>
      </c>
      <c r="S316" s="5">
        <f t="shared" si="113"/>
        <v>19648</v>
      </c>
      <c r="T316" s="5">
        <f t="shared" si="114"/>
        <v>5913.5999999999995</v>
      </c>
      <c r="U316" s="5">
        <f t="shared" si="115"/>
        <v>7884.7999999999993</v>
      </c>
      <c r="V316" s="5">
        <f>B316*战斗力计算!$B$8+C316*战斗力计算!$B$9+D316*战斗力计算!$B$10+E316*战斗力计算!$B$11+F316*战斗力计算!$B$12</f>
        <v>135400</v>
      </c>
      <c r="W316" s="5">
        <f>G316*战斗力计算!$B$8+H316*战斗力计算!$B$9+I316*战斗力计算!$B$10+J316*战斗力计算!$B$11+K316*战斗力计算!$B$12+L316*战斗力计算!$B$8+M316*战斗力计算!$B$9+N316*战斗力计算!$B$10+O316*战斗力计算!$B$11+P316*战斗力计算!$B$12</f>
        <v>731160</v>
      </c>
      <c r="X316" s="5">
        <f t="shared" si="116"/>
        <v>866560</v>
      </c>
      <c r="AC316">
        <f t="shared" si="95"/>
        <v>3.6</v>
      </c>
      <c r="AD316">
        <f t="shared" si="96"/>
        <v>1.8</v>
      </c>
      <c r="AF316">
        <f t="shared" si="97"/>
        <v>0.75</v>
      </c>
      <c r="AH316">
        <f t="shared" si="98"/>
        <v>12</v>
      </c>
      <c r="AK316">
        <f t="shared" si="99"/>
        <v>6.0390879478827362</v>
      </c>
      <c r="AL316">
        <f t="shared" si="100"/>
        <v>1.503257328990228</v>
      </c>
      <c r="AM316">
        <f t="shared" si="101"/>
        <v>1</v>
      </c>
      <c r="AN316">
        <f t="shared" si="102"/>
        <v>6.0390879478827362</v>
      </c>
      <c r="AO316">
        <f t="shared" si="103"/>
        <v>1.503257328990228</v>
      </c>
      <c r="AP316">
        <f t="shared" si="104"/>
        <v>1</v>
      </c>
      <c r="AR316">
        <f t="shared" si="105"/>
        <v>4.4951298701298699</v>
      </c>
      <c r="AT316">
        <f t="shared" si="106"/>
        <v>4.4951298701298699</v>
      </c>
      <c r="AV316">
        <f t="shared" si="107"/>
        <v>3230</v>
      </c>
      <c r="AW316">
        <f t="shared" si="108"/>
        <v>5999</v>
      </c>
    </row>
    <row r="317" spans="1:49" x14ac:dyDescent="0.15">
      <c r="A317" s="5">
        <v>307</v>
      </c>
      <c r="B317" s="5">
        <f t="shared" si="94"/>
        <v>18600</v>
      </c>
      <c r="C317" s="5">
        <f t="shared" si="117"/>
        <v>4630</v>
      </c>
      <c r="D317" s="5">
        <f t="shared" si="117"/>
        <v>3080</v>
      </c>
      <c r="E317" s="5">
        <f t="shared" si="117"/>
        <v>927</v>
      </c>
      <c r="F317" s="5">
        <f t="shared" si="117"/>
        <v>1236</v>
      </c>
      <c r="G317" s="5">
        <f t="shared" si="109"/>
        <v>66960</v>
      </c>
      <c r="H317" s="5">
        <f t="shared" si="109"/>
        <v>16668</v>
      </c>
      <c r="I317" s="5">
        <f t="shared" si="109"/>
        <v>11088</v>
      </c>
      <c r="J317" s="5">
        <f t="shared" si="109"/>
        <v>3337.2000000000003</v>
      </c>
      <c r="K317" s="5">
        <f t="shared" si="109"/>
        <v>4449.6000000000004</v>
      </c>
      <c r="L317" s="5">
        <f t="shared" si="110"/>
        <v>33480</v>
      </c>
      <c r="M317" s="5">
        <f t="shared" si="110"/>
        <v>8334</v>
      </c>
      <c r="N317" s="5">
        <f t="shared" si="110"/>
        <v>5544</v>
      </c>
      <c r="O317" s="5">
        <f t="shared" si="110"/>
        <v>1668.6000000000001</v>
      </c>
      <c r="P317" s="5">
        <f t="shared" si="110"/>
        <v>2224.8000000000002</v>
      </c>
      <c r="Q317" s="5">
        <f t="shared" si="111"/>
        <v>119040</v>
      </c>
      <c r="R317" s="5">
        <f t="shared" si="112"/>
        <v>29632</v>
      </c>
      <c r="S317" s="5">
        <f t="shared" si="113"/>
        <v>19712</v>
      </c>
      <c r="T317" s="5">
        <f t="shared" si="114"/>
        <v>5932.8000000000011</v>
      </c>
      <c r="U317" s="5">
        <f t="shared" si="115"/>
        <v>7910.4000000000005</v>
      </c>
      <c r="V317" s="5">
        <f>B317*战斗力计算!$B$8+C317*战斗力计算!$B$9+D317*战斗力计算!$B$10+E317*战斗力计算!$B$11+F317*战斗力计算!$B$12</f>
        <v>135840</v>
      </c>
      <c r="W317" s="5">
        <f>G317*战斗力计算!$B$8+H317*战斗力计算!$B$9+I317*战斗力计算!$B$10+J317*战斗力计算!$B$11+K317*战斗力计算!$B$12+L317*战斗力计算!$B$8+M317*战斗力计算!$B$9+N317*战斗力计算!$B$10+O317*战斗力计算!$B$11+P317*战斗力计算!$B$12</f>
        <v>733536</v>
      </c>
      <c r="X317" s="5">
        <f t="shared" si="116"/>
        <v>869376</v>
      </c>
      <c r="AC317">
        <f t="shared" si="95"/>
        <v>3.6</v>
      </c>
      <c r="AD317">
        <f t="shared" si="96"/>
        <v>1.8</v>
      </c>
      <c r="AF317">
        <f t="shared" si="97"/>
        <v>0.75000000000000011</v>
      </c>
      <c r="AH317">
        <f t="shared" si="98"/>
        <v>12</v>
      </c>
      <c r="AK317">
        <f t="shared" si="99"/>
        <v>6.0389610389610393</v>
      </c>
      <c r="AL317">
        <f t="shared" si="100"/>
        <v>1.5032467532467533</v>
      </c>
      <c r="AM317">
        <f t="shared" si="101"/>
        <v>1</v>
      </c>
      <c r="AN317">
        <f t="shared" si="102"/>
        <v>6.0389610389610393</v>
      </c>
      <c r="AO317">
        <f t="shared" si="103"/>
        <v>1.5032467532467533</v>
      </c>
      <c r="AP317">
        <f t="shared" si="104"/>
        <v>1</v>
      </c>
      <c r="AR317">
        <f t="shared" si="105"/>
        <v>4.4951456310679614</v>
      </c>
      <c r="AT317">
        <f t="shared" si="106"/>
        <v>4.4951456310679614</v>
      </c>
      <c r="AV317">
        <f t="shared" si="107"/>
        <v>3241</v>
      </c>
      <c r="AW317">
        <f t="shared" si="108"/>
        <v>6019</v>
      </c>
    </row>
    <row r="318" spans="1:49" x14ac:dyDescent="0.15">
      <c r="A318" s="5">
        <v>308</v>
      </c>
      <c r="B318" s="5">
        <f t="shared" si="94"/>
        <v>18660</v>
      </c>
      <c r="C318" s="5">
        <f t="shared" si="117"/>
        <v>4645</v>
      </c>
      <c r="D318" s="5">
        <f t="shared" si="117"/>
        <v>3090</v>
      </c>
      <c r="E318" s="5">
        <f t="shared" si="117"/>
        <v>930</v>
      </c>
      <c r="F318" s="5">
        <f t="shared" si="117"/>
        <v>1240</v>
      </c>
      <c r="G318" s="5">
        <f t="shared" si="109"/>
        <v>67176</v>
      </c>
      <c r="H318" s="5">
        <f t="shared" si="109"/>
        <v>16722</v>
      </c>
      <c r="I318" s="5">
        <f t="shared" si="109"/>
        <v>11124</v>
      </c>
      <c r="J318" s="5">
        <f t="shared" si="109"/>
        <v>3348</v>
      </c>
      <c r="K318" s="5">
        <f t="shared" si="109"/>
        <v>4464</v>
      </c>
      <c r="L318" s="5">
        <f t="shared" si="110"/>
        <v>33588</v>
      </c>
      <c r="M318" s="5">
        <f t="shared" si="110"/>
        <v>8361</v>
      </c>
      <c r="N318" s="5">
        <f t="shared" si="110"/>
        <v>5562</v>
      </c>
      <c r="O318" s="5">
        <f t="shared" si="110"/>
        <v>1674</v>
      </c>
      <c r="P318" s="5">
        <f t="shared" si="110"/>
        <v>2232</v>
      </c>
      <c r="Q318" s="5">
        <f t="shared" si="111"/>
        <v>119424</v>
      </c>
      <c r="R318" s="5">
        <f t="shared" si="112"/>
        <v>29728</v>
      </c>
      <c r="S318" s="5">
        <f t="shared" si="113"/>
        <v>19776</v>
      </c>
      <c r="T318" s="5">
        <f t="shared" si="114"/>
        <v>5952</v>
      </c>
      <c r="U318" s="5">
        <f t="shared" si="115"/>
        <v>7936</v>
      </c>
      <c r="V318" s="5">
        <f>B318*战斗力计算!$B$8+C318*战斗力计算!$B$9+D318*战斗力计算!$B$10+E318*战斗力计算!$B$11+F318*战斗力计算!$B$12</f>
        <v>136280</v>
      </c>
      <c r="W318" s="5">
        <f>G318*战斗力计算!$B$8+H318*战斗力计算!$B$9+I318*战斗力计算!$B$10+J318*战斗力计算!$B$11+K318*战斗力计算!$B$12+L318*战斗力计算!$B$8+M318*战斗力计算!$B$9+N318*战斗力计算!$B$10+O318*战斗力计算!$B$11+P318*战斗力计算!$B$12</f>
        <v>735912</v>
      </c>
      <c r="X318" s="5">
        <f t="shared" si="116"/>
        <v>872192</v>
      </c>
      <c r="AC318">
        <f t="shared" si="95"/>
        <v>3.6</v>
      </c>
      <c r="AD318">
        <f t="shared" si="96"/>
        <v>1.8</v>
      </c>
      <c r="AF318">
        <f t="shared" si="97"/>
        <v>0.75</v>
      </c>
      <c r="AH318">
        <f t="shared" si="98"/>
        <v>12</v>
      </c>
      <c r="AK318">
        <f t="shared" si="99"/>
        <v>6.0388349514563107</v>
      </c>
      <c r="AL318">
        <f t="shared" si="100"/>
        <v>1.5032362459546926</v>
      </c>
      <c r="AM318">
        <f t="shared" si="101"/>
        <v>1</v>
      </c>
      <c r="AN318">
        <f t="shared" si="102"/>
        <v>6.0388349514563107</v>
      </c>
      <c r="AO318">
        <f t="shared" si="103"/>
        <v>1.5032362459546926</v>
      </c>
      <c r="AP318">
        <f t="shared" si="104"/>
        <v>1</v>
      </c>
      <c r="AR318">
        <f t="shared" si="105"/>
        <v>4.4951612903225806</v>
      </c>
      <c r="AT318">
        <f t="shared" si="106"/>
        <v>4.4951612903225806</v>
      </c>
      <c r="AV318">
        <f t="shared" si="107"/>
        <v>3251</v>
      </c>
      <c r="AW318">
        <f t="shared" si="108"/>
        <v>6038</v>
      </c>
    </row>
    <row r="319" spans="1:49" x14ac:dyDescent="0.15">
      <c r="A319" s="5">
        <v>309</v>
      </c>
      <c r="B319" s="5">
        <f t="shared" si="94"/>
        <v>18720</v>
      </c>
      <c r="C319" s="5">
        <f t="shared" si="117"/>
        <v>4660</v>
      </c>
      <c r="D319" s="5">
        <f t="shared" si="117"/>
        <v>3100</v>
      </c>
      <c r="E319" s="5">
        <f t="shared" si="117"/>
        <v>933</v>
      </c>
      <c r="F319" s="5">
        <f t="shared" si="117"/>
        <v>1244</v>
      </c>
      <c r="G319" s="5">
        <f t="shared" si="109"/>
        <v>67392</v>
      </c>
      <c r="H319" s="5">
        <f t="shared" si="109"/>
        <v>16776</v>
      </c>
      <c r="I319" s="5">
        <f t="shared" si="109"/>
        <v>11160</v>
      </c>
      <c r="J319" s="5">
        <f t="shared" si="109"/>
        <v>3358.8</v>
      </c>
      <c r="K319" s="5">
        <f t="shared" si="109"/>
        <v>4478.4000000000005</v>
      </c>
      <c r="L319" s="5">
        <f t="shared" si="110"/>
        <v>33696</v>
      </c>
      <c r="M319" s="5">
        <f t="shared" si="110"/>
        <v>8388</v>
      </c>
      <c r="N319" s="5">
        <f t="shared" si="110"/>
        <v>5580</v>
      </c>
      <c r="O319" s="5">
        <f t="shared" si="110"/>
        <v>1679.4</v>
      </c>
      <c r="P319" s="5">
        <f t="shared" si="110"/>
        <v>2239.2000000000003</v>
      </c>
      <c r="Q319" s="5">
        <f t="shared" si="111"/>
        <v>119808</v>
      </c>
      <c r="R319" s="5">
        <f t="shared" si="112"/>
        <v>29824</v>
      </c>
      <c r="S319" s="5">
        <f t="shared" si="113"/>
        <v>19840</v>
      </c>
      <c r="T319" s="5">
        <f t="shared" si="114"/>
        <v>5971.2000000000007</v>
      </c>
      <c r="U319" s="5">
        <f t="shared" si="115"/>
        <v>7961.6</v>
      </c>
      <c r="V319" s="5">
        <f>B319*战斗力计算!$B$8+C319*战斗力计算!$B$9+D319*战斗力计算!$B$10+E319*战斗力计算!$B$11+F319*战斗力计算!$B$12</f>
        <v>136720</v>
      </c>
      <c r="W319" s="5">
        <f>G319*战斗力计算!$B$8+H319*战斗力计算!$B$9+I319*战斗力计算!$B$10+J319*战斗力计算!$B$11+K319*战斗力计算!$B$12+L319*战斗力计算!$B$8+M319*战斗力计算!$B$9+N319*战斗力计算!$B$10+O319*战斗力计算!$B$11+P319*战斗力计算!$B$12</f>
        <v>738288</v>
      </c>
      <c r="X319" s="5">
        <f t="shared" si="116"/>
        <v>875008</v>
      </c>
      <c r="AC319">
        <f t="shared" si="95"/>
        <v>3.6</v>
      </c>
      <c r="AD319">
        <f t="shared" si="96"/>
        <v>1.8</v>
      </c>
      <c r="AF319">
        <f t="shared" si="97"/>
        <v>0.75000000000000011</v>
      </c>
      <c r="AH319">
        <f t="shared" si="98"/>
        <v>12</v>
      </c>
      <c r="AK319">
        <f t="shared" si="99"/>
        <v>6.0387096774193552</v>
      </c>
      <c r="AL319">
        <f t="shared" si="100"/>
        <v>1.5032258064516129</v>
      </c>
      <c r="AM319">
        <f t="shared" si="101"/>
        <v>1</v>
      </c>
      <c r="AN319">
        <f t="shared" si="102"/>
        <v>6.0387096774193552</v>
      </c>
      <c r="AO319">
        <f t="shared" si="103"/>
        <v>1.5032258064516129</v>
      </c>
      <c r="AP319">
        <f t="shared" si="104"/>
        <v>1</v>
      </c>
      <c r="AR319">
        <f t="shared" si="105"/>
        <v>4.495176848874598</v>
      </c>
      <c r="AT319">
        <f t="shared" si="106"/>
        <v>4.495176848874598</v>
      </c>
      <c r="AV319">
        <f t="shared" si="107"/>
        <v>3262</v>
      </c>
      <c r="AW319">
        <f t="shared" si="108"/>
        <v>6058</v>
      </c>
    </row>
    <row r="320" spans="1:49" x14ac:dyDescent="0.15">
      <c r="A320" s="5">
        <v>310</v>
      </c>
      <c r="B320" s="5">
        <f t="shared" si="94"/>
        <v>18780</v>
      </c>
      <c r="C320" s="5">
        <f t="shared" si="117"/>
        <v>4675</v>
      </c>
      <c r="D320" s="5">
        <f t="shared" si="117"/>
        <v>3110</v>
      </c>
      <c r="E320" s="5">
        <f t="shared" si="117"/>
        <v>936</v>
      </c>
      <c r="F320" s="5">
        <f t="shared" si="117"/>
        <v>1248</v>
      </c>
      <c r="G320" s="5">
        <f t="shared" si="109"/>
        <v>67608</v>
      </c>
      <c r="H320" s="5">
        <f t="shared" si="109"/>
        <v>16830</v>
      </c>
      <c r="I320" s="5">
        <f t="shared" si="109"/>
        <v>11196</v>
      </c>
      <c r="J320" s="5">
        <f t="shared" si="109"/>
        <v>3369.6</v>
      </c>
      <c r="K320" s="5">
        <f t="shared" si="109"/>
        <v>4492.8</v>
      </c>
      <c r="L320" s="5">
        <f t="shared" si="110"/>
        <v>33804</v>
      </c>
      <c r="M320" s="5">
        <f t="shared" si="110"/>
        <v>8415</v>
      </c>
      <c r="N320" s="5">
        <f t="shared" si="110"/>
        <v>5598</v>
      </c>
      <c r="O320" s="5">
        <f t="shared" si="110"/>
        <v>1684.8</v>
      </c>
      <c r="P320" s="5">
        <f t="shared" si="110"/>
        <v>2246.4</v>
      </c>
      <c r="Q320" s="5">
        <f t="shared" si="111"/>
        <v>120192</v>
      </c>
      <c r="R320" s="5">
        <f t="shared" si="112"/>
        <v>29920</v>
      </c>
      <c r="S320" s="5">
        <f t="shared" si="113"/>
        <v>19904</v>
      </c>
      <c r="T320" s="5">
        <f t="shared" si="114"/>
        <v>5990.4000000000005</v>
      </c>
      <c r="U320" s="5">
        <f t="shared" si="115"/>
        <v>7987.2000000000007</v>
      </c>
      <c r="V320" s="5">
        <f>B320*战斗力计算!$B$8+C320*战斗力计算!$B$9+D320*战斗力计算!$B$10+E320*战斗力计算!$B$11+F320*战斗力计算!$B$12</f>
        <v>137160</v>
      </c>
      <c r="W320" s="5">
        <f>G320*战斗力计算!$B$8+H320*战斗力计算!$B$9+I320*战斗力计算!$B$10+J320*战斗力计算!$B$11+K320*战斗力计算!$B$12+L320*战斗力计算!$B$8+M320*战斗力计算!$B$9+N320*战斗力计算!$B$10+O320*战斗力计算!$B$11+P320*战斗力计算!$B$12</f>
        <v>740664</v>
      </c>
      <c r="X320" s="5">
        <f t="shared" si="116"/>
        <v>877824</v>
      </c>
      <c r="AC320">
        <f t="shared" si="95"/>
        <v>3.6</v>
      </c>
      <c r="AD320">
        <f t="shared" si="96"/>
        <v>1.8</v>
      </c>
      <c r="AF320">
        <f t="shared" si="97"/>
        <v>0.75</v>
      </c>
      <c r="AH320">
        <f t="shared" si="98"/>
        <v>12</v>
      </c>
      <c r="AK320">
        <f t="shared" si="99"/>
        <v>6.038585209003215</v>
      </c>
      <c r="AL320">
        <f t="shared" si="100"/>
        <v>1.5032154340836013</v>
      </c>
      <c r="AM320">
        <f t="shared" si="101"/>
        <v>1</v>
      </c>
      <c r="AN320">
        <f t="shared" si="102"/>
        <v>6.038585209003215</v>
      </c>
      <c r="AO320">
        <f t="shared" si="103"/>
        <v>1.5032154340836013</v>
      </c>
      <c r="AP320">
        <f t="shared" si="104"/>
        <v>1</v>
      </c>
      <c r="AR320">
        <f t="shared" si="105"/>
        <v>4.4951923076923075</v>
      </c>
      <c r="AT320">
        <f t="shared" si="106"/>
        <v>4.4951923076923075</v>
      </c>
      <c r="AV320">
        <f t="shared" si="107"/>
        <v>3272</v>
      </c>
      <c r="AW320">
        <f t="shared" si="108"/>
        <v>6077</v>
      </c>
    </row>
    <row r="321" spans="1:49" x14ac:dyDescent="0.15">
      <c r="A321" s="5">
        <v>311</v>
      </c>
      <c r="B321" s="5">
        <f t="shared" si="94"/>
        <v>18840</v>
      </c>
      <c r="C321" s="5">
        <f t="shared" si="117"/>
        <v>4690</v>
      </c>
      <c r="D321" s="5">
        <f t="shared" si="117"/>
        <v>3120</v>
      </c>
      <c r="E321" s="5">
        <f t="shared" si="117"/>
        <v>939</v>
      </c>
      <c r="F321" s="5">
        <f t="shared" si="117"/>
        <v>1252</v>
      </c>
      <c r="G321" s="5">
        <f t="shared" si="109"/>
        <v>67824</v>
      </c>
      <c r="H321" s="5">
        <f t="shared" si="109"/>
        <v>16884</v>
      </c>
      <c r="I321" s="5">
        <f t="shared" si="109"/>
        <v>11232</v>
      </c>
      <c r="J321" s="5">
        <f t="shared" si="109"/>
        <v>3380.4</v>
      </c>
      <c r="K321" s="5">
        <f t="shared" si="109"/>
        <v>4507.2</v>
      </c>
      <c r="L321" s="5">
        <f t="shared" si="110"/>
        <v>33912</v>
      </c>
      <c r="M321" s="5">
        <f t="shared" si="110"/>
        <v>8442</v>
      </c>
      <c r="N321" s="5">
        <f t="shared" si="110"/>
        <v>5616</v>
      </c>
      <c r="O321" s="5">
        <f t="shared" si="110"/>
        <v>1690.2</v>
      </c>
      <c r="P321" s="5">
        <f t="shared" si="110"/>
        <v>2253.6</v>
      </c>
      <c r="Q321" s="5">
        <f t="shared" si="111"/>
        <v>120576</v>
      </c>
      <c r="R321" s="5">
        <f t="shared" si="112"/>
        <v>30016</v>
      </c>
      <c r="S321" s="5">
        <f t="shared" si="113"/>
        <v>19968</v>
      </c>
      <c r="T321" s="5">
        <f t="shared" si="114"/>
        <v>6009.5999999999995</v>
      </c>
      <c r="U321" s="5">
        <f t="shared" si="115"/>
        <v>8012.7999999999993</v>
      </c>
      <c r="V321" s="5">
        <f>B321*战斗力计算!$B$8+C321*战斗力计算!$B$9+D321*战斗力计算!$B$10+E321*战斗力计算!$B$11+F321*战斗力计算!$B$12</f>
        <v>137600</v>
      </c>
      <c r="W321" s="5">
        <f>G321*战斗力计算!$B$8+H321*战斗力计算!$B$9+I321*战斗力计算!$B$10+J321*战斗力计算!$B$11+K321*战斗力计算!$B$12+L321*战斗力计算!$B$8+M321*战斗力计算!$B$9+N321*战斗力计算!$B$10+O321*战斗力计算!$B$11+P321*战斗力计算!$B$12</f>
        <v>743040</v>
      </c>
      <c r="X321" s="5">
        <f t="shared" si="116"/>
        <v>880640</v>
      </c>
      <c r="AC321">
        <f t="shared" si="95"/>
        <v>3.6</v>
      </c>
      <c r="AD321">
        <f t="shared" si="96"/>
        <v>1.8</v>
      </c>
      <c r="AF321">
        <f t="shared" si="97"/>
        <v>0.75</v>
      </c>
      <c r="AH321">
        <f t="shared" si="98"/>
        <v>12</v>
      </c>
      <c r="AK321">
        <f t="shared" si="99"/>
        <v>6.0384615384615383</v>
      </c>
      <c r="AL321">
        <f t="shared" si="100"/>
        <v>1.5032051282051282</v>
      </c>
      <c r="AM321">
        <f t="shared" si="101"/>
        <v>1</v>
      </c>
      <c r="AN321">
        <f t="shared" si="102"/>
        <v>6.0384615384615383</v>
      </c>
      <c r="AO321">
        <f t="shared" si="103"/>
        <v>1.5032051282051282</v>
      </c>
      <c r="AP321">
        <f t="shared" si="104"/>
        <v>1</v>
      </c>
      <c r="AR321">
        <f t="shared" si="105"/>
        <v>4.4952076677316297</v>
      </c>
      <c r="AT321">
        <f t="shared" si="106"/>
        <v>4.4952076677316297</v>
      </c>
      <c r="AV321">
        <f t="shared" si="107"/>
        <v>3283</v>
      </c>
      <c r="AW321">
        <f t="shared" si="108"/>
        <v>6097</v>
      </c>
    </row>
    <row r="322" spans="1:49" x14ac:dyDescent="0.15">
      <c r="A322" s="5">
        <v>312</v>
      </c>
      <c r="B322" s="5">
        <f t="shared" si="94"/>
        <v>18900</v>
      </c>
      <c r="C322" s="5">
        <f t="shared" si="117"/>
        <v>4705</v>
      </c>
      <c r="D322" s="5">
        <f t="shared" si="117"/>
        <v>3130</v>
      </c>
      <c r="E322" s="5">
        <f t="shared" si="117"/>
        <v>942</v>
      </c>
      <c r="F322" s="5">
        <f t="shared" si="117"/>
        <v>1256</v>
      </c>
      <c r="G322" s="5">
        <f t="shared" si="109"/>
        <v>68040</v>
      </c>
      <c r="H322" s="5">
        <f t="shared" si="109"/>
        <v>16938</v>
      </c>
      <c r="I322" s="5">
        <f t="shared" si="109"/>
        <v>11268</v>
      </c>
      <c r="J322" s="5">
        <f t="shared" si="109"/>
        <v>3391.2000000000003</v>
      </c>
      <c r="K322" s="5">
        <f t="shared" si="109"/>
        <v>4521.6000000000004</v>
      </c>
      <c r="L322" s="5">
        <f t="shared" si="110"/>
        <v>34020</v>
      </c>
      <c r="M322" s="5">
        <f t="shared" si="110"/>
        <v>8469</v>
      </c>
      <c r="N322" s="5">
        <f t="shared" si="110"/>
        <v>5634</v>
      </c>
      <c r="O322" s="5">
        <f t="shared" si="110"/>
        <v>1695.6000000000001</v>
      </c>
      <c r="P322" s="5">
        <f t="shared" si="110"/>
        <v>2260.8000000000002</v>
      </c>
      <c r="Q322" s="5">
        <f t="shared" si="111"/>
        <v>120960</v>
      </c>
      <c r="R322" s="5">
        <f t="shared" si="112"/>
        <v>30112</v>
      </c>
      <c r="S322" s="5">
        <f t="shared" si="113"/>
        <v>20032</v>
      </c>
      <c r="T322" s="5">
        <f t="shared" si="114"/>
        <v>6028.8000000000011</v>
      </c>
      <c r="U322" s="5">
        <f t="shared" si="115"/>
        <v>8038.4000000000005</v>
      </c>
      <c r="V322" s="5">
        <f>B322*战斗力计算!$B$8+C322*战斗力计算!$B$9+D322*战斗力计算!$B$10+E322*战斗力计算!$B$11+F322*战斗力计算!$B$12</f>
        <v>138040</v>
      </c>
      <c r="W322" s="5">
        <f>G322*战斗力计算!$B$8+H322*战斗力计算!$B$9+I322*战斗力计算!$B$10+J322*战斗力计算!$B$11+K322*战斗力计算!$B$12+L322*战斗力计算!$B$8+M322*战斗力计算!$B$9+N322*战斗力计算!$B$10+O322*战斗力计算!$B$11+P322*战斗力计算!$B$12</f>
        <v>745416</v>
      </c>
      <c r="X322" s="5">
        <f t="shared" si="116"/>
        <v>883456</v>
      </c>
      <c r="AC322">
        <f t="shared" si="95"/>
        <v>3.6</v>
      </c>
      <c r="AD322">
        <f t="shared" si="96"/>
        <v>1.8</v>
      </c>
      <c r="AF322">
        <f t="shared" si="97"/>
        <v>0.75000000000000011</v>
      </c>
      <c r="AH322">
        <f t="shared" si="98"/>
        <v>12</v>
      </c>
      <c r="AK322">
        <f t="shared" si="99"/>
        <v>6.0383386581469649</v>
      </c>
      <c r="AL322">
        <f t="shared" si="100"/>
        <v>1.5031948881789137</v>
      </c>
      <c r="AM322">
        <f t="shared" si="101"/>
        <v>1</v>
      </c>
      <c r="AN322">
        <f t="shared" si="102"/>
        <v>6.0383386581469649</v>
      </c>
      <c r="AO322">
        <f t="shared" si="103"/>
        <v>1.5031948881789137</v>
      </c>
      <c r="AP322">
        <f t="shared" si="104"/>
        <v>1</v>
      </c>
      <c r="AR322">
        <f t="shared" si="105"/>
        <v>4.4952229299363058</v>
      </c>
      <c r="AT322">
        <f t="shared" si="106"/>
        <v>4.4952229299363058</v>
      </c>
      <c r="AV322">
        <f t="shared" si="107"/>
        <v>3293</v>
      </c>
      <c r="AW322">
        <f t="shared" si="108"/>
        <v>6116</v>
      </c>
    </row>
    <row r="323" spans="1:49" x14ac:dyDescent="0.15">
      <c r="A323" s="5">
        <v>313</v>
      </c>
      <c r="B323" s="5">
        <f t="shared" si="94"/>
        <v>18960</v>
      </c>
      <c r="C323" s="5">
        <f t="shared" si="117"/>
        <v>4720</v>
      </c>
      <c r="D323" s="5">
        <f t="shared" si="117"/>
        <v>3140</v>
      </c>
      <c r="E323" s="5">
        <f t="shared" si="117"/>
        <v>945</v>
      </c>
      <c r="F323" s="5">
        <f t="shared" si="117"/>
        <v>1260</v>
      </c>
      <c r="G323" s="5">
        <f t="shared" si="109"/>
        <v>68256</v>
      </c>
      <c r="H323" s="5">
        <f t="shared" si="109"/>
        <v>16992</v>
      </c>
      <c r="I323" s="5">
        <f t="shared" si="109"/>
        <v>11304</v>
      </c>
      <c r="J323" s="5">
        <f t="shared" si="109"/>
        <v>3402</v>
      </c>
      <c r="K323" s="5">
        <f t="shared" si="109"/>
        <v>4536</v>
      </c>
      <c r="L323" s="5">
        <f t="shared" si="110"/>
        <v>34128</v>
      </c>
      <c r="M323" s="5">
        <f t="shared" si="110"/>
        <v>8496</v>
      </c>
      <c r="N323" s="5">
        <f t="shared" si="110"/>
        <v>5652</v>
      </c>
      <c r="O323" s="5">
        <f t="shared" si="110"/>
        <v>1701</v>
      </c>
      <c r="P323" s="5">
        <f t="shared" si="110"/>
        <v>2268</v>
      </c>
      <c r="Q323" s="5">
        <f t="shared" si="111"/>
        <v>121344</v>
      </c>
      <c r="R323" s="5">
        <f t="shared" si="112"/>
        <v>30208</v>
      </c>
      <c r="S323" s="5">
        <f t="shared" si="113"/>
        <v>20096</v>
      </c>
      <c r="T323" s="5">
        <f t="shared" si="114"/>
        <v>6048</v>
      </c>
      <c r="U323" s="5">
        <f t="shared" si="115"/>
        <v>8064</v>
      </c>
      <c r="V323" s="5">
        <f>B323*战斗力计算!$B$8+C323*战斗力计算!$B$9+D323*战斗力计算!$B$10+E323*战斗力计算!$B$11+F323*战斗力计算!$B$12</f>
        <v>138480</v>
      </c>
      <c r="W323" s="5">
        <f>G323*战斗力计算!$B$8+H323*战斗力计算!$B$9+I323*战斗力计算!$B$10+J323*战斗力计算!$B$11+K323*战斗力计算!$B$12+L323*战斗力计算!$B$8+M323*战斗力计算!$B$9+N323*战斗力计算!$B$10+O323*战斗力计算!$B$11+P323*战斗力计算!$B$12</f>
        <v>747792</v>
      </c>
      <c r="X323" s="5">
        <f t="shared" si="116"/>
        <v>886272</v>
      </c>
      <c r="AC323">
        <f t="shared" si="95"/>
        <v>3.6</v>
      </c>
      <c r="AD323">
        <f t="shared" si="96"/>
        <v>1.8</v>
      </c>
      <c r="AF323">
        <f t="shared" si="97"/>
        <v>0.75</v>
      </c>
      <c r="AH323">
        <f t="shared" si="98"/>
        <v>12</v>
      </c>
      <c r="AK323">
        <f t="shared" si="99"/>
        <v>6.0382165605095546</v>
      </c>
      <c r="AL323">
        <f t="shared" si="100"/>
        <v>1.5031847133757963</v>
      </c>
      <c r="AM323">
        <f t="shared" si="101"/>
        <v>1</v>
      </c>
      <c r="AN323">
        <f t="shared" si="102"/>
        <v>6.0382165605095546</v>
      </c>
      <c r="AO323">
        <f t="shared" si="103"/>
        <v>1.5031847133757963</v>
      </c>
      <c r="AP323">
        <f t="shared" si="104"/>
        <v>1</v>
      </c>
      <c r="AR323">
        <f t="shared" si="105"/>
        <v>4.4952380952380953</v>
      </c>
      <c r="AT323">
        <f t="shared" si="106"/>
        <v>4.4952380952380953</v>
      </c>
      <c r="AV323">
        <f t="shared" si="107"/>
        <v>3304</v>
      </c>
      <c r="AW323">
        <f t="shared" si="108"/>
        <v>6136</v>
      </c>
    </row>
    <row r="324" spans="1:49" x14ac:dyDescent="0.15">
      <c r="A324" s="5">
        <v>314</v>
      </c>
      <c r="B324" s="5">
        <f t="shared" si="94"/>
        <v>19020</v>
      </c>
      <c r="C324" s="5">
        <f t="shared" si="117"/>
        <v>4735</v>
      </c>
      <c r="D324" s="5">
        <f t="shared" si="117"/>
        <v>3150</v>
      </c>
      <c r="E324" s="5">
        <f t="shared" si="117"/>
        <v>948</v>
      </c>
      <c r="F324" s="5">
        <f t="shared" si="117"/>
        <v>1264</v>
      </c>
      <c r="G324" s="5">
        <f t="shared" si="109"/>
        <v>68472</v>
      </c>
      <c r="H324" s="5">
        <f t="shared" si="109"/>
        <v>17046</v>
      </c>
      <c r="I324" s="5">
        <f t="shared" si="109"/>
        <v>11340</v>
      </c>
      <c r="J324" s="5">
        <f t="shared" si="109"/>
        <v>3412.8</v>
      </c>
      <c r="K324" s="5">
        <f t="shared" si="109"/>
        <v>4550.4000000000005</v>
      </c>
      <c r="L324" s="5">
        <f t="shared" si="110"/>
        <v>34236</v>
      </c>
      <c r="M324" s="5">
        <f t="shared" si="110"/>
        <v>8523</v>
      </c>
      <c r="N324" s="5">
        <f t="shared" si="110"/>
        <v>5670</v>
      </c>
      <c r="O324" s="5">
        <f t="shared" si="110"/>
        <v>1706.4</v>
      </c>
      <c r="P324" s="5">
        <f t="shared" si="110"/>
        <v>2275.2000000000003</v>
      </c>
      <c r="Q324" s="5">
        <f t="shared" si="111"/>
        <v>121728</v>
      </c>
      <c r="R324" s="5">
        <f t="shared" si="112"/>
        <v>30304</v>
      </c>
      <c r="S324" s="5">
        <f t="shared" si="113"/>
        <v>20160</v>
      </c>
      <c r="T324" s="5">
        <f t="shared" si="114"/>
        <v>6067.2000000000007</v>
      </c>
      <c r="U324" s="5">
        <f t="shared" si="115"/>
        <v>8089.6</v>
      </c>
      <c r="V324" s="5">
        <f>B324*战斗力计算!$B$8+C324*战斗力计算!$B$9+D324*战斗力计算!$B$10+E324*战斗力计算!$B$11+F324*战斗力计算!$B$12</f>
        <v>138920</v>
      </c>
      <c r="W324" s="5">
        <f>G324*战斗力计算!$B$8+H324*战斗力计算!$B$9+I324*战斗力计算!$B$10+J324*战斗力计算!$B$11+K324*战斗力计算!$B$12+L324*战斗力计算!$B$8+M324*战斗力计算!$B$9+N324*战斗力计算!$B$10+O324*战斗力计算!$B$11+P324*战斗力计算!$B$12</f>
        <v>750168</v>
      </c>
      <c r="X324" s="5">
        <f t="shared" si="116"/>
        <v>889088</v>
      </c>
      <c r="AC324">
        <f t="shared" si="95"/>
        <v>3.6</v>
      </c>
      <c r="AD324">
        <f t="shared" si="96"/>
        <v>1.8</v>
      </c>
      <c r="AF324">
        <f t="shared" si="97"/>
        <v>0.75000000000000011</v>
      </c>
      <c r="AH324">
        <f t="shared" si="98"/>
        <v>12</v>
      </c>
      <c r="AK324">
        <f t="shared" si="99"/>
        <v>6.038095238095238</v>
      </c>
      <c r="AL324">
        <f t="shared" si="100"/>
        <v>1.5031746031746032</v>
      </c>
      <c r="AM324">
        <f t="shared" si="101"/>
        <v>1</v>
      </c>
      <c r="AN324">
        <f t="shared" si="102"/>
        <v>6.038095238095238</v>
      </c>
      <c r="AO324">
        <f t="shared" si="103"/>
        <v>1.5031746031746032</v>
      </c>
      <c r="AP324">
        <f t="shared" si="104"/>
        <v>1</v>
      </c>
      <c r="AR324">
        <f t="shared" si="105"/>
        <v>4.4952531645569618</v>
      </c>
      <c r="AT324">
        <f t="shared" si="106"/>
        <v>4.4952531645569618</v>
      </c>
      <c r="AV324">
        <f t="shared" si="107"/>
        <v>3314</v>
      </c>
      <c r="AW324">
        <f t="shared" si="108"/>
        <v>6155</v>
      </c>
    </row>
    <row r="325" spans="1:49" x14ac:dyDescent="0.15">
      <c r="A325" s="5">
        <v>315</v>
      </c>
      <c r="B325" s="5">
        <f t="shared" si="94"/>
        <v>19080</v>
      </c>
      <c r="C325" s="5">
        <f t="shared" si="117"/>
        <v>4750</v>
      </c>
      <c r="D325" s="5">
        <f t="shared" si="117"/>
        <v>3160</v>
      </c>
      <c r="E325" s="5">
        <f t="shared" si="117"/>
        <v>951</v>
      </c>
      <c r="F325" s="5">
        <f t="shared" si="117"/>
        <v>1268</v>
      </c>
      <c r="G325" s="5">
        <f t="shared" si="109"/>
        <v>68688</v>
      </c>
      <c r="H325" s="5">
        <f t="shared" si="109"/>
        <v>17100</v>
      </c>
      <c r="I325" s="5">
        <f t="shared" si="109"/>
        <v>11376</v>
      </c>
      <c r="J325" s="5">
        <f t="shared" si="109"/>
        <v>3423.6</v>
      </c>
      <c r="K325" s="5">
        <f t="shared" si="109"/>
        <v>4564.8</v>
      </c>
      <c r="L325" s="5">
        <f t="shared" si="110"/>
        <v>34344</v>
      </c>
      <c r="M325" s="5">
        <f t="shared" si="110"/>
        <v>8550</v>
      </c>
      <c r="N325" s="5">
        <f t="shared" si="110"/>
        <v>5688</v>
      </c>
      <c r="O325" s="5">
        <f t="shared" si="110"/>
        <v>1711.8</v>
      </c>
      <c r="P325" s="5">
        <f t="shared" si="110"/>
        <v>2282.4</v>
      </c>
      <c r="Q325" s="5">
        <f t="shared" si="111"/>
        <v>122112</v>
      </c>
      <c r="R325" s="5">
        <f t="shared" si="112"/>
        <v>30400</v>
      </c>
      <c r="S325" s="5">
        <f t="shared" si="113"/>
        <v>20224</v>
      </c>
      <c r="T325" s="5">
        <f t="shared" si="114"/>
        <v>6086.4000000000005</v>
      </c>
      <c r="U325" s="5">
        <f t="shared" si="115"/>
        <v>8115.2000000000007</v>
      </c>
      <c r="V325" s="5">
        <f>B325*战斗力计算!$B$8+C325*战斗力计算!$B$9+D325*战斗力计算!$B$10+E325*战斗力计算!$B$11+F325*战斗力计算!$B$12</f>
        <v>139360</v>
      </c>
      <c r="W325" s="5">
        <f>G325*战斗力计算!$B$8+H325*战斗力计算!$B$9+I325*战斗力计算!$B$10+J325*战斗力计算!$B$11+K325*战斗力计算!$B$12+L325*战斗力计算!$B$8+M325*战斗力计算!$B$9+N325*战斗力计算!$B$10+O325*战斗力计算!$B$11+P325*战斗力计算!$B$12</f>
        <v>752544</v>
      </c>
      <c r="X325" s="5">
        <f t="shared" si="116"/>
        <v>891904</v>
      </c>
      <c r="AC325">
        <f t="shared" si="95"/>
        <v>3.6</v>
      </c>
      <c r="AD325">
        <f t="shared" si="96"/>
        <v>1.8</v>
      </c>
      <c r="AF325">
        <f t="shared" si="97"/>
        <v>0.75</v>
      </c>
      <c r="AH325">
        <f t="shared" si="98"/>
        <v>12</v>
      </c>
      <c r="AK325">
        <f t="shared" si="99"/>
        <v>6.037974683544304</v>
      </c>
      <c r="AL325">
        <f t="shared" si="100"/>
        <v>1.5031645569620253</v>
      </c>
      <c r="AM325">
        <f t="shared" si="101"/>
        <v>1</v>
      </c>
      <c r="AN325">
        <f t="shared" si="102"/>
        <v>6.037974683544304</v>
      </c>
      <c r="AO325">
        <f t="shared" si="103"/>
        <v>1.5031645569620253</v>
      </c>
      <c r="AP325">
        <f t="shared" si="104"/>
        <v>1</v>
      </c>
      <c r="AR325">
        <f t="shared" si="105"/>
        <v>4.4952681388012614</v>
      </c>
      <c r="AT325">
        <f t="shared" si="106"/>
        <v>4.4952681388012614</v>
      </c>
      <c r="AV325">
        <f t="shared" si="107"/>
        <v>3325</v>
      </c>
      <c r="AW325">
        <f t="shared" si="108"/>
        <v>6175</v>
      </c>
    </row>
    <row r="326" spans="1:49" x14ac:dyDescent="0.15">
      <c r="A326" s="5">
        <v>316</v>
      </c>
      <c r="B326" s="5">
        <f t="shared" si="94"/>
        <v>19140</v>
      </c>
      <c r="C326" s="5">
        <f t="shared" si="117"/>
        <v>4765</v>
      </c>
      <c r="D326" s="5">
        <f t="shared" si="117"/>
        <v>3170</v>
      </c>
      <c r="E326" s="5">
        <f t="shared" si="117"/>
        <v>954</v>
      </c>
      <c r="F326" s="5">
        <f t="shared" si="117"/>
        <v>1272</v>
      </c>
      <c r="G326" s="5">
        <f t="shared" si="109"/>
        <v>68904</v>
      </c>
      <c r="H326" s="5">
        <f t="shared" si="109"/>
        <v>17154</v>
      </c>
      <c r="I326" s="5">
        <f t="shared" si="109"/>
        <v>11412</v>
      </c>
      <c r="J326" s="5">
        <f t="shared" si="109"/>
        <v>3434.4</v>
      </c>
      <c r="K326" s="5">
        <f t="shared" si="109"/>
        <v>4579.2</v>
      </c>
      <c r="L326" s="5">
        <f t="shared" si="110"/>
        <v>34452</v>
      </c>
      <c r="M326" s="5">
        <f t="shared" si="110"/>
        <v>8577</v>
      </c>
      <c r="N326" s="5">
        <f t="shared" si="110"/>
        <v>5706</v>
      </c>
      <c r="O326" s="5">
        <f t="shared" si="110"/>
        <v>1717.2</v>
      </c>
      <c r="P326" s="5">
        <f t="shared" si="110"/>
        <v>2289.6</v>
      </c>
      <c r="Q326" s="5">
        <f t="shared" si="111"/>
        <v>122496</v>
      </c>
      <c r="R326" s="5">
        <f t="shared" si="112"/>
        <v>30496</v>
      </c>
      <c r="S326" s="5">
        <f t="shared" si="113"/>
        <v>20288</v>
      </c>
      <c r="T326" s="5">
        <f t="shared" si="114"/>
        <v>6105.5999999999995</v>
      </c>
      <c r="U326" s="5">
        <f t="shared" si="115"/>
        <v>8140.7999999999993</v>
      </c>
      <c r="V326" s="5">
        <f>B326*战斗力计算!$B$8+C326*战斗力计算!$B$9+D326*战斗力计算!$B$10+E326*战斗力计算!$B$11+F326*战斗力计算!$B$12</f>
        <v>139800</v>
      </c>
      <c r="W326" s="5">
        <f>G326*战斗力计算!$B$8+H326*战斗力计算!$B$9+I326*战斗力计算!$B$10+J326*战斗力计算!$B$11+K326*战斗力计算!$B$12+L326*战斗力计算!$B$8+M326*战斗力计算!$B$9+N326*战斗力计算!$B$10+O326*战斗力计算!$B$11+P326*战斗力计算!$B$12</f>
        <v>754920</v>
      </c>
      <c r="X326" s="5">
        <f t="shared" si="116"/>
        <v>894720</v>
      </c>
      <c r="AC326">
        <f t="shared" si="95"/>
        <v>3.6</v>
      </c>
      <c r="AD326">
        <f t="shared" si="96"/>
        <v>1.8</v>
      </c>
      <c r="AF326">
        <f t="shared" si="97"/>
        <v>0.75</v>
      </c>
      <c r="AH326">
        <f t="shared" si="98"/>
        <v>12</v>
      </c>
      <c r="AK326">
        <f t="shared" si="99"/>
        <v>6.0378548895899051</v>
      </c>
      <c r="AL326">
        <f t="shared" si="100"/>
        <v>1.5031545741324921</v>
      </c>
      <c r="AM326">
        <f t="shared" si="101"/>
        <v>1</v>
      </c>
      <c r="AN326">
        <f t="shared" si="102"/>
        <v>6.0378548895899051</v>
      </c>
      <c r="AO326">
        <f t="shared" si="103"/>
        <v>1.5031545741324921</v>
      </c>
      <c r="AP326">
        <f t="shared" si="104"/>
        <v>1</v>
      </c>
      <c r="AR326">
        <f t="shared" si="105"/>
        <v>4.4952830188679247</v>
      </c>
      <c r="AT326">
        <f t="shared" si="106"/>
        <v>4.4952830188679247</v>
      </c>
      <c r="AV326">
        <f t="shared" si="107"/>
        <v>3335</v>
      </c>
      <c r="AW326">
        <f t="shared" si="108"/>
        <v>6194</v>
      </c>
    </row>
    <row r="327" spans="1:49" x14ac:dyDescent="0.15">
      <c r="A327" s="5">
        <v>317</v>
      </c>
      <c r="B327" s="5">
        <f t="shared" si="94"/>
        <v>19200</v>
      </c>
      <c r="C327" s="5">
        <f t="shared" si="117"/>
        <v>4780</v>
      </c>
      <c r="D327" s="5">
        <f t="shared" si="117"/>
        <v>3180</v>
      </c>
      <c r="E327" s="5">
        <f t="shared" si="117"/>
        <v>957</v>
      </c>
      <c r="F327" s="5">
        <f t="shared" si="117"/>
        <v>1276</v>
      </c>
      <c r="G327" s="5">
        <f t="shared" si="109"/>
        <v>69120</v>
      </c>
      <c r="H327" s="5">
        <f t="shared" si="109"/>
        <v>17208</v>
      </c>
      <c r="I327" s="5">
        <f t="shared" si="109"/>
        <v>11448</v>
      </c>
      <c r="J327" s="5">
        <f t="shared" si="109"/>
        <v>3445.2000000000003</v>
      </c>
      <c r="K327" s="5">
        <f t="shared" si="109"/>
        <v>4593.6000000000004</v>
      </c>
      <c r="L327" s="5">
        <f t="shared" si="110"/>
        <v>34560</v>
      </c>
      <c r="M327" s="5">
        <f t="shared" si="110"/>
        <v>8604</v>
      </c>
      <c r="N327" s="5">
        <f t="shared" si="110"/>
        <v>5724</v>
      </c>
      <c r="O327" s="5">
        <f t="shared" si="110"/>
        <v>1722.6000000000001</v>
      </c>
      <c r="P327" s="5">
        <f t="shared" si="110"/>
        <v>2296.8000000000002</v>
      </c>
      <c r="Q327" s="5">
        <f t="shared" si="111"/>
        <v>122880</v>
      </c>
      <c r="R327" s="5">
        <f t="shared" si="112"/>
        <v>30592</v>
      </c>
      <c r="S327" s="5">
        <f t="shared" si="113"/>
        <v>20352</v>
      </c>
      <c r="T327" s="5">
        <f t="shared" si="114"/>
        <v>6124.8000000000011</v>
      </c>
      <c r="U327" s="5">
        <f t="shared" si="115"/>
        <v>8166.4000000000005</v>
      </c>
      <c r="V327" s="5">
        <f>B327*战斗力计算!$B$8+C327*战斗力计算!$B$9+D327*战斗力计算!$B$10+E327*战斗力计算!$B$11+F327*战斗力计算!$B$12</f>
        <v>140240</v>
      </c>
      <c r="W327" s="5">
        <f>G327*战斗力计算!$B$8+H327*战斗力计算!$B$9+I327*战斗力计算!$B$10+J327*战斗力计算!$B$11+K327*战斗力计算!$B$12+L327*战斗力计算!$B$8+M327*战斗力计算!$B$9+N327*战斗力计算!$B$10+O327*战斗力计算!$B$11+P327*战斗力计算!$B$12</f>
        <v>757296</v>
      </c>
      <c r="X327" s="5">
        <f t="shared" si="116"/>
        <v>897536</v>
      </c>
      <c r="AC327">
        <f t="shared" si="95"/>
        <v>3.6</v>
      </c>
      <c r="AD327">
        <f t="shared" si="96"/>
        <v>1.8</v>
      </c>
      <c r="AF327">
        <f t="shared" si="97"/>
        <v>0.75000000000000011</v>
      </c>
      <c r="AH327">
        <f t="shared" si="98"/>
        <v>12</v>
      </c>
      <c r="AK327">
        <f t="shared" si="99"/>
        <v>6.0377358490566042</v>
      </c>
      <c r="AL327">
        <f t="shared" si="100"/>
        <v>1.5031446540880504</v>
      </c>
      <c r="AM327">
        <f t="shared" si="101"/>
        <v>1</v>
      </c>
      <c r="AN327">
        <f t="shared" si="102"/>
        <v>6.0377358490566042</v>
      </c>
      <c r="AO327">
        <f t="shared" si="103"/>
        <v>1.5031446540880504</v>
      </c>
      <c r="AP327">
        <f t="shared" si="104"/>
        <v>1</v>
      </c>
      <c r="AR327">
        <f t="shared" si="105"/>
        <v>4.4952978056426334</v>
      </c>
      <c r="AT327">
        <f t="shared" si="106"/>
        <v>4.4952978056426334</v>
      </c>
      <c r="AV327">
        <f t="shared" si="107"/>
        <v>3346</v>
      </c>
      <c r="AW327">
        <f t="shared" si="108"/>
        <v>6214</v>
      </c>
    </row>
    <row r="328" spans="1:49" x14ac:dyDescent="0.15">
      <c r="A328" s="5">
        <v>318</v>
      </c>
      <c r="B328" s="5">
        <f t="shared" si="94"/>
        <v>19260</v>
      </c>
      <c r="C328" s="5">
        <f t="shared" si="117"/>
        <v>4795</v>
      </c>
      <c r="D328" s="5">
        <f t="shared" si="117"/>
        <v>3190</v>
      </c>
      <c r="E328" s="5">
        <f t="shared" si="117"/>
        <v>960</v>
      </c>
      <c r="F328" s="5">
        <f t="shared" si="117"/>
        <v>1280</v>
      </c>
      <c r="G328" s="5">
        <f t="shared" si="109"/>
        <v>69336</v>
      </c>
      <c r="H328" s="5">
        <f t="shared" si="109"/>
        <v>17262</v>
      </c>
      <c r="I328" s="5">
        <f t="shared" si="109"/>
        <v>11484</v>
      </c>
      <c r="J328" s="5">
        <f t="shared" si="109"/>
        <v>3456</v>
      </c>
      <c r="K328" s="5">
        <f t="shared" si="109"/>
        <v>4608</v>
      </c>
      <c r="L328" s="5">
        <f t="shared" si="110"/>
        <v>34668</v>
      </c>
      <c r="M328" s="5">
        <f t="shared" si="110"/>
        <v>8631</v>
      </c>
      <c r="N328" s="5">
        <f t="shared" si="110"/>
        <v>5742</v>
      </c>
      <c r="O328" s="5">
        <f t="shared" si="110"/>
        <v>1728</v>
      </c>
      <c r="P328" s="5">
        <f t="shared" si="110"/>
        <v>2304</v>
      </c>
      <c r="Q328" s="5">
        <f t="shared" si="111"/>
        <v>123264</v>
      </c>
      <c r="R328" s="5">
        <f t="shared" si="112"/>
        <v>30688</v>
      </c>
      <c r="S328" s="5">
        <f t="shared" si="113"/>
        <v>20416</v>
      </c>
      <c r="T328" s="5">
        <f t="shared" si="114"/>
        <v>6144</v>
      </c>
      <c r="U328" s="5">
        <f t="shared" si="115"/>
        <v>8192</v>
      </c>
      <c r="V328" s="5">
        <f>B328*战斗力计算!$B$8+C328*战斗力计算!$B$9+D328*战斗力计算!$B$10+E328*战斗力计算!$B$11+F328*战斗力计算!$B$12</f>
        <v>140680</v>
      </c>
      <c r="W328" s="5">
        <f>G328*战斗力计算!$B$8+H328*战斗力计算!$B$9+I328*战斗力计算!$B$10+J328*战斗力计算!$B$11+K328*战斗力计算!$B$12+L328*战斗力计算!$B$8+M328*战斗力计算!$B$9+N328*战斗力计算!$B$10+O328*战斗力计算!$B$11+P328*战斗力计算!$B$12</f>
        <v>759672</v>
      </c>
      <c r="X328" s="5">
        <f t="shared" si="116"/>
        <v>900352</v>
      </c>
      <c r="AC328">
        <f t="shared" si="95"/>
        <v>3.6</v>
      </c>
      <c r="AD328">
        <f t="shared" si="96"/>
        <v>1.8</v>
      </c>
      <c r="AF328">
        <f t="shared" si="97"/>
        <v>0.75</v>
      </c>
      <c r="AH328">
        <f t="shared" si="98"/>
        <v>12</v>
      </c>
      <c r="AK328">
        <f t="shared" si="99"/>
        <v>6.0376175548589339</v>
      </c>
      <c r="AL328">
        <f t="shared" si="100"/>
        <v>1.5031347962382444</v>
      </c>
      <c r="AM328">
        <f t="shared" si="101"/>
        <v>1</v>
      </c>
      <c r="AN328">
        <f t="shared" si="102"/>
        <v>6.0376175548589339</v>
      </c>
      <c r="AO328">
        <f t="shared" si="103"/>
        <v>1.5031347962382444</v>
      </c>
      <c r="AP328">
        <f t="shared" si="104"/>
        <v>1</v>
      </c>
      <c r="AR328">
        <f t="shared" si="105"/>
        <v>4.4953124999999998</v>
      </c>
      <c r="AT328">
        <f t="shared" si="106"/>
        <v>4.4953124999999998</v>
      </c>
      <c r="AV328">
        <f t="shared" si="107"/>
        <v>3356</v>
      </c>
      <c r="AW328">
        <f t="shared" si="108"/>
        <v>6233</v>
      </c>
    </row>
    <row r="329" spans="1:49" x14ac:dyDescent="0.15">
      <c r="A329" s="5">
        <v>319</v>
      </c>
      <c r="B329" s="5">
        <f t="shared" si="94"/>
        <v>19320</v>
      </c>
      <c r="C329" s="5">
        <f t="shared" si="117"/>
        <v>4810</v>
      </c>
      <c r="D329" s="5">
        <f t="shared" si="117"/>
        <v>3200</v>
      </c>
      <c r="E329" s="5">
        <f t="shared" si="117"/>
        <v>963</v>
      </c>
      <c r="F329" s="5">
        <f t="shared" si="117"/>
        <v>1284</v>
      </c>
      <c r="G329" s="5">
        <f t="shared" si="109"/>
        <v>69552</v>
      </c>
      <c r="H329" s="5">
        <f t="shared" si="109"/>
        <v>17316</v>
      </c>
      <c r="I329" s="5">
        <f t="shared" si="109"/>
        <v>11520</v>
      </c>
      <c r="J329" s="5">
        <f t="shared" si="109"/>
        <v>3466.8</v>
      </c>
      <c r="K329" s="5">
        <f t="shared" si="109"/>
        <v>4622.4000000000005</v>
      </c>
      <c r="L329" s="5">
        <f t="shared" si="110"/>
        <v>34776</v>
      </c>
      <c r="M329" s="5">
        <f t="shared" si="110"/>
        <v>8658</v>
      </c>
      <c r="N329" s="5">
        <f t="shared" si="110"/>
        <v>5760</v>
      </c>
      <c r="O329" s="5">
        <f t="shared" si="110"/>
        <v>1733.4</v>
      </c>
      <c r="P329" s="5">
        <f t="shared" si="110"/>
        <v>2311.2000000000003</v>
      </c>
      <c r="Q329" s="5">
        <f t="shared" si="111"/>
        <v>123648</v>
      </c>
      <c r="R329" s="5">
        <f t="shared" si="112"/>
        <v>30784</v>
      </c>
      <c r="S329" s="5">
        <f t="shared" si="113"/>
        <v>20480</v>
      </c>
      <c r="T329" s="5">
        <f t="shared" si="114"/>
        <v>6163.2000000000007</v>
      </c>
      <c r="U329" s="5">
        <f t="shared" si="115"/>
        <v>8217.6</v>
      </c>
      <c r="V329" s="5">
        <f>B329*战斗力计算!$B$8+C329*战斗力计算!$B$9+D329*战斗力计算!$B$10+E329*战斗力计算!$B$11+F329*战斗力计算!$B$12</f>
        <v>141120</v>
      </c>
      <c r="W329" s="5">
        <f>G329*战斗力计算!$B$8+H329*战斗力计算!$B$9+I329*战斗力计算!$B$10+J329*战斗力计算!$B$11+K329*战斗力计算!$B$12+L329*战斗力计算!$B$8+M329*战斗力计算!$B$9+N329*战斗力计算!$B$10+O329*战斗力计算!$B$11+P329*战斗力计算!$B$12</f>
        <v>762048</v>
      </c>
      <c r="X329" s="5">
        <f t="shared" si="116"/>
        <v>903168</v>
      </c>
      <c r="AC329">
        <f t="shared" si="95"/>
        <v>3.6</v>
      </c>
      <c r="AD329">
        <f t="shared" si="96"/>
        <v>1.8</v>
      </c>
      <c r="AF329">
        <f t="shared" si="97"/>
        <v>0.75</v>
      </c>
      <c r="AH329">
        <f t="shared" si="98"/>
        <v>12</v>
      </c>
      <c r="AK329">
        <f t="shared" si="99"/>
        <v>6.0374999999999996</v>
      </c>
      <c r="AL329">
        <f t="shared" si="100"/>
        <v>1.503125</v>
      </c>
      <c r="AM329">
        <f t="shared" si="101"/>
        <v>1</v>
      </c>
      <c r="AN329">
        <f t="shared" si="102"/>
        <v>6.0374999999999996</v>
      </c>
      <c r="AO329">
        <f t="shared" si="103"/>
        <v>1.503125</v>
      </c>
      <c r="AP329">
        <f t="shared" si="104"/>
        <v>1</v>
      </c>
      <c r="AR329">
        <f t="shared" si="105"/>
        <v>4.4953271028037385</v>
      </c>
      <c r="AT329">
        <f t="shared" si="106"/>
        <v>4.4953271028037385</v>
      </c>
      <c r="AV329">
        <f t="shared" si="107"/>
        <v>3367</v>
      </c>
      <c r="AW329">
        <f t="shared" si="108"/>
        <v>6253</v>
      </c>
    </row>
    <row r="330" spans="1:49" x14ac:dyDescent="0.15">
      <c r="A330" s="5">
        <v>320</v>
      </c>
      <c r="B330" s="5">
        <f t="shared" si="94"/>
        <v>19380</v>
      </c>
      <c r="C330" s="5">
        <f t="shared" si="117"/>
        <v>4825</v>
      </c>
      <c r="D330" s="5">
        <f t="shared" si="117"/>
        <v>3210</v>
      </c>
      <c r="E330" s="5">
        <f t="shared" si="117"/>
        <v>966</v>
      </c>
      <c r="F330" s="5">
        <f t="shared" si="117"/>
        <v>1288</v>
      </c>
      <c r="G330" s="5">
        <f t="shared" ref="G330:K380" si="118">HLOOKUP(G$10,$B$10:$F$610,$A330+1,0)*$AC330</f>
        <v>69768</v>
      </c>
      <c r="H330" s="5">
        <f t="shared" si="118"/>
        <v>17370</v>
      </c>
      <c r="I330" s="5">
        <f t="shared" si="118"/>
        <v>11556</v>
      </c>
      <c r="J330" s="5">
        <f t="shared" si="118"/>
        <v>3477.6</v>
      </c>
      <c r="K330" s="5">
        <f t="shared" si="118"/>
        <v>4636.8</v>
      </c>
      <c r="L330" s="5">
        <f t="shared" ref="L330:P380" si="119">HLOOKUP(L$10,$B$10:$F$610,$A330+1,0)*$AD330</f>
        <v>34884</v>
      </c>
      <c r="M330" s="5">
        <f t="shared" si="119"/>
        <v>8685</v>
      </c>
      <c r="N330" s="5">
        <f t="shared" si="119"/>
        <v>5778</v>
      </c>
      <c r="O330" s="5">
        <f t="shared" si="119"/>
        <v>1738.8</v>
      </c>
      <c r="P330" s="5">
        <f t="shared" si="119"/>
        <v>2318.4</v>
      </c>
      <c r="Q330" s="5">
        <f t="shared" si="111"/>
        <v>124032</v>
      </c>
      <c r="R330" s="5">
        <f t="shared" si="112"/>
        <v>30880</v>
      </c>
      <c r="S330" s="5">
        <f t="shared" si="113"/>
        <v>20544</v>
      </c>
      <c r="T330" s="5">
        <f t="shared" si="114"/>
        <v>6182.4000000000005</v>
      </c>
      <c r="U330" s="5">
        <f t="shared" si="115"/>
        <v>8243.2000000000007</v>
      </c>
      <c r="V330" s="5">
        <f>B330*战斗力计算!$B$8+C330*战斗力计算!$B$9+D330*战斗力计算!$B$10+E330*战斗力计算!$B$11+F330*战斗力计算!$B$12</f>
        <v>141560</v>
      </c>
      <c r="W330" s="5">
        <f>G330*战斗力计算!$B$8+H330*战斗力计算!$B$9+I330*战斗力计算!$B$10+J330*战斗力计算!$B$11+K330*战斗力计算!$B$12+L330*战斗力计算!$B$8+M330*战斗力计算!$B$9+N330*战斗力计算!$B$10+O330*战斗力计算!$B$11+P330*战斗力计算!$B$12</f>
        <v>764424</v>
      </c>
      <c r="X330" s="5">
        <f t="shared" si="116"/>
        <v>905984</v>
      </c>
      <c r="AC330">
        <f t="shared" si="95"/>
        <v>3.6</v>
      </c>
      <c r="AD330">
        <f t="shared" si="96"/>
        <v>1.8</v>
      </c>
      <c r="AF330">
        <f t="shared" si="97"/>
        <v>0.75</v>
      </c>
      <c r="AH330">
        <f t="shared" si="98"/>
        <v>12</v>
      </c>
      <c r="AK330">
        <f t="shared" si="99"/>
        <v>6.037383177570093</v>
      </c>
      <c r="AL330">
        <f t="shared" si="100"/>
        <v>1.5031152647975077</v>
      </c>
      <c r="AM330">
        <f t="shared" si="101"/>
        <v>1</v>
      </c>
      <c r="AN330">
        <f t="shared" si="102"/>
        <v>6.037383177570093</v>
      </c>
      <c r="AO330">
        <f t="shared" si="103"/>
        <v>1.5031152647975077</v>
      </c>
      <c r="AP330">
        <f t="shared" si="104"/>
        <v>1</v>
      </c>
      <c r="AR330">
        <f t="shared" si="105"/>
        <v>4.4953416149068319</v>
      </c>
      <c r="AT330">
        <f t="shared" si="106"/>
        <v>4.4953416149068319</v>
      </c>
      <c r="AV330">
        <f t="shared" si="107"/>
        <v>3377</v>
      </c>
      <c r="AW330">
        <f t="shared" si="108"/>
        <v>6272</v>
      </c>
    </row>
    <row r="331" spans="1:49" x14ac:dyDescent="0.15">
      <c r="A331" s="5">
        <v>321</v>
      </c>
      <c r="B331" s="5">
        <f t="shared" si="94"/>
        <v>19440</v>
      </c>
      <c r="C331" s="5">
        <f t="shared" si="117"/>
        <v>4840</v>
      </c>
      <c r="D331" s="5">
        <f t="shared" si="117"/>
        <v>3220</v>
      </c>
      <c r="E331" s="5">
        <f t="shared" si="117"/>
        <v>969</v>
      </c>
      <c r="F331" s="5">
        <f t="shared" si="117"/>
        <v>1292</v>
      </c>
      <c r="G331" s="5">
        <f t="shared" si="118"/>
        <v>69984</v>
      </c>
      <c r="H331" s="5">
        <f t="shared" si="118"/>
        <v>17424</v>
      </c>
      <c r="I331" s="5">
        <f t="shared" si="118"/>
        <v>11592</v>
      </c>
      <c r="J331" s="5">
        <f t="shared" si="118"/>
        <v>3488.4</v>
      </c>
      <c r="K331" s="5">
        <f t="shared" si="118"/>
        <v>4651.2</v>
      </c>
      <c r="L331" s="5">
        <f t="shared" si="119"/>
        <v>34992</v>
      </c>
      <c r="M331" s="5">
        <f t="shared" si="119"/>
        <v>8712</v>
      </c>
      <c r="N331" s="5">
        <f t="shared" si="119"/>
        <v>5796</v>
      </c>
      <c r="O331" s="5">
        <f t="shared" si="119"/>
        <v>1744.2</v>
      </c>
      <c r="P331" s="5">
        <f t="shared" si="119"/>
        <v>2325.6</v>
      </c>
      <c r="Q331" s="5">
        <f t="shared" si="111"/>
        <v>124416</v>
      </c>
      <c r="R331" s="5">
        <f t="shared" si="112"/>
        <v>30976</v>
      </c>
      <c r="S331" s="5">
        <f t="shared" si="113"/>
        <v>20608</v>
      </c>
      <c r="T331" s="5">
        <f t="shared" si="114"/>
        <v>6201.5999999999995</v>
      </c>
      <c r="U331" s="5">
        <f t="shared" si="115"/>
        <v>8268.7999999999993</v>
      </c>
      <c r="V331" s="5">
        <f>B331*战斗力计算!$B$8+C331*战斗力计算!$B$9+D331*战斗力计算!$B$10+E331*战斗力计算!$B$11+F331*战斗力计算!$B$12</f>
        <v>142000</v>
      </c>
      <c r="W331" s="5">
        <f>G331*战斗力计算!$B$8+H331*战斗力计算!$B$9+I331*战斗力计算!$B$10+J331*战斗力计算!$B$11+K331*战斗力计算!$B$12+L331*战斗力计算!$B$8+M331*战斗力计算!$B$9+N331*战斗力计算!$B$10+O331*战斗力计算!$B$11+P331*战斗力计算!$B$12</f>
        <v>766800</v>
      </c>
      <c r="X331" s="5">
        <f t="shared" si="116"/>
        <v>908800</v>
      </c>
      <c r="AC331">
        <f t="shared" si="95"/>
        <v>3.6</v>
      </c>
      <c r="AD331">
        <f t="shared" si="96"/>
        <v>1.8</v>
      </c>
      <c r="AF331">
        <f t="shared" si="97"/>
        <v>0.75</v>
      </c>
      <c r="AH331">
        <f t="shared" si="98"/>
        <v>12</v>
      </c>
      <c r="AK331">
        <f t="shared" si="99"/>
        <v>6.0372670807453419</v>
      </c>
      <c r="AL331">
        <f t="shared" si="100"/>
        <v>1.5031055900621118</v>
      </c>
      <c r="AM331">
        <f t="shared" si="101"/>
        <v>1</v>
      </c>
      <c r="AN331">
        <f t="shared" si="102"/>
        <v>6.0372670807453419</v>
      </c>
      <c r="AO331">
        <f t="shared" si="103"/>
        <v>1.5031055900621118</v>
      </c>
      <c r="AP331">
        <f t="shared" si="104"/>
        <v>1</v>
      </c>
      <c r="AR331">
        <f t="shared" si="105"/>
        <v>4.4953560371517032</v>
      </c>
      <c r="AT331">
        <f t="shared" si="106"/>
        <v>4.4953560371517032</v>
      </c>
      <c r="AV331">
        <f t="shared" si="107"/>
        <v>3388</v>
      </c>
      <c r="AW331">
        <f t="shared" si="108"/>
        <v>6292</v>
      </c>
    </row>
    <row r="332" spans="1:49" x14ac:dyDescent="0.15">
      <c r="A332" s="5">
        <v>322</v>
      </c>
      <c r="B332" s="5">
        <f t="shared" ref="B332:F395" si="120">INT(VLOOKUP(B$10,$A$2:$C$7,2,0)+($A332-1)*VLOOKUP(B$10,$A$2:$C$7,3,0))</f>
        <v>19500</v>
      </c>
      <c r="C332" s="5">
        <f t="shared" si="117"/>
        <v>4855</v>
      </c>
      <c r="D332" s="5">
        <f t="shared" si="117"/>
        <v>3230</v>
      </c>
      <c r="E332" s="5">
        <f t="shared" si="117"/>
        <v>972</v>
      </c>
      <c r="F332" s="5">
        <f t="shared" si="117"/>
        <v>1296</v>
      </c>
      <c r="G332" s="5">
        <f t="shared" si="118"/>
        <v>70200</v>
      </c>
      <c r="H332" s="5">
        <f t="shared" si="118"/>
        <v>17478</v>
      </c>
      <c r="I332" s="5">
        <f t="shared" si="118"/>
        <v>11628</v>
      </c>
      <c r="J332" s="5">
        <f t="shared" si="118"/>
        <v>3499.2000000000003</v>
      </c>
      <c r="K332" s="5">
        <f t="shared" si="118"/>
        <v>4665.6000000000004</v>
      </c>
      <c r="L332" s="5">
        <f t="shared" si="119"/>
        <v>35100</v>
      </c>
      <c r="M332" s="5">
        <f t="shared" si="119"/>
        <v>8739</v>
      </c>
      <c r="N332" s="5">
        <f t="shared" si="119"/>
        <v>5814</v>
      </c>
      <c r="O332" s="5">
        <f t="shared" si="119"/>
        <v>1749.6000000000001</v>
      </c>
      <c r="P332" s="5">
        <f t="shared" si="119"/>
        <v>2332.8000000000002</v>
      </c>
      <c r="Q332" s="5">
        <f t="shared" si="111"/>
        <v>124800</v>
      </c>
      <c r="R332" s="5">
        <f t="shared" si="112"/>
        <v>31072</v>
      </c>
      <c r="S332" s="5">
        <f t="shared" si="113"/>
        <v>20672</v>
      </c>
      <c r="T332" s="5">
        <f t="shared" si="114"/>
        <v>6220.8000000000011</v>
      </c>
      <c r="U332" s="5">
        <f t="shared" si="115"/>
        <v>8294.4000000000015</v>
      </c>
      <c r="V332" s="5">
        <f>B332*战斗力计算!$B$8+C332*战斗力计算!$B$9+D332*战斗力计算!$B$10+E332*战斗力计算!$B$11+F332*战斗力计算!$B$12</f>
        <v>142440</v>
      </c>
      <c r="W332" s="5">
        <f>G332*战斗力计算!$B$8+H332*战斗力计算!$B$9+I332*战斗力计算!$B$10+J332*战斗力计算!$B$11+K332*战斗力计算!$B$12+L332*战斗力计算!$B$8+M332*战斗力计算!$B$9+N332*战斗力计算!$B$10+O332*战斗力计算!$B$11+P332*战斗力计算!$B$12</f>
        <v>769176</v>
      </c>
      <c r="X332" s="5">
        <f t="shared" si="116"/>
        <v>911616</v>
      </c>
      <c r="AC332">
        <f t="shared" ref="AC332:AC395" si="121">VLOOKUP($A332,$Z$2:$AA$13,2,1)*$E$3</f>
        <v>3.6</v>
      </c>
      <c r="AD332">
        <f t="shared" ref="AD332:AD395" si="122">VLOOKUP($A332,$Z$2:$AA$13,2,1)*$E$6</f>
        <v>1.8</v>
      </c>
      <c r="AF332">
        <f t="shared" ref="AF332:AF395" si="123">T332/U332</f>
        <v>0.75</v>
      </c>
      <c r="AH332">
        <f t="shared" ref="AH332:AH395" si="124">Q332/(R332-S332)</f>
        <v>12</v>
      </c>
      <c r="AK332">
        <f t="shared" ref="AK332:AK395" si="125">B332/D332</f>
        <v>6.0371517027863781</v>
      </c>
      <c r="AL332">
        <f t="shared" ref="AL332:AL395" si="126">C332/D332</f>
        <v>1.5030959752321982</v>
      </c>
      <c r="AM332">
        <f t="shared" ref="AM332:AM395" si="127">D332/D332</f>
        <v>1</v>
      </c>
      <c r="AN332">
        <f t="shared" ref="AN332:AN395" si="128">(G332+L332)/(I332+N332)</f>
        <v>6.0371517027863781</v>
      </c>
      <c r="AO332">
        <f t="shared" ref="AO332:AO395" si="129">(H332+M332)/(I332+N332)</f>
        <v>1.5030959752321982</v>
      </c>
      <c r="AP332">
        <f t="shared" ref="AP332:AP395" si="130">(I332+N332)/(I332+N332)</f>
        <v>1</v>
      </c>
      <c r="AR332">
        <f t="shared" ref="AR332:AR395" si="131">(B332*1+C332*12+D332*12)/(E332*16+F332*8)</f>
        <v>4.4953703703703702</v>
      </c>
      <c r="AT332">
        <f t="shared" ref="AT332:AT395" si="132">(G332*1+H332*12+I332*12+L332*1+M332*12+N332*12)/(J332*16+K332*8+O332*16+P332*8)</f>
        <v>4.4953703703703702</v>
      </c>
      <c r="AV332">
        <f t="shared" ref="AV332:AV395" si="133">INT(C332*$H$5)</f>
        <v>3398</v>
      </c>
      <c r="AW332">
        <f t="shared" ref="AW332:AW395" si="134">INT(C332*$H$3)</f>
        <v>6311</v>
      </c>
    </row>
    <row r="333" spans="1:49" x14ac:dyDescent="0.15">
      <c r="A333" s="5">
        <v>323</v>
      </c>
      <c r="B333" s="5">
        <f t="shared" si="120"/>
        <v>19560</v>
      </c>
      <c r="C333" s="5">
        <f t="shared" si="117"/>
        <v>4870</v>
      </c>
      <c r="D333" s="5">
        <f t="shared" si="117"/>
        <v>3240</v>
      </c>
      <c r="E333" s="5">
        <f t="shared" si="117"/>
        <v>975</v>
      </c>
      <c r="F333" s="5">
        <f t="shared" si="117"/>
        <v>1300</v>
      </c>
      <c r="G333" s="5">
        <f t="shared" si="118"/>
        <v>70416</v>
      </c>
      <c r="H333" s="5">
        <f t="shared" si="118"/>
        <v>17532</v>
      </c>
      <c r="I333" s="5">
        <f t="shared" si="118"/>
        <v>11664</v>
      </c>
      <c r="J333" s="5">
        <f t="shared" si="118"/>
        <v>3510</v>
      </c>
      <c r="K333" s="5">
        <f t="shared" si="118"/>
        <v>4680</v>
      </c>
      <c r="L333" s="5">
        <f t="shared" si="119"/>
        <v>35208</v>
      </c>
      <c r="M333" s="5">
        <f t="shared" si="119"/>
        <v>8766</v>
      </c>
      <c r="N333" s="5">
        <f t="shared" si="119"/>
        <v>5832</v>
      </c>
      <c r="O333" s="5">
        <f t="shared" si="119"/>
        <v>1755</v>
      </c>
      <c r="P333" s="5">
        <f t="shared" si="119"/>
        <v>2340</v>
      </c>
      <c r="Q333" s="5">
        <f t="shared" si="111"/>
        <v>125184</v>
      </c>
      <c r="R333" s="5">
        <f t="shared" si="112"/>
        <v>31168</v>
      </c>
      <c r="S333" s="5">
        <f t="shared" si="113"/>
        <v>20736</v>
      </c>
      <c r="T333" s="5">
        <f t="shared" si="114"/>
        <v>6240</v>
      </c>
      <c r="U333" s="5">
        <f t="shared" si="115"/>
        <v>8320</v>
      </c>
      <c r="V333" s="5">
        <f>B333*战斗力计算!$B$8+C333*战斗力计算!$B$9+D333*战斗力计算!$B$10+E333*战斗力计算!$B$11+F333*战斗力计算!$B$12</f>
        <v>142880</v>
      </c>
      <c r="W333" s="5">
        <f>G333*战斗力计算!$B$8+H333*战斗力计算!$B$9+I333*战斗力计算!$B$10+J333*战斗力计算!$B$11+K333*战斗力计算!$B$12+L333*战斗力计算!$B$8+M333*战斗力计算!$B$9+N333*战斗力计算!$B$10+O333*战斗力计算!$B$11+P333*战斗力计算!$B$12</f>
        <v>771552</v>
      </c>
      <c r="X333" s="5">
        <f t="shared" si="116"/>
        <v>914432</v>
      </c>
      <c r="AC333">
        <f t="shared" si="121"/>
        <v>3.6</v>
      </c>
      <c r="AD333">
        <f t="shared" si="122"/>
        <v>1.8</v>
      </c>
      <c r="AF333">
        <f t="shared" si="123"/>
        <v>0.75</v>
      </c>
      <c r="AH333">
        <f t="shared" si="124"/>
        <v>12</v>
      </c>
      <c r="AK333">
        <f t="shared" si="125"/>
        <v>6.0370370370370372</v>
      </c>
      <c r="AL333">
        <f t="shared" si="126"/>
        <v>1.5030864197530864</v>
      </c>
      <c r="AM333">
        <f t="shared" si="127"/>
        <v>1</v>
      </c>
      <c r="AN333">
        <f t="shared" si="128"/>
        <v>6.0370370370370372</v>
      </c>
      <c r="AO333">
        <f t="shared" si="129"/>
        <v>1.5030864197530864</v>
      </c>
      <c r="AP333">
        <f t="shared" si="130"/>
        <v>1</v>
      </c>
      <c r="AR333">
        <f t="shared" si="131"/>
        <v>4.4953846153846158</v>
      </c>
      <c r="AT333">
        <f t="shared" si="132"/>
        <v>4.4953846153846158</v>
      </c>
      <c r="AV333">
        <f t="shared" si="133"/>
        <v>3409</v>
      </c>
      <c r="AW333">
        <f t="shared" si="134"/>
        <v>6331</v>
      </c>
    </row>
    <row r="334" spans="1:49" x14ac:dyDescent="0.15">
      <c r="A334" s="5">
        <v>324</v>
      </c>
      <c r="B334" s="5">
        <f t="shared" si="120"/>
        <v>19620</v>
      </c>
      <c r="C334" s="5">
        <f t="shared" si="117"/>
        <v>4885</v>
      </c>
      <c r="D334" s="5">
        <f t="shared" si="117"/>
        <v>3250</v>
      </c>
      <c r="E334" s="5">
        <f t="shared" si="117"/>
        <v>978</v>
      </c>
      <c r="F334" s="5">
        <f t="shared" si="117"/>
        <v>1304</v>
      </c>
      <c r="G334" s="5">
        <f t="shared" si="118"/>
        <v>70632</v>
      </c>
      <c r="H334" s="5">
        <f t="shared" si="118"/>
        <v>17586</v>
      </c>
      <c r="I334" s="5">
        <f t="shared" si="118"/>
        <v>11700</v>
      </c>
      <c r="J334" s="5">
        <f t="shared" si="118"/>
        <v>3520.8</v>
      </c>
      <c r="K334" s="5">
        <f t="shared" si="118"/>
        <v>4694.4000000000005</v>
      </c>
      <c r="L334" s="5">
        <f t="shared" si="119"/>
        <v>35316</v>
      </c>
      <c r="M334" s="5">
        <f t="shared" si="119"/>
        <v>8793</v>
      </c>
      <c r="N334" s="5">
        <f t="shared" si="119"/>
        <v>5850</v>
      </c>
      <c r="O334" s="5">
        <f t="shared" si="119"/>
        <v>1760.4</v>
      </c>
      <c r="P334" s="5">
        <f t="shared" si="119"/>
        <v>2347.2000000000003</v>
      </c>
      <c r="Q334" s="5">
        <f t="shared" si="111"/>
        <v>125568</v>
      </c>
      <c r="R334" s="5">
        <f t="shared" si="112"/>
        <v>31264</v>
      </c>
      <c r="S334" s="5">
        <f t="shared" si="113"/>
        <v>20800</v>
      </c>
      <c r="T334" s="5">
        <f t="shared" si="114"/>
        <v>6259.2000000000007</v>
      </c>
      <c r="U334" s="5">
        <f t="shared" si="115"/>
        <v>8345.6</v>
      </c>
      <c r="V334" s="5">
        <f>B334*战斗力计算!$B$8+C334*战斗力计算!$B$9+D334*战斗力计算!$B$10+E334*战斗力计算!$B$11+F334*战斗力计算!$B$12</f>
        <v>143320</v>
      </c>
      <c r="W334" s="5">
        <f>G334*战斗力计算!$B$8+H334*战斗力计算!$B$9+I334*战斗力计算!$B$10+J334*战斗力计算!$B$11+K334*战斗力计算!$B$12+L334*战斗力计算!$B$8+M334*战斗力计算!$B$9+N334*战斗力计算!$B$10+O334*战斗力计算!$B$11+P334*战斗力计算!$B$12</f>
        <v>773928</v>
      </c>
      <c r="X334" s="5">
        <f t="shared" si="116"/>
        <v>917248</v>
      </c>
      <c r="AC334">
        <f t="shared" si="121"/>
        <v>3.6</v>
      </c>
      <c r="AD334">
        <f t="shared" si="122"/>
        <v>1.8</v>
      </c>
      <c r="AF334">
        <f t="shared" si="123"/>
        <v>0.75</v>
      </c>
      <c r="AH334">
        <f t="shared" si="124"/>
        <v>12</v>
      </c>
      <c r="AK334">
        <f t="shared" si="125"/>
        <v>6.0369230769230766</v>
      </c>
      <c r="AL334">
        <f t="shared" si="126"/>
        <v>1.503076923076923</v>
      </c>
      <c r="AM334">
        <f t="shared" si="127"/>
        <v>1</v>
      </c>
      <c r="AN334">
        <f t="shared" si="128"/>
        <v>6.0369230769230766</v>
      </c>
      <c r="AO334">
        <f t="shared" si="129"/>
        <v>1.503076923076923</v>
      </c>
      <c r="AP334">
        <f t="shared" si="130"/>
        <v>1</v>
      </c>
      <c r="AR334">
        <f t="shared" si="131"/>
        <v>4.4953987730061353</v>
      </c>
      <c r="AT334">
        <f t="shared" si="132"/>
        <v>4.4953987730061353</v>
      </c>
      <c r="AV334">
        <f t="shared" si="133"/>
        <v>3419</v>
      </c>
      <c r="AW334">
        <f t="shared" si="134"/>
        <v>6350</v>
      </c>
    </row>
    <row r="335" spans="1:49" x14ac:dyDescent="0.15">
      <c r="A335" s="5">
        <v>325</v>
      </c>
      <c r="B335" s="5">
        <f t="shared" si="120"/>
        <v>19680</v>
      </c>
      <c r="C335" s="5">
        <f t="shared" si="117"/>
        <v>4900</v>
      </c>
      <c r="D335" s="5">
        <f t="shared" si="117"/>
        <v>3260</v>
      </c>
      <c r="E335" s="5">
        <f t="shared" si="117"/>
        <v>981</v>
      </c>
      <c r="F335" s="5">
        <f t="shared" si="117"/>
        <v>1308</v>
      </c>
      <c r="G335" s="5">
        <f t="shared" si="118"/>
        <v>74784</v>
      </c>
      <c r="H335" s="5">
        <f t="shared" si="118"/>
        <v>18620</v>
      </c>
      <c r="I335" s="5">
        <f t="shared" si="118"/>
        <v>12388</v>
      </c>
      <c r="J335" s="5">
        <f t="shared" si="118"/>
        <v>3727.7999999999997</v>
      </c>
      <c r="K335" s="5">
        <f t="shared" si="118"/>
        <v>4970.3999999999996</v>
      </c>
      <c r="L335" s="5">
        <f t="shared" si="119"/>
        <v>37392</v>
      </c>
      <c r="M335" s="5">
        <f t="shared" si="119"/>
        <v>9310</v>
      </c>
      <c r="N335" s="5">
        <f t="shared" si="119"/>
        <v>6194</v>
      </c>
      <c r="O335" s="5">
        <f t="shared" si="119"/>
        <v>1863.8999999999999</v>
      </c>
      <c r="P335" s="5">
        <f t="shared" si="119"/>
        <v>2485.1999999999998</v>
      </c>
      <c r="Q335" s="5">
        <f t="shared" si="111"/>
        <v>131856</v>
      </c>
      <c r="R335" s="5">
        <f t="shared" si="112"/>
        <v>32830</v>
      </c>
      <c r="S335" s="5">
        <f t="shared" si="113"/>
        <v>21842</v>
      </c>
      <c r="T335" s="5">
        <f t="shared" si="114"/>
        <v>6572.6999999999989</v>
      </c>
      <c r="U335" s="5">
        <f t="shared" si="115"/>
        <v>8763.5999999999985</v>
      </c>
      <c r="V335" s="5">
        <f>B335*战斗力计算!$B$8+C335*战斗力计算!$B$9+D335*战斗力计算!$B$10+E335*战斗力计算!$B$11+F335*战斗力计算!$B$12</f>
        <v>143760</v>
      </c>
      <c r="W335" s="5">
        <f>G335*战斗力计算!$B$8+H335*战斗力计算!$B$9+I335*战斗力计算!$B$10+J335*战斗力计算!$B$11+K335*战斗力计算!$B$12+L335*战斗力计算!$B$8+M335*战斗力计算!$B$9+N335*战斗力计算!$B$10+O335*战斗力计算!$B$11+P335*战斗力计算!$B$12</f>
        <v>819432</v>
      </c>
      <c r="X335" s="5">
        <f t="shared" si="116"/>
        <v>963192</v>
      </c>
      <c r="AC335">
        <f t="shared" si="121"/>
        <v>3.8</v>
      </c>
      <c r="AD335">
        <f t="shared" si="122"/>
        <v>1.9</v>
      </c>
      <c r="AF335">
        <f t="shared" si="123"/>
        <v>0.75</v>
      </c>
      <c r="AH335">
        <f t="shared" si="124"/>
        <v>12</v>
      </c>
      <c r="AK335">
        <f t="shared" si="125"/>
        <v>6.03680981595092</v>
      </c>
      <c r="AL335">
        <f t="shared" si="126"/>
        <v>1.5030674846625767</v>
      </c>
      <c r="AM335">
        <f t="shared" si="127"/>
        <v>1</v>
      </c>
      <c r="AN335">
        <f t="shared" si="128"/>
        <v>6.03680981595092</v>
      </c>
      <c r="AO335">
        <f t="shared" si="129"/>
        <v>1.5030674846625767</v>
      </c>
      <c r="AP335">
        <f t="shared" si="130"/>
        <v>1</v>
      </c>
      <c r="AR335">
        <f t="shared" si="131"/>
        <v>4.4954128440366974</v>
      </c>
      <c r="AT335">
        <f t="shared" si="132"/>
        <v>4.4954128440366974</v>
      </c>
      <c r="AV335">
        <f t="shared" si="133"/>
        <v>3430</v>
      </c>
      <c r="AW335">
        <f t="shared" si="134"/>
        <v>6370</v>
      </c>
    </row>
    <row r="336" spans="1:49" x14ac:dyDescent="0.15">
      <c r="A336" s="5">
        <v>326</v>
      </c>
      <c r="B336" s="5">
        <f t="shared" si="120"/>
        <v>19740</v>
      </c>
      <c r="C336" s="5">
        <f t="shared" si="117"/>
        <v>4915</v>
      </c>
      <c r="D336" s="5">
        <f t="shared" si="117"/>
        <v>3270</v>
      </c>
      <c r="E336" s="5">
        <f t="shared" si="117"/>
        <v>984</v>
      </c>
      <c r="F336" s="5">
        <f t="shared" si="117"/>
        <v>1312</v>
      </c>
      <c r="G336" s="5">
        <f t="shared" si="118"/>
        <v>75012</v>
      </c>
      <c r="H336" s="5">
        <f t="shared" si="118"/>
        <v>18677</v>
      </c>
      <c r="I336" s="5">
        <f t="shared" si="118"/>
        <v>12426</v>
      </c>
      <c r="J336" s="5">
        <f t="shared" si="118"/>
        <v>3739.2</v>
      </c>
      <c r="K336" s="5">
        <f t="shared" si="118"/>
        <v>4985.5999999999995</v>
      </c>
      <c r="L336" s="5">
        <f t="shared" si="119"/>
        <v>37506</v>
      </c>
      <c r="M336" s="5">
        <f t="shared" si="119"/>
        <v>9338.5</v>
      </c>
      <c r="N336" s="5">
        <f t="shared" si="119"/>
        <v>6213</v>
      </c>
      <c r="O336" s="5">
        <f t="shared" si="119"/>
        <v>1869.6</v>
      </c>
      <c r="P336" s="5">
        <f t="shared" si="119"/>
        <v>2492.7999999999997</v>
      </c>
      <c r="Q336" s="5">
        <f t="shared" si="111"/>
        <v>132258</v>
      </c>
      <c r="R336" s="5">
        <f t="shared" si="112"/>
        <v>32930.5</v>
      </c>
      <c r="S336" s="5">
        <f t="shared" si="113"/>
        <v>21909</v>
      </c>
      <c r="T336" s="5">
        <f t="shared" si="114"/>
        <v>6592.7999999999993</v>
      </c>
      <c r="U336" s="5">
        <f t="shared" si="115"/>
        <v>8790.4</v>
      </c>
      <c r="V336" s="5">
        <f>B336*战斗力计算!$B$8+C336*战斗力计算!$B$9+D336*战斗力计算!$B$10+E336*战斗力计算!$B$11+F336*战斗力计算!$B$12</f>
        <v>144200</v>
      </c>
      <c r="W336" s="5">
        <f>G336*战斗力计算!$B$8+H336*战斗力计算!$B$9+I336*战斗力计算!$B$10+J336*战斗力计算!$B$11+K336*战斗力计算!$B$12+L336*战斗力计算!$B$8+M336*战斗力计算!$B$9+N336*战斗力计算!$B$10+O336*战斗力计算!$B$11+P336*战斗力计算!$B$12</f>
        <v>821940</v>
      </c>
      <c r="X336" s="5">
        <f t="shared" si="116"/>
        <v>966140</v>
      </c>
      <c r="AC336">
        <f t="shared" si="121"/>
        <v>3.8</v>
      </c>
      <c r="AD336">
        <f t="shared" si="122"/>
        <v>1.9</v>
      </c>
      <c r="AF336">
        <f t="shared" si="123"/>
        <v>0.75</v>
      </c>
      <c r="AH336">
        <f t="shared" si="124"/>
        <v>12</v>
      </c>
      <c r="AK336">
        <f t="shared" si="125"/>
        <v>6.0366972477064218</v>
      </c>
      <c r="AL336">
        <f t="shared" si="126"/>
        <v>1.5030581039755351</v>
      </c>
      <c r="AM336">
        <f t="shared" si="127"/>
        <v>1</v>
      </c>
      <c r="AN336">
        <f t="shared" si="128"/>
        <v>6.0366972477064218</v>
      </c>
      <c r="AO336">
        <f t="shared" si="129"/>
        <v>1.5030581039755351</v>
      </c>
      <c r="AP336">
        <f t="shared" si="130"/>
        <v>1</v>
      </c>
      <c r="AR336">
        <f t="shared" si="131"/>
        <v>4.4954268292682924</v>
      </c>
      <c r="AT336">
        <f t="shared" si="132"/>
        <v>4.4954268292682924</v>
      </c>
      <c r="AV336">
        <f t="shared" si="133"/>
        <v>3440</v>
      </c>
      <c r="AW336">
        <f t="shared" si="134"/>
        <v>6389</v>
      </c>
    </row>
    <row r="337" spans="1:49" x14ac:dyDescent="0.15">
      <c r="A337" s="5">
        <v>327</v>
      </c>
      <c r="B337" s="5">
        <f t="shared" si="120"/>
        <v>19800</v>
      </c>
      <c r="C337" s="5">
        <f t="shared" si="117"/>
        <v>4930</v>
      </c>
      <c r="D337" s="5">
        <f t="shared" si="117"/>
        <v>3280</v>
      </c>
      <c r="E337" s="5">
        <f t="shared" si="117"/>
        <v>987</v>
      </c>
      <c r="F337" s="5">
        <f t="shared" si="117"/>
        <v>1316</v>
      </c>
      <c r="G337" s="5">
        <f t="shared" si="118"/>
        <v>75240</v>
      </c>
      <c r="H337" s="5">
        <f t="shared" si="118"/>
        <v>18734</v>
      </c>
      <c r="I337" s="5">
        <f t="shared" si="118"/>
        <v>12464</v>
      </c>
      <c r="J337" s="5">
        <f t="shared" si="118"/>
        <v>3750.6</v>
      </c>
      <c r="K337" s="5">
        <f t="shared" si="118"/>
        <v>5000.8</v>
      </c>
      <c r="L337" s="5">
        <f t="shared" si="119"/>
        <v>37620</v>
      </c>
      <c r="M337" s="5">
        <f t="shared" si="119"/>
        <v>9367</v>
      </c>
      <c r="N337" s="5">
        <f t="shared" si="119"/>
        <v>6232</v>
      </c>
      <c r="O337" s="5">
        <f t="shared" si="119"/>
        <v>1875.3</v>
      </c>
      <c r="P337" s="5">
        <f t="shared" si="119"/>
        <v>2500.4</v>
      </c>
      <c r="Q337" s="5">
        <f t="shared" si="111"/>
        <v>132660</v>
      </c>
      <c r="R337" s="5">
        <f t="shared" si="112"/>
        <v>33031</v>
      </c>
      <c r="S337" s="5">
        <f t="shared" si="113"/>
        <v>21976</v>
      </c>
      <c r="T337" s="5">
        <f t="shared" si="114"/>
        <v>6612.9000000000005</v>
      </c>
      <c r="U337" s="5">
        <f t="shared" si="115"/>
        <v>8817.2000000000007</v>
      </c>
      <c r="V337" s="5">
        <f>B337*战斗力计算!$B$8+C337*战斗力计算!$B$9+D337*战斗力计算!$B$10+E337*战斗力计算!$B$11+F337*战斗力计算!$B$12</f>
        <v>144640</v>
      </c>
      <c r="W337" s="5">
        <f>G337*战斗力计算!$B$8+H337*战斗力计算!$B$9+I337*战斗力计算!$B$10+J337*战斗力计算!$B$11+K337*战斗力计算!$B$12+L337*战斗力计算!$B$8+M337*战斗力计算!$B$9+N337*战斗力计算!$B$10+O337*战斗力计算!$B$11+P337*战斗力计算!$B$12</f>
        <v>824448</v>
      </c>
      <c r="X337" s="5">
        <f t="shared" si="116"/>
        <v>969088</v>
      </c>
      <c r="AC337">
        <f t="shared" si="121"/>
        <v>3.8</v>
      </c>
      <c r="AD337">
        <f t="shared" si="122"/>
        <v>1.9</v>
      </c>
      <c r="AF337">
        <f t="shared" si="123"/>
        <v>0.75</v>
      </c>
      <c r="AH337">
        <f t="shared" si="124"/>
        <v>12</v>
      </c>
      <c r="AK337">
        <f t="shared" si="125"/>
        <v>6.0365853658536581</v>
      </c>
      <c r="AL337">
        <f t="shared" si="126"/>
        <v>1.5030487804878048</v>
      </c>
      <c r="AM337">
        <f t="shared" si="127"/>
        <v>1</v>
      </c>
      <c r="AN337">
        <f t="shared" si="128"/>
        <v>6.0365853658536581</v>
      </c>
      <c r="AO337">
        <f t="shared" si="129"/>
        <v>1.5030487804878048</v>
      </c>
      <c r="AP337">
        <f t="shared" si="130"/>
        <v>1</v>
      </c>
      <c r="AR337">
        <f t="shared" si="131"/>
        <v>4.495440729483283</v>
      </c>
      <c r="AT337">
        <f t="shared" si="132"/>
        <v>4.495440729483283</v>
      </c>
      <c r="AV337">
        <f t="shared" si="133"/>
        <v>3451</v>
      </c>
      <c r="AW337">
        <f t="shared" si="134"/>
        <v>6409</v>
      </c>
    </row>
    <row r="338" spans="1:49" x14ac:dyDescent="0.15">
      <c r="A338" s="5">
        <v>328</v>
      </c>
      <c r="B338" s="5">
        <f t="shared" si="120"/>
        <v>19860</v>
      </c>
      <c r="C338" s="5">
        <f t="shared" si="117"/>
        <v>4945</v>
      </c>
      <c r="D338" s="5">
        <f t="shared" si="117"/>
        <v>3290</v>
      </c>
      <c r="E338" s="5">
        <f t="shared" si="117"/>
        <v>990</v>
      </c>
      <c r="F338" s="5">
        <f t="shared" si="117"/>
        <v>1320</v>
      </c>
      <c r="G338" s="5">
        <f t="shared" si="118"/>
        <v>75468</v>
      </c>
      <c r="H338" s="5">
        <f t="shared" si="118"/>
        <v>18791</v>
      </c>
      <c r="I338" s="5">
        <f t="shared" si="118"/>
        <v>12502</v>
      </c>
      <c r="J338" s="5">
        <f t="shared" si="118"/>
        <v>3762</v>
      </c>
      <c r="K338" s="5">
        <f t="shared" si="118"/>
        <v>5016</v>
      </c>
      <c r="L338" s="5">
        <f t="shared" si="119"/>
        <v>37734</v>
      </c>
      <c r="M338" s="5">
        <f t="shared" si="119"/>
        <v>9395.5</v>
      </c>
      <c r="N338" s="5">
        <f t="shared" si="119"/>
        <v>6251</v>
      </c>
      <c r="O338" s="5">
        <f t="shared" si="119"/>
        <v>1881</v>
      </c>
      <c r="P338" s="5">
        <f t="shared" si="119"/>
        <v>2508</v>
      </c>
      <c r="Q338" s="5">
        <f t="shared" si="111"/>
        <v>133062</v>
      </c>
      <c r="R338" s="5">
        <f t="shared" si="112"/>
        <v>33131.5</v>
      </c>
      <c r="S338" s="5">
        <f t="shared" si="113"/>
        <v>22043</v>
      </c>
      <c r="T338" s="5">
        <f t="shared" si="114"/>
        <v>6633</v>
      </c>
      <c r="U338" s="5">
        <f t="shared" si="115"/>
        <v>8844</v>
      </c>
      <c r="V338" s="5">
        <f>B338*战斗力计算!$B$8+C338*战斗力计算!$B$9+D338*战斗力计算!$B$10+E338*战斗力计算!$B$11+F338*战斗力计算!$B$12</f>
        <v>145080</v>
      </c>
      <c r="W338" s="5">
        <f>G338*战斗力计算!$B$8+H338*战斗力计算!$B$9+I338*战斗力计算!$B$10+J338*战斗力计算!$B$11+K338*战斗力计算!$B$12+L338*战斗力计算!$B$8+M338*战斗力计算!$B$9+N338*战斗力计算!$B$10+O338*战斗力计算!$B$11+P338*战斗力计算!$B$12</f>
        <v>826956</v>
      </c>
      <c r="X338" s="5">
        <f t="shared" si="116"/>
        <v>972036</v>
      </c>
      <c r="AC338">
        <f t="shared" si="121"/>
        <v>3.8</v>
      </c>
      <c r="AD338">
        <f t="shared" si="122"/>
        <v>1.9</v>
      </c>
      <c r="AF338">
        <f t="shared" si="123"/>
        <v>0.75</v>
      </c>
      <c r="AH338">
        <f t="shared" si="124"/>
        <v>12</v>
      </c>
      <c r="AK338">
        <f t="shared" si="125"/>
        <v>6.0364741641337387</v>
      </c>
      <c r="AL338">
        <f t="shared" si="126"/>
        <v>1.5030395136778116</v>
      </c>
      <c r="AM338">
        <f t="shared" si="127"/>
        <v>1</v>
      </c>
      <c r="AN338">
        <f t="shared" si="128"/>
        <v>6.0364741641337387</v>
      </c>
      <c r="AO338">
        <f t="shared" si="129"/>
        <v>1.5030395136778116</v>
      </c>
      <c r="AP338">
        <f t="shared" si="130"/>
        <v>1</v>
      </c>
      <c r="AR338">
        <f t="shared" si="131"/>
        <v>4.4954545454545451</v>
      </c>
      <c r="AT338">
        <f t="shared" si="132"/>
        <v>4.4954545454545451</v>
      </c>
      <c r="AV338">
        <f t="shared" si="133"/>
        <v>3461</v>
      </c>
      <c r="AW338">
        <f t="shared" si="134"/>
        <v>6428</v>
      </c>
    </row>
    <row r="339" spans="1:49" x14ac:dyDescent="0.15">
      <c r="A339" s="5">
        <v>329</v>
      </c>
      <c r="B339" s="5">
        <f t="shared" si="120"/>
        <v>19920</v>
      </c>
      <c r="C339" s="5">
        <f t="shared" si="117"/>
        <v>4960</v>
      </c>
      <c r="D339" s="5">
        <f t="shared" si="117"/>
        <v>3300</v>
      </c>
      <c r="E339" s="5">
        <f t="shared" si="117"/>
        <v>993</v>
      </c>
      <c r="F339" s="5">
        <f t="shared" si="117"/>
        <v>1324</v>
      </c>
      <c r="G339" s="5">
        <f t="shared" si="118"/>
        <v>75696</v>
      </c>
      <c r="H339" s="5">
        <f t="shared" si="118"/>
        <v>18848</v>
      </c>
      <c r="I339" s="5">
        <f t="shared" si="118"/>
        <v>12540</v>
      </c>
      <c r="J339" s="5">
        <f t="shared" si="118"/>
        <v>3773.3999999999996</v>
      </c>
      <c r="K339" s="5">
        <f t="shared" si="118"/>
        <v>5031.2</v>
      </c>
      <c r="L339" s="5">
        <f t="shared" si="119"/>
        <v>37848</v>
      </c>
      <c r="M339" s="5">
        <f t="shared" si="119"/>
        <v>9424</v>
      </c>
      <c r="N339" s="5">
        <f t="shared" si="119"/>
        <v>6270</v>
      </c>
      <c r="O339" s="5">
        <f t="shared" si="119"/>
        <v>1886.6999999999998</v>
      </c>
      <c r="P339" s="5">
        <f t="shared" si="119"/>
        <v>2515.6</v>
      </c>
      <c r="Q339" s="5">
        <f t="shared" si="111"/>
        <v>133464</v>
      </c>
      <c r="R339" s="5">
        <f t="shared" si="112"/>
        <v>33232</v>
      </c>
      <c r="S339" s="5">
        <f t="shared" si="113"/>
        <v>22110</v>
      </c>
      <c r="T339" s="5">
        <f t="shared" si="114"/>
        <v>6653.0999999999995</v>
      </c>
      <c r="U339" s="5">
        <f t="shared" si="115"/>
        <v>8870.7999999999993</v>
      </c>
      <c r="V339" s="5">
        <f>B339*战斗力计算!$B$8+C339*战斗力计算!$B$9+D339*战斗力计算!$B$10+E339*战斗力计算!$B$11+F339*战斗力计算!$B$12</f>
        <v>145520</v>
      </c>
      <c r="W339" s="5">
        <f>G339*战斗力计算!$B$8+H339*战斗力计算!$B$9+I339*战斗力计算!$B$10+J339*战斗力计算!$B$11+K339*战斗力计算!$B$12+L339*战斗力计算!$B$8+M339*战斗力计算!$B$9+N339*战斗力计算!$B$10+O339*战斗力计算!$B$11+P339*战斗力计算!$B$12</f>
        <v>829464</v>
      </c>
      <c r="X339" s="5">
        <f t="shared" si="116"/>
        <v>974984</v>
      </c>
      <c r="AC339">
        <f t="shared" si="121"/>
        <v>3.8</v>
      </c>
      <c r="AD339">
        <f t="shared" si="122"/>
        <v>1.9</v>
      </c>
      <c r="AF339">
        <f t="shared" si="123"/>
        <v>0.75</v>
      </c>
      <c r="AH339">
        <f t="shared" si="124"/>
        <v>12</v>
      </c>
      <c r="AK339">
        <f t="shared" si="125"/>
        <v>6.0363636363636362</v>
      </c>
      <c r="AL339">
        <f t="shared" si="126"/>
        <v>1.5030303030303029</v>
      </c>
      <c r="AM339">
        <f t="shared" si="127"/>
        <v>1</v>
      </c>
      <c r="AN339">
        <f t="shared" si="128"/>
        <v>6.0363636363636362</v>
      </c>
      <c r="AO339">
        <f t="shared" si="129"/>
        <v>1.5030303030303029</v>
      </c>
      <c r="AP339">
        <f t="shared" si="130"/>
        <v>1</v>
      </c>
      <c r="AR339">
        <f t="shared" si="131"/>
        <v>4.4954682779456192</v>
      </c>
      <c r="AT339">
        <f t="shared" si="132"/>
        <v>4.4954682779456192</v>
      </c>
      <c r="AV339">
        <f t="shared" si="133"/>
        <v>3472</v>
      </c>
      <c r="AW339">
        <f t="shared" si="134"/>
        <v>6448</v>
      </c>
    </row>
    <row r="340" spans="1:49" x14ac:dyDescent="0.15">
      <c r="A340" s="5">
        <v>330</v>
      </c>
      <c r="B340" s="5">
        <f t="shared" si="120"/>
        <v>19980</v>
      </c>
      <c r="C340" s="5">
        <f t="shared" si="117"/>
        <v>4975</v>
      </c>
      <c r="D340" s="5">
        <f t="shared" si="117"/>
        <v>3310</v>
      </c>
      <c r="E340" s="5">
        <f t="shared" si="117"/>
        <v>996</v>
      </c>
      <c r="F340" s="5">
        <f t="shared" si="117"/>
        <v>1328</v>
      </c>
      <c r="G340" s="5">
        <f t="shared" si="118"/>
        <v>75924</v>
      </c>
      <c r="H340" s="5">
        <f t="shared" si="118"/>
        <v>18905</v>
      </c>
      <c r="I340" s="5">
        <f t="shared" si="118"/>
        <v>12578</v>
      </c>
      <c r="J340" s="5">
        <f t="shared" si="118"/>
        <v>3784.7999999999997</v>
      </c>
      <c r="K340" s="5">
        <f t="shared" si="118"/>
        <v>5046.3999999999996</v>
      </c>
      <c r="L340" s="5">
        <f t="shared" si="119"/>
        <v>37962</v>
      </c>
      <c r="M340" s="5">
        <f t="shared" si="119"/>
        <v>9452.5</v>
      </c>
      <c r="N340" s="5">
        <f t="shared" si="119"/>
        <v>6289</v>
      </c>
      <c r="O340" s="5">
        <f t="shared" si="119"/>
        <v>1892.3999999999999</v>
      </c>
      <c r="P340" s="5">
        <f t="shared" si="119"/>
        <v>2523.1999999999998</v>
      </c>
      <c r="Q340" s="5">
        <f t="shared" si="111"/>
        <v>133866</v>
      </c>
      <c r="R340" s="5">
        <f t="shared" si="112"/>
        <v>33332.5</v>
      </c>
      <c r="S340" s="5">
        <f t="shared" si="113"/>
        <v>22177</v>
      </c>
      <c r="T340" s="5">
        <f t="shared" si="114"/>
        <v>6673.1999999999989</v>
      </c>
      <c r="U340" s="5">
        <f t="shared" si="115"/>
        <v>8897.5999999999985</v>
      </c>
      <c r="V340" s="5">
        <f>B340*战斗力计算!$B$8+C340*战斗力计算!$B$9+D340*战斗力计算!$B$10+E340*战斗力计算!$B$11+F340*战斗力计算!$B$12</f>
        <v>145960</v>
      </c>
      <c r="W340" s="5">
        <f>G340*战斗力计算!$B$8+H340*战斗力计算!$B$9+I340*战斗力计算!$B$10+J340*战斗力计算!$B$11+K340*战斗力计算!$B$12+L340*战斗力计算!$B$8+M340*战斗力计算!$B$9+N340*战斗力计算!$B$10+O340*战斗力计算!$B$11+P340*战斗力计算!$B$12</f>
        <v>831972</v>
      </c>
      <c r="X340" s="5">
        <f t="shared" si="116"/>
        <v>977932</v>
      </c>
      <c r="AC340">
        <f t="shared" si="121"/>
        <v>3.8</v>
      </c>
      <c r="AD340">
        <f t="shared" si="122"/>
        <v>1.9</v>
      </c>
      <c r="AF340">
        <f t="shared" si="123"/>
        <v>0.75</v>
      </c>
      <c r="AH340">
        <f t="shared" si="124"/>
        <v>12</v>
      </c>
      <c r="AK340">
        <f t="shared" si="125"/>
        <v>6.0362537764350455</v>
      </c>
      <c r="AL340">
        <f t="shared" si="126"/>
        <v>1.5030211480362539</v>
      </c>
      <c r="AM340">
        <f t="shared" si="127"/>
        <v>1</v>
      </c>
      <c r="AN340">
        <f t="shared" si="128"/>
        <v>6.0362537764350455</v>
      </c>
      <c r="AO340">
        <f t="shared" si="129"/>
        <v>1.5030211480362539</v>
      </c>
      <c r="AP340">
        <f t="shared" si="130"/>
        <v>1</v>
      </c>
      <c r="AR340">
        <f t="shared" si="131"/>
        <v>4.4954819277108431</v>
      </c>
      <c r="AT340">
        <f t="shared" si="132"/>
        <v>4.4954819277108431</v>
      </c>
      <c r="AV340">
        <f t="shared" si="133"/>
        <v>3482</v>
      </c>
      <c r="AW340">
        <f t="shared" si="134"/>
        <v>6467</v>
      </c>
    </row>
    <row r="341" spans="1:49" x14ac:dyDescent="0.15">
      <c r="A341" s="5">
        <v>331</v>
      </c>
      <c r="B341" s="5">
        <f t="shared" si="120"/>
        <v>20040</v>
      </c>
      <c r="C341" s="5">
        <f t="shared" si="117"/>
        <v>4990</v>
      </c>
      <c r="D341" s="5">
        <f t="shared" si="117"/>
        <v>3320</v>
      </c>
      <c r="E341" s="5">
        <f t="shared" si="117"/>
        <v>999</v>
      </c>
      <c r="F341" s="5">
        <f t="shared" si="117"/>
        <v>1332</v>
      </c>
      <c r="G341" s="5">
        <f t="shared" si="118"/>
        <v>76152</v>
      </c>
      <c r="H341" s="5">
        <f t="shared" si="118"/>
        <v>18962</v>
      </c>
      <c r="I341" s="5">
        <f t="shared" si="118"/>
        <v>12616</v>
      </c>
      <c r="J341" s="5">
        <f t="shared" si="118"/>
        <v>3796.2</v>
      </c>
      <c r="K341" s="5">
        <f t="shared" si="118"/>
        <v>5061.5999999999995</v>
      </c>
      <c r="L341" s="5">
        <f t="shared" si="119"/>
        <v>38076</v>
      </c>
      <c r="M341" s="5">
        <f t="shared" si="119"/>
        <v>9481</v>
      </c>
      <c r="N341" s="5">
        <f t="shared" si="119"/>
        <v>6308</v>
      </c>
      <c r="O341" s="5">
        <f t="shared" si="119"/>
        <v>1898.1</v>
      </c>
      <c r="P341" s="5">
        <f t="shared" si="119"/>
        <v>2530.7999999999997</v>
      </c>
      <c r="Q341" s="5">
        <f t="shared" si="111"/>
        <v>134268</v>
      </c>
      <c r="R341" s="5">
        <f t="shared" si="112"/>
        <v>33433</v>
      </c>
      <c r="S341" s="5">
        <f t="shared" si="113"/>
        <v>22244</v>
      </c>
      <c r="T341" s="5">
        <f t="shared" si="114"/>
        <v>6693.2999999999993</v>
      </c>
      <c r="U341" s="5">
        <f t="shared" si="115"/>
        <v>8924.4</v>
      </c>
      <c r="V341" s="5">
        <f>B341*战斗力计算!$B$8+C341*战斗力计算!$B$9+D341*战斗力计算!$B$10+E341*战斗力计算!$B$11+F341*战斗力计算!$B$12</f>
        <v>146400</v>
      </c>
      <c r="W341" s="5">
        <f>G341*战斗力计算!$B$8+H341*战斗力计算!$B$9+I341*战斗力计算!$B$10+J341*战斗力计算!$B$11+K341*战斗力计算!$B$12+L341*战斗力计算!$B$8+M341*战斗力计算!$B$9+N341*战斗力计算!$B$10+O341*战斗力计算!$B$11+P341*战斗力计算!$B$12</f>
        <v>834480</v>
      </c>
      <c r="X341" s="5">
        <f t="shared" si="116"/>
        <v>980880</v>
      </c>
      <c r="AC341">
        <f t="shared" si="121"/>
        <v>3.8</v>
      </c>
      <c r="AD341">
        <f t="shared" si="122"/>
        <v>1.9</v>
      </c>
      <c r="AF341">
        <f t="shared" si="123"/>
        <v>0.75</v>
      </c>
      <c r="AH341">
        <f t="shared" si="124"/>
        <v>12</v>
      </c>
      <c r="AK341">
        <f t="shared" si="125"/>
        <v>6.0361445783132526</v>
      </c>
      <c r="AL341">
        <f t="shared" si="126"/>
        <v>1.5030120481927711</v>
      </c>
      <c r="AM341">
        <f t="shared" si="127"/>
        <v>1</v>
      </c>
      <c r="AN341">
        <f t="shared" si="128"/>
        <v>6.0361445783132526</v>
      </c>
      <c r="AO341">
        <f t="shared" si="129"/>
        <v>1.5030120481927711</v>
      </c>
      <c r="AP341">
        <f t="shared" si="130"/>
        <v>1</v>
      </c>
      <c r="AR341">
        <f t="shared" si="131"/>
        <v>4.4954954954954953</v>
      </c>
      <c r="AT341">
        <f t="shared" si="132"/>
        <v>4.4954954954954953</v>
      </c>
      <c r="AV341">
        <f t="shared" si="133"/>
        <v>3493</v>
      </c>
      <c r="AW341">
        <f t="shared" si="134"/>
        <v>6487</v>
      </c>
    </row>
    <row r="342" spans="1:49" x14ac:dyDescent="0.15">
      <c r="A342" s="5">
        <v>332</v>
      </c>
      <c r="B342" s="5">
        <f t="shared" si="120"/>
        <v>20100</v>
      </c>
      <c r="C342" s="5">
        <f t="shared" si="117"/>
        <v>5005</v>
      </c>
      <c r="D342" s="5">
        <f t="shared" si="117"/>
        <v>3330</v>
      </c>
      <c r="E342" s="5">
        <f t="shared" si="117"/>
        <v>1002</v>
      </c>
      <c r="F342" s="5">
        <f t="shared" si="117"/>
        <v>1336</v>
      </c>
      <c r="G342" s="5">
        <f t="shared" si="118"/>
        <v>76380</v>
      </c>
      <c r="H342" s="5">
        <f t="shared" si="118"/>
        <v>19019</v>
      </c>
      <c r="I342" s="5">
        <f t="shared" si="118"/>
        <v>12654</v>
      </c>
      <c r="J342" s="5">
        <f t="shared" si="118"/>
        <v>3807.6</v>
      </c>
      <c r="K342" s="5">
        <f t="shared" si="118"/>
        <v>5076.8</v>
      </c>
      <c r="L342" s="5">
        <f t="shared" si="119"/>
        <v>38190</v>
      </c>
      <c r="M342" s="5">
        <f t="shared" si="119"/>
        <v>9509.5</v>
      </c>
      <c r="N342" s="5">
        <f t="shared" si="119"/>
        <v>6327</v>
      </c>
      <c r="O342" s="5">
        <f t="shared" si="119"/>
        <v>1903.8</v>
      </c>
      <c r="P342" s="5">
        <f t="shared" si="119"/>
        <v>2538.4</v>
      </c>
      <c r="Q342" s="5">
        <f t="shared" si="111"/>
        <v>134670</v>
      </c>
      <c r="R342" s="5">
        <f t="shared" si="112"/>
        <v>33533.5</v>
      </c>
      <c r="S342" s="5">
        <f t="shared" si="113"/>
        <v>22311</v>
      </c>
      <c r="T342" s="5">
        <f t="shared" si="114"/>
        <v>6713.4000000000005</v>
      </c>
      <c r="U342" s="5">
        <f t="shared" si="115"/>
        <v>8951.2000000000007</v>
      </c>
      <c r="V342" s="5">
        <f>B342*战斗力计算!$B$8+C342*战斗力计算!$B$9+D342*战斗力计算!$B$10+E342*战斗力计算!$B$11+F342*战斗力计算!$B$12</f>
        <v>146840</v>
      </c>
      <c r="W342" s="5">
        <f>G342*战斗力计算!$B$8+H342*战斗力计算!$B$9+I342*战斗力计算!$B$10+J342*战斗力计算!$B$11+K342*战斗力计算!$B$12+L342*战斗力计算!$B$8+M342*战斗力计算!$B$9+N342*战斗力计算!$B$10+O342*战斗力计算!$B$11+P342*战斗力计算!$B$12</f>
        <v>836988</v>
      </c>
      <c r="X342" s="5">
        <f t="shared" si="116"/>
        <v>983828</v>
      </c>
      <c r="AC342">
        <f t="shared" si="121"/>
        <v>3.8</v>
      </c>
      <c r="AD342">
        <f t="shared" si="122"/>
        <v>1.9</v>
      </c>
      <c r="AF342">
        <f t="shared" si="123"/>
        <v>0.75</v>
      </c>
      <c r="AH342">
        <f t="shared" si="124"/>
        <v>12</v>
      </c>
      <c r="AK342">
        <f t="shared" si="125"/>
        <v>6.0360360360360357</v>
      </c>
      <c r="AL342">
        <f t="shared" si="126"/>
        <v>1.503003003003003</v>
      </c>
      <c r="AM342">
        <f t="shared" si="127"/>
        <v>1</v>
      </c>
      <c r="AN342">
        <f t="shared" si="128"/>
        <v>6.0360360360360357</v>
      </c>
      <c r="AO342">
        <f t="shared" si="129"/>
        <v>1.503003003003003</v>
      </c>
      <c r="AP342">
        <f t="shared" si="130"/>
        <v>1</v>
      </c>
      <c r="AR342">
        <f t="shared" si="131"/>
        <v>4.4955089820359282</v>
      </c>
      <c r="AT342">
        <f t="shared" si="132"/>
        <v>4.4955089820359282</v>
      </c>
      <c r="AV342">
        <f t="shared" si="133"/>
        <v>3503</v>
      </c>
      <c r="AW342">
        <f t="shared" si="134"/>
        <v>6506</v>
      </c>
    </row>
    <row r="343" spans="1:49" x14ac:dyDescent="0.15">
      <c r="A343" s="5">
        <v>333</v>
      </c>
      <c r="B343" s="5">
        <f t="shared" si="120"/>
        <v>20160</v>
      </c>
      <c r="C343" s="5">
        <f t="shared" si="117"/>
        <v>5020</v>
      </c>
      <c r="D343" s="5">
        <f t="shared" si="117"/>
        <v>3340</v>
      </c>
      <c r="E343" s="5">
        <f t="shared" si="117"/>
        <v>1005</v>
      </c>
      <c r="F343" s="5">
        <f t="shared" si="117"/>
        <v>1340</v>
      </c>
      <c r="G343" s="5">
        <f t="shared" si="118"/>
        <v>76608</v>
      </c>
      <c r="H343" s="5">
        <f t="shared" si="118"/>
        <v>19076</v>
      </c>
      <c r="I343" s="5">
        <f t="shared" si="118"/>
        <v>12692</v>
      </c>
      <c r="J343" s="5">
        <f t="shared" si="118"/>
        <v>3819</v>
      </c>
      <c r="K343" s="5">
        <f t="shared" si="118"/>
        <v>5092</v>
      </c>
      <c r="L343" s="5">
        <f t="shared" si="119"/>
        <v>38304</v>
      </c>
      <c r="M343" s="5">
        <f t="shared" si="119"/>
        <v>9538</v>
      </c>
      <c r="N343" s="5">
        <f t="shared" si="119"/>
        <v>6346</v>
      </c>
      <c r="O343" s="5">
        <f t="shared" si="119"/>
        <v>1909.5</v>
      </c>
      <c r="P343" s="5">
        <f t="shared" si="119"/>
        <v>2546</v>
      </c>
      <c r="Q343" s="5">
        <f t="shared" si="111"/>
        <v>135072</v>
      </c>
      <c r="R343" s="5">
        <f t="shared" si="112"/>
        <v>33634</v>
      </c>
      <c r="S343" s="5">
        <f t="shared" si="113"/>
        <v>22378</v>
      </c>
      <c r="T343" s="5">
        <f t="shared" si="114"/>
        <v>6733.5</v>
      </c>
      <c r="U343" s="5">
        <f t="shared" si="115"/>
        <v>8978</v>
      </c>
      <c r="V343" s="5">
        <f>B343*战斗力计算!$B$8+C343*战斗力计算!$B$9+D343*战斗力计算!$B$10+E343*战斗力计算!$B$11+F343*战斗力计算!$B$12</f>
        <v>147280</v>
      </c>
      <c r="W343" s="5">
        <f>G343*战斗力计算!$B$8+H343*战斗力计算!$B$9+I343*战斗力计算!$B$10+J343*战斗力计算!$B$11+K343*战斗力计算!$B$12+L343*战斗力计算!$B$8+M343*战斗力计算!$B$9+N343*战斗力计算!$B$10+O343*战斗力计算!$B$11+P343*战斗力计算!$B$12</f>
        <v>839496</v>
      </c>
      <c r="X343" s="5">
        <f t="shared" si="116"/>
        <v>986776</v>
      </c>
      <c r="AC343">
        <f t="shared" si="121"/>
        <v>3.8</v>
      </c>
      <c r="AD343">
        <f t="shared" si="122"/>
        <v>1.9</v>
      </c>
      <c r="AF343">
        <f t="shared" si="123"/>
        <v>0.75</v>
      </c>
      <c r="AH343">
        <f t="shared" si="124"/>
        <v>12</v>
      </c>
      <c r="AK343">
        <f t="shared" si="125"/>
        <v>6.0359281437125745</v>
      </c>
      <c r="AL343">
        <f t="shared" si="126"/>
        <v>1.5029940119760479</v>
      </c>
      <c r="AM343">
        <f t="shared" si="127"/>
        <v>1</v>
      </c>
      <c r="AN343">
        <f t="shared" si="128"/>
        <v>6.0359281437125745</v>
      </c>
      <c r="AO343">
        <f t="shared" si="129"/>
        <v>1.5029940119760479</v>
      </c>
      <c r="AP343">
        <f t="shared" si="130"/>
        <v>1</v>
      </c>
      <c r="AR343">
        <f t="shared" si="131"/>
        <v>4.4955223880597011</v>
      </c>
      <c r="AT343">
        <f t="shared" si="132"/>
        <v>4.4955223880597011</v>
      </c>
      <c r="AV343">
        <f t="shared" si="133"/>
        <v>3514</v>
      </c>
      <c r="AW343">
        <f t="shared" si="134"/>
        <v>6526</v>
      </c>
    </row>
    <row r="344" spans="1:49" x14ac:dyDescent="0.15">
      <c r="A344" s="5">
        <v>334</v>
      </c>
      <c r="B344" s="5">
        <f t="shared" si="120"/>
        <v>20220</v>
      </c>
      <c r="C344" s="5">
        <f t="shared" si="117"/>
        <v>5035</v>
      </c>
      <c r="D344" s="5">
        <f t="shared" si="117"/>
        <v>3350</v>
      </c>
      <c r="E344" s="5">
        <f t="shared" si="117"/>
        <v>1008</v>
      </c>
      <c r="F344" s="5">
        <f t="shared" si="117"/>
        <v>1344</v>
      </c>
      <c r="G344" s="5">
        <f t="shared" si="118"/>
        <v>76836</v>
      </c>
      <c r="H344" s="5">
        <f t="shared" si="118"/>
        <v>19133</v>
      </c>
      <c r="I344" s="5">
        <f t="shared" si="118"/>
        <v>12730</v>
      </c>
      <c r="J344" s="5">
        <f t="shared" si="118"/>
        <v>3830.3999999999996</v>
      </c>
      <c r="K344" s="5">
        <f t="shared" si="118"/>
        <v>5107.2</v>
      </c>
      <c r="L344" s="5">
        <f t="shared" si="119"/>
        <v>38418</v>
      </c>
      <c r="M344" s="5">
        <f t="shared" si="119"/>
        <v>9566.5</v>
      </c>
      <c r="N344" s="5">
        <f t="shared" si="119"/>
        <v>6365</v>
      </c>
      <c r="O344" s="5">
        <f t="shared" si="119"/>
        <v>1915.1999999999998</v>
      </c>
      <c r="P344" s="5">
        <f t="shared" si="119"/>
        <v>2553.6</v>
      </c>
      <c r="Q344" s="5">
        <f t="shared" si="111"/>
        <v>135474</v>
      </c>
      <c r="R344" s="5">
        <f t="shared" si="112"/>
        <v>33734.5</v>
      </c>
      <c r="S344" s="5">
        <f t="shared" si="113"/>
        <v>22445</v>
      </c>
      <c r="T344" s="5">
        <f t="shared" si="114"/>
        <v>6753.5999999999995</v>
      </c>
      <c r="U344" s="5">
        <f t="shared" si="115"/>
        <v>9004.7999999999993</v>
      </c>
      <c r="V344" s="5">
        <f>B344*战斗力计算!$B$8+C344*战斗力计算!$B$9+D344*战斗力计算!$B$10+E344*战斗力计算!$B$11+F344*战斗力计算!$B$12</f>
        <v>147720</v>
      </c>
      <c r="W344" s="5">
        <f>G344*战斗力计算!$B$8+H344*战斗力计算!$B$9+I344*战斗力计算!$B$10+J344*战斗力计算!$B$11+K344*战斗力计算!$B$12+L344*战斗力计算!$B$8+M344*战斗力计算!$B$9+N344*战斗力计算!$B$10+O344*战斗力计算!$B$11+P344*战斗力计算!$B$12</f>
        <v>842004</v>
      </c>
      <c r="X344" s="5">
        <f t="shared" si="116"/>
        <v>989724</v>
      </c>
      <c r="AC344">
        <f t="shared" si="121"/>
        <v>3.8</v>
      </c>
      <c r="AD344">
        <f t="shared" si="122"/>
        <v>1.9</v>
      </c>
      <c r="AF344">
        <f t="shared" si="123"/>
        <v>0.75</v>
      </c>
      <c r="AH344">
        <f t="shared" si="124"/>
        <v>12</v>
      </c>
      <c r="AK344">
        <f t="shared" si="125"/>
        <v>6.035820895522388</v>
      </c>
      <c r="AL344">
        <f t="shared" si="126"/>
        <v>1.5029850746268656</v>
      </c>
      <c r="AM344">
        <f t="shared" si="127"/>
        <v>1</v>
      </c>
      <c r="AN344">
        <f t="shared" si="128"/>
        <v>6.035820895522388</v>
      </c>
      <c r="AO344">
        <f t="shared" si="129"/>
        <v>1.5029850746268656</v>
      </c>
      <c r="AP344">
        <f t="shared" si="130"/>
        <v>1</v>
      </c>
      <c r="AR344">
        <f t="shared" si="131"/>
        <v>4.4955357142857144</v>
      </c>
      <c r="AT344">
        <f t="shared" si="132"/>
        <v>4.4955357142857144</v>
      </c>
      <c r="AV344">
        <f t="shared" si="133"/>
        <v>3524</v>
      </c>
      <c r="AW344">
        <f t="shared" si="134"/>
        <v>6545</v>
      </c>
    </row>
    <row r="345" spans="1:49" x14ac:dyDescent="0.15">
      <c r="A345" s="5">
        <v>335</v>
      </c>
      <c r="B345" s="5">
        <f t="shared" si="120"/>
        <v>20280</v>
      </c>
      <c r="C345" s="5">
        <f t="shared" si="117"/>
        <v>5050</v>
      </c>
      <c r="D345" s="5">
        <f t="shared" si="117"/>
        <v>3360</v>
      </c>
      <c r="E345" s="5">
        <f t="shared" si="117"/>
        <v>1011</v>
      </c>
      <c r="F345" s="5">
        <f t="shared" si="117"/>
        <v>1348</v>
      </c>
      <c r="G345" s="5">
        <f t="shared" si="118"/>
        <v>77064</v>
      </c>
      <c r="H345" s="5">
        <f t="shared" si="118"/>
        <v>19190</v>
      </c>
      <c r="I345" s="5">
        <f t="shared" si="118"/>
        <v>12768</v>
      </c>
      <c r="J345" s="5">
        <f t="shared" si="118"/>
        <v>3841.7999999999997</v>
      </c>
      <c r="K345" s="5">
        <f t="shared" si="118"/>
        <v>5122.3999999999996</v>
      </c>
      <c r="L345" s="5">
        <f t="shared" si="119"/>
        <v>38532</v>
      </c>
      <c r="M345" s="5">
        <f t="shared" si="119"/>
        <v>9595</v>
      </c>
      <c r="N345" s="5">
        <f t="shared" si="119"/>
        <v>6384</v>
      </c>
      <c r="O345" s="5">
        <f t="shared" si="119"/>
        <v>1920.8999999999999</v>
      </c>
      <c r="P345" s="5">
        <f t="shared" si="119"/>
        <v>2561.1999999999998</v>
      </c>
      <c r="Q345" s="5">
        <f t="shared" si="111"/>
        <v>135876</v>
      </c>
      <c r="R345" s="5">
        <f t="shared" si="112"/>
        <v>33835</v>
      </c>
      <c r="S345" s="5">
        <f t="shared" si="113"/>
        <v>22512</v>
      </c>
      <c r="T345" s="5">
        <f t="shared" si="114"/>
        <v>6773.6999999999989</v>
      </c>
      <c r="U345" s="5">
        <f t="shared" si="115"/>
        <v>9031.5999999999985</v>
      </c>
      <c r="V345" s="5">
        <f>B345*战斗力计算!$B$8+C345*战斗力计算!$B$9+D345*战斗力计算!$B$10+E345*战斗力计算!$B$11+F345*战斗力计算!$B$12</f>
        <v>148160</v>
      </c>
      <c r="W345" s="5">
        <f>G345*战斗力计算!$B$8+H345*战斗力计算!$B$9+I345*战斗力计算!$B$10+J345*战斗力计算!$B$11+K345*战斗力计算!$B$12+L345*战斗力计算!$B$8+M345*战斗力计算!$B$9+N345*战斗力计算!$B$10+O345*战斗力计算!$B$11+P345*战斗力计算!$B$12</f>
        <v>844512</v>
      </c>
      <c r="X345" s="5">
        <f t="shared" si="116"/>
        <v>992672</v>
      </c>
      <c r="AC345">
        <f t="shared" si="121"/>
        <v>3.8</v>
      </c>
      <c r="AD345">
        <f t="shared" si="122"/>
        <v>1.9</v>
      </c>
      <c r="AF345">
        <f t="shared" si="123"/>
        <v>0.75</v>
      </c>
      <c r="AH345">
        <f t="shared" si="124"/>
        <v>12</v>
      </c>
      <c r="AK345">
        <f t="shared" si="125"/>
        <v>6.0357142857142856</v>
      </c>
      <c r="AL345">
        <f t="shared" si="126"/>
        <v>1.5029761904761905</v>
      </c>
      <c r="AM345">
        <f t="shared" si="127"/>
        <v>1</v>
      </c>
      <c r="AN345">
        <f t="shared" si="128"/>
        <v>6.0357142857142856</v>
      </c>
      <c r="AO345">
        <f t="shared" si="129"/>
        <v>1.5029761904761905</v>
      </c>
      <c r="AP345">
        <f t="shared" si="130"/>
        <v>1</v>
      </c>
      <c r="AR345">
        <f t="shared" si="131"/>
        <v>4.4955489614243325</v>
      </c>
      <c r="AT345">
        <f t="shared" si="132"/>
        <v>4.4955489614243325</v>
      </c>
      <c r="AV345">
        <f t="shared" si="133"/>
        <v>3535</v>
      </c>
      <c r="AW345">
        <f t="shared" si="134"/>
        <v>6565</v>
      </c>
    </row>
    <row r="346" spans="1:49" x14ac:dyDescent="0.15">
      <c r="A346" s="5">
        <v>336</v>
      </c>
      <c r="B346" s="5">
        <f t="shared" si="120"/>
        <v>20340</v>
      </c>
      <c r="C346" s="5">
        <f t="shared" si="117"/>
        <v>5065</v>
      </c>
      <c r="D346" s="5">
        <f t="shared" si="117"/>
        <v>3370</v>
      </c>
      <c r="E346" s="5">
        <f t="shared" si="117"/>
        <v>1014</v>
      </c>
      <c r="F346" s="5">
        <f t="shared" si="117"/>
        <v>1352</v>
      </c>
      <c r="G346" s="5">
        <f t="shared" si="118"/>
        <v>77292</v>
      </c>
      <c r="H346" s="5">
        <f t="shared" si="118"/>
        <v>19247</v>
      </c>
      <c r="I346" s="5">
        <f t="shared" si="118"/>
        <v>12806</v>
      </c>
      <c r="J346" s="5">
        <f t="shared" si="118"/>
        <v>3853.2</v>
      </c>
      <c r="K346" s="5">
        <f t="shared" si="118"/>
        <v>5137.5999999999995</v>
      </c>
      <c r="L346" s="5">
        <f t="shared" si="119"/>
        <v>38646</v>
      </c>
      <c r="M346" s="5">
        <f t="shared" si="119"/>
        <v>9623.5</v>
      </c>
      <c r="N346" s="5">
        <f t="shared" si="119"/>
        <v>6403</v>
      </c>
      <c r="O346" s="5">
        <f t="shared" si="119"/>
        <v>1926.6</v>
      </c>
      <c r="P346" s="5">
        <f t="shared" si="119"/>
        <v>2568.7999999999997</v>
      </c>
      <c r="Q346" s="5">
        <f t="shared" si="111"/>
        <v>136278</v>
      </c>
      <c r="R346" s="5">
        <f t="shared" si="112"/>
        <v>33935.5</v>
      </c>
      <c r="S346" s="5">
        <f t="shared" si="113"/>
        <v>22579</v>
      </c>
      <c r="T346" s="5">
        <f t="shared" si="114"/>
        <v>6793.7999999999993</v>
      </c>
      <c r="U346" s="5">
        <f t="shared" si="115"/>
        <v>9058.4</v>
      </c>
      <c r="V346" s="5">
        <f>B346*战斗力计算!$B$8+C346*战斗力计算!$B$9+D346*战斗力计算!$B$10+E346*战斗力计算!$B$11+F346*战斗力计算!$B$12</f>
        <v>148600</v>
      </c>
      <c r="W346" s="5">
        <f>G346*战斗力计算!$B$8+H346*战斗力计算!$B$9+I346*战斗力计算!$B$10+J346*战斗力计算!$B$11+K346*战斗力计算!$B$12+L346*战斗力计算!$B$8+M346*战斗力计算!$B$9+N346*战斗力计算!$B$10+O346*战斗力计算!$B$11+P346*战斗力计算!$B$12</f>
        <v>847020</v>
      </c>
      <c r="X346" s="5">
        <f t="shared" si="116"/>
        <v>995620</v>
      </c>
      <c r="AC346">
        <f t="shared" si="121"/>
        <v>3.8</v>
      </c>
      <c r="AD346">
        <f t="shared" si="122"/>
        <v>1.9</v>
      </c>
      <c r="AF346">
        <f t="shared" si="123"/>
        <v>0.75</v>
      </c>
      <c r="AH346">
        <f t="shared" si="124"/>
        <v>12</v>
      </c>
      <c r="AK346">
        <f t="shared" si="125"/>
        <v>6.0356083086053411</v>
      </c>
      <c r="AL346">
        <f t="shared" si="126"/>
        <v>1.5029673590504451</v>
      </c>
      <c r="AM346">
        <f t="shared" si="127"/>
        <v>1</v>
      </c>
      <c r="AN346">
        <f t="shared" si="128"/>
        <v>6.0356083086053411</v>
      </c>
      <c r="AO346">
        <f t="shared" si="129"/>
        <v>1.5029673590504451</v>
      </c>
      <c r="AP346">
        <f t="shared" si="130"/>
        <v>1</v>
      </c>
      <c r="AR346">
        <f t="shared" si="131"/>
        <v>4.4955621301775146</v>
      </c>
      <c r="AT346">
        <f t="shared" si="132"/>
        <v>4.4955621301775146</v>
      </c>
      <c r="AV346">
        <f t="shared" si="133"/>
        <v>3545</v>
      </c>
      <c r="AW346">
        <f t="shared" si="134"/>
        <v>6584</v>
      </c>
    </row>
    <row r="347" spans="1:49" x14ac:dyDescent="0.15">
      <c r="A347" s="5">
        <v>337</v>
      </c>
      <c r="B347" s="5">
        <f t="shared" si="120"/>
        <v>20400</v>
      </c>
      <c r="C347" s="5">
        <f t="shared" si="117"/>
        <v>5080</v>
      </c>
      <c r="D347" s="5">
        <f t="shared" si="117"/>
        <v>3380</v>
      </c>
      <c r="E347" s="5">
        <f t="shared" si="117"/>
        <v>1017</v>
      </c>
      <c r="F347" s="5">
        <f t="shared" si="117"/>
        <v>1356</v>
      </c>
      <c r="G347" s="5">
        <f t="shared" si="118"/>
        <v>77520</v>
      </c>
      <c r="H347" s="5">
        <f t="shared" si="118"/>
        <v>19304</v>
      </c>
      <c r="I347" s="5">
        <f t="shared" si="118"/>
        <v>12844</v>
      </c>
      <c r="J347" s="5">
        <f t="shared" si="118"/>
        <v>3864.6</v>
      </c>
      <c r="K347" s="5">
        <f t="shared" si="118"/>
        <v>5152.8</v>
      </c>
      <c r="L347" s="5">
        <f t="shared" si="119"/>
        <v>38760</v>
      </c>
      <c r="M347" s="5">
        <f t="shared" si="119"/>
        <v>9652</v>
      </c>
      <c r="N347" s="5">
        <f t="shared" si="119"/>
        <v>6422</v>
      </c>
      <c r="O347" s="5">
        <f t="shared" si="119"/>
        <v>1932.3</v>
      </c>
      <c r="P347" s="5">
        <f t="shared" si="119"/>
        <v>2576.4</v>
      </c>
      <c r="Q347" s="5">
        <f t="shared" si="111"/>
        <v>136680</v>
      </c>
      <c r="R347" s="5">
        <f t="shared" si="112"/>
        <v>34036</v>
      </c>
      <c r="S347" s="5">
        <f t="shared" si="113"/>
        <v>22646</v>
      </c>
      <c r="T347" s="5">
        <f t="shared" si="114"/>
        <v>6813.9000000000005</v>
      </c>
      <c r="U347" s="5">
        <f t="shared" si="115"/>
        <v>9085.2000000000007</v>
      </c>
      <c r="V347" s="5">
        <f>B347*战斗力计算!$B$8+C347*战斗力计算!$B$9+D347*战斗力计算!$B$10+E347*战斗力计算!$B$11+F347*战斗力计算!$B$12</f>
        <v>149040</v>
      </c>
      <c r="W347" s="5">
        <f>G347*战斗力计算!$B$8+H347*战斗力计算!$B$9+I347*战斗力计算!$B$10+J347*战斗力计算!$B$11+K347*战斗力计算!$B$12+L347*战斗力计算!$B$8+M347*战斗力计算!$B$9+N347*战斗力计算!$B$10+O347*战斗力计算!$B$11+P347*战斗力计算!$B$12</f>
        <v>849528</v>
      </c>
      <c r="X347" s="5">
        <f t="shared" si="116"/>
        <v>998568</v>
      </c>
      <c r="AC347">
        <f t="shared" si="121"/>
        <v>3.8</v>
      </c>
      <c r="AD347">
        <f t="shared" si="122"/>
        <v>1.9</v>
      </c>
      <c r="AF347">
        <f t="shared" si="123"/>
        <v>0.75</v>
      </c>
      <c r="AH347">
        <f t="shared" si="124"/>
        <v>12</v>
      </c>
      <c r="AK347">
        <f t="shared" si="125"/>
        <v>6.0355029585798814</v>
      </c>
      <c r="AL347">
        <f t="shared" si="126"/>
        <v>1.5029585798816567</v>
      </c>
      <c r="AM347">
        <f t="shared" si="127"/>
        <v>1</v>
      </c>
      <c r="AN347">
        <f t="shared" si="128"/>
        <v>6.0355029585798814</v>
      </c>
      <c r="AO347">
        <f t="shared" si="129"/>
        <v>1.5029585798816567</v>
      </c>
      <c r="AP347">
        <f t="shared" si="130"/>
        <v>1</v>
      </c>
      <c r="AR347">
        <f t="shared" si="131"/>
        <v>4.4955752212389379</v>
      </c>
      <c r="AT347">
        <f t="shared" si="132"/>
        <v>4.4955752212389379</v>
      </c>
      <c r="AV347">
        <f t="shared" si="133"/>
        <v>3556</v>
      </c>
      <c r="AW347">
        <f t="shared" si="134"/>
        <v>6604</v>
      </c>
    </row>
    <row r="348" spans="1:49" x14ac:dyDescent="0.15">
      <c r="A348" s="5">
        <v>338</v>
      </c>
      <c r="B348" s="5">
        <f t="shared" si="120"/>
        <v>20460</v>
      </c>
      <c r="C348" s="5">
        <f t="shared" si="117"/>
        <v>5095</v>
      </c>
      <c r="D348" s="5">
        <f t="shared" si="117"/>
        <v>3390</v>
      </c>
      <c r="E348" s="5">
        <f t="shared" si="117"/>
        <v>1020</v>
      </c>
      <c r="F348" s="5">
        <f t="shared" si="117"/>
        <v>1360</v>
      </c>
      <c r="G348" s="5">
        <f t="shared" si="118"/>
        <v>77748</v>
      </c>
      <c r="H348" s="5">
        <f t="shared" si="118"/>
        <v>19361</v>
      </c>
      <c r="I348" s="5">
        <f t="shared" si="118"/>
        <v>12882</v>
      </c>
      <c r="J348" s="5">
        <f t="shared" si="118"/>
        <v>3876</v>
      </c>
      <c r="K348" s="5">
        <f t="shared" si="118"/>
        <v>5168</v>
      </c>
      <c r="L348" s="5">
        <f t="shared" si="119"/>
        <v>38874</v>
      </c>
      <c r="M348" s="5">
        <f t="shared" si="119"/>
        <v>9680.5</v>
      </c>
      <c r="N348" s="5">
        <f t="shared" si="119"/>
        <v>6441</v>
      </c>
      <c r="O348" s="5">
        <f t="shared" si="119"/>
        <v>1938</v>
      </c>
      <c r="P348" s="5">
        <f t="shared" si="119"/>
        <v>2584</v>
      </c>
      <c r="Q348" s="5">
        <f t="shared" si="111"/>
        <v>137082</v>
      </c>
      <c r="R348" s="5">
        <f t="shared" si="112"/>
        <v>34136.5</v>
      </c>
      <c r="S348" s="5">
        <f t="shared" si="113"/>
        <v>22713</v>
      </c>
      <c r="T348" s="5">
        <f t="shared" si="114"/>
        <v>6834</v>
      </c>
      <c r="U348" s="5">
        <f t="shared" si="115"/>
        <v>9112</v>
      </c>
      <c r="V348" s="5">
        <f>B348*战斗力计算!$B$8+C348*战斗力计算!$B$9+D348*战斗力计算!$B$10+E348*战斗力计算!$B$11+F348*战斗力计算!$B$12</f>
        <v>149480</v>
      </c>
      <c r="W348" s="5">
        <f>G348*战斗力计算!$B$8+H348*战斗力计算!$B$9+I348*战斗力计算!$B$10+J348*战斗力计算!$B$11+K348*战斗力计算!$B$12+L348*战斗力计算!$B$8+M348*战斗力计算!$B$9+N348*战斗力计算!$B$10+O348*战斗力计算!$B$11+P348*战斗力计算!$B$12</f>
        <v>852036</v>
      </c>
      <c r="X348" s="5">
        <f t="shared" si="116"/>
        <v>1001516</v>
      </c>
      <c r="AC348">
        <f t="shared" si="121"/>
        <v>3.8</v>
      </c>
      <c r="AD348">
        <f t="shared" si="122"/>
        <v>1.9</v>
      </c>
      <c r="AF348">
        <f t="shared" si="123"/>
        <v>0.75</v>
      </c>
      <c r="AH348">
        <f t="shared" si="124"/>
        <v>12</v>
      </c>
      <c r="AK348">
        <f t="shared" si="125"/>
        <v>6.0353982300884956</v>
      </c>
      <c r="AL348">
        <f t="shared" si="126"/>
        <v>1.5029498525073746</v>
      </c>
      <c r="AM348">
        <f t="shared" si="127"/>
        <v>1</v>
      </c>
      <c r="AN348">
        <f t="shared" si="128"/>
        <v>6.0353982300884956</v>
      </c>
      <c r="AO348">
        <f t="shared" si="129"/>
        <v>1.5029498525073746</v>
      </c>
      <c r="AP348">
        <f t="shared" si="130"/>
        <v>1</v>
      </c>
      <c r="AR348">
        <f t="shared" si="131"/>
        <v>4.4955882352941172</v>
      </c>
      <c r="AT348">
        <f t="shared" si="132"/>
        <v>4.4955882352941172</v>
      </c>
      <c r="AV348">
        <f t="shared" si="133"/>
        <v>3566</v>
      </c>
      <c r="AW348">
        <f t="shared" si="134"/>
        <v>6623</v>
      </c>
    </row>
    <row r="349" spans="1:49" x14ac:dyDescent="0.15">
      <c r="A349" s="5">
        <v>339</v>
      </c>
      <c r="B349" s="5">
        <f t="shared" si="120"/>
        <v>20520</v>
      </c>
      <c r="C349" s="5">
        <f t="shared" si="117"/>
        <v>5110</v>
      </c>
      <c r="D349" s="5">
        <f t="shared" si="117"/>
        <v>3400</v>
      </c>
      <c r="E349" s="5">
        <f t="shared" si="117"/>
        <v>1023</v>
      </c>
      <c r="F349" s="5">
        <f t="shared" si="117"/>
        <v>1364</v>
      </c>
      <c r="G349" s="5">
        <f t="shared" si="118"/>
        <v>77976</v>
      </c>
      <c r="H349" s="5">
        <f t="shared" si="118"/>
        <v>19418</v>
      </c>
      <c r="I349" s="5">
        <f t="shared" si="118"/>
        <v>12920</v>
      </c>
      <c r="J349" s="5">
        <f t="shared" si="118"/>
        <v>3887.3999999999996</v>
      </c>
      <c r="K349" s="5">
        <f t="shared" si="118"/>
        <v>5183.2</v>
      </c>
      <c r="L349" s="5">
        <f t="shared" si="119"/>
        <v>38988</v>
      </c>
      <c r="M349" s="5">
        <f t="shared" si="119"/>
        <v>9709</v>
      </c>
      <c r="N349" s="5">
        <f t="shared" si="119"/>
        <v>6460</v>
      </c>
      <c r="O349" s="5">
        <f t="shared" si="119"/>
        <v>1943.6999999999998</v>
      </c>
      <c r="P349" s="5">
        <f t="shared" si="119"/>
        <v>2591.6</v>
      </c>
      <c r="Q349" s="5">
        <f t="shared" si="111"/>
        <v>137484</v>
      </c>
      <c r="R349" s="5">
        <f t="shared" si="112"/>
        <v>34237</v>
      </c>
      <c r="S349" s="5">
        <f t="shared" si="113"/>
        <v>22780</v>
      </c>
      <c r="T349" s="5">
        <f t="shared" si="114"/>
        <v>6854.0999999999995</v>
      </c>
      <c r="U349" s="5">
        <f t="shared" si="115"/>
        <v>9138.7999999999993</v>
      </c>
      <c r="V349" s="5">
        <f>B349*战斗力计算!$B$8+C349*战斗力计算!$B$9+D349*战斗力计算!$B$10+E349*战斗力计算!$B$11+F349*战斗力计算!$B$12</f>
        <v>149920</v>
      </c>
      <c r="W349" s="5">
        <f>G349*战斗力计算!$B$8+H349*战斗力计算!$B$9+I349*战斗力计算!$B$10+J349*战斗力计算!$B$11+K349*战斗力计算!$B$12+L349*战斗力计算!$B$8+M349*战斗力计算!$B$9+N349*战斗力计算!$B$10+O349*战斗力计算!$B$11+P349*战斗力计算!$B$12</f>
        <v>854544</v>
      </c>
      <c r="X349" s="5">
        <f t="shared" si="116"/>
        <v>1004464</v>
      </c>
      <c r="AC349">
        <f t="shared" si="121"/>
        <v>3.8</v>
      </c>
      <c r="AD349">
        <f t="shared" si="122"/>
        <v>1.9</v>
      </c>
      <c r="AF349">
        <f t="shared" si="123"/>
        <v>0.75</v>
      </c>
      <c r="AH349">
        <f t="shared" si="124"/>
        <v>12</v>
      </c>
      <c r="AK349">
        <f t="shared" si="125"/>
        <v>6.0352941176470587</v>
      </c>
      <c r="AL349">
        <f t="shared" si="126"/>
        <v>1.5029411764705882</v>
      </c>
      <c r="AM349">
        <f t="shared" si="127"/>
        <v>1</v>
      </c>
      <c r="AN349">
        <f t="shared" si="128"/>
        <v>6.0352941176470587</v>
      </c>
      <c r="AO349">
        <f t="shared" si="129"/>
        <v>1.5029411764705882</v>
      </c>
      <c r="AP349">
        <f t="shared" si="130"/>
        <v>1</v>
      </c>
      <c r="AR349">
        <f t="shared" si="131"/>
        <v>4.4956011730205274</v>
      </c>
      <c r="AT349">
        <f t="shared" si="132"/>
        <v>4.4956011730205274</v>
      </c>
      <c r="AV349">
        <f t="shared" si="133"/>
        <v>3577</v>
      </c>
      <c r="AW349">
        <f t="shared" si="134"/>
        <v>6643</v>
      </c>
    </row>
    <row r="350" spans="1:49" x14ac:dyDescent="0.15">
      <c r="A350" s="5">
        <v>340</v>
      </c>
      <c r="B350" s="5">
        <f t="shared" si="120"/>
        <v>20580</v>
      </c>
      <c r="C350" s="5">
        <f t="shared" si="117"/>
        <v>5125</v>
      </c>
      <c r="D350" s="5">
        <f t="shared" si="117"/>
        <v>3410</v>
      </c>
      <c r="E350" s="5">
        <f t="shared" si="117"/>
        <v>1026</v>
      </c>
      <c r="F350" s="5">
        <f t="shared" si="117"/>
        <v>1368</v>
      </c>
      <c r="G350" s="5">
        <f t="shared" si="118"/>
        <v>78204</v>
      </c>
      <c r="H350" s="5">
        <f t="shared" si="118"/>
        <v>19475</v>
      </c>
      <c r="I350" s="5">
        <f t="shared" si="118"/>
        <v>12958</v>
      </c>
      <c r="J350" s="5">
        <f t="shared" si="118"/>
        <v>3898.7999999999997</v>
      </c>
      <c r="K350" s="5">
        <f t="shared" si="118"/>
        <v>5198.3999999999996</v>
      </c>
      <c r="L350" s="5">
        <f t="shared" si="119"/>
        <v>39102</v>
      </c>
      <c r="M350" s="5">
        <f t="shared" si="119"/>
        <v>9737.5</v>
      </c>
      <c r="N350" s="5">
        <f t="shared" si="119"/>
        <v>6479</v>
      </c>
      <c r="O350" s="5">
        <f t="shared" si="119"/>
        <v>1949.3999999999999</v>
      </c>
      <c r="P350" s="5">
        <f t="shared" si="119"/>
        <v>2599.1999999999998</v>
      </c>
      <c r="Q350" s="5">
        <f t="shared" si="111"/>
        <v>137886</v>
      </c>
      <c r="R350" s="5">
        <f t="shared" si="112"/>
        <v>34337.5</v>
      </c>
      <c r="S350" s="5">
        <f t="shared" si="113"/>
        <v>22847</v>
      </c>
      <c r="T350" s="5">
        <f t="shared" si="114"/>
        <v>6874.1999999999989</v>
      </c>
      <c r="U350" s="5">
        <f t="shared" si="115"/>
        <v>9165.5999999999985</v>
      </c>
      <c r="V350" s="5">
        <f>B350*战斗力计算!$B$8+C350*战斗力计算!$B$9+D350*战斗力计算!$B$10+E350*战斗力计算!$B$11+F350*战斗力计算!$B$12</f>
        <v>150360</v>
      </c>
      <c r="W350" s="5">
        <f>G350*战斗力计算!$B$8+H350*战斗力计算!$B$9+I350*战斗力计算!$B$10+J350*战斗力计算!$B$11+K350*战斗力计算!$B$12+L350*战斗力计算!$B$8+M350*战斗力计算!$B$9+N350*战斗力计算!$B$10+O350*战斗力计算!$B$11+P350*战斗力计算!$B$12</f>
        <v>857052</v>
      </c>
      <c r="X350" s="5">
        <f t="shared" si="116"/>
        <v>1007412</v>
      </c>
      <c r="AC350">
        <f t="shared" si="121"/>
        <v>3.8</v>
      </c>
      <c r="AD350">
        <f t="shared" si="122"/>
        <v>1.9</v>
      </c>
      <c r="AF350">
        <f t="shared" si="123"/>
        <v>0.75</v>
      </c>
      <c r="AH350">
        <f t="shared" si="124"/>
        <v>12</v>
      </c>
      <c r="AK350">
        <f t="shared" si="125"/>
        <v>6.0351906158357771</v>
      </c>
      <c r="AL350">
        <f t="shared" si="126"/>
        <v>1.5029325513196481</v>
      </c>
      <c r="AM350">
        <f t="shared" si="127"/>
        <v>1</v>
      </c>
      <c r="AN350">
        <f t="shared" si="128"/>
        <v>6.0351906158357771</v>
      </c>
      <c r="AO350">
        <f t="shared" si="129"/>
        <v>1.5029325513196481</v>
      </c>
      <c r="AP350">
        <f t="shared" si="130"/>
        <v>1</v>
      </c>
      <c r="AR350">
        <f t="shared" si="131"/>
        <v>4.4956140350877192</v>
      </c>
      <c r="AT350">
        <f t="shared" si="132"/>
        <v>4.4956140350877192</v>
      </c>
      <c r="AV350">
        <f t="shared" si="133"/>
        <v>3587</v>
      </c>
      <c r="AW350">
        <f t="shared" si="134"/>
        <v>6662</v>
      </c>
    </row>
    <row r="351" spans="1:49" x14ac:dyDescent="0.15">
      <c r="A351" s="5">
        <v>341</v>
      </c>
      <c r="B351" s="5">
        <f t="shared" si="120"/>
        <v>20640</v>
      </c>
      <c r="C351" s="5">
        <f t="shared" si="117"/>
        <v>5140</v>
      </c>
      <c r="D351" s="5">
        <f t="shared" si="117"/>
        <v>3420</v>
      </c>
      <c r="E351" s="5">
        <f t="shared" si="117"/>
        <v>1029</v>
      </c>
      <c r="F351" s="5">
        <f t="shared" si="117"/>
        <v>1372</v>
      </c>
      <c r="G351" s="5">
        <f t="shared" si="118"/>
        <v>78432</v>
      </c>
      <c r="H351" s="5">
        <f t="shared" si="118"/>
        <v>19532</v>
      </c>
      <c r="I351" s="5">
        <f t="shared" si="118"/>
        <v>12996</v>
      </c>
      <c r="J351" s="5">
        <f t="shared" si="118"/>
        <v>3910.2</v>
      </c>
      <c r="K351" s="5">
        <f t="shared" si="118"/>
        <v>5213.5999999999995</v>
      </c>
      <c r="L351" s="5">
        <f t="shared" si="119"/>
        <v>39216</v>
      </c>
      <c r="M351" s="5">
        <f t="shared" si="119"/>
        <v>9766</v>
      </c>
      <c r="N351" s="5">
        <f t="shared" si="119"/>
        <v>6498</v>
      </c>
      <c r="O351" s="5">
        <f t="shared" si="119"/>
        <v>1955.1</v>
      </c>
      <c r="P351" s="5">
        <f t="shared" si="119"/>
        <v>2606.7999999999997</v>
      </c>
      <c r="Q351" s="5">
        <f t="shared" si="111"/>
        <v>138288</v>
      </c>
      <c r="R351" s="5">
        <f t="shared" si="112"/>
        <v>34438</v>
      </c>
      <c r="S351" s="5">
        <f t="shared" si="113"/>
        <v>22914</v>
      </c>
      <c r="T351" s="5">
        <f t="shared" si="114"/>
        <v>6894.2999999999993</v>
      </c>
      <c r="U351" s="5">
        <f t="shared" si="115"/>
        <v>9192.4</v>
      </c>
      <c r="V351" s="5">
        <f>B351*战斗力计算!$B$8+C351*战斗力计算!$B$9+D351*战斗力计算!$B$10+E351*战斗力计算!$B$11+F351*战斗力计算!$B$12</f>
        <v>150800</v>
      </c>
      <c r="W351" s="5">
        <f>G351*战斗力计算!$B$8+H351*战斗力计算!$B$9+I351*战斗力计算!$B$10+J351*战斗力计算!$B$11+K351*战斗力计算!$B$12+L351*战斗力计算!$B$8+M351*战斗力计算!$B$9+N351*战斗力计算!$B$10+O351*战斗力计算!$B$11+P351*战斗力计算!$B$12</f>
        <v>859560</v>
      </c>
      <c r="X351" s="5">
        <f t="shared" si="116"/>
        <v>1010360</v>
      </c>
      <c r="AC351">
        <f t="shared" si="121"/>
        <v>3.8</v>
      </c>
      <c r="AD351">
        <f t="shared" si="122"/>
        <v>1.9</v>
      </c>
      <c r="AF351">
        <f t="shared" si="123"/>
        <v>0.75</v>
      </c>
      <c r="AH351">
        <f t="shared" si="124"/>
        <v>12</v>
      </c>
      <c r="AK351">
        <f t="shared" si="125"/>
        <v>6.0350877192982457</v>
      </c>
      <c r="AL351">
        <f t="shared" si="126"/>
        <v>1.5029239766081872</v>
      </c>
      <c r="AM351">
        <f t="shared" si="127"/>
        <v>1</v>
      </c>
      <c r="AN351">
        <f t="shared" si="128"/>
        <v>6.0350877192982457</v>
      </c>
      <c r="AO351">
        <f t="shared" si="129"/>
        <v>1.5029239766081872</v>
      </c>
      <c r="AP351">
        <f t="shared" si="130"/>
        <v>1</v>
      </c>
      <c r="AR351">
        <f t="shared" si="131"/>
        <v>4.4956268221574343</v>
      </c>
      <c r="AT351">
        <f t="shared" si="132"/>
        <v>4.4956268221574343</v>
      </c>
      <c r="AV351">
        <f t="shared" si="133"/>
        <v>3598</v>
      </c>
      <c r="AW351">
        <f t="shared" si="134"/>
        <v>6682</v>
      </c>
    </row>
    <row r="352" spans="1:49" x14ac:dyDescent="0.15">
      <c r="A352" s="5">
        <v>342</v>
      </c>
      <c r="B352" s="5">
        <f t="shared" si="120"/>
        <v>20700</v>
      </c>
      <c r="C352" s="5">
        <f t="shared" si="117"/>
        <v>5155</v>
      </c>
      <c r="D352" s="5">
        <f t="shared" si="117"/>
        <v>3430</v>
      </c>
      <c r="E352" s="5">
        <f t="shared" si="117"/>
        <v>1032</v>
      </c>
      <c r="F352" s="5">
        <f t="shared" si="117"/>
        <v>1376</v>
      </c>
      <c r="G352" s="5">
        <f t="shared" si="118"/>
        <v>78660</v>
      </c>
      <c r="H352" s="5">
        <f t="shared" si="118"/>
        <v>19589</v>
      </c>
      <c r="I352" s="5">
        <f t="shared" si="118"/>
        <v>13034</v>
      </c>
      <c r="J352" s="5">
        <f t="shared" si="118"/>
        <v>3921.6</v>
      </c>
      <c r="K352" s="5">
        <f t="shared" si="118"/>
        <v>5228.8</v>
      </c>
      <c r="L352" s="5">
        <f t="shared" si="119"/>
        <v>39330</v>
      </c>
      <c r="M352" s="5">
        <f t="shared" si="119"/>
        <v>9794.5</v>
      </c>
      <c r="N352" s="5">
        <f t="shared" si="119"/>
        <v>6517</v>
      </c>
      <c r="O352" s="5">
        <f t="shared" si="119"/>
        <v>1960.8</v>
      </c>
      <c r="P352" s="5">
        <f t="shared" si="119"/>
        <v>2614.4</v>
      </c>
      <c r="Q352" s="5">
        <f t="shared" si="111"/>
        <v>138690</v>
      </c>
      <c r="R352" s="5">
        <f t="shared" si="112"/>
        <v>34538.5</v>
      </c>
      <c r="S352" s="5">
        <f t="shared" si="113"/>
        <v>22981</v>
      </c>
      <c r="T352" s="5">
        <f t="shared" si="114"/>
        <v>6914.4000000000005</v>
      </c>
      <c r="U352" s="5">
        <f t="shared" si="115"/>
        <v>9219.2000000000007</v>
      </c>
      <c r="V352" s="5">
        <f>B352*战斗力计算!$B$8+C352*战斗力计算!$B$9+D352*战斗力计算!$B$10+E352*战斗力计算!$B$11+F352*战斗力计算!$B$12</f>
        <v>151240</v>
      </c>
      <c r="W352" s="5">
        <f>G352*战斗力计算!$B$8+H352*战斗力计算!$B$9+I352*战斗力计算!$B$10+J352*战斗力计算!$B$11+K352*战斗力计算!$B$12+L352*战斗力计算!$B$8+M352*战斗力计算!$B$9+N352*战斗力计算!$B$10+O352*战斗力计算!$B$11+P352*战斗力计算!$B$12</f>
        <v>862068</v>
      </c>
      <c r="X352" s="5">
        <f t="shared" si="116"/>
        <v>1013308</v>
      </c>
      <c r="AC352">
        <f t="shared" si="121"/>
        <v>3.8</v>
      </c>
      <c r="AD352">
        <f t="shared" si="122"/>
        <v>1.9</v>
      </c>
      <c r="AF352">
        <f t="shared" si="123"/>
        <v>0.75</v>
      </c>
      <c r="AH352">
        <f t="shared" si="124"/>
        <v>12</v>
      </c>
      <c r="AK352">
        <f t="shared" si="125"/>
        <v>6.0349854227405251</v>
      </c>
      <c r="AL352">
        <f t="shared" si="126"/>
        <v>1.5029154518950438</v>
      </c>
      <c r="AM352">
        <f t="shared" si="127"/>
        <v>1</v>
      </c>
      <c r="AN352">
        <f t="shared" si="128"/>
        <v>6.0349854227405251</v>
      </c>
      <c r="AO352">
        <f t="shared" si="129"/>
        <v>1.5029154518950438</v>
      </c>
      <c r="AP352">
        <f t="shared" si="130"/>
        <v>1</v>
      </c>
      <c r="AR352">
        <f t="shared" si="131"/>
        <v>4.495639534883721</v>
      </c>
      <c r="AT352">
        <f t="shared" si="132"/>
        <v>4.495639534883721</v>
      </c>
      <c r="AV352">
        <f t="shared" si="133"/>
        <v>3608</v>
      </c>
      <c r="AW352">
        <f t="shared" si="134"/>
        <v>6701</v>
      </c>
    </row>
    <row r="353" spans="1:49" x14ac:dyDescent="0.15">
      <c r="A353" s="5">
        <v>343</v>
      </c>
      <c r="B353" s="5">
        <f t="shared" si="120"/>
        <v>20760</v>
      </c>
      <c r="C353" s="5">
        <f t="shared" si="117"/>
        <v>5170</v>
      </c>
      <c r="D353" s="5">
        <f t="shared" si="117"/>
        <v>3440</v>
      </c>
      <c r="E353" s="5">
        <f t="shared" si="117"/>
        <v>1035</v>
      </c>
      <c r="F353" s="5">
        <f t="shared" si="117"/>
        <v>1380</v>
      </c>
      <c r="G353" s="5">
        <f t="shared" si="118"/>
        <v>78888</v>
      </c>
      <c r="H353" s="5">
        <f t="shared" si="118"/>
        <v>19646</v>
      </c>
      <c r="I353" s="5">
        <f t="shared" si="118"/>
        <v>13072</v>
      </c>
      <c r="J353" s="5">
        <f t="shared" si="118"/>
        <v>3933</v>
      </c>
      <c r="K353" s="5">
        <f t="shared" si="118"/>
        <v>5244</v>
      </c>
      <c r="L353" s="5">
        <f t="shared" si="119"/>
        <v>39444</v>
      </c>
      <c r="M353" s="5">
        <f t="shared" si="119"/>
        <v>9823</v>
      </c>
      <c r="N353" s="5">
        <f t="shared" si="119"/>
        <v>6536</v>
      </c>
      <c r="O353" s="5">
        <f t="shared" si="119"/>
        <v>1966.5</v>
      </c>
      <c r="P353" s="5">
        <f t="shared" si="119"/>
        <v>2622</v>
      </c>
      <c r="Q353" s="5">
        <f t="shared" ref="Q353:Q416" si="135">B353+G353+L353</f>
        <v>139092</v>
      </c>
      <c r="R353" s="5">
        <f t="shared" ref="R353:R416" si="136">C353+H353+M353</f>
        <v>34639</v>
      </c>
      <c r="S353" s="5">
        <f t="shared" ref="S353:S416" si="137">D353+I353+N353</f>
        <v>23048</v>
      </c>
      <c r="T353" s="5">
        <f t="shared" ref="T353:T416" si="138">E353+J353+O353</f>
        <v>6934.5</v>
      </c>
      <c r="U353" s="5">
        <f t="shared" ref="U353:U416" si="139">F353+K353+P353</f>
        <v>9246</v>
      </c>
      <c r="V353" s="5">
        <f>B353*战斗力计算!$B$8+C353*战斗力计算!$B$9+D353*战斗力计算!$B$10+E353*战斗力计算!$B$11+F353*战斗力计算!$B$12</f>
        <v>151680</v>
      </c>
      <c r="W353" s="5">
        <f>G353*战斗力计算!$B$8+H353*战斗力计算!$B$9+I353*战斗力计算!$B$10+J353*战斗力计算!$B$11+K353*战斗力计算!$B$12+L353*战斗力计算!$B$8+M353*战斗力计算!$B$9+N353*战斗力计算!$B$10+O353*战斗力计算!$B$11+P353*战斗力计算!$B$12</f>
        <v>864576</v>
      </c>
      <c r="X353" s="5">
        <f t="shared" ref="X353:X416" si="140">V353+W353</f>
        <v>1016256</v>
      </c>
      <c r="AC353">
        <f t="shared" si="121"/>
        <v>3.8</v>
      </c>
      <c r="AD353">
        <f t="shared" si="122"/>
        <v>1.9</v>
      </c>
      <c r="AF353">
        <f t="shared" si="123"/>
        <v>0.75</v>
      </c>
      <c r="AH353">
        <f t="shared" si="124"/>
        <v>12</v>
      </c>
      <c r="AK353">
        <f t="shared" si="125"/>
        <v>6.0348837209302326</v>
      </c>
      <c r="AL353">
        <f t="shared" si="126"/>
        <v>1.5029069767441861</v>
      </c>
      <c r="AM353">
        <f t="shared" si="127"/>
        <v>1</v>
      </c>
      <c r="AN353">
        <f t="shared" si="128"/>
        <v>6.0348837209302326</v>
      </c>
      <c r="AO353">
        <f t="shared" si="129"/>
        <v>1.5029069767441861</v>
      </c>
      <c r="AP353">
        <f t="shared" si="130"/>
        <v>1</v>
      </c>
      <c r="AR353">
        <f t="shared" si="131"/>
        <v>4.4956521739130437</v>
      </c>
      <c r="AT353">
        <f t="shared" si="132"/>
        <v>4.4956521739130437</v>
      </c>
      <c r="AV353">
        <f t="shared" si="133"/>
        <v>3619</v>
      </c>
      <c r="AW353">
        <f t="shared" si="134"/>
        <v>6721</v>
      </c>
    </row>
    <row r="354" spans="1:49" x14ac:dyDescent="0.15">
      <c r="A354" s="5">
        <v>344</v>
      </c>
      <c r="B354" s="5">
        <f t="shared" si="120"/>
        <v>20820</v>
      </c>
      <c r="C354" s="5">
        <f t="shared" si="117"/>
        <v>5185</v>
      </c>
      <c r="D354" s="5">
        <f t="shared" si="117"/>
        <v>3450</v>
      </c>
      <c r="E354" s="5">
        <f t="shared" si="117"/>
        <v>1038</v>
      </c>
      <c r="F354" s="5">
        <f t="shared" si="117"/>
        <v>1384</v>
      </c>
      <c r="G354" s="5">
        <f t="shared" si="118"/>
        <v>79116</v>
      </c>
      <c r="H354" s="5">
        <f t="shared" si="118"/>
        <v>19703</v>
      </c>
      <c r="I354" s="5">
        <f t="shared" si="118"/>
        <v>13110</v>
      </c>
      <c r="J354" s="5">
        <f t="shared" si="118"/>
        <v>3944.3999999999996</v>
      </c>
      <c r="K354" s="5">
        <f t="shared" si="118"/>
        <v>5259.2</v>
      </c>
      <c r="L354" s="5">
        <f t="shared" si="119"/>
        <v>39558</v>
      </c>
      <c r="M354" s="5">
        <f t="shared" si="119"/>
        <v>9851.5</v>
      </c>
      <c r="N354" s="5">
        <f t="shared" si="119"/>
        <v>6555</v>
      </c>
      <c r="O354" s="5">
        <f t="shared" si="119"/>
        <v>1972.1999999999998</v>
      </c>
      <c r="P354" s="5">
        <f t="shared" si="119"/>
        <v>2629.6</v>
      </c>
      <c r="Q354" s="5">
        <f t="shared" si="135"/>
        <v>139494</v>
      </c>
      <c r="R354" s="5">
        <f t="shared" si="136"/>
        <v>34739.5</v>
      </c>
      <c r="S354" s="5">
        <f t="shared" si="137"/>
        <v>23115</v>
      </c>
      <c r="T354" s="5">
        <f t="shared" si="138"/>
        <v>6954.5999999999995</v>
      </c>
      <c r="U354" s="5">
        <f t="shared" si="139"/>
        <v>9272.7999999999993</v>
      </c>
      <c r="V354" s="5">
        <f>B354*战斗力计算!$B$8+C354*战斗力计算!$B$9+D354*战斗力计算!$B$10+E354*战斗力计算!$B$11+F354*战斗力计算!$B$12</f>
        <v>152120</v>
      </c>
      <c r="W354" s="5">
        <f>G354*战斗力计算!$B$8+H354*战斗力计算!$B$9+I354*战斗力计算!$B$10+J354*战斗力计算!$B$11+K354*战斗力计算!$B$12+L354*战斗力计算!$B$8+M354*战斗力计算!$B$9+N354*战斗力计算!$B$10+O354*战斗力计算!$B$11+P354*战斗力计算!$B$12</f>
        <v>867084</v>
      </c>
      <c r="X354" s="5">
        <f t="shared" si="140"/>
        <v>1019204</v>
      </c>
      <c r="AC354">
        <f t="shared" si="121"/>
        <v>3.8</v>
      </c>
      <c r="AD354">
        <f t="shared" si="122"/>
        <v>1.9</v>
      </c>
      <c r="AF354">
        <f t="shared" si="123"/>
        <v>0.75</v>
      </c>
      <c r="AH354">
        <f t="shared" si="124"/>
        <v>12</v>
      </c>
      <c r="AK354">
        <f t="shared" si="125"/>
        <v>6.034782608695652</v>
      </c>
      <c r="AL354">
        <f t="shared" si="126"/>
        <v>1.5028985507246377</v>
      </c>
      <c r="AM354">
        <f t="shared" si="127"/>
        <v>1</v>
      </c>
      <c r="AN354">
        <f t="shared" si="128"/>
        <v>6.034782608695652</v>
      </c>
      <c r="AO354">
        <f t="shared" si="129"/>
        <v>1.5028985507246377</v>
      </c>
      <c r="AP354">
        <f t="shared" si="130"/>
        <v>1</v>
      </c>
      <c r="AR354">
        <f t="shared" si="131"/>
        <v>4.4956647398843934</v>
      </c>
      <c r="AT354">
        <f t="shared" si="132"/>
        <v>4.4956647398843934</v>
      </c>
      <c r="AV354">
        <f t="shared" si="133"/>
        <v>3629</v>
      </c>
      <c r="AW354">
        <f t="shared" si="134"/>
        <v>6740</v>
      </c>
    </row>
    <row r="355" spans="1:49" x14ac:dyDescent="0.15">
      <c r="A355" s="5">
        <v>345</v>
      </c>
      <c r="B355" s="5">
        <f t="shared" si="120"/>
        <v>20880</v>
      </c>
      <c r="C355" s="5">
        <f t="shared" si="117"/>
        <v>5200</v>
      </c>
      <c r="D355" s="5">
        <f t="shared" si="117"/>
        <v>3460</v>
      </c>
      <c r="E355" s="5">
        <f t="shared" si="117"/>
        <v>1041</v>
      </c>
      <c r="F355" s="5">
        <f t="shared" si="117"/>
        <v>1388</v>
      </c>
      <c r="G355" s="5">
        <f t="shared" si="118"/>
        <v>79344</v>
      </c>
      <c r="H355" s="5">
        <f t="shared" si="118"/>
        <v>19760</v>
      </c>
      <c r="I355" s="5">
        <f t="shared" si="118"/>
        <v>13148</v>
      </c>
      <c r="J355" s="5">
        <f t="shared" si="118"/>
        <v>3955.7999999999997</v>
      </c>
      <c r="K355" s="5">
        <f t="shared" si="118"/>
        <v>5274.4</v>
      </c>
      <c r="L355" s="5">
        <f t="shared" si="119"/>
        <v>39672</v>
      </c>
      <c r="M355" s="5">
        <f t="shared" si="119"/>
        <v>9880</v>
      </c>
      <c r="N355" s="5">
        <f t="shared" si="119"/>
        <v>6574</v>
      </c>
      <c r="O355" s="5">
        <f t="shared" si="119"/>
        <v>1977.8999999999999</v>
      </c>
      <c r="P355" s="5">
        <f t="shared" si="119"/>
        <v>2637.2</v>
      </c>
      <c r="Q355" s="5">
        <f t="shared" si="135"/>
        <v>139896</v>
      </c>
      <c r="R355" s="5">
        <f t="shared" si="136"/>
        <v>34840</v>
      </c>
      <c r="S355" s="5">
        <f t="shared" si="137"/>
        <v>23182</v>
      </c>
      <c r="T355" s="5">
        <f t="shared" si="138"/>
        <v>6974.6999999999989</v>
      </c>
      <c r="U355" s="5">
        <f t="shared" si="139"/>
        <v>9299.5999999999985</v>
      </c>
      <c r="V355" s="5">
        <f>B355*战斗力计算!$B$8+C355*战斗力计算!$B$9+D355*战斗力计算!$B$10+E355*战斗力计算!$B$11+F355*战斗力计算!$B$12</f>
        <v>152560</v>
      </c>
      <c r="W355" s="5">
        <f>G355*战斗力计算!$B$8+H355*战斗力计算!$B$9+I355*战斗力计算!$B$10+J355*战斗力计算!$B$11+K355*战斗力计算!$B$12+L355*战斗力计算!$B$8+M355*战斗力计算!$B$9+N355*战斗力计算!$B$10+O355*战斗力计算!$B$11+P355*战斗力计算!$B$12</f>
        <v>869592</v>
      </c>
      <c r="X355" s="5">
        <f t="shared" si="140"/>
        <v>1022152</v>
      </c>
      <c r="AC355">
        <f t="shared" si="121"/>
        <v>3.8</v>
      </c>
      <c r="AD355">
        <f t="shared" si="122"/>
        <v>1.9</v>
      </c>
      <c r="AF355">
        <f t="shared" si="123"/>
        <v>0.75</v>
      </c>
      <c r="AH355">
        <f t="shared" si="124"/>
        <v>12</v>
      </c>
      <c r="AK355">
        <f t="shared" si="125"/>
        <v>6.0346820809248554</v>
      </c>
      <c r="AL355">
        <f t="shared" si="126"/>
        <v>1.5028901734104045</v>
      </c>
      <c r="AM355">
        <f t="shared" si="127"/>
        <v>1</v>
      </c>
      <c r="AN355">
        <f t="shared" si="128"/>
        <v>6.0346820809248554</v>
      </c>
      <c r="AO355">
        <f t="shared" si="129"/>
        <v>1.5028901734104045</v>
      </c>
      <c r="AP355">
        <f t="shared" si="130"/>
        <v>1</v>
      </c>
      <c r="AR355">
        <f t="shared" si="131"/>
        <v>4.4956772334293946</v>
      </c>
      <c r="AT355">
        <f t="shared" si="132"/>
        <v>4.4956772334293946</v>
      </c>
      <c r="AV355">
        <f t="shared" si="133"/>
        <v>3640</v>
      </c>
      <c r="AW355">
        <f t="shared" si="134"/>
        <v>6760</v>
      </c>
    </row>
    <row r="356" spans="1:49" x14ac:dyDescent="0.15">
      <c r="A356" s="5">
        <v>346</v>
      </c>
      <c r="B356" s="5">
        <f t="shared" si="120"/>
        <v>20940</v>
      </c>
      <c r="C356" s="5">
        <f t="shared" si="117"/>
        <v>5215</v>
      </c>
      <c r="D356" s="5">
        <f t="shared" si="117"/>
        <v>3470</v>
      </c>
      <c r="E356" s="5">
        <f t="shared" si="117"/>
        <v>1044</v>
      </c>
      <c r="F356" s="5">
        <f t="shared" si="117"/>
        <v>1392</v>
      </c>
      <c r="G356" s="5">
        <f t="shared" si="118"/>
        <v>79572</v>
      </c>
      <c r="H356" s="5">
        <f t="shared" si="118"/>
        <v>19817</v>
      </c>
      <c r="I356" s="5">
        <f t="shared" si="118"/>
        <v>13186</v>
      </c>
      <c r="J356" s="5">
        <f t="shared" si="118"/>
        <v>3967.2</v>
      </c>
      <c r="K356" s="5">
        <f t="shared" si="118"/>
        <v>5289.5999999999995</v>
      </c>
      <c r="L356" s="5">
        <f t="shared" si="119"/>
        <v>39786</v>
      </c>
      <c r="M356" s="5">
        <f t="shared" si="119"/>
        <v>9908.5</v>
      </c>
      <c r="N356" s="5">
        <f t="shared" si="119"/>
        <v>6593</v>
      </c>
      <c r="O356" s="5">
        <f t="shared" si="119"/>
        <v>1983.6</v>
      </c>
      <c r="P356" s="5">
        <f t="shared" si="119"/>
        <v>2644.7999999999997</v>
      </c>
      <c r="Q356" s="5">
        <f t="shared" si="135"/>
        <v>140298</v>
      </c>
      <c r="R356" s="5">
        <f t="shared" si="136"/>
        <v>34940.5</v>
      </c>
      <c r="S356" s="5">
        <f t="shared" si="137"/>
        <v>23249</v>
      </c>
      <c r="T356" s="5">
        <f t="shared" si="138"/>
        <v>6994.7999999999993</v>
      </c>
      <c r="U356" s="5">
        <f t="shared" si="139"/>
        <v>9326.4</v>
      </c>
      <c r="V356" s="5">
        <f>B356*战斗力计算!$B$8+C356*战斗力计算!$B$9+D356*战斗力计算!$B$10+E356*战斗力计算!$B$11+F356*战斗力计算!$B$12</f>
        <v>153000</v>
      </c>
      <c r="W356" s="5">
        <f>G356*战斗力计算!$B$8+H356*战斗力计算!$B$9+I356*战斗力计算!$B$10+J356*战斗力计算!$B$11+K356*战斗力计算!$B$12+L356*战斗力计算!$B$8+M356*战斗力计算!$B$9+N356*战斗力计算!$B$10+O356*战斗力计算!$B$11+P356*战斗力计算!$B$12</f>
        <v>872100</v>
      </c>
      <c r="X356" s="5">
        <f t="shared" si="140"/>
        <v>1025100</v>
      </c>
      <c r="AC356">
        <f t="shared" si="121"/>
        <v>3.8</v>
      </c>
      <c r="AD356">
        <f t="shared" si="122"/>
        <v>1.9</v>
      </c>
      <c r="AF356">
        <f t="shared" si="123"/>
        <v>0.75</v>
      </c>
      <c r="AH356">
        <f t="shared" si="124"/>
        <v>12</v>
      </c>
      <c r="AK356">
        <f t="shared" si="125"/>
        <v>6.0345821325648412</v>
      </c>
      <c r="AL356">
        <f t="shared" si="126"/>
        <v>1.5028818443804035</v>
      </c>
      <c r="AM356">
        <f t="shared" si="127"/>
        <v>1</v>
      </c>
      <c r="AN356">
        <f t="shared" si="128"/>
        <v>6.0345821325648412</v>
      </c>
      <c r="AO356">
        <f t="shared" si="129"/>
        <v>1.5028818443804035</v>
      </c>
      <c r="AP356">
        <f t="shared" si="130"/>
        <v>1</v>
      </c>
      <c r="AR356">
        <f t="shared" si="131"/>
        <v>4.4956896551724137</v>
      </c>
      <c r="AT356">
        <f t="shared" si="132"/>
        <v>4.4956896551724137</v>
      </c>
      <c r="AV356">
        <f t="shared" si="133"/>
        <v>3650</v>
      </c>
      <c r="AW356">
        <f t="shared" si="134"/>
        <v>6779</v>
      </c>
    </row>
    <row r="357" spans="1:49" x14ac:dyDescent="0.15">
      <c r="A357" s="5">
        <v>347</v>
      </c>
      <c r="B357" s="5">
        <f t="shared" si="120"/>
        <v>21000</v>
      </c>
      <c r="C357" s="5">
        <f t="shared" si="117"/>
        <v>5230</v>
      </c>
      <c r="D357" s="5">
        <f t="shared" si="117"/>
        <v>3480</v>
      </c>
      <c r="E357" s="5">
        <f t="shared" si="117"/>
        <v>1047</v>
      </c>
      <c r="F357" s="5">
        <f t="shared" si="117"/>
        <v>1396</v>
      </c>
      <c r="G357" s="5">
        <f t="shared" si="118"/>
        <v>79800</v>
      </c>
      <c r="H357" s="5">
        <f t="shared" si="118"/>
        <v>19874</v>
      </c>
      <c r="I357" s="5">
        <f t="shared" si="118"/>
        <v>13224</v>
      </c>
      <c r="J357" s="5">
        <f t="shared" si="118"/>
        <v>3978.6</v>
      </c>
      <c r="K357" s="5">
        <f t="shared" si="118"/>
        <v>5304.8</v>
      </c>
      <c r="L357" s="5">
        <f t="shared" si="119"/>
        <v>39900</v>
      </c>
      <c r="M357" s="5">
        <f t="shared" si="119"/>
        <v>9937</v>
      </c>
      <c r="N357" s="5">
        <f t="shared" si="119"/>
        <v>6612</v>
      </c>
      <c r="O357" s="5">
        <f t="shared" si="119"/>
        <v>1989.3</v>
      </c>
      <c r="P357" s="5">
        <f t="shared" si="119"/>
        <v>2652.4</v>
      </c>
      <c r="Q357" s="5">
        <f t="shared" si="135"/>
        <v>140700</v>
      </c>
      <c r="R357" s="5">
        <f t="shared" si="136"/>
        <v>35041</v>
      </c>
      <c r="S357" s="5">
        <f t="shared" si="137"/>
        <v>23316</v>
      </c>
      <c r="T357" s="5">
        <f t="shared" si="138"/>
        <v>7014.9000000000005</v>
      </c>
      <c r="U357" s="5">
        <f t="shared" si="139"/>
        <v>9353.2000000000007</v>
      </c>
      <c r="V357" s="5">
        <f>B357*战斗力计算!$B$8+C357*战斗力计算!$B$9+D357*战斗力计算!$B$10+E357*战斗力计算!$B$11+F357*战斗力计算!$B$12</f>
        <v>153440</v>
      </c>
      <c r="W357" s="5">
        <f>G357*战斗力计算!$B$8+H357*战斗力计算!$B$9+I357*战斗力计算!$B$10+J357*战斗力计算!$B$11+K357*战斗力计算!$B$12+L357*战斗力计算!$B$8+M357*战斗力计算!$B$9+N357*战斗力计算!$B$10+O357*战斗力计算!$B$11+P357*战斗力计算!$B$12</f>
        <v>874608</v>
      </c>
      <c r="X357" s="5">
        <f t="shared" si="140"/>
        <v>1028048</v>
      </c>
      <c r="AC357">
        <f t="shared" si="121"/>
        <v>3.8</v>
      </c>
      <c r="AD357">
        <f t="shared" si="122"/>
        <v>1.9</v>
      </c>
      <c r="AF357">
        <f t="shared" si="123"/>
        <v>0.75</v>
      </c>
      <c r="AH357">
        <f t="shared" si="124"/>
        <v>12</v>
      </c>
      <c r="AK357">
        <f t="shared" si="125"/>
        <v>6.0344827586206895</v>
      </c>
      <c r="AL357">
        <f t="shared" si="126"/>
        <v>1.5028735632183907</v>
      </c>
      <c r="AM357">
        <f t="shared" si="127"/>
        <v>1</v>
      </c>
      <c r="AN357">
        <f t="shared" si="128"/>
        <v>6.0344827586206895</v>
      </c>
      <c r="AO357">
        <f t="shared" si="129"/>
        <v>1.5028735632183907</v>
      </c>
      <c r="AP357">
        <f t="shared" si="130"/>
        <v>1</v>
      </c>
      <c r="AR357">
        <f t="shared" si="131"/>
        <v>4.4957020057306591</v>
      </c>
      <c r="AT357">
        <f t="shared" si="132"/>
        <v>4.4957020057306591</v>
      </c>
      <c r="AV357">
        <f t="shared" si="133"/>
        <v>3661</v>
      </c>
      <c r="AW357">
        <f t="shared" si="134"/>
        <v>6799</v>
      </c>
    </row>
    <row r="358" spans="1:49" x14ac:dyDescent="0.15">
      <c r="A358" s="5">
        <v>348</v>
      </c>
      <c r="B358" s="5">
        <f t="shared" si="120"/>
        <v>21060</v>
      </c>
      <c r="C358" s="5">
        <f t="shared" si="117"/>
        <v>5245</v>
      </c>
      <c r="D358" s="5">
        <f t="shared" si="117"/>
        <v>3490</v>
      </c>
      <c r="E358" s="5">
        <f t="shared" si="117"/>
        <v>1050</v>
      </c>
      <c r="F358" s="5">
        <f t="shared" si="117"/>
        <v>1400</v>
      </c>
      <c r="G358" s="5">
        <f t="shared" si="118"/>
        <v>80028</v>
      </c>
      <c r="H358" s="5">
        <f t="shared" si="118"/>
        <v>19931</v>
      </c>
      <c r="I358" s="5">
        <f t="shared" si="118"/>
        <v>13262</v>
      </c>
      <c r="J358" s="5">
        <f t="shared" si="118"/>
        <v>3990</v>
      </c>
      <c r="K358" s="5">
        <f t="shared" si="118"/>
        <v>5320</v>
      </c>
      <c r="L358" s="5">
        <f t="shared" si="119"/>
        <v>40014</v>
      </c>
      <c r="M358" s="5">
        <f t="shared" si="119"/>
        <v>9965.5</v>
      </c>
      <c r="N358" s="5">
        <f t="shared" si="119"/>
        <v>6631</v>
      </c>
      <c r="O358" s="5">
        <f t="shared" si="119"/>
        <v>1995</v>
      </c>
      <c r="P358" s="5">
        <f t="shared" si="119"/>
        <v>2660</v>
      </c>
      <c r="Q358" s="5">
        <f t="shared" si="135"/>
        <v>141102</v>
      </c>
      <c r="R358" s="5">
        <f t="shared" si="136"/>
        <v>35141.5</v>
      </c>
      <c r="S358" s="5">
        <f t="shared" si="137"/>
        <v>23383</v>
      </c>
      <c r="T358" s="5">
        <f t="shared" si="138"/>
        <v>7035</v>
      </c>
      <c r="U358" s="5">
        <f t="shared" si="139"/>
        <v>9380</v>
      </c>
      <c r="V358" s="5">
        <f>B358*战斗力计算!$B$8+C358*战斗力计算!$B$9+D358*战斗力计算!$B$10+E358*战斗力计算!$B$11+F358*战斗力计算!$B$12</f>
        <v>153880</v>
      </c>
      <c r="W358" s="5">
        <f>G358*战斗力计算!$B$8+H358*战斗力计算!$B$9+I358*战斗力计算!$B$10+J358*战斗力计算!$B$11+K358*战斗力计算!$B$12+L358*战斗力计算!$B$8+M358*战斗力计算!$B$9+N358*战斗力计算!$B$10+O358*战斗力计算!$B$11+P358*战斗力计算!$B$12</f>
        <v>877116</v>
      </c>
      <c r="X358" s="5">
        <f t="shared" si="140"/>
        <v>1030996</v>
      </c>
      <c r="AC358">
        <f t="shared" si="121"/>
        <v>3.8</v>
      </c>
      <c r="AD358">
        <f t="shared" si="122"/>
        <v>1.9</v>
      </c>
      <c r="AF358">
        <f t="shared" si="123"/>
        <v>0.75</v>
      </c>
      <c r="AH358">
        <f t="shared" si="124"/>
        <v>12</v>
      </c>
      <c r="AK358">
        <f t="shared" si="125"/>
        <v>6.0343839541547277</v>
      </c>
      <c r="AL358">
        <f t="shared" si="126"/>
        <v>1.502865329512894</v>
      </c>
      <c r="AM358">
        <f t="shared" si="127"/>
        <v>1</v>
      </c>
      <c r="AN358">
        <f t="shared" si="128"/>
        <v>6.0343839541547277</v>
      </c>
      <c r="AO358">
        <f t="shared" si="129"/>
        <v>1.502865329512894</v>
      </c>
      <c r="AP358">
        <f t="shared" si="130"/>
        <v>1</v>
      </c>
      <c r="AR358">
        <f t="shared" si="131"/>
        <v>4.4957142857142856</v>
      </c>
      <c r="AT358">
        <f t="shared" si="132"/>
        <v>4.4957142857142856</v>
      </c>
      <c r="AV358">
        <f t="shared" si="133"/>
        <v>3671</v>
      </c>
      <c r="AW358">
        <f t="shared" si="134"/>
        <v>6818</v>
      </c>
    </row>
    <row r="359" spans="1:49" x14ac:dyDescent="0.15">
      <c r="A359" s="5">
        <v>349</v>
      </c>
      <c r="B359" s="5">
        <f t="shared" si="120"/>
        <v>21120</v>
      </c>
      <c r="C359" s="5">
        <f t="shared" si="117"/>
        <v>5260</v>
      </c>
      <c r="D359" s="5">
        <f t="shared" si="117"/>
        <v>3500</v>
      </c>
      <c r="E359" s="5">
        <f t="shared" si="117"/>
        <v>1053</v>
      </c>
      <c r="F359" s="5">
        <f t="shared" si="117"/>
        <v>1404</v>
      </c>
      <c r="G359" s="5">
        <f t="shared" si="118"/>
        <v>80256</v>
      </c>
      <c r="H359" s="5">
        <f t="shared" si="118"/>
        <v>19988</v>
      </c>
      <c r="I359" s="5">
        <f t="shared" si="118"/>
        <v>13300</v>
      </c>
      <c r="J359" s="5">
        <f t="shared" si="118"/>
        <v>4001.3999999999996</v>
      </c>
      <c r="K359" s="5">
        <f t="shared" si="118"/>
        <v>5335.2</v>
      </c>
      <c r="L359" s="5">
        <f t="shared" si="119"/>
        <v>40128</v>
      </c>
      <c r="M359" s="5">
        <f t="shared" si="119"/>
        <v>9994</v>
      </c>
      <c r="N359" s="5">
        <f t="shared" si="119"/>
        <v>6650</v>
      </c>
      <c r="O359" s="5">
        <f t="shared" si="119"/>
        <v>2000.6999999999998</v>
      </c>
      <c r="P359" s="5">
        <f t="shared" si="119"/>
        <v>2667.6</v>
      </c>
      <c r="Q359" s="5">
        <f t="shared" si="135"/>
        <v>141504</v>
      </c>
      <c r="R359" s="5">
        <f t="shared" si="136"/>
        <v>35242</v>
      </c>
      <c r="S359" s="5">
        <f t="shared" si="137"/>
        <v>23450</v>
      </c>
      <c r="T359" s="5">
        <f t="shared" si="138"/>
        <v>7055.0999999999995</v>
      </c>
      <c r="U359" s="5">
        <f t="shared" si="139"/>
        <v>9406.7999999999993</v>
      </c>
      <c r="V359" s="5">
        <f>B359*战斗力计算!$B$8+C359*战斗力计算!$B$9+D359*战斗力计算!$B$10+E359*战斗力计算!$B$11+F359*战斗力计算!$B$12</f>
        <v>154320</v>
      </c>
      <c r="W359" s="5">
        <f>G359*战斗力计算!$B$8+H359*战斗力计算!$B$9+I359*战斗力计算!$B$10+J359*战斗力计算!$B$11+K359*战斗力计算!$B$12+L359*战斗力计算!$B$8+M359*战斗力计算!$B$9+N359*战斗力计算!$B$10+O359*战斗力计算!$B$11+P359*战斗力计算!$B$12</f>
        <v>879624</v>
      </c>
      <c r="X359" s="5">
        <f t="shared" si="140"/>
        <v>1033944</v>
      </c>
      <c r="AC359">
        <f t="shared" si="121"/>
        <v>3.8</v>
      </c>
      <c r="AD359">
        <f t="shared" si="122"/>
        <v>1.9</v>
      </c>
      <c r="AF359">
        <f t="shared" si="123"/>
        <v>0.75</v>
      </c>
      <c r="AH359">
        <f t="shared" si="124"/>
        <v>12</v>
      </c>
      <c r="AK359">
        <f t="shared" si="125"/>
        <v>6.0342857142857147</v>
      </c>
      <c r="AL359">
        <f t="shared" si="126"/>
        <v>1.5028571428571429</v>
      </c>
      <c r="AM359">
        <f t="shared" si="127"/>
        <v>1</v>
      </c>
      <c r="AN359">
        <f t="shared" si="128"/>
        <v>6.0342857142857147</v>
      </c>
      <c r="AO359">
        <f t="shared" si="129"/>
        <v>1.5028571428571429</v>
      </c>
      <c r="AP359">
        <f t="shared" si="130"/>
        <v>1</v>
      </c>
      <c r="AR359">
        <f t="shared" si="131"/>
        <v>4.4957264957264957</v>
      </c>
      <c r="AT359">
        <f t="shared" si="132"/>
        <v>4.4957264957264957</v>
      </c>
      <c r="AV359">
        <f t="shared" si="133"/>
        <v>3682</v>
      </c>
      <c r="AW359">
        <f t="shared" si="134"/>
        <v>6838</v>
      </c>
    </row>
    <row r="360" spans="1:49" x14ac:dyDescent="0.15">
      <c r="A360" s="5">
        <v>350</v>
      </c>
      <c r="B360" s="5">
        <f t="shared" si="120"/>
        <v>21180</v>
      </c>
      <c r="C360" s="5">
        <f t="shared" si="117"/>
        <v>5275</v>
      </c>
      <c r="D360" s="5">
        <f t="shared" si="117"/>
        <v>3510</v>
      </c>
      <c r="E360" s="5">
        <f t="shared" si="117"/>
        <v>1056</v>
      </c>
      <c r="F360" s="5">
        <f t="shared" si="117"/>
        <v>1408</v>
      </c>
      <c r="G360" s="5">
        <f t="shared" si="118"/>
        <v>84720</v>
      </c>
      <c r="H360" s="5">
        <f t="shared" si="118"/>
        <v>21100</v>
      </c>
      <c r="I360" s="5">
        <f t="shared" si="118"/>
        <v>14040</v>
      </c>
      <c r="J360" s="5">
        <f t="shared" si="118"/>
        <v>4224</v>
      </c>
      <c r="K360" s="5">
        <f t="shared" si="118"/>
        <v>5632</v>
      </c>
      <c r="L360" s="5">
        <f t="shared" si="119"/>
        <v>42360</v>
      </c>
      <c r="M360" s="5">
        <f t="shared" si="119"/>
        <v>10550</v>
      </c>
      <c r="N360" s="5">
        <f t="shared" si="119"/>
        <v>7020</v>
      </c>
      <c r="O360" s="5">
        <f t="shared" si="119"/>
        <v>2112</v>
      </c>
      <c r="P360" s="5">
        <f t="shared" si="119"/>
        <v>2816</v>
      </c>
      <c r="Q360" s="5">
        <f t="shared" si="135"/>
        <v>148260</v>
      </c>
      <c r="R360" s="5">
        <f t="shared" si="136"/>
        <v>36925</v>
      </c>
      <c r="S360" s="5">
        <f t="shared" si="137"/>
        <v>24570</v>
      </c>
      <c r="T360" s="5">
        <f t="shared" si="138"/>
        <v>7392</v>
      </c>
      <c r="U360" s="5">
        <f t="shared" si="139"/>
        <v>9856</v>
      </c>
      <c r="V360" s="5">
        <f>B360*战斗力计算!$B$8+C360*战斗力计算!$B$9+D360*战斗力计算!$B$10+E360*战斗力计算!$B$11+F360*战斗力计算!$B$12</f>
        <v>154760</v>
      </c>
      <c r="W360" s="5">
        <f>G360*战斗力计算!$B$8+H360*战斗力计算!$B$9+I360*战斗力计算!$B$10+J360*战斗力计算!$B$11+K360*战斗力计算!$B$12+L360*战斗力计算!$B$8+M360*战斗力计算!$B$9+N360*战斗力计算!$B$10+O360*战斗力计算!$B$11+P360*战斗力计算!$B$12</f>
        <v>928560</v>
      </c>
      <c r="X360" s="5">
        <f t="shared" si="140"/>
        <v>1083320</v>
      </c>
      <c r="AC360">
        <f t="shared" si="121"/>
        <v>4</v>
      </c>
      <c r="AD360">
        <f t="shared" si="122"/>
        <v>2</v>
      </c>
      <c r="AF360">
        <f t="shared" si="123"/>
        <v>0.75</v>
      </c>
      <c r="AH360">
        <f t="shared" si="124"/>
        <v>12</v>
      </c>
      <c r="AK360">
        <f t="shared" si="125"/>
        <v>6.0341880341880341</v>
      </c>
      <c r="AL360">
        <f t="shared" si="126"/>
        <v>1.5028490028490029</v>
      </c>
      <c r="AM360">
        <f t="shared" si="127"/>
        <v>1</v>
      </c>
      <c r="AN360">
        <f t="shared" si="128"/>
        <v>6.0341880341880341</v>
      </c>
      <c r="AO360">
        <f t="shared" si="129"/>
        <v>1.5028490028490029</v>
      </c>
      <c r="AP360">
        <f t="shared" si="130"/>
        <v>1</v>
      </c>
      <c r="AR360">
        <f t="shared" si="131"/>
        <v>4.4957386363636367</v>
      </c>
      <c r="AT360">
        <f t="shared" si="132"/>
        <v>4.4957386363636367</v>
      </c>
      <c r="AV360">
        <f t="shared" si="133"/>
        <v>3692</v>
      </c>
      <c r="AW360">
        <f t="shared" si="134"/>
        <v>6857</v>
      </c>
    </row>
    <row r="361" spans="1:49" x14ac:dyDescent="0.15">
      <c r="A361" s="5">
        <v>351</v>
      </c>
      <c r="B361" s="5">
        <f t="shared" si="120"/>
        <v>21240</v>
      </c>
      <c r="C361" s="5">
        <f t="shared" si="117"/>
        <v>5290</v>
      </c>
      <c r="D361" s="5">
        <f t="shared" si="117"/>
        <v>3520</v>
      </c>
      <c r="E361" s="5">
        <f t="shared" si="117"/>
        <v>1059</v>
      </c>
      <c r="F361" s="5">
        <f t="shared" si="117"/>
        <v>1412</v>
      </c>
      <c r="G361" s="5">
        <f t="shared" si="118"/>
        <v>84960</v>
      </c>
      <c r="H361" s="5">
        <f t="shared" si="118"/>
        <v>21160</v>
      </c>
      <c r="I361" s="5">
        <f t="shared" si="118"/>
        <v>14080</v>
      </c>
      <c r="J361" s="5">
        <f t="shared" si="118"/>
        <v>4236</v>
      </c>
      <c r="K361" s="5">
        <f t="shared" si="118"/>
        <v>5648</v>
      </c>
      <c r="L361" s="5">
        <f t="shared" si="119"/>
        <v>42480</v>
      </c>
      <c r="M361" s="5">
        <f t="shared" si="119"/>
        <v>10580</v>
      </c>
      <c r="N361" s="5">
        <f t="shared" si="119"/>
        <v>7040</v>
      </c>
      <c r="O361" s="5">
        <f t="shared" si="119"/>
        <v>2118</v>
      </c>
      <c r="P361" s="5">
        <f t="shared" si="119"/>
        <v>2824</v>
      </c>
      <c r="Q361" s="5">
        <f t="shared" si="135"/>
        <v>148680</v>
      </c>
      <c r="R361" s="5">
        <f t="shared" si="136"/>
        <v>37030</v>
      </c>
      <c r="S361" s="5">
        <f t="shared" si="137"/>
        <v>24640</v>
      </c>
      <c r="T361" s="5">
        <f t="shared" si="138"/>
        <v>7413</v>
      </c>
      <c r="U361" s="5">
        <f t="shared" si="139"/>
        <v>9884</v>
      </c>
      <c r="V361" s="5">
        <f>B361*战斗力计算!$B$8+C361*战斗力计算!$B$9+D361*战斗力计算!$B$10+E361*战斗力计算!$B$11+F361*战斗力计算!$B$12</f>
        <v>155200</v>
      </c>
      <c r="W361" s="5">
        <f>G361*战斗力计算!$B$8+H361*战斗力计算!$B$9+I361*战斗力计算!$B$10+J361*战斗力计算!$B$11+K361*战斗力计算!$B$12+L361*战斗力计算!$B$8+M361*战斗力计算!$B$9+N361*战斗力计算!$B$10+O361*战斗力计算!$B$11+P361*战斗力计算!$B$12</f>
        <v>931200</v>
      </c>
      <c r="X361" s="5">
        <f t="shared" si="140"/>
        <v>1086400</v>
      </c>
      <c r="AC361">
        <f t="shared" si="121"/>
        <v>4</v>
      </c>
      <c r="AD361">
        <f t="shared" si="122"/>
        <v>2</v>
      </c>
      <c r="AF361">
        <f t="shared" si="123"/>
        <v>0.75</v>
      </c>
      <c r="AH361">
        <f t="shared" si="124"/>
        <v>12</v>
      </c>
      <c r="AK361">
        <f t="shared" si="125"/>
        <v>6.0340909090909092</v>
      </c>
      <c r="AL361">
        <f t="shared" si="126"/>
        <v>1.5028409090909092</v>
      </c>
      <c r="AM361">
        <f t="shared" si="127"/>
        <v>1</v>
      </c>
      <c r="AN361">
        <f t="shared" si="128"/>
        <v>6.0340909090909092</v>
      </c>
      <c r="AO361">
        <f t="shared" si="129"/>
        <v>1.5028409090909092</v>
      </c>
      <c r="AP361">
        <f t="shared" si="130"/>
        <v>1</v>
      </c>
      <c r="AR361">
        <f t="shared" si="131"/>
        <v>4.4957507082152972</v>
      </c>
      <c r="AT361">
        <f t="shared" si="132"/>
        <v>4.4957507082152972</v>
      </c>
      <c r="AV361">
        <f t="shared" si="133"/>
        <v>3703</v>
      </c>
      <c r="AW361">
        <f t="shared" si="134"/>
        <v>6877</v>
      </c>
    </row>
    <row r="362" spans="1:49" x14ac:dyDescent="0.15">
      <c r="A362" s="5">
        <v>352</v>
      </c>
      <c r="B362" s="5">
        <f t="shared" si="120"/>
        <v>21300</v>
      </c>
      <c r="C362" s="5">
        <f t="shared" si="117"/>
        <v>5305</v>
      </c>
      <c r="D362" s="5">
        <f t="shared" si="117"/>
        <v>3530</v>
      </c>
      <c r="E362" s="5">
        <f t="shared" si="117"/>
        <v>1062</v>
      </c>
      <c r="F362" s="5">
        <f t="shared" si="117"/>
        <v>1416</v>
      </c>
      <c r="G362" s="5">
        <f t="shared" si="118"/>
        <v>85200</v>
      </c>
      <c r="H362" s="5">
        <f t="shared" si="118"/>
        <v>21220</v>
      </c>
      <c r="I362" s="5">
        <f t="shared" si="118"/>
        <v>14120</v>
      </c>
      <c r="J362" s="5">
        <f t="shared" si="118"/>
        <v>4248</v>
      </c>
      <c r="K362" s="5">
        <f t="shared" si="118"/>
        <v>5664</v>
      </c>
      <c r="L362" s="5">
        <f t="shared" si="119"/>
        <v>42600</v>
      </c>
      <c r="M362" s="5">
        <f t="shared" si="119"/>
        <v>10610</v>
      </c>
      <c r="N362" s="5">
        <f t="shared" si="119"/>
        <v>7060</v>
      </c>
      <c r="O362" s="5">
        <f t="shared" si="119"/>
        <v>2124</v>
      </c>
      <c r="P362" s="5">
        <f t="shared" si="119"/>
        <v>2832</v>
      </c>
      <c r="Q362" s="5">
        <f t="shared" si="135"/>
        <v>149100</v>
      </c>
      <c r="R362" s="5">
        <f t="shared" si="136"/>
        <v>37135</v>
      </c>
      <c r="S362" s="5">
        <f t="shared" si="137"/>
        <v>24710</v>
      </c>
      <c r="T362" s="5">
        <f t="shared" si="138"/>
        <v>7434</v>
      </c>
      <c r="U362" s="5">
        <f t="shared" si="139"/>
        <v>9912</v>
      </c>
      <c r="V362" s="5">
        <f>B362*战斗力计算!$B$8+C362*战斗力计算!$B$9+D362*战斗力计算!$B$10+E362*战斗力计算!$B$11+F362*战斗力计算!$B$12</f>
        <v>155640</v>
      </c>
      <c r="W362" s="5">
        <f>G362*战斗力计算!$B$8+H362*战斗力计算!$B$9+I362*战斗力计算!$B$10+J362*战斗力计算!$B$11+K362*战斗力计算!$B$12+L362*战斗力计算!$B$8+M362*战斗力计算!$B$9+N362*战斗力计算!$B$10+O362*战斗力计算!$B$11+P362*战斗力计算!$B$12</f>
        <v>933840</v>
      </c>
      <c r="X362" s="5">
        <f t="shared" si="140"/>
        <v>1089480</v>
      </c>
      <c r="AC362">
        <f t="shared" si="121"/>
        <v>4</v>
      </c>
      <c r="AD362">
        <f t="shared" si="122"/>
        <v>2</v>
      </c>
      <c r="AF362">
        <f t="shared" si="123"/>
        <v>0.75</v>
      </c>
      <c r="AH362">
        <f t="shared" si="124"/>
        <v>12</v>
      </c>
      <c r="AK362">
        <f t="shared" si="125"/>
        <v>6.0339943342776206</v>
      </c>
      <c r="AL362">
        <f t="shared" si="126"/>
        <v>1.5028328611898016</v>
      </c>
      <c r="AM362">
        <f t="shared" si="127"/>
        <v>1</v>
      </c>
      <c r="AN362">
        <f t="shared" si="128"/>
        <v>6.0339943342776206</v>
      </c>
      <c r="AO362">
        <f t="shared" si="129"/>
        <v>1.5028328611898016</v>
      </c>
      <c r="AP362">
        <f t="shared" si="130"/>
        <v>1</v>
      </c>
      <c r="AR362">
        <f t="shared" si="131"/>
        <v>4.4957627118644066</v>
      </c>
      <c r="AT362">
        <f t="shared" si="132"/>
        <v>4.4957627118644066</v>
      </c>
      <c r="AV362">
        <f t="shared" si="133"/>
        <v>3713</v>
      </c>
      <c r="AW362">
        <f t="shared" si="134"/>
        <v>6896</v>
      </c>
    </row>
    <row r="363" spans="1:49" x14ac:dyDescent="0.15">
      <c r="A363" s="5">
        <v>353</v>
      </c>
      <c r="B363" s="5">
        <f t="shared" si="120"/>
        <v>21360</v>
      </c>
      <c r="C363" s="5">
        <f t="shared" si="117"/>
        <v>5320</v>
      </c>
      <c r="D363" s="5">
        <f t="shared" si="117"/>
        <v>3540</v>
      </c>
      <c r="E363" s="5">
        <f t="shared" si="117"/>
        <v>1065</v>
      </c>
      <c r="F363" s="5">
        <f t="shared" si="117"/>
        <v>1420</v>
      </c>
      <c r="G363" s="5">
        <f t="shared" si="118"/>
        <v>85440</v>
      </c>
      <c r="H363" s="5">
        <f t="shared" si="118"/>
        <v>21280</v>
      </c>
      <c r="I363" s="5">
        <f t="shared" si="118"/>
        <v>14160</v>
      </c>
      <c r="J363" s="5">
        <f t="shared" si="118"/>
        <v>4260</v>
      </c>
      <c r="K363" s="5">
        <f t="shared" si="118"/>
        <v>5680</v>
      </c>
      <c r="L363" s="5">
        <f t="shared" si="119"/>
        <v>42720</v>
      </c>
      <c r="M363" s="5">
        <f t="shared" si="119"/>
        <v>10640</v>
      </c>
      <c r="N363" s="5">
        <f t="shared" si="119"/>
        <v>7080</v>
      </c>
      <c r="O363" s="5">
        <f t="shared" si="119"/>
        <v>2130</v>
      </c>
      <c r="P363" s="5">
        <f t="shared" si="119"/>
        <v>2840</v>
      </c>
      <c r="Q363" s="5">
        <f t="shared" si="135"/>
        <v>149520</v>
      </c>
      <c r="R363" s="5">
        <f t="shared" si="136"/>
        <v>37240</v>
      </c>
      <c r="S363" s="5">
        <f t="shared" si="137"/>
        <v>24780</v>
      </c>
      <c r="T363" s="5">
        <f t="shared" si="138"/>
        <v>7455</v>
      </c>
      <c r="U363" s="5">
        <f t="shared" si="139"/>
        <v>9940</v>
      </c>
      <c r="V363" s="5">
        <f>B363*战斗力计算!$B$8+C363*战斗力计算!$B$9+D363*战斗力计算!$B$10+E363*战斗力计算!$B$11+F363*战斗力计算!$B$12</f>
        <v>156080</v>
      </c>
      <c r="W363" s="5">
        <f>G363*战斗力计算!$B$8+H363*战斗力计算!$B$9+I363*战斗力计算!$B$10+J363*战斗力计算!$B$11+K363*战斗力计算!$B$12+L363*战斗力计算!$B$8+M363*战斗力计算!$B$9+N363*战斗力计算!$B$10+O363*战斗力计算!$B$11+P363*战斗力计算!$B$12</f>
        <v>936480</v>
      </c>
      <c r="X363" s="5">
        <f t="shared" si="140"/>
        <v>1092560</v>
      </c>
      <c r="AC363">
        <f t="shared" si="121"/>
        <v>4</v>
      </c>
      <c r="AD363">
        <f t="shared" si="122"/>
        <v>2</v>
      </c>
      <c r="AF363">
        <f t="shared" si="123"/>
        <v>0.75</v>
      </c>
      <c r="AH363">
        <f t="shared" si="124"/>
        <v>12</v>
      </c>
      <c r="AK363">
        <f t="shared" si="125"/>
        <v>6.0338983050847457</v>
      </c>
      <c r="AL363">
        <f t="shared" si="126"/>
        <v>1.5028248587570621</v>
      </c>
      <c r="AM363">
        <f t="shared" si="127"/>
        <v>1</v>
      </c>
      <c r="AN363">
        <f t="shared" si="128"/>
        <v>6.0338983050847457</v>
      </c>
      <c r="AO363">
        <f t="shared" si="129"/>
        <v>1.5028248587570621</v>
      </c>
      <c r="AP363">
        <f t="shared" si="130"/>
        <v>1</v>
      </c>
      <c r="AR363">
        <f t="shared" si="131"/>
        <v>4.4957746478873242</v>
      </c>
      <c r="AT363">
        <f t="shared" si="132"/>
        <v>4.4957746478873242</v>
      </c>
      <c r="AV363">
        <f t="shared" si="133"/>
        <v>3724</v>
      </c>
      <c r="AW363">
        <f t="shared" si="134"/>
        <v>6916</v>
      </c>
    </row>
    <row r="364" spans="1:49" x14ac:dyDescent="0.15">
      <c r="A364" s="5">
        <v>354</v>
      </c>
      <c r="B364" s="5">
        <f t="shared" si="120"/>
        <v>21420</v>
      </c>
      <c r="C364" s="5">
        <f t="shared" si="117"/>
        <v>5335</v>
      </c>
      <c r="D364" s="5">
        <f t="shared" si="117"/>
        <v>3550</v>
      </c>
      <c r="E364" s="5">
        <f t="shared" si="117"/>
        <v>1068</v>
      </c>
      <c r="F364" s="5">
        <f t="shared" si="117"/>
        <v>1424</v>
      </c>
      <c r="G364" s="5">
        <f t="shared" si="118"/>
        <v>85680</v>
      </c>
      <c r="H364" s="5">
        <f t="shared" si="118"/>
        <v>21340</v>
      </c>
      <c r="I364" s="5">
        <f t="shared" si="118"/>
        <v>14200</v>
      </c>
      <c r="J364" s="5">
        <f t="shared" si="118"/>
        <v>4272</v>
      </c>
      <c r="K364" s="5">
        <f t="shared" si="118"/>
        <v>5696</v>
      </c>
      <c r="L364" s="5">
        <f t="shared" si="119"/>
        <v>42840</v>
      </c>
      <c r="M364" s="5">
        <f t="shared" si="119"/>
        <v>10670</v>
      </c>
      <c r="N364" s="5">
        <f t="shared" si="119"/>
        <v>7100</v>
      </c>
      <c r="O364" s="5">
        <f t="shared" si="119"/>
        <v>2136</v>
      </c>
      <c r="P364" s="5">
        <f t="shared" si="119"/>
        <v>2848</v>
      </c>
      <c r="Q364" s="5">
        <f t="shared" si="135"/>
        <v>149940</v>
      </c>
      <c r="R364" s="5">
        <f t="shared" si="136"/>
        <v>37345</v>
      </c>
      <c r="S364" s="5">
        <f t="shared" si="137"/>
        <v>24850</v>
      </c>
      <c r="T364" s="5">
        <f t="shared" si="138"/>
        <v>7476</v>
      </c>
      <c r="U364" s="5">
        <f t="shared" si="139"/>
        <v>9968</v>
      </c>
      <c r="V364" s="5">
        <f>B364*战斗力计算!$B$8+C364*战斗力计算!$B$9+D364*战斗力计算!$B$10+E364*战斗力计算!$B$11+F364*战斗力计算!$B$12</f>
        <v>156520</v>
      </c>
      <c r="W364" s="5">
        <f>G364*战斗力计算!$B$8+H364*战斗力计算!$B$9+I364*战斗力计算!$B$10+J364*战斗力计算!$B$11+K364*战斗力计算!$B$12+L364*战斗力计算!$B$8+M364*战斗力计算!$B$9+N364*战斗力计算!$B$10+O364*战斗力计算!$B$11+P364*战斗力计算!$B$12</f>
        <v>939120</v>
      </c>
      <c r="X364" s="5">
        <f t="shared" si="140"/>
        <v>1095640</v>
      </c>
      <c r="AC364">
        <f t="shared" si="121"/>
        <v>4</v>
      </c>
      <c r="AD364">
        <f t="shared" si="122"/>
        <v>2</v>
      </c>
      <c r="AF364">
        <f t="shared" si="123"/>
        <v>0.75</v>
      </c>
      <c r="AH364">
        <f t="shared" si="124"/>
        <v>12</v>
      </c>
      <c r="AK364">
        <f t="shared" si="125"/>
        <v>6.0338028169014084</v>
      </c>
      <c r="AL364">
        <f t="shared" si="126"/>
        <v>1.5028169014084507</v>
      </c>
      <c r="AM364">
        <f t="shared" si="127"/>
        <v>1</v>
      </c>
      <c r="AN364">
        <f t="shared" si="128"/>
        <v>6.0338028169014084</v>
      </c>
      <c r="AO364">
        <f t="shared" si="129"/>
        <v>1.5028169014084507</v>
      </c>
      <c r="AP364">
        <f t="shared" si="130"/>
        <v>1</v>
      </c>
      <c r="AR364">
        <f t="shared" si="131"/>
        <v>4.4957865168539328</v>
      </c>
      <c r="AT364">
        <f t="shared" si="132"/>
        <v>4.4957865168539328</v>
      </c>
      <c r="AV364">
        <f t="shared" si="133"/>
        <v>3734</v>
      </c>
      <c r="AW364">
        <f t="shared" si="134"/>
        <v>6935</v>
      </c>
    </row>
    <row r="365" spans="1:49" x14ac:dyDescent="0.15">
      <c r="A365" s="5">
        <v>355</v>
      </c>
      <c r="B365" s="5">
        <f t="shared" si="120"/>
        <v>21480</v>
      </c>
      <c r="C365" s="5">
        <f t="shared" si="117"/>
        <v>5350</v>
      </c>
      <c r="D365" s="5">
        <f t="shared" si="117"/>
        <v>3560</v>
      </c>
      <c r="E365" s="5">
        <f t="shared" si="117"/>
        <v>1071</v>
      </c>
      <c r="F365" s="5">
        <f t="shared" si="117"/>
        <v>1428</v>
      </c>
      <c r="G365" s="5">
        <f t="shared" si="118"/>
        <v>85920</v>
      </c>
      <c r="H365" s="5">
        <f t="shared" si="118"/>
        <v>21400</v>
      </c>
      <c r="I365" s="5">
        <f t="shared" si="118"/>
        <v>14240</v>
      </c>
      <c r="J365" s="5">
        <f t="shared" si="118"/>
        <v>4284</v>
      </c>
      <c r="K365" s="5">
        <f t="shared" si="118"/>
        <v>5712</v>
      </c>
      <c r="L365" s="5">
        <f t="shared" si="119"/>
        <v>42960</v>
      </c>
      <c r="M365" s="5">
        <f t="shared" si="119"/>
        <v>10700</v>
      </c>
      <c r="N365" s="5">
        <f t="shared" si="119"/>
        <v>7120</v>
      </c>
      <c r="O365" s="5">
        <f t="shared" si="119"/>
        <v>2142</v>
      </c>
      <c r="P365" s="5">
        <f t="shared" si="119"/>
        <v>2856</v>
      </c>
      <c r="Q365" s="5">
        <f t="shared" si="135"/>
        <v>150360</v>
      </c>
      <c r="R365" s="5">
        <f t="shared" si="136"/>
        <v>37450</v>
      </c>
      <c r="S365" s="5">
        <f t="shared" si="137"/>
        <v>24920</v>
      </c>
      <c r="T365" s="5">
        <f t="shared" si="138"/>
        <v>7497</v>
      </c>
      <c r="U365" s="5">
        <f t="shared" si="139"/>
        <v>9996</v>
      </c>
      <c r="V365" s="5">
        <f>B365*战斗力计算!$B$8+C365*战斗力计算!$B$9+D365*战斗力计算!$B$10+E365*战斗力计算!$B$11+F365*战斗力计算!$B$12</f>
        <v>156960</v>
      </c>
      <c r="W365" s="5">
        <f>G365*战斗力计算!$B$8+H365*战斗力计算!$B$9+I365*战斗力计算!$B$10+J365*战斗力计算!$B$11+K365*战斗力计算!$B$12+L365*战斗力计算!$B$8+M365*战斗力计算!$B$9+N365*战斗力计算!$B$10+O365*战斗力计算!$B$11+P365*战斗力计算!$B$12</f>
        <v>941760</v>
      </c>
      <c r="X365" s="5">
        <f t="shared" si="140"/>
        <v>1098720</v>
      </c>
      <c r="AC365">
        <f t="shared" si="121"/>
        <v>4</v>
      </c>
      <c r="AD365">
        <f t="shared" si="122"/>
        <v>2</v>
      </c>
      <c r="AF365">
        <f t="shared" si="123"/>
        <v>0.75</v>
      </c>
      <c r="AH365">
        <f t="shared" si="124"/>
        <v>12</v>
      </c>
      <c r="AK365">
        <f t="shared" si="125"/>
        <v>6.0337078651685392</v>
      </c>
      <c r="AL365">
        <f t="shared" si="126"/>
        <v>1.502808988764045</v>
      </c>
      <c r="AM365">
        <f t="shared" si="127"/>
        <v>1</v>
      </c>
      <c r="AN365">
        <f t="shared" si="128"/>
        <v>6.0337078651685392</v>
      </c>
      <c r="AO365">
        <f t="shared" si="129"/>
        <v>1.502808988764045</v>
      </c>
      <c r="AP365">
        <f t="shared" si="130"/>
        <v>1</v>
      </c>
      <c r="AR365">
        <f t="shared" si="131"/>
        <v>4.4957983193277311</v>
      </c>
      <c r="AT365">
        <f t="shared" si="132"/>
        <v>4.4957983193277311</v>
      </c>
      <c r="AV365">
        <f t="shared" si="133"/>
        <v>3745</v>
      </c>
      <c r="AW365">
        <f t="shared" si="134"/>
        <v>6955</v>
      </c>
    </row>
    <row r="366" spans="1:49" x14ac:dyDescent="0.15">
      <c r="A366" s="5">
        <v>356</v>
      </c>
      <c r="B366" s="5">
        <f t="shared" si="120"/>
        <v>21540</v>
      </c>
      <c r="C366" s="5">
        <f t="shared" si="117"/>
        <v>5365</v>
      </c>
      <c r="D366" s="5">
        <f t="shared" si="117"/>
        <v>3570</v>
      </c>
      <c r="E366" s="5">
        <f t="shared" si="117"/>
        <v>1074</v>
      </c>
      <c r="F366" s="5">
        <f t="shared" si="117"/>
        <v>1432</v>
      </c>
      <c r="G366" s="5">
        <f t="shared" si="118"/>
        <v>86160</v>
      </c>
      <c r="H366" s="5">
        <f t="shared" si="118"/>
        <v>21460</v>
      </c>
      <c r="I366" s="5">
        <f t="shared" si="118"/>
        <v>14280</v>
      </c>
      <c r="J366" s="5">
        <f t="shared" si="118"/>
        <v>4296</v>
      </c>
      <c r="K366" s="5">
        <f t="shared" si="118"/>
        <v>5728</v>
      </c>
      <c r="L366" s="5">
        <f t="shared" si="119"/>
        <v>43080</v>
      </c>
      <c r="M366" s="5">
        <f t="shared" si="119"/>
        <v>10730</v>
      </c>
      <c r="N366" s="5">
        <f t="shared" si="119"/>
        <v>7140</v>
      </c>
      <c r="O366" s="5">
        <f t="shared" si="119"/>
        <v>2148</v>
      </c>
      <c r="P366" s="5">
        <f t="shared" si="119"/>
        <v>2864</v>
      </c>
      <c r="Q366" s="5">
        <f t="shared" si="135"/>
        <v>150780</v>
      </c>
      <c r="R366" s="5">
        <f t="shared" si="136"/>
        <v>37555</v>
      </c>
      <c r="S366" s="5">
        <f t="shared" si="137"/>
        <v>24990</v>
      </c>
      <c r="T366" s="5">
        <f t="shared" si="138"/>
        <v>7518</v>
      </c>
      <c r="U366" s="5">
        <f t="shared" si="139"/>
        <v>10024</v>
      </c>
      <c r="V366" s="5">
        <f>B366*战斗力计算!$B$8+C366*战斗力计算!$B$9+D366*战斗力计算!$B$10+E366*战斗力计算!$B$11+F366*战斗力计算!$B$12</f>
        <v>157400</v>
      </c>
      <c r="W366" s="5">
        <f>G366*战斗力计算!$B$8+H366*战斗力计算!$B$9+I366*战斗力计算!$B$10+J366*战斗力计算!$B$11+K366*战斗力计算!$B$12+L366*战斗力计算!$B$8+M366*战斗力计算!$B$9+N366*战斗力计算!$B$10+O366*战斗力计算!$B$11+P366*战斗力计算!$B$12</f>
        <v>944400</v>
      </c>
      <c r="X366" s="5">
        <f t="shared" si="140"/>
        <v>1101800</v>
      </c>
      <c r="AC366">
        <f t="shared" si="121"/>
        <v>4</v>
      </c>
      <c r="AD366">
        <f t="shared" si="122"/>
        <v>2</v>
      </c>
      <c r="AF366">
        <f t="shared" si="123"/>
        <v>0.75</v>
      </c>
      <c r="AH366">
        <f t="shared" si="124"/>
        <v>12</v>
      </c>
      <c r="AK366">
        <f t="shared" si="125"/>
        <v>6.0336134453781511</v>
      </c>
      <c r="AL366">
        <f t="shared" si="126"/>
        <v>1.5028011204481793</v>
      </c>
      <c r="AM366">
        <f t="shared" si="127"/>
        <v>1</v>
      </c>
      <c r="AN366">
        <f t="shared" si="128"/>
        <v>6.0336134453781511</v>
      </c>
      <c r="AO366">
        <f t="shared" si="129"/>
        <v>1.5028011204481793</v>
      </c>
      <c r="AP366">
        <f t="shared" si="130"/>
        <v>1</v>
      </c>
      <c r="AR366">
        <f t="shared" si="131"/>
        <v>4.4958100558659222</v>
      </c>
      <c r="AT366">
        <f t="shared" si="132"/>
        <v>4.4958100558659222</v>
      </c>
      <c r="AV366">
        <f t="shared" si="133"/>
        <v>3755</v>
      </c>
      <c r="AW366">
        <f t="shared" si="134"/>
        <v>6974</v>
      </c>
    </row>
    <row r="367" spans="1:49" x14ac:dyDescent="0.15">
      <c r="A367" s="5">
        <v>357</v>
      </c>
      <c r="B367" s="5">
        <f t="shared" si="120"/>
        <v>21600</v>
      </c>
      <c r="C367" s="5">
        <f t="shared" si="117"/>
        <v>5380</v>
      </c>
      <c r="D367" s="5">
        <f t="shared" si="117"/>
        <v>3580</v>
      </c>
      <c r="E367" s="5">
        <f t="shared" si="117"/>
        <v>1077</v>
      </c>
      <c r="F367" s="5">
        <f t="shared" si="117"/>
        <v>1436</v>
      </c>
      <c r="G367" s="5">
        <f t="shared" si="118"/>
        <v>86400</v>
      </c>
      <c r="H367" s="5">
        <f t="shared" si="118"/>
        <v>21520</v>
      </c>
      <c r="I367" s="5">
        <f t="shared" si="118"/>
        <v>14320</v>
      </c>
      <c r="J367" s="5">
        <f t="shared" si="118"/>
        <v>4308</v>
      </c>
      <c r="K367" s="5">
        <f t="shared" si="118"/>
        <v>5744</v>
      </c>
      <c r="L367" s="5">
        <f t="shared" si="119"/>
        <v>43200</v>
      </c>
      <c r="M367" s="5">
        <f t="shared" si="119"/>
        <v>10760</v>
      </c>
      <c r="N367" s="5">
        <f t="shared" si="119"/>
        <v>7160</v>
      </c>
      <c r="O367" s="5">
        <f t="shared" si="119"/>
        <v>2154</v>
      </c>
      <c r="P367" s="5">
        <f t="shared" si="119"/>
        <v>2872</v>
      </c>
      <c r="Q367" s="5">
        <f t="shared" si="135"/>
        <v>151200</v>
      </c>
      <c r="R367" s="5">
        <f t="shared" si="136"/>
        <v>37660</v>
      </c>
      <c r="S367" s="5">
        <f t="shared" si="137"/>
        <v>25060</v>
      </c>
      <c r="T367" s="5">
        <f t="shared" si="138"/>
        <v>7539</v>
      </c>
      <c r="U367" s="5">
        <f t="shared" si="139"/>
        <v>10052</v>
      </c>
      <c r="V367" s="5">
        <f>B367*战斗力计算!$B$8+C367*战斗力计算!$B$9+D367*战斗力计算!$B$10+E367*战斗力计算!$B$11+F367*战斗力计算!$B$12</f>
        <v>157840</v>
      </c>
      <c r="W367" s="5">
        <f>G367*战斗力计算!$B$8+H367*战斗力计算!$B$9+I367*战斗力计算!$B$10+J367*战斗力计算!$B$11+K367*战斗力计算!$B$12+L367*战斗力计算!$B$8+M367*战斗力计算!$B$9+N367*战斗力计算!$B$10+O367*战斗力计算!$B$11+P367*战斗力计算!$B$12</f>
        <v>947040</v>
      </c>
      <c r="X367" s="5">
        <f t="shared" si="140"/>
        <v>1104880</v>
      </c>
      <c r="AC367">
        <f t="shared" si="121"/>
        <v>4</v>
      </c>
      <c r="AD367">
        <f t="shared" si="122"/>
        <v>2</v>
      </c>
      <c r="AF367">
        <f t="shared" si="123"/>
        <v>0.75</v>
      </c>
      <c r="AH367">
        <f t="shared" si="124"/>
        <v>12</v>
      </c>
      <c r="AK367">
        <f t="shared" si="125"/>
        <v>6.033519553072626</v>
      </c>
      <c r="AL367">
        <f t="shared" si="126"/>
        <v>1.5027932960893855</v>
      </c>
      <c r="AM367">
        <f t="shared" si="127"/>
        <v>1</v>
      </c>
      <c r="AN367">
        <f t="shared" si="128"/>
        <v>6.033519553072626</v>
      </c>
      <c r="AO367">
        <f t="shared" si="129"/>
        <v>1.5027932960893855</v>
      </c>
      <c r="AP367">
        <f t="shared" si="130"/>
        <v>1</v>
      </c>
      <c r="AR367">
        <f t="shared" si="131"/>
        <v>4.4958217270194982</v>
      </c>
      <c r="AT367">
        <f t="shared" si="132"/>
        <v>4.4958217270194982</v>
      </c>
      <c r="AV367">
        <f t="shared" si="133"/>
        <v>3766</v>
      </c>
      <c r="AW367">
        <f t="shared" si="134"/>
        <v>6994</v>
      </c>
    </row>
    <row r="368" spans="1:49" x14ac:dyDescent="0.15">
      <c r="A368" s="5">
        <v>358</v>
      </c>
      <c r="B368" s="5">
        <f t="shared" si="120"/>
        <v>21660</v>
      </c>
      <c r="C368" s="5">
        <f t="shared" si="117"/>
        <v>5395</v>
      </c>
      <c r="D368" s="5">
        <f t="shared" si="117"/>
        <v>3590</v>
      </c>
      <c r="E368" s="5">
        <f t="shared" si="117"/>
        <v>1080</v>
      </c>
      <c r="F368" s="5">
        <f t="shared" si="117"/>
        <v>1440</v>
      </c>
      <c r="G368" s="5">
        <f t="shared" si="118"/>
        <v>86640</v>
      </c>
      <c r="H368" s="5">
        <f t="shared" si="118"/>
        <v>21580</v>
      </c>
      <c r="I368" s="5">
        <f t="shared" si="118"/>
        <v>14360</v>
      </c>
      <c r="J368" s="5">
        <f t="shared" si="118"/>
        <v>4320</v>
      </c>
      <c r="K368" s="5">
        <f t="shared" si="118"/>
        <v>5760</v>
      </c>
      <c r="L368" s="5">
        <f t="shared" si="119"/>
        <v>43320</v>
      </c>
      <c r="M368" s="5">
        <f t="shared" si="119"/>
        <v>10790</v>
      </c>
      <c r="N368" s="5">
        <f t="shared" si="119"/>
        <v>7180</v>
      </c>
      <c r="O368" s="5">
        <f t="shared" si="119"/>
        <v>2160</v>
      </c>
      <c r="P368" s="5">
        <f t="shared" si="119"/>
        <v>2880</v>
      </c>
      <c r="Q368" s="5">
        <f t="shared" si="135"/>
        <v>151620</v>
      </c>
      <c r="R368" s="5">
        <f t="shared" si="136"/>
        <v>37765</v>
      </c>
      <c r="S368" s="5">
        <f t="shared" si="137"/>
        <v>25130</v>
      </c>
      <c r="T368" s="5">
        <f t="shared" si="138"/>
        <v>7560</v>
      </c>
      <c r="U368" s="5">
        <f t="shared" si="139"/>
        <v>10080</v>
      </c>
      <c r="V368" s="5">
        <f>B368*战斗力计算!$B$8+C368*战斗力计算!$B$9+D368*战斗力计算!$B$10+E368*战斗力计算!$B$11+F368*战斗力计算!$B$12</f>
        <v>158280</v>
      </c>
      <c r="W368" s="5">
        <f>G368*战斗力计算!$B$8+H368*战斗力计算!$B$9+I368*战斗力计算!$B$10+J368*战斗力计算!$B$11+K368*战斗力计算!$B$12+L368*战斗力计算!$B$8+M368*战斗力计算!$B$9+N368*战斗力计算!$B$10+O368*战斗力计算!$B$11+P368*战斗力计算!$B$12</f>
        <v>949680</v>
      </c>
      <c r="X368" s="5">
        <f t="shared" si="140"/>
        <v>1107960</v>
      </c>
      <c r="AC368">
        <f t="shared" si="121"/>
        <v>4</v>
      </c>
      <c r="AD368">
        <f t="shared" si="122"/>
        <v>2</v>
      </c>
      <c r="AF368">
        <f t="shared" si="123"/>
        <v>0.75</v>
      </c>
      <c r="AH368">
        <f t="shared" si="124"/>
        <v>12</v>
      </c>
      <c r="AK368">
        <f t="shared" si="125"/>
        <v>6.0334261838440115</v>
      </c>
      <c r="AL368">
        <f t="shared" si="126"/>
        <v>1.5027855153203342</v>
      </c>
      <c r="AM368">
        <f t="shared" si="127"/>
        <v>1</v>
      </c>
      <c r="AN368">
        <f t="shared" si="128"/>
        <v>6.0334261838440115</v>
      </c>
      <c r="AO368">
        <f t="shared" si="129"/>
        <v>1.5027855153203342</v>
      </c>
      <c r="AP368">
        <f t="shared" si="130"/>
        <v>1</v>
      </c>
      <c r="AR368">
        <f t="shared" si="131"/>
        <v>4.4958333333333336</v>
      </c>
      <c r="AT368">
        <f t="shared" si="132"/>
        <v>4.4958333333333336</v>
      </c>
      <c r="AV368">
        <f t="shared" si="133"/>
        <v>3776</v>
      </c>
      <c r="AW368">
        <f t="shared" si="134"/>
        <v>7013</v>
      </c>
    </row>
    <row r="369" spans="1:49" x14ac:dyDescent="0.15">
      <c r="A369" s="5">
        <v>359</v>
      </c>
      <c r="B369" s="5">
        <f t="shared" si="120"/>
        <v>21720</v>
      </c>
      <c r="C369" s="5">
        <f t="shared" si="117"/>
        <v>5410</v>
      </c>
      <c r="D369" s="5">
        <f t="shared" si="117"/>
        <v>3600</v>
      </c>
      <c r="E369" s="5">
        <f t="shared" si="117"/>
        <v>1083</v>
      </c>
      <c r="F369" s="5">
        <f t="shared" si="117"/>
        <v>1444</v>
      </c>
      <c r="G369" s="5">
        <f t="shared" si="118"/>
        <v>86880</v>
      </c>
      <c r="H369" s="5">
        <f t="shared" si="118"/>
        <v>21640</v>
      </c>
      <c r="I369" s="5">
        <f t="shared" si="118"/>
        <v>14400</v>
      </c>
      <c r="J369" s="5">
        <f t="shared" si="118"/>
        <v>4332</v>
      </c>
      <c r="K369" s="5">
        <f t="shared" si="118"/>
        <v>5776</v>
      </c>
      <c r="L369" s="5">
        <f t="shared" si="119"/>
        <v>43440</v>
      </c>
      <c r="M369" s="5">
        <f t="shared" si="119"/>
        <v>10820</v>
      </c>
      <c r="N369" s="5">
        <f t="shared" si="119"/>
        <v>7200</v>
      </c>
      <c r="O369" s="5">
        <f t="shared" si="119"/>
        <v>2166</v>
      </c>
      <c r="P369" s="5">
        <f t="shared" si="119"/>
        <v>2888</v>
      </c>
      <c r="Q369" s="5">
        <f t="shared" si="135"/>
        <v>152040</v>
      </c>
      <c r="R369" s="5">
        <f t="shared" si="136"/>
        <v>37870</v>
      </c>
      <c r="S369" s="5">
        <f t="shared" si="137"/>
        <v>25200</v>
      </c>
      <c r="T369" s="5">
        <f t="shared" si="138"/>
        <v>7581</v>
      </c>
      <c r="U369" s="5">
        <f t="shared" si="139"/>
        <v>10108</v>
      </c>
      <c r="V369" s="5">
        <f>B369*战斗力计算!$B$8+C369*战斗力计算!$B$9+D369*战斗力计算!$B$10+E369*战斗力计算!$B$11+F369*战斗力计算!$B$12</f>
        <v>158720</v>
      </c>
      <c r="W369" s="5">
        <f>G369*战斗力计算!$B$8+H369*战斗力计算!$B$9+I369*战斗力计算!$B$10+J369*战斗力计算!$B$11+K369*战斗力计算!$B$12+L369*战斗力计算!$B$8+M369*战斗力计算!$B$9+N369*战斗力计算!$B$10+O369*战斗力计算!$B$11+P369*战斗力计算!$B$12</f>
        <v>952320</v>
      </c>
      <c r="X369" s="5">
        <f t="shared" si="140"/>
        <v>1111040</v>
      </c>
      <c r="AC369">
        <f t="shared" si="121"/>
        <v>4</v>
      </c>
      <c r="AD369">
        <f t="shared" si="122"/>
        <v>2</v>
      </c>
      <c r="AF369">
        <f t="shared" si="123"/>
        <v>0.75</v>
      </c>
      <c r="AH369">
        <f t="shared" si="124"/>
        <v>12</v>
      </c>
      <c r="AK369">
        <f t="shared" si="125"/>
        <v>6.0333333333333332</v>
      </c>
      <c r="AL369">
        <f t="shared" si="126"/>
        <v>1.5027777777777778</v>
      </c>
      <c r="AM369">
        <f t="shared" si="127"/>
        <v>1</v>
      </c>
      <c r="AN369">
        <f t="shared" si="128"/>
        <v>6.0333333333333332</v>
      </c>
      <c r="AO369">
        <f t="shared" si="129"/>
        <v>1.5027777777777778</v>
      </c>
      <c r="AP369">
        <f t="shared" si="130"/>
        <v>1</v>
      </c>
      <c r="AR369">
        <f t="shared" si="131"/>
        <v>4.4958448753462603</v>
      </c>
      <c r="AT369">
        <f t="shared" si="132"/>
        <v>4.4958448753462603</v>
      </c>
      <c r="AV369">
        <f t="shared" si="133"/>
        <v>3787</v>
      </c>
      <c r="AW369">
        <f t="shared" si="134"/>
        <v>7033</v>
      </c>
    </row>
    <row r="370" spans="1:49" x14ac:dyDescent="0.15">
      <c r="A370" s="5">
        <v>360</v>
      </c>
      <c r="B370" s="5">
        <f t="shared" si="120"/>
        <v>21780</v>
      </c>
      <c r="C370" s="5">
        <f t="shared" si="117"/>
        <v>5425</v>
      </c>
      <c r="D370" s="5">
        <f t="shared" si="117"/>
        <v>3610</v>
      </c>
      <c r="E370" s="5">
        <f t="shared" si="117"/>
        <v>1086</v>
      </c>
      <c r="F370" s="5">
        <f t="shared" si="117"/>
        <v>1448</v>
      </c>
      <c r="G370" s="5">
        <f t="shared" si="118"/>
        <v>87120</v>
      </c>
      <c r="H370" s="5">
        <f t="shared" si="118"/>
        <v>21700</v>
      </c>
      <c r="I370" s="5">
        <f t="shared" si="118"/>
        <v>14440</v>
      </c>
      <c r="J370" s="5">
        <f t="shared" si="118"/>
        <v>4344</v>
      </c>
      <c r="K370" s="5">
        <f t="shared" si="118"/>
        <v>5792</v>
      </c>
      <c r="L370" s="5">
        <f t="shared" si="119"/>
        <v>43560</v>
      </c>
      <c r="M370" s="5">
        <f t="shared" si="119"/>
        <v>10850</v>
      </c>
      <c r="N370" s="5">
        <f t="shared" si="119"/>
        <v>7220</v>
      </c>
      <c r="O370" s="5">
        <f t="shared" si="119"/>
        <v>2172</v>
      </c>
      <c r="P370" s="5">
        <f t="shared" si="119"/>
        <v>2896</v>
      </c>
      <c r="Q370" s="5">
        <f t="shared" si="135"/>
        <v>152460</v>
      </c>
      <c r="R370" s="5">
        <f t="shared" si="136"/>
        <v>37975</v>
      </c>
      <c r="S370" s="5">
        <f t="shared" si="137"/>
        <v>25270</v>
      </c>
      <c r="T370" s="5">
        <f t="shared" si="138"/>
        <v>7602</v>
      </c>
      <c r="U370" s="5">
        <f t="shared" si="139"/>
        <v>10136</v>
      </c>
      <c r="V370" s="5">
        <f>B370*战斗力计算!$B$8+C370*战斗力计算!$B$9+D370*战斗力计算!$B$10+E370*战斗力计算!$B$11+F370*战斗力计算!$B$12</f>
        <v>159160</v>
      </c>
      <c r="W370" s="5">
        <f>G370*战斗力计算!$B$8+H370*战斗力计算!$B$9+I370*战斗力计算!$B$10+J370*战斗力计算!$B$11+K370*战斗力计算!$B$12+L370*战斗力计算!$B$8+M370*战斗力计算!$B$9+N370*战斗力计算!$B$10+O370*战斗力计算!$B$11+P370*战斗力计算!$B$12</f>
        <v>954960</v>
      </c>
      <c r="X370" s="5">
        <f t="shared" si="140"/>
        <v>1114120</v>
      </c>
      <c r="AC370">
        <f t="shared" si="121"/>
        <v>4</v>
      </c>
      <c r="AD370">
        <f t="shared" si="122"/>
        <v>2</v>
      </c>
      <c r="AF370">
        <f t="shared" si="123"/>
        <v>0.75</v>
      </c>
      <c r="AH370">
        <f t="shared" si="124"/>
        <v>12</v>
      </c>
      <c r="AK370">
        <f t="shared" si="125"/>
        <v>6.0332409972299166</v>
      </c>
      <c r="AL370">
        <f t="shared" si="126"/>
        <v>1.502770083102493</v>
      </c>
      <c r="AM370">
        <f t="shared" si="127"/>
        <v>1</v>
      </c>
      <c r="AN370">
        <f t="shared" si="128"/>
        <v>6.0332409972299166</v>
      </c>
      <c r="AO370">
        <f t="shared" si="129"/>
        <v>1.502770083102493</v>
      </c>
      <c r="AP370">
        <f t="shared" si="130"/>
        <v>1</v>
      </c>
      <c r="AR370">
        <f t="shared" si="131"/>
        <v>4.4958563535911606</v>
      </c>
      <c r="AT370">
        <f t="shared" si="132"/>
        <v>4.4958563535911606</v>
      </c>
      <c r="AV370">
        <f t="shared" si="133"/>
        <v>3797</v>
      </c>
      <c r="AW370">
        <f t="shared" si="134"/>
        <v>7052</v>
      </c>
    </row>
    <row r="371" spans="1:49" x14ac:dyDescent="0.15">
      <c r="A371" s="5">
        <v>361</v>
      </c>
      <c r="B371" s="5">
        <f t="shared" si="120"/>
        <v>21840</v>
      </c>
      <c r="C371" s="5">
        <f t="shared" si="117"/>
        <v>5440</v>
      </c>
      <c r="D371" s="5">
        <f t="shared" si="117"/>
        <v>3620</v>
      </c>
      <c r="E371" s="5">
        <f t="shared" si="117"/>
        <v>1089</v>
      </c>
      <c r="F371" s="5">
        <f t="shared" si="117"/>
        <v>1452</v>
      </c>
      <c r="G371" s="5">
        <f t="shared" si="118"/>
        <v>87360</v>
      </c>
      <c r="H371" s="5">
        <f t="shared" si="118"/>
        <v>21760</v>
      </c>
      <c r="I371" s="5">
        <f t="shared" si="118"/>
        <v>14480</v>
      </c>
      <c r="J371" s="5">
        <f t="shared" si="118"/>
        <v>4356</v>
      </c>
      <c r="K371" s="5">
        <f t="shared" si="118"/>
        <v>5808</v>
      </c>
      <c r="L371" s="5">
        <f t="shared" si="119"/>
        <v>43680</v>
      </c>
      <c r="M371" s="5">
        <f t="shared" si="119"/>
        <v>10880</v>
      </c>
      <c r="N371" s="5">
        <f t="shared" si="119"/>
        <v>7240</v>
      </c>
      <c r="O371" s="5">
        <f t="shared" si="119"/>
        <v>2178</v>
      </c>
      <c r="P371" s="5">
        <f t="shared" si="119"/>
        <v>2904</v>
      </c>
      <c r="Q371" s="5">
        <f t="shared" si="135"/>
        <v>152880</v>
      </c>
      <c r="R371" s="5">
        <f t="shared" si="136"/>
        <v>38080</v>
      </c>
      <c r="S371" s="5">
        <f t="shared" si="137"/>
        <v>25340</v>
      </c>
      <c r="T371" s="5">
        <f t="shared" si="138"/>
        <v>7623</v>
      </c>
      <c r="U371" s="5">
        <f t="shared" si="139"/>
        <v>10164</v>
      </c>
      <c r="V371" s="5">
        <f>B371*战斗力计算!$B$8+C371*战斗力计算!$B$9+D371*战斗力计算!$B$10+E371*战斗力计算!$B$11+F371*战斗力计算!$B$12</f>
        <v>159600</v>
      </c>
      <c r="W371" s="5">
        <f>G371*战斗力计算!$B$8+H371*战斗力计算!$B$9+I371*战斗力计算!$B$10+J371*战斗力计算!$B$11+K371*战斗力计算!$B$12+L371*战斗力计算!$B$8+M371*战斗力计算!$B$9+N371*战斗力计算!$B$10+O371*战斗力计算!$B$11+P371*战斗力计算!$B$12</f>
        <v>957600</v>
      </c>
      <c r="X371" s="5">
        <f t="shared" si="140"/>
        <v>1117200</v>
      </c>
      <c r="AC371">
        <f t="shared" si="121"/>
        <v>4</v>
      </c>
      <c r="AD371">
        <f t="shared" si="122"/>
        <v>2</v>
      </c>
      <c r="AF371">
        <f t="shared" si="123"/>
        <v>0.75</v>
      </c>
      <c r="AH371">
        <f t="shared" si="124"/>
        <v>12</v>
      </c>
      <c r="AK371">
        <f t="shared" si="125"/>
        <v>6.0331491712707184</v>
      </c>
      <c r="AL371">
        <f t="shared" si="126"/>
        <v>1.5027624309392265</v>
      </c>
      <c r="AM371">
        <f t="shared" si="127"/>
        <v>1</v>
      </c>
      <c r="AN371">
        <f t="shared" si="128"/>
        <v>6.0331491712707184</v>
      </c>
      <c r="AO371">
        <f t="shared" si="129"/>
        <v>1.5027624309392265</v>
      </c>
      <c r="AP371">
        <f t="shared" si="130"/>
        <v>1</v>
      </c>
      <c r="AR371">
        <f t="shared" si="131"/>
        <v>4.4958677685950414</v>
      </c>
      <c r="AT371">
        <f t="shared" si="132"/>
        <v>4.4958677685950414</v>
      </c>
      <c r="AV371">
        <f t="shared" si="133"/>
        <v>3808</v>
      </c>
      <c r="AW371">
        <f t="shared" si="134"/>
        <v>7072</v>
      </c>
    </row>
    <row r="372" spans="1:49" x14ac:dyDescent="0.15">
      <c r="A372" s="5">
        <v>362</v>
      </c>
      <c r="B372" s="5">
        <f t="shared" si="120"/>
        <v>21900</v>
      </c>
      <c r="C372" s="5">
        <f t="shared" si="117"/>
        <v>5455</v>
      </c>
      <c r="D372" s="5">
        <f t="shared" si="117"/>
        <v>3630</v>
      </c>
      <c r="E372" s="5">
        <f t="shared" si="117"/>
        <v>1092</v>
      </c>
      <c r="F372" s="5">
        <f t="shared" si="117"/>
        <v>1456</v>
      </c>
      <c r="G372" s="5">
        <f t="shared" si="118"/>
        <v>87600</v>
      </c>
      <c r="H372" s="5">
        <f t="shared" si="118"/>
        <v>21820</v>
      </c>
      <c r="I372" s="5">
        <f t="shared" si="118"/>
        <v>14520</v>
      </c>
      <c r="J372" s="5">
        <f t="shared" si="118"/>
        <v>4368</v>
      </c>
      <c r="K372" s="5">
        <f t="shared" si="118"/>
        <v>5824</v>
      </c>
      <c r="L372" s="5">
        <f t="shared" si="119"/>
        <v>43800</v>
      </c>
      <c r="M372" s="5">
        <f t="shared" si="119"/>
        <v>10910</v>
      </c>
      <c r="N372" s="5">
        <f t="shared" si="119"/>
        <v>7260</v>
      </c>
      <c r="O372" s="5">
        <f t="shared" si="119"/>
        <v>2184</v>
      </c>
      <c r="P372" s="5">
        <f t="shared" si="119"/>
        <v>2912</v>
      </c>
      <c r="Q372" s="5">
        <f t="shared" si="135"/>
        <v>153300</v>
      </c>
      <c r="R372" s="5">
        <f t="shared" si="136"/>
        <v>38185</v>
      </c>
      <c r="S372" s="5">
        <f t="shared" si="137"/>
        <v>25410</v>
      </c>
      <c r="T372" s="5">
        <f t="shared" si="138"/>
        <v>7644</v>
      </c>
      <c r="U372" s="5">
        <f t="shared" si="139"/>
        <v>10192</v>
      </c>
      <c r="V372" s="5">
        <f>B372*战斗力计算!$B$8+C372*战斗力计算!$B$9+D372*战斗力计算!$B$10+E372*战斗力计算!$B$11+F372*战斗力计算!$B$12</f>
        <v>160040</v>
      </c>
      <c r="W372" s="5">
        <f>G372*战斗力计算!$B$8+H372*战斗力计算!$B$9+I372*战斗力计算!$B$10+J372*战斗力计算!$B$11+K372*战斗力计算!$B$12+L372*战斗力计算!$B$8+M372*战斗力计算!$B$9+N372*战斗力计算!$B$10+O372*战斗力计算!$B$11+P372*战斗力计算!$B$12</f>
        <v>960240</v>
      </c>
      <c r="X372" s="5">
        <f t="shared" si="140"/>
        <v>1120280</v>
      </c>
      <c r="AC372">
        <f t="shared" si="121"/>
        <v>4</v>
      </c>
      <c r="AD372">
        <f t="shared" si="122"/>
        <v>2</v>
      </c>
      <c r="AF372">
        <f t="shared" si="123"/>
        <v>0.75</v>
      </c>
      <c r="AH372">
        <f t="shared" si="124"/>
        <v>12</v>
      </c>
      <c r="AK372">
        <f t="shared" si="125"/>
        <v>6.0330578512396693</v>
      </c>
      <c r="AL372">
        <f t="shared" si="126"/>
        <v>1.502754820936639</v>
      </c>
      <c r="AM372">
        <f t="shared" si="127"/>
        <v>1</v>
      </c>
      <c r="AN372">
        <f t="shared" si="128"/>
        <v>6.0330578512396693</v>
      </c>
      <c r="AO372">
        <f t="shared" si="129"/>
        <v>1.502754820936639</v>
      </c>
      <c r="AP372">
        <f t="shared" si="130"/>
        <v>1</v>
      </c>
      <c r="AR372">
        <f t="shared" si="131"/>
        <v>4.4958791208791204</v>
      </c>
      <c r="AT372">
        <f t="shared" si="132"/>
        <v>4.4958791208791204</v>
      </c>
      <c r="AV372">
        <f t="shared" si="133"/>
        <v>3818</v>
      </c>
      <c r="AW372">
        <f t="shared" si="134"/>
        <v>7091</v>
      </c>
    </row>
    <row r="373" spans="1:49" x14ac:dyDescent="0.15">
      <c r="A373" s="5">
        <v>363</v>
      </c>
      <c r="B373" s="5">
        <f t="shared" si="120"/>
        <v>21960</v>
      </c>
      <c r="C373" s="5">
        <f t="shared" si="117"/>
        <v>5470</v>
      </c>
      <c r="D373" s="5">
        <f t="shared" si="117"/>
        <v>3640</v>
      </c>
      <c r="E373" s="5">
        <f t="shared" si="117"/>
        <v>1095</v>
      </c>
      <c r="F373" s="5">
        <f t="shared" si="117"/>
        <v>1460</v>
      </c>
      <c r="G373" s="5">
        <f t="shared" si="118"/>
        <v>87840</v>
      </c>
      <c r="H373" s="5">
        <f t="shared" si="118"/>
        <v>21880</v>
      </c>
      <c r="I373" s="5">
        <f t="shared" si="118"/>
        <v>14560</v>
      </c>
      <c r="J373" s="5">
        <f t="shared" si="118"/>
        <v>4380</v>
      </c>
      <c r="K373" s="5">
        <f t="shared" si="118"/>
        <v>5840</v>
      </c>
      <c r="L373" s="5">
        <f t="shared" si="119"/>
        <v>43920</v>
      </c>
      <c r="M373" s="5">
        <f t="shared" si="119"/>
        <v>10940</v>
      </c>
      <c r="N373" s="5">
        <f t="shared" si="119"/>
        <v>7280</v>
      </c>
      <c r="O373" s="5">
        <f t="shared" si="119"/>
        <v>2190</v>
      </c>
      <c r="P373" s="5">
        <f t="shared" si="119"/>
        <v>2920</v>
      </c>
      <c r="Q373" s="5">
        <f t="shared" si="135"/>
        <v>153720</v>
      </c>
      <c r="R373" s="5">
        <f t="shared" si="136"/>
        <v>38290</v>
      </c>
      <c r="S373" s="5">
        <f t="shared" si="137"/>
        <v>25480</v>
      </c>
      <c r="T373" s="5">
        <f t="shared" si="138"/>
        <v>7665</v>
      </c>
      <c r="U373" s="5">
        <f t="shared" si="139"/>
        <v>10220</v>
      </c>
      <c r="V373" s="5">
        <f>B373*战斗力计算!$B$8+C373*战斗力计算!$B$9+D373*战斗力计算!$B$10+E373*战斗力计算!$B$11+F373*战斗力计算!$B$12</f>
        <v>160480</v>
      </c>
      <c r="W373" s="5">
        <f>G373*战斗力计算!$B$8+H373*战斗力计算!$B$9+I373*战斗力计算!$B$10+J373*战斗力计算!$B$11+K373*战斗力计算!$B$12+L373*战斗力计算!$B$8+M373*战斗力计算!$B$9+N373*战斗力计算!$B$10+O373*战斗力计算!$B$11+P373*战斗力计算!$B$12</f>
        <v>962880</v>
      </c>
      <c r="X373" s="5">
        <f t="shared" si="140"/>
        <v>1123360</v>
      </c>
      <c r="AC373">
        <f t="shared" si="121"/>
        <v>4</v>
      </c>
      <c r="AD373">
        <f t="shared" si="122"/>
        <v>2</v>
      </c>
      <c r="AF373">
        <f t="shared" si="123"/>
        <v>0.75</v>
      </c>
      <c r="AH373">
        <f t="shared" si="124"/>
        <v>12</v>
      </c>
      <c r="AK373">
        <f t="shared" si="125"/>
        <v>6.0329670329670328</v>
      </c>
      <c r="AL373">
        <f t="shared" si="126"/>
        <v>1.5027472527472527</v>
      </c>
      <c r="AM373">
        <f t="shared" si="127"/>
        <v>1</v>
      </c>
      <c r="AN373">
        <f t="shared" si="128"/>
        <v>6.0329670329670328</v>
      </c>
      <c r="AO373">
        <f t="shared" si="129"/>
        <v>1.5027472527472527</v>
      </c>
      <c r="AP373">
        <f t="shared" si="130"/>
        <v>1</v>
      </c>
      <c r="AR373">
        <f t="shared" si="131"/>
        <v>4.4958904109589044</v>
      </c>
      <c r="AT373">
        <f t="shared" si="132"/>
        <v>4.4958904109589044</v>
      </c>
      <c r="AV373">
        <f t="shared" si="133"/>
        <v>3829</v>
      </c>
      <c r="AW373">
        <f t="shared" si="134"/>
        <v>7111</v>
      </c>
    </row>
    <row r="374" spans="1:49" x14ac:dyDescent="0.15">
      <c r="A374" s="5">
        <v>364</v>
      </c>
      <c r="B374" s="5">
        <f t="shared" si="120"/>
        <v>22020</v>
      </c>
      <c r="C374" s="5">
        <f t="shared" si="117"/>
        <v>5485</v>
      </c>
      <c r="D374" s="5">
        <f t="shared" si="117"/>
        <v>3650</v>
      </c>
      <c r="E374" s="5">
        <f t="shared" si="117"/>
        <v>1098</v>
      </c>
      <c r="F374" s="5">
        <f t="shared" si="117"/>
        <v>1464</v>
      </c>
      <c r="G374" s="5">
        <f t="shared" si="118"/>
        <v>88080</v>
      </c>
      <c r="H374" s="5">
        <f t="shared" si="118"/>
        <v>21940</v>
      </c>
      <c r="I374" s="5">
        <f t="shared" si="118"/>
        <v>14600</v>
      </c>
      <c r="J374" s="5">
        <f t="shared" si="118"/>
        <v>4392</v>
      </c>
      <c r="K374" s="5">
        <f t="shared" si="118"/>
        <v>5856</v>
      </c>
      <c r="L374" s="5">
        <f t="shared" si="119"/>
        <v>44040</v>
      </c>
      <c r="M374" s="5">
        <f t="shared" si="119"/>
        <v>10970</v>
      </c>
      <c r="N374" s="5">
        <f t="shared" si="119"/>
        <v>7300</v>
      </c>
      <c r="O374" s="5">
        <f t="shared" si="119"/>
        <v>2196</v>
      </c>
      <c r="P374" s="5">
        <f t="shared" si="119"/>
        <v>2928</v>
      </c>
      <c r="Q374" s="5">
        <f t="shared" si="135"/>
        <v>154140</v>
      </c>
      <c r="R374" s="5">
        <f t="shared" si="136"/>
        <v>38395</v>
      </c>
      <c r="S374" s="5">
        <f t="shared" si="137"/>
        <v>25550</v>
      </c>
      <c r="T374" s="5">
        <f t="shared" si="138"/>
        <v>7686</v>
      </c>
      <c r="U374" s="5">
        <f t="shared" si="139"/>
        <v>10248</v>
      </c>
      <c r="V374" s="5">
        <f>B374*战斗力计算!$B$8+C374*战斗力计算!$B$9+D374*战斗力计算!$B$10+E374*战斗力计算!$B$11+F374*战斗力计算!$B$12</f>
        <v>160920</v>
      </c>
      <c r="W374" s="5">
        <f>G374*战斗力计算!$B$8+H374*战斗力计算!$B$9+I374*战斗力计算!$B$10+J374*战斗力计算!$B$11+K374*战斗力计算!$B$12+L374*战斗力计算!$B$8+M374*战斗力计算!$B$9+N374*战斗力计算!$B$10+O374*战斗力计算!$B$11+P374*战斗力计算!$B$12</f>
        <v>965520</v>
      </c>
      <c r="X374" s="5">
        <f t="shared" si="140"/>
        <v>1126440</v>
      </c>
      <c r="AC374">
        <f t="shared" si="121"/>
        <v>4</v>
      </c>
      <c r="AD374">
        <f t="shared" si="122"/>
        <v>2</v>
      </c>
      <c r="AF374">
        <f t="shared" si="123"/>
        <v>0.75</v>
      </c>
      <c r="AH374">
        <f t="shared" si="124"/>
        <v>12</v>
      </c>
      <c r="AK374">
        <f t="shared" si="125"/>
        <v>6.0328767123287674</v>
      </c>
      <c r="AL374">
        <f t="shared" si="126"/>
        <v>1.5027397260273974</v>
      </c>
      <c r="AM374">
        <f t="shared" si="127"/>
        <v>1</v>
      </c>
      <c r="AN374">
        <f t="shared" si="128"/>
        <v>6.0328767123287674</v>
      </c>
      <c r="AO374">
        <f t="shared" si="129"/>
        <v>1.5027397260273974</v>
      </c>
      <c r="AP374">
        <f t="shared" si="130"/>
        <v>1</v>
      </c>
      <c r="AR374">
        <f t="shared" si="131"/>
        <v>4.4959016393442619</v>
      </c>
      <c r="AT374">
        <f t="shared" si="132"/>
        <v>4.4959016393442619</v>
      </c>
      <c r="AV374">
        <f t="shared" si="133"/>
        <v>3839</v>
      </c>
      <c r="AW374">
        <f t="shared" si="134"/>
        <v>7130</v>
      </c>
    </row>
    <row r="375" spans="1:49" x14ac:dyDescent="0.15">
      <c r="A375" s="5">
        <v>365</v>
      </c>
      <c r="B375" s="5">
        <f t="shared" si="120"/>
        <v>22080</v>
      </c>
      <c r="C375" s="5">
        <f t="shared" si="117"/>
        <v>5500</v>
      </c>
      <c r="D375" s="5">
        <f t="shared" si="117"/>
        <v>3660</v>
      </c>
      <c r="E375" s="5">
        <f t="shared" si="117"/>
        <v>1101</v>
      </c>
      <c r="F375" s="5">
        <f t="shared" si="117"/>
        <v>1468</v>
      </c>
      <c r="G375" s="5">
        <f t="shared" si="118"/>
        <v>88320</v>
      </c>
      <c r="H375" s="5">
        <f t="shared" si="118"/>
        <v>22000</v>
      </c>
      <c r="I375" s="5">
        <f t="shared" si="118"/>
        <v>14640</v>
      </c>
      <c r="J375" s="5">
        <f t="shared" si="118"/>
        <v>4404</v>
      </c>
      <c r="K375" s="5">
        <f t="shared" si="118"/>
        <v>5872</v>
      </c>
      <c r="L375" s="5">
        <f t="shared" si="119"/>
        <v>44160</v>
      </c>
      <c r="M375" s="5">
        <f t="shared" si="119"/>
        <v>11000</v>
      </c>
      <c r="N375" s="5">
        <f t="shared" si="119"/>
        <v>7320</v>
      </c>
      <c r="O375" s="5">
        <f t="shared" si="119"/>
        <v>2202</v>
      </c>
      <c r="P375" s="5">
        <f t="shared" si="119"/>
        <v>2936</v>
      </c>
      <c r="Q375" s="5">
        <f t="shared" si="135"/>
        <v>154560</v>
      </c>
      <c r="R375" s="5">
        <f t="shared" si="136"/>
        <v>38500</v>
      </c>
      <c r="S375" s="5">
        <f t="shared" si="137"/>
        <v>25620</v>
      </c>
      <c r="T375" s="5">
        <f t="shared" si="138"/>
        <v>7707</v>
      </c>
      <c r="U375" s="5">
        <f t="shared" si="139"/>
        <v>10276</v>
      </c>
      <c r="V375" s="5">
        <f>B375*战斗力计算!$B$8+C375*战斗力计算!$B$9+D375*战斗力计算!$B$10+E375*战斗力计算!$B$11+F375*战斗力计算!$B$12</f>
        <v>161360</v>
      </c>
      <c r="W375" s="5">
        <f>G375*战斗力计算!$B$8+H375*战斗力计算!$B$9+I375*战斗力计算!$B$10+J375*战斗力计算!$B$11+K375*战斗力计算!$B$12+L375*战斗力计算!$B$8+M375*战斗力计算!$B$9+N375*战斗力计算!$B$10+O375*战斗力计算!$B$11+P375*战斗力计算!$B$12</f>
        <v>968160</v>
      </c>
      <c r="X375" s="5">
        <f t="shared" si="140"/>
        <v>1129520</v>
      </c>
      <c r="AC375">
        <f t="shared" si="121"/>
        <v>4</v>
      </c>
      <c r="AD375">
        <f t="shared" si="122"/>
        <v>2</v>
      </c>
      <c r="AF375">
        <f t="shared" si="123"/>
        <v>0.75</v>
      </c>
      <c r="AH375">
        <f t="shared" si="124"/>
        <v>12</v>
      </c>
      <c r="AK375">
        <f t="shared" si="125"/>
        <v>6.0327868852459012</v>
      </c>
      <c r="AL375">
        <f t="shared" si="126"/>
        <v>1.5027322404371584</v>
      </c>
      <c r="AM375">
        <f t="shared" si="127"/>
        <v>1</v>
      </c>
      <c r="AN375">
        <f t="shared" si="128"/>
        <v>6.0327868852459012</v>
      </c>
      <c r="AO375">
        <f t="shared" si="129"/>
        <v>1.5027322404371584</v>
      </c>
      <c r="AP375">
        <f t="shared" si="130"/>
        <v>1</v>
      </c>
      <c r="AR375">
        <f t="shared" si="131"/>
        <v>4.4959128065395095</v>
      </c>
      <c r="AT375">
        <f t="shared" si="132"/>
        <v>4.4959128065395095</v>
      </c>
      <c r="AV375">
        <f t="shared" si="133"/>
        <v>3850</v>
      </c>
      <c r="AW375">
        <f t="shared" si="134"/>
        <v>7150</v>
      </c>
    </row>
    <row r="376" spans="1:49" x14ac:dyDescent="0.15">
      <c r="A376" s="5">
        <v>366</v>
      </c>
      <c r="B376" s="5">
        <f t="shared" si="120"/>
        <v>22140</v>
      </c>
      <c r="C376" s="5">
        <f t="shared" si="117"/>
        <v>5515</v>
      </c>
      <c r="D376" s="5">
        <f t="shared" si="117"/>
        <v>3670</v>
      </c>
      <c r="E376" s="5">
        <f t="shared" si="117"/>
        <v>1104</v>
      </c>
      <c r="F376" s="5">
        <f t="shared" si="117"/>
        <v>1472</v>
      </c>
      <c r="G376" s="5">
        <f t="shared" si="118"/>
        <v>88560</v>
      </c>
      <c r="H376" s="5">
        <f t="shared" si="118"/>
        <v>22060</v>
      </c>
      <c r="I376" s="5">
        <f t="shared" si="118"/>
        <v>14680</v>
      </c>
      <c r="J376" s="5">
        <f t="shared" si="118"/>
        <v>4416</v>
      </c>
      <c r="K376" s="5">
        <f t="shared" si="118"/>
        <v>5888</v>
      </c>
      <c r="L376" s="5">
        <f t="shared" si="119"/>
        <v>44280</v>
      </c>
      <c r="M376" s="5">
        <f t="shared" si="119"/>
        <v>11030</v>
      </c>
      <c r="N376" s="5">
        <f t="shared" si="119"/>
        <v>7340</v>
      </c>
      <c r="O376" s="5">
        <f t="shared" si="119"/>
        <v>2208</v>
      </c>
      <c r="P376" s="5">
        <f t="shared" si="119"/>
        <v>2944</v>
      </c>
      <c r="Q376" s="5">
        <f t="shared" si="135"/>
        <v>154980</v>
      </c>
      <c r="R376" s="5">
        <f t="shared" si="136"/>
        <v>38605</v>
      </c>
      <c r="S376" s="5">
        <f t="shared" si="137"/>
        <v>25690</v>
      </c>
      <c r="T376" s="5">
        <f t="shared" si="138"/>
        <v>7728</v>
      </c>
      <c r="U376" s="5">
        <f t="shared" si="139"/>
        <v>10304</v>
      </c>
      <c r="V376" s="5">
        <f>B376*战斗力计算!$B$8+C376*战斗力计算!$B$9+D376*战斗力计算!$B$10+E376*战斗力计算!$B$11+F376*战斗力计算!$B$12</f>
        <v>161800</v>
      </c>
      <c r="W376" s="5">
        <f>G376*战斗力计算!$B$8+H376*战斗力计算!$B$9+I376*战斗力计算!$B$10+J376*战斗力计算!$B$11+K376*战斗力计算!$B$12+L376*战斗力计算!$B$8+M376*战斗力计算!$B$9+N376*战斗力计算!$B$10+O376*战斗力计算!$B$11+P376*战斗力计算!$B$12</f>
        <v>970800</v>
      </c>
      <c r="X376" s="5">
        <f t="shared" si="140"/>
        <v>1132600</v>
      </c>
      <c r="AC376">
        <f t="shared" si="121"/>
        <v>4</v>
      </c>
      <c r="AD376">
        <f t="shared" si="122"/>
        <v>2</v>
      </c>
      <c r="AF376">
        <f t="shared" si="123"/>
        <v>0.75</v>
      </c>
      <c r="AH376">
        <f t="shared" si="124"/>
        <v>12</v>
      </c>
      <c r="AK376">
        <f t="shared" si="125"/>
        <v>6.0326975476839237</v>
      </c>
      <c r="AL376">
        <f t="shared" si="126"/>
        <v>1.5027247956403269</v>
      </c>
      <c r="AM376">
        <f t="shared" si="127"/>
        <v>1</v>
      </c>
      <c r="AN376">
        <f t="shared" si="128"/>
        <v>6.0326975476839237</v>
      </c>
      <c r="AO376">
        <f t="shared" si="129"/>
        <v>1.5027247956403269</v>
      </c>
      <c r="AP376">
        <f t="shared" si="130"/>
        <v>1</v>
      </c>
      <c r="AR376">
        <f t="shared" si="131"/>
        <v>4.4959239130434785</v>
      </c>
      <c r="AT376">
        <f t="shared" si="132"/>
        <v>4.4959239130434785</v>
      </c>
      <c r="AV376">
        <f t="shared" si="133"/>
        <v>3860</v>
      </c>
      <c r="AW376">
        <f t="shared" si="134"/>
        <v>7169</v>
      </c>
    </row>
    <row r="377" spans="1:49" x14ac:dyDescent="0.15">
      <c r="A377" s="5">
        <v>367</v>
      </c>
      <c r="B377" s="5">
        <f t="shared" si="120"/>
        <v>22200</v>
      </c>
      <c r="C377" s="5">
        <f t="shared" si="117"/>
        <v>5530</v>
      </c>
      <c r="D377" s="5">
        <f t="shared" si="117"/>
        <v>3680</v>
      </c>
      <c r="E377" s="5">
        <f t="shared" si="117"/>
        <v>1107</v>
      </c>
      <c r="F377" s="5">
        <f t="shared" si="117"/>
        <v>1476</v>
      </c>
      <c r="G377" s="5">
        <f t="shared" si="118"/>
        <v>88800</v>
      </c>
      <c r="H377" s="5">
        <f t="shared" si="118"/>
        <v>22120</v>
      </c>
      <c r="I377" s="5">
        <f t="shared" si="118"/>
        <v>14720</v>
      </c>
      <c r="J377" s="5">
        <f t="shared" si="118"/>
        <v>4428</v>
      </c>
      <c r="K377" s="5">
        <f t="shared" si="118"/>
        <v>5904</v>
      </c>
      <c r="L377" s="5">
        <f t="shared" si="119"/>
        <v>44400</v>
      </c>
      <c r="M377" s="5">
        <f t="shared" si="119"/>
        <v>11060</v>
      </c>
      <c r="N377" s="5">
        <f t="shared" si="119"/>
        <v>7360</v>
      </c>
      <c r="O377" s="5">
        <f t="shared" si="119"/>
        <v>2214</v>
      </c>
      <c r="P377" s="5">
        <f t="shared" si="119"/>
        <v>2952</v>
      </c>
      <c r="Q377" s="5">
        <f t="shared" si="135"/>
        <v>155400</v>
      </c>
      <c r="R377" s="5">
        <f t="shared" si="136"/>
        <v>38710</v>
      </c>
      <c r="S377" s="5">
        <f t="shared" si="137"/>
        <v>25760</v>
      </c>
      <c r="T377" s="5">
        <f t="shared" si="138"/>
        <v>7749</v>
      </c>
      <c r="U377" s="5">
        <f t="shared" si="139"/>
        <v>10332</v>
      </c>
      <c r="V377" s="5">
        <f>B377*战斗力计算!$B$8+C377*战斗力计算!$B$9+D377*战斗力计算!$B$10+E377*战斗力计算!$B$11+F377*战斗力计算!$B$12</f>
        <v>162240</v>
      </c>
      <c r="W377" s="5">
        <f>G377*战斗力计算!$B$8+H377*战斗力计算!$B$9+I377*战斗力计算!$B$10+J377*战斗力计算!$B$11+K377*战斗力计算!$B$12+L377*战斗力计算!$B$8+M377*战斗力计算!$B$9+N377*战斗力计算!$B$10+O377*战斗力计算!$B$11+P377*战斗力计算!$B$12</f>
        <v>973440</v>
      </c>
      <c r="X377" s="5">
        <f t="shared" si="140"/>
        <v>1135680</v>
      </c>
      <c r="AC377">
        <f t="shared" si="121"/>
        <v>4</v>
      </c>
      <c r="AD377">
        <f t="shared" si="122"/>
        <v>2</v>
      </c>
      <c r="AF377">
        <f t="shared" si="123"/>
        <v>0.75</v>
      </c>
      <c r="AH377">
        <f t="shared" si="124"/>
        <v>12</v>
      </c>
      <c r="AK377">
        <f t="shared" si="125"/>
        <v>6.0326086956521738</v>
      </c>
      <c r="AL377">
        <f t="shared" si="126"/>
        <v>1.5027173913043479</v>
      </c>
      <c r="AM377">
        <f t="shared" si="127"/>
        <v>1</v>
      </c>
      <c r="AN377">
        <f t="shared" si="128"/>
        <v>6.0326086956521738</v>
      </c>
      <c r="AO377">
        <f t="shared" si="129"/>
        <v>1.5027173913043479</v>
      </c>
      <c r="AP377">
        <f t="shared" si="130"/>
        <v>1</v>
      </c>
      <c r="AR377">
        <f t="shared" si="131"/>
        <v>4.4959349593495936</v>
      </c>
      <c r="AT377">
        <f t="shared" si="132"/>
        <v>4.4959349593495936</v>
      </c>
      <c r="AV377">
        <f t="shared" si="133"/>
        <v>3871</v>
      </c>
      <c r="AW377">
        <f t="shared" si="134"/>
        <v>7189</v>
      </c>
    </row>
    <row r="378" spans="1:49" x14ac:dyDescent="0.15">
      <c r="A378" s="5">
        <v>368</v>
      </c>
      <c r="B378" s="5">
        <f t="shared" si="120"/>
        <v>22260</v>
      </c>
      <c r="C378" s="5">
        <f t="shared" si="117"/>
        <v>5545</v>
      </c>
      <c r="D378" s="5">
        <f t="shared" si="117"/>
        <v>3690</v>
      </c>
      <c r="E378" s="5">
        <f t="shared" si="117"/>
        <v>1110</v>
      </c>
      <c r="F378" s="5">
        <f t="shared" si="117"/>
        <v>1480</v>
      </c>
      <c r="G378" s="5">
        <f t="shared" si="118"/>
        <v>89040</v>
      </c>
      <c r="H378" s="5">
        <f t="shared" si="118"/>
        <v>22180</v>
      </c>
      <c r="I378" s="5">
        <f t="shared" si="118"/>
        <v>14760</v>
      </c>
      <c r="J378" s="5">
        <f t="shared" si="118"/>
        <v>4440</v>
      </c>
      <c r="K378" s="5">
        <f t="shared" si="118"/>
        <v>5920</v>
      </c>
      <c r="L378" s="5">
        <f t="shared" si="119"/>
        <v>44520</v>
      </c>
      <c r="M378" s="5">
        <f t="shared" si="119"/>
        <v>11090</v>
      </c>
      <c r="N378" s="5">
        <f t="shared" si="119"/>
        <v>7380</v>
      </c>
      <c r="O378" s="5">
        <f t="shared" si="119"/>
        <v>2220</v>
      </c>
      <c r="P378" s="5">
        <f t="shared" si="119"/>
        <v>2960</v>
      </c>
      <c r="Q378" s="5">
        <f t="shared" si="135"/>
        <v>155820</v>
      </c>
      <c r="R378" s="5">
        <f t="shared" si="136"/>
        <v>38815</v>
      </c>
      <c r="S378" s="5">
        <f t="shared" si="137"/>
        <v>25830</v>
      </c>
      <c r="T378" s="5">
        <f t="shared" si="138"/>
        <v>7770</v>
      </c>
      <c r="U378" s="5">
        <f t="shared" si="139"/>
        <v>10360</v>
      </c>
      <c r="V378" s="5">
        <f>B378*战斗力计算!$B$8+C378*战斗力计算!$B$9+D378*战斗力计算!$B$10+E378*战斗力计算!$B$11+F378*战斗力计算!$B$12</f>
        <v>162680</v>
      </c>
      <c r="W378" s="5">
        <f>G378*战斗力计算!$B$8+H378*战斗力计算!$B$9+I378*战斗力计算!$B$10+J378*战斗力计算!$B$11+K378*战斗力计算!$B$12+L378*战斗力计算!$B$8+M378*战斗力计算!$B$9+N378*战斗力计算!$B$10+O378*战斗力计算!$B$11+P378*战斗力计算!$B$12</f>
        <v>976080</v>
      </c>
      <c r="X378" s="5">
        <f t="shared" si="140"/>
        <v>1138760</v>
      </c>
      <c r="AC378">
        <f t="shared" si="121"/>
        <v>4</v>
      </c>
      <c r="AD378">
        <f t="shared" si="122"/>
        <v>2</v>
      </c>
      <c r="AF378">
        <f t="shared" si="123"/>
        <v>0.75</v>
      </c>
      <c r="AH378">
        <f t="shared" si="124"/>
        <v>12</v>
      </c>
      <c r="AK378">
        <f t="shared" si="125"/>
        <v>6.0325203252032518</v>
      </c>
      <c r="AL378">
        <f t="shared" si="126"/>
        <v>1.5027100271002709</v>
      </c>
      <c r="AM378">
        <f t="shared" si="127"/>
        <v>1</v>
      </c>
      <c r="AN378">
        <f t="shared" si="128"/>
        <v>6.0325203252032518</v>
      </c>
      <c r="AO378">
        <f t="shared" si="129"/>
        <v>1.5027100271002709</v>
      </c>
      <c r="AP378">
        <f t="shared" si="130"/>
        <v>1</v>
      </c>
      <c r="AR378">
        <f t="shared" si="131"/>
        <v>4.4959459459459463</v>
      </c>
      <c r="AT378">
        <f t="shared" si="132"/>
        <v>4.4959459459459463</v>
      </c>
      <c r="AV378">
        <f t="shared" si="133"/>
        <v>3881</v>
      </c>
      <c r="AW378">
        <f t="shared" si="134"/>
        <v>7208</v>
      </c>
    </row>
    <row r="379" spans="1:49" x14ac:dyDescent="0.15">
      <c r="A379" s="5">
        <v>369</v>
      </c>
      <c r="B379" s="5">
        <f t="shared" si="120"/>
        <v>22320</v>
      </c>
      <c r="C379" s="5">
        <f t="shared" si="120"/>
        <v>5560</v>
      </c>
      <c r="D379" s="5">
        <f t="shared" si="120"/>
        <v>3700</v>
      </c>
      <c r="E379" s="5">
        <f t="shared" si="120"/>
        <v>1113</v>
      </c>
      <c r="F379" s="5">
        <f t="shared" si="120"/>
        <v>1484</v>
      </c>
      <c r="G379" s="5">
        <f t="shared" si="118"/>
        <v>89280</v>
      </c>
      <c r="H379" s="5">
        <f t="shared" si="118"/>
        <v>22240</v>
      </c>
      <c r="I379" s="5">
        <f t="shared" si="118"/>
        <v>14800</v>
      </c>
      <c r="J379" s="5">
        <f t="shared" si="118"/>
        <v>4452</v>
      </c>
      <c r="K379" s="5">
        <f t="shared" si="118"/>
        <v>5936</v>
      </c>
      <c r="L379" s="5">
        <f t="shared" si="119"/>
        <v>44640</v>
      </c>
      <c r="M379" s="5">
        <f t="shared" si="119"/>
        <v>11120</v>
      </c>
      <c r="N379" s="5">
        <f t="shared" si="119"/>
        <v>7400</v>
      </c>
      <c r="O379" s="5">
        <f t="shared" si="119"/>
        <v>2226</v>
      </c>
      <c r="P379" s="5">
        <f t="shared" si="119"/>
        <v>2968</v>
      </c>
      <c r="Q379" s="5">
        <f t="shared" si="135"/>
        <v>156240</v>
      </c>
      <c r="R379" s="5">
        <f t="shared" si="136"/>
        <v>38920</v>
      </c>
      <c r="S379" s="5">
        <f t="shared" si="137"/>
        <v>25900</v>
      </c>
      <c r="T379" s="5">
        <f t="shared" si="138"/>
        <v>7791</v>
      </c>
      <c r="U379" s="5">
        <f t="shared" si="139"/>
        <v>10388</v>
      </c>
      <c r="V379" s="5">
        <f>B379*战斗力计算!$B$8+C379*战斗力计算!$B$9+D379*战斗力计算!$B$10+E379*战斗力计算!$B$11+F379*战斗力计算!$B$12</f>
        <v>163120</v>
      </c>
      <c r="W379" s="5">
        <f>G379*战斗力计算!$B$8+H379*战斗力计算!$B$9+I379*战斗力计算!$B$10+J379*战斗力计算!$B$11+K379*战斗力计算!$B$12+L379*战斗力计算!$B$8+M379*战斗力计算!$B$9+N379*战斗力计算!$B$10+O379*战斗力计算!$B$11+P379*战斗力计算!$B$12</f>
        <v>978720</v>
      </c>
      <c r="X379" s="5">
        <f t="shared" si="140"/>
        <v>1141840</v>
      </c>
      <c r="AC379">
        <f t="shared" si="121"/>
        <v>4</v>
      </c>
      <c r="AD379">
        <f t="shared" si="122"/>
        <v>2</v>
      </c>
      <c r="AF379">
        <f t="shared" si="123"/>
        <v>0.75</v>
      </c>
      <c r="AH379">
        <f t="shared" si="124"/>
        <v>12</v>
      </c>
      <c r="AK379">
        <f t="shared" si="125"/>
        <v>6.0324324324324321</v>
      </c>
      <c r="AL379">
        <f t="shared" si="126"/>
        <v>1.5027027027027027</v>
      </c>
      <c r="AM379">
        <f t="shared" si="127"/>
        <v>1</v>
      </c>
      <c r="AN379">
        <f t="shared" si="128"/>
        <v>6.0324324324324321</v>
      </c>
      <c r="AO379">
        <f t="shared" si="129"/>
        <v>1.5027027027027027</v>
      </c>
      <c r="AP379">
        <f t="shared" si="130"/>
        <v>1</v>
      </c>
      <c r="AR379">
        <f t="shared" si="131"/>
        <v>4.4959568733153636</v>
      </c>
      <c r="AT379">
        <f t="shared" si="132"/>
        <v>4.4959568733153636</v>
      </c>
      <c r="AV379">
        <f t="shared" si="133"/>
        <v>3892</v>
      </c>
      <c r="AW379">
        <f t="shared" si="134"/>
        <v>7228</v>
      </c>
    </row>
    <row r="380" spans="1:49" x14ac:dyDescent="0.15">
      <c r="A380" s="5">
        <v>370</v>
      </c>
      <c r="B380" s="5">
        <f t="shared" si="120"/>
        <v>22380</v>
      </c>
      <c r="C380" s="5">
        <f t="shared" si="120"/>
        <v>5575</v>
      </c>
      <c r="D380" s="5">
        <f t="shared" si="120"/>
        <v>3710</v>
      </c>
      <c r="E380" s="5">
        <f t="shared" si="120"/>
        <v>1116</v>
      </c>
      <c r="F380" s="5">
        <f t="shared" si="120"/>
        <v>1488</v>
      </c>
      <c r="G380" s="5">
        <f t="shared" si="118"/>
        <v>89520</v>
      </c>
      <c r="H380" s="5">
        <f t="shared" si="118"/>
        <v>22300</v>
      </c>
      <c r="I380" s="5">
        <f t="shared" si="118"/>
        <v>14840</v>
      </c>
      <c r="J380" s="5">
        <f t="shared" si="118"/>
        <v>4464</v>
      </c>
      <c r="K380" s="5">
        <f t="shared" si="118"/>
        <v>5952</v>
      </c>
      <c r="L380" s="5">
        <f t="shared" si="119"/>
        <v>44760</v>
      </c>
      <c r="M380" s="5">
        <f t="shared" si="119"/>
        <v>11150</v>
      </c>
      <c r="N380" s="5">
        <f t="shared" si="119"/>
        <v>7420</v>
      </c>
      <c r="O380" s="5">
        <f t="shared" si="119"/>
        <v>2232</v>
      </c>
      <c r="P380" s="5">
        <f t="shared" si="119"/>
        <v>2976</v>
      </c>
      <c r="Q380" s="5">
        <f t="shared" si="135"/>
        <v>156660</v>
      </c>
      <c r="R380" s="5">
        <f t="shared" si="136"/>
        <v>39025</v>
      </c>
      <c r="S380" s="5">
        <f t="shared" si="137"/>
        <v>25970</v>
      </c>
      <c r="T380" s="5">
        <f t="shared" si="138"/>
        <v>7812</v>
      </c>
      <c r="U380" s="5">
        <f t="shared" si="139"/>
        <v>10416</v>
      </c>
      <c r="V380" s="5">
        <f>B380*战斗力计算!$B$8+C380*战斗力计算!$B$9+D380*战斗力计算!$B$10+E380*战斗力计算!$B$11+F380*战斗力计算!$B$12</f>
        <v>163560</v>
      </c>
      <c r="W380" s="5">
        <f>G380*战斗力计算!$B$8+H380*战斗力计算!$B$9+I380*战斗力计算!$B$10+J380*战斗力计算!$B$11+K380*战斗力计算!$B$12+L380*战斗力计算!$B$8+M380*战斗力计算!$B$9+N380*战斗力计算!$B$10+O380*战斗力计算!$B$11+P380*战斗力计算!$B$12</f>
        <v>981360</v>
      </c>
      <c r="X380" s="5">
        <f t="shared" si="140"/>
        <v>1144920</v>
      </c>
      <c r="AC380">
        <f t="shared" si="121"/>
        <v>4</v>
      </c>
      <c r="AD380">
        <f t="shared" si="122"/>
        <v>2</v>
      </c>
      <c r="AF380">
        <f t="shared" si="123"/>
        <v>0.75</v>
      </c>
      <c r="AH380">
        <f t="shared" si="124"/>
        <v>12</v>
      </c>
      <c r="AK380">
        <f t="shared" si="125"/>
        <v>6.0323450134770891</v>
      </c>
      <c r="AL380">
        <f t="shared" si="126"/>
        <v>1.5026954177897573</v>
      </c>
      <c r="AM380">
        <f t="shared" si="127"/>
        <v>1</v>
      </c>
      <c r="AN380">
        <f t="shared" si="128"/>
        <v>6.0323450134770891</v>
      </c>
      <c r="AO380">
        <f t="shared" si="129"/>
        <v>1.5026954177897573</v>
      </c>
      <c r="AP380">
        <f t="shared" si="130"/>
        <v>1</v>
      </c>
      <c r="AR380">
        <f t="shared" si="131"/>
        <v>4.495967741935484</v>
      </c>
      <c r="AT380">
        <f t="shared" si="132"/>
        <v>4.495967741935484</v>
      </c>
      <c r="AV380">
        <f t="shared" si="133"/>
        <v>3902</v>
      </c>
      <c r="AW380">
        <f t="shared" si="134"/>
        <v>7247</v>
      </c>
    </row>
    <row r="381" spans="1:49" x14ac:dyDescent="0.15">
      <c r="A381" s="5">
        <v>371</v>
      </c>
      <c r="B381" s="5">
        <f t="shared" si="120"/>
        <v>22440</v>
      </c>
      <c r="C381" s="5">
        <f t="shared" si="120"/>
        <v>5590</v>
      </c>
      <c r="D381" s="5">
        <f t="shared" si="120"/>
        <v>3720</v>
      </c>
      <c r="E381" s="5">
        <f t="shared" si="120"/>
        <v>1119</v>
      </c>
      <c r="F381" s="5">
        <f t="shared" si="120"/>
        <v>1492</v>
      </c>
      <c r="G381" s="5">
        <f t="shared" ref="G381:K431" si="141">HLOOKUP(G$10,$B$10:$F$610,$A381+1,0)*$AC381</f>
        <v>89760</v>
      </c>
      <c r="H381" s="5">
        <f t="shared" si="141"/>
        <v>22360</v>
      </c>
      <c r="I381" s="5">
        <f t="shared" si="141"/>
        <v>14880</v>
      </c>
      <c r="J381" s="5">
        <f t="shared" si="141"/>
        <v>4476</v>
      </c>
      <c r="K381" s="5">
        <f t="shared" si="141"/>
        <v>5968</v>
      </c>
      <c r="L381" s="5">
        <f t="shared" ref="L381:P431" si="142">HLOOKUP(L$10,$B$10:$F$610,$A381+1,0)*$AD381</f>
        <v>44880</v>
      </c>
      <c r="M381" s="5">
        <f t="shared" si="142"/>
        <v>11180</v>
      </c>
      <c r="N381" s="5">
        <f t="shared" si="142"/>
        <v>7440</v>
      </c>
      <c r="O381" s="5">
        <f t="shared" si="142"/>
        <v>2238</v>
      </c>
      <c r="P381" s="5">
        <f t="shared" si="142"/>
        <v>2984</v>
      </c>
      <c r="Q381" s="5">
        <f t="shared" si="135"/>
        <v>157080</v>
      </c>
      <c r="R381" s="5">
        <f t="shared" si="136"/>
        <v>39130</v>
      </c>
      <c r="S381" s="5">
        <f t="shared" si="137"/>
        <v>26040</v>
      </c>
      <c r="T381" s="5">
        <f t="shared" si="138"/>
        <v>7833</v>
      </c>
      <c r="U381" s="5">
        <f t="shared" si="139"/>
        <v>10444</v>
      </c>
      <c r="V381" s="5">
        <f>B381*战斗力计算!$B$8+C381*战斗力计算!$B$9+D381*战斗力计算!$B$10+E381*战斗力计算!$B$11+F381*战斗力计算!$B$12</f>
        <v>164000</v>
      </c>
      <c r="W381" s="5">
        <f>G381*战斗力计算!$B$8+H381*战斗力计算!$B$9+I381*战斗力计算!$B$10+J381*战斗力计算!$B$11+K381*战斗力计算!$B$12+L381*战斗力计算!$B$8+M381*战斗力计算!$B$9+N381*战斗力计算!$B$10+O381*战斗力计算!$B$11+P381*战斗力计算!$B$12</f>
        <v>984000</v>
      </c>
      <c r="X381" s="5">
        <f t="shared" si="140"/>
        <v>1148000</v>
      </c>
      <c r="AC381">
        <f t="shared" si="121"/>
        <v>4</v>
      </c>
      <c r="AD381">
        <f t="shared" si="122"/>
        <v>2</v>
      </c>
      <c r="AF381">
        <f t="shared" si="123"/>
        <v>0.75</v>
      </c>
      <c r="AH381">
        <f t="shared" si="124"/>
        <v>12</v>
      </c>
      <c r="AK381">
        <f t="shared" si="125"/>
        <v>6.032258064516129</v>
      </c>
      <c r="AL381">
        <f t="shared" si="126"/>
        <v>1.5026881720430108</v>
      </c>
      <c r="AM381">
        <f t="shared" si="127"/>
        <v>1</v>
      </c>
      <c r="AN381">
        <f t="shared" si="128"/>
        <v>6.032258064516129</v>
      </c>
      <c r="AO381">
        <f t="shared" si="129"/>
        <v>1.5026881720430108</v>
      </c>
      <c r="AP381">
        <f t="shared" si="130"/>
        <v>1</v>
      </c>
      <c r="AR381">
        <f t="shared" si="131"/>
        <v>4.49597855227882</v>
      </c>
      <c r="AT381">
        <f t="shared" si="132"/>
        <v>4.49597855227882</v>
      </c>
      <c r="AV381">
        <f t="shared" si="133"/>
        <v>3913</v>
      </c>
      <c r="AW381">
        <f t="shared" si="134"/>
        <v>7267</v>
      </c>
    </row>
    <row r="382" spans="1:49" x14ac:dyDescent="0.15">
      <c r="A382" s="5">
        <v>372</v>
      </c>
      <c r="B382" s="5">
        <f t="shared" si="120"/>
        <v>22500</v>
      </c>
      <c r="C382" s="5">
        <f t="shared" si="120"/>
        <v>5605</v>
      </c>
      <c r="D382" s="5">
        <f t="shared" si="120"/>
        <v>3730</v>
      </c>
      <c r="E382" s="5">
        <f t="shared" si="120"/>
        <v>1122</v>
      </c>
      <c r="F382" s="5">
        <f t="shared" si="120"/>
        <v>1496</v>
      </c>
      <c r="G382" s="5">
        <f t="shared" si="141"/>
        <v>90000</v>
      </c>
      <c r="H382" s="5">
        <f t="shared" si="141"/>
        <v>22420</v>
      </c>
      <c r="I382" s="5">
        <f t="shared" si="141"/>
        <v>14920</v>
      </c>
      <c r="J382" s="5">
        <f t="shared" si="141"/>
        <v>4488</v>
      </c>
      <c r="K382" s="5">
        <f t="shared" si="141"/>
        <v>5984</v>
      </c>
      <c r="L382" s="5">
        <f t="shared" si="142"/>
        <v>45000</v>
      </c>
      <c r="M382" s="5">
        <f t="shared" si="142"/>
        <v>11210</v>
      </c>
      <c r="N382" s="5">
        <f t="shared" si="142"/>
        <v>7460</v>
      </c>
      <c r="O382" s="5">
        <f t="shared" si="142"/>
        <v>2244</v>
      </c>
      <c r="P382" s="5">
        <f t="shared" si="142"/>
        <v>2992</v>
      </c>
      <c r="Q382" s="5">
        <f t="shared" si="135"/>
        <v>157500</v>
      </c>
      <c r="R382" s="5">
        <f t="shared" si="136"/>
        <v>39235</v>
      </c>
      <c r="S382" s="5">
        <f t="shared" si="137"/>
        <v>26110</v>
      </c>
      <c r="T382" s="5">
        <f t="shared" si="138"/>
        <v>7854</v>
      </c>
      <c r="U382" s="5">
        <f t="shared" si="139"/>
        <v>10472</v>
      </c>
      <c r="V382" s="5">
        <f>B382*战斗力计算!$B$8+C382*战斗力计算!$B$9+D382*战斗力计算!$B$10+E382*战斗力计算!$B$11+F382*战斗力计算!$B$12</f>
        <v>164440</v>
      </c>
      <c r="W382" s="5">
        <f>G382*战斗力计算!$B$8+H382*战斗力计算!$B$9+I382*战斗力计算!$B$10+J382*战斗力计算!$B$11+K382*战斗力计算!$B$12+L382*战斗力计算!$B$8+M382*战斗力计算!$B$9+N382*战斗力计算!$B$10+O382*战斗力计算!$B$11+P382*战斗力计算!$B$12</f>
        <v>986640</v>
      </c>
      <c r="X382" s="5">
        <f t="shared" si="140"/>
        <v>1151080</v>
      </c>
      <c r="AC382">
        <f t="shared" si="121"/>
        <v>4</v>
      </c>
      <c r="AD382">
        <f t="shared" si="122"/>
        <v>2</v>
      </c>
      <c r="AF382">
        <f t="shared" si="123"/>
        <v>0.75</v>
      </c>
      <c r="AH382">
        <f t="shared" si="124"/>
        <v>12</v>
      </c>
      <c r="AK382">
        <f t="shared" si="125"/>
        <v>6.032171581769437</v>
      </c>
      <c r="AL382">
        <f t="shared" si="126"/>
        <v>1.5026809651474531</v>
      </c>
      <c r="AM382">
        <f t="shared" si="127"/>
        <v>1</v>
      </c>
      <c r="AN382">
        <f t="shared" si="128"/>
        <v>6.032171581769437</v>
      </c>
      <c r="AO382">
        <f t="shared" si="129"/>
        <v>1.5026809651474531</v>
      </c>
      <c r="AP382">
        <f t="shared" si="130"/>
        <v>1</v>
      </c>
      <c r="AR382">
        <f t="shared" si="131"/>
        <v>4.4959893048128343</v>
      </c>
      <c r="AT382">
        <f t="shared" si="132"/>
        <v>4.4959893048128343</v>
      </c>
      <c r="AV382">
        <f t="shared" si="133"/>
        <v>3923</v>
      </c>
      <c r="AW382">
        <f t="shared" si="134"/>
        <v>7286</v>
      </c>
    </row>
    <row r="383" spans="1:49" x14ac:dyDescent="0.15">
      <c r="A383" s="5">
        <v>373</v>
      </c>
      <c r="B383" s="5">
        <f t="shared" si="120"/>
        <v>22560</v>
      </c>
      <c r="C383" s="5">
        <f t="shared" si="120"/>
        <v>5620</v>
      </c>
      <c r="D383" s="5">
        <f t="shared" si="120"/>
        <v>3740</v>
      </c>
      <c r="E383" s="5">
        <f t="shared" si="120"/>
        <v>1125</v>
      </c>
      <c r="F383" s="5">
        <f t="shared" si="120"/>
        <v>1500</v>
      </c>
      <c r="G383" s="5">
        <f t="shared" si="141"/>
        <v>90240</v>
      </c>
      <c r="H383" s="5">
        <f t="shared" si="141"/>
        <v>22480</v>
      </c>
      <c r="I383" s="5">
        <f t="shared" si="141"/>
        <v>14960</v>
      </c>
      <c r="J383" s="5">
        <f t="shared" si="141"/>
        <v>4500</v>
      </c>
      <c r="K383" s="5">
        <f t="shared" si="141"/>
        <v>6000</v>
      </c>
      <c r="L383" s="5">
        <f t="shared" si="142"/>
        <v>45120</v>
      </c>
      <c r="M383" s="5">
        <f t="shared" si="142"/>
        <v>11240</v>
      </c>
      <c r="N383" s="5">
        <f t="shared" si="142"/>
        <v>7480</v>
      </c>
      <c r="O383" s="5">
        <f t="shared" si="142"/>
        <v>2250</v>
      </c>
      <c r="P383" s="5">
        <f t="shared" si="142"/>
        <v>3000</v>
      </c>
      <c r="Q383" s="5">
        <f t="shared" si="135"/>
        <v>157920</v>
      </c>
      <c r="R383" s="5">
        <f t="shared" si="136"/>
        <v>39340</v>
      </c>
      <c r="S383" s="5">
        <f t="shared" si="137"/>
        <v>26180</v>
      </c>
      <c r="T383" s="5">
        <f t="shared" si="138"/>
        <v>7875</v>
      </c>
      <c r="U383" s="5">
        <f t="shared" si="139"/>
        <v>10500</v>
      </c>
      <c r="V383" s="5">
        <f>B383*战斗力计算!$B$8+C383*战斗力计算!$B$9+D383*战斗力计算!$B$10+E383*战斗力计算!$B$11+F383*战斗力计算!$B$12</f>
        <v>164880</v>
      </c>
      <c r="W383" s="5">
        <f>G383*战斗力计算!$B$8+H383*战斗力计算!$B$9+I383*战斗力计算!$B$10+J383*战斗力计算!$B$11+K383*战斗力计算!$B$12+L383*战斗力计算!$B$8+M383*战斗力计算!$B$9+N383*战斗力计算!$B$10+O383*战斗力计算!$B$11+P383*战斗力计算!$B$12</f>
        <v>989280</v>
      </c>
      <c r="X383" s="5">
        <f t="shared" si="140"/>
        <v>1154160</v>
      </c>
      <c r="AC383">
        <f t="shared" si="121"/>
        <v>4</v>
      </c>
      <c r="AD383">
        <f t="shared" si="122"/>
        <v>2</v>
      </c>
      <c r="AF383">
        <f t="shared" si="123"/>
        <v>0.75</v>
      </c>
      <c r="AH383">
        <f t="shared" si="124"/>
        <v>12</v>
      </c>
      <c r="AK383">
        <f t="shared" si="125"/>
        <v>6.0320855614973263</v>
      </c>
      <c r="AL383">
        <f t="shared" si="126"/>
        <v>1.5026737967914439</v>
      </c>
      <c r="AM383">
        <f t="shared" si="127"/>
        <v>1</v>
      </c>
      <c r="AN383">
        <f t="shared" si="128"/>
        <v>6.0320855614973263</v>
      </c>
      <c r="AO383">
        <f t="shared" si="129"/>
        <v>1.5026737967914439</v>
      </c>
      <c r="AP383">
        <f t="shared" si="130"/>
        <v>1</v>
      </c>
      <c r="AR383">
        <f t="shared" si="131"/>
        <v>4.4960000000000004</v>
      </c>
      <c r="AT383">
        <f t="shared" si="132"/>
        <v>4.4960000000000004</v>
      </c>
      <c r="AV383">
        <f t="shared" si="133"/>
        <v>3934</v>
      </c>
      <c r="AW383">
        <f t="shared" si="134"/>
        <v>7306</v>
      </c>
    </row>
    <row r="384" spans="1:49" x14ac:dyDescent="0.15">
      <c r="A384" s="5">
        <v>374</v>
      </c>
      <c r="B384" s="5">
        <f t="shared" si="120"/>
        <v>22620</v>
      </c>
      <c r="C384" s="5">
        <f t="shared" si="120"/>
        <v>5635</v>
      </c>
      <c r="D384" s="5">
        <f t="shared" si="120"/>
        <v>3750</v>
      </c>
      <c r="E384" s="5">
        <f t="shared" si="120"/>
        <v>1128</v>
      </c>
      <c r="F384" s="5">
        <f t="shared" si="120"/>
        <v>1504</v>
      </c>
      <c r="G384" s="5">
        <f t="shared" si="141"/>
        <v>90480</v>
      </c>
      <c r="H384" s="5">
        <f t="shared" si="141"/>
        <v>22540</v>
      </c>
      <c r="I384" s="5">
        <f t="shared" si="141"/>
        <v>15000</v>
      </c>
      <c r="J384" s="5">
        <f t="shared" si="141"/>
        <v>4512</v>
      </c>
      <c r="K384" s="5">
        <f t="shared" si="141"/>
        <v>6016</v>
      </c>
      <c r="L384" s="5">
        <f t="shared" si="142"/>
        <v>45240</v>
      </c>
      <c r="M384" s="5">
        <f t="shared" si="142"/>
        <v>11270</v>
      </c>
      <c r="N384" s="5">
        <f t="shared" si="142"/>
        <v>7500</v>
      </c>
      <c r="O384" s="5">
        <f t="shared" si="142"/>
        <v>2256</v>
      </c>
      <c r="P384" s="5">
        <f t="shared" si="142"/>
        <v>3008</v>
      </c>
      <c r="Q384" s="5">
        <f t="shared" si="135"/>
        <v>158340</v>
      </c>
      <c r="R384" s="5">
        <f t="shared" si="136"/>
        <v>39445</v>
      </c>
      <c r="S384" s="5">
        <f t="shared" si="137"/>
        <v>26250</v>
      </c>
      <c r="T384" s="5">
        <f t="shared" si="138"/>
        <v>7896</v>
      </c>
      <c r="U384" s="5">
        <f t="shared" si="139"/>
        <v>10528</v>
      </c>
      <c r="V384" s="5">
        <f>B384*战斗力计算!$B$8+C384*战斗力计算!$B$9+D384*战斗力计算!$B$10+E384*战斗力计算!$B$11+F384*战斗力计算!$B$12</f>
        <v>165320</v>
      </c>
      <c r="W384" s="5">
        <f>G384*战斗力计算!$B$8+H384*战斗力计算!$B$9+I384*战斗力计算!$B$10+J384*战斗力计算!$B$11+K384*战斗力计算!$B$12+L384*战斗力计算!$B$8+M384*战斗力计算!$B$9+N384*战斗力计算!$B$10+O384*战斗力计算!$B$11+P384*战斗力计算!$B$12</f>
        <v>991920</v>
      </c>
      <c r="X384" s="5">
        <f t="shared" si="140"/>
        <v>1157240</v>
      </c>
      <c r="AC384">
        <f t="shared" si="121"/>
        <v>4</v>
      </c>
      <c r="AD384">
        <f t="shared" si="122"/>
        <v>2</v>
      </c>
      <c r="AF384">
        <f t="shared" si="123"/>
        <v>0.75</v>
      </c>
      <c r="AH384">
        <f t="shared" si="124"/>
        <v>12</v>
      </c>
      <c r="AK384">
        <f t="shared" si="125"/>
        <v>6.032</v>
      </c>
      <c r="AL384">
        <f t="shared" si="126"/>
        <v>1.5026666666666666</v>
      </c>
      <c r="AM384">
        <f t="shared" si="127"/>
        <v>1</v>
      </c>
      <c r="AN384">
        <f t="shared" si="128"/>
        <v>6.032</v>
      </c>
      <c r="AO384">
        <f t="shared" si="129"/>
        <v>1.5026666666666666</v>
      </c>
      <c r="AP384">
        <f t="shared" si="130"/>
        <v>1</v>
      </c>
      <c r="AR384">
        <f t="shared" si="131"/>
        <v>4.4960106382978724</v>
      </c>
      <c r="AT384">
        <f t="shared" si="132"/>
        <v>4.4960106382978724</v>
      </c>
      <c r="AV384">
        <f t="shared" si="133"/>
        <v>3944</v>
      </c>
      <c r="AW384">
        <f t="shared" si="134"/>
        <v>7325</v>
      </c>
    </row>
    <row r="385" spans="1:49" x14ac:dyDescent="0.15">
      <c r="A385" s="5">
        <v>375</v>
      </c>
      <c r="B385" s="5">
        <f t="shared" si="120"/>
        <v>22680</v>
      </c>
      <c r="C385" s="5">
        <f t="shared" si="120"/>
        <v>5650</v>
      </c>
      <c r="D385" s="5">
        <f t="shared" si="120"/>
        <v>3760</v>
      </c>
      <c r="E385" s="5">
        <f t="shared" si="120"/>
        <v>1131</v>
      </c>
      <c r="F385" s="5">
        <f t="shared" si="120"/>
        <v>1508</v>
      </c>
      <c r="G385" s="5">
        <f t="shared" si="141"/>
        <v>90720</v>
      </c>
      <c r="H385" s="5">
        <f t="shared" si="141"/>
        <v>22600</v>
      </c>
      <c r="I385" s="5">
        <f t="shared" si="141"/>
        <v>15040</v>
      </c>
      <c r="J385" s="5">
        <f t="shared" si="141"/>
        <v>4524</v>
      </c>
      <c r="K385" s="5">
        <f t="shared" si="141"/>
        <v>6032</v>
      </c>
      <c r="L385" s="5">
        <f t="shared" si="142"/>
        <v>45360</v>
      </c>
      <c r="M385" s="5">
        <f t="shared" si="142"/>
        <v>11300</v>
      </c>
      <c r="N385" s="5">
        <f t="shared" si="142"/>
        <v>7520</v>
      </c>
      <c r="O385" s="5">
        <f t="shared" si="142"/>
        <v>2262</v>
      </c>
      <c r="P385" s="5">
        <f t="shared" si="142"/>
        <v>3016</v>
      </c>
      <c r="Q385" s="5">
        <f t="shared" si="135"/>
        <v>158760</v>
      </c>
      <c r="R385" s="5">
        <f t="shared" si="136"/>
        <v>39550</v>
      </c>
      <c r="S385" s="5">
        <f t="shared" si="137"/>
        <v>26320</v>
      </c>
      <c r="T385" s="5">
        <f t="shared" si="138"/>
        <v>7917</v>
      </c>
      <c r="U385" s="5">
        <f t="shared" si="139"/>
        <v>10556</v>
      </c>
      <c r="V385" s="5">
        <f>B385*战斗力计算!$B$8+C385*战斗力计算!$B$9+D385*战斗力计算!$B$10+E385*战斗力计算!$B$11+F385*战斗力计算!$B$12</f>
        <v>165760</v>
      </c>
      <c r="W385" s="5">
        <f>G385*战斗力计算!$B$8+H385*战斗力计算!$B$9+I385*战斗力计算!$B$10+J385*战斗力计算!$B$11+K385*战斗力计算!$B$12+L385*战斗力计算!$B$8+M385*战斗力计算!$B$9+N385*战斗力计算!$B$10+O385*战斗力计算!$B$11+P385*战斗力计算!$B$12</f>
        <v>994560</v>
      </c>
      <c r="X385" s="5">
        <f t="shared" si="140"/>
        <v>1160320</v>
      </c>
      <c r="AC385">
        <f t="shared" si="121"/>
        <v>4</v>
      </c>
      <c r="AD385">
        <f t="shared" si="122"/>
        <v>2</v>
      </c>
      <c r="AF385">
        <f t="shared" si="123"/>
        <v>0.75</v>
      </c>
      <c r="AH385">
        <f t="shared" si="124"/>
        <v>12</v>
      </c>
      <c r="AK385">
        <f t="shared" si="125"/>
        <v>6.0319148936170217</v>
      </c>
      <c r="AL385">
        <f t="shared" si="126"/>
        <v>1.5026595744680851</v>
      </c>
      <c r="AM385">
        <f t="shared" si="127"/>
        <v>1</v>
      </c>
      <c r="AN385">
        <f t="shared" si="128"/>
        <v>6.0319148936170217</v>
      </c>
      <c r="AO385">
        <f t="shared" si="129"/>
        <v>1.5026595744680851</v>
      </c>
      <c r="AP385">
        <f t="shared" si="130"/>
        <v>1</v>
      </c>
      <c r="AR385">
        <f t="shared" si="131"/>
        <v>4.4960212201591512</v>
      </c>
      <c r="AT385">
        <f t="shared" si="132"/>
        <v>4.4960212201591512</v>
      </c>
      <c r="AV385">
        <f t="shared" si="133"/>
        <v>3955</v>
      </c>
      <c r="AW385">
        <f t="shared" si="134"/>
        <v>7345</v>
      </c>
    </row>
    <row r="386" spans="1:49" x14ac:dyDescent="0.15">
      <c r="A386" s="5">
        <v>376</v>
      </c>
      <c r="B386" s="5">
        <f t="shared" si="120"/>
        <v>22740</v>
      </c>
      <c r="C386" s="5">
        <f t="shared" si="120"/>
        <v>5665</v>
      </c>
      <c r="D386" s="5">
        <f t="shared" si="120"/>
        <v>3770</v>
      </c>
      <c r="E386" s="5">
        <f t="shared" si="120"/>
        <v>1134</v>
      </c>
      <c r="F386" s="5">
        <f t="shared" si="120"/>
        <v>1512</v>
      </c>
      <c r="G386" s="5">
        <f t="shared" si="141"/>
        <v>90960</v>
      </c>
      <c r="H386" s="5">
        <f t="shared" si="141"/>
        <v>22660</v>
      </c>
      <c r="I386" s="5">
        <f t="shared" si="141"/>
        <v>15080</v>
      </c>
      <c r="J386" s="5">
        <f t="shared" si="141"/>
        <v>4536</v>
      </c>
      <c r="K386" s="5">
        <f t="shared" si="141"/>
        <v>6048</v>
      </c>
      <c r="L386" s="5">
        <f t="shared" si="142"/>
        <v>45480</v>
      </c>
      <c r="M386" s="5">
        <f t="shared" si="142"/>
        <v>11330</v>
      </c>
      <c r="N386" s="5">
        <f t="shared" si="142"/>
        <v>7540</v>
      </c>
      <c r="O386" s="5">
        <f t="shared" si="142"/>
        <v>2268</v>
      </c>
      <c r="P386" s="5">
        <f t="shared" si="142"/>
        <v>3024</v>
      </c>
      <c r="Q386" s="5">
        <f t="shared" si="135"/>
        <v>159180</v>
      </c>
      <c r="R386" s="5">
        <f t="shared" si="136"/>
        <v>39655</v>
      </c>
      <c r="S386" s="5">
        <f t="shared" si="137"/>
        <v>26390</v>
      </c>
      <c r="T386" s="5">
        <f t="shared" si="138"/>
        <v>7938</v>
      </c>
      <c r="U386" s="5">
        <f t="shared" si="139"/>
        <v>10584</v>
      </c>
      <c r="V386" s="5">
        <f>B386*战斗力计算!$B$8+C386*战斗力计算!$B$9+D386*战斗力计算!$B$10+E386*战斗力计算!$B$11+F386*战斗力计算!$B$12</f>
        <v>166200</v>
      </c>
      <c r="W386" s="5">
        <f>G386*战斗力计算!$B$8+H386*战斗力计算!$B$9+I386*战斗力计算!$B$10+J386*战斗力计算!$B$11+K386*战斗力计算!$B$12+L386*战斗力计算!$B$8+M386*战斗力计算!$B$9+N386*战斗力计算!$B$10+O386*战斗力计算!$B$11+P386*战斗力计算!$B$12</f>
        <v>997200</v>
      </c>
      <c r="X386" s="5">
        <f t="shared" si="140"/>
        <v>1163400</v>
      </c>
      <c r="AC386">
        <f t="shared" si="121"/>
        <v>4</v>
      </c>
      <c r="AD386">
        <f t="shared" si="122"/>
        <v>2</v>
      </c>
      <c r="AF386">
        <f t="shared" si="123"/>
        <v>0.75</v>
      </c>
      <c r="AH386">
        <f t="shared" si="124"/>
        <v>12</v>
      </c>
      <c r="AK386">
        <f t="shared" si="125"/>
        <v>6.0318302387267906</v>
      </c>
      <c r="AL386">
        <f t="shared" si="126"/>
        <v>1.5026525198938991</v>
      </c>
      <c r="AM386">
        <f t="shared" si="127"/>
        <v>1</v>
      </c>
      <c r="AN386">
        <f t="shared" si="128"/>
        <v>6.0318302387267906</v>
      </c>
      <c r="AO386">
        <f t="shared" si="129"/>
        <v>1.5026525198938991</v>
      </c>
      <c r="AP386">
        <f t="shared" si="130"/>
        <v>1</v>
      </c>
      <c r="AR386">
        <f t="shared" si="131"/>
        <v>4.496031746031746</v>
      </c>
      <c r="AT386">
        <f t="shared" si="132"/>
        <v>4.496031746031746</v>
      </c>
      <c r="AV386">
        <f t="shared" si="133"/>
        <v>3965</v>
      </c>
      <c r="AW386">
        <f t="shared" si="134"/>
        <v>7364</v>
      </c>
    </row>
    <row r="387" spans="1:49" x14ac:dyDescent="0.15">
      <c r="A387" s="5">
        <v>377</v>
      </c>
      <c r="B387" s="5">
        <f t="shared" si="120"/>
        <v>22800</v>
      </c>
      <c r="C387" s="5">
        <f t="shared" si="120"/>
        <v>5680</v>
      </c>
      <c r="D387" s="5">
        <f t="shared" si="120"/>
        <v>3780</v>
      </c>
      <c r="E387" s="5">
        <f t="shared" si="120"/>
        <v>1137</v>
      </c>
      <c r="F387" s="5">
        <f t="shared" si="120"/>
        <v>1516</v>
      </c>
      <c r="G387" s="5">
        <f t="shared" si="141"/>
        <v>91200</v>
      </c>
      <c r="H387" s="5">
        <f t="shared" si="141"/>
        <v>22720</v>
      </c>
      <c r="I387" s="5">
        <f t="shared" si="141"/>
        <v>15120</v>
      </c>
      <c r="J387" s="5">
        <f t="shared" si="141"/>
        <v>4548</v>
      </c>
      <c r="K387" s="5">
        <f t="shared" si="141"/>
        <v>6064</v>
      </c>
      <c r="L387" s="5">
        <f t="shared" si="142"/>
        <v>45600</v>
      </c>
      <c r="M387" s="5">
        <f t="shared" si="142"/>
        <v>11360</v>
      </c>
      <c r="N387" s="5">
        <f t="shared" si="142"/>
        <v>7560</v>
      </c>
      <c r="O387" s="5">
        <f t="shared" si="142"/>
        <v>2274</v>
      </c>
      <c r="P387" s="5">
        <f t="shared" si="142"/>
        <v>3032</v>
      </c>
      <c r="Q387" s="5">
        <f t="shared" si="135"/>
        <v>159600</v>
      </c>
      <c r="R387" s="5">
        <f t="shared" si="136"/>
        <v>39760</v>
      </c>
      <c r="S387" s="5">
        <f t="shared" si="137"/>
        <v>26460</v>
      </c>
      <c r="T387" s="5">
        <f t="shared" si="138"/>
        <v>7959</v>
      </c>
      <c r="U387" s="5">
        <f t="shared" si="139"/>
        <v>10612</v>
      </c>
      <c r="V387" s="5">
        <f>B387*战斗力计算!$B$8+C387*战斗力计算!$B$9+D387*战斗力计算!$B$10+E387*战斗力计算!$B$11+F387*战斗力计算!$B$12</f>
        <v>166640</v>
      </c>
      <c r="W387" s="5">
        <f>G387*战斗力计算!$B$8+H387*战斗力计算!$B$9+I387*战斗力计算!$B$10+J387*战斗力计算!$B$11+K387*战斗力计算!$B$12+L387*战斗力计算!$B$8+M387*战斗力计算!$B$9+N387*战斗力计算!$B$10+O387*战斗力计算!$B$11+P387*战斗力计算!$B$12</f>
        <v>999840</v>
      </c>
      <c r="X387" s="5">
        <f t="shared" si="140"/>
        <v>1166480</v>
      </c>
      <c r="AC387">
        <f t="shared" si="121"/>
        <v>4</v>
      </c>
      <c r="AD387">
        <f t="shared" si="122"/>
        <v>2</v>
      </c>
      <c r="AF387">
        <f t="shared" si="123"/>
        <v>0.75</v>
      </c>
      <c r="AH387">
        <f t="shared" si="124"/>
        <v>12</v>
      </c>
      <c r="AK387">
        <f t="shared" si="125"/>
        <v>6.0317460317460316</v>
      </c>
      <c r="AL387">
        <f t="shared" si="126"/>
        <v>1.5026455026455026</v>
      </c>
      <c r="AM387">
        <f t="shared" si="127"/>
        <v>1</v>
      </c>
      <c r="AN387">
        <f t="shared" si="128"/>
        <v>6.0317460317460316</v>
      </c>
      <c r="AO387">
        <f t="shared" si="129"/>
        <v>1.5026455026455026</v>
      </c>
      <c r="AP387">
        <f t="shared" si="130"/>
        <v>1</v>
      </c>
      <c r="AR387">
        <f t="shared" si="131"/>
        <v>4.4960422163588394</v>
      </c>
      <c r="AT387">
        <f t="shared" si="132"/>
        <v>4.4960422163588394</v>
      </c>
      <c r="AV387">
        <f t="shared" si="133"/>
        <v>3976</v>
      </c>
      <c r="AW387">
        <f t="shared" si="134"/>
        <v>7384</v>
      </c>
    </row>
    <row r="388" spans="1:49" x14ac:dyDescent="0.15">
      <c r="A388" s="5">
        <v>378</v>
      </c>
      <c r="B388" s="5">
        <f t="shared" si="120"/>
        <v>22860</v>
      </c>
      <c r="C388" s="5">
        <f t="shared" si="120"/>
        <v>5695</v>
      </c>
      <c r="D388" s="5">
        <f t="shared" si="120"/>
        <v>3790</v>
      </c>
      <c r="E388" s="5">
        <f t="shared" si="120"/>
        <v>1140</v>
      </c>
      <c r="F388" s="5">
        <f t="shared" si="120"/>
        <v>1520</v>
      </c>
      <c r="G388" s="5">
        <f t="shared" si="141"/>
        <v>91440</v>
      </c>
      <c r="H388" s="5">
        <f t="shared" si="141"/>
        <v>22780</v>
      </c>
      <c r="I388" s="5">
        <f t="shared" si="141"/>
        <v>15160</v>
      </c>
      <c r="J388" s="5">
        <f t="shared" si="141"/>
        <v>4560</v>
      </c>
      <c r="K388" s="5">
        <f t="shared" si="141"/>
        <v>6080</v>
      </c>
      <c r="L388" s="5">
        <f t="shared" si="142"/>
        <v>45720</v>
      </c>
      <c r="M388" s="5">
        <f t="shared" si="142"/>
        <v>11390</v>
      </c>
      <c r="N388" s="5">
        <f t="shared" si="142"/>
        <v>7580</v>
      </c>
      <c r="O388" s="5">
        <f t="shared" si="142"/>
        <v>2280</v>
      </c>
      <c r="P388" s="5">
        <f t="shared" si="142"/>
        <v>3040</v>
      </c>
      <c r="Q388" s="5">
        <f t="shared" si="135"/>
        <v>160020</v>
      </c>
      <c r="R388" s="5">
        <f t="shared" si="136"/>
        <v>39865</v>
      </c>
      <c r="S388" s="5">
        <f t="shared" si="137"/>
        <v>26530</v>
      </c>
      <c r="T388" s="5">
        <f t="shared" si="138"/>
        <v>7980</v>
      </c>
      <c r="U388" s="5">
        <f t="shared" si="139"/>
        <v>10640</v>
      </c>
      <c r="V388" s="5">
        <f>B388*战斗力计算!$B$8+C388*战斗力计算!$B$9+D388*战斗力计算!$B$10+E388*战斗力计算!$B$11+F388*战斗力计算!$B$12</f>
        <v>167080</v>
      </c>
      <c r="W388" s="5">
        <f>G388*战斗力计算!$B$8+H388*战斗力计算!$B$9+I388*战斗力计算!$B$10+J388*战斗力计算!$B$11+K388*战斗力计算!$B$12+L388*战斗力计算!$B$8+M388*战斗力计算!$B$9+N388*战斗力计算!$B$10+O388*战斗力计算!$B$11+P388*战斗力计算!$B$12</f>
        <v>1002480</v>
      </c>
      <c r="X388" s="5">
        <f t="shared" si="140"/>
        <v>1169560</v>
      </c>
      <c r="AC388">
        <f t="shared" si="121"/>
        <v>4</v>
      </c>
      <c r="AD388">
        <f t="shared" si="122"/>
        <v>2</v>
      </c>
      <c r="AF388">
        <f t="shared" si="123"/>
        <v>0.75</v>
      </c>
      <c r="AH388">
        <f t="shared" si="124"/>
        <v>12</v>
      </c>
      <c r="AK388">
        <f t="shared" si="125"/>
        <v>6.0316622691292876</v>
      </c>
      <c r="AL388">
        <f t="shared" si="126"/>
        <v>1.5026385224274406</v>
      </c>
      <c r="AM388">
        <f t="shared" si="127"/>
        <v>1</v>
      </c>
      <c r="AN388">
        <f t="shared" si="128"/>
        <v>6.0316622691292876</v>
      </c>
      <c r="AO388">
        <f t="shared" si="129"/>
        <v>1.5026385224274406</v>
      </c>
      <c r="AP388">
        <f t="shared" si="130"/>
        <v>1</v>
      </c>
      <c r="AR388">
        <f t="shared" si="131"/>
        <v>4.4960526315789471</v>
      </c>
      <c r="AT388">
        <f t="shared" si="132"/>
        <v>4.4960526315789471</v>
      </c>
      <c r="AV388">
        <f t="shared" si="133"/>
        <v>3986</v>
      </c>
      <c r="AW388">
        <f t="shared" si="134"/>
        <v>7403</v>
      </c>
    </row>
    <row r="389" spans="1:49" x14ac:dyDescent="0.15">
      <c r="A389" s="5">
        <v>379</v>
      </c>
      <c r="B389" s="5">
        <f t="shared" si="120"/>
        <v>22920</v>
      </c>
      <c r="C389" s="5">
        <f t="shared" si="120"/>
        <v>5710</v>
      </c>
      <c r="D389" s="5">
        <f t="shared" si="120"/>
        <v>3800</v>
      </c>
      <c r="E389" s="5">
        <f t="shared" si="120"/>
        <v>1143</v>
      </c>
      <c r="F389" s="5">
        <f t="shared" si="120"/>
        <v>1524</v>
      </c>
      <c r="G389" s="5">
        <f t="shared" si="141"/>
        <v>91680</v>
      </c>
      <c r="H389" s="5">
        <f t="shared" si="141"/>
        <v>22840</v>
      </c>
      <c r="I389" s="5">
        <f t="shared" si="141"/>
        <v>15200</v>
      </c>
      <c r="J389" s="5">
        <f t="shared" si="141"/>
        <v>4572</v>
      </c>
      <c r="K389" s="5">
        <f t="shared" si="141"/>
        <v>6096</v>
      </c>
      <c r="L389" s="5">
        <f t="shared" si="142"/>
        <v>45840</v>
      </c>
      <c r="M389" s="5">
        <f t="shared" si="142"/>
        <v>11420</v>
      </c>
      <c r="N389" s="5">
        <f t="shared" si="142"/>
        <v>7600</v>
      </c>
      <c r="O389" s="5">
        <f t="shared" si="142"/>
        <v>2286</v>
      </c>
      <c r="P389" s="5">
        <f t="shared" si="142"/>
        <v>3048</v>
      </c>
      <c r="Q389" s="5">
        <f t="shared" si="135"/>
        <v>160440</v>
      </c>
      <c r="R389" s="5">
        <f t="shared" si="136"/>
        <v>39970</v>
      </c>
      <c r="S389" s="5">
        <f t="shared" si="137"/>
        <v>26600</v>
      </c>
      <c r="T389" s="5">
        <f t="shared" si="138"/>
        <v>8001</v>
      </c>
      <c r="U389" s="5">
        <f t="shared" si="139"/>
        <v>10668</v>
      </c>
      <c r="V389" s="5">
        <f>B389*战斗力计算!$B$8+C389*战斗力计算!$B$9+D389*战斗力计算!$B$10+E389*战斗力计算!$B$11+F389*战斗力计算!$B$12</f>
        <v>167520</v>
      </c>
      <c r="W389" s="5">
        <f>G389*战斗力计算!$B$8+H389*战斗力计算!$B$9+I389*战斗力计算!$B$10+J389*战斗力计算!$B$11+K389*战斗力计算!$B$12+L389*战斗力计算!$B$8+M389*战斗力计算!$B$9+N389*战斗力计算!$B$10+O389*战斗力计算!$B$11+P389*战斗力计算!$B$12</f>
        <v>1005120</v>
      </c>
      <c r="X389" s="5">
        <f t="shared" si="140"/>
        <v>1172640</v>
      </c>
      <c r="AC389">
        <f t="shared" si="121"/>
        <v>4</v>
      </c>
      <c r="AD389">
        <f t="shared" si="122"/>
        <v>2</v>
      </c>
      <c r="AF389">
        <f t="shared" si="123"/>
        <v>0.75</v>
      </c>
      <c r="AH389">
        <f t="shared" si="124"/>
        <v>12</v>
      </c>
      <c r="AK389">
        <f t="shared" si="125"/>
        <v>6.0315789473684207</v>
      </c>
      <c r="AL389">
        <f t="shared" si="126"/>
        <v>1.5026315789473683</v>
      </c>
      <c r="AM389">
        <f t="shared" si="127"/>
        <v>1</v>
      </c>
      <c r="AN389">
        <f t="shared" si="128"/>
        <v>6.0315789473684207</v>
      </c>
      <c r="AO389">
        <f t="shared" si="129"/>
        <v>1.5026315789473683</v>
      </c>
      <c r="AP389">
        <f t="shared" si="130"/>
        <v>1</v>
      </c>
      <c r="AR389">
        <f t="shared" si="131"/>
        <v>4.4960629921259843</v>
      </c>
      <c r="AT389">
        <f t="shared" si="132"/>
        <v>4.4960629921259843</v>
      </c>
      <c r="AV389">
        <f t="shared" si="133"/>
        <v>3997</v>
      </c>
      <c r="AW389">
        <f t="shared" si="134"/>
        <v>7423</v>
      </c>
    </row>
    <row r="390" spans="1:49" x14ac:dyDescent="0.15">
      <c r="A390" s="5">
        <v>380</v>
      </c>
      <c r="B390" s="5">
        <f t="shared" si="120"/>
        <v>22980</v>
      </c>
      <c r="C390" s="5">
        <f t="shared" si="120"/>
        <v>5725</v>
      </c>
      <c r="D390" s="5">
        <f t="shared" si="120"/>
        <v>3810</v>
      </c>
      <c r="E390" s="5">
        <f t="shared" si="120"/>
        <v>1146</v>
      </c>
      <c r="F390" s="5">
        <f t="shared" si="120"/>
        <v>1528</v>
      </c>
      <c r="G390" s="5">
        <f t="shared" si="141"/>
        <v>91920</v>
      </c>
      <c r="H390" s="5">
        <f t="shared" si="141"/>
        <v>22900</v>
      </c>
      <c r="I390" s="5">
        <f t="shared" si="141"/>
        <v>15240</v>
      </c>
      <c r="J390" s="5">
        <f t="shared" si="141"/>
        <v>4584</v>
      </c>
      <c r="K390" s="5">
        <f t="shared" si="141"/>
        <v>6112</v>
      </c>
      <c r="L390" s="5">
        <f t="shared" si="142"/>
        <v>45960</v>
      </c>
      <c r="M390" s="5">
        <f t="shared" si="142"/>
        <v>11450</v>
      </c>
      <c r="N390" s="5">
        <f t="shared" si="142"/>
        <v>7620</v>
      </c>
      <c r="O390" s="5">
        <f t="shared" si="142"/>
        <v>2292</v>
      </c>
      <c r="P390" s="5">
        <f t="shared" si="142"/>
        <v>3056</v>
      </c>
      <c r="Q390" s="5">
        <f t="shared" si="135"/>
        <v>160860</v>
      </c>
      <c r="R390" s="5">
        <f t="shared" si="136"/>
        <v>40075</v>
      </c>
      <c r="S390" s="5">
        <f t="shared" si="137"/>
        <v>26670</v>
      </c>
      <c r="T390" s="5">
        <f t="shared" si="138"/>
        <v>8022</v>
      </c>
      <c r="U390" s="5">
        <f t="shared" si="139"/>
        <v>10696</v>
      </c>
      <c r="V390" s="5">
        <f>B390*战斗力计算!$B$8+C390*战斗力计算!$B$9+D390*战斗力计算!$B$10+E390*战斗力计算!$B$11+F390*战斗力计算!$B$12</f>
        <v>167960</v>
      </c>
      <c r="W390" s="5">
        <f>G390*战斗力计算!$B$8+H390*战斗力计算!$B$9+I390*战斗力计算!$B$10+J390*战斗力计算!$B$11+K390*战斗力计算!$B$12+L390*战斗力计算!$B$8+M390*战斗力计算!$B$9+N390*战斗力计算!$B$10+O390*战斗力计算!$B$11+P390*战斗力计算!$B$12</f>
        <v>1007760</v>
      </c>
      <c r="X390" s="5">
        <f t="shared" si="140"/>
        <v>1175720</v>
      </c>
      <c r="AC390">
        <f t="shared" si="121"/>
        <v>4</v>
      </c>
      <c r="AD390">
        <f t="shared" si="122"/>
        <v>2</v>
      </c>
      <c r="AF390">
        <f t="shared" si="123"/>
        <v>0.75</v>
      </c>
      <c r="AH390">
        <f t="shared" si="124"/>
        <v>12</v>
      </c>
      <c r="AK390">
        <f t="shared" si="125"/>
        <v>6.0314960629921259</v>
      </c>
      <c r="AL390">
        <f t="shared" si="126"/>
        <v>1.5026246719160106</v>
      </c>
      <c r="AM390">
        <f t="shared" si="127"/>
        <v>1</v>
      </c>
      <c r="AN390">
        <f t="shared" si="128"/>
        <v>6.0314960629921259</v>
      </c>
      <c r="AO390">
        <f t="shared" si="129"/>
        <v>1.5026246719160106</v>
      </c>
      <c r="AP390">
        <f t="shared" si="130"/>
        <v>1</v>
      </c>
      <c r="AR390">
        <f t="shared" si="131"/>
        <v>4.4960732984293195</v>
      </c>
      <c r="AT390">
        <f t="shared" si="132"/>
        <v>4.4960732984293195</v>
      </c>
      <c r="AV390">
        <f t="shared" si="133"/>
        <v>4007</v>
      </c>
      <c r="AW390">
        <f t="shared" si="134"/>
        <v>7442</v>
      </c>
    </row>
    <row r="391" spans="1:49" x14ac:dyDescent="0.15">
      <c r="A391" s="5">
        <v>381</v>
      </c>
      <c r="B391" s="5">
        <f t="shared" si="120"/>
        <v>23040</v>
      </c>
      <c r="C391" s="5">
        <f t="shared" si="120"/>
        <v>5740</v>
      </c>
      <c r="D391" s="5">
        <f t="shared" si="120"/>
        <v>3820</v>
      </c>
      <c r="E391" s="5">
        <f t="shared" si="120"/>
        <v>1149</v>
      </c>
      <c r="F391" s="5">
        <f t="shared" si="120"/>
        <v>1532</v>
      </c>
      <c r="G391" s="5">
        <f t="shared" si="141"/>
        <v>92160</v>
      </c>
      <c r="H391" s="5">
        <f t="shared" si="141"/>
        <v>22960</v>
      </c>
      <c r="I391" s="5">
        <f t="shared" si="141"/>
        <v>15280</v>
      </c>
      <c r="J391" s="5">
        <f t="shared" si="141"/>
        <v>4596</v>
      </c>
      <c r="K391" s="5">
        <f t="shared" si="141"/>
        <v>6128</v>
      </c>
      <c r="L391" s="5">
        <f t="shared" si="142"/>
        <v>46080</v>
      </c>
      <c r="M391" s="5">
        <f t="shared" si="142"/>
        <v>11480</v>
      </c>
      <c r="N391" s="5">
        <f t="shared" si="142"/>
        <v>7640</v>
      </c>
      <c r="O391" s="5">
        <f t="shared" si="142"/>
        <v>2298</v>
      </c>
      <c r="P391" s="5">
        <f t="shared" si="142"/>
        <v>3064</v>
      </c>
      <c r="Q391" s="5">
        <f t="shared" si="135"/>
        <v>161280</v>
      </c>
      <c r="R391" s="5">
        <f t="shared" si="136"/>
        <v>40180</v>
      </c>
      <c r="S391" s="5">
        <f t="shared" si="137"/>
        <v>26740</v>
      </c>
      <c r="T391" s="5">
        <f t="shared" si="138"/>
        <v>8043</v>
      </c>
      <c r="U391" s="5">
        <f t="shared" si="139"/>
        <v>10724</v>
      </c>
      <c r="V391" s="5">
        <f>B391*战斗力计算!$B$8+C391*战斗力计算!$B$9+D391*战斗力计算!$B$10+E391*战斗力计算!$B$11+F391*战斗力计算!$B$12</f>
        <v>168400</v>
      </c>
      <c r="W391" s="5">
        <f>G391*战斗力计算!$B$8+H391*战斗力计算!$B$9+I391*战斗力计算!$B$10+J391*战斗力计算!$B$11+K391*战斗力计算!$B$12+L391*战斗力计算!$B$8+M391*战斗力计算!$B$9+N391*战斗力计算!$B$10+O391*战斗力计算!$B$11+P391*战斗力计算!$B$12</f>
        <v>1010400</v>
      </c>
      <c r="X391" s="5">
        <f t="shared" si="140"/>
        <v>1178800</v>
      </c>
      <c r="AC391">
        <f t="shared" si="121"/>
        <v>4</v>
      </c>
      <c r="AD391">
        <f t="shared" si="122"/>
        <v>2</v>
      </c>
      <c r="AF391">
        <f t="shared" si="123"/>
        <v>0.75</v>
      </c>
      <c r="AH391">
        <f t="shared" si="124"/>
        <v>12</v>
      </c>
      <c r="AK391">
        <f t="shared" si="125"/>
        <v>6.0314136125654452</v>
      </c>
      <c r="AL391">
        <f t="shared" si="126"/>
        <v>1.5026178010471205</v>
      </c>
      <c r="AM391">
        <f t="shared" si="127"/>
        <v>1</v>
      </c>
      <c r="AN391">
        <f t="shared" si="128"/>
        <v>6.0314136125654452</v>
      </c>
      <c r="AO391">
        <f t="shared" si="129"/>
        <v>1.5026178010471205</v>
      </c>
      <c r="AP391">
        <f t="shared" si="130"/>
        <v>1</v>
      </c>
      <c r="AR391">
        <f t="shared" si="131"/>
        <v>4.4960835509138377</v>
      </c>
      <c r="AT391">
        <f t="shared" si="132"/>
        <v>4.4960835509138377</v>
      </c>
      <c r="AV391">
        <f t="shared" si="133"/>
        <v>4018</v>
      </c>
      <c r="AW391">
        <f t="shared" si="134"/>
        <v>7462</v>
      </c>
    </row>
    <row r="392" spans="1:49" x14ac:dyDescent="0.15">
      <c r="A392" s="5">
        <v>382</v>
      </c>
      <c r="B392" s="5">
        <f t="shared" si="120"/>
        <v>23100</v>
      </c>
      <c r="C392" s="5">
        <f t="shared" si="120"/>
        <v>5755</v>
      </c>
      <c r="D392" s="5">
        <f t="shared" si="120"/>
        <v>3830</v>
      </c>
      <c r="E392" s="5">
        <f t="shared" si="120"/>
        <v>1152</v>
      </c>
      <c r="F392" s="5">
        <f t="shared" si="120"/>
        <v>1536</v>
      </c>
      <c r="G392" s="5">
        <f t="shared" si="141"/>
        <v>92400</v>
      </c>
      <c r="H392" s="5">
        <f t="shared" si="141"/>
        <v>23020</v>
      </c>
      <c r="I392" s="5">
        <f t="shared" si="141"/>
        <v>15320</v>
      </c>
      <c r="J392" s="5">
        <f t="shared" si="141"/>
        <v>4608</v>
      </c>
      <c r="K392" s="5">
        <f t="shared" si="141"/>
        <v>6144</v>
      </c>
      <c r="L392" s="5">
        <f t="shared" si="142"/>
        <v>46200</v>
      </c>
      <c r="M392" s="5">
        <f t="shared" si="142"/>
        <v>11510</v>
      </c>
      <c r="N392" s="5">
        <f t="shared" si="142"/>
        <v>7660</v>
      </c>
      <c r="O392" s="5">
        <f t="shared" si="142"/>
        <v>2304</v>
      </c>
      <c r="P392" s="5">
        <f t="shared" si="142"/>
        <v>3072</v>
      </c>
      <c r="Q392" s="5">
        <f t="shared" si="135"/>
        <v>161700</v>
      </c>
      <c r="R392" s="5">
        <f t="shared" si="136"/>
        <v>40285</v>
      </c>
      <c r="S392" s="5">
        <f t="shared" si="137"/>
        <v>26810</v>
      </c>
      <c r="T392" s="5">
        <f t="shared" si="138"/>
        <v>8064</v>
      </c>
      <c r="U392" s="5">
        <f t="shared" si="139"/>
        <v>10752</v>
      </c>
      <c r="V392" s="5">
        <f>B392*战斗力计算!$B$8+C392*战斗力计算!$B$9+D392*战斗力计算!$B$10+E392*战斗力计算!$B$11+F392*战斗力计算!$B$12</f>
        <v>168840</v>
      </c>
      <c r="W392" s="5">
        <f>G392*战斗力计算!$B$8+H392*战斗力计算!$B$9+I392*战斗力计算!$B$10+J392*战斗力计算!$B$11+K392*战斗力计算!$B$12+L392*战斗力计算!$B$8+M392*战斗力计算!$B$9+N392*战斗力计算!$B$10+O392*战斗力计算!$B$11+P392*战斗力计算!$B$12</f>
        <v>1013040</v>
      </c>
      <c r="X392" s="5">
        <f t="shared" si="140"/>
        <v>1181880</v>
      </c>
      <c r="AC392">
        <f t="shared" si="121"/>
        <v>4</v>
      </c>
      <c r="AD392">
        <f t="shared" si="122"/>
        <v>2</v>
      </c>
      <c r="AF392">
        <f t="shared" si="123"/>
        <v>0.75</v>
      </c>
      <c r="AH392">
        <f t="shared" si="124"/>
        <v>12</v>
      </c>
      <c r="AK392">
        <f t="shared" si="125"/>
        <v>6.0313315926892948</v>
      </c>
      <c r="AL392">
        <f t="shared" si="126"/>
        <v>1.5026109660574412</v>
      </c>
      <c r="AM392">
        <f t="shared" si="127"/>
        <v>1</v>
      </c>
      <c r="AN392">
        <f t="shared" si="128"/>
        <v>6.0313315926892948</v>
      </c>
      <c r="AO392">
        <f t="shared" si="129"/>
        <v>1.5026109660574412</v>
      </c>
      <c r="AP392">
        <f t="shared" si="130"/>
        <v>1</v>
      </c>
      <c r="AR392">
        <f t="shared" si="131"/>
        <v>4.49609375</v>
      </c>
      <c r="AT392">
        <f t="shared" si="132"/>
        <v>4.49609375</v>
      </c>
      <c r="AV392">
        <f t="shared" si="133"/>
        <v>4028</v>
      </c>
      <c r="AW392">
        <f t="shared" si="134"/>
        <v>7481</v>
      </c>
    </row>
    <row r="393" spans="1:49" x14ac:dyDescent="0.15">
      <c r="A393" s="5">
        <v>383</v>
      </c>
      <c r="B393" s="5">
        <f t="shared" si="120"/>
        <v>23160</v>
      </c>
      <c r="C393" s="5">
        <f t="shared" si="120"/>
        <v>5770</v>
      </c>
      <c r="D393" s="5">
        <f t="shared" si="120"/>
        <v>3840</v>
      </c>
      <c r="E393" s="5">
        <f t="shared" si="120"/>
        <v>1155</v>
      </c>
      <c r="F393" s="5">
        <f t="shared" si="120"/>
        <v>1540</v>
      </c>
      <c r="G393" s="5">
        <f t="shared" si="141"/>
        <v>92640</v>
      </c>
      <c r="H393" s="5">
        <f t="shared" si="141"/>
        <v>23080</v>
      </c>
      <c r="I393" s="5">
        <f t="shared" si="141"/>
        <v>15360</v>
      </c>
      <c r="J393" s="5">
        <f t="shared" si="141"/>
        <v>4620</v>
      </c>
      <c r="K393" s="5">
        <f t="shared" si="141"/>
        <v>6160</v>
      </c>
      <c r="L393" s="5">
        <f t="shared" si="142"/>
        <v>46320</v>
      </c>
      <c r="M393" s="5">
        <f t="shared" si="142"/>
        <v>11540</v>
      </c>
      <c r="N393" s="5">
        <f t="shared" si="142"/>
        <v>7680</v>
      </c>
      <c r="O393" s="5">
        <f t="shared" si="142"/>
        <v>2310</v>
      </c>
      <c r="P393" s="5">
        <f t="shared" si="142"/>
        <v>3080</v>
      </c>
      <c r="Q393" s="5">
        <f t="shared" si="135"/>
        <v>162120</v>
      </c>
      <c r="R393" s="5">
        <f t="shared" si="136"/>
        <v>40390</v>
      </c>
      <c r="S393" s="5">
        <f t="shared" si="137"/>
        <v>26880</v>
      </c>
      <c r="T393" s="5">
        <f t="shared" si="138"/>
        <v>8085</v>
      </c>
      <c r="U393" s="5">
        <f t="shared" si="139"/>
        <v>10780</v>
      </c>
      <c r="V393" s="5">
        <f>B393*战斗力计算!$B$8+C393*战斗力计算!$B$9+D393*战斗力计算!$B$10+E393*战斗力计算!$B$11+F393*战斗力计算!$B$12</f>
        <v>169280</v>
      </c>
      <c r="W393" s="5">
        <f>G393*战斗力计算!$B$8+H393*战斗力计算!$B$9+I393*战斗力计算!$B$10+J393*战斗力计算!$B$11+K393*战斗力计算!$B$12+L393*战斗力计算!$B$8+M393*战斗力计算!$B$9+N393*战斗力计算!$B$10+O393*战斗力计算!$B$11+P393*战斗力计算!$B$12</f>
        <v>1015680</v>
      </c>
      <c r="X393" s="5">
        <f t="shared" si="140"/>
        <v>1184960</v>
      </c>
      <c r="AC393">
        <f t="shared" si="121"/>
        <v>4</v>
      </c>
      <c r="AD393">
        <f t="shared" si="122"/>
        <v>2</v>
      </c>
      <c r="AF393">
        <f t="shared" si="123"/>
        <v>0.75</v>
      </c>
      <c r="AH393">
        <f t="shared" si="124"/>
        <v>12</v>
      </c>
      <c r="AK393">
        <f t="shared" si="125"/>
        <v>6.03125</v>
      </c>
      <c r="AL393">
        <f t="shared" si="126"/>
        <v>1.5026041666666667</v>
      </c>
      <c r="AM393">
        <f t="shared" si="127"/>
        <v>1</v>
      </c>
      <c r="AN393">
        <f t="shared" si="128"/>
        <v>6.03125</v>
      </c>
      <c r="AO393">
        <f t="shared" si="129"/>
        <v>1.5026041666666667</v>
      </c>
      <c r="AP393">
        <f t="shared" si="130"/>
        <v>1</v>
      </c>
      <c r="AR393">
        <f t="shared" si="131"/>
        <v>4.4961038961038957</v>
      </c>
      <c r="AT393">
        <f t="shared" si="132"/>
        <v>4.4961038961038957</v>
      </c>
      <c r="AV393">
        <f t="shared" si="133"/>
        <v>4039</v>
      </c>
      <c r="AW393">
        <f t="shared" si="134"/>
        <v>7501</v>
      </c>
    </row>
    <row r="394" spans="1:49" x14ac:dyDescent="0.15">
      <c r="A394" s="5">
        <v>384</v>
      </c>
      <c r="B394" s="5">
        <f t="shared" si="120"/>
        <v>23220</v>
      </c>
      <c r="C394" s="5">
        <f t="shared" si="120"/>
        <v>5785</v>
      </c>
      <c r="D394" s="5">
        <f t="shared" si="120"/>
        <v>3850</v>
      </c>
      <c r="E394" s="5">
        <f t="shared" si="120"/>
        <v>1158</v>
      </c>
      <c r="F394" s="5">
        <f t="shared" si="120"/>
        <v>1544</v>
      </c>
      <c r="G394" s="5">
        <f t="shared" si="141"/>
        <v>92880</v>
      </c>
      <c r="H394" s="5">
        <f t="shared" si="141"/>
        <v>23140</v>
      </c>
      <c r="I394" s="5">
        <f t="shared" si="141"/>
        <v>15400</v>
      </c>
      <c r="J394" s="5">
        <f t="shared" si="141"/>
        <v>4632</v>
      </c>
      <c r="K394" s="5">
        <f t="shared" si="141"/>
        <v>6176</v>
      </c>
      <c r="L394" s="5">
        <f t="shared" si="142"/>
        <v>46440</v>
      </c>
      <c r="M394" s="5">
        <f t="shared" si="142"/>
        <v>11570</v>
      </c>
      <c r="N394" s="5">
        <f t="shared" si="142"/>
        <v>7700</v>
      </c>
      <c r="O394" s="5">
        <f t="shared" si="142"/>
        <v>2316</v>
      </c>
      <c r="P394" s="5">
        <f t="shared" si="142"/>
        <v>3088</v>
      </c>
      <c r="Q394" s="5">
        <f t="shared" si="135"/>
        <v>162540</v>
      </c>
      <c r="R394" s="5">
        <f t="shared" si="136"/>
        <v>40495</v>
      </c>
      <c r="S394" s="5">
        <f t="shared" si="137"/>
        <v>26950</v>
      </c>
      <c r="T394" s="5">
        <f t="shared" si="138"/>
        <v>8106</v>
      </c>
      <c r="U394" s="5">
        <f t="shared" si="139"/>
        <v>10808</v>
      </c>
      <c r="V394" s="5">
        <f>B394*战斗力计算!$B$8+C394*战斗力计算!$B$9+D394*战斗力计算!$B$10+E394*战斗力计算!$B$11+F394*战斗力计算!$B$12</f>
        <v>169720</v>
      </c>
      <c r="W394" s="5">
        <f>G394*战斗力计算!$B$8+H394*战斗力计算!$B$9+I394*战斗力计算!$B$10+J394*战斗力计算!$B$11+K394*战斗力计算!$B$12+L394*战斗力计算!$B$8+M394*战斗力计算!$B$9+N394*战斗力计算!$B$10+O394*战斗力计算!$B$11+P394*战斗力计算!$B$12</f>
        <v>1018320</v>
      </c>
      <c r="X394" s="5">
        <f t="shared" si="140"/>
        <v>1188040</v>
      </c>
      <c r="AC394">
        <f t="shared" si="121"/>
        <v>4</v>
      </c>
      <c r="AD394">
        <f t="shared" si="122"/>
        <v>2</v>
      </c>
      <c r="AF394">
        <f t="shared" si="123"/>
        <v>0.75</v>
      </c>
      <c r="AH394">
        <f t="shared" si="124"/>
        <v>12</v>
      </c>
      <c r="AK394">
        <f t="shared" si="125"/>
        <v>6.0311688311688307</v>
      </c>
      <c r="AL394">
        <f t="shared" si="126"/>
        <v>1.5025974025974025</v>
      </c>
      <c r="AM394">
        <f t="shared" si="127"/>
        <v>1</v>
      </c>
      <c r="AN394">
        <f t="shared" si="128"/>
        <v>6.0311688311688307</v>
      </c>
      <c r="AO394">
        <f t="shared" si="129"/>
        <v>1.5025974025974025</v>
      </c>
      <c r="AP394">
        <f t="shared" si="130"/>
        <v>1</v>
      </c>
      <c r="AR394">
        <f t="shared" si="131"/>
        <v>4.4961139896373057</v>
      </c>
      <c r="AT394">
        <f t="shared" si="132"/>
        <v>4.4961139896373057</v>
      </c>
      <c r="AV394">
        <f t="shared" si="133"/>
        <v>4049</v>
      </c>
      <c r="AW394">
        <f t="shared" si="134"/>
        <v>7520</v>
      </c>
    </row>
    <row r="395" spans="1:49" x14ac:dyDescent="0.15">
      <c r="A395" s="5">
        <v>385</v>
      </c>
      <c r="B395" s="5">
        <f t="shared" si="120"/>
        <v>23280</v>
      </c>
      <c r="C395" s="5">
        <f t="shared" si="120"/>
        <v>5800</v>
      </c>
      <c r="D395" s="5">
        <f t="shared" si="120"/>
        <v>3860</v>
      </c>
      <c r="E395" s="5">
        <f t="shared" si="120"/>
        <v>1161</v>
      </c>
      <c r="F395" s="5">
        <f t="shared" si="120"/>
        <v>1548</v>
      </c>
      <c r="G395" s="5">
        <f t="shared" si="141"/>
        <v>93120</v>
      </c>
      <c r="H395" s="5">
        <f t="shared" si="141"/>
        <v>23200</v>
      </c>
      <c r="I395" s="5">
        <f t="shared" si="141"/>
        <v>15440</v>
      </c>
      <c r="J395" s="5">
        <f t="shared" si="141"/>
        <v>4644</v>
      </c>
      <c r="K395" s="5">
        <f t="shared" si="141"/>
        <v>6192</v>
      </c>
      <c r="L395" s="5">
        <f t="shared" si="142"/>
        <v>46560</v>
      </c>
      <c r="M395" s="5">
        <f t="shared" si="142"/>
        <v>11600</v>
      </c>
      <c r="N395" s="5">
        <f t="shared" si="142"/>
        <v>7720</v>
      </c>
      <c r="O395" s="5">
        <f t="shared" si="142"/>
        <v>2322</v>
      </c>
      <c r="P395" s="5">
        <f t="shared" si="142"/>
        <v>3096</v>
      </c>
      <c r="Q395" s="5">
        <f t="shared" si="135"/>
        <v>162960</v>
      </c>
      <c r="R395" s="5">
        <f t="shared" si="136"/>
        <v>40600</v>
      </c>
      <c r="S395" s="5">
        <f t="shared" si="137"/>
        <v>27020</v>
      </c>
      <c r="T395" s="5">
        <f t="shared" si="138"/>
        <v>8127</v>
      </c>
      <c r="U395" s="5">
        <f t="shared" si="139"/>
        <v>10836</v>
      </c>
      <c r="V395" s="5">
        <f>B395*战斗力计算!$B$8+C395*战斗力计算!$B$9+D395*战斗力计算!$B$10+E395*战斗力计算!$B$11+F395*战斗力计算!$B$12</f>
        <v>170160</v>
      </c>
      <c r="W395" s="5">
        <f>G395*战斗力计算!$B$8+H395*战斗力计算!$B$9+I395*战斗力计算!$B$10+J395*战斗力计算!$B$11+K395*战斗力计算!$B$12+L395*战斗力计算!$B$8+M395*战斗力计算!$B$9+N395*战斗力计算!$B$10+O395*战斗力计算!$B$11+P395*战斗力计算!$B$12</f>
        <v>1020960</v>
      </c>
      <c r="X395" s="5">
        <f t="shared" si="140"/>
        <v>1191120</v>
      </c>
      <c r="AC395">
        <f t="shared" si="121"/>
        <v>4</v>
      </c>
      <c r="AD395">
        <f t="shared" si="122"/>
        <v>2</v>
      </c>
      <c r="AF395">
        <f t="shared" si="123"/>
        <v>0.75</v>
      </c>
      <c r="AH395">
        <f t="shared" si="124"/>
        <v>12</v>
      </c>
      <c r="AK395">
        <f t="shared" si="125"/>
        <v>6.0310880829015545</v>
      </c>
      <c r="AL395">
        <f t="shared" si="126"/>
        <v>1.5025906735751295</v>
      </c>
      <c r="AM395">
        <f t="shared" si="127"/>
        <v>1</v>
      </c>
      <c r="AN395">
        <f t="shared" si="128"/>
        <v>6.0310880829015545</v>
      </c>
      <c r="AO395">
        <f t="shared" si="129"/>
        <v>1.5025906735751295</v>
      </c>
      <c r="AP395">
        <f t="shared" si="130"/>
        <v>1</v>
      </c>
      <c r="AR395">
        <f t="shared" si="131"/>
        <v>4.4961240310077519</v>
      </c>
      <c r="AT395">
        <f t="shared" si="132"/>
        <v>4.4961240310077519</v>
      </c>
      <c r="AV395">
        <f t="shared" si="133"/>
        <v>4060</v>
      </c>
      <c r="AW395">
        <f t="shared" si="134"/>
        <v>7540</v>
      </c>
    </row>
    <row r="396" spans="1:49" x14ac:dyDescent="0.15">
      <c r="A396" s="5">
        <v>386</v>
      </c>
      <c r="B396" s="5">
        <f t="shared" ref="B396:F459" si="143">INT(VLOOKUP(B$10,$A$2:$C$7,2,0)+($A396-1)*VLOOKUP(B$10,$A$2:$C$7,3,0))</f>
        <v>23340</v>
      </c>
      <c r="C396" s="5">
        <f t="shared" si="143"/>
        <v>5815</v>
      </c>
      <c r="D396" s="5">
        <f t="shared" si="143"/>
        <v>3870</v>
      </c>
      <c r="E396" s="5">
        <f t="shared" si="143"/>
        <v>1164</v>
      </c>
      <c r="F396" s="5">
        <f t="shared" si="143"/>
        <v>1552</v>
      </c>
      <c r="G396" s="5">
        <f t="shared" si="141"/>
        <v>93360</v>
      </c>
      <c r="H396" s="5">
        <f t="shared" si="141"/>
        <v>23260</v>
      </c>
      <c r="I396" s="5">
        <f t="shared" si="141"/>
        <v>15480</v>
      </c>
      <c r="J396" s="5">
        <f t="shared" si="141"/>
        <v>4656</v>
      </c>
      <c r="K396" s="5">
        <f t="shared" si="141"/>
        <v>6208</v>
      </c>
      <c r="L396" s="5">
        <f t="shared" si="142"/>
        <v>46680</v>
      </c>
      <c r="M396" s="5">
        <f t="shared" si="142"/>
        <v>11630</v>
      </c>
      <c r="N396" s="5">
        <f t="shared" si="142"/>
        <v>7740</v>
      </c>
      <c r="O396" s="5">
        <f t="shared" si="142"/>
        <v>2328</v>
      </c>
      <c r="P396" s="5">
        <f t="shared" si="142"/>
        <v>3104</v>
      </c>
      <c r="Q396" s="5">
        <f t="shared" si="135"/>
        <v>163380</v>
      </c>
      <c r="R396" s="5">
        <f t="shared" si="136"/>
        <v>40705</v>
      </c>
      <c r="S396" s="5">
        <f t="shared" si="137"/>
        <v>27090</v>
      </c>
      <c r="T396" s="5">
        <f t="shared" si="138"/>
        <v>8148</v>
      </c>
      <c r="U396" s="5">
        <f t="shared" si="139"/>
        <v>10864</v>
      </c>
      <c r="V396" s="5">
        <f>B396*战斗力计算!$B$8+C396*战斗力计算!$B$9+D396*战斗力计算!$B$10+E396*战斗力计算!$B$11+F396*战斗力计算!$B$12</f>
        <v>170600</v>
      </c>
      <c r="W396" s="5">
        <f>G396*战斗力计算!$B$8+H396*战斗力计算!$B$9+I396*战斗力计算!$B$10+J396*战斗力计算!$B$11+K396*战斗力计算!$B$12+L396*战斗力计算!$B$8+M396*战斗力计算!$B$9+N396*战斗力计算!$B$10+O396*战斗力计算!$B$11+P396*战斗力计算!$B$12</f>
        <v>1023600</v>
      </c>
      <c r="X396" s="5">
        <f t="shared" si="140"/>
        <v>1194200</v>
      </c>
      <c r="AC396">
        <f t="shared" ref="AC396:AC459" si="144">VLOOKUP($A396,$Z$2:$AA$13,2,1)*$E$3</f>
        <v>4</v>
      </c>
      <c r="AD396">
        <f t="shared" ref="AD396:AD459" si="145">VLOOKUP($A396,$Z$2:$AA$13,2,1)*$E$6</f>
        <v>2</v>
      </c>
      <c r="AF396">
        <f t="shared" ref="AF396:AF459" si="146">T396/U396</f>
        <v>0.75</v>
      </c>
      <c r="AH396">
        <f t="shared" ref="AH396:AH459" si="147">Q396/(R396-S396)</f>
        <v>12</v>
      </c>
      <c r="AK396">
        <f t="shared" ref="AK396:AK459" si="148">B396/D396</f>
        <v>6.0310077519379846</v>
      </c>
      <c r="AL396">
        <f t="shared" ref="AL396:AL459" si="149">C396/D396</f>
        <v>1.5025839793281655</v>
      </c>
      <c r="AM396">
        <f t="shared" ref="AM396:AM459" si="150">D396/D396</f>
        <v>1</v>
      </c>
      <c r="AN396">
        <f t="shared" ref="AN396:AN459" si="151">(G396+L396)/(I396+N396)</f>
        <v>6.0310077519379846</v>
      </c>
      <c r="AO396">
        <f t="shared" ref="AO396:AO459" si="152">(H396+M396)/(I396+N396)</f>
        <v>1.5025839793281655</v>
      </c>
      <c r="AP396">
        <f t="shared" ref="AP396:AP459" si="153">(I396+N396)/(I396+N396)</f>
        <v>1</v>
      </c>
      <c r="AR396">
        <f t="shared" ref="AR396:AR459" si="154">(B396*1+C396*12+D396*12)/(E396*16+F396*8)</f>
        <v>4.4961340206185563</v>
      </c>
      <c r="AT396">
        <f t="shared" ref="AT396:AT459" si="155">(G396*1+H396*12+I396*12+L396*1+M396*12+N396*12)/(J396*16+K396*8+O396*16+P396*8)</f>
        <v>4.4961340206185563</v>
      </c>
      <c r="AV396">
        <f t="shared" ref="AV396:AV459" si="156">INT(C396*$H$5)</f>
        <v>4070</v>
      </c>
      <c r="AW396">
        <f t="shared" ref="AW396:AW459" si="157">INT(C396*$H$3)</f>
        <v>7559</v>
      </c>
    </row>
    <row r="397" spans="1:49" x14ac:dyDescent="0.15">
      <c r="A397" s="5">
        <v>387</v>
      </c>
      <c r="B397" s="5">
        <f t="shared" si="143"/>
        <v>23400</v>
      </c>
      <c r="C397" s="5">
        <f t="shared" si="143"/>
        <v>5830</v>
      </c>
      <c r="D397" s="5">
        <f t="shared" si="143"/>
        <v>3880</v>
      </c>
      <c r="E397" s="5">
        <f t="shared" si="143"/>
        <v>1167</v>
      </c>
      <c r="F397" s="5">
        <f t="shared" si="143"/>
        <v>1556</v>
      </c>
      <c r="G397" s="5">
        <f t="shared" si="141"/>
        <v>93600</v>
      </c>
      <c r="H397" s="5">
        <f t="shared" si="141"/>
        <v>23320</v>
      </c>
      <c r="I397" s="5">
        <f t="shared" si="141"/>
        <v>15520</v>
      </c>
      <c r="J397" s="5">
        <f t="shared" si="141"/>
        <v>4668</v>
      </c>
      <c r="K397" s="5">
        <f t="shared" si="141"/>
        <v>6224</v>
      </c>
      <c r="L397" s="5">
        <f t="shared" si="142"/>
        <v>46800</v>
      </c>
      <c r="M397" s="5">
        <f t="shared" si="142"/>
        <v>11660</v>
      </c>
      <c r="N397" s="5">
        <f t="shared" si="142"/>
        <v>7760</v>
      </c>
      <c r="O397" s="5">
        <f t="shared" si="142"/>
        <v>2334</v>
      </c>
      <c r="P397" s="5">
        <f t="shared" si="142"/>
        <v>3112</v>
      </c>
      <c r="Q397" s="5">
        <f t="shared" si="135"/>
        <v>163800</v>
      </c>
      <c r="R397" s="5">
        <f t="shared" si="136"/>
        <v>40810</v>
      </c>
      <c r="S397" s="5">
        <f t="shared" si="137"/>
        <v>27160</v>
      </c>
      <c r="T397" s="5">
        <f t="shared" si="138"/>
        <v>8169</v>
      </c>
      <c r="U397" s="5">
        <f t="shared" si="139"/>
        <v>10892</v>
      </c>
      <c r="V397" s="5">
        <f>B397*战斗力计算!$B$8+C397*战斗力计算!$B$9+D397*战斗力计算!$B$10+E397*战斗力计算!$B$11+F397*战斗力计算!$B$12</f>
        <v>171040</v>
      </c>
      <c r="W397" s="5">
        <f>G397*战斗力计算!$B$8+H397*战斗力计算!$B$9+I397*战斗力计算!$B$10+J397*战斗力计算!$B$11+K397*战斗力计算!$B$12+L397*战斗力计算!$B$8+M397*战斗力计算!$B$9+N397*战斗力计算!$B$10+O397*战斗力计算!$B$11+P397*战斗力计算!$B$12</f>
        <v>1026240</v>
      </c>
      <c r="X397" s="5">
        <f t="shared" si="140"/>
        <v>1197280</v>
      </c>
      <c r="AC397">
        <f t="shared" si="144"/>
        <v>4</v>
      </c>
      <c r="AD397">
        <f t="shared" si="145"/>
        <v>2</v>
      </c>
      <c r="AF397">
        <f t="shared" si="146"/>
        <v>0.75</v>
      </c>
      <c r="AH397">
        <f t="shared" si="147"/>
        <v>12</v>
      </c>
      <c r="AK397">
        <f t="shared" si="148"/>
        <v>6.0309278350515463</v>
      </c>
      <c r="AL397">
        <f t="shared" si="149"/>
        <v>1.5025773195876289</v>
      </c>
      <c r="AM397">
        <f t="shared" si="150"/>
        <v>1</v>
      </c>
      <c r="AN397">
        <f t="shared" si="151"/>
        <v>6.0309278350515463</v>
      </c>
      <c r="AO397">
        <f t="shared" si="152"/>
        <v>1.5025773195876289</v>
      </c>
      <c r="AP397">
        <f t="shared" si="153"/>
        <v>1</v>
      </c>
      <c r="AR397">
        <f t="shared" si="154"/>
        <v>4.4961439588688945</v>
      </c>
      <c r="AT397">
        <f t="shared" si="155"/>
        <v>4.4961439588688945</v>
      </c>
      <c r="AV397">
        <f t="shared" si="156"/>
        <v>4081</v>
      </c>
      <c r="AW397">
        <f t="shared" si="157"/>
        <v>7579</v>
      </c>
    </row>
    <row r="398" spans="1:49" x14ac:dyDescent="0.15">
      <c r="A398" s="5">
        <v>388</v>
      </c>
      <c r="B398" s="5">
        <f t="shared" si="143"/>
        <v>23460</v>
      </c>
      <c r="C398" s="5">
        <f t="shared" si="143"/>
        <v>5845</v>
      </c>
      <c r="D398" s="5">
        <f t="shared" si="143"/>
        <v>3890</v>
      </c>
      <c r="E398" s="5">
        <f t="shared" si="143"/>
        <v>1170</v>
      </c>
      <c r="F398" s="5">
        <f t="shared" si="143"/>
        <v>1560</v>
      </c>
      <c r="G398" s="5">
        <f t="shared" si="141"/>
        <v>93840</v>
      </c>
      <c r="H398" s="5">
        <f t="shared" si="141"/>
        <v>23380</v>
      </c>
      <c r="I398" s="5">
        <f t="shared" si="141"/>
        <v>15560</v>
      </c>
      <c r="J398" s="5">
        <f t="shared" si="141"/>
        <v>4680</v>
      </c>
      <c r="K398" s="5">
        <f t="shared" si="141"/>
        <v>6240</v>
      </c>
      <c r="L398" s="5">
        <f t="shared" si="142"/>
        <v>46920</v>
      </c>
      <c r="M398" s="5">
        <f t="shared" si="142"/>
        <v>11690</v>
      </c>
      <c r="N398" s="5">
        <f t="shared" si="142"/>
        <v>7780</v>
      </c>
      <c r="O398" s="5">
        <f t="shared" si="142"/>
        <v>2340</v>
      </c>
      <c r="P398" s="5">
        <f t="shared" si="142"/>
        <v>3120</v>
      </c>
      <c r="Q398" s="5">
        <f t="shared" si="135"/>
        <v>164220</v>
      </c>
      <c r="R398" s="5">
        <f t="shared" si="136"/>
        <v>40915</v>
      </c>
      <c r="S398" s="5">
        <f t="shared" si="137"/>
        <v>27230</v>
      </c>
      <c r="T398" s="5">
        <f t="shared" si="138"/>
        <v>8190</v>
      </c>
      <c r="U398" s="5">
        <f t="shared" si="139"/>
        <v>10920</v>
      </c>
      <c r="V398" s="5">
        <f>B398*战斗力计算!$B$8+C398*战斗力计算!$B$9+D398*战斗力计算!$B$10+E398*战斗力计算!$B$11+F398*战斗力计算!$B$12</f>
        <v>171480</v>
      </c>
      <c r="W398" s="5">
        <f>G398*战斗力计算!$B$8+H398*战斗力计算!$B$9+I398*战斗力计算!$B$10+J398*战斗力计算!$B$11+K398*战斗力计算!$B$12+L398*战斗力计算!$B$8+M398*战斗力计算!$B$9+N398*战斗力计算!$B$10+O398*战斗力计算!$B$11+P398*战斗力计算!$B$12</f>
        <v>1028880</v>
      </c>
      <c r="X398" s="5">
        <f t="shared" si="140"/>
        <v>1200360</v>
      </c>
      <c r="AC398">
        <f t="shared" si="144"/>
        <v>4</v>
      </c>
      <c r="AD398">
        <f t="shared" si="145"/>
        <v>2</v>
      </c>
      <c r="AF398">
        <f t="shared" si="146"/>
        <v>0.75</v>
      </c>
      <c r="AH398">
        <f t="shared" si="147"/>
        <v>12</v>
      </c>
      <c r="AK398">
        <f t="shared" si="148"/>
        <v>6.030848329048843</v>
      </c>
      <c r="AL398">
        <f t="shared" si="149"/>
        <v>1.5025706940874035</v>
      </c>
      <c r="AM398">
        <f t="shared" si="150"/>
        <v>1</v>
      </c>
      <c r="AN398">
        <f t="shared" si="151"/>
        <v>6.030848329048843</v>
      </c>
      <c r="AO398">
        <f t="shared" si="152"/>
        <v>1.5025706940874035</v>
      </c>
      <c r="AP398">
        <f t="shared" si="153"/>
        <v>1</v>
      </c>
      <c r="AR398">
        <f t="shared" si="154"/>
        <v>4.4961538461538462</v>
      </c>
      <c r="AT398">
        <f t="shared" si="155"/>
        <v>4.4961538461538462</v>
      </c>
      <c r="AV398">
        <f t="shared" si="156"/>
        <v>4091</v>
      </c>
      <c r="AW398">
        <f t="shared" si="157"/>
        <v>7598</v>
      </c>
    </row>
    <row r="399" spans="1:49" x14ac:dyDescent="0.15">
      <c r="A399" s="5">
        <v>389</v>
      </c>
      <c r="B399" s="5">
        <f t="shared" si="143"/>
        <v>23520</v>
      </c>
      <c r="C399" s="5">
        <f t="shared" si="143"/>
        <v>5860</v>
      </c>
      <c r="D399" s="5">
        <f t="shared" si="143"/>
        <v>3900</v>
      </c>
      <c r="E399" s="5">
        <f t="shared" si="143"/>
        <v>1173</v>
      </c>
      <c r="F399" s="5">
        <f t="shared" si="143"/>
        <v>1564</v>
      </c>
      <c r="G399" s="5">
        <f t="shared" si="141"/>
        <v>94080</v>
      </c>
      <c r="H399" s="5">
        <f t="shared" si="141"/>
        <v>23440</v>
      </c>
      <c r="I399" s="5">
        <f t="shared" si="141"/>
        <v>15600</v>
      </c>
      <c r="J399" s="5">
        <f t="shared" si="141"/>
        <v>4692</v>
      </c>
      <c r="K399" s="5">
        <f t="shared" si="141"/>
        <v>6256</v>
      </c>
      <c r="L399" s="5">
        <f t="shared" si="142"/>
        <v>47040</v>
      </c>
      <c r="M399" s="5">
        <f t="shared" si="142"/>
        <v>11720</v>
      </c>
      <c r="N399" s="5">
        <f t="shared" si="142"/>
        <v>7800</v>
      </c>
      <c r="O399" s="5">
        <f t="shared" si="142"/>
        <v>2346</v>
      </c>
      <c r="P399" s="5">
        <f t="shared" si="142"/>
        <v>3128</v>
      </c>
      <c r="Q399" s="5">
        <f t="shared" si="135"/>
        <v>164640</v>
      </c>
      <c r="R399" s="5">
        <f t="shared" si="136"/>
        <v>41020</v>
      </c>
      <c r="S399" s="5">
        <f t="shared" si="137"/>
        <v>27300</v>
      </c>
      <c r="T399" s="5">
        <f t="shared" si="138"/>
        <v>8211</v>
      </c>
      <c r="U399" s="5">
        <f t="shared" si="139"/>
        <v>10948</v>
      </c>
      <c r="V399" s="5">
        <f>B399*战斗力计算!$B$8+C399*战斗力计算!$B$9+D399*战斗力计算!$B$10+E399*战斗力计算!$B$11+F399*战斗力计算!$B$12</f>
        <v>171920</v>
      </c>
      <c r="W399" s="5">
        <f>G399*战斗力计算!$B$8+H399*战斗力计算!$B$9+I399*战斗力计算!$B$10+J399*战斗力计算!$B$11+K399*战斗力计算!$B$12+L399*战斗力计算!$B$8+M399*战斗力计算!$B$9+N399*战斗力计算!$B$10+O399*战斗力计算!$B$11+P399*战斗力计算!$B$12</f>
        <v>1031520</v>
      </c>
      <c r="X399" s="5">
        <f t="shared" si="140"/>
        <v>1203440</v>
      </c>
      <c r="AC399">
        <f t="shared" si="144"/>
        <v>4</v>
      </c>
      <c r="AD399">
        <f t="shared" si="145"/>
        <v>2</v>
      </c>
      <c r="AF399">
        <f t="shared" si="146"/>
        <v>0.75</v>
      </c>
      <c r="AH399">
        <f t="shared" si="147"/>
        <v>12</v>
      </c>
      <c r="AK399">
        <f t="shared" si="148"/>
        <v>6.0307692307692307</v>
      </c>
      <c r="AL399">
        <f t="shared" si="149"/>
        <v>1.5025641025641026</v>
      </c>
      <c r="AM399">
        <f t="shared" si="150"/>
        <v>1</v>
      </c>
      <c r="AN399">
        <f t="shared" si="151"/>
        <v>6.0307692307692307</v>
      </c>
      <c r="AO399">
        <f t="shared" si="152"/>
        <v>1.5025641025641026</v>
      </c>
      <c r="AP399">
        <f t="shared" si="153"/>
        <v>1</v>
      </c>
      <c r="AR399">
        <f t="shared" si="154"/>
        <v>4.4961636828644505</v>
      </c>
      <c r="AT399">
        <f t="shared" si="155"/>
        <v>4.4961636828644505</v>
      </c>
      <c r="AV399">
        <f t="shared" si="156"/>
        <v>4102</v>
      </c>
      <c r="AW399">
        <f t="shared" si="157"/>
        <v>7618</v>
      </c>
    </row>
    <row r="400" spans="1:49" x14ac:dyDescent="0.15">
      <c r="A400" s="5">
        <v>390</v>
      </c>
      <c r="B400" s="5">
        <f t="shared" si="143"/>
        <v>23580</v>
      </c>
      <c r="C400" s="5">
        <f t="shared" si="143"/>
        <v>5875</v>
      </c>
      <c r="D400" s="5">
        <f t="shared" si="143"/>
        <v>3910</v>
      </c>
      <c r="E400" s="5">
        <f t="shared" si="143"/>
        <v>1176</v>
      </c>
      <c r="F400" s="5">
        <f t="shared" si="143"/>
        <v>1568</v>
      </c>
      <c r="G400" s="5">
        <f t="shared" si="141"/>
        <v>94320</v>
      </c>
      <c r="H400" s="5">
        <f t="shared" si="141"/>
        <v>23500</v>
      </c>
      <c r="I400" s="5">
        <f t="shared" si="141"/>
        <v>15640</v>
      </c>
      <c r="J400" s="5">
        <f t="shared" si="141"/>
        <v>4704</v>
      </c>
      <c r="K400" s="5">
        <f t="shared" si="141"/>
        <v>6272</v>
      </c>
      <c r="L400" s="5">
        <f t="shared" si="142"/>
        <v>47160</v>
      </c>
      <c r="M400" s="5">
        <f t="shared" si="142"/>
        <v>11750</v>
      </c>
      <c r="N400" s="5">
        <f t="shared" si="142"/>
        <v>7820</v>
      </c>
      <c r="O400" s="5">
        <f t="shared" si="142"/>
        <v>2352</v>
      </c>
      <c r="P400" s="5">
        <f t="shared" si="142"/>
        <v>3136</v>
      </c>
      <c r="Q400" s="5">
        <f t="shared" si="135"/>
        <v>165060</v>
      </c>
      <c r="R400" s="5">
        <f t="shared" si="136"/>
        <v>41125</v>
      </c>
      <c r="S400" s="5">
        <f t="shared" si="137"/>
        <v>27370</v>
      </c>
      <c r="T400" s="5">
        <f t="shared" si="138"/>
        <v>8232</v>
      </c>
      <c r="U400" s="5">
        <f t="shared" si="139"/>
        <v>10976</v>
      </c>
      <c r="V400" s="5">
        <f>B400*战斗力计算!$B$8+C400*战斗力计算!$B$9+D400*战斗力计算!$B$10+E400*战斗力计算!$B$11+F400*战斗力计算!$B$12</f>
        <v>172360</v>
      </c>
      <c r="W400" s="5">
        <f>G400*战斗力计算!$B$8+H400*战斗力计算!$B$9+I400*战斗力计算!$B$10+J400*战斗力计算!$B$11+K400*战斗力计算!$B$12+L400*战斗力计算!$B$8+M400*战斗力计算!$B$9+N400*战斗力计算!$B$10+O400*战斗力计算!$B$11+P400*战斗力计算!$B$12</f>
        <v>1034160</v>
      </c>
      <c r="X400" s="5">
        <f t="shared" si="140"/>
        <v>1206520</v>
      </c>
      <c r="AC400">
        <f t="shared" si="144"/>
        <v>4</v>
      </c>
      <c r="AD400">
        <f t="shared" si="145"/>
        <v>2</v>
      </c>
      <c r="AF400">
        <f t="shared" si="146"/>
        <v>0.75</v>
      </c>
      <c r="AH400">
        <f t="shared" si="147"/>
        <v>12</v>
      </c>
      <c r="AK400">
        <f t="shared" si="148"/>
        <v>6.0306905370843991</v>
      </c>
      <c r="AL400">
        <f t="shared" si="149"/>
        <v>1.5025575447570332</v>
      </c>
      <c r="AM400">
        <f t="shared" si="150"/>
        <v>1</v>
      </c>
      <c r="AN400">
        <f t="shared" si="151"/>
        <v>6.0306905370843991</v>
      </c>
      <c r="AO400">
        <f t="shared" si="152"/>
        <v>1.5025575447570332</v>
      </c>
      <c r="AP400">
        <f t="shared" si="153"/>
        <v>1</v>
      </c>
      <c r="AR400">
        <f t="shared" si="154"/>
        <v>4.4961734693877551</v>
      </c>
      <c r="AT400">
        <f t="shared" si="155"/>
        <v>4.4961734693877551</v>
      </c>
      <c r="AV400">
        <f t="shared" si="156"/>
        <v>4112</v>
      </c>
      <c r="AW400">
        <f t="shared" si="157"/>
        <v>7637</v>
      </c>
    </row>
    <row r="401" spans="1:49" x14ac:dyDescent="0.15">
      <c r="A401" s="5">
        <v>391</v>
      </c>
      <c r="B401" s="5">
        <f t="shared" si="143"/>
        <v>23640</v>
      </c>
      <c r="C401" s="5">
        <f t="shared" si="143"/>
        <v>5890</v>
      </c>
      <c r="D401" s="5">
        <f t="shared" si="143"/>
        <v>3920</v>
      </c>
      <c r="E401" s="5">
        <f t="shared" si="143"/>
        <v>1179</v>
      </c>
      <c r="F401" s="5">
        <f t="shared" si="143"/>
        <v>1572</v>
      </c>
      <c r="G401" s="5">
        <f t="shared" si="141"/>
        <v>94560</v>
      </c>
      <c r="H401" s="5">
        <f t="shared" si="141"/>
        <v>23560</v>
      </c>
      <c r="I401" s="5">
        <f t="shared" si="141"/>
        <v>15680</v>
      </c>
      <c r="J401" s="5">
        <f t="shared" si="141"/>
        <v>4716</v>
      </c>
      <c r="K401" s="5">
        <f t="shared" si="141"/>
        <v>6288</v>
      </c>
      <c r="L401" s="5">
        <f t="shared" si="142"/>
        <v>47280</v>
      </c>
      <c r="M401" s="5">
        <f t="shared" si="142"/>
        <v>11780</v>
      </c>
      <c r="N401" s="5">
        <f t="shared" si="142"/>
        <v>7840</v>
      </c>
      <c r="O401" s="5">
        <f t="shared" si="142"/>
        <v>2358</v>
      </c>
      <c r="P401" s="5">
        <f t="shared" si="142"/>
        <v>3144</v>
      </c>
      <c r="Q401" s="5">
        <f t="shared" si="135"/>
        <v>165480</v>
      </c>
      <c r="R401" s="5">
        <f t="shared" si="136"/>
        <v>41230</v>
      </c>
      <c r="S401" s="5">
        <f t="shared" si="137"/>
        <v>27440</v>
      </c>
      <c r="T401" s="5">
        <f t="shared" si="138"/>
        <v>8253</v>
      </c>
      <c r="U401" s="5">
        <f t="shared" si="139"/>
        <v>11004</v>
      </c>
      <c r="V401" s="5">
        <f>B401*战斗力计算!$B$8+C401*战斗力计算!$B$9+D401*战斗力计算!$B$10+E401*战斗力计算!$B$11+F401*战斗力计算!$B$12</f>
        <v>172800</v>
      </c>
      <c r="W401" s="5">
        <f>G401*战斗力计算!$B$8+H401*战斗力计算!$B$9+I401*战斗力计算!$B$10+J401*战斗力计算!$B$11+K401*战斗力计算!$B$12+L401*战斗力计算!$B$8+M401*战斗力计算!$B$9+N401*战斗力计算!$B$10+O401*战斗力计算!$B$11+P401*战斗力计算!$B$12</f>
        <v>1036800</v>
      </c>
      <c r="X401" s="5">
        <f t="shared" si="140"/>
        <v>1209600</v>
      </c>
      <c r="AC401">
        <f t="shared" si="144"/>
        <v>4</v>
      </c>
      <c r="AD401">
        <f t="shared" si="145"/>
        <v>2</v>
      </c>
      <c r="AF401">
        <f t="shared" si="146"/>
        <v>0.75</v>
      </c>
      <c r="AH401">
        <f t="shared" si="147"/>
        <v>12</v>
      </c>
      <c r="AK401">
        <f t="shared" si="148"/>
        <v>6.0306122448979593</v>
      </c>
      <c r="AL401">
        <f t="shared" si="149"/>
        <v>1.5025510204081634</v>
      </c>
      <c r="AM401">
        <f t="shared" si="150"/>
        <v>1</v>
      </c>
      <c r="AN401">
        <f t="shared" si="151"/>
        <v>6.0306122448979593</v>
      </c>
      <c r="AO401">
        <f t="shared" si="152"/>
        <v>1.5025510204081634</v>
      </c>
      <c r="AP401">
        <f t="shared" si="153"/>
        <v>1</v>
      </c>
      <c r="AR401">
        <f t="shared" si="154"/>
        <v>4.4961832061068705</v>
      </c>
      <c r="AT401">
        <f t="shared" si="155"/>
        <v>4.4961832061068705</v>
      </c>
      <c r="AV401">
        <f t="shared" si="156"/>
        <v>4123</v>
      </c>
      <c r="AW401">
        <f t="shared" si="157"/>
        <v>7657</v>
      </c>
    </row>
    <row r="402" spans="1:49" x14ac:dyDescent="0.15">
      <c r="A402" s="5">
        <v>392</v>
      </c>
      <c r="B402" s="5">
        <f t="shared" si="143"/>
        <v>23700</v>
      </c>
      <c r="C402" s="5">
        <f t="shared" si="143"/>
        <v>5905</v>
      </c>
      <c r="D402" s="5">
        <f t="shared" si="143"/>
        <v>3930</v>
      </c>
      <c r="E402" s="5">
        <f t="shared" si="143"/>
        <v>1182</v>
      </c>
      <c r="F402" s="5">
        <f t="shared" si="143"/>
        <v>1576</v>
      </c>
      <c r="G402" s="5">
        <f t="shared" si="141"/>
        <v>94800</v>
      </c>
      <c r="H402" s="5">
        <f t="shared" si="141"/>
        <v>23620</v>
      </c>
      <c r="I402" s="5">
        <f t="shared" si="141"/>
        <v>15720</v>
      </c>
      <c r="J402" s="5">
        <f t="shared" si="141"/>
        <v>4728</v>
      </c>
      <c r="K402" s="5">
        <f t="shared" si="141"/>
        <v>6304</v>
      </c>
      <c r="L402" s="5">
        <f t="shared" si="142"/>
        <v>47400</v>
      </c>
      <c r="M402" s="5">
        <f t="shared" si="142"/>
        <v>11810</v>
      </c>
      <c r="N402" s="5">
        <f t="shared" si="142"/>
        <v>7860</v>
      </c>
      <c r="O402" s="5">
        <f t="shared" si="142"/>
        <v>2364</v>
      </c>
      <c r="P402" s="5">
        <f t="shared" si="142"/>
        <v>3152</v>
      </c>
      <c r="Q402" s="5">
        <f t="shared" si="135"/>
        <v>165900</v>
      </c>
      <c r="R402" s="5">
        <f t="shared" si="136"/>
        <v>41335</v>
      </c>
      <c r="S402" s="5">
        <f t="shared" si="137"/>
        <v>27510</v>
      </c>
      <c r="T402" s="5">
        <f t="shared" si="138"/>
        <v>8274</v>
      </c>
      <c r="U402" s="5">
        <f t="shared" si="139"/>
        <v>11032</v>
      </c>
      <c r="V402" s="5">
        <f>B402*战斗力计算!$B$8+C402*战斗力计算!$B$9+D402*战斗力计算!$B$10+E402*战斗力计算!$B$11+F402*战斗力计算!$B$12</f>
        <v>173240</v>
      </c>
      <c r="W402" s="5">
        <f>G402*战斗力计算!$B$8+H402*战斗力计算!$B$9+I402*战斗力计算!$B$10+J402*战斗力计算!$B$11+K402*战斗力计算!$B$12+L402*战斗力计算!$B$8+M402*战斗力计算!$B$9+N402*战斗力计算!$B$10+O402*战斗力计算!$B$11+P402*战斗力计算!$B$12</f>
        <v>1039440</v>
      </c>
      <c r="X402" s="5">
        <f t="shared" si="140"/>
        <v>1212680</v>
      </c>
      <c r="AC402">
        <f t="shared" si="144"/>
        <v>4</v>
      </c>
      <c r="AD402">
        <f t="shared" si="145"/>
        <v>2</v>
      </c>
      <c r="AF402">
        <f t="shared" si="146"/>
        <v>0.75</v>
      </c>
      <c r="AH402">
        <f t="shared" si="147"/>
        <v>12</v>
      </c>
      <c r="AK402">
        <f t="shared" si="148"/>
        <v>6.0305343511450378</v>
      </c>
      <c r="AL402">
        <f t="shared" si="149"/>
        <v>1.5025445292620865</v>
      </c>
      <c r="AM402">
        <f t="shared" si="150"/>
        <v>1</v>
      </c>
      <c r="AN402">
        <f t="shared" si="151"/>
        <v>6.0305343511450378</v>
      </c>
      <c r="AO402">
        <f t="shared" si="152"/>
        <v>1.5025445292620865</v>
      </c>
      <c r="AP402">
        <f t="shared" si="153"/>
        <v>1</v>
      </c>
      <c r="AR402">
        <f t="shared" si="154"/>
        <v>4.4961928934010151</v>
      </c>
      <c r="AT402">
        <f t="shared" si="155"/>
        <v>4.4961928934010151</v>
      </c>
      <c r="AV402">
        <f t="shared" si="156"/>
        <v>4133</v>
      </c>
      <c r="AW402">
        <f t="shared" si="157"/>
        <v>7676</v>
      </c>
    </row>
    <row r="403" spans="1:49" x14ac:dyDescent="0.15">
      <c r="A403" s="5">
        <v>393</v>
      </c>
      <c r="B403" s="5">
        <f t="shared" si="143"/>
        <v>23760</v>
      </c>
      <c r="C403" s="5">
        <f t="shared" si="143"/>
        <v>5920</v>
      </c>
      <c r="D403" s="5">
        <f t="shared" si="143"/>
        <v>3940</v>
      </c>
      <c r="E403" s="5">
        <f t="shared" si="143"/>
        <v>1185</v>
      </c>
      <c r="F403" s="5">
        <f t="shared" si="143"/>
        <v>1580</v>
      </c>
      <c r="G403" s="5">
        <f t="shared" si="141"/>
        <v>95040</v>
      </c>
      <c r="H403" s="5">
        <f t="shared" si="141"/>
        <v>23680</v>
      </c>
      <c r="I403" s="5">
        <f t="shared" si="141"/>
        <v>15760</v>
      </c>
      <c r="J403" s="5">
        <f t="shared" si="141"/>
        <v>4740</v>
      </c>
      <c r="K403" s="5">
        <f t="shared" si="141"/>
        <v>6320</v>
      </c>
      <c r="L403" s="5">
        <f t="shared" si="142"/>
        <v>47520</v>
      </c>
      <c r="M403" s="5">
        <f t="shared" si="142"/>
        <v>11840</v>
      </c>
      <c r="N403" s="5">
        <f t="shared" si="142"/>
        <v>7880</v>
      </c>
      <c r="O403" s="5">
        <f t="shared" si="142"/>
        <v>2370</v>
      </c>
      <c r="P403" s="5">
        <f t="shared" si="142"/>
        <v>3160</v>
      </c>
      <c r="Q403" s="5">
        <f t="shared" si="135"/>
        <v>166320</v>
      </c>
      <c r="R403" s="5">
        <f t="shared" si="136"/>
        <v>41440</v>
      </c>
      <c r="S403" s="5">
        <f t="shared" si="137"/>
        <v>27580</v>
      </c>
      <c r="T403" s="5">
        <f t="shared" si="138"/>
        <v>8295</v>
      </c>
      <c r="U403" s="5">
        <f t="shared" si="139"/>
        <v>11060</v>
      </c>
      <c r="V403" s="5">
        <f>B403*战斗力计算!$B$8+C403*战斗力计算!$B$9+D403*战斗力计算!$B$10+E403*战斗力计算!$B$11+F403*战斗力计算!$B$12</f>
        <v>173680</v>
      </c>
      <c r="W403" s="5">
        <f>G403*战斗力计算!$B$8+H403*战斗力计算!$B$9+I403*战斗力计算!$B$10+J403*战斗力计算!$B$11+K403*战斗力计算!$B$12+L403*战斗力计算!$B$8+M403*战斗力计算!$B$9+N403*战斗力计算!$B$10+O403*战斗力计算!$B$11+P403*战斗力计算!$B$12</f>
        <v>1042080</v>
      </c>
      <c r="X403" s="5">
        <f t="shared" si="140"/>
        <v>1215760</v>
      </c>
      <c r="AC403">
        <f t="shared" si="144"/>
        <v>4</v>
      </c>
      <c r="AD403">
        <f t="shared" si="145"/>
        <v>2</v>
      </c>
      <c r="AF403">
        <f t="shared" si="146"/>
        <v>0.75</v>
      </c>
      <c r="AH403">
        <f t="shared" si="147"/>
        <v>12</v>
      </c>
      <c r="AK403">
        <f t="shared" si="148"/>
        <v>6.030456852791878</v>
      </c>
      <c r="AL403">
        <f t="shared" si="149"/>
        <v>1.5025380710659899</v>
      </c>
      <c r="AM403">
        <f t="shared" si="150"/>
        <v>1</v>
      </c>
      <c r="AN403">
        <f t="shared" si="151"/>
        <v>6.030456852791878</v>
      </c>
      <c r="AO403">
        <f t="shared" si="152"/>
        <v>1.5025380710659899</v>
      </c>
      <c r="AP403">
        <f t="shared" si="153"/>
        <v>1</v>
      </c>
      <c r="AR403">
        <f t="shared" si="154"/>
        <v>4.4962025316455696</v>
      </c>
      <c r="AT403">
        <f t="shared" si="155"/>
        <v>4.4962025316455696</v>
      </c>
      <c r="AV403">
        <f t="shared" si="156"/>
        <v>4144</v>
      </c>
      <c r="AW403">
        <f t="shared" si="157"/>
        <v>7696</v>
      </c>
    </row>
    <row r="404" spans="1:49" x14ac:dyDescent="0.15">
      <c r="A404" s="5">
        <v>394</v>
      </c>
      <c r="B404" s="5">
        <f t="shared" si="143"/>
        <v>23820</v>
      </c>
      <c r="C404" s="5">
        <f t="shared" si="143"/>
        <v>5935</v>
      </c>
      <c r="D404" s="5">
        <f t="shared" si="143"/>
        <v>3950</v>
      </c>
      <c r="E404" s="5">
        <f t="shared" si="143"/>
        <v>1188</v>
      </c>
      <c r="F404" s="5">
        <f t="shared" si="143"/>
        <v>1584</v>
      </c>
      <c r="G404" s="5">
        <f t="shared" si="141"/>
        <v>95280</v>
      </c>
      <c r="H404" s="5">
        <f t="shared" si="141"/>
        <v>23740</v>
      </c>
      <c r="I404" s="5">
        <f t="shared" si="141"/>
        <v>15800</v>
      </c>
      <c r="J404" s="5">
        <f t="shared" si="141"/>
        <v>4752</v>
      </c>
      <c r="K404" s="5">
        <f t="shared" si="141"/>
        <v>6336</v>
      </c>
      <c r="L404" s="5">
        <f t="shared" si="142"/>
        <v>47640</v>
      </c>
      <c r="M404" s="5">
        <f t="shared" si="142"/>
        <v>11870</v>
      </c>
      <c r="N404" s="5">
        <f t="shared" si="142"/>
        <v>7900</v>
      </c>
      <c r="O404" s="5">
        <f t="shared" si="142"/>
        <v>2376</v>
      </c>
      <c r="P404" s="5">
        <f t="shared" si="142"/>
        <v>3168</v>
      </c>
      <c r="Q404" s="5">
        <f t="shared" si="135"/>
        <v>166740</v>
      </c>
      <c r="R404" s="5">
        <f t="shared" si="136"/>
        <v>41545</v>
      </c>
      <c r="S404" s="5">
        <f t="shared" si="137"/>
        <v>27650</v>
      </c>
      <c r="T404" s="5">
        <f t="shared" si="138"/>
        <v>8316</v>
      </c>
      <c r="U404" s="5">
        <f t="shared" si="139"/>
        <v>11088</v>
      </c>
      <c r="V404" s="5">
        <f>B404*战斗力计算!$B$8+C404*战斗力计算!$B$9+D404*战斗力计算!$B$10+E404*战斗力计算!$B$11+F404*战斗力计算!$B$12</f>
        <v>174120</v>
      </c>
      <c r="W404" s="5">
        <f>G404*战斗力计算!$B$8+H404*战斗力计算!$B$9+I404*战斗力计算!$B$10+J404*战斗力计算!$B$11+K404*战斗力计算!$B$12+L404*战斗力计算!$B$8+M404*战斗力计算!$B$9+N404*战斗力计算!$B$10+O404*战斗力计算!$B$11+P404*战斗力计算!$B$12</f>
        <v>1044720</v>
      </c>
      <c r="X404" s="5">
        <f t="shared" si="140"/>
        <v>1218840</v>
      </c>
      <c r="AC404">
        <f t="shared" si="144"/>
        <v>4</v>
      </c>
      <c r="AD404">
        <f t="shared" si="145"/>
        <v>2</v>
      </c>
      <c r="AF404">
        <f t="shared" si="146"/>
        <v>0.75</v>
      </c>
      <c r="AH404">
        <f t="shared" si="147"/>
        <v>12</v>
      </c>
      <c r="AK404">
        <f t="shared" si="148"/>
        <v>6.0303797468354432</v>
      </c>
      <c r="AL404">
        <f t="shared" si="149"/>
        <v>1.5025316455696203</v>
      </c>
      <c r="AM404">
        <f t="shared" si="150"/>
        <v>1</v>
      </c>
      <c r="AN404">
        <f t="shared" si="151"/>
        <v>6.0303797468354432</v>
      </c>
      <c r="AO404">
        <f t="shared" si="152"/>
        <v>1.5025316455696203</v>
      </c>
      <c r="AP404">
        <f t="shared" si="153"/>
        <v>1</v>
      </c>
      <c r="AR404">
        <f t="shared" si="154"/>
        <v>4.4962121212121211</v>
      </c>
      <c r="AT404">
        <f t="shared" si="155"/>
        <v>4.4962121212121211</v>
      </c>
      <c r="AV404">
        <f t="shared" si="156"/>
        <v>4154</v>
      </c>
      <c r="AW404">
        <f t="shared" si="157"/>
        <v>7715</v>
      </c>
    </row>
    <row r="405" spans="1:49" x14ac:dyDescent="0.15">
      <c r="A405" s="5">
        <v>395</v>
      </c>
      <c r="B405" s="5">
        <f t="shared" si="143"/>
        <v>23880</v>
      </c>
      <c r="C405" s="5">
        <f t="shared" si="143"/>
        <v>5950</v>
      </c>
      <c r="D405" s="5">
        <f t="shared" si="143"/>
        <v>3960</v>
      </c>
      <c r="E405" s="5">
        <f t="shared" si="143"/>
        <v>1191</v>
      </c>
      <c r="F405" s="5">
        <f t="shared" si="143"/>
        <v>1588</v>
      </c>
      <c r="G405" s="5">
        <f t="shared" si="141"/>
        <v>95520</v>
      </c>
      <c r="H405" s="5">
        <f t="shared" si="141"/>
        <v>23800</v>
      </c>
      <c r="I405" s="5">
        <f t="shared" si="141"/>
        <v>15840</v>
      </c>
      <c r="J405" s="5">
        <f t="shared" si="141"/>
        <v>4764</v>
      </c>
      <c r="K405" s="5">
        <f t="shared" si="141"/>
        <v>6352</v>
      </c>
      <c r="L405" s="5">
        <f t="shared" si="142"/>
        <v>47760</v>
      </c>
      <c r="M405" s="5">
        <f t="shared" si="142"/>
        <v>11900</v>
      </c>
      <c r="N405" s="5">
        <f t="shared" si="142"/>
        <v>7920</v>
      </c>
      <c r="O405" s="5">
        <f t="shared" si="142"/>
        <v>2382</v>
      </c>
      <c r="P405" s="5">
        <f t="shared" si="142"/>
        <v>3176</v>
      </c>
      <c r="Q405" s="5">
        <f t="shared" si="135"/>
        <v>167160</v>
      </c>
      <c r="R405" s="5">
        <f t="shared" si="136"/>
        <v>41650</v>
      </c>
      <c r="S405" s="5">
        <f t="shared" si="137"/>
        <v>27720</v>
      </c>
      <c r="T405" s="5">
        <f t="shared" si="138"/>
        <v>8337</v>
      </c>
      <c r="U405" s="5">
        <f t="shared" si="139"/>
        <v>11116</v>
      </c>
      <c r="V405" s="5">
        <f>B405*战斗力计算!$B$8+C405*战斗力计算!$B$9+D405*战斗力计算!$B$10+E405*战斗力计算!$B$11+F405*战斗力计算!$B$12</f>
        <v>174560</v>
      </c>
      <c r="W405" s="5">
        <f>G405*战斗力计算!$B$8+H405*战斗力计算!$B$9+I405*战斗力计算!$B$10+J405*战斗力计算!$B$11+K405*战斗力计算!$B$12+L405*战斗力计算!$B$8+M405*战斗力计算!$B$9+N405*战斗力计算!$B$10+O405*战斗力计算!$B$11+P405*战斗力计算!$B$12</f>
        <v>1047360</v>
      </c>
      <c r="X405" s="5">
        <f t="shared" si="140"/>
        <v>1221920</v>
      </c>
      <c r="AC405">
        <f t="shared" si="144"/>
        <v>4</v>
      </c>
      <c r="AD405">
        <f t="shared" si="145"/>
        <v>2</v>
      </c>
      <c r="AF405">
        <f t="shared" si="146"/>
        <v>0.75</v>
      </c>
      <c r="AH405">
        <f t="shared" si="147"/>
        <v>12</v>
      </c>
      <c r="AK405">
        <f t="shared" si="148"/>
        <v>6.0303030303030303</v>
      </c>
      <c r="AL405">
        <f t="shared" si="149"/>
        <v>1.5025252525252526</v>
      </c>
      <c r="AM405">
        <f t="shared" si="150"/>
        <v>1</v>
      </c>
      <c r="AN405">
        <f t="shared" si="151"/>
        <v>6.0303030303030303</v>
      </c>
      <c r="AO405">
        <f t="shared" si="152"/>
        <v>1.5025252525252526</v>
      </c>
      <c r="AP405">
        <f t="shared" si="153"/>
        <v>1</v>
      </c>
      <c r="AR405">
        <f t="shared" si="154"/>
        <v>4.4962216624685141</v>
      </c>
      <c r="AT405">
        <f t="shared" si="155"/>
        <v>4.4962216624685141</v>
      </c>
      <c r="AV405">
        <f t="shared" si="156"/>
        <v>4165</v>
      </c>
      <c r="AW405">
        <f t="shared" si="157"/>
        <v>7735</v>
      </c>
    </row>
    <row r="406" spans="1:49" x14ac:dyDescent="0.15">
      <c r="A406" s="5">
        <v>396</v>
      </c>
      <c r="B406" s="5">
        <f t="shared" si="143"/>
        <v>23940</v>
      </c>
      <c r="C406" s="5">
        <f t="shared" si="143"/>
        <v>5965</v>
      </c>
      <c r="D406" s="5">
        <f t="shared" si="143"/>
        <v>3970</v>
      </c>
      <c r="E406" s="5">
        <f t="shared" si="143"/>
        <v>1194</v>
      </c>
      <c r="F406" s="5">
        <f t="shared" si="143"/>
        <v>1592</v>
      </c>
      <c r="G406" s="5">
        <f t="shared" si="141"/>
        <v>95760</v>
      </c>
      <c r="H406" s="5">
        <f t="shared" si="141"/>
        <v>23860</v>
      </c>
      <c r="I406" s="5">
        <f t="shared" si="141"/>
        <v>15880</v>
      </c>
      <c r="J406" s="5">
        <f t="shared" si="141"/>
        <v>4776</v>
      </c>
      <c r="K406" s="5">
        <f t="shared" si="141"/>
        <v>6368</v>
      </c>
      <c r="L406" s="5">
        <f t="shared" si="142"/>
        <v>47880</v>
      </c>
      <c r="M406" s="5">
        <f t="shared" si="142"/>
        <v>11930</v>
      </c>
      <c r="N406" s="5">
        <f t="shared" si="142"/>
        <v>7940</v>
      </c>
      <c r="O406" s="5">
        <f t="shared" si="142"/>
        <v>2388</v>
      </c>
      <c r="P406" s="5">
        <f t="shared" si="142"/>
        <v>3184</v>
      </c>
      <c r="Q406" s="5">
        <f t="shared" si="135"/>
        <v>167580</v>
      </c>
      <c r="R406" s="5">
        <f t="shared" si="136"/>
        <v>41755</v>
      </c>
      <c r="S406" s="5">
        <f t="shared" si="137"/>
        <v>27790</v>
      </c>
      <c r="T406" s="5">
        <f t="shared" si="138"/>
        <v>8358</v>
      </c>
      <c r="U406" s="5">
        <f t="shared" si="139"/>
        <v>11144</v>
      </c>
      <c r="V406" s="5">
        <f>B406*战斗力计算!$B$8+C406*战斗力计算!$B$9+D406*战斗力计算!$B$10+E406*战斗力计算!$B$11+F406*战斗力计算!$B$12</f>
        <v>175000</v>
      </c>
      <c r="W406" s="5">
        <f>G406*战斗力计算!$B$8+H406*战斗力计算!$B$9+I406*战斗力计算!$B$10+J406*战斗力计算!$B$11+K406*战斗力计算!$B$12+L406*战斗力计算!$B$8+M406*战斗力计算!$B$9+N406*战斗力计算!$B$10+O406*战斗力计算!$B$11+P406*战斗力计算!$B$12</f>
        <v>1050000</v>
      </c>
      <c r="X406" s="5">
        <f t="shared" si="140"/>
        <v>1225000</v>
      </c>
      <c r="AC406">
        <f t="shared" si="144"/>
        <v>4</v>
      </c>
      <c r="AD406">
        <f t="shared" si="145"/>
        <v>2</v>
      </c>
      <c r="AF406">
        <f t="shared" si="146"/>
        <v>0.75</v>
      </c>
      <c r="AH406">
        <f t="shared" si="147"/>
        <v>12</v>
      </c>
      <c r="AK406">
        <f t="shared" si="148"/>
        <v>6.0302267002518892</v>
      </c>
      <c r="AL406">
        <f t="shared" si="149"/>
        <v>1.5025188916876575</v>
      </c>
      <c r="AM406">
        <f t="shared" si="150"/>
        <v>1</v>
      </c>
      <c r="AN406">
        <f t="shared" si="151"/>
        <v>6.0302267002518892</v>
      </c>
      <c r="AO406">
        <f t="shared" si="152"/>
        <v>1.5025188916876575</v>
      </c>
      <c r="AP406">
        <f t="shared" si="153"/>
        <v>1</v>
      </c>
      <c r="AR406">
        <f t="shared" si="154"/>
        <v>4.4962311557788945</v>
      </c>
      <c r="AT406">
        <f t="shared" si="155"/>
        <v>4.4962311557788945</v>
      </c>
      <c r="AV406">
        <f t="shared" si="156"/>
        <v>4175</v>
      </c>
      <c r="AW406">
        <f t="shared" si="157"/>
        <v>7754</v>
      </c>
    </row>
    <row r="407" spans="1:49" x14ac:dyDescent="0.15">
      <c r="A407" s="5">
        <v>397</v>
      </c>
      <c r="B407" s="5">
        <f t="shared" si="143"/>
        <v>24000</v>
      </c>
      <c r="C407" s="5">
        <f t="shared" si="143"/>
        <v>5980</v>
      </c>
      <c r="D407" s="5">
        <f t="shared" si="143"/>
        <v>3980</v>
      </c>
      <c r="E407" s="5">
        <f t="shared" si="143"/>
        <v>1197</v>
      </c>
      <c r="F407" s="5">
        <f t="shared" si="143"/>
        <v>1596</v>
      </c>
      <c r="G407" s="5">
        <f t="shared" si="141"/>
        <v>96000</v>
      </c>
      <c r="H407" s="5">
        <f t="shared" si="141"/>
        <v>23920</v>
      </c>
      <c r="I407" s="5">
        <f t="shared" si="141"/>
        <v>15920</v>
      </c>
      <c r="J407" s="5">
        <f t="shared" si="141"/>
        <v>4788</v>
      </c>
      <c r="K407" s="5">
        <f t="shared" si="141"/>
        <v>6384</v>
      </c>
      <c r="L407" s="5">
        <f t="shared" si="142"/>
        <v>48000</v>
      </c>
      <c r="M407" s="5">
        <f t="shared" si="142"/>
        <v>11960</v>
      </c>
      <c r="N407" s="5">
        <f t="shared" si="142"/>
        <v>7960</v>
      </c>
      <c r="O407" s="5">
        <f t="shared" si="142"/>
        <v>2394</v>
      </c>
      <c r="P407" s="5">
        <f t="shared" si="142"/>
        <v>3192</v>
      </c>
      <c r="Q407" s="5">
        <f t="shared" si="135"/>
        <v>168000</v>
      </c>
      <c r="R407" s="5">
        <f t="shared" si="136"/>
        <v>41860</v>
      </c>
      <c r="S407" s="5">
        <f t="shared" si="137"/>
        <v>27860</v>
      </c>
      <c r="T407" s="5">
        <f t="shared" si="138"/>
        <v>8379</v>
      </c>
      <c r="U407" s="5">
        <f t="shared" si="139"/>
        <v>11172</v>
      </c>
      <c r="V407" s="5">
        <f>B407*战斗力计算!$B$8+C407*战斗力计算!$B$9+D407*战斗力计算!$B$10+E407*战斗力计算!$B$11+F407*战斗力计算!$B$12</f>
        <v>175440</v>
      </c>
      <c r="W407" s="5">
        <f>G407*战斗力计算!$B$8+H407*战斗力计算!$B$9+I407*战斗力计算!$B$10+J407*战斗力计算!$B$11+K407*战斗力计算!$B$12+L407*战斗力计算!$B$8+M407*战斗力计算!$B$9+N407*战斗力计算!$B$10+O407*战斗力计算!$B$11+P407*战斗力计算!$B$12</f>
        <v>1052640</v>
      </c>
      <c r="X407" s="5">
        <f t="shared" si="140"/>
        <v>1228080</v>
      </c>
      <c r="AC407">
        <f t="shared" si="144"/>
        <v>4</v>
      </c>
      <c r="AD407">
        <f t="shared" si="145"/>
        <v>2</v>
      </c>
      <c r="AF407">
        <f t="shared" si="146"/>
        <v>0.75</v>
      </c>
      <c r="AH407">
        <f t="shared" si="147"/>
        <v>12</v>
      </c>
      <c r="AK407">
        <f t="shared" si="148"/>
        <v>6.0301507537688446</v>
      </c>
      <c r="AL407">
        <f t="shared" si="149"/>
        <v>1.5025125628140703</v>
      </c>
      <c r="AM407">
        <f t="shared" si="150"/>
        <v>1</v>
      </c>
      <c r="AN407">
        <f t="shared" si="151"/>
        <v>6.0301507537688446</v>
      </c>
      <c r="AO407">
        <f t="shared" si="152"/>
        <v>1.5025125628140703</v>
      </c>
      <c r="AP407">
        <f t="shared" si="153"/>
        <v>1</v>
      </c>
      <c r="AR407">
        <f t="shared" si="154"/>
        <v>4.496240601503759</v>
      </c>
      <c r="AT407">
        <f t="shared" si="155"/>
        <v>4.496240601503759</v>
      </c>
      <c r="AV407">
        <f t="shared" si="156"/>
        <v>4186</v>
      </c>
      <c r="AW407">
        <f t="shared" si="157"/>
        <v>7774</v>
      </c>
    </row>
    <row r="408" spans="1:49" x14ac:dyDescent="0.15">
      <c r="A408" s="5">
        <v>398</v>
      </c>
      <c r="B408" s="5">
        <f t="shared" si="143"/>
        <v>24060</v>
      </c>
      <c r="C408" s="5">
        <f t="shared" si="143"/>
        <v>5995</v>
      </c>
      <c r="D408" s="5">
        <f t="shared" si="143"/>
        <v>3990</v>
      </c>
      <c r="E408" s="5">
        <f t="shared" si="143"/>
        <v>1200</v>
      </c>
      <c r="F408" s="5">
        <f t="shared" si="143"/>
        <v>1600</v>
      </c>
      <c r="G408" s="5">
        <f t="shared" si="141"/>
        <v>96240</v>
      </c>
      <c r="H408" s="5">
        <f t="shared" si="141"/>
        <v>23980</v>
      </c>
      <c r="I408" s="5">
        <f t="shared" si="141"/>
        <v>15960</v>
      </c>
      <c r="J408" s="5">
        <f t="shared" si="141"/>
        <v>4800</v>
      </c>
      <c r="K408" s="5">
        <f t="shared" si="141"/>
        <v>6400</v>
      </c>
      <c r="L408" s="5">
        <f t="shared" si="142"/>
        <v>48120</v>
      </c>
      <c r="M408" s="5">
        <f t="shared" si="142"/>
        <v>11990</v>
      </c>
      <c r="N408" s="5">
        <f t="shared" si="142"/>
        <v>7980</v>
      </c>
      <c r="O408" s="5">
        <f t="shared" si="142"/>
        <v>2400</v>
      </c>
      <c r="P408" s="5">
        <f t="shared" si="142"/>
        <v>3200</v>
      </c>
      <c r="Q408" s="5">
        <f t="shared" si="135"/>
        <v>168420</v>
      </c>
      <c r="R408" s="5">
        <f t="shared" si="136"/>
        <v>41965</v>
      </c>
      <c r="S408" s="5">
        <f t="shared" si="137"/>
        <v>27930</v>
      </c>
      <c r="T408" s="5">
        <f t="shared" si="138"/>
        <v>8400</v>
      </c>
      <c r="U408" s="5">
        <f t="shared" si="139"/>
        <v>11200</v>
      </c>
      <c r="V408" s="5">
        <f>B408*战斗力计算!$B$8+C408*战斗力计算!$B$9+D408*战斗力计算!$B$10+E408*战斗力计算!$B$11+F408*战斗力计算!$B$12</f>
        <v>175880</v>
      </c>
      <c r="W408" s="5">
        <f>G408*战斗力计算!$B$8+H408*战斗力计算!$B$9+I408*战斗力计算!$B$10+J408*战斗力计算!$B$11+K408*战斗力计算!$B$12+L408*战斗力计算!$B$8+M408*战斗力计算!$B$9+N408*战斗力计算!$B$10+O408*战斗力计算!$B$11+P408*战斗力计算!$B$12</f>
        <v>1055280</v>
      </c>
      <c r="X408" s="5">
        <f t="shared" si="140"/>
        <v>1231160</v>
      </c>
      <c r="AC408">
        <f t="shared" si="144"/>
        <v>4</v>
      </c>
      <c r="AD408">
        <f t="shared" si="145"/>
        <v>2</v>
      </c>
      <c r="AF408">
        <f t="shared" si="146"/>
        <v>0.75</v>
      </c>
      <c r="AH408">
        <f t="shared" si="147"/>
        <v>12</v>
      </c>
      <c r="AK408">
        <f t="shared" si="148"/>
        <v>6.030075187969925</v>
      </c>
      <c r="AL408">
        <f t="shared" si="149"/>
        <v>1.5025062656641603</v>
      </c>
      <c r="AM408">
        <f t="shared" si="150"/>
        <v>1</v>
      </c>
      <c r="AN408">
        <f t="shared" si="151"/>
        <v>6.030075187969925</v>
      </c>
      <c r="AO408">
        <f t="shared" si="152"/>
        <v>1.5025062656641603</v>
      </c>
      <c r="AP408">
        <f t="shared" si="153"/>
        <v>1</v>
      </c>
      <c r="AR408">
        <f t="shared" si="154"/>
        <v>4.4962499999999999</v>
      </c>
      <c r="AT408">
        <f t="shared" si="155"/>
        <v>4.4962499999999999</v>
      </c>
      <c r="AV408">
        <f t="shared" si="156"/>
        <v>4196</v>
      </c>
      <c r="AW408">
        <f t="shared" si="157"/>
        <v>7793</v>
      </c>
    </row>
    <row r="409" spans="1:49" x14ac:dyDescent="0.15">
      <c r="A409" s="5">
        <v>399</v>
      </c>
      <c r="B409" s="5">
        <f t="shared" si="143"/>
        <v>24120</v>
      </c>
      <c r="C409" s="5">
        <f t="shared" si="143"/>
        <v>6010</v>
      </c>
      <c r="D409" s="5">
        <f t="shared" si="143"/>
        <v>4000</v>
      </c>
      <c r="E409" s="5">
        <f t="shared" si="143"/>
        <v>1203</v>
      </c>
      <c r="F409" s="5">
        <f t="shared" si="143"/>
        <v>1604</v>
      </c>
      <c r="G409" s="5">
        <f t="shared" si="141"/>
        <v>96480</v>
      </c>
      <c r="H409" s="5">
        <f t="shared" si="141"/>
        <v>24040</v>
      </c>
      <c r="I409" s="5">
        <f t="shared" si="141"/>
        <v>16000</v>
      </c>
      <c r="J409" s="5">
        <f t="shared" si="141"/>
        <v>4812</v>
      </c>
      <c r="K409" s="5">
        <f t="shared" si="141"/>
        <v>6416</v>
      </c>
      <c r="L409" s="5">
        <f t="shared" si="142"/>
        <v>48240</v>
      </c>
      <c r="M409" s="5">
        <f t="shared" si="142"/>
        <v>12020</v>
      </c>
      <c r="N409" s="5">
        <f t="shared" si="142"/>
        <v>8000</v>
      </c>
      <c r="O409" s="5">
        <f t="shared" si="142"/>
        <v>2406</v>
      </c>
      <c r="P409" s="5">
        <f t="shared" si="142"/>
        <v>3208</v>
      </c>
      <c r="Q409" s="5">
        <f t="shared" si="135"/>
        <v>168840</v>
      </c>
      <c r="R409" s="5">
        <f t="shared" si="136"/>
        <v>42070</v>
      </c>
      <c r="S409" s="5">
        <f t="shared" si="137"/>
        <v>28000</v>
      </c>
      <c r="T409" s="5">
        <f t="shared" si="138"/>
        <v>8421</v>
      </c>
      <c r="U409" s="5">
        <f t="shared" si="139"/>
        <v>11228</v>
      </c>
      <c r="V409" s="5">
        <f>B409*战斗力计算!$B$8+C409*战斗力计算!$B$9+D409*战斗力计算!$B$10+E409*战斗力计算!$B$11+F409*战斗力计算!$B$12</f>
        <v>176320</v>
      </c>
      <c r="W409" s="5">
        <f>G409*战斗力计算!$B$8+H409*战斗力计算!$B$9+I409*战斗力计算!$B$10+J409*战斗力计算!$B$11+K409*战斗力计算!$B$12+L409*战斗力计算!$B$8+M409*战斗力计算!$B$9+N409*战斗力计算!$B$10+O409*战斗力计算!$B$11+P409*战斗力计算!$B$12</f>
        <v>1057920</v>
      </c>
      <c r="X409" s="5">
        <f t="shared" si="140"/>
        <v>1234240</v>
      </c>
      <c r="AC409">
        <f t="shared" si="144"/>
        <v>4</v>
      </c>
      <c r="AD409">
        <f t="shared" si="145"/>
        <v>2</v>
      </c>
      <c r="AF409">
        <f t="shared" si="146"/>
        <v>0.75</v>
      </c>
      <c r="AH409">
        <f t="shared" si="147"/>
        <v>12</v>
      </c>
      <c r="AK409">
        <f t="shared" si="148"/>
        <v>6.03</v>
      </c>
      <c r="AL409">
        <f t="shared" si="149"/>
        <v>1.5024999999999999</v>
      </c>
      <c r="AM409">
        <f t="shared" si="150"/>
        <v>1</v>
      </c>
      <c r="AN409">
        <f t="shared" si="151"/>
        <v>6.03</v>
      </c>
      <c r="AO409">
        <f t="shared" si="152"/>
        <v>1.5024999999999999</v>
      </c>
      <c r="AP409">
        <f t="shared" si="153"/>
        <v>1</v>
      </c>
      <c r="AR409">
        <f t="shared" si="154"/>
        <v>4.4962593516209477</v>
      </c>
      <c r="AT409">
        <f t="shared" si="155"/>
        <v>4.4962593516209477</v>
      </c>
      <c r="AV409">
        <f t="shared" si="156"/>
        <v>4207</v>
      </c>
      <c r="AW409">
        <f t="shared" si="157"/>
        <v>7813</v>
      </c>
    </row>
    <row r="410" spans="1:49" x14ac:dyDescent="0.15">
      <c r="A410" s="5">
        <v>400</v>
      </c>
      <c r="B410" s="5">
        <f t="shared" si="143"/>
        <v>24180</v>
      </c>
      <c r="C410" s="5">
        <f t="shared" si="143"/>
        <v>6025</v>
      </c>
      <c r="D410" s="5">
        <f t="shared" si="143"/>
        <v>4010</v>
      </c>
      <c r="E410" s="5">
        <f t="shared" si="143"/>
        <v>1206</v>
      </c>
      <c r="F410" s="5">
        <f t="shared" si="143"/>
        <v>1608</v>
      </c>
      <c r="G410" s="5">
        <f t="shared" si="141"/>
        <v>96720</v>
      </c>
      <c r="H410" s="5">
        <f t="shared" si="141"/>
        <v>24100</v>
      </c>
      <c r="I410" s="5">
        <f t="shared" si="141"/>
        <v>16040</v>
      </c>
      <c r="J410" s="5">
        <f t="shared" si="141"/>
        <v>4824</v>
      </c>
      <c r="K410" s="5">
        <f t="shared" si="141"/>
        <v>6432</v>
      </c>
      <c r="L410" s="5">
        <f t="shared" si="142"/>
        <v>48360</v>
      </c>
      <c r="M410" s="5">
        <f t="shared" si="142"/>
        <v>12050</v>
      </c>
      <c r="N410" s="5">
        <f t="shared" si="142"/>
        <v>8020</v>
      </c>
      <c r="O410" s="5">
        <f t="shared" si="142"/>
        <v>2412</v>
      </c>
      <c r="P410" s="5">
        <f t="shared" si="142"/>
        <v>3216</v>
      </c>
      <c r="Q410" s="5">
        <f t="shared" si="135"/>
        <v>169260</v>
      </c>
      <c r="R410" s="5">
        <f t="shared" si="136"/>
        <v>42175</v>
      </c>
      <c r="S410" s="5">
        <f t="shared" si="137"/>
        <v>28070</v>
      </c>
      <c r="T410" s="5">
        <f t="shared" si="138"/>
        <v>8442</v>
      </c>
      <c r="U410" s="5">
        <f t="shared" si="139"/>
        <v>11256</v>
      </c>
      <c r="V410" s="5">
        <f>B410*战斗力计算!$B$8+C410*战斗力计算!$B$9+D410*战斗力计算!$B$10+E410*战斗力计算!$B$11+F410*战斗力计算!$B$12</f>
        <v>176760</v>
      </c>
      <c r="W410" s="5">
        <f>G410*战斗力计算!$B$8+H410*战斗力计算!$B$9+I410*战斗力计算!$B$10+J410*战斗力计算!$B$11+K410*战斗力计算!$B$12+L410*战斗力计算!$B$8+M410*战斗力计算!$B$9+N410*战斗力计算!$B$10+O410*战斗力计算!$B$11+P410*战斗力计算!$B$12</f>
        <v>1060560</v>
      </c>
      <c r="X410" s="5">
        <f t="shared" si="140"/>
        <v>1237320</v>
      </c>
      <c r="AC410">
        <f t="shared" si="144"/>
        <v>4</v>
      </c>
      <c r="AD410">
        <f t="shared" si="145"/>
        <v>2</v>
      </c>
      <c r="AF410">
        <f t="shared" si="146"/>
        <v>0.75</v>
      </c>
      <c r="AH410">
        <f t="shared" si="147"/>
        <v>12</v>
      </c>
      <c r="AK410">
        <f t="shared" si="148"/>
        <v>6.0299251870324193</v>
      </c>
      <c r="AL410">
        <f t="shared" si="149"/>
        <v>1.5024937655860349</v>
      </c>
      <c r="AM410">
        <f t="shared" si="150"/>
        <v>1</v>
      </c>
      <c r="AN410">
        <f t="shared" si="151"/>
        <v>6.0299251870324193</v>
      </c>
      <c r="AO410">
        <f t="shared" si="152"/>
        <v>1.5024937655860349</v>
      </c>
      <c r="AP410">
        <f t="shared" si="153"/>
        <v>1</v>
      </c>
      <c r="AR410">
        <f t="shared" si="154"/>
        <v>4.4962686567164178</v>
      </c>
      <c r="AT410">
        <f t="shared" si="155"/>
        <v>4.4962686567164178</v>
      </c>
      <c r="AV410">
        <f t="shared" si="156"/>
        <v>4217</v>
      </c>
      <c r="AW410">
        <f t="shared" si="157"/>
        <v>7832</v>
      </c>
    </row>
    <row r="411" spans="1:49" x14ac:dyDescent="0.15">
      <c r="A411" s="5">
        <v>401</v>
      </c>
      <c r="B411" s="5">
        <f t="shared" si="143"/>
        <v>24240</v>
      </c>
      <c r="C411" s="5">
        <f t="shared" si="143"/>
        <v>6040</v>
      </c>
      <c r="D411" s="5">
        <f t="shared" si="143"/>
        <v>4020</v>
      </c>
      <c r="E411" s="5">
        <f t="shared" si="143"/>
        <v>1209</v>
      </c>
      <c r="F411" s="5">
        <f t="shared" si="143"/>
        <v>1612</v>
      </c>
      <c r="G411" s="5">
        <f t="shared" si="141"/>
        <v>96960</v>
      </c>
      <c r="H411" s="5">
        <f t="shared" si="141"/>
        <v>24160</v>
      </c>
      <c r="I411" s="5">
        <f t="shared" si="141"/>
        <v>16080</v>
      </c>
      <c r="J411" s="5">
        <f t="shared" si="141"/>
        <v>4836</v>
      </c>
      <c r="K411" s="5">
        <f t="shared" si="141"/>
        <v>6448</v>
      </c>
      <c r="L411" s="5">
        <f t="shared" si="142"/>
        <v>48480</v>
      </c>
      <c r="M411" s="5">
        <f t="shared" si="142"/>
        <v>12080</v>
      </c>
      <c r="N411" s="5">
        <f t="shared" si="142"/>
        <v>8040</v>
      </c>
      <c r="O411" s="5">
        <f t="shared" si="142"/>
        <v>2418</v>
      </c>
      <c r="P411" s="5">
        <f t="shared" si="142"/>
        <v>3224</v>
      </c>
      <c r="Q411" s="5">
        <f t="shared" si="135"/>
        <v>169680</v>
      </c>
      <c r="R411" s="5">
        <f t="shared" si="136"/>
        <v>42280</v>
      </c>
      <c r="S411" s="5">
        <f t="shared" si="137"/>
        <v>28140</v>
      </c>
      <c r="T411" s="5">
        <f t="shared" si="138"/>
        <v>8463</v>
      </c>
      <c r="U411" s="5">
        <f t="shared" si="139"/>
        <v>11284</v>
      </c>
      <c r="V411" s="5">
        <f>B411*战斗力计算!$B$8+C411*战斗力计算!$B$9+D411*战斗力计算!$B$10+E411*战斗力计算!$B$11+F411*战斗力计算!$B$12</f>
        <v>177200</v>
      </c>
      <c r="W411" s="5">
        <f>G411*战斗力计算!$B$8+H411*战斗力计算!$B$9+I411*战斗力计算!$B$10+J411*战斗力计算!$B$11+K411*战斗力计算!$B$12+L411*战斗力计算!$B$8+M411*战斗力计算!$B$9+N411*战斗力计算!$B$10+O411*战斗力计算!$B$11+P411*战斗力计算!$B$12</f>
        <v>1063200</v>
      </c>
      <c r="X411" s="5">
        <f t="shared" si="140"/>
        <v>1240400</v>
      </c>
      <c r="AC411">
        <f t="shared" si="144"/>
        <v>4</v>
      </c>
      <c r="AD411">
        <f t="shared" si="145"/>
        <v>2</v>
      </c>
      <c r="AF411">
        <f t="shared" si="146"/>
        <v>0.75</v>
      </c>
      <c r="AH411">
        <f t="shared" si="147"/>
        <v>12</v>
      </c>
      <c r="AK411">
        <f t="shared" si="148"/>
        <v>6.0298507462686564</v>
      </c>
      <c r="AL411">
        <f t="shared" si="149"/>
        <v>1.5024875621890548</v>
      </c>
      <c r="AM411">
        <f t="shared" si="150"/>
        <v>1</v>
      </c>
      <c r="AN411">
        <f t="shared" si="151"/>
        <v>6.0298507462686564</v>
      </c>
      <c r="AO411">
        <f t="shared" si="152"/>
        <v>1.5024875621890548</v>
      </c>
      <c r="AP411">
        <f t="shared" si="153"/>
        <v>1</v>
      </c>
      <c r="AR411">
        <f t="shared" si="154"/>
        <v>4.4962779156327546</v>
      </c>
      <c r="AT411">
        <f t="shared" si="155"/>
        <v>4.4962779156327546</v>
      </c>
      <c r="AV411">
        <f t="shared" si="156"/>
        <v>4228</v>
      </c>
      <c r="AW411">
        <f t="shared" si="157"/>
        <v>7852</v>
      </c>
    </row>
    <row r="412" spans="1:49" x14ac:dyDescent="0.15">
      <c r="A412" s="5">
        <v>402</v>
      </c>
      <c r="B412" s="5">
        <f t="shared" si="143"/>
        <v>24300</v>
      </c>
      <c r="C412" s="5">
        <f t="shared" si="143"/>
        <v>6055</v>
      </c>
      <c r="D412" s="5">
        <f t="shared" si="143"/>
        <v>4030</v>
      </c>
      <c r="E412" s="5">
        <f t="shared" si="143"/>
        <v>1212</v>
      </c>
      <c r="F412" s="5">
        <f t="shared" si="143"/>
        <v>1616</v>
      </c>
      <c r="G412" s="5">
        <f t="shared" si="141"/>
        <v>97200</v>
      </c>
      <c r="H412" s="5">
        <f t="shared" si="141"/>
        <v>24220</v>
      </c>
      <c r="I412" s="5">
        <f t="shared" si="141"/>
        <v>16120</v>
      </c>
      <c r="J412" s="5">
        <f t="shared" si="141"/>
        <v>4848</v>
      </c>
      <c r="K412" s="5">
        <f t="shared" si="141"/>
        <v>6464</v>
      </c>
      <c r="L412" s="5">
        <f t="shared" si="142"/>
        <v>48600</v>
      </c>
      <c r="M412" s="5">
        <f t="shared" si="142"/>
        <v>12110</v>
      </c>
      <c r="N412" s="5">
        <f t="shared" si="142"/>
        <v>8060</v>
      </c>
      <c r="O412" s="5">
        <f t="shared" si="142"/>
        <v>2424</v>
      </c>
      <c r="P412" s="5">
        <f t="shared" si="142"/>
        <v>3232</v>
      </c>
      <c r="Q412" s="5">
        <f t="shared" si="135"/>
        <v>170100</v>
      </c>
      <c r="R412" s="5">
        <f t="shared" si="136"/>
        <v>42385</v>
      </c>
      <c r="S412" s="5">
        <f t="shared" si="137"/>
        <v>28210</v>
      </c>
      <c r="T412" s="5">
        <f t="shared" si="138"/>
        <v>8484</v>
      </c>
      <c r="U412" s="5">
        <f t="shared" si="139"/>
        <v>11312</v>
      </c>
      <c r="V412" s="5">
        <f>B412*战斗力计算!$B$8+C412*战斗力计算!$B$9+D412*战斗力计算!$B$10+E412*战斗力计算!$B$11+F412*战斗力计算!$B$12</f>
        <v>177640</v>
      </c>
      <c r="W412" s="5">
        <f>G412*战斗力计算!$B$8+H412*战斗力计算!$B$9+I412*战斗力计算!$B$10+J412*战斗力计算!$B$11+K412*战斗力计算!$B$12+L412*战斗力计算!$B$8+M412*战斗力计算!$B$9+N412*战斗力计算!$B$10+O412*战斗力计算!$B$11+P412*战斗力计算!$B$12</f>
        <v>1065840</v>
      </c>
      <c r="X412" s="5">
        <f t="shared" si="140"/>
        <v>1243480</v>
      </c>
      <c r="AC412">
        <f t="shared" si="144"/>
        <v>4</v>
      </c>
      <c r="AD412">
        <f t="shared" si="145"/>
        <v>2</v>
      </c>
      <c r="AF412">
        <f t="shared" si="146"/>
        <v>0.75</v>
      </c>
      <c r="AH412">
        <f t="shared" si="147"/>
        <v>12</v>
      </c>
      <c r="AK412">
        <f t="shared" si="148"/>
        <v>6.0297766749379651</v>
      </c>
      <c r="AL412">
        <f t="shared" si="149"/>
        <v>1.5024813895781637</v>
      </c>
      <c r="AM412">
        <f t="shared" si="150"/>
        <v>1</v>
      </c>
      <c r="AN412">
        <f t="shared" si="151"/>
        <v>6.0297766749379651</v>
      </c>
      <c r="AO412">
        <f t="shared" si="152"/>
        <v>1.5024813895781637</v>
      </c>
      <c r="AP412">
        <f t="shared" si="153"/>
        <v>1</v>
      </c>
      <c r="AR412">
        <f t="shared" si="154"/>
        <v>4.4962871287128712</v>
      </c>
      <c r="AT412">
        <f t="shared" si="155"/>
        <v>4.4962871287128712</v>
      </c>
      <c r="AV412">
        <f t="shared" si="156"/>
        <v>4238</v>
      </c>
      <c r="AW412">
        <f t="shared" si="157"/>
        <v>7871</v>
      </c>
    </row>
    <row r="413" spans="1:49" x14ac:dyDescent="0.15">
      <c r="A413" s="5">
        <v>403</v>
      </c>
      <c r="B413" s="5">
        <f t="shared" si="143"/>
        <v>24360</v>
      </c>
      <c r="C413" s="5">
        <f t="shared" si="143"/>
        <v>6070</v>
      </c>
      <c r="D413" s="5">
        <f t="shared" si="143"/>
        <v>4040</v>
      </c>
      <c r="E413" s="5">
        <f t="shared" si="143"/>
        <v>1215</v>
      </c>
      <c r="F413" s="5">
        <f t="shared" si="143"/>
        <v>1620</v>
      </c>
      <c r="G413" s="5">
        <f t="shared" si="141"/>
        <v>97440</v>
      </c>
      <c r="H413" s="5">
        <f t="shared" si="141"/>
        <v>24280</v>
      </c>
      <c r="I413" s="5">
        <f t="shared" si="141"/>
        <v>16160</v>
      </c>
      <c r="J413" s="5">
        <f t="shared" si="141"/>
        <v>4860</v>
      </c>
      <c r="K413" s="5">
        <f t="shared" si="141"/>
        <v>6480</v>
      </c>
      <c r="L413" s="5">
        <f t="shared" si="142"/>
        <v>48720</v>
      </c>
      <c r="M413" s="5">
        <f t="shared" si="142"/>
        <v>12140</v>
      </c>
      <c r="N413" s="5">
        <f t="shared" si="142"/>
        <v>8080</v>
      </c>
      <c r="O413" s="5">
        <f t="shared" si="142"/>
        <v>2430</v>
      </c>
      <c r="P413" s="5">
        <f t="shared" si="142"/>
        <v>3240</v>
      </c>
      <c r="Q413" s="5">
        <f t="shared" si="135"/>
        <v>170520</v>
      </c>
      <c r="R413" s="5">
        <f t="shared" si="136"/>
        <v>42490</v>
      </c>
      <c r="S413" s="5">
        <f t="shared" si="137"/>
        <v>28280</v>
      </c>
      <c r="T413" s="5">
        <f t="shared" si="138"/>
        <v>8505</v>
      </c>
      <c r="U413" s="5">
        <f t="shared" si="139"/>
        <v>11340</v>
      </c>
      <c r="V413" s="5">
        <f>B413*战斗力计算!$B$8+C413*战斗力计算!$B$9+D413*战斗力计算!$B$10+E413*战斗力计算!$B$11+F413*战斗力计算!$B$12</f>
        <v>178080</v>
      </c>
      <c r="W413" s="5">
        <f>G413*战斗力计算!$B$8+H413*战斗力计算!$B$9+I413*战斗力计算!$B$10+J413*战斗力计算!$B$11+K413*战斗力计算!$B$12+L413*战斗力计算!$B$8+M413*战斗力计算!$B$9+N413*战斗力计算!$B$10+O413*战斗力计算!$B$11+P413*战斗力计算!$B$12</f>
        <v>1068480</v>
      </c>
      <c r="X413" s="5">
        <f t="shared" si="140"/>
        <v>1246560</v>
      </c>
      <c r="AC413">
        <f t="shared" si="144"/>
        <v>4</v>
      </c>
      <c r="AD413">
        <f t="shared" si="145"/>
        <v>2</v>
      </c>
      <c r="AF413">
        <f t="shared" si="146"/>
        <v>0.75</v>
      </c>
      <c r="AH413">
        <f t="shared" si="147"/>
        <v>12</v>
      </c>
      <c r="AK413">
        <f t="shared" si="148"/>
        <v>6.0297029702970297</v>
      </c>
      <c r="AL413">
        <f t="shared" si="149"/>
        <v>1.5024752475247525</v>
      </c>
      <c r="AM413">
        <f t="shared" si="150"/>
        <v>1</v>
      </c>
      <c r="AN413">
        <f t="shared" si="151"/>
        <v>6.0297029702970297</v>
      </c>
      <c r="AO413">
        <f t="shared" si="152"/>
        <v>1.5024752475247525</v>
      </c>
      <c r="AP413">
        <f t="shared" si="153"/>
        <v>1</v>
      </c>
      <c r="AR413">
        <f t="shared" si="154"/>
        <v>4.496296296296296</v>
      </c>
      <c r="AT413">
        <f t="shared" si="155"/>
        <v>4.496296296296296</v>
      </c>
      <c r="AV413">
        <f t="shared" si="156"/>
        <v>4249</v>
      </c>
      <c r="AW413">
        <f t="shared" si="157"/>
        <v>7891</v>
      </c>
    </row>
    <row r="414" spans="1:49" x14ac:dyDescent="0.15">
      <c r="A414" s="5">
        <v>404</v>
      </c>
      <c r="B414" s="5">
        <f t="shared" si="143"/>
        <v>24420</v>
      </c>
      <c r="C414" s="5">
        <f t="shared" si="143"/>
        <v>6085</v>
      </c>
      <c r="D414" s="5">
        <f t="shared" si="143"/>
        <v>4050</v>
      </c>
      <c r="E414" s="5">
        <f t="shared" si="143"/>
        <v>1218</v>
      </c>
      <c r="F414" s="5">
        <f t="shared" si="143"/>
        <v>1624</v>
      </c>
      <c r="G414" s="5">
        <f t="shared" si="141"/>
        <v>97680</v>
      </c>
      <c r="H414" s="5">
        <f t="shared" si="141"/>
        <v>24340</v>
      </c>
      <c r="I414" s="5">
        <f t="shared" si="141"/>
        <v>16200</v>
      </c>
      <c r="J414" s="5">
        <f t="shared" si="141"/>
        <v>4872</v>
      </c>
      <c r="K414" s="5">
        <f t="shared" si="141"/>
        <v>6496</v>
      </c>
      <c r="L414" s="5">
        <f t="shared" si="142"/>
        <v>48840</v>
      </c>
      <c r="M414" s="5">
        <f t="shared" si="142"/>
        <v>12170</v>
      </c>
      <c r="N414" s="5">
        <f t="shared" si="142"/>
        <v>8100</v>
      </c>
      <c r="O414" s="5">
        <f t="shared" si="142"/>
        <v>2436</v>
      </c>
      <c r="P414" s="5">
        <f t="shared" si="142"/>
        <v>3248</v>
      </c>
      <c r="Q414" s="5">
        <f t="shared" si="135"/>
        <v>170940</v>
      </c>
      <c r="R414" s="5">
        <f t="shared" si="136"/>
        <v>42595</v>
      </c>
      <c r="S414" s="5">
        <f t="shared" si="137"/>
        <v>28350</v>
      </c>
      <c r="T414" s="5">
        <f t="shared" si="138"/>
        <v>8526</v>
      </c>
      <c r="U414" s="5">
        <f t="shared" si="139"/>
        <v>11368</v>
      </c>
      <c r="V414" s="5">
        <f>B414*战斗力计算!$B$8+C414*战斗力计算!$B$9+D414*战斗力计算!$B$10+E414*战斗力计算!$B$11+F414*战斗力计算!$B$12</f>
        <v>178520</v>
      </c>
      <c r="W414" s="5">
        <f>G414*战斗力计算!$B$8+H414*战斗力计算!$B$9+I414*战斗力计算!$B$10+J414*战斗力计算!$B$11+K414*战斗力计算!$B$12+L414*战斗力计算!$B$8+M414*战斗力计算!$B$9+N414*战斗力计算!$B$10+O414*战斗力计算!$B$11+P414*战斗力计算!$B$12</f>
        <v>1071120</v>
      </c>
      <c r="X414" s="5">
        <f t="shared" si="140"/>
        <v>1249640</v>
      </c>
      <c r="AC414">
        <f t="shared" si="144"/>
        <v>4</v>
      </c>
      <c r="AD414">
        <f t="shared" si="145"/>
        <v>2</v>
      </c>
      <c r="AF414">
        <f t="shared" si="146"/>
        <v>0.75</v>
      </c>
      <c r="AH414">
        <f t="shared" si="147"/>
        <v>12</v>
      </c>
      <c r="AK414">
        <f t="shared" si="148"/>
        <v>6.0296296296296292</v>
      </c>
      <c r="AL414">
        <f t="shared" si="149"/>
        <v>1.5024691358024691</v>
      </c>
      <c r="AM414">
        <f t="shared" si="150"/>
        <v>1</v>
      </c>
      <c r="AN414">
        <f t="shared" si="151"/>
        <v>6.0296296296296292</v>
      </c>
      <c r="AO414">
        <f t="shared" si="152"/>
        <v>1.5024691358024691</v>
      </c>
      <c r="AP414">
        <f t="shared" si="153"/>
        <v>1</v>
      </c>
      <c r="AR414">
        <f t="shared" si="154"/>
        <v>4.4963054187192117</v>
      </c>
      <c r="AT414">
        <f t="shared" si="155"/>
        <v>4.4963054187192117</v>
      </c>
      <c r="AV414">
        <f t="shared" si="156"/>
        <v>4259</v>
      </c>
      <c r="AW414">
        <f t="shared" si="157"/>
        <v>7910</v>
      </c>
    </row>
    <row r="415" spans="1:49" x14ac:dyDescent="0.15">
      <c r="A415" s="5">
        <v>405</v>
      </c>
      <c r="B415" s="5">
        <f t="shared" si="143"/>
        <v>24480</v>
      </c>
      <c r="C415" s="5">
        <f t="shared" si="143"/>
        <v>6100</v>
      </c>
      <c r="D415" s="5">
        <f t="shared" si="143"/>
        <v>4060</v>
      </c>
      <c r="E415" s="5">
        <f t="shared" si="143"/>
        <v>1221</v>
      </c>
      <c r="F415" s="5">
        <f t="shared" si="143"/>
        <v>1628</v>
      </c>
      <c r="G415" s="5">
        <f t="shared" si="141"/>
        <v>97920</v>
      </c>
      <c r="H415" s="5">
        <f t="shared" si="141"/>
        <v>24400</v>
      </c>
      <c r="I415" s="5">
        <f t="shared" si="141"/>
        <v>16240</v>
      </c>
      <c r="J415" s="5">
        <f t="shared" si="141"/>
        <v>4884</v>
      </c>
      <c r="K415" s="5">
        <f t="shared" si="141"/>
        <v>6512</v>
      </c>
      <c r="L415" s="5">
        <f t="shared" si="142"/>
        <v>48960</v>
      </c>
      <c r="M415" s="5">
        <f t="shared" si="142"/>
        <v>12200</v>
      </c>
      <c r="N415" s="5">
        <f t="shared" si="142"/>
        <v>8120</v>
      </c>
      <c r="O415" s="5">
        <f t="shared" si="142"/>
        <v>2442</v>
      </c>
      <c r="P415" s="5">
        <f t="shared" si="142"/>
        <v>3256</v>
      </c>
      <c r="Q415" s="5">
        <f t="shared" si="135"/>
        <v>171360</v>
      </c>
      <c r="R415" s="5">
        <f t="shared" si="136"/>
        <v>42700</v>
      </c>
      <c r="S415" s="5">
        <f t="shared" si="137"/>
        <v>28420</v>
      </c>
      <c r="T415" s="5">
        <f t="shared" si="138"/>
        <v>8547</v>
      </c>
      <c r="U415" s="5">
        <f t="shared" si="139"/>
        <v>11396</v>
      </c>
      <c r="V415" s="5">
        <f>B415*战斗力计算!$B$8+C415*战斗力计算!$B$9+D415*战斗力计算!$B$10+E415*战斗力计算!$B$11+F415*战斗力计算!$B$12</f>
        <v>178960</v>
      </c>
      <c r="W415" s="5">
        <f>G415*战斗力计算!$B$8+H415*战斗力计算!$B$9+I415*战斗力计算!$B$10+J415*战斗力计算!$B$11+K415*战斗力计算!$B$12+L415*战斗力计算!$B$8+M415*战斗力计算!$B$9+N415*战斗力计算!$B$10+O415*战斗力计算!$B$11+P415*战斗力计算!$B$12</f>
        <v>1073760</v>
      </c>
      <c r="X415" s="5">
        <f t="shared" si="140"/>
        <v>1252720</v>
      </c>
      <c r="AC415">
        <f t="shared" si="144"/>
        <v>4</v>
      </c>
      <c r="AD415">
        <f t="shared" si="145"/>
        <v>2</v>
      </c>
      <c r="AF415">
        <f t="shared" si="146"/>
        <v>0.75</v>
      </c>
      <c r="AH415">
        <f t="shared" si="147"/>
        <v>12</v>
      </c>
      <c r="AK415">
        <f t="shared" si="148"/>
        <v>6.0295566502463052</v>
      </c>
      <c r="AL415">
        <f t="shared" si="149"/>
        <v>1.5024630541871922</v>
      </c>
      <c r="AM415">
        <f t="shared" si="150"/>
        <v>1</v>
      </c>
      <c r="AN415">
        <f t="shared" si="151"/>
        <v>6.0295566502463052</v>
      </c>
      <c r="AO415">
        <f t="shared" si="152"/>
        <v>1.5024630541871922</v>
      </c>
      <c r="AP415">
        <f t="shared" si="153"/>
        <v>1</v>
      </c>
      <c r="AR415">
        <f t="shared" si="154"/>
        <v>4.4963144963144961</v>
      </c>
      <c r="AT415">
        <f t="shared" si="155"/>
        <v>4.4963144963144961</v>
      </c>
      <c r="AV415">
        <f t="shared" si="156"/>
        <v>4270</v>
      </c>
      <c r="AW415">
        <f t="shared" si="157"/>
        <v>7930</v>
      </c>
    </row>
    <row r="416" spans="1:49" x14ac:dyDescent="0.15">
      <c r="A416" s="5">
        <v>406</v>
      </c>
      <c r="B416" s="5">
        <f t="shared" si="143"/>
        <v>24540</v>
      </c>
      <c r="C416" s="5">
        <f t="shared" si="143"/>
        <v>6115</v>
      </c>
      <c r="D416" s="5">
        <f t="shared" si="143"/>
        <v>4070</v>
      </c>
      <c r="E416" s="5">
        <f t="shared" si="143"/>
        <v>1224</v>
      </c>
      <c r="F416" s="5">
        <f t="shared" si="143"/>
        <v>1632</v>
      </c>
      <c r="G416" s="5">
        <f t="shared" si="141"/>
        <v>98160</v>
      </c>
      <c r="H416" s="5">
        <f t="shared" si="141"/>
        <v>24460</v>
      </c>
      <c r="I416" s="5">
        <f t="shared" si="141"/>
        <v>16280</v>
      </c>
      <c r="J416" s="5">
        <f t="shared" si="141"/>
        <v>4896</v>
      </c>
      <c r="K416" s="5">
        <f t="shared" si="141"/>
        <v>6528</v>
      </c>
      <c r="L416" s="5">
        <f t="shared" si="142"/>
        <v>49080</v>
      </c>
      <c r="M416" s="5">
        <f t="shared" si="142"/>
        <v>12230</v>
      </c>
      <c r="N416" s="5">
        <f t="shared" si="142"/>
        <v>8140</v>
      </c>
      <c r="O416" s="5">
        <f t="shared" si="142"/>
        <v>2448</v>
      </c>
      <c r="P416" s="5">
        <f t="shared" si="142"/>
        <v>3264</v>
      </c>
      <c r="Q416" s="5">
        <f t="shared" si="135"/>
        <v>171780</v>
      </c>
      <c r="R416" s="5">
        <f t="shared" si="136"/>
        <v>42805</v>
      </c>
      <c r="S416" s="5">
        <f t="shared" si="137"/>
        <v>28490</v>
      </c>
      <c r="T416" s="5">
        <f t="shared" si="138"/>
        <v>8568</v>
      </c>
      <c r="U416" s="5">
        <f t="shared" si="139"/>
        <v>11424</v>
      </c>
      <c r="V416" s="5">
        <f>B416*战斗力计算!$B$8+C416*战斗力计算!$B$9+D416*战斗力计算!$B$10+E416*战斗力计算!$B$11+F416*战斗力计算!$B$12</f>
        <v>179400</v>
      </c>
      <c r="W416" s="5">
        <f>G416*战斗力计算!$B$8+H416*战斗力计算!$B$9+I416*战斗力计算!$B$10+J416*战斗力计算!$B$11+K416*战斗力计算!$B$12+L416*战斗力计算!$B$8+M416*战斗力计算!$B$9+N416*战斗力计算!$B$10+O416*战斗力计算!$B$11+P416*战斗力计算!$B$12</f>
        <v>1076400</v>
      </c>
      <c r="X416" s="5">
        <f t="shared" si="140"/>
        <v>1255800</v>
      </c>
      <c r="AC416">
        <f t="shared" si="144"/>
        <v>4</v>
      </c>
      <c r="AD416">
        <f t="shared" si="145"/>
        <v>2</v>
      </c>
      <c r="AF416">
        <f t="shared" si="146"/>
        <v>0.75</v>
      </c>
      <c r="AH416">
        <f t="shared" si="147"/>
        <v>12</v>
      </c>
      <c r="AK416">
        <f t="shared" si="148"/>
        <v>6.0294840294840295</v>
      </c>
      <c r="AL416">
        <f t="shared" si="149"/>
        <v>1.5024570024570025</v>
      </c>
      <c r="AM416">
        <f t="shared" si="150"/>
        <v>1</v>
      </c>
      <c r="AN416">
        <f t="shared" si="151"/>
        <v>6.0294840294840295</v>
      </c>
      <c r="AO416">
        <f t="shared" si="152"/>
        <v>1.5024570024570025</v>
      </c>
      <c r="AP416">
        <f t="shared" si="153"/>
        <v>1</v>
      </c>
      <c r="AR416">
        <f t="shared" si="154"/>
        <v>4.4963235294117645</v>
      </c>
      <c r="AT416">
        <f t="shared" si="155"/>
        <v>4.4963235294117645</v>
      </c>
      <c r="AV416">
        <f t="shared" si="156"/>
        <v>4280</v>
      </c>
      <c r="AW416">
        <f t="shared" si="157"/>
        <v>7949</v>
      </c>
    </row>
    <row r="417" spans="1:49" x14ac:dyDescent="0.15">
      <c r="A417" s="5">
        <v>407</v>
      </c>
      <c r="B417" s="5">
        <f t="shared" si="143"/>
        <v>24600</v>
      </c>
      <c r="C417" s="5">
        <f t="shared" si="143"/>
        <v>6130</v>
      </c>
      <c r="D417" s="5">
        <f t="shared" si="143"/>
        <v>4080</v>
      </c>
      <c r="E417" s="5">
        <f t="shared" si="143"/>
        <v>1227</v>
      </c>
      <c r="F417" s="5">
        <f t="shared" si="143"/>
        <v>1636</v>
      </c>
      <c r="G417" s="5">
        <f t="shared" si="141"/>
        <v>98400</v>
      </c>
      <c r="H417" s="5">
        <f t="shared" si="141"/>
        <v>24520</v>
      </c>
      <c r="I417" s="5">
        <f t="shared" si="141"/>
        <v>16320</v>
      </c>
      <c r="J417" s="5">
        <f t="shared" si="141"/>
        <v>4908</v>
      </c>
      <c r="K417" s="5">
        <f t="shared" si="141"/>
        <v>6544</v>
      </c>
      <c r="L417" s="5">
        <f t="shared" si="142"/>
        <v>49200</v>
      </c>
      <c r="M417" s="5">
        <f t="shared" si="142"/>
        <v>12260</v>
      </c>
      <c r="N417" s="5">
        <f t="shared" si="142"/>
        <v>8160</v>
      </c>
      <c r="O417" s="5">
        <f t="shared" si="142"/>
        <v>2454</v>
      </c>
      <c r="P417" s="5">
        <f t="shared" si="142"/>
        <v>3272</v>
      </c>
      <c r="Q417" s="5">
        <f t="shared" ref="Q417:Q480" si="158">B417+G417+L417</f>
        <v>172200</v>
      </c>
      <c r="R417" s="5">
        <f t="shared" ref="R417:R480" si="159">C417+H417+M417</f>
        <v>42910</v>
      </c>
      <c r="S417" s="5">
        <f t="shared" ref="S417:S480" si="160">D417+I417+N417</f>
        <v>28560</v>
      </c>
      <c r="T417" s="5">
        <f t="shared" ref="T417:T480" si="161">E417+J417+O417</f>
        <v>8589</v>
      </c>
      <c r="U417" s="5">
        <f t="shared" ref="U417:U480" si="162">F417+K417+P417</f>
        <v>11452</v>
      </c>
      <c r="V417" s="5">
        <f>B417*战斗力计算!$B$8+C417*战斗力计算!$B$9+D417*战斗力计算!$B$10+E417*战斗力计算!$B$11+F417*战斗力计算!$B$12</f>
        <v>179840</v>
      </c>
      <c r="W417" s="5">
        <f>G417*战斗力计算!$B$8+H417*战斗力计算!$B$9+I417*战斗力计算!$B$10+J417*战斗力计算!$B$11+K417*战斗力计算!$B$12+L417*战斗力计算!$B$8+M417*战斗力计算!$B$9+N417*战斗力计算!$B$10+O417*战斗力计算!$B$11+P417*战斗力计算!$B$12</f>
        <v>1079040</v>
      </c>
      <c r="X417" s="5">
        <f t="shared" ref="X417:X480" si="163">V417+W417</f>
        <v>1258880</v>
      </c>
      <c r="AC417">
        <f t="shared" si="144"/>
        <v>4</v>
      </c>
      <c r="AD417">
        <f t="shared" si="145"/>
        <v>2</v>
      </c>
      <c r="AF417">
        <f t="shared" si="146"/>
        <v>0.75</v>
      </c>
      <c r="AH417">
        <f t="shared" si="147"/>
        <v>12</v>
      </c>
      <c r="AK417">
        <f t="shared" si="148"/>
        <v>6.0294117647058822</v>
      </c>
      <c r="AL417">
        <f t="shared" si="149"/>
        <v>1.5024509803921569</v>
      </c>
      <c r="AM417">
        <f t="shared" si="150"/>
        <v>1</v>
      </c>
      <c r="AN417">
        <f t="shared" si="151"/>
        <v>6.0294117647058822</v>
      </c>
      <c r="AO417">
        <f t="shared" si="152"/>
        <v>1.5024509803921569</v>
      </c>
      <c r="AP417">
        <f t="shared" si="153"/>
        <v>1</v>
      </c>
      <c r="AR417">
        <f t="shared" si="154"/>
        <v>4.4963325183374083</v>
      </c>
      <c r="AT417">
        <f t="shared" si="155"/>
        <v>4.4963325183374083</v>
      </c>
      <c r="AV417">
        <f t="shared" si="156"/>
        <v>4291</v>
      </c>
      <c r="AW417">
        <f t="shared" si="157"/>
        <v>7969</v>
      </c>
    </row>
    <row r="418" spans="1:49" x14ac:dyDescent="0.15">
      <c r="A418" s="5">
        <v>408</v>
      </c>
      <c r="B418" s="5">
        <f t="shared" si="143"/>
        <v>24660</v>
      </c>
      <c r="C418" s="5">
        <f t="shared" si="143"/>
        <v>6145</v>
      </c>
      <c r="D418" s="5">
        <f t="shared" si="143"/>
        <v>4090</v>
      </c>
      <c r="E418" s="5">
        <f t="shared" si="143"/>
        <v>1230</v>
      </c>
      <c r="F418" s="5">
        <f t="shared" si="143"/>
        <v>1640</v>
      </c>
      <c r="G418" s="5">
        <f t="shared" si="141"/>
        <v>98640</v>
      </c>
      <c r="H418" s="5">
        <f t="shared" si="141"/>
        <v>24580</v>
      </c>
      <c r="I418" s="5">
        <f t="shared" si="141"/>
        <v>16360</v>
      </c>
      <c r="J418" s="5">
        <f t="shared" si="141"/>
        <v>4920</v>
      </c>
      <c r="K418" s="5">
        <f t="shared" si="141"/>
        <v>6560</v>
      </c>
      <c r="L418" s="5">
        <f t="shared" si="142"/>
        <v>49320</v>
      </c>
      <c r="M418" s="5">
        <f t="shared" si="142"/>
        <v>12290</v>
      </c>
      <c r="N418" s="5">
        <f t="shared" si="142"/>
        <v>8180</v>
      </c>
      <c r="O418" s="5">
        <f t="shared" si="142"/>
        <v>2460</v>
      </c>
      <c r="P418" s="5">
        <f t="shared" si="142"/>
        <v>3280</v>
      </c>
      <c r="Q418" s="5">
        <f t="shared" si="158"/>
        <v>172620</v>
      </c>
      <c r="R418" s="5">
        <f t="shared" si="159"/>
        <v>43015</v>
      </c>
      <c r="S418" s="5">
        <f t="shared" si="160"/>
        <v>28630</v>
      </c>
      <c r="T418" s="5">
        <f t="shared" si="161"/>
        <v>8610</v>
      </c>
      <c r="U418" s="5">
        <f t="shared" si="162"/>
        <v>11480</v>
      </c>
      <c r="V418" s="5">
        <f>B418*战斗力计算!$B$8+C418*战斗力计算!$B$9+D418*战斗力计算!$B$10+E418*战斗力计算!$B$11+F418*战斗力计算!$B$12</f>
        <v>180280</v>
      </c>
      <c r="W418" s="5">
        <f>G418*战斗力计算!$B$8+H418*战斗力计算!$B$9+I418*战斗力计算!$B$10+J418*战斗力计算!$B$11+K418*战斗力计算!$B$12+L418*战斗力计算!$B$8+M418*战斗力计算!$B$9+N418*战斗力计算!$B$10+O418*战斗力计算!$B$11+P418*战斗力计算!$B$12</f>
        <v>1081680</v>
      </c>
      <c r="X418" s="5">
        <f t="shared" si="163"/>
        <v>1261960</v>
      </c>
      <c r="AC418">
        <f t="shared" si="144"/>
        <v>4</v>
      </c>
      <c r="AD418">
        <f t="shared" si="145"/>
        <v>2</v>
      </c>
      <c r="AF418">
        <f t="shared" si="146"/>
        <v>0.75</v>
      </c>
      <c r="AH418">
        <f t="shared" si="147"/>
        <v>12</v>
      </c>
      <c r="AK418">
        <f t="shared" si="148"/>
        <v>6.0293398533007334</v>
      </c>
      <c r="AL418">
        <f t="shared" si="149"/>
        <v>1.5024449877750612</v>
      </c>
      <c r="AM418">
        <f t="shared" si="150"/>
        <v>1</v>
      </c>
      <c r="AN418">
        <f t="shared" si="151"/>
        <v>6.0293398533007334</v>
      </c>
      <c r="AO418">
        <f t="shared" si="152"/>
        <v>1.5024449877750612</v>
      </c>
      <c r="AP418">
        <f t="shared" si="153"/>
        <v>1</v>
      </c>
      <c r="AR418">
        <f t="shared" si="154"/>
        <v>4.4963414634146339</v>
      </c>
      <c r="AT418">
        <f t="shared" si="155"/>
        <v>4.4963414634146339</v>
      </c>
      <c r="AV418">
        <f t="shared" si="156"/>
        <v>4301</v>
      </c>
      <c r="AW418">
        <f t="shared" si="157"/>
        <v>7988</v>
      </c>
    </row>
    <row r="419" spans="1:49" x14ac:dyDescent="0.15">
      <c r="A419" s="5">
        <v>409</v>
      </c>
      <c r="B419" s="5">
        <f t="shared" si="143"/>
        <v>24720</v>
      </c>
      <c r="C419" s="5">
        <f t="shared" si="143"/>
        <v>6160</v>
      </c>
      <c r="D419" s="5">
        <f t="shared" si="143"/>
        <v>4100</v>
      </c>
      <c r="E419" s="5">
        <f t="shared" si="143"/>
        <v>1233</v>
      </c>
      <c r="F419" s="5">
        <f t="shared" si="143"/>
        <v>1644</v>
      </c>
      <c r="G419" s="5">
        <f t="shared" si="141"/>
        <v>98880</v>
      </c>
      <c r="H419" s="5">
        <f t="shared" si="141"/>
        <v>24640</v>
      </c>
      <c r="I419" s="5">
        <f t="shared" si="141"/>
        <v>16400</v>
      </c>
      <c r="J419" s="5">
        <f t="shared" si="141"/>
        <v>4932</v>
      </c>
      <c r="K419" s="5">
        <f t="shared" si="141"/>
        <v>6576</v>
      </c>
      <c r="L419" s="5">
        <f t="shared" si="142"/>
        <v>49440</v>
      </c>
      <c r="M419" s="5">
        <f t="shared" si="142"/>
        <v>12320</v>
      </c>
      <c r="N419" s="5">
        <f t="shared" si="142"/>
        <v>8200</v>
      </c>
      <c r="O419" s="5">
        <f t="shared" si="142"/>
        <v>2466</v>
      </c>
      <c r="P419" s="5">
        <f t="shared" si="142"/>
        <v>3288</v>
      </c>
      <c r="Q419" s="5">
        <f t="shared" si="158"/>
        <v>173040</v>
      </c>
      <c r="R419" s="5">
        <f t="shared" si="159"/>
        <v>43120</v>
      </c>
      <c r="S419" s="5">
        <f t="shared" si="160"/>
        <v>28700</v>
      </c>
      <c r="T419" s="5">
        <f t="shared" si="161"/>
        <v>8631</v>
      </c>
      <c r="U419" s="5">
        <f t="shared" si="162"/>
        <v>11508</v>
      </c>
      <c r="V419" s="5">
        <f>B419*战斗力计算!$B$8+C419*战斗力计算!$B$9+D419*战斗力计算!$B$10+E419*战斗力计算!$B$11+F419*战斗力计算!$B$12</f>
        <v>180720</v>
      </c>
      <c r="W419" s="5">
        <f>G419*战斗力计算!$B$8+H419*战斗力计算!$B$9+I419*战斗力计算!$B$10+J419*战斗力计算!$B$11+K419*战斗力计算!$B$12+L419*战斗力计算!$B$8+M419*战斗力计算!$B$9+N419*战斗力计算!$B$10+O419*战斗力计算!$B$11+P419*战斗力计算!$B$12</f>
        <v>1084320</v>
      </c>
      <c r="X419" s="5">
        <f t="shared" si="163"/>
        <v>1265040</v>
      </c>
      <c r="AC419">
        <f t="shared" si="144"/>
        <v>4</v>
      </c>
      <c r="AD419">
        <f t="shared" si="145"/>
        <v>2</v>
      </c>
      <c r="AF419">
        <f t="shared" si="146"/>
        <v>0.75</v>
      </c>
      <c r="AH419">
        <f t="shared" si="147"/>
        <v>12</v>
      </c>
      <c r="AK419">
        <f t="shared" si="148"/>
        <v>6.0292682926829269</v>
      </c>
      <c r="AL419">
        <f t="shared" si="149"/>
        <v>1.5024390243902439</v>
      </c>
      <c r="AM419">
        <f t="shared" si="150"/>
        <v>1</v>
      </c>
      <c r="AN419">
        <f t="shared" si="151"/>
        <v>6.0292682926829269</v>
      </c>
      <c r="AO419">
        <f t="shared" si="152"/>
        <v>1.5024390243902439</v>
      </c>
      <c r="AP419">
        <f t="shared" si="153"/>
        <v>1</v>
      </c>
      <c r="AR419">
        <f t="shared" si="154"/>
        <v>4.4963503649635035</v>
      </c>
      <c r="AT419">
        <f t="shared" si="155"/>
        <v>4.4963503649635035</v>
      </c>
      <c r="AV419">
        <f t="shared" si="156"/>
        <v>4312</v>
      </c>
      <c r="AW419">
        <f t="shared" si="157"/>
        <v>8008</v>
      </c>
    </row>
    <row r="420" spans="1:49" x14ac:dyDescent="0.15">
      <c r="A420" s="5">
        <v>410</v>
      </c>
      <c r="B420" s="5">
        <f t="shared" si="143"/>
        <v>24780</v>
      </c>
      <c r="C420" s="5">
        <f t="shared" si="143"/>
        <v>6175</v>
      </c>
      <c r="D420" s="5">
        <f t="shared" si="143"/>
        <v>4110</v>
      </c>
      <c r="E420" s="5">
        <f t="shared" si="143"/>
        <v>1236</v>
      </c>
      <c r="F420" s="5">
        <f t="shared" si="143"/>
        <v>1648</v>
      </c>
      <c r="G420" s="5">
        <f t="shared" si="141"/>
        <v>99120</v>
      </c>
      <c r="H420" s="5">
        <f t="shared" si="141"/>
        <v>24700</v>
      </c>
      <c r="I420" s="5">
        <f t="shared" si="141"/>
        <v>16440</v>
      </c>
      <c r="J420" s="5">
        <f t="shared" si="141"/>
        <v>4944</v>
      </c>
      <c r="K420" s="5">
        <f t="shared" si="141"/>
        <v>6592</v>
      </c>
      <c r="L420" s="5">
        <f t="shared" si="142"/>
        <v>49560</v>
      </c>
      <c r="M420" s="5">
        <f t="shared" si="142"/>
        <v>12350</v>
      </c>
      <c r="N420" s="5">
        <f t="shared" si="142"/>
        <v>8220</v>
      </c>
      <c r="O420" s="5">
        <f t="shared" si="142"/>
        <v>2472</v>
      </c>
      <c r="P420" s="5">
        <f t="shared" si="142"/>
        <v>3296</v>
      </c>
      <c r="Q420" s="5">
        <f t="shared" si="158"/>
        <v>173460</v>
      </c>
      <c r="R420" s="5">
        <f t="shared" si="159"/>
        <v>43225</v>
      </c>
      <c r="S420" s="5">
        <f t="shared" si="160"/>
        <v>28770</v>
      </c>
      <c r="T420" s="5">
        <f t="shared" si="161"/>
        <v>8652</v>
      </c>
      <c r="U420" s="5">
        <f t="shared" si="162"/>
        <v>11536</v>
      </c>
      <c r="V420" s="5">
        <f>B420*战斗力计算!$B$8+C420*战斗力计算!$B$9+D420*战斗力计算!$B$10+E420*战斗力计算!$B$11+F420*战斗力计算!$B$12</f>
        <v>181160</v>
      </c>
      <c r="W420" s="5">
        <f>G420*战斗力计算!$B$8+H420*战斗力计算!$B$9+I420*战斗力计算!$B$10+J420*战斗力计算!$B$11+K420*战斗力计算!$B$12+L420*战斗力计算!$B$8+M420*战斗力计算!$B$9+N420*战斗力计算!$B$10+O420*战斗力计算!$B$11+P420*战斗力计算!$B$12</f>
        <v>1086960</v>
      </c>
      <c r="X420" s="5">
        <f t="shared" si="163"/>
        <v>1268120</v>
      </c>
      <c r="AC420">
        <f t="shared" si="144"/>
        <v>4</v>
      </c>
      <c r="AD420">
        <f t="shared" si="145"/>
        <v>2</v>
      </c>
      <c r="AF420">
        <f t="shared" si="146"/>
        <v>0.75</v>
      </c>
      <c r="AH420">
        <f t="shared" si="147"/>
        <v>12</v>
      </c>
      <c r="AK420">
        <f t="shared" si="148"/>
        <v>6.0291970802919712</v>
      </c>
      <c r="AL420">
        <f t="shared" si="149"/>
        <v>1.502433090024331</v>
      </c>
      <c r="AM420">
        <f t="shared" si="150"/>
        <v>1</v>
      </c>
      <c r="AN420">
        <f t="shared" si="151"/>
        <v>6.0291970802919712</v>
      </c>
      <c r="AO420">
        <f t="shared" si="152"/>
        <v>1.502433090024331</v>
      </c>
      <c r="AP420">
        <f t="shared" si="153"/>
        <v>1</v>
      </c>
      <c r="AR420">
        <f t="shared" si="154"/>
        <v>4.4963592233009706</v>
      </c>
      <c r="AT420">
        <f t="shared" si="155"/>
        <v>4.4963592233009706</v>
      </c>
      <c r="AV420">
        <f t="shared" si="156"/>
        <v>4322</v>
      </c>
      <c r="AW420">
        <f t="shared" si="157"/>
        <v>8027</v>
      </c>
    </row>
    <row r="421" spans="1:49" x14ac:dyDescent="0.15">
      <c r="A421" s="5">
        <v>411</v>
      </c>
      <c r="B421" s="5">
        <f t="shared" si="143"/>
        <v>24840</v>
      </c>
      <c r="C421" s="5">
        <f t="shared" si="143"/>
        <v>6190</v>
      </c>
      <c r="D421" s="5">
        <f t="shared" si="143"/>
        <v>4120</v>
      </c>
      <c r="E421" s="5">
        <f t="shared" si="143"/>
        <v>1239</v>
      </c>
      <c r="F421" s="5">
        <f t="shared" si="143"/>
        <v>1652</v>
      </c>
      <c r="G421" s="5">
        <f t="shared" si="141"/>
        <v>99360</v>
      </c>
      <c r="H421" s="5">
        <f t="shared" si="141"/>
        <v>24760</v>
      </c>
      <c r="I421" s="5">
        <f t="shared" si="141"/>
        <v>16480</v>
      </c>
      <c r="J421" s="5">
        <f t="shared" si="141"/>
        <v>4956</v>
      </c>
      <c r="K421" s="5">
        <f t="shared" si="141"/>
        <v>6608</v>
      </c>
      <c r="L421" s="5">
        <f t="shared" si="142"/>
        <v>49680</v>
      </c>
      <c r="M421" s="5">
        <f t="shared" si="142"/>
        <v>12380</v>
      </c>
      <c r="N421" s="5">
        <f t="shared" si="142"/>
        <v>8240</v>
      </c>
      <c r="O421" s="5">
        <f t="shared" si="142"/>
        <v>2478</v>
      </c>
      <c r="P421" s="5">
        <f t="shared" si="142"/>
        <v>3304</v>
      </c>
      <c r="Q421" s="5">
        <f t="shared" si="158"/>
        <v>173880</v>
      </c>
      <c r="R421" s="5">
        <f t="shared" si="159"/>
        <v>43330</v>
      </c>
      <c r="S421" s="5">
        <f t="shared" si="160"/>
        <v>28840</v>
      </c>
      <c r="T421" s="5">
        <f t="shared" si="161"/>
        <v>8673</v>
      </c>
      <c r="U421" s="5">
        <f t="shared" si="162"/>
        <v>11564</v>
      </c>
      <c r="V421" s="5">
        <f>B421*战斗力计算!$B$8+C421*战斗力计算!$B$9+D421*战斗力计算!$B$10+E421*战斗力计算!$B$11+F421*战斗力计算!$B$12</f>
        <v>181600</v>
      </c>
      <c r="W421" s="5">
        <f>G421*战斗力计算!$B$8+H421*战斗力计算!$B$9+I421*战斗力计算!$B$10+J421*战斗力计算!$B$11+K421*战斗力计算!$B$12+L421*战斗力计算!$B$8+M421*战斗力计算!$B$9+N421*战斗力计算!$B$10+O421*战斗力计算!$B$11+P421*战斗力计算!$B$12</f>
        <v>1089600</v>
      </c>
      <c r="X421" s="5">
        <f t="shared" si="163"/>
        <v>1271200</v>
      </c>
      <c r="AC421">
        <f t="shared" si="144"/>
        <v>4</v>
      </c>
      <c r="AD421">
        <f t="shared" si="145"/>
        <v>2</v>
      </c>
      <c r="AF421">
        <f t="shared" si="146"/>
        <v>0.75</v>
      </c>
      <c r="AH421">
        <f t="shared" si="147"/>
        <v>12</v>
      </c>
      <c r="AK421">
        <f t="shared" si="148"/>
        <v>6.0291262135922334</v>
      </c>
      <c r="AL421">
        <f t="shared" si="149"/>
        <v>1.5024271844660195</v>
      </c>
      <c r="AM421">
        <f t="shared" si="150"/>
        <v>1</v>
      </c>
      <c r="AN421">
        <f t="shared" si="151"/>
        <v>6.0291262135922334</v>
      </c>
      <c r="AO421">
        <f t="shared" si="152"/>
        <v>1.5024271844660195</v>
      </c>
      <c r="AP421">
        <f t="shared" si="153"/>
        <v>1</v>
      </c>
      <c r="AR421">
        <f t="shared" si="154"/>
        <v>4.4963680387409202</v>
      </c>
      <c r="AT421">
        <f t="shared" si="155"/>
        <v>4.4963680387409202</v>
      </c>
      <c r="AV421">
        <f t="shared" si="156"/>
        <v>4333</v>
      </c>
      <c r="AW421">
        <f t="shared" si="157"/>
        <v>8047</v>
      </c>
    </row>
    <row r="422" spans="1:49" x14ac:dyDescent="0.15">
      <c r="A422" s="5">
        <v>412</v>
      </c>
      <c r="B422" s="5">
        <f t="shared" si="143"/>
        <v>24900</v>
      </c>
      <c r="C422" s="5">
        <f t="shared" si="143"/>
        <v>6205</v>
      </c>
      <c r="D422" s="5">
        <f t="shared" si="143"/>
        <v>4130</v>
      </c>
      <c r="E422" s="5">
        <f t="shared" si="143"/>
        <v>1242</v>
      </c>
      <c r="F422" s="5">
        <f t="shared" si="143"/>
        <v>1656</v>
      </c>
      <c r="G422" s="5">
        <f t="shared" si="141"/>
        <v>99600</v>
      </c>
      <c r="H422" s="5">
        <f t="shared" si="141"/>
        <v>24820</v>
      </c>
      <c r="I422" s="5">
        <f t="shared" si="141"/>
        <v>16520</v>
      </c>
      <c r="J422" s="5">
        <f t="shared" si="141"/>
        <v>4968</v>
      </c>
      <c r="K422" s="5">
        <f t="shared" si="141"/>
        <v>6624</v>
      </c>
      <c r="L422" s="5">
        <f t="shared" si="142"/>
        <v>49800</v>
      </c>
      <c r="M422" s="5">
        <f t="shared" si="142"/>
        <v>12410</v>
      </c>
      <c r="N422" s="5">
        <f t="shared" si="142"/>
        <v>8260</v>
      </c>
      <c r="O422" s="5">
        <f t="shared" si="142"/>
        <v>2484</v>
      </c>
      <c r="P422" s="5">
        <f t="shared" si="142"/>
        <v>3312</v>
      </c>
      <c r="Q422" s="5">
        <f t="shared" si="158"/>
        <v>174300</v>
      </c>
      <c r="R422" s="5">
        <f t="shared" si="159"/>
        <v>43435</v>
      </c>
      <c r="S422" s="5">
        <f t="shared" si="160"/>
        <v>28910</v>
      </c>
      <c r="T422" s="5">
        <f t="shared" si="161"/>
        <v>8694</v>
      </c>
      <c r="U422" s="5">
        <f t="shared" si="162"/>
        <v>11592</v>
      </c>
      <c r="V422" s="5">
        <f>B422*战斗力计算!$B$8+C422*战斗力计算!$B$9+D422*战斗力计算!$B$10+E422*战斗力计算!$B$11+F422*战斗力计算!$B$12</f>
        <v>182040</v>
      </c>
      <c r="W422" s="5">
        <f>G422*战斗力计算!$B$8+H422*战斗力计算!$B$9+I422*战斗力计算!$B$10+J422*战斗力计算!$B$11+K422*战斗力计算!$B$12+L422*战斗力计算!$B$8+M422*战斗力计算!$B$9+N422*战斗力计算!$B$10+O422*战斗力计算!$B$11+P422*战斗力计算!$B$12</f>
        <v>1092240</v>
      </c>
      <c r="X422" s="5">
        <f t="shared" si="163"/>
        <v>1274280</v>
      </c>
      <c r="AC422">
        <f t="shared" si="144"/>
        <v>4</v>
      </c>
      <c r="AD422">
        <f t="shared" si="145"/>
        <v>2</v>
      </c>
      <c r="AF422">
        <f t="shared" si="146"/>
        <v>0.75</v>
      </c>
      <c r="AH422">
        <f t="shared" si="147"/>
        <v>12</v>
      </c>
      <c r="AK422">
        <f t="shared" si="148"/>
        <v>6.0290556900726395</v>
      </c>
      <c r="AL422">
        <f t="shared" si="149"/>
        <v>1.5024213075060533</v>
      </c>
      <c r="AM422">
        <f t="shared" si="150"/>
        <v>1</v>
      </c>
      <c r="AN422">
        <f t="shared" si="151"/>
        <v>6.0290556900726395</v>
      </c>
      <c r="AO422">
        <f t="shared" si="152"/>
        <v>1.5024213075060533</v>
      </c>
      <c r="AP422">
        <f t="shared" si="153"/>
        <v>1</v>
      </c>
      <c r="AR422">
        <f t="shared" si="154"/>
        <v>4.4963768115942031</v>
      </c>
      <c r="AT422">
        <f t="shared" si="155"/>
        <v>4.4963768115942031</v>
      </c>
      <c r="AV422">
        <f t="shared" si="156"/>
        <v>4343</v>
      </c>
      <c r="AW422">
        <f t="shared" si="157"/>
        <v>8066</v>
      </c>
    </row>
    <row r="423" spans="1:49" x14ac:dyDescent="0.15">
      <c r="A423" s="5">
        <v>413</v>
      </c>
      <c r="B423" s="5">
        <f t="shared" si="143"/>
        <v>24960</v>
      </c>
      <c r="C423" s="5">
        <f t="shared" si="143"/>
        <v>6220</v>
      </c>
      <c r="D423" s="5">
        <f t="shared" si="143"/>
        <v>4140</v>
      </c>
      <c r="E423" s="5">
        <f t="shared" si="143"/>
        <v>1245</v>
      </c>
      <c r="F423" s="5">
        <f t="shared" si="143"/>
        <v>1660</v>
      </c>
      <c r="G423" s="5">
        <f t="shared" si="141"/>
        <v>99840</v>
      </c>
      <c r="H423" s="5">
        <f t="shared" si="141"/>
        <v>24880</v>
      </c>
      <c r="I423" s="5">
        <f t="shared" si="141"/>
        <v>16560</v>
      </c>
      <c r="J423" s="5">
        <f t="shared" si="141"/>
        <v>4980</v>
      </c>
      <c r="K423" s="5">
        <f t="shared" si="141"/>
        <v>6640</v>
      </c>
      <c r="L423" s="5">
        <f t="shared" si="142"/>
        <v>49920</v>
      </c>
      <c r="M423" s="5">
        <f t="shared" si="142"/>
        <v>12440</v>
      </c>
      <c r="N423" s="5">
        <f t="shared" si="142"/>
        <v>8280</v>
      </c>
      <c r="O423" s="5">
        <f t="shared" si="142"/>
        <v>2490</v>
      </c>
      <c r="P423" s="5">
        <f t="shared" si="142"/>
        <v>3320</v>
      </c>
      <c r="Q423" s="5">
        <f t="shared" si="158"/>
        <v>174720</v>
      </c>
      <c r="R423" s="5">
        <f t="shared" si="159"/>
        <v>43540</v>
      </c>
      <c r="S423" s="5">
        <f t="shared" si="160"/>
        <v>28980</v>
      </c>
      <c r="T423" s="5">
        <f t="shared" si="161"/>
        <v>8715</v>
      </c>
      <c r="U423" s="5">
        <f t="shared" si="162"/>
        <v>11620</v>
      </c>
      <c r="V423" s="5">
        <f>B423*战斗力计算!$B$8+C423*战斗力计算!$B$9+D423*战斗力计算!$B$10+E423*战斗力计算!$B$11+F423*战斗力计算!$B$12</f>
        <v>182480</v>
      </c>
      <c r="W423" s="5">
        <f>G423*战斗力计算!$B$8+H423*战斗力计算!$B$9+I423*战斗力计算!$B$10+J423*战斗力计算!$B$11+K423*战斗力计算!$B$12+L423*战斗力计算!$B$8+M423*战斗力计算!$B$9+N423*战斗力计算!$B$10+O423*战斗力计算!$B$11+P423*战斗力计算!$B$12</f>
        <v>1094880</v>
      </c>
      <c r="X423" s="5">
        <f t="shared" si="163"/>
        <v>1277360</v>
      </c>
      <c r="AC423">
        <f t="shared" si="144"/>
        <v>4</v>
      </c>
      <c r="AD423">
        <f t="shared" si="145"/>
        <v>2</v>
      </c>
      <c r="AF423">
        <f t="shared" si="146"/>
        <v>0.75</v>
      </c>
      <c r="AH423">
        <f t="shared" si="147"/>
        <v>12</v>
      </c>
      <c r="AK423">
        <f t="shared" si="148"/>
        <v>6.0289855072463769</v>
      </c>
      <c r="AL423">
        <f t="shared" si="149"/>
        <v>1.5024154589371981</v>
      </c>
      <c r="AM423">
        <f t="shared" si="150"/>
        <v>1</v>
      </c>
      <c r="AN423">
        <f t="shared" si="151"/>
        <v>6.0289855072463769</v>
      </c>
      <c r="AO423">
        <f t="shared" si="152"/>
        <v>1.5024154589371981</v>
      </c>
      <c r="AP423">
        <f t="shared" si="153"/>
        <v>1</v>
      </c>
      <c r="AR423">
        <f t="shared" si="154"/>
        <v>4.4963855421686745</v>
      </c>
      <c r="AT423">
        <f t="shared" si="155"/>
        <v>4.4963855421686745</v>
      </c>
      <c r="AV423">
        <f t="shared" si="156"/>
        <v>4354</v>
      </c>
      <c r="AW423">
        <f t="shared" si="157"/>
        <v>8086</v>
      </c>
    </row>
    <row r="424" spans="1:49" x14ac:dyDescent="0.15">
      <c r="A424" s="5">
        <v>414</v>
      </c>
      <c r="B424" s="5">
        <f t="shared" si="143"/>
        <v>25020</v>
      </c>
      <c r="C424" s="5">
        <f t="shared" si="143"/>
        <v>6235</v>
      </c>
      <c r="D424" s="5">
        <f t="shared" si="143"/>
        <v>4150</v>
      </c>
      <c r="E424" s="5">
        <f t="shared" si="143"/>
        <v>1248</v>
      </c>
      <c r="F424" s="5">
        <f t="shared" si="143"/>
        <v>1664</v>
      </c>
      <c r="G424" s="5">
        <f t="shared" si="141"/>
        <v>100080</v>
      </c>
      <c r="H424" s="5">
        <f t="shared" si="141"/>
        <v>24940</v>
      </c>
      <c r="I424" s="5">
        <f t="shared" si="141"/>
        <v>16600</v>
      </c>
      <c r="J424" s="5">
        <f t="shared" si="141"/>
        <v>4992</v>
      </c>
      <c r="K424" s="5">
        <f t="shared" si="141"/>
        <v>6656</v>
      </c>
      <c r="L424" s="5">
        <f t="shared" si="142"/>
        <v>50040</v>
      </c>
      <c r="M424" s="5">
        <f t="shared" si="142"/>
        <v>12470</v>
      </c>
      <c r="N424" s="5">
        <f t="shared" si="142"/>
        <v>8300</v>
      </c>
      <c r="O424" s="5">
        <f t="shared" si="142"/>
        <v>2496</v>
      </c>
      <c r="P424" s="5">
        <f t="shared" si="142"/>
        <v>3328</v>
      </c>
      <c r="Q424" s="5">
        <f t="shared" si="158"/>
        <v>175140</v>
      </c>
      <c r="R424" s="5">
        <f t="shared" si="159"/>
        <v>43645</v>
      </c>
      <c r="S424" s="5">
        <f t="shared" si="160"/>
        <v>29050</v>
      </c>
      <c r="T424" s="5">
        <f t="shared" si="161"/>
        <v>8736</v>
      </c>
      <c r="U424" s="5">
        <f t="shared" si="162"/>
        <v>11648</v>
      </c>
      <c r="V424" s="5">
        <f>B424*战斗力计算!$B$8+C424*战斗力计算!$B$9+D424*战斗力计算!$B$10+E424*战斗力计算!$B$11+F424*战斗力计算!$B$12</f>
        <v>182920</v>
      </c>
      <c r="W424" s="5">
        <f>G424*战斗力计算!$B$8+H424*战斗力计算!$B$9+I424*战斗力计算!$B$10+J424*战斗力计算!$B$11+K424*战斗力计算!$B$12+L424*战斗力计算!$B$8+M424*战斗力计算!$B$9+N424*战斗力计算!$B$10+O424*战斗力计算!$B$11+P424*战斗力计算!$B$12</f>
        <v>1097520</v>
      </c>
      <c r="X424" s="5">
        <f t="shared" si="163"/>
        <v>1280440</v>
      </c>
      <c r="AC424">
        <f t="shared" si="144"/>
        <v>4</v>
      </c>
      <c r="AD424">
        <f t="shared" si="145"/>
        <v>2</v>
      </c>
      <c r="AF424">
        <f t="shared" si="146"/>
        <v>0.75</v>
      </c>
      <c r="AH424">
        <f t="shared" si="147"/>
        <v>12</v>
      </c>
      <c r="AK424">
        <f t="shared" si="148"/>
        <v>6.0289156626506024</v>
      </c>
      <c r="AL424">
        <f t="shared" si="149"/>
        <v>1.5024096385542169</v>
      </c>
      <c r="AM424">
        <f t="shared" si="150"/>
        <v>1</v>
      </c>
      <c r="AN424">
        <f t="shared" si="151"/>
        <v>6.0289156626506024</v>
      </c>
      <c r="AO424">
        <f t="shared" si="152"/>
        <v>1.5024096385542169</v>
      </c>
      <c r="AP424">
        <f t="shared" si="153"/>
        <v>1</v>
      </c>
      <c r="AR424">
        <f t="shared" si="154"/>
        <v>4.4963942307692308</v>
      </c>
      <c r="AT424">
        <f t="shared" si="155"/>
        <v>4.4963942307692308</v>
      </c>
      <c r="AV424">
        <f t="shared" si="156"/>
        <v>4364</v>
      </c>
      <c r="AW424">
        <f t="shared" si="157"/>
        <v>8105</v>
      </c>
    </row>
    <row r="425" spans="1:49" x14ac:dyDescent="0.15">
      <c r="A425" s="5">
        <v>415</v>
      </c>
      <c r="B425" s="5">
        <f t="shared" si="143"/>
        <v>25080</v>
      </c>
      <c r="C425" s="5">
        <f t="shared" si="143"/>
        <v>6250</v>
      </c>
      <c r="D425" s="5">
        <f t="shared" si="143"/>
        <v>4160</v>
      </c>
      <c r="E425" s="5">
        <f t="shared" si="143"/>
        <v>1251</v>
      </c>
      <c r="F425" s="5">
        <f t="shared" si="143"/>
        <v>1668</v>
      </c>
      <c r="G425" s="5">
        <f t="shared" si="141"/>
        <v>100320</v>
      </c>
      <c r="H425" s="5">
        <f t="shared" si="141"/>
        <v>25000</v>
      </c>
      <c r="I425" s="5">
        <f t="shared" si="141"/>
        <v>16640</v>
      </c>
      <c r="J425" s="5">
        <f t="shared" si="141"/>
        <v>5004</v>
      </c>
      <c r="K425" s="5">
        <f t="shared" si="141"/>
        <v>6672</v>
      </c>
      <c r="L425" s="5">
        <f t="shared" si="142"/>
        <v>50160</v>
      </c>
      <c r="M425" s="5">
        <f t="shared" si="142"/>
        <v>12500</v>
      </c>
      <c r="N425" s="5">
        <f t="shared" si="142"/>
        <v>8320</v>
      </c>
      <c r="O425" s="5">
        <f t="shared" si="142"/>
        <v>2502</v>
      </c>
      <c r="P425" s="5">
        <f t="shared" si="142"/>
        <v>3336</v>
      </c>
      <c r="Q425" s="5">
        <f t="shared" si="158"/>
        <v>175560</v>
      </c>
      <c r="R425" s="5">
        <f t="shared" si="159"/>
        <v>43750</v>
      </c>
      <c r="S425" s="5">
        <f t="shared" si="160"/>
        <v>29120</v>
      </c>
      <c r="T425" s="5">
        <f t="shared" si="161"/>
        <v>8757</v>
      </c>
      <c r="U425" s="5">
        <f t="shared" si="162"/>
        <v>11676</v>
      </c>
      <c r="V425" s="5">
        <f>B425*战斗力计算!$B$8+C425*战斗力计算!$B$9+D425*战斗力计算!$B$10+E425*战斗力计算!$B$11+F425*战斗力计算!$B$12</f>
        <v>183360</v>
      </c>
      <c r="W425" s="5">
        <f>G425*战斗力计算!$B$8+H425*战斗力计算!$B$9+I425*战斗力计算!$B$10+J425*战斗力计算!$B$11+K425*战斗力计算!$B$12+L425*战斗力计算!$B$8+M425*战斗力计算!$B$9+N425*战斗力计算!$B$10+O425*战斗力计算!$B$11+P425*战斗力计算!$B$12</f>
        <v>1100160</v>
      </c>
      <c r="X425" s="5">
        <f t="shared" si="163"/>
        <v>1283520</v>
      </c>
      <c r="AC425">
        <f t="shared" si="144"/>
        <v>4</v>
      </c>
      <c r="AD425">
        <f t="shared" si="145"/>
        <v>2</v>
      </c>
      <c r="AF425">
        <f t="shared" si="146"/>
        <v>0.75</v>
      </c>
      <c r="AH425">
        <f t="shared" si="147"/>
        <v>12</v>
      </c>
      <c r="AK425">
        <f t="shared" si="148"/>
        <v>6.0288461538461542</v>
      </c>
      <c r="AL425">
        <f t="shared" si="149"/>
        <v>1.5024038461538463</v>
      </c>
      <c r="AM425">
        <f t="shared" si="150"/>
        <v>1</v>
      </c>
      <c r="AN425">
        <f t="shared" si="151"/>
        <v>6.0288461538461542</v>
      </c>
      <c r="AO425">
        <f t="shared" si="152"/>
        <v>1.5024038461538463</v>
      </c>
      <c r="AP425">
        <f t="shared" si="153"/>
        <v>1</v>
      </c>
      <c r="AR425">
        <f t="shared" si="154"/>
        <v>4.4964028776978413</v>
      </c>
      <c r="AT425">
        <f t="shared" si="155"/>
        <v>4.4964028776978413</v>
      </c>
      <c r="AV425">
        <f t="shared" si="156"/>
        <v>4375</v>
      </c>
      <c r="AW425">
        <f t="shared" si="157"/>
        <v>8125</v>
      </c>
    </row>
    <row r="426" spans="1:49" x14ac:dyDescent="0.15">
      <c r="A426" s="5">
        <v>416</v>
      </c>
      <c r="B426" s="5">
        <f t="shared" si="143"/>
        <v>25140</v>
      </c>
      <c r="C426" s="5">
        <f t="shared" si="143"/>
        <v>6265</v>
      </c>
      <c r="D426" s="5">
        <f t="shared" si="143"/>
        <v>4170</v>
      </c>
      <c r="E426" s="5">
        <f t="shared" si="143"/>
        <v>1254</v>
      </c>
      <c r="F426" s="5">
        <f t="shared" si="143"/>
        <v>1672</v>
      </c>
      <c r="G426" s="5">
        <f t="shared" si="141"/>
        <v>100560</v>
      </c>
      <c r="H426" s="5">
        <f t="shared" si="141"/>
        <v>25060</v>
      </c>
      <c r="I426" s="5">
        <f t="shared" si="141"/>
        <v>16680</v>
      </c>
      <c r="J426" s="5">
        <f t="shared" si="141"/>
        <v>5016</v>
      </c>
      <c r="K426" s="5">
        <f t="shared" si="141"/>
        <v>6688</v>
      </c>
      <c r="L426" s="5">
        <f t="shared" si="142"/>
        <v>50280</v>
      </c>
      <c r="M426" s="5">
        <f t="shared" si="142"/>
        <v>12530</v>
      </c>
      <c r="N426" s="5">
        <f t="shared" si="142"/>
        <v>8340</v>
      </c>
      <c r="O426" s="5">
        <f t="shared" si="142"/>
        <v>2508</v>
      </c>
      <c r="P426" s="5">
        <f t="shared" si="142"/>
        <v>3344</v>
      </c>
      <c r="Q426" s="5">
        <f t="shared" si="158"/>
        <v>175980</v>
      </c>
      <c r="R426" s="5">
        <f t="shared" si="159"/>
        <v>43855</v>
      </c>
      <c r="S426" s="5">
        <f t="shared" si="160"/>
        <v>29190</v>
      </c>
      <c r="T426" s="5">
        <f t="shared" si="161"/>
        <v>8778</v>
      </c>
      <c r="U426" s="5">
        <f t="shared" si="162"/>
        <v>11704</v>
      </c>
      <c r="V426" s="5">
        <f>B426*战斗力计算!$B$8+C426*战斗力计算!$B$9+D426*战斗力计算!$B$10+E426*战斗力计算!$B$11+F426*战斗力计算!$B$12</f>
        <v>183800</v>
      </c>
      <c r="W426" s="5">
        <f>G426*战斗力计算!$B$8+H426*战斗力计算!$B$9+I426*战斗力计算!$B$10+J426*战斗力计算!$B$11+K426*战斗力计算!$B$12+L426*战斗力计算!$B$8+M426*战斗力计算!$B$9+N426*战斗力计算!$B$10+O426*战斗力计算!$B$11+P426*战斗力计算!$B$12</f>
        <v>1102800</v>
      </c>
      <c r="X426" s="5">
        <f t="shared" si="163"/>
        <v>1286600</v>
      </c>
      <c r="AC426">
        <f t="shared" si="144"/>
        <v>4</v>
      </c>
      <c r="AD426">
        <f t="shared" si="145"/>
        <v>2</v>
      </c>
      <c r="AF426">
        <f t="shared" si="146"/>
        <v>0.75</v>
      </c>
      <c r="AH426">
        <f t="shared" si="147"/>
        <v>12</v>
      </c>
      <c r="AK426">
        <f t="shared" si="148"/>
        <v>6.028776978417266</v>
      </c>
      <c r="AL426">
        <f t="shared" si="149"/>
        <v>1.5023980815347722</v>
      </c>
      <c r="AM426">
        <f t="shared" si="150"/>
        <v>1</v>
      </c>
      <c r="AN426">
        <f t="shared" si="151"/>
        <v>6.028776978417266</v>
      </c>
      <c r="AO426">
        <f t="shared" si="152"/>
        <v>1.5023980815347722</v>
      </c>
      <c r="AP426">
        <f t="shared" si="153"/>
        <v>1</v>
      </c>
      <c r="AR426">
        <f t="shared" si="154"/>
        <v>4.4964114832535884</v>
      </c>
      <c r="AT426">
        <f t="shared" si="155"/>
        <v>4.4964114832535884</v>
      </c>
      <c r="AV426">
        <f t="shared" si="156"/>
        <v>4385</v>
      </c>
      <c r="AW426">
        <f t="shared" si="157"/>
        <v>8144</v>
      </c>
    </row>
    <row r="427" spans="1:49" x14ac:dyDescent="0.15">
      <c r="A427" s="5">
        <v>417</v>
      </c>
      <c r="B427" s="5">
        <f t="shared" si="143"/>
        <v>25200</v>
      </c>
      <c r="C427" s="5">
        <f t="shared" si="143"/>
        <v>6280</v>
      </c>
      <c r="D427" s="5">
        <f t="shared" si="143"/>
        <v>4180</v>
      </c>
      <c r="E427" s="5">
        <f t="shared" si="143"/>
        <v>1257</v>
      </c>
      <c r="F427" s="5">
        <f t="shared" si="143"/>
        <v>1676</v>
      </c>
      <c r="G427" s="5">
        <f t="shared" si="141"/>
        <v>100800</v>
      </c>
      <c r="H427" s="5">
        <f t="shared" si="141"/>
        <v>25120</v>
      </c>
      <c r="I427" s="5">
        <f t="shared" si="141"/>
        <v>16720</v>
      </c>
      <c r="J427" s="5">
        <f t="shared" si="141"/>
        <v>5028</v>
      </c>
      <c r="K427" s="5">
        <f t="shared" si="141"/>
        <v>6704</v>
      </c>
      <c r="L427" s="5">
        <f t="shared" si="142"/>
        <v>50400</v>
      </c>
      <c r="M427" s="5">
        <f t="shared" si="142"/>
        <v>12560</v>
      </c>
      <c r="N427" s="5">
        <f t="shared" si="142"/>
        <v>8360</v>
      </c>
      <c r="O427" s="5">
        <f t="shared" si="142"/>
        <v>2514</v>
      </c>
      <c r="P427" s="5">
        <f t="shared" si="142"/>
        <v>3352</v>
      </c>
      <c r="Q427" s="5">
        <f t="shared" si="158"/>
        <v>176400</v>
      </c>
      <c r="R427" s="5">
        <f t="shared" si="159"/>
        <v>43960</v>
      </c>
      <c r="S427" s="5">
        <f t="shared" si="160"/>
        <v>29260</v>
      </c>
      <c r="T427" s="5">
        <f t="shared" si="161"/>
        <v>8799</v>
      </c>
      <c r="U427" s="5">
        <f t="shared" si="162"/>
        <v>11732</v>
      </c>
      <c r="V427" s="5">
        <f>B427*战斗力计算!$B$8+C427*战斗力计算!$B$9+D427*战斗力计算!$B$10+E427*战斗力计算!$B$11+F427*战斗力计算!$B$12</f>
        <v>184240</v>
      </c>
      <c r="W427" s="5">
        <f>G427*战斗力计算!$B$8+H427*战斗力计算!$B$9+I427*战斗力计算!$B$10+J427*战斗力计算!$B$11+K427*战斗力计算!$B$12+L427*战斗力计算!$B$8+M427*战斗力计算!$B$9+N427*战斗力计算!$B$10+O427*战斗力计算!$B$11+P427*战斗力计算!$B$12</f>
        <v>1105440</v>
      </c>
      <c r="X427" s="5">
        <f t="shared" si="163"/>
        <v>1289680</v>
      </c>
      <c r="AC427">
        <f t="shared" si="144"/>
        <v>4</v>
      </c>
      <c r="AD427">
        <f t="shared" si="145"/>
        <v>2</v>
      </c>
      <c r="AF427">
        <f t="shared" si="146"/>
        <v>0.75</v>
      </c>
      <c r="AH427">
        <f t="shared" si="147"/>
        <v>12</v>
      </c>
      <c r="AK427">
        <f t="shared" si="148"/>
        <v>6.0287081339712918</v>
      </c>
      <c r="AL427">
        <f t="shared" si="149"/>
        <v>1.5023923444976077</v>
      </c>
      <c r="AM427">
        <f t="shared" si="150"/>
        <v>1</v>
      </c>
      <c r="AN427">
        <f t="shared" si="151"/>
        <v>6.0287081339712918</v>
      </c>
      <c r="AO427">
        <f t="shared" si="152"/>
        <v>1.5023923444976077</v>
      </c>
      <c r="AP427">
        <f t="shared" si="153"/>
        <v>1</v>
      </c>
      <c r="AR427">
        <f t="shared" si="154"/>
        <v>4.4964200477326965</v>
      </c>
      <c r="AT427">
        <f t="shared" si="155"/>
        <v>4.4964200477326965</v>
      </c>
      <c r="AV427">
        <f t="shared" si="156"/>
        <v>4396</v>
      </c>
      <c r="AW427">
        <f t="shared" si="157"/>
        <v>8164</v>
      </c>
    </row>
    <row r="428" spans="1:49" x14ac:dyDescent="0.15">
      <c r="A428" s="5">
        <v>418</v>
      </c>
      <c r="B428" s="5">
        <f t="shared" si="143"/>
        <v>25260</v>
      </c>
      <c r="C428" s="5">
        <f t="shared" si="143"/>
        <v>6295</v>
      </c>
      <c r="D428" s="5">
        <f t="shared" si="143"/>
        <v>4190</v>
      </c>
      <c r="E428" s="5">
        <f t="shared" si="143"/>
        <v>1260</v>
      </c>
      <c r="F428" s="5">
        <f t="shared" si="143"/>
        <v>1680</v>
      </c>
      <c r="G428" s="5">
        <f t="shared" si="141"/>
        <v>101040</v>
      </c>
      <c r="H428" s="5">
        <f t="shared" si="141"/>
        <v>25180</v>
      </c>
      <c r="I428" s="5">
        <f t="shared" si="141"/>
        <v>16760</v>
      </c>
      <c r="J428" s="5">
        <f t="shared" si="141"/>
        <v>5040</v>
      </c>
      <c r="K428" s="5">
        <f t="shared" si="141"/>
        <v>6720</v>
      </c>
      <c r="L428" s="5">
        <f t="shared" si="142"/>
        <v>50520</v>
      </c>
      <c r="M428" s="5">
        <f t="shared" si="142"/>
        <v>12590</v>
      </c>
      <c r="N428" s="5">
        <f t="shared" si="142"/>
        <v>8380</v>
      </c>
      <c r="O428" s="5">
        <f t="shared" si="142"/>
        <v>2520</v>
      </c>
      <c r="P428" s="5">
        <f t="shared" si="142"/>
        <v>3360</v>
      </c>
      <c r="Q428" s="5">
        <f t="shared" si="158"/>
        <v>176820</v>
      </c>
      <c r="R428" s="5">
        <f t="shared" si="159"/>
        <v>44065</v>
      </c>
      <c r="S428" s="5">
        <f t="shared" si="160"/>
        <v>29330</v>
      </c>
      <c r="T428" s="5">
        <f t="shared" si="161"/>
        <v>8820</v>
      </c>
      <c r="U428" s="5">
        <f t="shared" si="162"/>
        <v>11760</v>
      </c>
      <c r="V428" s="5">
        <f>B428*战斗力计算!$B$8+C428*战斗力计算!$B$9+D428*战斗力计算!$B$10+E428*战斗力计算!$B$11+F428*战斗力计算!$B$12</f>
        <v>184680</v>
      </c>
      <c r="W428" s="5">
        <f>G428*战斗力计算!$B$8+H428*战斗力计算!$B$9+I428*战斗力计算!$B$10+J428*战斗力计算!$B$11+K428*战斗力计算!$B$12+L428*战斗力计算!$B$8+M428*战斗力计算!$B$9+N428*战斗力计算!$B$10+O428*战斗力计算!$B$11+P428*战斗力计算!$B$12</f>
        <v>1108080</v>
      </c>
      <c r="X428" s="5">
        <f t="shared" si="163"/>
        <v>1292760</v>
      </c>
      <c r="AC428">
        <f t="shared" si="144"/>
        <v>4</v>
      </c>
      <c r="AD428">
        <f t="shared" si="145"/>
        <v>2</v>
      </c>
      <c r="AF428">
        <f t="shared" si="146"/>
        <v>0.75</v>
      </c>
      <c r="AH428">
        <f t="shared" si="147"/>
        <v>12</v>
      </c>
      <c r="AK428">
        <f t="shared" si="148"/>
        <v>6.028639618138425</v>
      </c>
      <c r="AL428">
        <f t="shared" si="149"/>
        <v>1.5023866348448687</v>
      </c>
      <c r="AM428">
        <f t="shared" si="150"/>
        <v>1</v>
      </c>
      <c r="AN428">
        <f t="shared" si="151"/>
        <v>6.028639618138425</v>
      </c>
      <c r="AO428">
        <f t="shared" si="152"/>
        <v>1.5023866348448687</v>
      </c>
      <c r="AP428">
        <f t="shared" si="153"/>
        <v>1</v>
      </c>
      <c r="AR428">
        <f t="shared" si="154"/>
        <v>4.496428571428571</v>
      </c>
      <c r="AT428">
        <f t="shared" si="155"/>
        <v>4.496428571428571</v>
      </c>
      <c r="AV428">
        <f t="shared" si="156"/>
        <v>4406</v>
      </c>
      <c r="AW428">
        <f t="shared" si="157"/>
        <v>8183</v>
      </c>
    </row>
    <row r="429" spans="1:49" x14ac:dyDescent="0.15">
      <c r="A429" s="5">
        <v>419</v>
      </c>
      <c r="B429" s="5">
        <f t="shared" si="143"/>
        <v>25320</v>
      </c>
      <c r="C429" s="5">
        <f t="shared" si="143"/>
        <v>6310</v>
      </c>
      <c r="D429" s="5">
        <f t="shared" si="143"/>
        <v>4200</v>
      </c>
      <c r="E429" s="5">
        <f t="shared" si="143"/>
        <v>1263</v>
      </c>
      <c r="F429" s="5">
        <f t="shared" si="143"/>
        <v>1684</v>
      </c>
      <c r="G429" s="5">
        <f t="shared" si="141"/>
        <v>101280</v>
      </c>
      <c r="H429" s="5">
        <f t="shared" si="141"/>
        <v>25240</v>
      </c>
      <c r="I429" s="5">
        <f t="shared" si="141"/>
        <v>16800</v>
      </c>
      <c r="J429" s="5">
        <f t="shared" si="141"/>
        <v>5052</v>
      </c>
      <c r="K429" s="5">
        <f t="shared" si="141"/>
        <v>6736</v>
      </c>
      <c r="L429" s="5">
        <f t="shared" si="142"/>
        <v>50640</v>
      </c>
      <c r="M429" s="5">
        <f t="shared" si="142"/>
        <v>12620</v>
      </c>
      <c r="N429" s="5">
        <f t="shared" si="142"/>
        <v>8400</v>
      </c>
      <c r="O429" s="5">
        <f t="shared" si="142"/>
        <v>2526</v>
      </c>
      <c r="P429" s="5">
        <f t="shared" si="142"/>
        <v>3368</v>
      </c>
      <c r="Q429" s="5">
        <f t="shared" si="158"/>
        <v>177240</v>
      </c>
      <c r="R429" s="5">
        <f t="shared" si="159"/>
        <v>44170</v>
      </c>
      <c r="S429" s="5">
        <f t="shared" si="160"/>
        <v>29400</v>
      </c>
      <c r="T429" s="5">
        <f t="shared" si="161"/>
        <v>8841</v>
      </c>
      <c r="U429" s="5">
        <f t="shared" si="162"/>
        <v>11788</v>
      </c>
      <c r="V429" s="5">
        <f>B429*战斗力计算!$B$8+C429*战斗力计算!$B$9+D429*战斗力计算!$B$10+E429*战斗力计算!$B$11+F429*战斗力计算!$B$12</f>
        <v>185120</v>
      </c>
      <c r="W429" s="5">
        <f>G429*战斗力计算!$B$8+H429*战斗力计算!$B$9+I429*战斗力计算!$B$10+J429*战斗力计算!$B$11+K429*战斗力计算!$B$12+L429*战斗力计算!$B$8+M429*战斗力计算!$B$9+N429*战斗力计算!$B$10+O429*战斗力计算!$B$11+P429*战斗力计算!$B$12</f>
        <v>1110720</v>
      </c>
      <c r="X429" s="5">
        <f t="shared" si="163"/>
        <v>1295840</v>
      </c>
      <c r="AC429">
        <f t="shared" si="144"/>
        <v>4</v>
      </c>
      <c r="AD429">
        <f t="shared" si="145"/>
        <v>2</v>
      </c>
      <c r="AF429">
        <f t="shared" si="146"/>
        <v>0.75</v>
      </c>
      <c r="AH429">
        <f t="shared" si="147"/>
        <v>12</v>
      </c>
      <c r="AK429">
        <f t="shared" si="148"/>
        <v>6.0285714285714285</v>
      </c>
      <c r="AL429">
        <f t="shared" si="149"/>
        <v>1.5023809523809524</v>
      </c>
      <c r="AM429">
        <f t="shared" si="150"/>
        <v>1</v>
      </c>
      <c r="AN429">
        <f t="shared" si="151"/>
        <v>6.0285714285714285</v>
      </c>
      <c r="AO429">
        <f t="shared" si="152"/>
        <v>1.5023809523809524</v>
      </c>
      <c r="AP429">
        <f t="shared" si="153"/>
        <v>1</v>
      </c>
      <c r="AR429">
        <f t="shared" si="154"/>
        <v>4.4964370546318291</v>
      </c>
      <c r="AT429">
        <f t="shared" si="155"/>
        <v>4.4964370546318291</v>
      </c>
      <c r="AV429">
        <f t="shared" si="156"/>
        <v>4417</v>
      </c>
      <c r="AW429">
        <f t="shared" si="157"/>
        <v>8203</v>
      </c>
    </row>
    <row r="430" spans="1:49" x14ac:dyDescent="0.15">
      <c r="A430" s="5">
        <v>420</v>
      </c>
      <c r="B430" s="5">
        <f t="shared" si="143"/>
        <v>25380</v>
      </c>
      <c r="C430" s="5">
        <f t="shared" si="143"/>
        <v>6325</v>
      </c>
      <c r="D430" s="5">
        <f t="shared" si="143"/>
        <v>4210</v>
      </c>
      <c r="E430" s="5">
        <f t="shared" si="143"/>
        <v>1266</v>
      </c>
      <c r="F430" s="5">
        <f t="shared" si="143"/>
        <v>1688</v>
      </c>
      <c r="G430" s="5">
        <f t="shared" si="141"/>
        <v>101520</v>
      </c>
      <c r="H430" s="5">
        <f t="shared" si="141"/>
        <v>25300</v>
      </c>
      <c r="I430" s="5">
        <f t="shared" si="141"/>
        <v>16840</v>
      </c>
      <c r="J430" s="5">
        <f t="shared" si="141"/>
        <v>5064</v>
      </c>
      <c r="K430" s="5">
        <f t="shared" si="141"/>
        <v>6752</v>
      </c>
      <c r="L430" s="5">
        <f t="shared" si="142"/>
        <v>50760</v>
      </c>
      <c r="M430" s="5">
        <f t="shared" si="142"/>
        <v>12650</v>
      </c>
      <c r="N430" s="5">
        <f t="shared" si="142"/>
        <v>8420</v>
      </c>
      <c r="O430" s="5">
        <f t="shared" si="142"/>
        <v>2532</v>
      </c>
      <c r="P430" s="5">
        <f t="shared" si="142"/>
        <v>3376</v>
      </c>
      <c r="Q430" s="5">
        <f t="shared" si="158"/>
        <v>177660</v>
      </c>
      <c r="R430" s="5">
        <f t="shared" si="159"/>
        <v>44275</v>
      </c>
      <c r="S430" s="5">
        <f t="shared" si="160"/>
        <v>29470</v>
      </c>
      <c r="T430" s="5">
        <f t="shared" si="161"/>
        <v>8862</v>
      </c>
      <c r="U430" s="5">
        <f t="shared" si="162"/>
        <v>11816</v>
      </c>
      <c r="V430" s="5">
        <f>B430*战斗力计算!$B$8+C430*战斗力计算!$B$9+D430*战斗力计算!$B$10+E430*战斗力计算!$B$11+F430*战斗力计算!$B$12</f>
        <v>185560</v>
      </c>
      <c r="W430" s="5">
        <f>G430*战斗力计算!$B$8+H430*战斗力计算!$B$9+I430*战斗力计算!$B$10+J430*战斗力计算!$B$11+K430*战斗力计算!$B$12+L430*战斗力计算!$B$8+M430*战斗力计算!$B$9+N430*战斗力计算!$B$10+O430*战斗力计算!$B$11+P430*战斗力计算!$B$12</f>
        <v>1113360</v>
      </c>
      <c r="X430" s="5">
        <f t="shared" si="163"/>
        <v>1298920</v>
      </c>
      <c r="AC430">
        <f t="shared" si="144"/>
        <v>4</v>
      </c>
      <c r="AD430">
        <f t="shared" si="145"/>
        <v>2</v>
      </c>
      <c r="AF430">
        <f t="shared" si="146"/>
        <v>0.75</v>
      </c>
      <c r="AH430">
        <f t="shared" si="147"/>
        <v>12</v>
      </c>
      <c r="AK430">
        <f t="shared" si="148"/>
        <v>6.0285035629453683</v>
      </c>
      <c r="AL430">
        <f t="shared" si="149"/>
        <v>1.502375296912114</v>
      </c>
      <c r="AM430">
        <f t="shared" si="150"/>
        <v>1</v>
      </c>
      <c r="AN430">
        <f t="shared" si="151"/>
        <v>6.0285035629453683</v>
      </c>
      <c r="AO430">
        <f t="shared" si="152"/>
        <v>1.502375296912114</v>
      </c>
      <c r="AP430">
        <f t="shared" si="153"/>
        <v>1</v>
      </c>
      <c r="AR430">
        <f t="shared" si="154"/>
        <v>4.4964454976303321</v>
      </c>
      <c r="AT430">
        <f t="shared" si="155"/>
        <v>4.4964454976303321</v>
      </c>
      <c r="AV430">
        <f t="shared" si="156"/>
        <v>4427</v>
      </c>
      <c r="AW430">
        <f t="shared" si="157"/>
        <v>8222</v>
      </c>
    </row>
    <row r="431" spans="1:49" x14ac:dyDescent="0.15">
      <c r="A431" s="5">
        <v>421</v>
      </c>
      <c r="B431" s="5">
        <f t="shared" si="143"/>
        <v>25440</v>
      </c>
      <c r="C431" s="5">
        <f t="shared" si="143"/>
        <v>6340</v>
      </c>
      <c r="D431" s="5">
        <f t="shared" si="143"/>
        <v>4220</v>
      </c>
      <c r="E431" s="5">
        <f t="shared" si="143"/>
        <v>1269</v>
      </c>
      <c r="F431" s="5">
        <f t="shared" si="143"/>
        <v>1692</v>
      </c>
      <c r="G431" s="5">
        <f t="shared" si="141"/>
        <v>101760</v>
      </c>
      <c r="H431" s="5">
        <f t="shared" si="141"/>
        <v>25360</v>
      </c>
      <c r="I431" s="5">
        <f t="shared" si="141"/>
        <v>16880</v>
      </c>
      <c r="J431" s="5">
        <f t="shared" si="141"/>
        <v>5076</v>
      </c>
      <c r="K431" s="5">
        <f t="shared" si="141"/>
        <v>6768</v>
      </c>
      <c r="L431" s="5">
        <f t="shared" si="142"/>
        <v>50880</v>
      </c>
      <c r="M431" s="5">
        <f t="shared" si="142"/>
        <v>12680</v>
      </c>
      <c r="N431" s="5">
        <f t="shared" si="142"/>
        <v>8440</v>
      </c>
      <c r="O431" s="5">
        <f t="shared" si="142"/>
        <v>2538</v>
      </c>
      <c r="P431" s="5">
        <f t="shared" si="142"/>
        <v>3384</v>
      </c>
      <c r="Q431" s="5">
        <f t="shared" si="158"/>
        <v>178080</v>
      </c>
      <c r="R431" s="5">
        <f t="shared" si="159"/>
        <v>44380</v>
      </c>
      <c r="S431" s="5">
        <f t="shared" si="160"/>
        <v>29540</v>
      </c>
      <c r="T431" s="5">
        <f t="shared" si="161"/>
        <v>8883</v>
      </c>
      <c r="U431" s="5">
        <f t="shared" si="162"/>
        <v>11844</v>
      </c>
      <c r="V431" s="5">
        <f>B431*战斗力计算!$B$8+C431*战斗力计算!$B$9+D431*战斗力计算!$B$10+E431*战斗力计算!$B$11+F431*战斗力计算!$B$12</f>
        <v>186000</v>
      </c>
      <c r="W431" s="5">
        <f>G431*战斗力计算!$B$8+H431*战斗力计算!$B$9+I431*战斗力计算!$B$10+J431*战斗力计算!$B$11+K431*战斗力计算!$B$12+L431*战斗力计算!$B$8+M431*战斗力计算!$B$9+N431*战斗力计算!$B$10+O431*战斗力计算!$B$11+P431*战斗力计算!$B$12</f>
        <v>1116000</v>
      </c>
      <c r="X431" s="5">
        <f t="shared" si="163"/>
        <v>1302000</v>
      </c>
      <c r="AC431">
        <f t="shared" si="144"/>
        <v>4</v>
      </c>
      <c r="AD431">
        <f t="shared" si="145"/>
        <v>2</v>
      </c>
      <c r="AF431">
        <f t="shared" si="146"/>
        <v>0.75</v>
      </c>
      <c r="AH431">
        <f t="shared" si="147"/>
        <v>12</v>
      </c>
      <c r="AK431">
        <f t="shared" si="148"/>
        <v>6.028436018957346</v>
      </c>
      <c r="AL431">
        <f t="shared" si="149"/>
        <v>1.5023696682464456</v>
      </c>
      <c r="AM431">
        <f t="shared" si="150"/>
        <v>1</v>
      </c>
      <c r="AN431">
        <f t="shared" si="151"/>
        <v>6.028436018957346</v>
      </c>
      <c r="AO431">
        <f t="shared" si="152"/>
        <v>1.5023696682464456</v>
      </c>
      <c r="AP431">
        <f t="shared" si="153"/>
        <v>1</v>
      </c>
      <c r="AR431">
        <f t="shared" si="154"/>
        <v>4.4964539007092199</v>
      </c>
      <c r="AT431">
        <f t="shared" si="155"/>
        <v>4.4964539007092199</v>
      </c>
      <c r="AV431">
        <f t="shared" si="156"/>
        <v>4438</v>
      </c>
      <c r="AW431">
        <f t="shared" si="157"/>
        <v>8242</v>
      </c>
    </row>
    <row r="432" spans="1:49" x14ac:dyDescent="0.15">
      <c r="A432" s="5">
        <v>422</v>
      </c>
      <c r="B432" s="5">
        <f t="shared" si="143"/>
        <v>25500</v>
      </c>
      <c r="C432" s="5">
        <f t="shared" si="143"/>
        <v>6355</v>
      </c>
      <c r="D432" s="5">
        <f t="shared" si="143"/>
        <v>4230</v>
      </c>
      <c r="E432" s="5">
        <f t="shared" si="143"/>
        <v>1272</v>
      </c>
      <c r="F432" s="5">
        <f t="shared" si="143"/>
        <v>1696</v>
      </c>
      <c r="G432" s="5">
        <f t="shared" ref="G432:K463" si="164">HLOOKUP(G$10,$B$10:$F$610,$A432+1,0)*$AC432</f>
        <v>102000</v>
      </c>
      <c r="H432" s="5">
        <f t="shared" si="164"/>
        <v>25420</v>
      </c>
      <c r="I432" s="5">
        <f t="shared" si="164"/>
        <v>16920</v>
      </c>
      <c r="J432" s="5">
        <f t="shared" si="164"/>
        <v>5088</v>
      </c>
      <c r="K432" s="5">
        <f t="shared" si="164"/>
        <v>6784</v>
      </c>
      <c r="L432" s="5">
        <f t="shared" ref="L432:P463" si="165">HLOOKUP(L$10,$B$10:$F$610,$A432+1,0)*$AD432</f>
        <v>51000</v>
      </c>
      <c r="M432" s="5">
        <f t="shared" si="165"/>
        <v>12710</v>
      </c>
      <c r="N432" s="5">
        <f t="shared" si="165"/>
        <v>8460</v>
      </c>
      <c r="O432" s="5">
        <f t="shared" si="165"/>
        <v>2544</v>
      </c>
      <c r="P432" s="5">
        <f t="shared" si="165"/>
        <v>3392</v>
      </c>
      <c r="Q432" s="5">
        <f t="shared" si="158"/>
        <v>178500</v>
      </c>
      <c r="R432" s="5">
        <f t="shared" si="159"/>
        <v>44485</v>
      </c>
      <c r="S432" s="5">
        <f t="shared" si="160"/>
        <v>29610</v>
      </c>
      <c r="T432" s="5">
        <f t="shared" si="161"/>
        <v>8904</v>
      </c>
      <c r="U432" s="5">
        <f t="shared" si="162"/>
        <v>11872</v>
      </c>
      <c r="V432" s="5">
        <f>B432*战斗力计算!$B$8+C432*战斗力计算!$B$9+D432*战斗力计算!$B$10+E432*战斗力计算!$B$11+F432*战斗力计算!$B$12</f>
        <v>186440</v>
      </c>
      <c r="W432" s="5">
        <f>G432*战斗力计算!$B$8+H432*战斗力计算!$B$9+I432*战斗力计算!$B$10+J432*战斗力计算!$B$11+K432*战斗力计算!$B$12+L432*战斗力计算!$B$8+M432*战斗力计算!$B$9+N432*战斗力计算!$B$10+O432*战斗力计算!$B$11+P432*战斗力计算!$B$12</f>
        <v>1118640</v>
      </c>
      <c r="X432" s="5">
        <f t="shared" si="163"/>
        <v>1305080</v>
      </c>
      <c r="AC432">
        <f t="shared" si="144"/>
        <v>4</v>
      </c>
      <c r="AD432">
        <f t="shared" si="145"/>
        <v>2</v>
      </c>
      <c r="AF432">
        <f t="shared" si="146"/>
        <v>0.75</v>
      </c>
      <c r="AH432">
        <f t="shared" si="147"/>
        <v>12</v>
      </c>
      <c r="AK432">
        <f t="shared" si="148"/>
        <v>6.0283687943262407</v>
      </c>
      <c r="AL432">
        <f t="shared" si="149"/>
        <v>1.5023640661938533</v>
      </c>
      <c r="AM432">
        <f t="shared" si="150"/>
        <v>1</v>
      </c>
      <c r="AN432">
        <f t="shared" si="151"/>
        <v>6.0283687943262407</v>
      </c>
      <c r="AO432">
        <f t="shared" si="152"/>
        <v>1.5023640661938533</v>
      </c>
      <c r="AP432">
        <f t="shared" si="153"/>
        <v>1</v>
      </c>
      <c r="AR432">
        <f t="shared" si="154"/>
        <v>4.4964622641509431</v>
      </c>
      <c r="AT432">
        <f t="shared" si="155"/>
        <v>4.4964622641509431</v>
      </c>
      <c r="AV432">
        <f t="shared" si="156"/>
        <v>4448</v>
      </c>
      <c r="AW432">
        <f t="shared" si="157"/>
        <v>8261</v>
      </c>
    </row>
    <row r="433" spans="1:49" x14ac:dyDescent="0.15">
      <c r="A433" s="5">
        <v>423</v>
      </c>
      <c r="B433" s="5">
        <f t="shared" si="143"/>
        <v>25560</v>
      </c>
      <c r="C433" s="5">
        <f t="shared" si="143"/>
        <v>6370</v>
      </c>
      <c r="D433" s="5">
        <f t="shared" si="143"/>
        <v>4240</v>
      </c>
      <c r="E433" s="5">
        <f t="shared" si="143"/>
        <v>1275</v>
      </c>
      <c r="F433" s="5">
        <f t="shared" si="143"/>
        <v>1700</v>
      </c>
      <c r="G433" s="5">
        <f t="shared" si="164"/>
        <v>102240</v>
      </c>
      <c r="H433" s="5">
        <f t="shared" si="164"/>
        <v>25480</v>
      </c>
      <c r="I433" s="5">
        <f t="shared" si="164"/>
        <v>16960</v>
      </c>
      <c r="J433" s="5">
        <f t="shared" si="164"/>
        <v>5100</v>
      </c>
      <c r="K433" s="5">
        <f t="shared" si="164"/>
        <v>6800</v>
      </c>
      <c r="L433" s="5">
        <f t="shared" si="165"/>
        <v>51120</v>
      </c>
      <c r="M433" s="5">
        <f t="shared" si="165"/>
        <v>12740</v>
      </c>
      <c r="N433" s="5">
        <f t="shared" si="165"/>
        <v>8480</v>
      </c>
      <c r="O433" s="5">
        <f t="shared" si="165"/>
        <v>2550</v>
      </c>
      <c r="P433" s="5">
        <f t="shared" si="165"/>
        <v>3400</v>
      </c>
      <c r="Q433" s="5">
        <f t="shared" si="158"/>
        <v>178920</v>
      </c>
      <c r="R433" s="5">
        <f t="shared" si="159"/>
        <v>44590</v>
      </c>
      <c r="S433" s="5">
        <f t="shared" si="160"/>
        <v>29680</v>
      </c>
      <c r="T433" s="5">
        <f t="shared" si="161"/>
        <v>8925</v>
      </c>
      <c r="U433" s="5">
        <f t="shared" si="162"/>
        <v>11900</v>
      </c>
      <c r="V433" s="5">
        <f>B433*战斗力计算!$B$8+C433*战斗力计算!$B$9+D433*战斗力计算!$B$10+E433*战斗力计算!$B$11+F433*战斗力计算!$B$12</f>
        <v>186880</v>
      </c>
      <c r="W433" s="5">
        <f>G433*战斗力计算!$B$8+H433*战斗力计算!$B$9+I433*战斗力计算!$B$10+J433*战斗力计算!$B$11+K433*战斗力计算!$B$12+L433*战斗力计算!$B$8+M433*战斗力计算!$B$9+N433*战斗力计算!$B$10+O433*战斗力计算!$B$11+P433*战斗力计算!$B$12</f>
        <v>1121280</v>
      </c>
      <c r="X433" s="5">
        <f t="shared" si="163"/>
        <v>1308160</v>
      </c>
      <c r="AC433">
        <f t="shared" si="144"/>
        <v>4</v>
      </c>
      <c r="AD433">
        <f t="shared" si="145"/>
        <v>2</v>
      </c>
      <c r="AF433">
        <f t="shared" si="146"/>
        <v>0.75</v>
      </c>
      <c r="AH433">
        <f t="shared" si="147"/>
        <v>12</v>
      </c>
      <c r="AK433">
        <f t="shared" si="148"/>
        <v>6.0283018867924527</v>
      </c>
      <c r="AL433">
        <f t="shared" si="149"/>
        <v>1.5023584905660377</v>
      </c>
      <c r="AM433">
        <f t="shared" si="150"/>
        <v>1</v>
      </c>
      <c r="AN433">
        <f t="shared" si="151"/>
        <v>6.0283018867924527</v>
      </c>
      <c r="AO433">
        <f t="shared" si="152"/>
        <v>1.5023584905660377</v>
      </c>
      <c r="AP433">
        <f t="shared" si="153"/>
        <v>1</v>
      </c>
      <c r="AR433">
        <f t="shared" si="154"/>
        <v>4.4964705882352938</v>
      </c>
      <c r="AT433">
        <f t="shared" si="155"/>
        <v>4.4964705882352938</v>
      </c>
      <c r="AV433">
        <f t="shared" si="156"/>
        <v>4459</v>
      </c>
      <c r="AW433">
        <f t="shared" si="157"/>
        <v>8281</v>
      </c>
    </row>
    <row r="434" spans="1:49" x14ac:dyDescent="0.15">
      <c r="A434" s="5">
        <v>424</v>
      </c>
      <c r="B434" s="5">
        <f t="shared" si="143"/>
        <v>25620</v>
      </c>
      <c r="C434" s="5">
        <f t="shared" si="143"/>
        <v>6385</v>
      </c>
      <c r="D434" s="5">
        <f t="shared" si="143"/>
        <v>4250</v>
      </c>
      <c r="E434" s="5">
        <f t="shared" si="143"/>
        <v>1278</v>
      </c>
      <c r="F434" s="5">
        <f t="shared" si="143"/>
        <v>1704</v>
      </c>
      <c r="G434" s="5">
        <f t="shared" si="164"/>
        <v>102480</v>
      </c>
      <c r="H434" s="5">
        <f t="shared" si="164"/>
        <v>25540</v>
      </c>
      <c r="I434" s="5">
        <f t="shared" si="164"/>
        <v>17000</v>
      </c>
      <c r="J434" s="5">
        <f t="shared" si="164"/>
        <v>5112</v>
      </c>
      <c r="K434" s="5">
        <f t="shared" si="164"/>
        <v>6816</v>
      </c>
      <c r="L434" s="5">
        <f t="shared" si="165"/>
        <v>51240</v>
      </c>
      <c r="M434" s="5">
        <f t="shared" si="165"/>
        <v>12770</v>
      </c>
      <c r="N434" s="5">
        <f t="shared" si="165"/>
        <v>8500</v>
      </c>
      <c r="O434" s="5">
        <f t="shared" si="165"/>
        <v>2556</v>
      </c>
      <c r="P434" s="5">
        <f t="shared" si="165"/>
        <v>3408</v>
      </c>
      <c r="Q434" s="5">
        <f t="shared" si="158"/>
        <v>179340</v>
      </c>
      <c r="R434" s="5">
        <f t="shared" si="159"/>
        <v>44695</v>
      </c>
      <c r="S434" s="5">
        <f t="shared" si="160"/>
        <v>29750</v>
      </c>
      <c r="T434" s="5">
        <f t="shared" si="161"/>
        <v>8946</v>
      </c>
      <c r="U434" s="5">
        <f t="shared" si="162"/>
        <v>11928</v>
      </c>
      <c r="V434" s="5">
        <f>B434*战斗力计算!$B$8+C434*战斗力计算!$B$9+D434*战斗力计算!$B$10+E434*战斗力计算!$B$11+F434*战斗力计算!$B$12</f>
        <v>187320</v>
      </c>
      <c r="W434" s="5">
        <f>G434*战斗力计算!$B$8+H434*战斗力计算!$B$9+I434*战斗力计算!$B$10+J434*战斗力计算!$B$11+K434*战斗力计算!$B$12+L434*战斗力计算!$B$8+M434*战斗力计算!$B$9+N434*战斗力计算!$B$10+O434*战斗力计算!$B$11+P434*战斗力计算!$B$12</f>
        <v>1123920</v>
      </c>
      <c r="X434" s="5">
        <f t="shared" si="163"/>
        <v>1311240</v>
      </c>
      <c r="AC434">
        <f t="shared" si="144"/>
        <v>4</v>
      </c>
      <c r="AD434">
        <f t="shared" si="145"/>
        <v>2</v>
      </c>
      <c r="AF434">
        <f t="shared" si="146"/>
        <v>0.75</v>
      </c>
      <c r="AH434">
        <f t="shared" si="147"/>
        <v>12</v>
      </c>
      <c r="AK434">
        <f t="shared" si="148"/>
        <v>6.0282352941176471</v>
      </c>
      <c r="AL434">
        <f t="shared" si="149"/>
        <v>1.5023529411764707</v>
      </c>
      <c r="AM434">
        <f t="shared" si="150"/>
        <v>1</v>
      </c>
      <c r="AN434">
        <f t="shared" si="151"/>
        <v>6.0282352941176471</v>
      </c>
      <c r="AO434">
        <f t="shared" si="152"/>
        <v>1.5023529411764707</v>
      </c>
      <c r="AP434">
        <f t="shared" si="153"/>
        <v>1</v>
      </c>
      <c r="AR434">
        <f t="shared" si="154"/>
        <v>4.496478873239437</v>
      </c>
      <c r="AT434">
        <f t="shared" si="155"/>
        <v>4.496478873239437</v>
      </c>
      <c r="AV434">
        <f t="shared" si="156"/>
        <v>4469</v>
      </c>
      <c r="AW434">
        <f t="shared" si="157"/>
        <v>8300</v>
      </c>
    </row>
    <row r="435" spans="1:49" x14ac:dyDescent="0.15">
      <c r="A435" s="5">
        <v>425</v>
      </c>
      <c r="B435" s="5">
        <f t="shared" si="143"/>
        <v>25680</v>
      </c>
      <c r="C435" s="5">
        <f t="shared" si="143"/>
        <v>6400</v>
      </c>
      <c r="D435" s="5">
        <f t="shared" si="143"/>
        <v>4260</v>
      </c>
      <c r="E435" s="5">
        <f t="shared" si="143"/>
        <v>1281</v>
      </c>
      <c r="F435" s="5">
        <f t="shared" si="143"/>
        <v>1708</v>
      </c>
      <c r="G435" s="5">
        <f t="shared" si="164"/>
        <v>102720</v>
      </c>
      <c r="H435" s="5">
        <f t="shared" si="164"/>
        <v>25600</v>
      </c>
      <c r="I435" s="5">
        <f t="shared" si="164"/>
        <v>17040</v>
      </c>
      <c r="J435" s="5">
        <f t="shared" si="164"/>
        <v>5124</v>
      </c>
      <c r="K435" s="5">
        <f t="shared" si="164"/>
        <v>6832</v>
      </c>
      <c r="L435" s="5">
        <f t="shared" si="165"/>
        <v>51360</v>
      </c>
      <c r="M435" s="5">
        <f t="shared" si="165"/>
        <v>12800</v>
      </c>
      <c r="N435" s="5">
        <f t="shared" si="165"/>
        <v>8520</v>
      </c>
      <c r="O435" s="5">
        <f t="shared" si="165"/>
        <v>2562</v>
      </c>
      <c r="P435" s="5">
        <f t="shared" si="165"/>
        <v>3416</v>
      </c>
      <c r="Q435" s="5">
        <f t="shared" si="158"/>
        <v>179760</v>
      </c>
      <c r="R435" s="5">
        <f t="shared" si="159"/>
        <v>44800</v>
      </c>
      <c r="S435" s="5">
        <f t="shared" si="160"/>
        <v>29820</v>
      </c>
      <c r="T435" s="5">
        <f t="shared" si="161"/>
        <v>8967</v>
      </c>
      <c r="U435" s="5">
        <f t="shared" si="162"/>
        <v>11956</v>
      </c>
      <c r="V435" s="5">
        <f>B435*战斗力计算!$B$8+C435*战斗力计算!$B$9+D435*战斗力计算!$B$10+E435*战斗力计算!$B$11+F435*战斗力计算!$B$12</f>
        <v>187760</v>
      </c>
      <c r="W435" s="5">
        <f>G435*战斗力计算!$B$8+H435*战斗力计算!$B$9+I435*战斗力计算!$B$10+J435*战斗力计算!$B$11+K435*战斗力计算!$B$12+L435*战斗力计算!$B$8+M435*战斗力计算!$B$9+N435*战斗力计算!$B$10+O435*战斗力计算!$B$11+P435*战斗力计算!$B$12</f>
        <v>1126560</v>
      </c>
      <c r="X435" s="5">
        <f t="shared" si="163"/>
        <v>1314320</v>
      </c>
      <c r="AC435">
        <f t="shared" si="144"/>
        <v>4</v>
      </c>
      <c r="AD435">
        <f t="shared" si="145"/>
        <v>2</v>
      </c>
      <c r="AF435">
        <f t="shared" si="146"/>
        <v>0.75</v>
      </c>
      <c r="AH435">
        <f t="shared" si="147"/>
        <v>12</v>
      </c>
      <c r="AK435">
        <f t="shared" si="148"/>
        <v>6.028169014084507</v>
      </c>
      <c r="AL435">
        <f t="shared" si="149"/>
        <v>1.5023474178403755</v>
      </c>
      <c r="AM435">
        <f t="shared" si="150"/>
        <v>1</v>
      </c>
      <c r="AN435">
        <f t="shared" si="151"/>
        <v>6.028169014084507</v>
      </c>
      <c r="AO435">
        <f t="shared" si="152"/>
        <v>1.5023474178403755</v>
      </c>
      <c r="AP435">
        <f t="shared" si="153"/>
        <v>1</v>
      </c>
      <c r="AR435">
        <f t="shared" si="154"/>
        <v>4.4964871194379388</v>
      </c>
      <c r="AT435">
        <f t="shared" si="155"/>
        <v>4.4964871194379388</v>
      </c>
      <c r="AV435">
        <f t="shared" si="156"/>
        <v>4480</v>
      </c>
      <c r="AW435">
        <f t="shared" si="157"/>
        <v>8320</v>
      </c>
    </row>
    <row r="436" spans="1:49" x14ac:dyDescent="0.15">
      <c r="A436" s="5">
        <v>426</v>
      </c>
      <c r="B436" s="5">
        <f t="shared" si="143"/>
        <v>25740</v>
      </c>
      <c r="C436" s="5">
        <f t="shared" si="143"/>
        <v>6415</v>
      </c>
      <c r="D436" s="5">
        <f t="shared" si="143"/>
        <v>4270</v>
      </c>
      <c r="E436" s="5">
        <f t="shared" si="143"/>
        <v>1284</v>
      </c>
      <c r="F436" s="5">
        <f t="shared" si="143"/>
        <v>1712</v>
      </c>
      <c r="G436" s="5">
        <f t="shared" si="164"/>
        <v>102960</v>
      </c>
      <c r="H436" s="5">
        <f t="shared" si="164"/>
        <v>25660</v>
      </c>
      <c r="I436" s="5">
        <f t="shared" si="164"/>
        <v>17080</v>
      </c>
      <c r="J436" s="5">
        <f t="shared" si="164"/>
        <v>5136</v>
      </c>
      <c r="K436" s="5">
        <f t="shared" si="164"/>
        <v>6848</v>
      </c>
      <c r="L436" s="5">
        <f t="shared" si="165"/>
        <v>51480</v>
      </c>
      <c r="M436" s="5">
        <f t="shared" si="165"/>
        <v>12830</v>
      </c>
      <c r="N436" s="5">
        <f t="shared" si="165"/>
        <v>8540</v>
      </c>
      <c r="O436" s="5">
        <f t="shared" si="165"/>
        <v>2568</v>
      </c>
      <c r="P436" s="5">
        <f t="shared" si="165"/>
        <v>3424</v>
      </c>
      <c r="Q436" s="5">
        <f t="shared" si="158"/>
        <v>180180</v>
      </c>
      <c r="R436" s="5">
        <f t="shared" si="159"/>
        <v>44905</v>
      </c>
      <c r="S436" s="5">
        <f t="shared" si="160"/>
        <v>29890</v>
      </c>
      <c r="T436" s="5">
        <f t="shared" si="161"/>
        <v>8988</v>
      </c>
      <c r="U436" s="5">
        <f t="shared" si="162"/>
        <v>11984</v>
      </c>
      <c r="V436" s="5">
        <f>B436*战斗力计算!$B$8+C436*战斗力计算!$B$9+D436*战斗力计算!$B$10+E436*战斗力计算!$B$11+F436*战斗力计算!$B$12</f>
        <v>188200</v>
      </c>
      <c r="W436" s="5">
        <f>G436*战斗力计算!$B$8+H436*战斗力计算!$B$9+I436*战斗力计算!$B$10+J436*战斗力计算!$B$11+K436*战斗力计算!$B$12+L436*战斗力计算!$B$8+M436*战斗力计算!$B$9+N436*战斗力计算!$B$10+O436*战斗力计算!$B$11+P436*战斗力计算!$B$12</f>
        <v>1129200</v>
      </c>
      <c r="X436" s="5">
        <f t="shared" si="163"/>
        <v>1317400</v>
      </c>
      <c r="AC436">
        <f t="shared" si="144"/>
        <v>4</v>
      </c>
      <c r="AD436">
        <f t="shared" si="145"/>
        <v>2</v>
      </c>
      <c r="AF436">
        <f t="shared" si="146"/>
        <v>0.75</v>
      </c>
      <c r="AH436">
        <f t="shared" si="147"/>
        <v>12</v>
      </c>
      <c r="AK436">
        <f t="shared" si="148"/>
        <v>6.0281030444964872</v>
      </c>
      <c r="AL436">
        <f t="shared" si="149"/>
        <v>1.5023419203747073</v>
      </c>
      <c r="AM436">
        <f t="shared" si="150"/>
        <v>1</v>
      </c>
      <c r="AN436">
        <f t="shared" si="151"/>
        <v>6.0281030444964872</v>
      </c>
      <c r="AO436">
        <f t="shared" si="152"/>
        <v>1.5023419203747073</v>
      </c>
      <c r="AP436">
        <f t="shared" si="153"/>
        <v>1</v>
      </c>
      <c r="AR436">
        <f t="shared" si="154"/>
        <v>4.4964953271028039</v>
      </c>
      <c r="AT436">
        <f t="shared" si="155"/>
        <v>4.4964953271028039</v>
      </c>
      <c r="AV436">
        <f t="shared" si="156"/>
        <v>4490</v>
      </c>
      <c r="AW436">
        <f t="shared" si="157"/>
        <v>8339</v>
      </c>
    </row>
    <row r="437" spans="1:49" x14ac:dyDescent="0.15">
      <c r="A437" s="5">
        <v>427</v>
      </c>
      <c r="B437" s="5">
        <f t="shared" si="143"/>
        <v>25800</v>
      </c>
      <c r="C437" s="5">
        <f t="shared" si="143"/>
        <v>6430</v>
      </c>
      <c r="D437" s="5">
        <f t="shared" si="143"/>
        <v>4280</v>
      </c>
      <c r="E437" s="5">
        <f t="shared" si="143"/>
        <v>1287</v>
      </c>
      <c r="F437" s="5">
        <f t="shared" si="143"/>
        <v>1716</v>
      </c>
      <c r="G437" s="5">
        <f t="shared" si="164"/>
        <v>103200</v>
      </c>
      <c r="H437" s="5">
        <f t="shared" si="164"/>
        <v>25720</v>
      </c>
      <c r="I437" s="5">
        <f t="shared" si="164"/>
        <v>17120</v>
      </c>
      <c r="J437" s="5">
        <f t="shared" si="164"/>
        <v>5148</v>
      </c>
      <c r="K437" s="5">
        <f t="shared" si="164"/>
        <v>6864</v>
      </c>
      <c r="L437" s="5">
        <f t="shared" si="165"/>
        <v>51600</v>
      </c>
      <c r="M437" s="5">
        <f t="shared" si="165"/>
        <v>12860</v>
      </c>
      <c r="N437" s="5">
        <f t="shared" si="165"/>
        <v>8560</v>
      </c>
      <c r="O437" s="5">
        <f t="shared" si="165"/>
        <v>2574</v>
      </c>
      <c r="P437" s="5">
        <f t="shared" si="165"/>
        <v>3432</v>
      </c>
      <c r="Q437" s="5">
        <f t="shared" si="158"/>
        <v>180600</v>
      </c>
      <c r="R437" s="5">
        <f t="shared" si="159"/>
        <v>45010</v>
      </c>
      <c r="S437" s="5">
        <f t="shared" si="160"/>
        <v>29960</v>
      </c>
      <c r="T437" s="5">
        <f t="shared" si="161"/>
        <v>9009</v>
      </c>
      <c r="U437" s="5">
        <f t="shared" si="162"/>
        <v>12012</v>
      </c>
      <c r="V437" s="5">
        <f>B437*战斗力计算!$B$8+C437*战斗力计算!$B$9+D437*战斗力计算!$B$10+E437*战斗力计算!$B$11+F437*战斗力计算!$B$12</f>
        <v>188640</v>
      </c>
      <c r="W437" s="5">
        <f>G437*战斗力计算!$B$8+H437*战斗力计算!$B$9+I437*战斗力计算!$B$10+J437*战斗力计算!$B$11+K437*战斗力计算!$B$12+L437*战斗力计算!$B$8+M437*战斗力计算!$B$9+N437*战斗力计算!$B$10+O437*战斗力计算!$B$11+P437*战斗力计算!$B$12</f>
        <v>1131840</v>
      </c>
      <c r="X437" s="5">
        <f t="shared" si="163"/>
        <v>1320480</v>
      </c>
      <c r="AC437">
        <f t="shared" si="144"/>
        <v>4</v>
      </c>
      <c r="AD437">
        <f t="shared" si="145"/>
        <v>2</v>
      </c>
      <c r="AF437">
        <f t="shared" si="146"/>
        <v>0.75</v>
      </c>
      <c r="AH437">
        <f t="shared" si="147"/>
        <v>12</v>
      </c>
      <c r="AK437">
        <f t="shared" si="148"/>
        <v>6.02803738317757</v>
      </c>
      <c r="AL437">
        <f t="shared" si="149"/>
        <v>1.5023364485981308</v>
      </c>
      <c r="AM437">
        <f t="shared" si="150"/>
        <v>1</v>
      </c>
      <c r="AN437">
        <f t="shared" si="151"/>
        <v>6.02803738317757</v>
      </c>
      <c r="AO437">
        <f t="shared" si="152"/>
        <v>1.5023364485981308</v>
      </c>
      <c r="AP437">
        <f t="shared" si="153"/>
        <v>1</v>
      </c>
      <c r="AR437">
        <f t="shared" si="154"/>
        <v>4.4965034965034967</v>
      </c>
      <c r="AT437">
        <f t="shared" si="155"/>
        <v>4.4965034965034967</v>
      </c>
      <c r="AV437">
        <f t="shared" si="156"/>
        <v>4501</v>
      </c>
      <c r="AW437">
        <f t="shared" si="157"/>
        <v>8359</v>
      </c>
    </row>
    <row r="438" spans="1:49" x14ac:dyDescent="0.15">
      <c r="A438" s="5">
        <v>428</v>
      </c>
      <c r="B438" s="5">
        <f t="shared" si="143"/>
        <v>25860</v>
      </c>
      <c r="C438" s="5">
        <f t="shared" si="143"/>
        <v>6445</v>
      </c>
      <c r="D438" s="5">
        <f t="shared" si="143"/>
        <v>4290</v>
      </c>
      <c r="E438" s="5">
        <f t="shared" si="143"/>
        <v>1290</v>
      </c>
      <c r="F438" s="5">
        <f t="shared" si="143"/>
        <v>1720</v>
      </c>
      <c r="G438" s="5">
        <f t="shared" si="164"/>
        <v>103440</v>
      </c>
      <c r="H438" s="5">
        <f t="shared" si="164"/>
        <v>25780</v>
      </c>
      <c r="I438" s="5">
        <f t="shared" si="164"/>
        <v>17160</v>
      </c>
      <c r="J438" s="5">
        <f t="shared" si="164"/>
        <v>5160</v>
      </c>
      <c r="K438" s="5">
        <f t="shared" si="164"/>
        <v>6880</v>
      </c>
      <c r="L438" s="5">
        <f t="shared" si="165"/>
        <v>51720</v>
      </c>
      <c r="M438" s="5">
        <f t="shared" si="165"/>
        <v>12890</v>
      </c>
      <c r="N438" s="5">
        <f t="shared" si="165"/>
        <v>8580</v>
      </c>
      <c r="O438" s="5">
        <f t="shared" si="165"/>
        <v>2580</v>
      </c>
      <c r="P438" s="5">
        <f t="shared" si="165"/>
        <v>3440</v>
      </c>
      <c r="Q438" s="5">
        <f t="shared" si="158"/>
        <v>181020</v>
      </c>
      <c r="R438" s="5">
        <f t="shared" si="159"/>
        <v>45115</v>
      </c>
      <c r="S438" s="5">
        <f t="shared" si="160"/>
        <v>30030</v>
      </c>
      <c r="T438" s="5">
        <f t="shared" si="161"/>
        <v>9030</v>
      </c>
      <c r="U438" s="5">
        <f t="shared" si="162"/>
        <v>12040</v>
      </c>
      <c r="V438" s="5">
        <f>B438*战斗力计算!$B$8+C438*战斗力计算!$B$9+D438*战斗力计算!$B$10+E438*战斗力计算!$B$11+F438*战斗力计算!$B$12</f>
        <v>189080</v>
      </c>
      <c r="W438" s="5">
        <f>G438*战斗力计算!$B$8+H438*战斗力计算!$B$9+I438*战斗力计算!$B$10+J438*战斗力计算!$B$11+K438*战斗力计算!$B$12+L438*战斗力计算!$B$8+M438*战斗力计算!$B$9+N438*战斗力计算!$B$10+O438*战斗力计算!$B$11+P438*战斗力计算!$B$12</f>
        <v>1134480</v>
      </c>
      <c r="X438" s="5">
        <f t="shared" si="163"/>
        <v>1323560</v>
      </c>
      <c r="AC438">
        <f t="shared" si="144"/>
        <v>4</v>
      </c>
      <c r="AD438">
        <f t="shared" si="145"/>
        <v>2</v>
      </c>
      <c r="AF438">
        <f t="shared" si="146"/>
        <v>0.75</v>
      </c>
      <c r="AH438">
        <f t="shared" si="147"/>
        <v>12</v>
      </c>
      <c r="AK438">
        <f t="shared" si="148"/>
        <v>6.0279720279720284</v>
      </c>
      <c r="AL438">
        <f t="shared" si="149"/>
        <v>1.5023310023310024</v>
      </c>
      <c r="AM438">
        <f t="shared" si="150"/>
        <v>1</v>
      </c>
      <c r="AN438">
        <f t="shared" si="151"/>
        <v>6.0279720279720284</v>
      </c>
      <c r="AO438">
        <f t="shared" si="152"/>
        <v>1.5023310023310024</v>
      </c>
      <c r="AP438">
        <f t="shared" si="153"/>
        <v>1</v>
      </c>
      <c r="AR438">
        <f t="shared" si="154"/>
        <v>4.496511627906977</v>
      </c>
      <c r="AT438">
        <f t="shared" si="155"/>
        <v>4.496511627906977</v>
      </c>
      <c r="AV438">
        <f t="shared" si="156"/>
        <v>4511</v>
      </c>
      <c r="AW438">
        <f t="shared" si="157"/>
        <v>8378</v>
      </c>
    </row>
    <row r="439" spans="1:49" x14ac:dyDescent="0.15">
      <c r="A439" s="5">
        <v>429</v>
      </c>
      <c r="B439" s="5">
        <f t="shared" si="143"/>
        <v>25920</v>
      </c>
      <c r="C439" s="5">
        <f t="shared" si="143"/>
        <v>6460</v>
      </c>
      <c r="D439" s="5">
        <f t="shared" si="143"/>
        <v>4300</v>
      </c>
      <c r="E439" s="5">
        <f t="shared" si="143"/>
        <v>1293</v>
      </c>
      <c r="F439" s="5">
        <f t="shared" si="143"/>
        <v>1724</v>
      </c>
      <c r="G439" s="5">
        <f t="shared" si="164"/>
        <v>103680</v>
      </c>
      <c r="H439" s="5">
        <f t="shared" si="164"/>
        <v>25840</v>
      </c>
      <c r="I439" s="5">
        <f t="shared" si="164"/>
        <v>17200</v>
      </c>
      <c r="J439" s="5">
        <f t="shared" si="164"/>
        <v>5172</v>
      </c>
      <c r="K439" s="5">
        <f t="shared" si="164"/>
        <v>6896</v>
      </c>
      <c r="L439" s="5">
        <f t="shared" si="165"/>
        <v>51840</v>
      </c>
      <c r="M439" s="5">
        <f t="shared" si="165"/>
        <v>12920</v>
      </c>
      <c r="N439" s="5">
        <f t="shared" si="165"/>
        <v>8600</v>
      </c>
      <c r="O439" s="5">
        <f t="shared" si="165"/>
        <v>2586</v>
      </c>
      <c r="P439" s="5">
        <f t="shared" si="165"/>
        <v>3448</v>
      </c>
      <c r="Q439" s="5">
        <f t="shared" si="158"/>
        <v>181440</v>
      </c>
      <c r="R439" s="5">
        <f t="shared" si="159"/>
        <v>45220</v>
      </c>
      <c r="S439" s="5">
        <f t="shared" si="160"/>
        <v>30100</v>
      </c>
      <c r="T439" s="5">
        <f t="shared" si="161"/>
        <v>9051</v>
      </c>
      <c r="U439" s="5">
        <f t="shared" si="162"/>
        <v>12068</v>
      </c>
      <c r="V439" s="5">
        <f>B439*战斗力计算!$B$8+C439*战斗力计算!$B$9+D439*战斗力计算!$B$10+E439*战斗力计算!$B$11+F439*战斗力计算!$B$12</f>
        <v>189520</v>
      </c>
      <c r="W439" s="5">
        <f>G439*战斗力计算!$B$8+H439*战斗力计算!$B$9+I439*战斗力计算!$B$10+J439*战斗力计算!$B$11+K439*战斗力计算!$B$12+L439*战斗力计算!$B$8+M439*战斗力计算!$B$9+N439*战斗力计算!$B$10+O439*战斗力计算!$B$11+P439*战斗力计算!$B$12</f>
        <v>1137120</v>
      </c>
      <c r="X439" s="5">
        <f t="shared" si="163"/>
        <v>1326640</v>
      </c>
      <c r="AC439">
        <f t="shared" si="144"/>
        <v>4</v>
      </c>
      <c r="AD439">
        <f t="shared" si="145"/>
        <v>2</v>
      </c>
      <c r="AF439">
        <f t="shared" si="146"/>
        <v>0.75</v>
      </c>
      <c r="AH439">
        <f t="shared" si="147"/>
        <v>12</v>
      </c>
      <c r="AK439">
        <f t="shared" si="148"/>
        <v>6.0279069767441857</v>
      </c>
      <c r="AL439">
        <f t="shared" si="149"/>
        <v>1.5023255813953489</v>
      </c>
      <c r="AM439">
        <f t="shared" si="150"/>
        <v>1</v>
      </c>
      <c r="AN439">
        <f t="shared" si="151"/>
        <v>6.0279069767441857</v>
      </c>
      <c r="AO439">
        <f t="shared" si="152"/>
        <v>1.5023255813953489</v>
      </c>
      <c r="AP439">
        <f t="shared" si="153"/>
        <v>1</v>
      </c>
      <c r="AR439">
        <f t="shared" si="154"/>
        <v>4.4965197215777266</v>
      </c>
      <c r="AT439">
        <f t="shared" si="155"/>
        <v>4.4965197215777266</v>
      </c>
      <c r="AV439">
        <f t="shared" si="156"/>
        <v>4522</v>
      </c>
      <c r="AW439">
        <f t="shared" si="157"/>
        <v>8398</v>
      </c>
    </row>
    <row r="440" spans="1:49" x14ac:dyDescent="0.15">
      <c r="A440" s="5">
        <v>430</v>
      </c>
      <c r="B440" s="5">
        <f t="shared" si="143"/>
        <v>25980</v>
      </c>
      <c r="C440" s="5">
        <f t="shared" si="143"/>
        <v>6475</v>
      </c>
      <c r="D440" s="5">
        <f t="shared" si="143"/>
        <v>4310</v>
      </c>
      <c r="E440" s="5">
        <f t="shared" si="143"/>
        <v>1296</v>
      </c>
      <c r="F440" s="5">
        <f t="shared" si="143"/>
        <v>1728</v>
      </c>
      <c r="G440" s="5">
        <f t="shared" si="164"/>
        <v>103920</v>
      </c>
      <c r="H440" s="5">
        <f t="shared" si="164"/>
        <v>25900</v>
      </c>
      <c r="I440" s="5">
        <f t="shared" si="164"/>
        <v>17240</v>
      </c>
      <c r="J440" s="5">
        <f t="shared" si="164"/>
        <v>5184</v>
      </c>
      <c r="K440" s="5">
        <f t="shared" si="164"/>
        <v>6912</v>
      </c>
      <c r="L440" s="5">
        <f t="shared" si="165"/>
        <v>51960</v>
      </c>
      <c r="M440" s="5">
        <f t="shared" si="165"/>
        <v>12950</v>
      </c>
      <c r="N440" s="5">
        <f t="shared" si="165"/>
        <v>8620</v>
      </c>
      <c r="O440" s="5">
        <f t="shared" si="165"/>
        <v>2592</v>
      </c>
      <c r="P440" s="5">
        <f t="shared" si="165"/>
        <v>3456</v>
      </c>
      <c r="Q440" s="5">
        <f t="shared" si="158"/>
        <v>181860</v>
      </c>
      <c r="R440" s="5">
        <f t="shared" si="159"/>
        <v>45325</v>
      </c>
      <c r="S440" s="5">
        <f t="shared" si="160"/>
        <v>30170</v>
      </c>
      <c r="T440" s="5">
        <f t="shared" si="161"/>
        <v>9072</v>
      </c>
      <c r="U440" s="5">
        <f t="shared" si="162"/>
        <v>12096</v>
      </c>
      <c r="V440" s="5">
        <f>B440*战斗力计算!$B$8+C440*战斗力计算!$B$9+D440*战斗力计算!$B$10+E440*战斗力计算!$B$11+F440*战斗力计算!$B$12</f>
        <v>189960</v>
      </c>
      <c r="W440" s="5">
        <f>G440*战斗力计算!$B$8+H440*战斗力计算!$B$9+I440*战斗力计算!$B$10+J440*战斗力计算!$B$11+K440*战斗力计算!$B$12+L440*战斗力计算!$B$8+M440*战斗力计算!$B$9+N440*战斗力计算!$B$10+O440*战斗力计算!$B$11+P440*战斗力计算!$B$12</f>
        <v>1139760</v>
      </c>
      <c r="X440" s="5">
        <f t="shared" si="163"/>
        <v>1329720</v>
      </c>
      <c r="AC440">
        <f t="shared" si="144"/>
        <v>4</v>
      </c>
      <c r="AD440">
        <f t="shared" si="145"/>
        <v>2</v>
      </c>
      <c r="AF440">
        <f t="shared" si="146"/>
        <v>0.75</v>
      </c>
      <c r="AH440">
        <f t="shared" si="147"/>
        <v>12</v>
      </c>
      <c r="AK440">
        <f t="shared" si="148"/>
        <v>6.0278422273781906</v>
      </c>
      <c r="AL440">
        <f t="shared" si="149"/>
        <v>1.5023201856148491</v>
      </c>
      <c r="AM440">
        <f t="shared" si="150"/>
        <v>1</v>
      </c>
      <c r="AN440">
        <f t="shared" si="151"/>
        <v>6.0278422273781906</v>
      </c>
      <c r="AO440">
        <f t="shared" si="152"/>
        <v>1.5023201856148491</v>
      </c>
      <c r="AP440">
        <f t="shared" si="153"/>
        <v>1</v>
      </c>
      <c r="AR440">
        <f t="shared" si="154"/>
        <v>4.4965277777777777</v>
      </c>
      <c r="AT440">
        <f t="shared" si="155"/>
        <v>4.4965277777777777</v>
      </c>
      <c r="AV440">
        <f t="shared" si="156"/>
        <v>4532</v>
      </c>
      <c r="AW440">
        <f t="shared" si="157"/>
        <v>8417</v>
      </c>
    </row>
    <row r="441" spans="1:49" x14ac:dyDescent="0.15">
      <c r="A441" s="5">
        <v>431</v>
      </c>
      <c r="B441" s="5">
        <f t="shared" si="143"/>
        <v>26040</v>
      </c>
      <c r="C441" s="5">
        <f t="shared" si="143"/>
        <v>6490</v>
      </c>
      <c r="D441" s="5">
        <f t="shared" si="143"/>
        <v>4320</v>
      </c>
      <c r="E441" s="5">
        <f t="shared" si="143"/>
        <v>1299</v>
      </c>
      <c r="F441" s="5">
        <f t="shared" si="143"/>
        <v>1732</v>
      </c>
      <c r="G441" s="5">
        <f t="shared" si="164"/>
        <v>104160</v>
      </c>
      <c r="H441" s="5">
        <f t="shared" si="164"/>
        <v>25960</v>
      </c>
      <c r="I441" s="5">
        <f t="shared" si="164"/>
        <v>17280</v>
      </c>
      <c r="J441" s="5">
        <f t="shared" si="164"/>
        <v>5196</v>
      </c>
      <c r="K441" s="5">
        <f t="shared" si="164"/>
        <v>6928</v>
      </c>
      <c r="L441" s="5">
        <f t="shared" si="165"/>
        <v>52080</v>
      </c>
      <c r="M441" s="5">
        <f t="shared" si="165"/>
        <v>12980</v>
      </c>
      <c r="N441" s="5">
        <f t="shared" si="165"/>
        <v>8640</v>
      </c>
      <c r="O441" s="5">
        <f t="shared" si="165"/>
        <v>2598</v>
      </c>
      <c r="P441" s="5">
        <f t="shared" si="165"/>
        <v>3464</v>
      </c>
      <c r="Q441" s="5">
        <f t="shared" si="158"/>
        <v>182280</v>
      </c>
      <c r="R441" s="5">
        <f t="shared" si="159"/>
        <v>45430</v>
      </c>
      <c r="S441" s="5">
        <f t="shared" si="160"/>
        <v>30240</v>
      </c>
      <c r="T441" s="5">
        <f t="shared" si="161"/>
        <v>9093</v>
      </c>
      <c r="U441" s="5">
        <f t="shared" si="162"/>
        <v>12124</v>
      </c>
      <c r="V441" s="5">
        <f>B441*战斗力计算!$B$8+C441*战斗力计算!$B$9+D441*战斗力计算!$B$10+E441*战斗力计算!$B$11+F441*战斗力计算!$B$12</f>
        <v>190400</v>
      </c>
      <c r="W441" s="5">
        <f>G441*战斗力计算!$B$8+H441*战斗力计算!$B$9+I441*战斗力计算!$B$10+J441*战斗力计算!$B$11+K441*战斗力计算!$B$12+L441*战斗力计算!$B$8+M441*战斗力计算!$B$9+N441*战斗力计算!$B$10+O441*战斗力计算!$B$11+P441*战斗力计算!$B$12</f>
        <v>1142400</v>
      </c>
      <c r="X441" s="5">
        <f t="shared" si="163"/>
        <v>1332800</v>
      </c>
      <c r="AC441">
        <f t="shared" si="144"/>
        <v>4</v>
      </c>
      <c r="AD441">
        <f t="shared" si="145"/>
        <v>2</v>
      </c>
      <c r="AF441">
        <f t="shared" si="146"/>
        <v>0.75</v>
      </c>
      <c r="AH441">
        <f t="shared" si="147"/>
        <v>12</v>
      </c>
      <c r="AK441">
        <f t="shared" si="148"/>
        <v>6.0277777777777777</v>
      </c>
      <c r="AL441">
        <f t="shared" si="149"/>
        <v>1.5023148148148149</v>
      </c>
      <c r="AM441">
        <f t="shared" si="150"/>
        <v>1</v>
      </c>
      <c r="AN441">
        <f t="shared" si="151"/>
        <v>6.0277777777777777</v>
      </c>
      <c r="AO441">
        <f t="shared" si="152"/>
        <v>1.5023148148148149</v>
      </c>
      <c r="AP441">
        <f t="shared" si="153"/>
        <v>1</v>
      </c>
      <c r="AR441">
        <f t="shared" si="154"/>
        <v>4.4965357967667439</v>
      </c>
      <c r="AT441">
        <f t="shared" si="155"/>
        <v>4.4965357967667439</v>
      </c>
      <c r="AV441">
        <f t="shared" si="156"/>
        <v>4543</v>
      </c>
      <c r="AW441">
        <f t="shared" si="157"/>
        <v>8437</v>
      </c>
    </row>
    <row r="442" spans="1:49" x14ac:dyDescent="0.15">
      <c r="A442" s="5">
        <v>432</v>
      </c>
      <c r="B442" s="5">
        <f t="shared" si="143"/>
        <v>26100</v>
      </c>
      <c r="C442" s="5">
        <f t="shared" si="143"/>
        <v>6505</v>
      </c>
      <c r="D442" s="5">
        <f t="shared" si="143"/>
        <v>4330</v>
      </c>
      <c r="E442" s="5">
        <f t="shared" si="143"/>
        <v>1302</v>
      </c>
      <c r="F442" s="5">
        <f t="shared" si="143"/>
        <v>1736</v>
      </c>
      <c r="G442" s="5">
        <f t="shared" si="164"/>
        <v>104400</v>
      </c>
      <c r="H442" s="5">
        <f t="shared" si="164"/>
        <v>26020</v>
      </c>
      <c r="I442" s="5">
        <f t="shared" si="164"/>
        <v>17320</v>
      </c>
      <c r="J442" s="5">
        <f t="shared" si="164"/>
        <v>5208</v>
      </c>
      <c r="K442" s="5">
        <f t="shared" si="164"/>
        <v>6944</v>
      </c>
      <c r="L442" s="5">
        <f t="shared" si="165"/>
        <v>52200</v>
      </c>
      <c r="M442" s="5">
        <f t="shared" si="165"/>
        <v>13010</v>
      </c>
      <c r="N442" s="5">
        <f t="shared" si="165"/>
        <v>8660</v>
      </c>
      <c r="O442" s="5">
        <f t="shared" si="165"/>
        <v>2604</v>
      </c>
      <c r="P442" s="5">
        <f t="shared" si="165"/>
        <v>3472</v>
      </c>
      <c r="Q442" s="5">
        <f t="shared" si="158"/>
        <v>182700</v>
      </c>
      <c r="R442" s="5">
        <f t="shared" si="159"/>
        <v>45535</v>
      </c>
      <c r="S442" s="5">
        <f t="shared" si="160"/>
        <v>30310</v>
      </c>
      <c r="T442" s="5">
        <f t="shared" si="161"/>
        <v>9114</v>
      </c>
      <c r="U442" s="5">
        <f t="shared" si="162"/>
        <v>12152</v>
      </c>
      <c r="V442" s="5">
        <f>B442*战斗力计算!$B$8+C442*战斗力计算!$B$9+D442*战斗力计算!$B$10+E442*战斗力计算!$B$11+F442*战斗力计算!$B$12</f>
        <v>190840</v>
      </c>
      <c r="W442" s="5">
        <f>G442*战斗力计算!$B$8+H442*战斗力计算!$B$9+I442*战斗力计算!$B$10+J442*战斗力计算!$B$11+K442*战斗力计算!$B$12+L442*战斗力计算!$B$8+M442*战斗力计算!$B$9+N442*战斗力计算!$B$10+O442*战斗力计算!$B$11+P442*战斗力计算!$B$12</f>
        <v>1145040</v>
      </c>
      <c r="X442" s="5">
        <f t="shared" si="163"/>
        <v>1335880</v>
      </c>
      <c r="AC442">
        <f t="shared" si="144"/>
        <v>4</v>
      </c>
      <c r="AD442">
        <f t="shared" si="145"/>
        <v>2</v>
      </c>
      <c r="AF442">
        <f t="shared" si="146"/>
        <v>0.75</v>
      </c>
      <c r="AH442">
        <f t="shared" si="147"/>
        <v>12</v>
      </c>
      <c r="AK442">
        <f t="shared" si="148"/>
        <v>6.0277136258660509</v>
      </c>
      <c r="AL442">
        <f t="shared" si="149"/>
        <v>1.502309468822171</v>
      </c>
      <c r="AM442">
        <f t="shared" si="150"/>
        <v>1</v>
      </c>
      <c r="AN442">
        <f t="shared" si="151"/>
        <v>6.0277136258660509</v>
      </c>
      <c r="AO442">
        <f t="shared" si="152"/>
        <v>1.502309468822171</v>
      </c>
      <c r="AP442">
        <f t="shared" si="153"/>
        <v>1</v>
      </c>
      <c r="AR442">
        <f t="shared" si="154"/>
        <v>4.4965437788018434</v>
      </c>
      <c r="AT442">
        <f t="shared" si="155"/>
        <v>4.4965437788018434</v>
      </c>
      <c r="AV442">
        <f t="shared" si="156"/>
        <v>4553</v>
      </c>
      <c r="AW442">
        <f t="shared" si="157"/>
        <v>8456</v>
      </c>
    </row>
    <row r="443" spans="1:49" x14ac:dyDescent="0.15">
      <c r="A443" s="5">
        <v>433</v>
      </c>
      <c r="B443" s="5">
        <f t="shared" si="143"/>
        <v>26160</v>
      </c>
      <c r="C443" s="5">
        <f t="shared" si="143"/>
        <v>6520</v>
      </c>
      <c r="D443" s="5">
        <f t="shared" si="143"/>
        <v>4340</v>
      </c>
      <c r="E443" s="5">
        <f t="shared" si="143"/>
        <v>1305</v>
      </c>
      <c r="F443" s="5">
        <f t="shared" ref="C443:F506" si="166">INT(VLOOKUP(F$10,$A$2:$C$7,2,0)+($A443-1)*VLOOKUP(F$10,$A$2:$C$7,3,0))</f>
        <v>1740</v>
      </c>
      <c r="G443" s="5">
        <f t="shared" si="164"/>
        <v>104640</v>
      </c>
      <c r="H443" s="5">
        <f t="shared" si="164"/>
        <v>26080</v>
      </c>
      <c r="I443" s="5">
        <f t="shared" si="164"/>
        <v>17360</v>
      </c>
      <c r="J443" s="5">
        <f t="shared" si="164"/>
        <v>5220</v>
      </c>
      <c r="K443" s="5">
        <f t="shared" si="164"/>
        <v>6960</v>
      </c>
      <c r="L443" s="5">
        <f t="shared" si="165"/>
        <v>52320</v>
      </c>
      <c r="M443" s="5">
        <f t="shared" si="165"/>
        <v>13040</v>
      </c>
      <c r="N443" s="5">
        <f t="shared" si="165"/>
        <v>8680</v>
      </c>
      <c r="O443" s="5">
        <f t="shared" si="165"/>
        <v>2610</v>
      </c>
      <c r="P443" s="5">
        <f t="shared" si="165"/>
        <v>3480</v>
      </c>
      <c r="Q443" s="5">
        <f t="shared" si="158"/>
        <v>183120</v>
      </c>
      <c r="R443" s="5">
        <f t="shared" si="159"/>
        <v>45640</v>
      </c>
      <c r="S443" s="5">
        <f t="shared" si="160"/>
        <v>30380</v>
      </c>
      <c r="T443" s="5">
        <f t="shared" si="161"/>
        <v>9135</v>
      </c>
      <c r="U443" s="5">
        <f t="shared" si="162"/>
        <v>12180</v>
      </c>
      <c r="V443" s="5">
        <f>B443*战斗力计算!$B$8+C443*战斗力计算!$B$9+D443*战斗力计算!$B$10+E443*战斗力计算!$B$11+F443*战斗力计算!$B$12</f>
        <v>191280</v>
      </c>
      <c r="W443" s="5">
        <f>G443*战斗力计算!$B$8+H443*战斗力计算!$B$9+I443*战斗力计算!$B$10+J443*战斗力计算!$B$11+K443*战斗力计算!$B$12+L443*战斗力计算!$B$8+M443*战斗力计算!$B$9+N443*战斗力计算!$B$10+O443*战斗力计算!$B$11+P443*战斗力计算!$B$12</f>
        <v>1147680</v>
      </c>
      <c r="X443" s="5">
        <f t="shared" si="163"/>
        <v>1338960</v>
      </c>
      <c r="AC443">
        <f t="shared" si="144"/>
        <v>4</v>
      </c>
      <c r="AD443">
        <f t="shared" si="145"/>
        <v>2</v>
      </c>
      <c r="AF443">
        <f t="shared" si="146"/>
        <v>0.75</v>
      </c>
      <c r="AH443">
        <f t="shared" si="147"/>
        <v>12</v>
      </c>
      <c r="AK443">
        <f t="shared" si="148"/>
        <v>6.0276497695852536</v>
      </c>
      <c r="AL443">
        <f t="shared" si="149"/>
        <v>1.5023041474654377</v>
      </c>
      <c r="AM443">
        <f t="shared" si="150"/>
        <v>1</v>
      </c>
      <c r="AN443">
        <f t="shared" si="151"/>
        <v>6.0276497695852536</v>
      </c>
      <c r="AO443">
        <f t="shared" si="152"/>
        <v>1.5023041474654377</v>
      </c>
      <c r="AP443">
        <f t="shared" si="153"/>
        <v>1</v>
      </c>
      <c r="AR443">
        <f t="shared" si="154"/>
        <v>4.4965517241379311</v>
      </c>
      <c r="AT443">
        <f t="shared" si="155"/>
        <v>4.4965517241379311</v>
      </c>
      <c r="AV443">
        <f t="shared" si="156"/>
        <v>4564</v>
      </c>
      <c r="AW443">
        <f t="shared" si="157"/>
        <v>8476</v>
      </c>
    </row>
    <row r="444" spans="1:49" x14ac:dyDescent="0.15">
      <c r="A444" s="5">
        <v>434</v>
      </c>
      <c r="B444" s="5">
        <f t="shared" si="143"/>
        <v>26220</v>
      </c>
      <c r="C444" s="5">
        <f t="shared" si="166"/>
        <v>6535</v>
      </c>
      <c r="D444" s="5">
        <f t="shared" si="166"/>
        <v>4350</v>
      </c>
      <c r="E444" s="5">
        <f t="shared" si="166"/>
        <v>1308</v>
      </c>
      <c r="F444" s="5">
        <f t="shared" si="166"/>
        <v>1744</v>
      </c>
      <c r="G444" s="5">
        <f t="shared" si="164"/>
        <v>104880</v>
      </c>
      <c r="H444" s="5">
        <f t="shared" si="164"/>
        <v>26140</v>
      </c>
      <c r="I444" s="5">
        <f t="shared" si="164"/>
        <v>17400</v>
      </c>
      <c r="J444" s="5">
        <f t="shared" si="164"/>
        <v>5232</v>
      </c>
      <c r="K444" s="5">
        <f t="shared" si="164"/>
        <v>6976</v>
      </c>
      <c r="L444" s="5">
        <f t="shared" si="165"/>
        <v>52440</v>
      </c>
      <c r="M444" s="5">
        <f t="shared" si="165"/>
        <v>13070</v>
      </c>
      <c r="N444" s="5">
        <f t="shared" si="165"/>
        <v>8700</v>
      </c>
      <c r="O444" s="5">
        <f t="shared" si="165"/>
        <v>2616</v>
      </c>
      <c r="P444" s="5">
        <f t="shared" si="165"/>
        <v>3488</v>
      </c>
      <c r="Q444" s="5">
        <f t="shared" si="158"/>
        <v>183540</v>
      </c>
      <c r="R444" s="5">
        <f t="shared" si="159"/>
        <v>45745</v>
      </c>
      <c r="S444" s="5">
        <f t="shared" si="160"/>
        <v>30450</v>
      </c>
      <c r="T444" s="5">
        <f t="shared" si="161"/>
        <v>9156</v>
      </c>
      <c r="U444" s="5">
        <f t="shared" si="162"/>
        <v>12208</v>
      </c>
      <c r="V444" s="5">
        <f>B444*战斗力计算!$B$8+C444*战斗力计算!$B$9+D444*战斗力计算!$B$10+E444*战斗力计算!$B$11+F444*战斗力计算!$B$12</f>
        <v>191720</v>
      </c>
      <c r="W444" s="5">
        <f>G444*战斗力计算!$B$8+H444*战斗力计算!$B$9+I444*战斗力计算!$B$10+J444*战斗力计算!$B$11+K444*战斗力计算!$B$12+L444*战斗力计算!$B$8+M444*战斗力计算!$B$9+N444*战斗力计算!$B$10+O444*战斗力计算!$B$11+P444*战斗力计算!$B$12</f>
        <v>1150320</v>
      </c>
      <c r="X444" s="5">
        <f t="shared" si="163"/>
        <v>1342040</v>
      </c>
      <c r="AC444">
        <f t="shared" si="144"/>
        <v>4</v>
      </c>
      <c r="AD444">
        <f t="shared" si="145"/>
        <v>2</v>
      </c>
      <c r="AF444">
        <f t="shared" si="146"/>
        <v>0.75</v>
      </c>
      <c r="AH444">
        <f t="shared" si="147"/>
        <v>12</v>
      </c>
      <c r="AK444">
        <f t="shared" si="148"/>
        <v>6.0275862068965518</v>
      </c>
      <c r="AL444">
        <f t="shared" si="149"/>
        <v>1.5022988505747126</v>
      </c>
      <c r="AM444">
        <f t="shared" si="150"/>
        <v>1</v>
      </c>
      <c r="AN444">
        <f t="shared" si="151"/>
        <v>6.0275862068965518</v>
      </c>
      <c r="AO444">
        <f t="shared" si="152"/>
        <v>1.5022988505747126</v>
      </c>
      <c r="AP444">
        <f t="shared" si="153"/>
        <v>1</v>
      </c>
      <c r="AR444">
        <f t="shared" si="154"/>
        <v>4.4965596330275233</v>
      </c>
      <c r="AT444">
        <f t="shared" si="155"/>
        <v>4.4965596330275233</v>
      </c>
      <c r="AV444">
        <f t="shared" si="156"/>
        <v>4574</v>
      </c>
      <c r="AW444">
        <f t="shared" si="157"/>
        <v>8495</v>
      </c>
    </row>
    <row r="445" spans="1:49" x14ac:dyDescent="0.15">
      <c r="A445" s="5">
        <v>435</v>
      </c>
      <c r="B445" s="5">
        <f t="shared" si="143"/>
        <v>26280</v>
      </c>
      <c r="C445" s="5">
        <f t="shared" si="166"/>
        <v>6550</v>
      </c>
      <c r="D445" s="5">
        <f t="shared" si="166"/>
        <v>4360</v>
      </c>
      <c r="E445" s="5">
        <f t="shared" si="166"/>
        <v>1311</v>
      </c>
      <c r="F445" s="5">
        <f t="shared" si="166"/>
        <v>1748</v>
      </c>
      <c r="G445" s="5">
        <f t="shared" si="164"/>
        <v>105120</v>
      </c>
      <c r="H445" s="5">
        <f t="shared" si="164"/>
        <v>26200</v>
      </c>
      <c r="I445" s="5">
        <f t="shared" si="164"/>
        <v>17440</v>
      </c>
      <c r="J445" s="5">
        <f t="shared" si="164"/>
        <v>5244</v>
      </c>
      <c r="K445" s="5">
        <f t="shared" si="164"/>
        <v>6992</v>
      </c>
      <c r="L445" s="5">
        <f t="shared" si="165"/>
        <v>52560</v>
      </c>
      <c r="M445" s="5">
        <f t="shared" si="165"/>
        <v>13100</v>
      </c>
      <c r="N445" s="5">
        <f t="shared" si="165"/>
        <v>8720</v>
      </c>
      <c r="O445" s="5">
        <f t="shared" si="165"/>
        <v>2622</v>
      </c>
      <c r="P445" s="5">
        <f t="shared" si="165"/>
        <v>3496</v>
      </c>
      <c r="Q445" s="5">
        <f t="shared" si="158"/>
        <v>183960</v>
      </c>
      <c r="R445" s="5">
        <f t="shared" si="159"/>
        <v>45850</v>
      </c>
      <c r="S445" s="5">
        <f t="shared" si="160"/>
        <v>30520</v>
      </c>
      <c r="T445" s="5">
        <f t="shared" si="161"/>
        <v>9177</v>
      </c>
      <c r="U445" s="5">
        <f t="shared" si="162"/>
        <v>12236</v>
      </c>
      <c r="V445" s="5">
        <f>B445*战斗力计算!$B$8+C445*战斗力计算!$B$9+D445*战斗力计算!$B$10+E445*战斗力计算!$B$11+F445*战斗力计算!$B$12</f>
        <v>192160</v>
      </c>
      <c r="W445" s="5">
        <f>G445*战斗力计算!$B$8+H445*战斗力计算!$B$9+I445*战斗力计算!$B$10+J445*战斗力计算!$B$11+K445*战斗力计算!$B$12+L445*战斗力计算!$B$8+M445*战斗力计算!$B$9+N445*战斗力计算!$B$10+O445*战斗力计算!$B$11+P445*战斗力计算!$B$12</f>
        <v>1152960</v>
      </c>
      <c r="X445" s="5">
        <f t="shared" si="163"/>
        <v>1345120</v>
      </c>
      <c r="AC445">
        <f t="shared" si="144"/>
        <v>4</v>
      </c>
      <c r="AD445">
        <f t="shared" si="145"/>
        <v>2</v>
      </c>
      <c r="AF445">
        <f t="shared" si="146"/>
        <v>0.75</v>
      </c>
      <c r="AH445">
        <f t="shared" si="147"/>
        <v>12</v>
      </c>
      <c r="AK445">
        <f t="shared" si="148"/>
        <v>6.0275229357798166</v>
      </c>
      <c r="AL445">
        <f t="shared" si="149"/>
        <v>1.5022935779816513</v>
      </c>
      <c r="AM445">
        <f t="shared" si="150"/>
        <v>1</v>
      </c>
      <c r="AN445">
        <f t="shared" si="151"/>
        <v>6.0275229357798166</v>
      </c>
      <c r="AO445">
        <f t="shared" si="152"/>
        <v>1.5022935779816513</v>
      </c>
      <c r="AP445">
        <f t="shared" si="153"/>
        <v>1</v>
      </c>
      <c r="AR445">
        <f t="shared" si="154"/>
        <v>4.4965675057208241</v>
      </c>
      <c r="AT445">
        <f t="shared" si="155"/>
        <v>4.4965675057208241</v>
      </c>
      <c r="AV445">
        <f t="shared" si="156"/>
        <v>4585</v>
      </c>
      <c r="AW445">
        <f t="shared" si="157"/>
        <v>8515</v>
      </c>
    </row>
    <row r="446" spans="1:49" x14ac:dyDescent="0.15">
      <c r="A446" s="5">
        <v>436</v>
      </c>
      <c r="B446" s="5">
        <f t="shared" si="143"/>
        <v>26340</v>
      </c>
      <c r="C446" s="5">
        <f t="shared" si="166"/>
        <v>6565</v>
      </c>
      <c r="D446" s="5">
        <f t="shared" si="166"/>
        <v>4370</v>
      </c>
      <c r="E446" s="5">
        <f t="shared" si="166"/>
        <v>1314</v>
      </c>
      <c r="F446" s="5">
        <f t="shared" si="166"/>
        <v>1752</v>
      </c>
      <c r="G446" s="5">
        <f t="shared" si="164"/>
        <v>105360</v>
      </c>
      <c r="H446" s="5">
        <f t="shared" si="164"/>
        <v>26260</v>
      </c>
      <c r="I446" s="5">
        <f t="shared" si="164"/>
        <v>17480</v>
      </c>
      <c r="J446" s="5">
        <f t="shared" si="164"/>
        <v>5256</v>
      </c>
      <c r="K446" s="5">
        <f t="shared" si="164"/>
        <v>7008</v>
      </c>
      <c r="L446" s="5">
        <f t="shared" si="165"/>
        <v>52680</v>
      </c>
      <c r="M446" s="5">
        <f t="shared" si="165"/>
        <v>13130</v>
      </c>
      <c r="N446" s="5">
        <f t="shared" si="165"/>
        <v>8740</v>
      </c>
      <c r="O446" s="5">
        <f t="shared" si="165"/>
        <v>2628</v>
      </c>
      <c r="P446" s="5">
        <f t="shared" si="165"/>
        <v>3504</v>
      </c>
      <c r="Q446" s="5">
        <f t="shared" si="158"/>
        <v>184380</v>
      </c>
      <c r="R446" s="5">
        <f t="shared" si="159"/>
        <v>45955</v>
      </c>
      <c r="S446" s="5">
        <f t="shared" si="160"/>
        <v>30590</v>
      </c>
      <c r="T446" s="5">
        <f t="shared" si="161"/>
        <v>9198</v>
      </c>
      <c r="U446" s="5">
        <f t="shared" si="162"/>
        <v>12264</v>
      </c>
      <c r="V446" s="5">
        <f>B446*战斗力计算!$B$8+C446*战斗力计算!$B$9+D446*战斗力计算!$B$10+E446*战斗力计算!$B$11+F446*战斗力计算!$B$12</f>
        <v>192600</v>
      </c>
      <c r="W446" s="5">
        <f>G446*战斗力计算!$B$8+H446*战斗力计算!$B$9+I446*战斗力计算!$B$10+J446*战斗力计算!$B$11+K446*战斗力计算!$B$12+L446*战斗力计算!$B$8+M446*战斗力计算!$B$9+N446*战斗力计算!$B$10+O446*战斗力计算!$B$11+P446*战斗力计算!$B$12</f>
        <v>1155600</v>
      </c>
      <c r="X446" s="5">
        <f t="shared" si="163"/>
        <v>1348200</v>
      </c>
      <c r="AC446">
        <f t="shared" si="144"/>
        <v>4</v>
      </c>
      <c r="AD446">
        <f t="shared" si="145"/>
        <v>2</v>
      </c>
      <c r="AF446">
        <f t="shared" si="146"/>
        <v>0.75</v>
      </c>
      <c r="AH446">
        <f t="shared" si="147"/>
        <v>12</v>
      </c>
      <c r="AK446">
        <f t="shared" si="148"/>
        <v>6.02745995423341</v>
      </c>
      <c r="AL446">
        <f t="shared" si="149"/>
        <v>1.5022883295194509</v>
      </c>
      <c r="AM446">
        <f t="shared" si="150"/>
        <v>1</v>
      </c>
      <c r="AN446">
        <f t="shared" si="151"/>
        <v>6.02745995423341</v>
      </c>
      <c r="AO446">
        <f t="shared" si="152"/>
        <v>1.5022883295194509</v>
      </c>
      <c r="AP446">
        <f t="shared" si="153"/>
        <v>1</v>
      </c>
      <c r="AR446">
        <f t="shared" si="154"/>
        <v>4.4965753424657535</v>
      </c>
      <c r="AT446">
        <f t="shared" si="155"/>
        <v>4.4965753424657535</v>
      </c>
      <c r="AV446">
        <f t="shared" si="156"/>
        <v>4595</v>
      </c>
      <c r="AW446">
        <f t="shared" si="157"/>
        <v>8534</v>
      </c>
    </row>
    <row r="447" spans="1:49" x14ac:dyDescent="0.15">
      <c r="A447" s="5">
        <v>437</v>
      </c>
      <c r="B447" s="5">
        <f t="shared" si="143"/>
        <v>26400</v>
      </c>
      <c r="C447" s="5">
        <f t="shared" si="166"/>
        <v>6580</v>
      </c>
      <c r="D447" s="5">
        <f t="shared" si="166"/>
        <v>4380</v>
      </c>
      <c r="E447" s="5">
        <f t="shared" si="166"/>
        <v>1317</v>
      </c>
      <c r="F447" s="5">
        <f t="shared" si="166"/>
        <v>1756</v>
      </c>
      <c r="G447" s="5">
        <f t="shared" si="164"/>
        <v>105600</v>
      </c>
      <c r="H447" s="5">
        <f t="shared" si="164"/>
        <v>26320</v>
      </c>
      <c r="I447" s="5">
        <f t="shared" si="164"/>
        <v>17520</v>
      </c>
      <c r="J447" s="5">
        <f t="shared" si="164"/>
        <v>5268</v>
      </c>
      <c r="K447" s="5">
        <f t="shared" si="164"/>
        <v>7024</v>
      </c>
      <c r="L447" s="5">
        <f t="shared" si="165"/>
        <v>52800</v>
      </c>
      <c r="M447" s="5">
        <f t="shared" si="165"/>
        <v>13160</v>
      </c>
      <c r="N447" s="5">
        <f t="shared" si="165"/>
        <v>8760</v>
      </c>
      <c r="O447" s="5">
        <f t="shared" si="165"/>
        <v>2634</v>
      </c>
      <c r="P447" s="5">
        <f t="shared" si="165"/>
        <v>3512</v>
      </c>
      <c r="Q447" s="5">
        <f t="shared" si="158"/>
        <v>184800</v>
      </c>
      <c r="R447" s="5">
        <f t="shared" si="159"/>
        <v>46060</v>
      </c>
      <c r="S447" s="5">
        <f t="shared" si="160"/>
        <v>30660</v>
      </c>
      <c r="T447" s="5">
        <f t="shared" si="161"/>
        <v>9219</v>
      </c>
      <c r="U447" s="5">
        <f t="shared" si="162"/>
        <v>12292</v>
      </c>
      <c r="V447" s="5">
        <f>B447*战斗力计算!$B$8+C447*战斗力计算!$B$9+D447*战斗力计算!$B$10+E447*战斗力计算!$B$11+F447*战斗力计算!$B$12</f>
        <v>193040</v>
      </c>
      <c r="W447" s="5">
        <f>G447*战斗力计算!$B$8+H447*战斗力计算!$B$9+I447*战斗力计算!$B$10+J447*战斗力计算!$B$11+K447*战斗力计算!$B$12+L447*战斗力计算!$B$8+M447*战斗力计算!$B$9+N447*战斗力计算!$B$10+O447*战斗力计算!$B$11+P447*战斗力计算!$B$12</f>
        <v>1158240</v>
      </c>
      <c r="X447" s="5">
        <f t="shared" si="163"/>
        <v>1351280</v>
      </c>
      <c r="AC447">
        <f t="shared" si="144"/>
        <v>4</v>
      </c>
      <c r="AD447">
        <f t="shared" si="145"/>
        <v>2</v>
      </c>
      <c r="AF447">
        <f t="shared" si="146"/>
        <v>0.75</v>
      </c>
      <c r="AH447">
        <f t="shared" si="147"/>
        <v>12</v>
      </c>
      <c r="AK447">
        <f t="shared" si="148"/>
        <v>6.0273972602739727</v>
      </c>
      <c r="AL447">
        <f t="shared" si="149"/>
        <v>1.5022831050228311</v>
      </c>
      <c r="AM447">
        <f t="shared" si="150"/>
        <v>1</v>
      </c>
      <c r="AN447">
        <f t="shared" si="151"/>
        <v>6.0273972602739727</v>
      </c>
      <c r="AO447">
        <f t="shared" si="152"/>
        <v>1.5022831050228311</v>
      </c>
      <c r="AP447">
        <f t="shared" si="153"/>
        <v>1</v>
      </c>
      <c r="AR447">
        <f t="shared" si="154"/>
        <v>4.4965831435079728</v>
      </c>
      <c r="AT447">
        <f t="shared" si="155"/>
        <v>4.4965831435079728</v>
      </c>
      <c r="AV447">
        <f t="shared" si="156"/>
        <v>4606</v>
      </c>
      <c r="AW447">
        <f t="shared" si="157"/>
        <v>8554</v>
      </c>
    </row>
    <row r="448" spans="1:49" x14ac:dyDescent="0.15">
      <c r="A448" s="5">
        <v>438</v>
      </c>
      <c r="B448" s="5">
        <f t="shared" si="143"/>
        <v>26460</v>
      </c>
      <c r="C448" s="5">
        <f t="shared" si="166"/>
        <v>6595</v>
      </c>
      <c r="D448" s="5">
        <f t="shared" si="166"/>
        <v>4390</v>
      </c>
      <c r="E448" s="5">
        <f t="shared" si="166"/>
        <v>1320</v>
      </c>
      <c r="F448" s="5">
        <f t="shared" si="166"/>
        <v>1760</v>
      </c>
      <c r="G448" s="5">
        <f t="shared" si="164"/>
        <v>105840</v>
      </c>
      <c r="H448" s="5">
        <f t="shared" si="164"/>
        <v>26380</v>
      </c>
      <c r="I448" s="5">
        <f t="shared" si="164"/>
        <v>17560</v>
      </c>
      <c r="J448" s="5">
        <f t="shared" si="164"/>
        <v>5280</v>
      </c>
      <c r="K448" s="5">
        <f t="shared" si="164"/>
        <v>7040</v>
      </c>
      <c r="L448" s="5">
        <f t="shared" si="165"/>
        <v>52920</v>
      </c>
      <c r="M448" s="5">
        <f t="shared" si="165"/>
        <v>13190</v>
      </c>
      <c r="N448" s="5">
        <f t="shared" si="165"/>
        <v>8780</v>
      </c>
      <c r="O448" s="5">
        <f t="shared" si="165"/>
        <v>2640</v>
      </c>
      <c r="P448" s="5">
        <f t="shared" si="165"/>
        <v>3520</v>
      </c>
      <c r="Q448" s="5">
        <f t="shared" si="158"/>
        <v>185220</v>
      </c>
      <c r="R448" s="5">
        <f t="shared" si="159"/>
        <v>46165</v>
      </c>
      <c r="S448" s="5">
        <f t="shared" si="160"/>
        <v>30730</v>
      </c>
      <c r="T448" s="5">
        <f t="shared" si="161"/>
        <v>9240</v>
      </c>
      <c r="U448" s="5">
        <f t="shared" si="162"/>
        <v>12320</v>
      </c>
      <c r="V448" s="5">
        <f>B448*战斗力计算!$B$8+C448*战斗力计算!$B$9+D448*战斗力计算!$B$10+E448*战斗力计算!$B$11+F448*战斗力计算!$B$12</f>
        <v>193480</v>
      </c>
      <c r="W448" s="5">
        <f>G448*战斗力计算!$B$8+H448*战斗力计算!$B$9+I448*战斗力计算!$B$10+J448*战斗力计算!$B$11+K448*战斗力计算!$B$12+L448*战斗力计算!$B$8+M448*战斗力计算!$B$9+N448*战斗力计算!$B$10+O448*战斗力计算!$B$11+P448*战斗力计算!$B$12</f>
        <v>1160880</v>
      </c>
      <c r="X448" s="5">
        <f t="shared" si="163"/>
        <v>1354360</v>
      </c>
      <c r="AC448">
        <f t="shared" si="144"/>
        <v>4</v>
      </c>
      <c r="AD448">
        <f t="shared" si="145"/>
        <v>2</v>
      </c>
      <c r="AF448">
        <f t="shared" si="146"/>
        <v>0.75</v>
      </c>
      <c r="AH448">
        <f t="shared" si="147"/>
        <v>12</v>
      </c>
      <c r="AK448">
        <f t="shared" si="148"/>
        <v>6.0273348519362191</v>
      </c>
      <c r="AL448">
        <f t="shared" si="149"/>
        <v>1.5022779043280183</v>
      </c>
      <c r="AM448">
        <f t="shared" si="150"/>
        <v>1</v>
      </c>
      <c r="AN448">
        <f t="shared" si="151"/>
        <v>6.0273348519362191</v>
      </c>
      <c r="AO448">
        <f t="shared" si="152"/>
        <v>1.5022779043280183</v>
      </c>
      <c r="AP448">
        <f t="shared" si="153"/>
        <v>1</v>
      </c>
      <c r="AR448">
        <f t="shared" si="154"/>
        <v>4.4965909090909095</v>
      </c>
      <c r="AT448">
        <f t="shared" si="155"/>
        <v>4.4965909090909095</v>
      </c>
      <c r="AV448">
        <f t="shared" si="156"/>
        <v>4616</v>
      </c>
      <c r="AW448">
        <f t="shared" si="157"/>
        <v>8573</v>
      </c>
    </row>
    <row r="449" spans="1:49" x14ac:dyDescent="0.15">
      <c r="A449" s="5">
        <v>439</v>
      </c>
      <c r="B449" s="5">
        <f t="shared" si="143"/>
        <v>26520</v>
      </c>
      <c r="C449" s="5">
        <f t="shared" si="166"/>
        <v>6610</v>
      </c>
      <c r="D449" s="5">
        <f t="shared" si="166"/>
        <v>4400</v>
      </c>
      <c r="E449" s="5">
        <f t="shared" si="166"/>
        <v>1323</v>
      </c>
      <c r="F449" s="5">
        <f t="shared" si="166"/>
        <v>1764</v>
      </c>
      <c r="G449" s="5">
        <f t="shared" si="164"/>
        <v>106080</v>
      </c>
      <c r="H449" s="5">
        <f t="shared" si="164"/>
        <v>26440</v>
      </c>
      <c r="I449" s="5">
        <f t="shared" si="164"/>
        <v>17600</v>
      </c>
      <c r="J449" s="5">
        <f t="shared" si="164"/>
        <v>5292</v>
      </c>
      <c r="K449" s="5">
        <f t="shared" si="164"/>
        <v>7056</v>
      </c>
      <c r="L449" s="5">
        <f t="shared" si="165"/>
        <v>53040</v>
      </c>
      <c r="M449" s="5">
        <f t="shared" si="165"/>
        <v>13220</v>
      </c>
      <c r="N449" s="5">
        <f t="shared" si="165"/>
        <v>8800</v>
      </c>
      <c r="O449" s="5">
        <f t="shared" si="165"/>
        <v>2646</v>
      </c>
      <c r="P449" s="5">
        <f t="shared" si="165"/>
        <v>3528</v>
      </c>
      <c r="Q449" s="5">
        <f t="shared" si="158"/>
        <v>185640</v>
      </c>
      <c r="R449" s="5">
        <f t="shared" si="159"/>
        <v>46270</v>
      </c>
      <c r="S449" s="5">
        <f t="shared" si="160"/>
        <v>30800</v>
      </c>
      <c r="T449" s="5">
        <f t="shared" si="161"/>
        <v>9261</v>
      </c>
      <c r="U449" s="5">
        <f t="shared" si="162"/>
        <v>12348</v>
      </c>
      <c r="V449" s="5">
        <f>B449*战斗力计算!$B$8+C449*战斗力计算!$B$9+D449*战斗力计算!$B$10+E449*战斗力计算!$B$11+F449*战斗力计算!$B$12</f>
        <v>193920</v>
      </c>
      <c r="W449" s="5">
        <f>G449*战斗力计算!$B$8+H449*战斗力计算!$B$9+I449*战斗力计算!$B$10+J449*战斗力计算!$B$11+K449*战斗力计算!$B$12+L449*战斗力计算!$B$8+M449*战斗力计算!$B$9+N449*战斗力计算!$B$10+O449*战斗力计算!$B$11+P449*战斗力计算!$B$12</f>
        <v>1163520</v>
      </c>
      <c r="X449" s="5">
        <f t="shared" si="163"/>
        <v>1357440</v>
      </c>
      <c r="AC449">
        <f t="shared" si="144"/>
        <v>4</v>
      </c>
      <c r="AD449">
        <f t="shared" si="145"/>
        <v>2</v>
      </c>
      <c r="AF449">
        <f t="shared" si="146"/>
        <v>0.75</v>
      </c>
      <c r="AH449">
        <f t="shared" si="147"/>
        <v>12</v>
      </c>
      <c r="AK449">
        <f t="shared" si="148"/>
        <v>6.0272727272727273</v>
      </c>
      <c r="AL449">
        <f t="shared" si="149"/>
        <v>1.5022727272727272</v>
      </c>
      <c r="AM449">
        <f t="shared" si="150"/>
        <v>1</v>
      </c>
      <c r="AN449">
        <f t="shared" si="151"/>
        <v>6.0272727272727273</v>
      </c>
      <c r="AO449">
        <f t="shared" si="152"/>
        <v>1.5022727272727272</v>
      </c>
      <c r="AP449">
        <f t="shared" si="153"/>
        <v>1</v>
      </c>
      <c r="AR449">
        <f t="shared" si="154"/>
        <v>4.4965986394557822</v>
      </c>
      <c r="AT449">
        <f t="shared" si="155"/>
        <v>4.4965986394557822</v>
      </c>
      <c r="AV449">
        <f t="shared" si="156"/>
        <v>4627</v>
      </c>
      <c r="AW449">
        <f t="shared" si="157"/>
        <v>8593</v>
      </c>
    </row>
    <row r="450" spans="1:49" x14ac:dyDescent="0.15">
      <c r="A450" s="5">
        <v>440</v>
      </c>
      <c r="B450" s="5">
        <f t="shared" si="143"/>
        <v>26580</v>
      </c>
      <c r="C450" s="5">
        <f t="shared" si="166"/>
        <v>6625</v>
      </c>
      <c r="D450" s="5">
        <f t="shared" si="166"/>
        <v>4410</v>
      </c>
      <c r="E450" s="5">
        <f t="shared" si="166"/>
        <v>1326</v>
      </c>
      <c r="F450" s="5">
        <f t="shared" si="166"/>
        <v>1768</v>
      </c>
      <c r="G450" s="5">
        <f t="shared" si="164"/>
        <v>106320</v>
      </c>
      <c r="H450" s="5">
        <f t="shared" si="164"/>
        <v>26500</v>
      </c>
      <c r="I450" s="5">
        <f t="shared" si="164"/>
        <v>17640</v>
      </c>
      <c r="J450" s="5">
        <f t="shared" si="164"/>
        <v>5304</v>
      </c>
      <c r="K450" s="5">
        <f t="shared" si="164"/>
        <v>7072</v>
      </c>
      <c r="L450" s="5">
        <f t="shared" si="165"/>
        <v>53160</v>
      </c>
      <c r="M450" s="5">
        <f t="shared" si="165"/>
        <v>13250</v>
      </c>
      <c r="N450" s="5">
        <f t="shared" si="165"/>
        <v>8820</v>
      </c>
      <c r="O450" s="5">
        <f t="shared" si="165"/>
        <v>2652</v>
      </c>
      <c r="P450" s="5">
        <f t="shared" si="165"/>
        <v>3536</v>
      </c>
      <c r="Q450" s="5">
        <f t="shared" si="158"/>
        <v>186060</v>
      </c>
      <c r="R450" s="5">
        <f t="shared" si="159"/>
        <v>46375</v>
      </c>
      <c r="S450" s="5">
        <f t="shared" si="160"/>
        <v>30870</v>
      </c>
      <c r="T450" s="5">
        <f t="shared" si="161"/>
        <v>9282</v>
      </c>
      <c r="U450" s="5">
        <f t="shared" si="162"/>
        <v>12376</v>
      </c>
      <c r="V450" s="5">
        <f>B450*战斗力计算!$B$8+C450*战斗力计算!$B$9+D450*战斗力计算!$B$10+E450*战斗力计算!$B$11+F450*战斗力计算!$B$12</f>
        <v>194360</v>
      </c>
      <c r="W450" s="5">
        <f>G450*战斗力计算!$B$8+H450*战斗力计算!$B$9+I450*战斗力计算!$B$10+J450*战斗力计算!$B$11+K450*战斗力计算!$B$12+L450*战斗力计算!$B$8+M450*战斗力计算!$B$9+N450*战斗力计算!$B$10+O450*战斗力计算!$B$11+P450*战斗力计算!$B$12</f>
        <v>1166160</v>
      </c>
      <c r="X450" s="5">
        <f t="shared" si="163"/>
        <v>1360520</v>
      </c>
      <c r="AC450">
        <f t="shared" si="144"/>
        <v>4</v>
      </c>
      <c r="AD450">
        <f t="shared" si="145"/>
        <v>2</v>
      </c>
      <c r="AF450">
        <f t="shared" si="146"/>
        <v>0.75</v>
      </c>
      <c r="AH450">
        <f t="shared" si="147"/>
        <v>12</v>
      </c>
      <c r="AK450">
        <f t="shared" si="148"/>
        <v>6.0272108843537415</v>
      </c>
      <c r="AL450">
        <f t="shared" si="149"/>
        <v>1.5022675736961451</v>
      </c>
      <c r="AM450">
        <f t="shared" si="150"/>
        <v>1</v>
      </c>
      <c r="AN450">
        <f t="shared" si="151"/>
        <v>6.0272108843537415</v>
      </c>
      <c r="AO450">
        <f t="shared" si="152"/>
        <v>1.5022675736961451</v>
      </c>
      <c r="AP450">
        <f t="shared" si="153"/>
        <v>1</v>
      </c>
      <c r="AR450">
        <f t="shared" si="154"/>
        <v>4.496606334841629</v>
      </c>
      <c r="AT450">
        <f t="shared" si="155"/>
        <v>4.496606334841629</v>
      </c>
      <c r="AV450">
        <f t="shared" si="156"/>
        <v>4637</v>
      </c>
      <c r="AW450">
        <f t="shared" si="157"/>
        <v>8612</v>
      </c>
    </row>
    <row r="451" spans="1:49" x14ac:dyDescent="0.15">
      <c r="A451" s="5">
        <v>441</v>
      </c>
      <c r="B451" s="5">
        <f t="shared" si="143"/>
        <v>26640</v>
      </c>
      <c r="C451" s="5">
        <f t="shared" si="166"/>
        <v>6640</v>
      </c>
      <c r="D451" s="5">
        <f t="shared" si="166"/>
        <v>4420</v>
      </c>
      <c r="E451" s="5">
        <f t="shared" si="166"/>
        <v>1329</v>
      </c>
      <c r="F451" s="5">
        <f t="shared" si="166"/>
        <v>1772</v>
      </c>
      <c r="G451" s="5">
        <f t="shared" si="164"/>
        <v>106560</v>
      </c>
      <c r="H451" s="5">
        <f t="shared" si="164"/>
        <v>26560</v>
      </c>
      <c r="I451" s="5">
        <f t="shared" si="164"/>
        <v>17680</v>
      </c>
      <c r="J451" s="5">
        <f t="shared" si="164"/>
        <v>5316</v>
      </c>
      <c r="K451" s="5">
        <f t="shared" si="164"/>
        <v>7088</v>
      </c>
      <c r="L451" s="5">
        <f t="shared" si="165"/>
        <v>53280</v>
      </c>
      <c r="M451" s="5">
        <f t="shared" si="165"/>
        <v>13280</v>
      </c>
      <c r="N451" s="5">
        <f t="shared" si="165"/>
        <v>8840</v>
      </c>
      <c r="O451" s="5">
        <f t="shared" si="165"/>
        <v>2658</v>
      </c>
      <c r="P451" s="5">
        <f t="shared" si="165"/>
        <v>3544</v>
      </c>
      <c r="Q451" s="5">
        <f t="shared" si="158"/>
        <v>186480</v>
      </c>
      <c r="R451" s="5">
        <f t="shared" si="159"/>
        <v>46480</v>
      </c>
      <c r="S451" s="5">
        <f t="shared" si="160"/>
        <v>30940</v>
      </c>
      <c r="T451" s="5">
        <f t="shared" si="161"/>
        <v>9303</v>
      </c>
      <c r="U451" s="5">
        <f t="shared" si="162"/>
        <v>12404</v>
      </c>
      <c r="V451" s="5">
        <f>B451*战斗力计算!$B$8+C451*战斗力计算!$B$9+D451*战斗力计算!$B$10+E451*战斗力计算!$B$11+F451*战斗力计算!$B$12</f>
        <v>194800</v>
      </c>
      <c r="W451" s="5">
        <f>G451*战斗力计算!$B$8+H451*战斗力计算!$B$9+I451*战斗力计算!$B$10+J451*战斗力计算!$B$11+K451*战斗力计算!$B$12+L451*战斗力计算!$B$8+M451*战斗力计算!$B$9+N451*战斗力计算!$B$10+O451*战斗力计算!$B$11+P451*战斗力计算!$B$12</f>
        <v>1168800</v>
      </c>
      <c r="X451" s="5">
        <f t="shared" si="163"/>
        <v>1363600</v>
      </c>
      <c r="AC451">
        <f t="shared" si="144"/>
        <v>4</v>
      </c>
      <c r="AD451">
        <f t="shared" si="145"/>
        <v>2</v>
      </c>
      <c r="AF451">
        <f t="shared" si="146"/>
        <v>0.75</v>
      </c>
      <c r="AH451">
        <f t="shared" si="147"/>
        <v>12</v>
      </c>
      <c r="AK451">
        <f t="shared" si="148"/>
        <v>6.0271493212669682</v>
      </c>
      <c r="AL451">
        <f t="shared" si="149"/>
        <v>1.502262443438914</v>
      </c>
      <c r="AM451">
        <f t="shared" si="150"/>
        <v>1</v>
      </c>
      <c r="AN451">
        <f t="shared" si="151"/>
        <v>6.0271493212669682</v>
      </c>
      <c r="AO451">
        <f t="shared" si="152"/>
        <v>1.502262443438914</v>
      </c>
      <c r="AP451">
        <f t="shared" si="153"/>
        <v>1</v>
      </c>
      <c r="AR451">
        <f t="shared" si="154"/>
        <v>4.496613995485327</v>
      </c>
      <c r="AT451">
        <f t="shared" si="155"/>
        <v>4.496613995485327</v>
      </c>
      <c r="AV451">
        <f t="shared" si="156"/>
        <v>4648</v>
      </c>
      <c r="AW451">
        <f t="shared" si="157"/>
        <v>8632</v>
      </c>
    </row>
    <row r="452" spans="1:49" x14ac:dyDescent="0.15">
      <c r="A452" s="5">
        <v>442</v>
      </c>
      <c r="B452" s="5">
        <f t="shared" si="143"/>
        <v>26700</v>
      </c>
      <c r="C452" s="5">
        <f t="shared" si="166"/>
        <v>6655</v>
      </c>
      <c r="D452" s="5">
        <f t="shared" si="166"/>
        <v>4430</v>
      </c>
      <c r="E452" s="5">
        <f t="shared" si="166"/>
        <v>1332</v>
      </c>
      <c r="F452" s="5">
        <f t="shared" si="166"/>
        <v>1776</v>
      </c>
      <c r="G452" s="5">
        <f t="shared" si="164"/>
        <v>106800</v>
      </c>
      <c r="H452" s="5">
        <f t="shared" si="164"/>
        <v>26620</v>
      </c>
      <c r="I452" s="5">
        <f t="shared" si="164"/>
        <v>17720</v>
      </c>
      <c r="J452" s="5">
        <f t="shared" si="164"/>
        <v>5328</v>
      </c>
      <c r="K452" s="5">
        <f t="shared" si="164"/>
        <v>7104</v>
      </c>
      <c r="L452" s="5">
        <f t="shared" si="165"/>
        <v>53400</v>
      </c>
      <c r="M452" s="5">
        <f t="shared" si="165"/>
        <v>13310</v>
      </c>
      <c r="N452" s="5">
        <f t="shared" si="165"/>
        <v>8860</v>
      </c>
      <c r="O452" s="5">
        <f t="shared" si="165"/>
        <v>2664</v>
      </c>
      <c r="P452" s="5">
        <f t="shared" si="165"/>
        <v>3552</v>
      </c>
      <c r="Q452" s="5">
        <f t="shared" si="158"/>
        <v>186900</v>
      </c>
      <c r="R452" s="5">
        <f t="shared" si="159"/>
        <v>46585</v>
      </c>
      <c r="S452" s="5">
        <f t="shared" si="160"/>
        <v>31010</v>
      </c>
      <c r="T452" s="5">
        <f t="shared" si="161"/>
        <v>9324</v>
      </c>
      <c r="U452" s="5">
        <f t="shared" si="162"/>
        <v>12432</v>
      </c>
      <c r="V452" s="5">
        <f>B452*战斗力计算!$B$8+C452*战斗力计算!$B$9+D452*战斗力计算!$B$10+E452*战斗力计算!$B$11+F452*战斗力计算!$B$12</f>
        <v>195240</v>
      </c>
      <c r="W452" s="5">
        <f>G452*战斗力计算!$B$8+H452*战斗力计算!$B$9+I452*战斗力计算!$B$10+J452*战斗力计算!$B$11+K452*战斗力计算!$B$12+L452*战斗力计算!$B$8+M452*战斗力计算!$B$9+N452*战斗力计算!$B$10+O452*战斗力计算!$B$11+P452*战斗力计算!$B$12</f>
        <v>1171440</v>
      </c>
      <c r="X452" s="5">
        <f t="shared" si="163"/>
        <v>1366680</v>
      </c>
      <c r="AC452">
        <f t="shared" si="144"/>
        <v>4</v>
      </c>
      <c r="AD452">
        <f t="shared" si="145"/>
        <v>2</v>
      </c>
      <c r="AF452">
        <f t="shared" si="146"/>
        <v>0.75</v>
      </c>
      <c r="AH452">
        <f t="shared" si="147"/>
        <v>12</v>
      </c>
      <c r="AK452">
        <f t="shared" si="148"/>
        <v>6.0270880361173811</v>
      </c>
      <c r="AL452">
        <f t="shared" si="149"/>
        <v>1.5022573363431151</v>
      </c>
      <c r="AM452">
        <f t="shared" si="150"/>
        <v>1</v>
      </c>
      <c r="AN452">
        <f t="shared" si="151"/>
        <v>6.0270880361173811</v>
      </c>
      <c r="AO452">
        <f t="shared" si="152"/>
        <v>1.5022573363431151</v>
      </c>
      <c r="AP452">
        <f t="shared" si="153"/>
        <v>1</v>
      </c>
      <c r="AR452">
        <f t="shared" si="154"/>
        <v>4.4966216216216219</v>
      </c>
      <c r="AT452">
        <f t="shared" si="155"/>
        <v>4.4966216216216219</v>
      </c>
      <c r="AV452">
        <f t="shared" si="156"/>
        <v>4658</v>
      </c>
      <c r="AW452">
        <f t="shared" si="157"/>
        <v>8651</v>
      </c>
    </row>
    <row r="453" spans="1:49" x14ac:dyDescent="0.15">
      <c r="A453" s="5">
        <v>443</v>
      </c>
      <c r="B453" s="5">
        <f t="shared" si="143"/>
        <v>26760</v>
      </c>
      <c r="C453" s="5">
        <f t="shared" si="166"/>
        <v>6670</v>
      </c>
      <c r="D453" s="5">
        <f t="shared" si="166"/>
        <v>4440</v>
      </c>
      <c r="E453" s="5">
        <f t="shared" si="166"/>
        <v>1335</v>
      </c>
      <c r="F453" s="5">
        <f t="shared" si="166"/>
        <v>1780</v>
      </c>
      <c r="G453" s="5">
        <f t="shared" si="164"/>
        <v>107040</v>
      </c>
      <c r="H453" s="5">
        <f t="shared" si="164"/>
        <v>26680</v>
      </c>
      <c r="I453" s="5">
        <f t="shared" si="164"/>
        <v>17760</v>
      </c>
      <c r="J453" s="5">
        <f t="shared" si="164"/>
        <v>5340</v>
      </c>
      <c r="K453" s="5">
        <f t="shared" si="164"/>
        <v>7120</v>
      </c>
      <c r="L453" s="5">
        <f t="shared" si="165"/>
        <v>53520</v>
      </c>
      <c r="M453" s="5">
        <f t="shared" si="165"/>
        <v>13340</v>
      </c>
      <c r="N453" s="5">
        <f t="shared" si="165"/>
        <v>8880</v>
      </c>
      <c r="O453" s="5">
        <f t="shared" si="165"/>
        <v>2670</v>
      </c>
      <c r="P453" s="5">
        <f t="shared" si="165"/>
        <v>3560</v>
      </c>
      <c r="Q453" s="5">
        <f t="shared" si="158"/>
        <v>187320</v>
      </c>
      <c r="R453" s="5">
        <f t="shared" si="159"/>
        <v>46690</v>
      </c>
      <c r="S453" s="5">
        <f t="shared" si="160"/>
        <v>31080</v>
      </c>
      <c r="T453" s="5">
        <f t="shared" si="161"/>
        <v>9345</v>
      </c>
      <c r="U453" s="5">
        <f t="shared" si="162"/>
        <v>12460</v>
      </c>
      <c r="V453" s="5">
        <f>B453*战斗力计算!$B$8+C453*战斗力计算!$B$9+D453*战斗力计算!$B$10+E453*战斗力计算!$B$11+F453*战斗力计算!$B$12</f>
        <v>195680</v>
      </c>
      <c r="W453" s="5">
        <f>G453*战斗力计算!$B$8+H453*战斗力计算!$B$9+I453*战斗力计算!$B$10+J453*战斗力计算!$B$11+K453*战斗力计算!$B$12+L453*战斗力计算!$B$8+M453*战斗力计算!$B$9+N453*战斗力计算!$B$10+O453*战斗力计算!$B$11+P453*战斗力计算!$B$12</f>
        <v>1174080</v>
      </c>
      <c r="X453" s="5">
        <f t="shared" si="163"/>
        <v>1369760</v>
      </c>
      <c r="AC453">
        <f t="shared" si="144"/>
        <v>4</v>
      </c>
      <c r="AD453">
        <f t="shared" si="145"/>
        <v>2</v>
      </c>
      <c r="AF453">
        <f t="shared" si="146"/>
        <v>0.75</v>
      </c>
      <c r="AH453">
        <f t="shared" si="147"/>
        <v>12</v>
      </c>
      <c r="AK453">
        <f t="shared" si="148"/>
        <v>6.0270270270270272</v>
      </c>
      <c r="AL453">
        <f t="shared" si="149"/>
        <v>1.5022522522522523</v>
      </c>
      <c r="AM453">
        <f t="shared" si="150"/>
        <v>1</v>
      </c>
      <c r="AN453">
        <f t="shared" si="151"/>
        <v>6.0270270270270272</v>
      </c>
      <c r="AO453">
        <f t="shared" si="152"/>
        <v>1.5022522522522523</v>
      </c>
      <c r="AP453">
        <f t="shared" si="153"/>
        <v>1</v>
      </c>
      <c r="AR453">
        <f t="shared" si="154"/>
        <v>4.4966292134831463</v>
      </c>
      <c r="AT453">
        <f t="shared" si="155"/>
        <v>4.4966292134831463</v>
      </c>
      <c r="AV453">
        <f t="shared" si="156"/>
        <v>4669</v>
      </c>
      <c r="AW453">
        <f t="shared" si="157"/>
        <v>8671</v>
      </c>
    </row>
    <row r="454" spans="1:49" x14ac:dyDescent="0.15">
      <c r="A454" s="5">
        <v>444</v>
      </c>
      <c r="B454" s="5">
        <f t="shared" si="143"/>
        <v>26820</v>
      </c>
      <c r="C454" s="5">
        <f t="shared" si="166"/>
        <v>6685</v>
      </c>
      <c r="D454" s="5">
        <f t="shared" si="166"/>
        <v>4450</v>
      </c>
      <c r="E454" s="5">
        <f t="shared" si="166"/>
        <v>1338</v>
      </c>
      <c r="F454" s="5">
        <f t="shared" si="166"/>
        <v>1784</v>
      </c>
      <c r="G454" s="5">
        <f t="shared" si="164"/>
        <v>107280</v>
      </c>
      <c r="H454" s="5">
        <f t="shared" si="164"/>
        <v>26740</v>
      </c>
      <c r="I454" s="5">
        <f t="shared" si="164"/>
        <v>17800</v>
      </c>
      <c r="J454" s="5">
        <f t="shared" si="164"/>
        <v>5352</v>
      </c>
      <c r="K454" s="5">
        <f t="shared" si="164"/>
        <v>7136</v>
      </c>
      <c r="L454" s="5">
        <f t="shared" si="165"/>
        <v>53640</v>
      </c>
      <c r="M454" s="5">
        <f t="shared" si="165"/>
        <v>13370</v>
      </c>
      <c r="N454" s="5">
        <f t="shared" si="165"/>
        <v>8900</v>
      </c>
      <c r="O454" s="5">
        <f t="shared" si="165"/>
        <v>2676</v>
      </c>
      <c r="P454" s="5">
        <f t="shared" si="165"/>
        <v>3568</v>
      </c>
      <c r="Q454" s="5">
        <f t="shared" si="158"/>
        <v>187740</v>
      </c>
      <c r="R454" s="5">
        <f t="shared" si="159"/>
        <v>46795</v>
      </c>
      <c r="S454" s="5">
        <f t="shared" si="160"/>
        <v>31150</v>
      </c>
      <c r="T454" s="5">
        <f t="shared" si="161"/>
        <v>9366</v>
      </c>
      <c r="U454" s="5">
        <f t="shared" si="162"/>
        <v>12488</v>
      </c>
      <c r="V454" s="5">
        <f>B454*战斗力计算!$B$8+C454*战斗力计算!$B$9+D454*战斗力计算!$B$10+E454*战斗力计算!$B$11+F454*战斗力计算!$B$12</f>
        <v>196120</v>
      </c>
      <c r="W454" s="5">
        <f>G454*战斗力计算!$B$8+H454*战斗力计算!$B$9+I454*战斗力计算!$B$10+J454*战斗力计算!$B$11+K454*战斗力计算!$B$12+L454*战斗力计算!$B$8+M454*战斗力计算!$B$9+N454*战斗力计算!$B$10+O454*战斗力计算!$B$11+P454*战斗力计算!$B$12</f>
        <v>1176720</v>
      </c>
      <c r="X454" s="5">
        <f t="shared" si="163"/>
        <v>1372840</v>
      </c>
      <c r="AC454">
        <f t="shared" si="144"/>
        <v>4</v>
      </c>
      <c r="AD454">
        <f t="shared" si="145"/>
        <v>2</v>
      </c>
      <c r="AF454">
        <f t="shared" si="146"/>
        <v>0.75</v>
      </c>
      <c r="AH454">
        <f t="shared" si="147"/>
        <v>12</v>
      </c>
      <c r="AK454">
        <f t="shared" si="148"/>
        <v>6.0269662921348317</v>
      </c>
      <c r="AL454">
        <f t="shared" si="149"/>
        <v>1.502247191011236</v>
      </c>
      <c r="AM454">
        <f t="shared" si="150"/>
        <v>1</v>
      </c>
      <c r="AN454">
        <f t="shared" si="151"/>
        <v>6.0269662921348317</v>
      </c>
      <c r="AO454">
        <f t="shared" si="152"/>
        <v>1.502247191011236</v>
      </c>
      <c r="AP454">
        <f t="shared" si="153"/>
        <v>1</v>
      </c>
      <c r="AR454">
        <f t="shared" si="154"/>
        <v>4.496636771300448</v>
      </c>
      <c r="AT454">
        <f t="shared" si="155"/>
        <v>4.496636771300448</v>
      </c>
      <c r="AV454">
        <f t="shared" si="156"/>
        <v>4679</v>
      </c>
      <c r="AW454">
        <f t="shared" si="157"/>
        <v>8690</v>
      </c>
    </row>
    <row r="455" spans="1:49" x14ac:dyDescent="0.15">
      <c r="A455" s="5">
        <v>445</v>
      </c>
      <c r="B455" s="5">
        <f t="shared" si="143"/>
        <v>26880</v>
      </c>
      <c r="C455" s="5">
        <f t="shared" si="166"/>
        <v>6700</v>
      </c>
      <c r="D455" s="5">
        <f t="shared" si="166"/>
        <v>4460</v>
      </c>
      <c r="E455" s="5">
        <f t="shared" si="166"/>
        <v>1341</v>
      </c>
      <c r="F455" s="5">
        <f t="shared" si="166"/>
        <v>1788</v>
      </c>
      <c r="G455" s="5">
        <f t="shared" si="164"/>
        <v>107520</v>
      </c>
      <c r="H455" s="5">
        <f t="shared" si="164"/>
        <v>26800</v>
      </c>
      <c r="I455" s="5">
        <f t="shared" si="164"/>
        <v>17840</v>
      </c>
      <c r="J455" s="5">
        <f t="shared" si="164"/>
        <v>5364</v>
      </c>
      <c r="K455" s="5">
        <f t="shared" si="164"/>
        <v>7152</v>
      </c>
      <c r="L455" s="5">
        <f t="shared" si="165"/>
        <v>53760</v>
      </c>
      <c r="M455" s="5">
        <f t="shared" si="165"/>
        <v>13400</v>
      </c>
      <c r="N455" s="5">
        <f t="shared" si="165"/>
        <v>8920</v>
      </c>
      <c r="O455" s="5">
        <f t="shared" si="165"/>
        <v>2682</v>
      </c>
      <c r="P455" s="5">
        <f t="shared" si="165"/>
        <v>3576</v>
      </c>
      <c r="Q455" s="5">
        <f t="shared" si="158"/>
        <v>188160</v>
      </c>
      <c r="R455" s="5">
        <f t="shared" si="159"/>
        <v>46900</v>
      </c>
      <c r="S455" s="5">
        <f t="shared" si="160"/>
        <v>31220</v>
      </c>
      <c r="T455" s="5">
        <f t="shared" si="161"/>
        <v>9387</v>
      </c>
      <c r="U455" s="5">
        <f t="shared" si="162"/>
        <v>12516</v>
      </c>
      <c r="V455" s="5">
        <f>B455*战斗力计算!$B$8+C455*战斗力计算!$B$9+D455*战斗力计算!$B$10+E455*战斗力计算!$B$11+F455*战斗力计算!$B$12</f>
        <v>196560</v>
      </c>
      <c r="W455" s="5">
        <f>G455*战斗力计算!$B$8+H455*战斗力计算!$B$9+I455*战斗力计算!$B$10+J455*战斗力计算!$B$11+K455*战斗力计算!$B$12+L455*战斗力计算!$B$8+M455*战斗力计算!$B$9+N455*战斗力计算!$B$10+O455*战斗力计算!$B$11+P455*战斗力计算!$B$12</f>
        <v>1179360</v>
      </c>
      <c r="X455" s="5">
        <f t="shared" si="163"/>
        <v>1375920</v>
      </c>
      <c r="AC455">
        <f t="shared" si="144"/>
        <v>4</v>
      </c>
      <c r="AD455">
        <f t="shared" si="145"/>
        <v>2</v>
      </c>
      <c r="AF455">
        <f t="shared" si="146"/>
        <v>0.75</v>
      </c>
      <c r="AH455">
        <f t="shared" si="147"/>
        <v>12</v>
      </c>
      <c r="AK455">
        <f t="shared" si="148"/>
        <v>6.0269058295964122</v>
      </c>
      <c r="AL455">
        <f t="shared" si="149"/>
        <v>1.5022421524663676</v>
      </c>
      <c r="AM455">
        <f t="shared" si="150"/>
        <v>1</v>
      </c>
      <c r="AN455">
        <f t="shared" si="151"/>
        <v>6.0269058295964122</v>
      </c>
      <c r="AO455">
        <f t="shared" si="152"/>
        <v>1.5022421524663676</v>
      </c>
      <c r="AP455">
        <f t="shared" si="153"/>
        <v>1</v>
      </c>
      <c r="AR455">
        <f t="shared" si="154"/>
        <v>4.4966442953020138</v>
      </c>
      <c r="AT455">
        <f t="shared" si="155"/>
        <v>4.4966442953020138</v>
      </c>
      <c r="AV455">
        <f t="shared" si="156"/>
        <v>4690</v>
      </c>
      <c r="AW455">
        <f t="shared" si="157"/>
        <v>8710</v>
      </c>
    </row>
    <row r="456" spans="1:49" x14ac:dyDescent="0.15">
      <c r="A456" s="5">
        <v>446</v>
      </c>
      <c r="B456" s="5">
        <f t="shared" si="143"/>
        <v>26940</v>
      </c>
      <c r="C456" s="5">
        <f t="shared" si="166"/>
        <v>6715</v>
      </c>
      <c r="D456" s="5">
        <f t="shared" si="166"/>
        <v>4470</v>
      </c>
      <c r="E456" s="5">
        <f t="shared" si="166"/>
        <v>1344</v>
      </c>
      <c r="F456" s="5">
        <f t="shared" si="166"/>
        <v>1792</v>
      </c>
      <c r="G456" s="5">
        <f t="shared" si="164"/>
        <v>107760</v>
      </c>
      <c r="H456" s="5">
        <f t="shared" si="164"/>
        <v>26860</v>
      </c>
      <c r="I456" s="5">
        <f t="shared" si="164"/>
        <v>17880</v>
      </c>
      <c r="J456" s="5">
        <f t="shared" si="164"/>
        <v>5376</v>
      </c>
      <c r="K456" s="5">
        <f t="shared" si="164"/>
        <v>7168</v>
      </c>
      <c r="L456" s="5">
        <f t="shared" si="165"/>
        <v>53880</v>
      </c>
      <c r="M456" s="5">
        <f t="shared" si="165"/>
        <v>13430</v>
      </c>
      <c r="N456" s="5">
        <f t="shared" si="165"/>
        <v>8940</v>
      </c>
      <c r="O456" s="5">
        <f t="shared" si="165"/>
        <v>2688</v>
      </c>
      <c r="P456" s="5">
        <f t="shared" si="165"/>
        <v>3584</v>
      </c>
      <c r="Q456" s="5">
        <f t="shared" si="158"/>
        <v>188580</v>
      </c>
      <c r="R456" s="5">
        <f t="shared" si="159"/>
        <v>47005</v>
      </c>
      <c r="S456" s="5">
        <f t="shared" si="160"/>
        <v>31290</v>
      </c>
      <c r="T456" s="5">
        <f t="shared" si="161"/>
        <v>9408</v>
      </c>
      <c r="U456" s="5">
        <f t="shared" si="162"/>
        <v>12544</v>
      </c>
      <c r="V456" s="5">
        <f>B456*战斗力计算!$B$8+C456*战斗力计算!$B$9+D456*战斗力计算!$B$10+E456*战斗力计算!$B$11+F456*战斗力计算!$B$12</f>
        <v>197000</v>
      </c>
      <c r="W456" s="5">
        <f>G456*战斗力计算!$B$8+H456*战斗力计算!$B$9+I456*战斗力计算!$B$10+J456*战斗力计算!$B$11+K456*战斗力计算!$B$12+L456*战斗力计算!$B$8+M456*战斗力计算!$B$9+N456*战斗力计算!$B$10+O456*战斗力计算!$B$11+P456*战斗力计算!$B$12</f>
        <v>1182000</v>
      </c>
      <c r="X456" s="5">
        <f t="shared" si="163"/>
        <v>1379000</v>
      </c>
      <c r="AC456">
        <f t="shared" si="144"/>
        <v>4</v>
      </c>
      <c r="AD456">
        <f t="shared" si="145"/>
        <v>2</v>
      </c>
      <c r="AF456">
        <f t="shared" si="146"/>
        <v>0.75</v>
      </c>
      <c r="AH456">
        <f t="shared" si="147"/>
        <v>12</v>
      </c>
      <c r="AK456">
        <f t="shared" si="148"/>
        <v>6.026845637583893</v>
      </c>
      <c r="AL456">
        <f t="shared" si="149"/>
        <v>1.5022371364653244</v>
      </c>
      <c r="AM456">
        <f t="shared" si="150"/>
        <v>1</v>
      </c>
      <c r="AN456">
        <f t="shared" si="151"/>
        <v>6.026845637583893</v>
      </c>
      <c r="AO456">
        <f t="shared" si="152"/>
        <v>1.5022371364653244</v>
      </c>
      <c r="AP456">
        <f t="shared" si="153"/>
        <v>1</v>
      </c>
      <c r="AR456">
        <f t="shared" si="154"/>
        <v>4.4966517857142856</v>
      </c>
      <c r="AT456">
        <f t="shared" si="155"/>
        <v>4.4966517857142856</v>
      </c>
      <c r="AV456">
        <f t="shared" si="156"/>
        <v>4700</v>
      </c>
      <c r="AW456">
        <f t="shared" si="157"/>
        <v>8729</v>
      </c>
    </row>
    <row r="457" spans="1:49" x14ac:dyDescent="0.15">
      <c r="A457" s="5">
        <v>447</v>
      </c>
      <c r="B457" s="5">
        <f t="shared" si="143"/>
        <v>27000</v>
      </c>
      <c r="C457" s="5">
        <f t="shared" si="166"/>
        <v>6730</v>
      </c>
      <c r="D457" s="5">
        <f t="shared" si="166"/>
        <v>4480</v>
      </c>
      <c r="E457" s="5">
        <f t="shared" si="166"/>
        <v>1347</v>
      </c>
      <c r="F457" s="5">
        <f t="shared" si="166"/>
        <v>1796</v>
      </c>
      <c r="G457" s="5">
        <f t="shared" si="164"/>
        <v>108000</v>
      </c>
      <c r="H457" s="5">
        <f t="shared" si="164"/>
        <v>26920</v>
      </c>
      <c r="I457" s="5">
        <f t="shared" si="164"/>
        <v>17920</v>
      </c>
      <c r="J457" s="5">
        <f t="shared" si="164"/>
        <v>5388</v>
      </c>
      <c r="K457" s="5">
        <f t="shared" si="164"/>
        <v>7184</v>
      </c>
      <c r="L457" s="5">
        <f t="shared" si="165"/>
        <v>54000</v>
      </c>
      <c r="M457" s="5">
        <f t="shared" si="165"/>
        <v>13460</v>
      </c>
      <c r="N457" s="5">
        <f t="shared" si="165"/>
        <v>8960</v>
      </c>
      <c r="O457" s="5">
        <f t="shared" si="165"/>
        <v>2694</v>
      </c>
      <c r="P457" s="5">
        <f t="shared" si="165"/>
        <v>3592</v>
      </c>
      <c r="Q457" s="5">
        <f t="shared" si="158"/>
        <v>189000</v>
      </c>
      <c r="R457" s="5">
        <f t="shared" si="159"/>
        <v>47110</v>
      </c>
      <c r="S457" s="5">
        <f t="shared" si="160"/>
        <v>31360</v>
      </c>
      <c r="T457" s="5">
        <f t="shared" si="161"/>
        <v>9429</v>
      </c>
      <c r="U457" s="5">
        <f t="shared" si="162"/>
        <v>12572</v>
      </c>
      <c r="V457" s="5">
        <f>B457*战斗力计算!$B$8+C457*战斗力计算!$B$9+D457*战斗力计算!$B$10+E457*战斗力计算!$B$11+F457*战斗力计算!$B$12</f>
        <v>197440</v>
      </c>
      <c r="W457" s="5">
        <f>G457*战斗力计算!$B$8+H457*战斗力计算!$B$9+I457*战斗力计算!$B$10+J457*战斗力计算!$B$11+K457*战斗力计算!$B$12+L457*战斗力计算!$B$8+M457*战斗力计算!$B$9+N457*战斗力计算!$B$10+O457*战斗力计算!$B$11+P457*战斗力计算!$B$12</f>
        <v>1184640</v>
      </c>
      <c r="X457" s="5">
        <f t="shared" si="163"/>
        <v>1382080</v>
      </c>
      <c r="AC457">
        <f t="shared" si="144"/>
        <v>4</v>
      </c>
      <c r="AD457">
        <f t="shared" si="145"/>
        <v>2</v>
      </c>
      <c r="AF457">
        <f t="shared" si="146"/>
        <v>0.75</v>
      </c>
      <c r="AH457">
        <f t="shared" si="147"/>
        <v>12</v>
      </c>
      <c r="AK457">
        <f t="shared" si="148"/>
        <v>6.0267857142857144</v>
      </c>
      <c r="AL457">
        <f t="shared" si="149"/>
        <v>1.5022321428571428</v>
      </c>
      <c r="AM457">
        <f t="shared" si="150"/>
        <v>1</v>
      </c>
      <c r="AN457">
        <f t="shared" si="151"/>
        <v>6.0267857142857144</v>
      </c>
      <c r="AO457">
        <f t="shared" si="152"/>
        <v>1.5022321428571428</v>
      </c>
      <c r="AP457">
        <f t="shared" si="153"/>
        <v>1</v>
      </c>
      <c r="AR457">
        <f t="shared" si="154"/>
        <v>4.4966592427616927</v>
      </c>
      <c r="AT457">
        <f t="shared" si="155"/>
        <v>4.4966592427616927</v>
      </c>
      <c r="AV457">
        <f t="shared" si="156"/>
        <v>4711</v>
      </c>
      <c r="AW457">
        <f t="shared" si="157"/>
        <v>8749</v>
      </c>
    </row>
    <row r="458" spans="1:49" x14ac:dyDescent="0.15">
      <c r="A458" s="5">
        <v>448</v>
      </c>
      <c r="B458" s="5">
        <f t="shared" si="143"/>
        <v>27060</v>
      </c>
      <c r="C458" s="5">
        <f t="shared" si="166"/>
        <v>6745</v>
      </c>
      <c r="D458" s="5">
        <f t="shared" si="166"/>
        <v>4490</v>
      </c>
      <c r="E458" s="5">
        <f t="shared" si="166"/>
        <v>1350</v>
      </c>
      <c r="F458" s="5">
        <f t="shared" si="166"/>
        <v>1800</v>
      </c>
      <c r="G458" s="5">
        <f t="shared" si="164"/>
        <v>108240</v>
      </c>
      <c r="H458" s="5">
        <f t="shared" si="164"/>
        <v>26980</v>
      </c>
      <c r="I458" s="5">
        <f t="shared" si="164"/>
        <v>17960</v>
      </c>
      <c r="J458" s="5">
        <f t="shared" si="164"/>
        <v>5400</v>
      </c>
      <c r="K458" s="5">
        <f t="shared" si="164"/>
        <v>7200</v>
      </c>
      <c r="L458" s="5">
        <f t="shared" si="165"/>
        <v>54120</v>
      </c>
      <c r="M458" s="5">
        <f t="shared" si="165"/>
        <v>13490</v>
      </c>
      <c r="N458" s="5">
        <f t="shared" si="165"/>
        <v>8980</v>
      </c>
      <c r="O458" s="5">
        <f t="shared" si="165"/>
        <v>2700</v>
      </c>
      <c r="P458" s="5">
        <f t="shared" si="165"/>
        <v>3600</v>
      </c>
      <c r="Q458" s="5">
        <f t="shared" si="158"/>
        <v>189420</v>
      </c>
      <c r="R458" s="5">
        <f t="shared" si="159"/>
        <v>47215</v>
      </c>
      <c r="S458" s="5">
        <f t="shared" si="160"/>
        <v>31430</v>
      </c>
      <c r="T458" s="5">
        <f t="shared" si="161"/>
        <v>9450</v>
      </c>
      <c r="U458" s="5">
        <f t="shared" si="162"/>
        <v>12600</v>
      </c>
      <c r="V458" s="5">
        <f>B458*战斗力计算!$B$8+C458*战斗力计算!$B$9+D458*战斗力计算!$B$10+E458*战斗力计算!$B$11+F458*战斗力计算!$B$12</f>
        <v>197880</v>
      </c>
      <c r="W458" s="5">
        <f>G458*战斗力计算!$B$8+H458*战斗力计算!$B$9+I458*战斗力计算!$B$10+J458*战斗力计算!$B$11+K458*战斗力计算!$B$12+L458*战斗力计算!$B$8+M458*战斗力计算!$B$9+N458*战斗力计算!$B$10+O458*战斗力计算!$B$11+P458*战斗力计算!$B$12</f>
        <v>1187280</v>
      </c>
      <c r="X458" s="5">
        <f t="shared" si="163"/>
        <v>1385160</v>
      </c>
      <c r="AC458">
        <f t="shared" si="144"/>
        <v>4</v>
      </c>
      <c r="AD458">
        <f t="shared" si="145"/>
        <v>2</v>
      </c>
      <c r="AF458">
        <f t="shared" si="146"/>
        <v>0.75</v>
      </c>
      <c r="AH458">
        <f t="shared" si="147"/>
        <v>12</v>
      </c>
      <c r="AK458">
        <f t="shared" si="148"/>
        <v>6.0267260579064592</v>
      </c>
      <c r="AL458">
        <f t="shared" si="149"/>
        <v>1.5022271714922049</v>
      </c>
      <c r="AM458">
        <f t="shared" si="150"/>
        <v>1</v>
      </c>
      <c r="AN458">
        <f t="shared" si="151"/>
        <v>6.0267260579064592</v>
      </c>
      <c r="AO458">
        <f t="shared" si="152"/>
        <v>1.5022271714922049</v>
      </c>
      <c r="AP458">
        <f t="shared" si="153"/>
        <v>1</v>
      </c>
      <c r="AR458">
        <f t="shared" si="154"/>
        <v>4.496666666666667</v>
      </c>
      <c r="AT458">
        <f t="shared" si="155"/>
        <v>4.496666666666667</v>
      </c>
      <c r="AV458">
        <f t="shared" si="156"/>
        <v>4721</v>
      </c>
      <c r="AW458">
        <f t="shared" si="157"/>
        <v>8768</v>
      </c>
    </row>
    <row r="459" spans="1:49" x14ac:dyDescent="0.15">
      <c r="A459" s="5">
        <v>449</v>
      </c>
      <c r="B459" s="5">
        <f t="shared" si="143"/>
        <v>27120</v>
      </c>
      <c r="C459" s="5">
        <f t="shared" si="166"/>
        <v>6760</v>
      </c>
      <c r="D459" s="5">
        <f t="shared" si="166"/>
        <v>4500</v>
      </c>
      <c r="E459" s="5">
        <f t="shared" si="166"/>
        <v>1353</v>
      </c>
      <c r="F459" s="5">
        <f t="shared" si="166"/>
        <v>1804</v>
      </c>
      <c r="G459" s="5">
        <f t="shared" si="164"/>
        <v>108480</v>
      </c>
      <c r="H459" s="5">
        <f t="shared" si="164"/>
        <v>27040</v>
      </c>
      <c r="I459" s="5">
        <f t="shared" si="164"/>
        <v>18000</v>
      </c>
      <c r="J459" s="5">
        <f t="shared" si="164"/>
        <v>5412</v>
      </c>
      <c r="K459" s="5">
        <f t="shared" si="164"/>
        <v>7216</v>
      </c>
      <c r="L459" s="5">
        <f t="shared" si="165"/>
        <v>54240</v>
      </c>
      <c r="M459" s="5">
        <f t="shared" si="165"/>
        <v>13520</v>
      </c>
      <c r="N459" s="5">
        <f t="shared" si="165"/>
        <v>9000</v>
      </c>
      <c r="O459" s="5">
        <f t="shared" si="165"/>
        <v>2706</v>
      </c>
      <c r="P459" s="5">
        <f t="shared" si="165"/>
        <v>3608</v>
      </c>
      <c r="Q459" s="5">
        <f t="shared" si="158"/>
        <v>189840</v>
      </c>
      <c r="R459" s="5">
        <f t="shared" si="159"/>
        <v>47320</v>
      </c>
      <c r="S459" s="5">
        <f t="shared" si="160"/>
        <v>31500</v>
      </c>
      <c r="T459" s="5">
        <f t="shared" si="161"/>
        <v>9471</v>
      </c>
      <c r="U459" s="5">
        <f t="shared" si="162"/>
        <v>12628</v>
      </c>
      <c r="V459" s="5">
        <f>B459*战斗力计算!$B$8+C459*战斗力计算!$B$9+D459*战斗力计算!$B$10+E459*战斗力计算!$B$11+F459*战斗力计算!$B$12</f>
        <v>198320</v>
      </c>
      <c r="W459" s="5">
        <f>G459*战斗力计算!$B$8+H459*战斗力计算!$B$9+I459*战斗力计算!$B$10+J459*战斗力计算!$B$11+K459*战斗力计算!$B$12+L459*战斗力计算!$B$8+M459*战斗力计算!$B$9+N459*战斗力计算!$B$10+O459*战斗力计算!$B$11+P459*战斗力计算!$B$12</f>
        <v>1189920</v>
      </c>
      <c r="X459" s="5">
        <f t="shared" si="163"/>
        <v>1388240</v>
      </c>
      <c r="AC459">
        <f t="shared" si="144"/>
        <v>4</v>
      </c>
      <c r="AD459">
        <f t="shared" si="145"/>
        <v>2</v>
      </c>
      <c r="AF459">
        <f t="shared" si="146"/>
        <v>0.75</v>
      </c>
      <c r="AH459">
        <f t="shared" si="147"/>
        <v>12</v>
      </c>
      <c r="AK459">
        <f t="shared" si="148"/>
        <v>6.0266666666666664</v>
      </c>
      <c r="AL459">
        <f t="shared" si="149"/>
        <v>1.5022222222222221</v>
      </c>
      <c r="AM459">
        <f t="shared" si="150"/>
        <v>1</v>
      </c>
      <c r="AN459">
        <f t="shared" si="151"/>
        <v>6.0266666666666664</v>
      </c>
      <c r="AO459">
        <f t="shared" si="152"/>
        <v>1.5022222222222221</v>
      </c>
      <c r="AP459">
        <f t="shared" si="153"/>
        <v>1</v>
      </c>
      <c r="AR459">
        <f t="shared" si="154"/>
        <v>4.4966740576496678</v>
      </c>
      <c r="AT459">
        <f t="shared" si="155"/>
        <v>4.4966740576496678</v>
      </c>
      <c r="AV459">
        <f t="shared" si="156"/>
        <v>4732</v>
      </c>
      <c r="AW459">
        <f t="shared" si="157"/>
        <v>8788</v>
      </c>
    </row>
    <row r="460" spans="1:49" x14ac:dyDescent="0.15">
      <c r="A460" s="5">
        <v>450</v>
      </c>
      <c r="B460" s="5">
        <f t="shared" ref="B460:F523" si="167">INT(VLOOKUP(B$10,$A$2:$C$7,2,0)+($A460-1)*VLOOKUP(B$10,$A$2:$C$7,3,0))</f>
        <v>27180</v>
      </c>
      <c r="C460" s="5">
        <f t="shared" si="166"/>
        <v>6775</v>
      </c>
      <c r="D460" s="5">
        <f t="shared" si="166"/>
        <v>4510</v>
      </c>
      <c r="E460" s="5">
        <f t="shared" si="166"/>
        <v>1356</v>
      </c>
      <c r="F460" s="5">
        <f t="shared" si="166"/>
        <v>1808</v>
      </c>
      <c r="G460" s="5">
        <f t="shared" si="164"/>
        <v>108720</v>
      </c>
      <c r="H460" s="5">
        <f t="shared" si="164"/>
        <v>27100</v>
      </c>
      <c r="I460" s="5">
        <f t="shared" si="164"/>
        <v>18040</v>
      </c>
      <c r="J460" s="5">
        <f t="shared" si="164"/>
        <v>5424</v>
      </c>
      <c r="K460" s="5">
        <f t="shared" si="164"/>
        <v>7232</v>
      </c>
      <c r="L460" s="5">
        <f t="shared" si="165"/>
        <v>54360</v>
      </c>
      <c r="M460" s="5">
        <f t="shared" si="165"/>
        <v>13550</v>
      </c>
      <c r="N460" s="5">
        <f t="shared" si="165"/>
        <v>9020</v>
      </c>
      <c r="O460" s="5">
        <f t="shared" si="165"/>
        <v>2712</v>
      </c>
      <c r="P460" s="5">
        <f t="shared" si="165"/>
        <v>3616</v>
      </c>
      <c r="Q460" s="5">
        <f t="shared" si="158"/>
        <v>190260</v>
      </c>
      <c r="R460" s="5">
        <f t="shared" si="159"/>
        <v>47425</v>
      </c>
      <c r="S460" s="5">
        <f t="shared" si="160"/>
        <v>31570</v>
      </c>
      <c r="T460" s="5">
        <f t="shared" si="161"/>
        <v>9492</v>
      </c>
      <c r="U460" s="5">
        <f t="shared" si="162"/>
        <v>12656</v>
      </c>
      <c r="V460" s="5">
        <f>B460*战斗力计算!$B$8+C460*战斗力计算!$B$9+D460*战斗力计算!$B$10+E460*战斗力计算!$B$11+F460*战斗力计算!$B$12</f>
        <v>198760</v>
      </c>
      <c r="W460" s="5">
        <f>G460*战斗力计算!$B$8+H460*战斗力计算!$B$9+I460*战斗力计算!$B$10+J460*战斗力计算!$B$11+K460*战斗力计算!$B$12+L460*战斗力计算!$B$8+M460*战斗力计算!$B$9+N460*战斗力计算!$B$10+O460*战斗力计算!$B$11+P460*战斗力计算!$B$12</f>
        <v>1192560</v>
      </c>
      <c r="X460" s="5">
        <f t="shared" si="163"/>
        <v>1391320</v>
      </c>
      <c r="AC460">
        <f t="shared" ref="AC460:AC523" si="168">VLOOKUP($A460,$Z$2:$AA$13,2,1)*$E$3</f>
        <v>4</v>
      </c>
      <c r="AD460">
        <f t="shared" ref="AD460:AD523" si="169">VLOOKUP($A460,$Z$2:$AA$13,2,1)*$E$6</f>
        <v>2</v>
      </c>
      <c r="AF460">
        <f t="shared" ref="AF460:AF523" si="170">T460/U460</f>
        <v>0.75</v>
      </c>
      <c r="AH460">
        <f t="shared" ref="AH460:AH523" si="171">Q460/(R460-S460)</f>
        <v>12</v>
      </c>
      <c r="AK460">
        <f t="shared" ref="AK460:AK523" si="172">B460/D460</f>
        <v>6.0266075388026605</v>
      </c>
      <c r="AL460">
        <f t="shared" ref="AL460:AL523" si="173">C460/D460</f>
        <v>1.5022172949002217</v>
      </c>
      <c r="AM460">
        <f t="shared" ref="AM460:AM523" si="174">D460/D460</f>
        <v>1</v>
      </c>
      <c r="AN460">
        <f t="shared" ref="AN460:AN523" si="175">(G460+L460)/(I460+N460)</f>
        <v>6.0266075388026605</v>
      </c>
      <c r="AO460">
        <f t="shared" ref="AO460:AO523" si="176">(H460+M460)/(I460+N460)</f>
        <v>1.5022172949002217</v>
      </c>
      <c r="AP460">
        <f t="shared" ref="AP460:AP523" si="177">(I460+N460)/(I460+N460)</f>
        <v>1</v>
      </c>
      <c r="AR460">
        <f t="shared" ref="AR460:AR523" si="178">(B460*1+C460*12+D460*12)/(E460*16+F460*8)</f>
        <v>4.4966814159292037</v>
      </c>
      <c r="AT460">
        <f t="shared" ref="AT460:AT523" si="179">(G460*1+H460*12+I460*12+L460*1+M460*12+N460*12)/(J460*16+K460*8+O460*16+P460*8)</f>
        <v>4.4966814159292037</v>
      </c>
      <c r="AV460">
        <f t="shared" ref="AV460:AV523" si="180">INT(C460*$H$5)</f>
        <v>4742</v>
      </c>
      <c r="AW460">
        <f t="shared" ref="AW460:AW523" si="181">INT(C460*$H$3)</f>
        <v>8807</v>
      </c>
    </row>
    <row r="461" spans="1:49" x14ac:dyDescent="0.15">
      <c r="A461" s="5">
        <v>451</v>
      </c>
      <c r="B461" s="5">
        <f t="shared" si="167"/>
        <v>27240</v>
      </c>
      <c r="C461" s="5">
        <f t="shared" si="166"/>
        <v>6790</v>
      </c>
      <c r="D461" s="5">
        <f t="shared" si="166"/>
        <v>4520</v>
      </c>
      <c r="E461" s="5">
        <f t="shared" si="166"/>
        <v>1359</v>
      </c>
      <c r="F461" s="5">
        <f t="shared" si="166"/>
        <v>1812</v>
      </c>
      <c r="G461" s="5">
        <f t="shared" si="164"/>
        <v>108960</v>
      </c>
      <c r="H461" s="5">
        <f t="shared" si="164"/>
        <v>27160</v>
      </c>
      <c r="I461" s="5">
        <f t="shared" si="164"/>
        <v>18080</v>
      </c>
      <c r="J461" s="5">
        <f t="shared" si="164"/>
        <v>5436</v>
      </c>
      <c r="K461" s="5">
        <f t="shared" si="164"/>
        <v>7248</v>
      </c>
      <c r="L461" s="5">
        <f t="shared" si="165"/>
        <v>54480</v>
      </c>
      <c r="M461" s="5">
        <f t="shared" si="165"/>
        <v>13580</v>
      </c>
      <c r="N461" s="5">
        <f t="shared" si="165"/>
        <v>9040</v>
      </c>
      <c r="O461" s="5">
        <f t="shared" si="165"/>
        <v>2718</v>
      </c>
      <c r="P461" s="5">
        <f t="shared" si="165"/>
        <v>3624</v>
      </c>
      <c r="Q461" s="5">
        <f t="shared" si="158"/>
        <v>190680</v>
      </c>
      <c r="R461" s="5">
        <f t="shared" si="159"/>
        <v>47530</v>
      </c>
      <c r="S461" s="5">
        <f t="shared" si="160"/>
        <v>31640</v>
      </c>
      <c r="T461" s="5">
        <f t="shared" si="161"/>
        <v>9513</v>
      </c>
      <c r="U461" s="5">
        <f t="shared" si="162"/>
        <v>12684</v>
      </c>
      <c r="V461" s="5">
        <f>B461*战斗力计算!$B$8+C461*战斗力计算!$B$9+D461*战斗力计算!$B$10+E461*战斗力计算!$B$11+F461*战斗力计算!$B$12</f>
        <v>199200</v>
      </c>
      <c r="W461" s="5">
        <f>G461*战斗力计算!$B$8+H461*战斗力计算!$B$9+I461*战斗力计算!$B$10+J461*战斗力计算!$B$11+K461*战斗力计算!$B$12+L461*战斗力计算!$B$8+M461*战斗力计算!$B$9+N461*战斗力计算!$B$10+O461*战斗力计算!$B$11+P461*战斗力计算!$B$12</f>
        <v>1195200</v>
      </c>
      <c r="X461" s="5">
        <f t="shared" si="163"/>
        <v>1394400</v>
      </c>
      <c r="AC461">
        <f t="shared" si="168"/>
        <v>4</v>
      </c>
      <c r="AD461">
        <f t="shared" si="169"/>
        <v>2</v>
      </c>
      <c r="AF461">
        <f t="shared" si="170"/>
        <v>0.75</v>
      </c>
      <c r="AH461">
        <f t="shared" si="171"/>
        <v>12</v>
      </c>
      <c r="AK461">
        <f t="shared" si="172"/>
        <v>6.0265486725663715</v>
      </c>
      <c r="AL461">
        <f t="shared" si="173"/>
        <v>1.502212389380531</v>
      </c>
      <c r="AM461">
        <f t="shared" si="174"/>
        <v>1</v>
      </c>
      <c r="AN461">
        <f t="shared" si="175"/>
        <v>6.0265486725663715</v>
      </c>
      <c r="AO461">
        <f t="shared" si="176"/>
        <v>1.502212389380531</v>
      </c>
      <c r="AP461">
        <f t="shared" si="177"/>
        <v>1</v>
      </c>
      <c r="AR461">
        <f t="shared" si="178"/>
        <v>4.4966887417218544</v>
      </c>
      <c r="AT461">
        <f t="shared" si="179"/>
        <v>4.4966887417218544</v>
      </c>
      <c r="AV461">
        <f t="shared" si="180"/>
        <v>4753</v>
      </c>
      <c r="AW461">
        <f t="shared" si="181"/>
        <v>8827</v>
      </c>
    </row>
    <row r="462" spans="1:49" x14ac:dyDescent="0.15">
      <c r="A462" s="5">
        <v>452</v>
      </c>
      <c r="B462" s="5">
        <f t="shared" si="167"/>
        <v>27300</v>
      </c>
      <c r="C462" s="5">
        <f t="shared" si="166"/>
        <v>6805</v>
      </c>
      <c r="D462" s="5">
        <f t="shared" si="166"/>
        <v>4530</v>
      </c>
      <c r="E462" s="5">
        <f t="shared" si="166"/>
        <v>1362</v>
      </c>
      <c r="F462" s="5">
        <f t="shared" si="166"/>
        <v>1816</v>
      </c>
      <c r="G462" s="5">
        <f t="shared" si="164"/>
        <v>109200</v>
      </c>
      <c r="H462" s="5">
        <f t="shared" si="164"/>
        <v>27220</v>
      </c>
      <c r="I462" s="5">
        <f t="shared" si="164"/>
        <v>18120</v>
      </c>
      <c r="J462" s="5">
        <f t="shared" si="164"/>
        <v>5448</v>
      </c>
      <c r="K462" s="5">
        <f t="shared" si="164"/>
        <v>7264</v>
      </c>
      <c r="L462" s="5">
        <f t="shared" si="165"/>
        <v>54600</v>
      </c>
      <c r="M462" s="5">
        <f t="shared" si="165"/>
        <v>13610</v>
      </c>
      <c r="N462" s="5">
        <f t="shared" si="165"/>
        <v>9060</v>
      </c>
      <c r="O462" s="5">
        <f t="shared" si="165"/>
        <v>2724</v>
      </c>
      <c r="P462" s="5">
        <f t="shared" si="165"/>
        <v>3632</v>
      </c>
      <c r="Q462" s="5">
        <f t="shared" si="158"/>
        <v>191100</v>
      </c>
      <c r="R462" s="5">
        <f t="shared" si="159"/>
        <v>47635</v>
      </c>
      <c r="S462" s="5">
        <f t="shared" si="160"/>
        <v>31710</v>
      </c>
      <c r="T462" s="5">
        <f t="shared" si="161"/>
        <v>9534</v>
      </c>
      <c r="U462" s="5">
        <f t="shared" si="162"/>
        <v>12712</v>
      </c>
      <c r="V462" s="5">
        <f>B462*战斗力计算!$B$8+C462*战斗力计算!$B$9+D462*战斗力计算!$B$10+E462*战斗力计算!$B$11+F462*战斗力计算!$B$12</f>
        <v>199640</v>
      </c>
      <c r="W462" s="5">
        <f>G462*战斗力计算!$B$8+H462*战斗力计算!$B$9+I462*战斗力计算!$B$10+J462*战斗力计算!$B$11+K462*战斗力计算!$B$12+L462*战斗力计算!$B$8+M462*战斗力计算!$B$9+N462*战斗力计算!$B$10+O462*战斗力计算!$B$11+P462*战斗力计算!$B$12</f>
        <v>1197840</v>
      </c>
      <c r="X462" s="5">
        <f t="shared" si="163"/>
        <v>1397480</v>
      </c>
      <c r="AC462">
        <f t="shared" si="168"/>
        <v>4</v>
      </c>
      <c r="AD462">
        <f t="shared" si="169"/>
        <v>2</v>
      </c>
      <c r="AF462">
        <f t="shared" si="170"/>
        <v>0.75</v>
      </c>
      <c r="AH462">
        <f t="shared" si="171"/>
        <v>12</v>
      </c>
      <c r="AK462">
        <f t="shared" si="172"/>
        <v>6.0264900662251657</v>
      </c>
      <c r="AL462">
        <f t="shared" si="173"/>
        <v>1.5022075055187638</v>
      </c>
      <c r="AM462">
        <f t="shared" si="174"/>
        <v>1</v>
      </c>
      <c r="AN462">
        <f t="shared" si="175"/>
        <v>6.0264900662251657</v>
      </c>
      <c r="AO462">
        <f t="shared" si="176"/>
        <v>1.5022075055187638</v>
      </c>
      <c r="AP462">
        <f t="shared" si="177"/>
        <v>1</v>
      </c>
      <c r="AR462">
        <f t="shared" si="178"/>
        <v>4.4966960352422909</v>
      </c>
      <c r="AT462">
        <f t="shared" si="179"/>
        <v>4.4966960352422909</v>
      </c>
      <c r="AV462">
        <f t="shared" si="180"/>
        <v>4763</v>
      </c>
      <c r="AW462">
        <f t="shared" si="181"/>
        <v>8846</v>
      </c>
    </row>
    <row r="463" spans="1:49" x14ac:dyDescent="0.15">
      <c r="A463" s="5">
        <v>453</v>
      </c>
      <c r="B463" s="5">
        <f t="shared" si="167"/>
        <v>27360</v>
      </c>
      <c r="C463" s="5">
        <f t="shared" si="166"/>
        <v>6820</v>
      </c>
      <c r="D463" s="5">
        <f t="shared" si="166"/>
        <v>4540</v>
      </c>
      <c r="E463" s="5">
        <f t="shared" si="166"/>
        <v>1365</v>
      </c>
      <c r="F463" s="5">
        <f t="shared" si="166"/>
        <v>1820</v>
      </c>
      <c r="G463" s="5">
        <f t="shared" si="164"/>
        <v>109440</v>
      </c>
      <c r="H463" s="5">
        <f t="shared" si="164"/>
        <v>27280</v>
      </c>
      <c r="I463" s="5">
        <f t="shared" si="164"/>
        <v>18160</v>
      </c>
      <c r="J463" s="5">
        <f t="shared" si="164"/>
        <v>5460</v>
      </c>
      <c r="K463" s="5">
        <f t="shared" si="164"/>
        <v>7280</v>
      </c>
      <c r="L463" s="5">
        <f t="shared" si="165"/>
        <v>54720</v>
      </c>
      <c r="M463" s="5">
        <f t="shared" si="165"/>
        <v>13640</v>
      </c>
      <c r="N463" s="5">
        <f t="shared" si="165"/>
        <v>9080</v>
      </c>
      <c r="O463" s="5">
        <f t="shared" si="165"/>
        <v>2730</v>
      </c>
      <c r="P463" s="5">
        <f t="shared" si="165"/>
        <v>3640</v>
      </c>
      <c r="Q463" s="5">
        <f t="shared" si="158"/>
        <v>191520</v>
      </c>
      <c r="R463" s="5">
        <f t="shared" si="159"/>
        <v>47740</v>
      </c>
      <c r="S463" s="5">
        <f t="shared" si="160"/>
        <v>31780</v>
      </c>
      <c r="T463" s="5">
        <f t="shared" si="161"/>
        <v>9555</v>
      </c>
      <c r="U463" s="5">
        <f t="shared" si="162"/>
        <v>12740</v>
      </c>
      <c r="V463" s="5">
        <f>B463*战斗力计算!$B$8+C463*战斗力计算!$B$9+D463*战斗力计算!$B$10+E463*战斗力计算!$B$11+F463*战斗力计算!$B$12</f>
        <v>200080</v>
      </c>
      <c r="W463" s="5">
        <f>G463*战斗力计算!$B$8+H463*战斗力计算!$B$9+I463*战斗力计算!$B$10+J463*战斗力计算!$B$11+K463*战斗力计算!$B$12+L463*战斗力计算!$B$8+M463*战斗力计算!$B$9+N463*战斗力计算!$B$10+O463*战斗力计算!$B$11+P463*战斗力计算!$B$12</f>
        <v>1200480</v>
      </c>
      <c r="X463" s="5">
        <f t="shared" si="163"/>
        <v>1400560</v>
      </c>
      <c r="AC463">
        <f t="shared" si="168"/>
        <v>4</v>
      </c>
      <c r="AD463">
        <f t="shared" si="169"/>
        <v>2</v>
      </c>
      <c r="AF463">
        <f t="shared" si="170"/>
        <v>0.75</v>
      </c>
      <c r="AH463">
        <f t="shared" si="171"/>
        <v>12</v>
      </c>
      <c r="AK463">
        <f t="shared" si="172"/>
        <v>6.0264317180616738</v>
      </c>
      <c r="AL463">
        <f t="shared" si="173"/>
        <v>1.5022026431718061</v>
      </c>
      <c r="AM463">
        <f t="shared" si="174"/>
        <v>1</v>
      </c>
      <c r="AN463">
        <f t="shared" si="175"/>
        <v>6.0264317180616738</v>
      </c>
      <c r="AO463">
        <f t="shared" si="176"/>
        <v>1.5022026431718061</v>
      </c>
      <c r="AP463">
        <f t="shared" si="177"/>
        <v>1</v>
      </c>
      <c r="AR463">
        <f t="shared" si="178"/>
        <v>4.4967032967032967</v>
      </c>
      <c r="AT463">
        <f t="shared" si="179"/>
        <v>4.4967032967032967</v>
      </c>
      <c r="AV463">
        <f t="shared" si="180"/>
        <v>4774</v>
      </c>
      <c r="AW463">
        <f t="shared" si="181"/>
        <v>8866</v>
      </c>
    </row>
    <row r="464" spans="1:49" x14ac:dyDescent="0.15">
      <c r="A464" s="5">
        <v>454</v>
      </c>
      <c r="B464" s="5">
        <f t="shared" si="167"/>
        <v>27420</v>
      </c>
      <c r="C464" s="5">
        <f t="shared" si="166"/>
        <v>6835</v>
      </c>
      <c r="D464" s="5">
        <f t="shared" si="166"/>
        <v>4550</v>
      </c>
      <c r="E464" s="5">
        <f t="shared" si="166"/>
        <v>1368</v>
      </c>
      <c r="F464" s="5">
        <f t="shared" si="166"/>
        <v>1824</v>
      </c>
      <c r="G464" s="5">
        <f t="shared" ref="G464:K495" si="182">HLOOKUP(G$10,$B$10:$F$610,$A464+1,0)*$AC464</f>
        <v>109680</v>
      </c>
      <c r="H464" s="5">
        <f t="shared" si="182"/>
        <v>27340</v>
      </c>
      <c r="I464" s="5">
        <f t="shared" si="182"/>
        <v>18200</v>
      </c>
      <c r="J464" s="5">
        <f t="shared" si="182"/>
        <v>5472</v>
      </c>
      <c r="K464" s="5">
        <f t="shared" si="182"/>
        <v>7296</v>
      </c>
      <c r="L464" s="5">
        <f t="shared" ref="L464:P495" si="183">HLOOKUP(L$10,$B$10:$F$610,$A464+1,0)*$AD464</f>
        <v>54840</v>
      </c>
      <c r="M464" s="5">
        <f t="shared" si="183"/>
        <v>13670</v>
      </c>
      <c r="N464" s="5">
        <f t="shared" si="183"/>
        <v>9100</v>
      </c>
      <c r="O464" s="5">
        <f t="shared" si="183"/>
        <v>2736</v>
      </c>
      <c r="P464" s="5">
        <f t="shared" si="183"/>
        <v>3648</v>
      </c>
      <c r="Q464" s="5">
        <f t="shared" si="158"/>
        <v>191940</v>
      </c>
      <c r="R464" s="5">
        <f t="shared" si="159"/>
        <v>47845</v>
      </c>
      <c r="S464" s="5">
        <f t="shared" si="160"/>
        <v>31850</v>
      </c>
      <c r="T464" s="5">
        <f t="shared" si="161"/>
        <v>9576</v>
      </c>
      <c r="U464" s="5">
        <f t="shared" si="162"/>
        <v>12768</v>
      </c>
      <c r="V464" s="5">
        <f>B464*战斗力计算!$B$8+C464*战斗力计算!$B$9+D464*战斗力计算!$B$10+E464*战斗力计算!$B$11+F464*战斗力计算!$B$12</f>
        <v>200520</v>
      </c>
      <c r="W464" s="5">
        <f>G464*战斗力计算!$B$8+H464*战斗力计算!$B$9+I464*战斗力计算!$B$10+J464*战斗力计算!$B$11+K464*战斗力计算!$B$12+L464*战斗力计算!$B$8+M464*战斗力计算!$B$9+N464*战斗力计算!$B$10+O464*战斗力计算!$B$11+P464*战斗力计算!$B$12</f>
        <v>1203120</v>
      </c>
      <c r="X464" s="5">
        <f t="shared" si="163"/>
        <v>1403640</v>
      </c>
      <c r="AC464">
        <f t="shared" si="168"/>
        <v>4</v>
      </c>
      <c r="AD464">
        <f t="shared" si="169"/>
        <v>2</v>
      </c>
      <c r="AF464">
        <f t="shared" si="170"/>
        <v>0.75</v>
      </c>
      <c r="AH464">
        <f t="shared" si="171"/>
        <v>12</v>
      </c>
      <c r="AK464">
        <f t="shared" si="172"/>
        <v>6.0263736263736263</v>
      </c>
      <c r="AL464">
        <f t="shared" si="173"/>
        <v>1.5021978021978022</v>
      </c>
      <c r="AM464">
        <f t="shared" si="174"/>
        <v>1</v>
      </c>
      <c r="AN464">
        <f t="shared" si="175"/>
        <v>6.0263736263736263</v>
      </c>
      <c r="AO464">
        <f t="shared" si="176"/>
        <v>1.5021978021978022</v>
      </c>
      <c r="AP464">
        <f t="shared" si="177"/>
        <v>1</v>
      </c>
      <c r="AR464">
        <f t="shared" si="178"/>
        <v>4.4967105263157894</v>
      </c>
      <c r="AT464">
        <f t="shared" si="179"/>
        <v>4.4967105263157894</v>
      </c>
      <c r="AV464">
        <f t="shared" si="180"/>
        <v>4784</v>
      </c>
      <c r="AW464">
        <f t="shared" si="181"/>
        <v>8885</v>
      </c>
    </row>
    <row r="465" spans="1:49" x14ac:dyDescent="0.15">
      <c r="A465" s="5">
        <v>455</v>
      </c>
      <c r="B465" s="5">
        <f t="shared" si="167"/>
        <v>27480</v>
      </c>
      <c r="C465" s="5">
        <f t="shared" si="166"/>
        <v>6850</v>
      </c>
      <c r="D465" s="5">
        <f t="shared" si="166"/>
        <v>4560</v>
      </c>
      <c r="E465" s="5">
        <f t="shared" si="166"/>
        <v>1371</v>
      </c>
      <c r="F465" s="5">
        <f t="shared" si="166"/>
        <v>1828</v>
      </c>
      <c r="G465" s="5">
        <f t="shared" si="182"/>
        <v>109920</v>
      </c>
      <c r="H465" s="5">
        <f t="shared" si="182"/>
        <v>27400</v>
      </c>
      <c r="I465" s="5">
        <f t="shared" si="182"/>
        <v>18240</v>
      </c>
      <c r="J465" s="5">
        <f t="shared" si="182"/>
        <v>5484</v>
      </c>
      <c r="K465" s="5">
        <f t="shared" si="182"/>
        <v>7312</v>
      </c>
      <c r="L465" s="5">
        <f t="shared" si="183"/>
        <v>54960</v>
      </c>
      <c r="M465" s="5">
        <f t="shared" si="183"/>
        <v>13700</v>
      </c>
      <c r="N465" s="5">
        <f t="shared" si="183"/>
        <v>9120</v>
      </c>
      <c r="O465" s="5">
        <f t="shared" si="183"/>
        <v>2742</v>
      </c>
      <c r="P465" s="5">
        <f t="shared" si="183"/>
        <v>3656</v>
      </c>
      <c r="Q465" s="5">
        <f t="shared" si="158"/>
        <v>192360</v>
      </c>
      <c r="R465" s="5">
        <f t="shared" si="159"/>
        <v>47950</v>
      </c>
      <c r="S465" s="5">
        <f t="shared" si="160"/>
        <v>31920</v>
      </c>
      <c r="T465" s="5">
        <f t="shared" si="161"/>
        <v>9597</v>
      </c>
      <c r="U465" s="5">
        <f t="shared" si="162"/>
        <v>12796</v>
      </c>
      <c r="V465" s="5">
        <f>B465*战斗力计算!$B$8+C465*战斗力计算!$B$9+D465*战斗力计算!$B$10+E465*战斗力计算!$B$11+F465*战斗力计算!$B$12</f>
        <v>200960</v>
      </c>
      <c r="W465" s="5">
        <f>G465*战斗力计算!$B$8+H465*战斗力计算!$B$9+I465*战斗力计算!$B$10+J465*战斗力计算!$B$11+K465*战斗力计算!$B$12+L465*战斗力计算!$B$8+M465*战斗力计算!$B$9+N465*战斗力计算!$B$10+O465*战斗力计算!$B$11+P465*战斗力计算!$B$12</f>
        <v>1205760</v>
      </c>
      <c r="X465" s="5">
        <f t="shared" si="163"/>
        <v>1406720</v>
      </c>
      <c r="AC465">
        <f t="shared" si="168"/>
        <v>4</v>
      </c>
      <c r="AD465">
        <f t="shared" si="169"/>
        <v>2</v>
      </c>
      <c r="AF465">
        <f t="shared" si="170"/>
        <v>0.75</v>
      </c>
      <c r="AH465">
        <f t="shared" si="171"/>
        <v>12</v>
      </c>
      <c r="AK465">
        <f t="shared" si="172"/>
        <v>6.0263157894736841</v>
      </c>
      <c r="AL465">
        <f t="shared" si="173"/>
        <v>1.5021929824561404</v>
      </c>
      <c r="AM465">
        <f t="shared" si="174"/>
        <v>1</v>
      </c>
      <c r="AN465">
        <f t="shared" si="175"/>
        <v>6.0263157894736841</v>
      </c>
      <c r="AO465">
        <f t="shared" si="176"/>
        <v>1.5021929824561404</v>
      </c>
      <c r="AP465">
        <f t="shared" si="177"/>
        <v>1</v>
      </c>
      <c r="AR465">
        <f t="shared" si="178"/>
        <v>4.4967177242888399</v>
      </c>
      <c r="AT465">
        <f t="shared" si="179"/>
        <v>4.4967177242888399</v>
      </c>
      <c r="AV465">
        <f t="shared" si="180"/>
        <v>4795</v>
      </c>
      <c r="AW465">
        <f t="shared" si="181"/>
        <v>8905</v>
      </c>
    </row>
    <row r="466" spans="1:49" x14ac:dyDescent="0.15">
      <c r="A466" s="5">
        <v>456</v>
      </c>
      <c r="B466" s="5">
        <f t="shared" si="167"/>
        <v>27540</v>
      </c>
      <c r="C466" s="5">
        <f t="shared" si="166"/>
        <v>6865</v>
      </c>
      <c r="D466" s="5">
        <f t="shared" si="166"/>
        <v>4570</v>
      </c>
      <c r="E466" s="5">
        <f t="shared" si="166"/>
        <v>1374</v>
      </c>
      <c r="F466" s="5">
        <f t="shared" si="166"/>
        <v>1832</v>
      </c>
      <c r="G466" s="5">
        <f t="shared" si="182"/>
        <v>110160</v>
      </c>
      <c r="H466" s="5">
        <f t="shared" si="182"/>
        <v>27460</v>
      </c>
      <c r="I466" s="5">
        <f t="shared" si="182"/>
        <v>18280</v>
      </c>
      <c r="J466" s="5">
        <f t="shared" si="182"/>
        <v>5496</v>
      </c>
      <c r="K466" s="5">
        <f t="shared" si="182"/>
        <v>7328</v>
      </c>
      <c r="L466" s="5">
        <f t="shared" si="183"/>
        <v>55080</v>
      </c>
      <c r="M466" s="5">
        <f t="shared" si="183"/>
        <v>13730</v>
      </c>
      <c r="N466" s="5">
        <f t="shared" si="183"/>
        <v>9140</v>
      </c>
      <c r="O466" s="5">
        <f t="shared" si="183"/>
        <v>2748</v>
      </c>
      <c r="P466" s="5">
        <f t="shared" si="183"/>
        <v>3664</v>
      </c>
      <c r="Q466" s="5">
        <f t="shared" si="158"/>
        <v>192780</v>
      </c>
      <c r="R466" s="5">
        <f t="shared" si="159"/>
        <v>48055</v>
      </c>
      <c r="S466" s="5">
        <f t="shared" si="160"/>
        <v>31990</v>
      </c>
      <c r="T466" s="5">
        <f t="shared" si="161"/>
        <v>9618</v>
      </c>
      <c r="U466" s="5">
        <f t="shared" si="162"/>
        <v>12824</v>
      </c>
      <c r="V466" s="5">
        <f>B466*战斗力计算!$B$8+C466*战斗力计算!$B$9+D466*战斗力计算!$B$10+E466*战斗力计算!$B$11+F466*战斗力计算!$B$12</f>
        <v>201400</v>
      </c>
      <c r="W466" s="5">
        <f>G466*战斗力计算!$B$8+H466*战斗力计算!$B$9+I466*战斗力计算!$B$10+J466*战斗力计算!$B$11+K466*战斗力计算!$B$12+L466*战斗力计算!$B$8+M466*战斗力计算!$B$9+N466*战斗力计算!$B$10+O466*战斗力计算!$B$11+P466*战斗力计算!$B$12</f>
        <v>1208400</v>
      </c>
      <c r="X466" s="5">
        <f t="shared" si="163"/>
        <v>1409800</v>
      </c>
      <c r="AC466">
        <f t="shared" si="168"/>
        <v>4</v>
      </c>
      <c r="AD466">
        <f t="shared" si="169"/>
        <v>2</v>
      </c>
      <c r="AF466">
        <f t="shared" si="170"/>
        <v>0.75</v>
      </c>
      <c r="AH466">
        <f t="shared" si="171"/>
        <v>12</v>
      </c>
      <c r="AK466">
        <f t="shared" si="172"/>
        <v>6.0262582056892775</v>
      </c>
      <c r="AL466">
        <f t="shared" si="173"/>
        <v>1.5021881838074398</v>
      </c>
      <c r="AM466">
        <f t="shared" si="174"/>
        <v>1</v>
      </c>
      <c r="AN466">
        <f t="shared" si="175"/>
        <v>6.0262582056892775</v>
      </c>
      <c r="AO466">
        <f t="shared" si="176"/>
        <v>1.5021881838074398</v>
      </c>
      <c r="AP466">
        <f t="shared" si="177"/>
        <v>1</v>
      </c>
      <c r="AR466">
        <f t="shared" si="178"/>
        <v>4.496724890829694</v>
      </c>
      <c r="AT466">
        <f t="shared" si="179"/>
        <v>4.496724890829694</v>
      </c>
      <c r="AV466">
        <f t="shared" si="180"/>
        <v>4805</v>
      </c>
      <c r="AW466">
        <f t="shared" si="181"/>
        <v>8924</v>
      </c>
    </row>
    <row r="467" spans="1:49" x14ac:dyDescent="0.15">
      <c r="A467" s="5">
        <v>457</v>
      </c>
      <c r="B467" s="5">
        <f t="shared" si="167"/>
        <v>27600</v>
      </c>
      <c r="C467" s="5">
        <f t="shared" si="166"/>
        <v>6880</v>
      </c>
      <c r="D467" s="5">
        <f t="shared" si="166"/>
        <v>4580</v>
      </c>
      <c r="E467" s="5">
        <f t="shared" si="166"/>
        <v>1377</v>
      </c>
      <c r="F467" s="5">
        <f t="shared" si="166"/>
        <v>1836</v>
      </c>
      <c r="G467" s="5">
        <f t="shared" si="182"/>
        <v>110400</v>
      </c>
      <c r="H467" s="5">
        <f t="shared" si="182"/>
        <v>27520</v>
      </c>
      <c r="I467" s="5">
        <f t="shared" si="182"/>
        <v>18320</v>
      </c>
      <c r="J467" s="5">
        <f t="shared" si="182"/>
        <v>5508</v>
      </c>
      <c r="K467" s="5">
        <f t="shared" si="182"/>
        <v>7344</v>
      </c>
      <c r="L467" s="5">
        <f t="shared" si="183"/>
        <v>55200</v>
      </c>
      <c r="M467" s="5">
        <f t="shared" si="183"/>
        <v>13760</v>
      </c>
      <c r="N467" s="5">
        <f t="shared" si="183"/>
        <v>9160</v>
      </c>
      <c r="O467" s="5">
        <f t="shared" si="183"/>
        <v>2754</v>
      </c>
      <c r="P467" s="5">
        <f t="shared" si="183"/>
        <v>3672</v>
      </c>
      <c r="Q467" s="5">
        <f t="shared" si="158"/>
        <v>193200</v>
      </c>
      <c r="R467" s="5">
        <f t="shared" si="159"/>
        <v>48160</v>
      </c>
      <c r="S467" s="5">
        <f t="shared" si="160"/>
        <v>32060</v>
      </c>
      <c r="T467" s="5">
        <f t="shared" si="161"/>
        <v>9639</v>
      </c>
      <c r="U467" s="5">
        <f t="shared" si="162"/>
        <v>12852</v>
      </c>
      <c r="V467" s="5">
        <f>B467*战斗力计算!$B$8+C467*战斗力计算!$B$9+D467*战斗力计算!$B$10+E467*战斗力计算!$B$11+F467*战斗力计算!$B$12</f>
        <v>201840</v>
      </c>
      <c r="W467" s="5">
        <f>G467*战斗力计算!$B$8+H467*战斗力计算!$B$9+I467*战斗力计算!$B$10+J467*战斗力计算!$B$11+K467*战斗力计算!$B$12+L467*战斗力计算!$B$8+M467*战斗力计算!$B$9+N467*战斗力计算!$B$10+O467*战斗力计算!$B$11+P467*战斗力计算!$B$12</f>
        <v>1211040</v>
      </c>
      <c r="X467" s="5">
        <f t="shared" si="163"/>
        <v>1412880</v>
      </c>
      <c r="AC467">
        <f t="shared" si="168"/>
        <v>4</v>
      </c>
      <c r="AD467">
        <f t="shared" si="169"/>
        <v>2</v>
      </c>
      <c r="AF467">
        <f t="shared" si="170"/>
        <v>0.75</v>
      </c>
      <c r="AH467">
        <f t="shared" si="171"/>
        <v>12</v>
      </c>
      <c r="AK467">
        <f t="shared" si="172"/>
        <v>6.0262008733624457</v>
      </c>
      <c r="AL467">
        <f t="shared" si="173"/>
        <v>1.5021834061135371</v>
      </c>
      <c r="AM467">
        <f t="shared" si="174"/>
        <v>1</v>
      </c>
      <c r="AN467">
        <f t="shared" si="175"/>
        <v>6.0262008733624457</v>
      </c>
      <c r="AO467">
        <f t="shared" si="176"/>
        <v>1.5021834061135371</v>
      </c>
      <c r="AP467">
        <f t="shared" si="177"/>
        <v>1</v>
      </c>
      <c r="AR467">
        <f t="shared" si="178"/>
        <v>4.4967320261437909</v>
      </c>
      <c r="AT467">
        <f t="shared" si="179"/>
        <v>4.4967320261437909</v>
      </c>
      <c r="AV467">
        <f t="shared" si="180"/>
        <v>4816</v>
      </c>
      <c r="AW467">
        <f t="shared" si="181"/>
        <v>8944</v>
      </c>
    </row>
    <row r="468" spans="1:49" x14ac:dyDescent="0.15">
      <c r="A468" s="5">
        <v>458</v>
      </c>
      <c r="B468" s="5">
        <f t="shared" si="167"/>
        <v>27660</v>
      </c>
      <c r="C468" s="5">
        <f t="shared" si="166"/>
        <v>6895</v>
      </c>
      <c r="D468" s="5">
        <f t="shared" si="166"/>
        <v>4590</v>
      </c>
      <c r="E468" s="5">
        <f t="shared" si="166"/>
        <v>1380</v>
      </c>
      <c r="F468" s="5">
        <f t="shared" si="166"/>
        <v>1840</v>
      </c>
      <c r="G468" s="5">
        <f t="shared" si="182"/>
        <v>110640</v>
      </c>
      <c r="H468" s="5">
        <f t="shared" si="182"/>
        <v>27580</v>
      </c>
      <c r="I468" s="5">
        <f t="shared" si="182"/>
        <v>18360</v>
      </c>
      <c r="J468" s="5">
        <f t="shared" si="182"/>
        <v>5520</v>
      </c>
      <c r="K468" s="5">
        <f t="shared" si="182"/>
        <v>7360</v>
      </c>
      <c r="L468" s="5">
        <f t="shared" si="183"/>
        <v>55320</v>
      </c>
      <c r="M468" s="5">
        <f t="shared" si="183"/>
        <v>13790</v>
      </c>
      <c r="N468" s="5">
        <f t="shared" si="183"/>
        <v>9180</v>
      </c>
      <c r="O468" s="5">
        <f t="shared" si="183"/>
        <v>2760</v>
      </c>
      <c r="P468" s="5">
        <f t="shared" si="183"/>
        <v>3680</v>
      </c>
      <c r="Q468" s="5">
        <f t="shared" si="158"/>
        <v>193620</v>
      </c>
      <c r="R468" s="5">
        <f t="shared" si="159"/>
        <v>48265</v>
      </c>
      <c r="S468" s="5">
        <f t="shared" si="160"/>
        <v>32130</v>
      </c>
      <c r="T468" s="5">
        <f t="shared" si="161"/>
        <v>9660</v>
      </c>
      <c r="U468" s="5">
        <f t="shared" si="162"/>
        <v>12880</v>
      </c>
      <c r="V468" s="5">
        <f>B468*战斗力计算!$B$8+C468*战斗力计算!$B$9+D468*战斗力计算!$B$10+E468*战斗力计算!$B$11+F468*战斗力计算!$B$12</f>
        <v>202280</v>
      </c>
      <c r="W468" s="5">
        <f>G468*战斗力计算!$B$8+H468*战斗力计算!$B$9+I468*战斗力计算!$B$10+J468*战斗力计算!$B$11+K468*战斗力计算!$B$12+L468*战斗力计算!$B$8+M468*战斗力计算!$B$9+N468*战斗力计算!$B$10+O468*战斗力计算!$B$11+P468*战斗力计算!$B$12</f>
        <v>1213680</v>
      </c>
      <c r="X468" s="5">
        <f t="shared" si="163"/>
        <v>1415960</v>
      </c>
      <c r="AC468">
        <f t="shared" si="168"/>
        <v>4</v>
      </c>
      <c r="AD468">
        <f t="shared" si="169"/>
        <v>2</v>
      </c>
      <c r="AF468">
        <f t="shared" si="170"/>
        <v>0.75</v>
      </c>
      <c r="AH468">
        <f t="shared" si="171"/>
        <v>12</v>
      </c>
      <c r="AK468">
        <f t="shared" si="172"/>
        <v>6.0261437908496731</v>
      </c>
      <c r="AL468">
        <f t="shared" si="173"/>
        <v>1.5021786492374727</v>
      </c>
      <c r="AM468">
        <f t="shared" si="174"/>
        <v>1</v>
      </c>
      <c r="AN468">
        <f t="shared" si="175"/>
        <v>6.0261437908496731</v>
      </c>
      <c r="AO468">
        <f t="shared" si="176"/>
        <v>1.5021786492374727</v>
      </c>
      <c r="AP468">
        <f t="shared" si="177"/>
        <v>1</v>
      </c>
      <c r="AR468">
        <f t="shared" si="178"/>
        <v>4.4967391304347828</v>
      </c>
      <c r="AT468">
        <f t="shared" si="179"/>
        <v>4.4967391304347828</v>
      </c>
      <c r="AV468">
        <f t="shared" si="180"/>
        <v>4826</v>
      </c>
      <c r="AW468">
        <f t="shared" si="181"/>
        <v>8963</v>
      </c>
    </row>
    <row r="469" spans="1:49" x14ac:dyDescent="0.15">
      <c r="A469" s="5">
        <v>459</v>
      </c>
      <c r="B469" s="5">
        <f t="shared" si="167"/>
        <v>27720</v>
      </c>
      <c r="C469" s="5">
        <f t="shared" si="166"/>
        <v>6910</v>
      </c>
      <c r="D469" s="5">
        <f t="shared" si="166"/>
        <v>4600</v>
      </c>
      <c r="E469" s="5">
        <f t="shared" si="166"/>
        <v>1383</v>
      </c>
      <c r="F469" s="5">
        <f t="shared" si="166"/>
        <v>1844</v>
      </c>
      <c r="G469" s="5">
        <f t="shared" si="182"/>
        <v>110880</v>
      </c>
      <c r="H469" s="5">
        <f t="shared" si="182"/>
        <v>27640</v>
      </c>
      <c r="I469" s="5">
        <f t="shared" si="182"/>
        <v>18400</v>
      </c>
      <c r="J469" s="5">
        <f t="shared" si="182"/>
        <v>5532</v>
      </c>
      <c r="K469" s="5">
        <f t="shared" si="182"/>
        <v>7376</v>
      </c>
      <c r="L469" s="5">
        <f t="shared" si="183"/>
        <v>55440</v>
      </c>
      <c r="M469" s="5">
        <f t="shared" si="183"/>
        <v>13820</v>
      </c>
      <c r="N469" s="5">
        <f t="shared" si="183"/>
        <v>9200</v>
      </c>
      <c r="O469" s="5">
        <f t="shared" si="183"/>
        <v>2766</v>
      </c>
      <c r="P469" s="5">
        <f t="shared" si="183"/>
        <v>3688</v>
      </c>
      <c r="Q469" s="5">
        <f t="shared" si="158"/>
        <v>194040</v>
      </c>
      <c r="R469" s="5">
        <f t="shared" si="159"/>
        <v>48370</v>
      </c>
      <c r="S469" s="5">
        <f t="shared" si="160"/>
        <v>32200</v>
      </c>
      <c r="T469" s="5">
        <f t="shared" si="161"/>
        <v>9681</v>
      </c>
      <c r="U469" s="5">
        <f t="shared" si="162"/>
        <v>12908</v>
      </c>
      <c r="V469" s="5">
        <f>B469*战斗力计算!$B$8+C469*战斗力计算!$B$9+D469*战斗力计算!$B$10+E469*战斗力计算!$B$11+F469*战斗力计算!$B$12</f>
        <v>202720</v>
      </c>
      <c r="W469" s="5">
        <f>G469*战斗力计算!$B$8+H469*战斗力计算!$B$9+I469*战斗力计算!$B$10+J469*战斗力计算!$B$11+K469*战斗力计算!$B$12+L469*战斗力计算!$B$8+M469*战斗力计算!$B$9+N469*战斗力计算!$B$10+O469*战斗力计算!$B$11+P469*战斗力计算!$B$12</f>
        <v>1216320</v>
      </c>
      <c r="X469" s="5">
        <f t="shared" si="163"/>
        <v>1419040</v>
      </c>
      <c r="AC469">
        <f t="shared" si="168"/>
        <v>4</v>
      </c>
      <c r="AD469">
        <f t="shared" si="169"/>
        <v>2</v>
      </c>
      <c r="AF469">
        <f t="shared" si="170"/>
        <v>0.75</v>
      </c>
      <c r="AH469">
        <f t="shared" si="171"/>
        <v>12</v>
      </c>
      <c r="AK469">
        <f t="shared" si="172"/>
        <v>6.0260869565217394</v>
      </c>
      <c r="AL469">
        <f t="shared" si="173"/>
        <v>1.5021739130434784</v>
      </c>
      <c r="AM469">
        <f t="shared" si="174"/>
        <v>1</v>
      </c>
      <c r="AN469">
        <f t="shared" si="175"/>
        <v>6.0260869565217394</v>
      </c>
      <c r="AO469">
        <f t="shared" si="176"/>
        <v>1.5021739130434784</v>
      </c>
      <c r="AP469">
        <f t="shared" si="177"/>
        <v>1</v>
      </c>
      <c r="AR469">
        <f t="shared" si="178"/>
        <v>4.4967462039045554</v>
      </c>
      <c r="AT469">
        <f t="shared" si="179"/>
        <v>4.4967462039045554</v>
      </c>
      <c r="AV469">
        <f t="shared" si="180"/>
        <v>4837</v>
      </c>
      <c r="AW469">
        <f t="shared" si="181"/>
        <v>8983</v>
      </c>
    </row>
    <row r="470" spans="1:49" x14ac:dyDescent="0.15">
      <c r="A470" s="5">
        <v>460</v>
      </c>
      <c r="B470" s="5">
        <f t="shared" si="167"/>
        <v>27780</v>
      </c>
      <c r="C470" s="5">
        <f t="shared" si="166"/>
        <v>6925</v>
      </c>
      <c r="D470" s="5">
        <f t="shared" si="166"/>
        <v>4610</v>
      </c>
      <c r="E470" s="5">
        <f t="shared" si="166"/>
        <v>1386</v>
      </c>
      <c r="F470" s="5">
        <f t="shared" si="166"/>
        <v>1848</v>
      </c>
      <c r="G470" s="5">
        <f t="shared" si="182"/>
        <v>111120</v>
      </c>
      <c r="H470" s="5">
        <f t="shared" si="182"/>
        <v>27700</v>
      </c>
      <c r="I470" s="5">
        <f t="shared" si="182"/>
        <v>18440</v>
      </c>
      <c r="J470" s="5">
        <f t="shared" si="182"/>
        <v>5544</v>
      </c>
      <c r="K470" s="5">
        <f t="shared" si="182"/>
        <v>7392</v>
      </c>
      <c r="L470" s="5">
        <f t="shared" si="183"/>
        <v>55560</v>
      </c>
      <c r="M470" s="5">
        <f t="shared" si="183"/>
        <v>13850</v>
      </c>
      <c r="N470" s="5">
        <f t="shared" si="183"/>
        <v>9220</v>
      </c>
      <c r="O470" s="5">
        <f t="shared" si="183"/>
        <v>2772</v>
      </c>
      <c r="P470" s="5">
        <f t="shared" si="183"/>
        <v>3696</v>
      </c>
      <c r="Q470" s="5">
        <f t="shared" si="158"/>
        <v>194460</v>
      </c>
      <c r="R470" s="5">
        <f t="shared" si="159"/>
        <v>48475</v>
      </c>
      <c r="S470" s="5">
        <f t="shared" si="160"/>
        <v>32270</v>
      </c>
      <c r="T470" s="5">
        <f t="shared" si="161"/>
        <v>9702</v>
      </c>
      <c r="U470" s="5">
        <f t="shared" si="162"/>
        <v>12936</v>
      </c>
      <c r="V470" s="5">
        <f>B470*战斗力计算!$B$8+C470*战斗力计算!$B$9+D470*战斗力计算!$B$10+E470*战斗力计算!$B$11+F470*战斗力计算!$B$12</f>
        <v>203160</v>
      </c>
      <c r="W470" s="5">
        <f>G470*战斗力计算!$B$8+H470*战斗力计算!$B$9+I470*战斗力计算!$B$10+J470*战斗力计算!$B$11+K470*战斗力计算!$B$12+L470*战斗力计算!$B$8+M470*战斗力计算!$B$9+N470*战斗力计算!$B$10+O470*战斗力计算!$B$11+P470*战斗力计算!$B$12</f>
        <v>1218960</v>
      </c>
      <c r="X470" s="5">
        <f t="shared" si="163"/>
        <v>1422120</v>
      </c>
      <c r="AC470">
        <f t="shared" si="168"/>
        <v>4</v>
      </c>
      <c r="AD470">
        <f t="shared" si="169"/>
        <v>2</v>
      </c>
      <c r="AF470">
        <f t="shared" si="170"/>
        <v>0.75</v>
      </c>
      <c r="AH470">
        <f t="shared" si="171"/>
        <v>12</v>
      </c>
      <c r="AK470">
        <f t="shared" si="172"/>
        <v>6.0260303687635579</v>
      </c>
      <c r="AL470">
        <f t="shared" si="173"/>
        <v>1.5021691973969631</v>
      </c>
      <c r="AM470">
        <f t="shared" si="174"/>
        <v>1</v>
      </c>
      <c r="AN470">
        <f t="shared" si="175"/>
        <v>6.0260303687635579</v>
      </c>
      <c r="AO470">
        <f t="shared" si="176"/>
        <v>1.5021691973969631</v>
      </c>
      <c r="AP470">
        <f t="shared" si="177"/>
        <v>1</v>
      </c>
      <c r="AR470">
        <f t="shared" si="178"/>
        <v>4.4967532467532472</v>
      </c>
      <c r="AT470">
        <f t="shared" si="179"/>
        <v>4.4967532467532472</v>
      </c>
      <c r="AV470">
        <f t="shared" si="180"/>
        <v>4847</v>
      </c>
      <c r="AW470">
        <f t="shared" si="181"/>
        <v>9002</v>
      </c>
    </row>
    <row r="471" spans="1:49" x14ac:dyDescent="0.15">
      <c r="A471" s="5">
        <v>461</v>
      </c>
      <c r="B471" s="5">
        <f t="shared" si="167"/>
        <v>27840</v>
      </c>
      <c r="C471" s="5">
        <f t="shared" si="166"/>
        <v>6940</v>
      </c>
      <c r="D471" s="5">
        <f t="shared" si="166"/>
        <v>4620</v>
      </c>
      <c r="E471" s="5">
        <f t="shared" si="166"/>
        <v>1389</v>
      </c>
      <c r="F471" s="5">
        <f t="shared" si="166"/>
        <v>1852</v>
      </c>
      <c r="G471" s="5">
        <f t="shared" si="182"/>
        <v>111360</v>
      </c>
      <c r="H471" s="5">
        <f t="shared" si="182"/>
        <v>27760</v>
      </c>
      <c r="I471" s="5">
        <f t="shared" si="182"/>
        <v>18480</v>
      </c>
      <c r="J471" s="5">
        <f t="shared" si="182"/>
        <v>5556</v>
      </c>
      <c r="K471" s="5">
        <f t="shared" si="182"/>
        <v>7408</v>
      </c>
      <c r="L471" s="5">
        <f t="shared" si="183"/>
        <v>55680</v>
      </c>
      <c r="M471" s="5">
        <f t="shared" si="183"/>
        <v>13880</v>
      </c>
      <c r="N471" s="5">
        <f t="shared" si="183"/>
        <v>9240</v>
      </c>
      <c r="O471" s="5">
        <f t="shared" si="183"/>
        <v>2778</v>
      </c>
      <c r="P471" s="5">
        <f t="shared" si="183"/>
        <v>3704</v>
      </c>
      <c r="Q471" s="5">
        <f t="shared" si="158"/>
        <v>194880</v>
      </c>
      <c r="R471" s="5">
        <f t="shared" si="159"/>
        <v>48580</v>
      </c>
      <c r="S471" s="5">
        <f t="shared" si="160"/>
        <v>32340</v>
      </c>
      <c r="T471" s="5">
        <f t="shared" si="161"/>
        <v>9723</v>
      </c>
      <c r="U471" s="5">
        <f t="shared" si="162"/>
        <v>12964</v>
      </c>
      <c r="V471" s="5">
        <f>B471*战斗力计算!$B$8+C471*战斗力计算!$B$9+D471*战斗力计算!$B$10+E471*战斗力计算!$B$11+F471*战斗力计算!$B$12</f>
        <v>203600</v>
      </c>
      <c r="W471" s="5">
        <f>G471*战斗力计算!$B$8+H471*战斗力计算!$B$9+I471*战斗力计算!$B$10+J471*战斗力计算!$B$11+K471*战斗力计算!$B$12+L471*战斗力计算!$B$8+M471*战斗力计算!$B$9+N471*战斗力计算!$B$10+O471*战斗力计算!$B$11+P471*战斗力计算!$B$12</f>
        <v>1221600</v>
      </c>
      <c r="X471" s="5">
        <f t="shared" si="163"/>
        <v>1425200</v>
      </c>
      <c r="AC471">
        <f t="shared" si="168"/>
        <v>4</v>
      </c>
      <c r="AD471">
        <f t="shared" si="169"/>
        <v>2</v>
      </c>
      <c r="AF471">
        <f t="shared" si="170"/>
        <v>0.75</v>
      </c>
      <c r="AH471">
        <f t="shared" si="171"/>
        <v>12</v>
      </c>
      <c r="AK471">
        <f t="shared" si="172"/>
        <v>6.0259740259740262</v>
      </c>
      <c r="AL471">
        <f t="shared" si="173"/>
        <v>1.5021645021645023</v>
      </c>
      <c r="AM471">
        <f t="shared" si="174"/>
        <v>1</v>
      </c>
      <c r="AN471">
        <f t="shared" si="175"/>
        <v>6.0259740259740262</v>
      </c>
      <c r="AO471">
        <f t="shared" si="176"/>
        <v>1.5021645021645023</v>
      </c>
      <c r="AP471">
        <f t="shared" si="177"/>
        <v>1</v>
      </c>
      <c r="AR471">
        <f t="shared" si="178"/>
        <v>4.4967602591792657</v>
      </c>
      <c r="AT471">
        <f t="shared" si="179"/>
        <v>4.4967602591792657</v>
      </c>
      <c r="AV471">
        <f t="shared" si="180"/>
        <v>4858</v>
      </c>
      <c r="AW471">
        <f t="shared" si="181"/>
        <v>9022</v>
      </c>
    </row>
    <row r="472" spans="1:49" x14ac:dyDescent="0.15">
      <c r="A472" s="5">
        <v>462</v>
      </c>
      <c r="B472" s="5">
        <f t="shared" si="167"/>
        <v>27900</v>
      </c>
      <c r="C472" s="5">
        <f t="shared" si="166"/>
        <v>6955</v>
      </c>
      <c r="D472" s="5">
        <f t="shared" si="166"/>
        <v>4630</v>
      </c>
      <c r="E472" s="5">
        <f t="shared" si="166"/>
        <v>1392</v>
      </c>
      <c r="F472" s="5">
        <f t="shared" si="166"/>
        <v>1856</v>
      </c>
      <c r="G472" s="5">
        <f t="shared" si="182"/>
        <v>111600</v>
      </c>
      <c r="H472" s="5">
        <f t="shared" si="182"/>
        <v>27820</v>
      </c>
      <c r="I472" s="5">
        <f t="shared" si="182"/>
        <v>18520</v>
      </c>
      <c r="J472" s="5">
        <f t="shared" si="182"/>
        <v>5568</v>
      </c>
      <c r="K472" s="5">
        <f t="shared" si="182"/>
        <v>7424</v>
      </c>
      <c r="L472" s="5">
        <f t="shared" si="183"/>
        <v>55800</v>
      </c>
      <c r="M472" s="5">
        <f t="shared" si="183"/>
        <v>13910</v>
      </c>
      <c r="N472" s="5">
        <f t="shared" si="183"/>
        <v>9260</v>
      </c>
      <c r="O472" s="5">
        <f t="shared" si="183"/>
        <v>2784</v>
      </c>
      <c r="P472" s="5">
        <f t="shared" si="183"/>
        <v>3712</v>
      </c>
      <c r="Q472" s="5">
        <f t="shared" si="158"/>
        <v>195300</v>
      </c>
      <c r="R472" s="5">
        <f t="shared" si="159"/>
        <v>48685</v>
      </c>
      <c r="S472" s="5">
        <f t="shared" si="160"/>
        <v>32410</v>
      </c>
      <c r="T472" s="5">
        <f t="shared" si="161"/>
        <v>9744</v>
      </c>
      <c r="U472" s="5">
        <f t="shared" si="162"/>
        <v>12992</v>
      </c>
      <c r="V472" s="5">
        <f>B472*战斗力计算!$B$8+C472*战斗力计算!$B$9+D472*战斗力计算!$B$10+E472*战斗力计算!$B$11+F472*战斗力计算!$B$12</f>
        <v>204040</v>
      </c>
      <c r="W472" s="5">
        <f>G472*战斗力计算!$B$8+H472*战斗力计算!$B$9+I472*战斗力计算!$B$10+J472*战斗力计算!$B$11+K472*战斗力计算!$B$12+L472*战斗力计算!$B$8+M472*战斗力计算!$B$9+N472*战斗力计算!$B$10+O472*战斗力计算!$B$11+P472*战斗力计算!$B$12</f>
        <v>1224240</v>
      </c>
      <c r="X472" s="5">
        <f t="shared" si="163"/>
        <v>1428280</v>
      </c>
      <c r="AC472">
        <f t="shared" si="168"/>
        <v>4</v>
      </c>
      <c r="AD472">
        <f t="shared" si="169"/>
        <v>2</v>
      </c>
      <c r="AF472">
        <f t="shared" si="170"/>
        <v>0.75</v>
      </c>
      <c r="AH472">
        <f t="shared" si="171"/>
        <v>12</v>
      </c>
      <c r="AK472">
        <f t="shared" si="172"/>
        <v>6.0259179265658744</v>
      </c>
      <c r="AL472">
        <f t="shared" si="173"/>
        <v>1.5021598272138228</v>
      </c>
      <c r="AM472">
        <f t="shared" si="174"/>
        <v>1</v>
      </c>
      <c r="AN472">
        <f t="shared" si="175"/>
        <v>6.0259179265658744</v>
      </c>
      <c r="AO472">
        <f t="shared" si="176"/>
        <v>1.5021598272138228</v>
      </c>
      <c r="AP472">
        <f t="shared" si="177"/>
        <v>1</v>
      </c>
      <c r="AR472">
        <f t="shared" si="178"/>
        <v>4.4967672413793105</v>
      </c>
      <c r="AT472">
        <f t="shared" si="179"/>
        <v>4.4967672413793105</v>
      </c>
      <c r="AV472">
        <f t="shared" si="180"/>
        <v>4868</v>
      </c>
      <c r="AW472">
        <f t="shared" si="181"/>
        <v>9041</v>
      </c>
    </row>
    <row r="473" spans="1:49" x14ac:dyDescent="0.15">
      <c r="A473" s="5">
        <v>463</v>
      </c>
      <c r="B473" s="5">
        <f t="shared" si="167"/>
        <v>27960</v>
      </c>
      <c r="C473" s="5">
        <f t="shared" si="166"/>
        <v>6970</v>
      </c>
      <c r="D473" s="5">
        <f t="shared" si="166"/>
        <v>4640</v>
      </c>
      <c r="E473" s="5">
        <f t="shared" si="166"/>
        <v>1395</v>
      </c>
      <c r="F473" s="5">
        <f t="shared" si="166"/>
        <v>1860</v>
      </c>
      <c r="G473" s="5">
        <f t="shared" si="182"/>
        <v>111840</v>
      </c>
      <c r="H473" s="5">
        <f t="shared" si="182"/>
        <v>27880</v>
      </c>
      <c r="I473" s="5">
        <f t="shared" si="182"/>
        <v>18560</v>
      </c>
      <c r="J473" s="5">
        <f t="shared" si="182"/>
        <v>5580</v>
      </c>
      <c r="K473" s="5">
        <f t="shared" si="182"/>
        <v>7440</v>
      </c>
      <c r="L473" s="5">
        <f t="shared" si="183"/>
        <v>55920</v>
      </c>
      <c r="M473" s="5">
        <f t="shared" si="183"/>
        <v>13940</v>
      </c>
      <c r="N473" s="5">
        <f t="shared" si="183"/>
        <v>9280</v>
      </c>
      <c r="O473" s="5">
        <f t="shared" si="183"/>
        <v>2790</v>
      </c>
      <c r="P473" s="5">
        <f t="shared" si="183"/>
        <v>3720</v>
      </c>
      <c r="Q473" s="5">
        <f t="shared" si="158"/>
        <v>195720</v>
      </c>
      <c r="R473" s="5">
        <f t="shared" si="159"/>
        <v>48790</v>
      </c>
      <c r="S473" s="5">
        <f t="shared" si="160"/>
        <v>32480</v>
      </c>
      <c r="T473" s="5">
        <f t="shared" si="161"/>
        <v>9765</v>
      </c>
      <c r="U473" s="5">
        <f t="shared" si="162"/>
        <v>13020</v>
      </c>
      <c r="V473" s="5">
        <f>B473*战斗力计算!$B$8+C473*战斗力计算!$B$9+D473*战斗力计算!$B$10+E473*战斗力计算!$B$11+F473*战斗力计算!$B$12</f>
        <v>204480</v>
      </c>
      <c r="W473" s="5">
        <f>G473*战斗力计算!$B$8+H473*战斗力计算!$B$9+I473*战斗力计算!$B$10+J473*战斗力计算!$B$11+K473*战斗力计算!$B$12+L473*战斗力计算!$B$8+M473*战斗力计算!$B$9+N473*战斗力计算!$B$10+O473*战斗力计算!$B$11+P473*战斗力计算!$B$12</f>
        <v>1226880</v>
      </c>
      <c r="X473" s="5">
        <f t="shared" si="163"/>
        <v>1431360</v>
      </c>
      <c r="AC473">
        <f t="shared" si="168"/>
        <v>4</v>
      </c>
      <c r="AD473">
        <f t="shared" si="169"/>
        <v>2</v>
      </c>
      <c r="AF473">
        <f t="shared" si="170"/>
        <v>0.75</v>
      </c>
      <c r="AH473">
        <f t="shared" si="171"/>
        <v>12</v>
      </c>
      <c r="AK473">
        <f t="shared" si="172"/>
        <v>6.0258620689655169</v>
      </c>
      <c r="AL473">
        <f t="shared" si="173"/>
        <v>1.5021551724137931</v>
      </c>
      <c r="AM473">
        <f t="shared" si="174"/>
        <v>1</v>
      </c>
      <c r="AN473">
        <f t="shared" si="175"/>
        <v>6.0258620689655169</v>
      </c>
      <c r="AO473">
        <f t="shared" si="176"/>
        <v>1.5021551724137931</v>
      </c>
      <c r="AP473">
        <f t="shared" si="177"/>
        <v>1</v>
      </c>
      <c r="AR473">
        <f t="shared" si="178"/>
        <v>4.4967741935483874</v>
      </c>
      <c r="AT473">
        <f t="shared" si="179"/>
        <v>4.4967741935483874</v>
      </c>
      <c r="AV473">
        <f t="shared" si="180"/>
        <v>4879</v>
      </c>
      <c r="AW473">
        <f t="shared" si="181"/>
        <v>9061</v>
      </c>
    </row>
    <row r="474" spans="1:49" x14ac:dyDescent="0.15">
      <c r="A474" s="5">
        <v>464</v>
      </c>
      <c r="B474" s="5">
        <f t="shared" si="167"/>
        <v>28020</v>
      </c>
      <c r="C474" s="5">
        <f t="shared" si="166"/>
        <v>6985</v>
      </c>
      <c r="D474" s="5">
        <f t="shared" si="166"/>
        <v>4650</v>
      </c>
      <c r="E474" s="5">
        <f t="shared" si="166"/>
        <v>1398</v>
      </c>
      <c r="F474" s="5">
        <f t="shared" si="166"/>
        <v>1864</v>
      </c>
      <c r="G474" s="5">
        <f t="shared" si="182"/>
        <v>112080</v>
      </c>
      <c r="H474" s="5">
        <f t="shared" si="182"/>
        <v>27940</v>
      </c>
      <c r="I474" s="5">
        <f t="shared" si="182"/>
        <v>18600</v>
      </c>
      <c r="J474" s="5">
        <f t="shared" si="182"/>
        <v>5592</v>
      </c>
      <c r="K474" s="5">
        <f t="shared" si="182"/>
        <v>7456</v>
      </c>
      <c r="L474" s="5">
        <f t="shared" si="183"/>
        <v>56040</v>
      </c>
      <c r="M474" s="5">
        <f t="shared" si="183"/>
        <v>13970</v>
      </c>
      <c r="N474" s="5">
        <f t="shared" si="183"/>
        <v>9300</v>
      </c>
      <c r="O474" s="5">
        <f t="shared" si="183"/>
        <v>2796</v>
      </c>
      <c r="P474" s="5">
        <f t="shared" si="183"/>
        <v>3728</v>
      </c>
      <c r="Q474" s="5">
        <f t="shared" si="158"/>
        <v>196140</v>
      </c>
      <c r="R474" s="5">
        <f t="shared" si="159"/>
        <v>48895</v>
      </c>
      <c r="S474" s="5">
        <f t="shared" si="160"/>
        <v>32550</v>
      </c>
      <c r="T474" s="5">
        <f t="shared" si="161"/>
        <v>9786</v>
      </c>
      <c r="U474" s="5">
        <f t="shared" si="162"/>
        <v>13048</v>
      </c>
      <c r="V474" s="5">
        <f>B474*战斗力计算!$B$8+C474*战斗力计算!$B$9+D474*战斗力计算!$B$10+E474*战斗力计算!$B$11+F474*战斗力计算!$B$12</f>
        <v>204920</v>
      </c>
      <c r="W474" s="5">
        <f>G474*战斗力计算!$B$8+H474*战斗力计算!$B$9+I474*战斗力计算!$B$10+J474*战斗力计算!$B$11+K474*战斗力计算!$B$12+L474*战斗力计算!$B$8+M474*战斗力计算!$B$9+N474*战斗力计算!$B$10+O474*战斗力计算!$B$11+P474*战斗力计算!$B$12</f>
        <v>1229520</v>
      </c>
      <c r="X474" s="5">
        <f t="shared" si="163"/>
        <v>1434440</v>
      </c>
      <c r="AC474">
        <f t="shared" si="168"/>
        <v>4</v>
      </c>
      <c r="AD474">
        <f t="shared" si="169"/>
        <v>2</v>
      </c>
      <c r="AF474">
        <f t="shared" si="170"/>
        <v>0.75</v>
      </c>
      <c r="AH474">
        <f t="shared" si="171"/>
        <v>12</v>
      </c>
      <c r="AK474">
        <f t="shared" si="172"/>
        <v>6.0258064516129028</v>
      </c>
      <c r="AL474">
        <f t="shared" si="173"/>
        <v>1.5021505376344086</v>
      </c>
      <c r="AM474">
        <f t="shared" si="174"/>
        <v>1</v>
      </c>
      <c r="AN474">
        <f t="shared" si="175"/>
        <v>6.0258064516129028</v>
      </c>
      <c r="AO474">
        <f t="shared" si="176"/>
        <v>1.5021505376344086</v>
      </c>
      <c r="AP474">
        <f t="shared" si="177"/>
        <v>1</v>
      </c>
      <c r="AR474">
        <f t="shared" si="178"/>
        <v>4.4967811158798288</v>
      </c>
      <c r="AT474">
        <f t="shared" si="179"/>
        <v>4.4967811158798288</v>
      </c>
      <c r="AV474">
        <f t="shared" si="180"/>
        <v>4889</v>
      </c>
      <c r="AW474">
        <f t="shared" si="181"/>
        <v>9080</v>
      </c>
    </row>
    <row r="475" spans="1:49" x14ac:dyDescent="0.15">
      <c r="A475" s="5">
        <v>465</v>
      </c>
      <c r="B475" s="5">
        <f t="shared" si="167"/>
        <v>28080</v>
      </c>
      <c r="C475" s="5">
        <f t="shared" si="166"/>
        <v>7000</v>
      </c>
      <c r="D475" s="5">
        <f t="shared" si="166"/>
        <v>4660</v>
      </c>
      <c r="E475" s="5">
        <f t="shared" si="166"/>
        <v>1401</v>
      </c>
      <c r="F475" s="5">
        <f t="shared" si="166"/>
        <v>1868</v>
      </c>
      <c r="G475" s="5">
        <f t="shared" si="182"/>
        <v>112320</v>
      </c>
      <c r="H475" s="5">
        <f t="shared" si="182"/>
        <v>28000</v>
      </c>
      <c r="I475" s="5">
        <f t="shared" si="182"/>
        <v>18640</v>
      </c>
      <c r="J475" s="5">
        <f t="shared" si="182"/>
        <v>5604</v>
      </c>
      <c r="K475" s="5">
        <f t="shared" si="182"/>
        <v>7472</v>
      </c>
      <c r="L475" s="5">
        <f t="shared" si="183"/>
        <v>56160</v>
      </c>
      <c r="M475" s="5">
        <f t="shared" si="183"/>
        <v>14000</v>
      </c>
      <c r="N475" s="5">
        <f t="shared" si="183"/>
        <v>9320</v>
      </c>
      <c r="O475" s="5">
        <f t="shared" si="183"/>
        <v>2802</v>
      </c>
      <c r="P475" s="5">
        <f t="shared" si="183"/>
        <v>3736</v>
      </c>
      <c r="Q475" s="5">
        <f t="shared" si="158"/>
        <v>196560</v>
      </c>
      <c r="R475" s="5">
        <f t="shared" si="159"/>
        <v>49000</v>
      </c>
      <c r="S475" s="5">
        <f t="shared" si="160"/>
        <v>32620</v>
      </c>
      <c r="T475" s="5">
        <f t="shared" si="161"/>
        <v>9807</v>
      </c>
      <c r="U475" s="5">
        <f t="shared" si="162"/>
        <v>13076</v>
      </c>
      <c r="V475" s="5">
        <f>B475*战斗力计算!$B$8+C475*战斗力计算!$B$9+D475*战斗力计算!$B$10+E475*战斗力计算!$B$11+F475*战斗力计算!$B$12</f>
        <v>205360</v>
      </c>
      <c r="W475" s="5">
        <f>G475*战斗力计算!$B$8+H475*战斗力计算!$B$9+I475*战斗力计算!$B$10+J475*战斗力计算!$B$11+K475*战斗力计算!$B$12+L475*战斗力计算!$B$8+M475*战斗力计算!$B$9+N475*战斗力计算!$B$10+O475*战斗力计算!$B$11+P475*战斗力计算!$B$12</f>
        <v>1232160</v>
      </c>
      <c r="X475" s="5">
        <f t="shared" si="163"/>
        <v>1437520</v>
      </c>
      <c r="AC475">
        <f t="shared" si="168"/>
        <v>4</v>
      </c>
      <c r="AD475">
        <f t="shared" si="169"/>
        <v>2</v>
      </c>
      <c r="AF475">
        <f t="shared" si="170"/>
        <v>0.75</v>
      </c>
      <c r="AH475">
        <f t="shared" si="171"/>
        <v>12</v>
      </c>
      <c r="AK475">
        <f t="shared" si="172"/>
        <v>6.0257510729613735</v>
      </c>
      <c r="AL475">
        <f t="shared" si="173"/>
        <v>1.502145922746781</v>
      </c>
      <c r="AM475">
        <f t="shared" si="174"/>
        <v>1</v>
      </c>
      <c r="AN475">
        <f t="shared" si="175"/>
        <v>6.0257510729613735</v>
      </c>
      <c r="AO475">
        <f t="shared" si="176"/>
        <v>1.502145922746781</v>
      </c>
      <c r="AP475">
        <f t="shared" si="177"/>
        <v>1</v>
      </c>
      <c r="AR475">
        <f t="shared" si="178"/>
        <v>4.4967880085653107</v>
      </c>
      <c r="AT475">
        <f t="shared" si="179"/>
        <v>4.4967880085653107</v>
      </c>
      <c r="AV475">
        <f t="shared" si="180"/>
        <v>4900</v>
      </c>
      <c r="AW475">
        <f t="shared" si="181"/>
        <v>9100</v>
      </c>
    </row>
    <row r="476" spans="1:49" x14ac:dyDescent="0.15">
      <c r="A476" s="5">
        <v>466</v>
      </c>
      <c r="B476" s="5">
        <f t="shared" si="167"/>
        <v>28140</v>
      </c>
      <c r="C476" s="5">
        <f t="shared" si="166"/>
        <v>7015</v>
      </c>
      <c r="D476" s="5">
        <f t="shared" si="166"/>
        <v>4670</v>
      </c>
      <c r="E476" s="5">
        <f t="shared" si="166"/>
        <v>1404</v>
      </c>
      <c r="F476" s="5">
        <f t="shared" si="166"/>
        <v>1872</v>
      </c>
      <c r="G476" s="5">
        <f t="shared" si="182"/>
        <v>112560</v>
      </c>
      <c r="H476" s="5">
        <f t="shared" si="182"/>
        <v>28060</v>
      </c>
      <c r="I476" s="5">
        <f t="shared" si="182"/>
        <v>18680</v>
      </c>
      <c r="J476" s="5">
        <f t="shared" si="182"/>
        <v>5616</v>
      </c>
      <c r="K476" s="5">
        <f t="shared" si="182"/>
        <v>7488</v>
      </c>
      <c r="L476" s="5">
        <f t="shared" si="183"/>
        <v>56280</v>
      </c>
      <c r="M476" s="5">
        <f t="shared" si="183"/>
        <v>14030</v>
      </c>
      <c r="N476" s="5">
        <f t="shared" si="183"/>
        <v>9340</v>
      </c>
      <c r="O476" s="5">
        <f t="shared" si="183"/>
        <v>2808</v>
      </c>
      <c r="P476" s="5">
        <f t="shared" si="183"/>
        <v>3744</v>
      </c>
      <c r="Q476" s="5">
        <f t="shared" si="158"/>
        <v>196980</v>
      </c>
      <c r="R476" s="5">
        <f t="shared" si="159"/>
        <v>49105</v>
      </c>
      <c r="S476" s="5">
        <f t="shared" si="160"/>
        <v>32690</v>
      </c>
      <c r="T476" s="5">
        <f t="shared" si="161"/>
        <v>9828</v>
      </c>
      <c r="U476" s="5">
        <f t="shared" si="162"/>
        <v>13104</v>
      </c>
      <c r="V476" s="5">
        <f>B476*战斗力计算!$B$8+C476*战斗力计算!$B$9+D476*战斗力计算!$B$10+E476*战斗力计算!$B$11+F476*战斗力计算!$B$12</f>
        <v>205800</v>
      </c>
      <c r="W476" s="5">
        <f>G476*战斗力计算!$B$8+H476*战斗力计算!$B$9+I476*战斗力计算!$B$10+J476*战斗力计算!$B$11+K476*战斗力计算!$B$12+L476*战斗力计算!$B$8+M476*战斗力计算!$B$9+N476*战斗力计算!$B$10+O476*战斗力计算!$B$11+P476*战斗力计算!$B$12</f>
        <v>1234800</v>
      </c>
      <c r="X476" s="5">
        <f t="shared" si="163"/>
        <v>1440600</v>
      </c>
      <c r="AC476">
        <f t="shared" si="168"/>
        <v>4</v>
      </c>
      <c r="AD476">
        <f t="shared" si="169"/>
        <v>2</v>
      </c>
      <c r="AF476">
        <f t="shared" si="170"/>
        <v>0.75</v>
      </c>
      <c r="AH476">
        <f t="shared" si="171"/>
        <v>12</v>
      </c>
      <c r="AK476">
        <f t="shared" si="172"/>
        <v>6.0256959314775163</v>
      </c>
      <c r="AL476">
        <f t="shared" si="173"/>
        <v>1.5021413276231264</v>
      </c>
      <c r="AM476">
        <f t="shared" si="174"/>
        <v>1</v>
      </c>
      <c r="AN476">
        <f t="shared" si="175"/>
        <v>6.0256959314775163</v>
      </c>
      <c r="AO476">
        <f t="shared" si="176"/>
        <v>1.5021413276231264</v>
      </c>
      <c r="AP476">
        <f t="shared" si="177"/>
        <v>1</v>
      </c>
      <c r="AR476">
        <f t="shared" si="178"/>
        <v>4.4967948717948714</v>
      </c>
      <c r="AT476">
        <f t="shared" si="179"/>
        <v>4.4967948717948714</v>
      </c>
      <c r="AV476">
        <f t="shared" si="180"/>
        <v>4910</v>
      </c>
      <c r="AW476">
        <f t="shared" si="181"/>
        <v>9119</v>
      </c>
    </row>
    <row r="477" spans="1:49" x14ac:dyDescent="0.15">
      <c r="A477" s="5">
        <v>467</v>
      </c>
      <c r="B477" s="5">
        <f t="shared" si="167"/>
        <v>28200</v>
      </c>
      <c r="C477" s="5">
        <f t="shared" si="166"/>
        <v>7030</v>
      </c>
      <c r="D477" s="5">
        <f t="shared" si="166"/>
        <v>4680</v>
      </c>
      <c r="E477" s="5">
        <f t="shared" si="166"/>
        <v>1407</v>
      </c>
      <c r="F477" s="5">
        <f t="shared" si="166"/>
        <v>1876</v>
      </c>
      <c r="G477" s="5">
        <f t="shared" si="182"/>
        <v>112800</v>
      </c>
      <c r="H477" s="5">
        <f t="shared" si="182"/>
        <v>28120</v>
      </c>
      <c r="I477" s="5">
        <f t="shared" si="182"/>
        <v>18720</v>
      </c>
      <c r="J477" s="5">
        <f t="shared" si="182"/>
        <v>5628</v>
      </c>
      <c r="K477" s="5">
        <f t="shared" si="182"/>
        <v>7504</v>
      </c>
      <c r="L477" s="5">
        <f t="shared" si="183"/>
        <v>56400</v>
      </c>
      <c r="M477" s="5">
        <f t="shared" si="183"/>
        <v>14060</v>
      </c>
      <c r="N477" s="5">
        <f t="shared" si="183"/>
        <v>9360</v>
      </c>
      <c r="O477" s="5">
        <f t="shared" si="183"/>
        <v>2814</v>
      </c>
      <c r="P477" s="5">
        <f t="shared" si="183"/>
        <v>3752</v>
      </c>
      <c r="Q477" s="5">
        <f t="shared" si="158"/>
        <v>197400</v>
      </c>
      <c r="R477" s="5">
        <f t="shared" si="159"/>
        <v>49210</v>
      </c>
      <c r="S477" s="5">
        <f t="shared" si="160"/>
        <v>32760</v>
      </c>
      <c r="T477" s="5">
        <f t="shared" si="161"/>
        <v>9849</v>
      </c>
      <c r="U477" s="5">
        <f t="shared" si="162"/>
        <v>13132</v>
      </c>
      <c r="V477" s="5">
        <f>B477*战斗力计算!$B$8+C477*战斗力计算!$B$9+D477*战斗力计算!$B$10+E477*战斗力计算!$B$11+F477*战斗力计算!$B$12</f>
        <v>206240</v>
      </c>
      <c r="W477" s="5">
        <f>G477*战斗力计算!$B$8+H477*战斗力计算!$B$9+I477*战斗力计算!$B$10+J477*战斗力计算!$B$11+K477*战斗力计算!$B$12+L477*战斗力计算!$B$8+M477*战斗力计算!$B$9+N477*战斗力计算!$B$10+O477*战斗力计算!$B$11+P477*战斗力计算!$B$12</f>
        <v>1237440</v>
      </c>
      <c r="X477" s="5">
        <f t="shared" si="163"/>
        <v>1443680</v>
      </c>
      <c r="AC477">
        <f t="shared" si="168"/>
        <v>4</v>
      </c>
      <c r="AD477">
        <f t="shared" si="169"/>
        <v>2</v>
      </c>
      <c r="AF477">
        <f t="shared" si="170"/>
        <v>0.75</v>
      </c>
      <c r="AH477">
        <f t="shared" si="171"/>
        <v>12</v>
      </c>
      <c r="AK477">
        <f t="shared" si="172"/>
        <v>6.0256410256410255</v>
      </c>
      <c r="AL477">
        <f t="shared" si="173"/>
        <v>1.5021367521367521</v>
      </c>
      <c r="AM477">
        <f t="shared" si="174"/>
        <v>1</v>
      </c>
      <c r="AN477">
        <f t="shared" si="175"/>
        <v>6.0256410256410255</v>
      </c>
      <c r="AO477">
        <f t="shared" si="176"/>
        <v>1.5021367521367521</v>
      </c>
      <c r="AP477">
        <f t="shared" si="177"/>
        <v>1</v>
      </c>
      <c r="AR477">
        <f t="shared" si="178"/>
        <v>4.4968017057569298</v>
      </c>
      <c r="AT477">
        <f t="shared" si="179"/>
        <v>4.4968017057569298</v>
      </c>
      <c r="AV477">
        <f t="shared" si="180"/>
        <v>4921</v>
      </c>
      <c r="AW477">
        <f t="shared" si="181"/>
        <v>9139</v>
      </c>
    </row>
    <row r="478" spans="1:49" x14ac:dyDescent="0.15">
      <c r="A478" s="5">
        <v>468</v>
      </c>
      <c r="B478" s="5">
        <f t="shared" si="167"/>
        <v>28260</v>
      </c>
      <c r="C478" s="5">
        <f t="shared" si="166"/>
        <v>7045</v>
      </c>
      <c r="D478" s="5">
        <f t="shared" si="166"/>
        <v>4690</v>
      </c>
      <c r="E478" s="5">
        <f t="shared" si="166"/>
        <v>1410</v>
      </c>
      <c r="F478" s="5">
        <f t="shared" si="166"/>
        <v>1880</v>
      </c>
      <c r="G478" s="5">
        <f t="shared" si="182"/>
        <v>113040</v>
      </c>
      <c r="H478" s="5">
        <f t="shared" si="182"/>
        <v>28180</v>
      </c>
      <c r="I478" s="5">
        <f t="shared" si="182"/>
        <v>18760</v>
      </c>
      <c r="J478" s="5">
        <f t="shared" si="182"/>
        <v>5640</v>
      </c>
      <c r="K478" s="5">
        <f t="shared" si="182"/>
        <v>7520</v>
      </c>
      <c r="L478" s="5">
        <f t="shared" si="183"/>
        <v>56520</v>
      </c>
      <c r="M478" s="5">
        <f t="shared" si="183"/>
        <v>14090</v>
      </c>
      <c r="N478" s="5">
        <f t="shared" si="183"/>
        <v>9380</v>
      </c>
      <c r="O478" s="5">
        <f t="shared" si="183"/>
        <v>2820</v>
      </c>
      <c r="P478" s="5">
        <f t="shared" si="183"/>
        <v>3760</v>
      </c>
      <c r="Q478" s="5">
        <f t="shared" si="158"/>
        <v>197820</v>
      </c>
      <c r="R478" s="5">
        <f t="shared" si="159"/>
        <v>49315</v>
      </c>
      <c r="S478" s="5">
        <f t="shared" si="160"/>
        <v>32830</v>
      </c>
      <c r="T478" s="5">
        <f t="shared" si="161"/>
        <v>9870</v>
      </c>
      <c r="U478" s="5">
        <f t="shared" si="162"/>
        <v>13160</v>
      </c>
      <c r="V478" s="5">
        <f>B478*战斗力计算!$B$8+C478*战斗力计算!$B$9+D478*战斗力计算!$B$10+E478*战斗力计算!$B$11+F478*战斗力计算!$B$12</f>
        <v>206680</v>
      </c>
      <c r="W478" s="5">
        <f>G478*战斗力计算!$B$8+H478*战斗力计算!$B$9+I478*战斗力计算!$B$10+J478*战斗力计算!$B$11+K478*战斗力计算!$B$12+L478*战斗力计算!$B$8+M478*战斗力计算!$B$9+N478*战斗力计算!$B$10+O478*战斗力计算!$B$11+P478*战斗力计算!$B$12</f>
        <v>1240080</v>
      </c>
      <c r="X478" s="5">
        <f t="shared" si="163"/>
        <v>1446760</v>
      </c>
      <c r="AC478">
        <f t="shared" si="168"/>
        <v>4</v>
      </c>
      <c r="AD478">
        <f t="shared" si="169"/>
        <v>2</v>
      </c>
      <c r="AF478">
        <f t="shared" si="170"/>
        <v>0.75</v>
      </c>
      <c r="AH478">
        <f t="shared" si="171"/>
        <v>12</v>
      </c>
      <c r="AK478">
        <f t="shared" si="172"/>
        <v>6.0255863539445631</v>
      </c>
      <c r="AL478">
        <f t="shared" si="173"/>
        <v>1.5021321961620469</v>
      </c>
      <c r="AM478">
        <f t="shared" si="174"/>
        <v>1</v>
      </c>
      <c r="AN478">
        <f t="shared" si="175"/>
        <v>6.0255863539445631</v>
      </c>
      <c r="AO478">
        <f t="shared" si="176"/>
        <v>1.5021321961620469</v>
      </c>
      <c r="AP478">
        <f t="shared" si="177"/>
        <v>1</v>
      </c>
      <c r="AR478">
        <f t="shared" si="178"/>
        <v>4.4968085106382976</v>
      </c>
      <c r="AT478">
        <f t="shared" si="179"/>
        <v>4.4968085106382976</v>
      </c>
      <c r="AV478">
        <f t="shared" si="180"/>
        <v>4931</v>
      </c>
      <c r="AW478">
        <f t="shared" si="181"/>
        <v>9158</v>
      </c>
    </row>
    <row r="479" spans="1:49" x14ac:dyDescent="0.15">
      <c r="A479" s="5">
        <v>469</v>
      </c>
      <c r="B479" s="5">
        <f t="shared" si="167"/>
        <v>28320</v>
      </c>
      <c r="C479" s="5">
        <f t="shared" si="166"/>
        <v>7060</v>
      </c>
      <c r="D479" s="5">
        <f t="shared" si="166"/>
        <v>4700</v>
      </c>
      <c r="E479" s="5">
        <f t="shared" si="166"/>
        <v>1413</v>
      </c>
      <c r="F479" s="5">
        <f t="shared" si="166"/>
        <v>1884</v>
      </c>
      <c r="G479" s="5">
        <f t="shared" si="182"/>
        <v>113280</v>
      </c>
      <c r="H479" s="5">
        <f t="shared" si="182"/>
        <v>28240</v>
      </c>
      <c r="I479" s="5">
        <f t="shared" si="182"/>
        <v>18800</v>
      </c>
      <c r="J479" s="5">
        <f t="shared" si="182"/>
        <v>5652</v>
      </c>
      <c r="K479" s="5">
        <f t="shared" si="182"/>
        <v>7536</v>
      </c>
      <c r="L479" s="5">
        <f t="shared" si="183"/>
        <v>56640</v>
      </c>
      <c r="M479" s="5">
        <f t="shared" si="183"/>
        <v>14120</v>
      </c>
      <c r="N479" s="5">
        <f t="shared" si="183"/>
        <v>9400</v>
      </c>
      <c r="O479" s="5">
        <f t="shared" si="183"/>
        <v>2826</v>
      </c>
      <c r="P479" s="5">
        <f t="shared" si="183"/>
        <v>3768</v>
      </c>
      <c r="Q479" s="5">
        <f t="shared" si="158"/>
        <v>198240</v>
      </c>
      <c r="R479" s="5">
        <f t="shared" si="159"/>
        <v>49420</v>
      </c>
      <c r="S479" s="5">
        <f t="shared" si="160"/>
        <v>32900</v>
      </c>
      <c r="T479" s="5">
        <f t="shared" si="161"/>
        <v>9891</v>
      </c>
      <c r="U479" s="5">
        <f t="shared" si="162"/>
        <v>13188</v>
      </c>
      <c r="V479" s="5">
        <f>B479*战斗力计算!$B$8+C479*战斗力计算!$B$9+D479*战斗力计算!$B$10+E479*战斗力计算!$B$11+F479*战斗力计算!$B$12</f>
        <v>207120</v>
      </c>
      <c r="W479" s="5">
        <f>G479*战斗力计算!$B$8+H479*战斗力计算!$B$9+I479*战斗力计算!$B$10+J479*战斗力计算!$B$11+K479*战斗力计算!$B$12+L479*战斗力计算!$B$8+M479*战斗力计算!$B$9+N479*战斗力计算!$B$10+O479*战斗力计算!$B$11+P479*战斗力计算!$B$12</f>
        <v>1242720</v>
      </c>
      <c r="X479" s="5">
        <f t="shared" si="163"/>
        <v>1449840</v>
      </c>
      <c r="AC479">
        <f t="shared" si="168"/>
        <v>4</v>
      </c>
      <c r="AD479">
        <f t="shared" si="169"/>
        <v>2</v>
      </c>
      <c r="AF479">
        <f t="shared" si="170"/>
        <v>0.75</v>
      </c>
      <c r="AH479">
        <f t="shared" si="171"/>
        <v>12</v>
      </c>
      <c r="AK479">
        <f t="shared" si="172"/>
        <v>6.0255319148936168</v>
      </c>
      <c r="AL479">
        <f t="shared" si="173"/>
        <v>1.5021276595744681</v>
      </c>
      <c r="AM479">
        <f t="shared" si="174"/>
        <v>1</v>
      </c>
      <c r="AN479">
        <f t="shared" si="175"/>
        <v>6.0255319148936168</v>
      </c>
      <c r="AO479">
        <f t="shared" si="176"/>
        <v>1.5021276595744681</v>
      </c>
      <c r="AP479">
        <f t="shared" si="177"/>
        <v>1</v>
      </c>
      <c r="AR479">
        <f t="shared" si="178"/>
        <v>4.4968152866242042</v>
      </c>
      <c r="AT479">
        <f t="shared" si="179"/>
        <v>4.4968152866242042</v>
      </c>
      <c r="AV479">
        <f t="shared" si="180"/>
        <v>4942</v>
      </c>
      <c r="AW479">
        <f t="shared" si="181"/>
        <v>9178</v>
      </c>
    </row>
    <row r="480" spans="1:49" x14ac:dyDescent="0.15">
      <c r="A480" s="5">
        <v>470</v>
      </c>
      <c r="B480" s="5">
        <f t="shared" si="167"/>
        <v>28380</v>
      </c>
      <c r="C480" s="5">
        <f t="shared" si="166"/>
        <v>7075</v>
      </c>
      <c r="D480" s="5">
        <f t="shared" si="166"/>
        <v>4710</v>
      </c>
      <c r="E480" s="5">
        <f t="shared" si="166"/>
        <v>1416</v>
      </c>
      <c r="F480" s="5">
        <f t="shared" si="166"/>
        <v>1888</v>
      </c>
      <c r="G480" s="5">
        <f t="shared" si="182"/>
        <v>113520</v>
      </c>
      <c r="H480" s="5">
        <f t="shared" si="182"/>
        <v>28300</v>
      </c>
      <c r="I480" s="5">
        <f t="shared" si="182"/>
        <v>18840</v>
      </c>
      <c r="J480" s="5">
        <f t="shared" si="182"/>
        <v>5664</v>
      </c>
      <c r="K480" s="5">
        <f t="shared" si="182"/>
        <v>7552</v>
      </c>
      <c r="L480" s="5">
        <f t="shared" si="183"/>
        <v>56760</v>
      </c>
      <c r="M480" s="5">
        <f t="shared" si="183"/>
        <v>14150</v>
      </c>
      <c r="N480" s="5">
        <f t="shared" si="183"/>
        <v>9420</v>
      </c>
      <c r="O480" s="5">
        <f t="shared" si="183"/>
        <v>2832</v>
      </c>
      <c r="P480" s="5">
        <f t="shared" si="183"/>
        <v>3776</v>
      </c>
      <c r="Q480" s="5">
        <f t="shared" si="158"/>
        <v>198660</v>
      </c>
      <c r="R480" s="5">
        <f t="shared" si="159"/>
        <v>49525</v>
      </c>
      <c r="S480" s="5">
        <f t="shared" si="160"/>
        <v>32970</v>
      </c>
      <c r="T480" s="5">
        <f t="shared" si="161"/>
        <v>9912</v>
      </c>
      <c r="U480" s="5">
        <f t="shared" si="162"/>
        <v>13216</v>
      </c>
      <c r="V480" s="5">
        <f>B480*战斗力计算!$B$8+C480*战斗力计算!$B$9+D480*战斗力计算!$B$10+E480*战斗力计算!$B$11+F480*战斗力计算!$B$12</f>
        <v>207560</v>
      </c>
      <c r="W480" s="5">
        <f>G480*战斗力计算!$B$8+H480*战斗力计算!$B$9+I480*战斗力计算!$B$10+J480*战斗力计算!$B$11+K480*战斗力计算!$B$12+L480*战斗力计算!$B$8+M480*战斗力计算!$B$9+N480*战斗力计算!$B$10+O480*战斗力计算!$B$11+P480*战斗力计算!$B$12</f>
        <v>1245360</v>
      </c>
      <c r="X480" s="5">
        <f t="shared" si="163"/>
        <v>1452920</v>
      </c>
      <c r="AC480">
        <f t="shared" si="168"/>
        <v>4</v>
      </c>
      <c r="AD480">
        <f t="shared" si="169"/>
        <v>2</v>
      </c>
      <c r="AF480">
        <f t="shared" si="170"/>
        <v>0.75</v>
      </c>
      <c r="AH480">
        <f t="shared" si="171"/>
        <v>12</v>
      </c>
      <c r="AK480">
        <f t="shared" si="172"/>
        <v>6.0254777070063694</v>
      </c>
      <c r="AL480">
        <f t="shared" si="173"/>
        <v>1.5021231422505308</v>
      </c>
      <c r="AM480">
        <f t="shared" si="174"/>
        <v>1</v>
      </c>
      <c r="AN480">
        <f t="shared" si="175"/>
        <v>6.0254777070063694</v>
      </c>
      <c r="AO480">
        <f t="shared" si="176"/>
        <v>1.5021231422505308</v>
      </c>
      <c r="AP480">
        <f t="shared" si="177"/>
        <v>1</v>
      </c>
      <c r="AR480">
        <f t="shared" si="178"/>
        <v>4.4968220338983054</v>
      </c>
      <c r="AT480">
        <f t="shared" si="179"/>
        <v>4.4968220338983054</v>
      </c>
      <c r="AV480">
        <f t="shared" si="180"/>
        <v>4952</v>
      </c>
      <c r="AW480">
        <f t="shared" si="181"/>
        <v>9197</v>
      </c>
    </row>
    <row r="481" spans="1:49" x14ac:dyDescent="0.15">
      <c r="A481" s="5">
        <v>471</v>
      </c>
      <c r="B481" s="5">
        <f t="shared" si="167"/>
        <v>28440</v>
      </c>
      <c r="C481" s="5">
        <f t="shared" si="166"/>
        <v>7090</v>
      </c>
      <c r="D481" s="5">
        <f t="shared" si="166"/>
        <v>4720</v>
      </c>
      <c r="E481" s="5">
        <f t="shared" si="166"/>
        <v>1419</v>
      </c>
      <c r="F481" s="5">
        <f t="shared" si="166"/>
        <v>1892</v>
      </c>
      <c r="G481" s="5">
        <f t="shared" si="182"/>
        <v>113760</v>
      </c>
      <c r="H481" s="5">
        <f t="shared" si="182"/>
        <v>28360</v>
      </c>
      <c r="I481" s="5">
        <f t="shared" si="182"/>
        <v>18880</v>
      </c>
      <c r="J481" s="5">
        <f t="shared" si="182"/>
        <v>5676</v>
      </c>
      <c r="K481" s="5">
        <f t="shared" si="182"/>
        <v>7568</v>
      </c>
      <c r="L481" s="5">
        <f t="shared" si="183"/>
        <v>56880</v>
      </c>
      <c r="M481" s="5">
        <f t="shared" si="183"/>
        <v>14180</v>
      </c>
      <c r="N481" s="5">
        <f t="shared" si="183"/>
        <v>9440</v>
      </c>
      <c r="O481" s="5">
        <f t="shared" si="183"/>
        <v>2838</v>
      </c>
      <c r="P481" s="5">
        <f t="shared" si="183"/>
        <v>3784</v>
      </c>
      <c r="Q481" s="5">
        <f t="shared" ref="Q481:Q544" si="184">B481+G481+L481</f>
        <v>199080</v>
      </c>
      <c r="R481" s="5">
        <f t="shared" ref="R481:R544" si="185">C481+H481+M481</f>
        <v>49630</v>
      </c>
      <c r="S481" s="5">
        <f t="shared" ref="S481:S544" si="186">D481+I481+N481</f>
        <v>33040</v>
      </c>
      <c r="T481" s="5">
        <f t="shared" ref="T481:T544" si="187">E481+J481+O481</f>
        <v>9933</v>
      </c>
      <c r="U481" s="5">
        <f t="shared" ref="U481:U544" si="188">F481+K481+P481</f>
        <v>13244</v>
      </c>
      <c r="V481" s="5">
        <f>B481*战斗力计算!$B$8+C481*战斗力计算!$B$9+D481*战斗力计算!$B$10+E481*战斗力计算!$B$11+F481*战斗力计算!$B$12</f>
        <v>208000</v>
      </c>
      <c r="W481" s="5">
        <f>G481*战斗力计算!$B$8+H481*战斗力计算!$B$9+I481*战斗力计算!$B$10+J481*战斗力计算!$B$11+K481*战斗力计算!$B$12+L481*战斗力计算!$B$8+M481*战斗力计算!$B$9+N481*战斗力计算!$B$10+O481*战斗力计算!$B$11+P481*战斗力计算!$B$12</f>
        <v>1248000</v>
      </c>
      <c r="X481" s="5">
        <f t="shared" ref="X481:X544" si="189">V481+W481</f>
        <v>1456000</v>
      </c>
      <c r="AC481">
        <f t="shared" si="168"/>
        <v>4</v>
      </c>
      <c r="AD481">
        <f t="shared" si="169"/>
        <v>2</v>
      </c>
      <c r="AF481">
        <f t="shared" si="170"/>
        <v>0.75</v>
      </c>
      <c r="AH481">
        <f t="shared" si="171"/>
        <v>12</v>
      </c>
      <c r="AK481">
        <f t="shared" si="172"/>
        <v>6.0254237288135597</v>
      </c>
      <c r="AL481">
        <f t="shared" si="173"/>
        <v>1.5021186440677967</v>
      </c>
      <c r="AM481">
        <f t="shared" si="174"/>
        <v>1</v>
      </c>
      <c r="AN481">
        <f t="shared" si="175"/>
        <v>6.0254237288135597</v>
      </c>
      <c r="AO481">
        <f t="shared" si="176"/>
        <v>1.5021186440677967</v>
      </c>
      <c r="AP481">
        <f t="shared" si="177"/>
        <v>1</v>
      </c>
      <c r="AR481">
        <f t="shared" si="178"/>
        <v>4.4968287526427062</v>
      </c>
      <c r="AT481">
        <f t="shared" si="179"/>
        <v>4.4968287526427062</v>
      </c>
      <c r="AV481">
        <f t="shared" si="180"/>
        <v>4963</v>
      </c>
      <c r="AW481">
        <f t="shared" si="181"/>
        <v>9217</v>
      </c>
    </row>
    <row r="482" spans="1:49" x14ac:dyDescent="0.15">
      <c r="A482" s="5">
        <v>472</v>
      </c>
      <c r="B482" s="5">
        <f t="shared" si="167"/>
        <v>28500</v>
      </c>
      <c r="C482" s="5">
        <f t="shared" si="166"/>
        <v>7105</v>
      </c>
      <c r="D482" s="5">
        <f t="shared" si="166"/>
        <v>4730</v>
      </c>
      <c r="E482" s="5">
        <f t="shared" si="166"/>
        <v>1422</v>
      </c>
      <c r="F482" s="5">
        <f t="shared" si="166"/>
        <v>1896</v>
      </c>
      <c r="G482" s="5">
        <f t="shared" si="182"/>
        <v>114000</v>
      </c>
      <c r="H482" s="5">
        <f t="shared" si="182"/>
        <v>28420</v>
      </c>
      <c r="I482" s="5">
        <f t="shared" si="182"/>
        <v>18920</v>
      </c>
      <c r="J482" s="5">
        <f t="shared" si="182"/>
        <v>5688</v>
      </c>
      <c r="K482" s="5">
        <f t="shared" si="182"/>
        <v>7584</v>
      </c>
      <c r="L482" s="5">
        <f t="shared" si="183"/>
        <v>57000</v>
      </c>
      <c r="M482" s="5">
        <f t="shared" si="183"/>
        <v>14210</v>
      </c>
      <c r="N482" s="5">
        <f t="shared" si="183"/>
        <v>9460</v>
      </c>
      <c r="O482" s="5">
        <f t="shared" si="183"/>
        <v>2844</v>
      </c>
      <c r="P482" s="5">
        <f t="shared" si="183"/>
        <v>3792</v>
      </c>
      <c r="Q482" s="5">
        <f t="shared" si="184"/>
        <v>199500</v>
      </c>
      <c r="R482" s="5">
        <f t="shared" si="185"/>
        <v>49735</v>
      </c>
      <c r="S482" s="5">
        <f t="shared" si="186"/>
        <v>33110</v>
      </c>
      <c r="T482" s="5">
        <f t="shared" si="187"/>
        <v>9954</v>
      </c>
      <c r="U482" s="5">
        <f t="shared" si="188"/>
        <v>13272</v>
      </c>
      <c r="V482" s="5">
        <f>B482*战斗力计算!$B$8+C482*战斗力计算!$B$9+D482*战斗力计算!$B$10+E482*战斗力计算!$B$11+F482*战斗力计算!$B$12</f>
        <v>208440</v>
      </c>
      <c r="W482" s="5">
        <f>G482*战斗力计算!$B$8+H482*战斗力计算!$B$9+I482*战斗力计算!$B$10+J482*战斗力计算!$B$11+K482*战斗力计算!$B$12+L482*战斗力计算!$B$8+M482*战斗力计算!$B$9+N482*战斗力计算!$B$10+O482*战斗力计算!$B$11+P482*战斗力计算!$B$12</f>
        <v>1250640</v>
      </c>
      <c r="X482" s="5">
        <f t="shared" si="189"/>
        <v>1459080</v>
      </c>
      <c r="AC482">
        <f t="shared" si="168"/>
        <v>4</v>
      </c>
      <c r="AD482">
        <f t="shared" si="169"/>
        <v>2</v>
      </c>
      <c r="AF482">
        <f t="shared" si="170"/>
        <v>0.75</v>
      </c>
      <c r="AH482">
        <f t="shared" si="171"/>
        <v>12</v>
      </c>
      <c r="AK482">
        <f t="shared" si="172"/>
        <v>6.0253699788583512</v>
      </c>
      <c r="AL482">
        <f t="shared" si="173"/>
        <v>1.5021141649048626</v>
      </c>
      <c r="AM482">
        <f t="shared" si="174"/>
        <v>1</v>
      </c>
      <c r="AN482">
        <f t="shared" si="175"/>
        <v>6.0253699788583512</v>
      </c>
      <c r="AO482">
        <f t="shared" si="176"/>
        <v>1.5021141649048626</v>
      </c>
      <c r="AP482">
        <f t="shared" si="177"/>
        <v>1</v>
      </c>
      <c r="AR482">
        <f t="shared" si="178"/>
        <v>4.4968354430379751</v>
      </c>
      <c r="AT482">
        <f t="shared" si="179"/>
        <v>4.4968354430379751</v>
      </c>
      <c r="AV482">
        <f t="shared" si="180"/>
        <v>4973</v>
      </c>
      <c r="AW482">
        <f t="shared" si="181"/>
        <v>9236</v>
      </c>
    </row>
    <row r="483" spans="1:49" x14ac:dyDescent="0.15">
      <c r="A483" s="5">
        <v>473</v>
      </c>
      <c r="B483" s="5">
        <f t="shared" si="167"/>
        <v>28560</v>
      </c>
      <c r="C483" s="5">
        <f t="shared" si="166"/>
        <v>7120</v>
      </c>
      <c r="D483" s="5">
        <f t="shared" si="166"/>
        <v>4740</v>
      </c>
      <c r="E483" s="5">
        <f t="shared" si="166"/>
        <v>1425</v>
      </c>
      <c r="F483" s="5">
        <f t="shared" si="166"/>
        <v>1900</v>
      </c>
      <c r="G483" s="5">
        <f t="shared" si="182"/>
        <v>114240</v>
      </c>
      <c r="H483" s="5">
        <f t="shared" si="182"/>
        <v>28480</v>
      </c>
      <c r="I483" s="5">
        <f t="shared" si="182"/>
        <v>18960</v>
      </c>
      <c r="J483" s="5">
        <f t="shared" si="182"/>
        <v>5700</v>
      </c>
      <c r="K483" s="5">
        <f t="shared" si="182"/>
        <v>7600</v>
      </c>
      <c r="L483" s="5">
        <f t="shared" si="183"/>
        <v>57120</v>
      </c>
      <c r="M483" s="5">
        <f t="shared" si="183"/>
        <v>14240</v>
      </c>
      <c r="N483" s="5">
        <f t="shared" si="183"/>
        <v>9480</v>
      </c>
      <c r="O483" s="5">
        <f t="shared" si="183"/>
        <v>2850</v>
      </c>
      <c r="P483" s="5">
        <f t="shared" si="183"/>
        <v>3800</v>
      </c>
      <c r="Q483" s="5">
        <f t="shared" si="184"/>
        <v>199920</v>
      </c>
      <c r="R483" s="5">
        <f t="shared" si="185"/>
        <v>49840</v>
      </c>
      <c r="S483" s="5">
        <f t="shared" si="186"/>
        <v>33180</v>
      </c>
      <c r="T483" s="5">
        <f t="shared" si="187"/>
        <v>9975</v>
      </c>
      <c r="U483" s="5">
        <f t="shared" si="188"/>
        <v>13300</v>
      </c>
      <c r="V483" s="5">
        <f>B483*战斗力计算!$B$8+C483*战斗力计算!$B$9+D483*战斗力计算!$B$10+E483*战斗力计算!$B$11+F483*战斗力计算!$B$12</f>
        <v>208880</v>
      </c>
      <c r="W483" s="5">
        <f>G483*战斗力计算!$B$8+H483*战斗力计算!$B$9+I483*战斗力计算!$B$10+J483*战斗力计算!$B$11+K483*战斗力计算!$B$12+L483*战斗力计算!$B$8+M483*战斗力计算!$B$9+N483*战斗力计算!$B$10+O483*战斗力计算!$B$11+P483*战斗力计算!$B$12</f>
        <v>1253280</v>
      </c>
      <c r="X483" s="5">
        <f t="shared" si="189"/>
        <v>1462160</v>
      </c>
      <c r="AC483">
        <f t="shared" si="168"/>
        <v>4</v>
      </c>
      <c r="AD483">
        <f t="shared" si="169"/>
        <v>2</v>
      </c>
      <c r="AF483">
        <f t="shared" si="170"/>
        <v>0.75</v>
      </c>
      <c r="AH483">
        <f t="shared" si="171"/>
        <v>12</v>
      </c>
      <c r="AK483">
        <f t="shared" si="172"/>
        <v>6.0253164556962027</v>
      </c>
      <c r="AL483">
        <f t="shared" si="173"/>
        <v>1.5021097046413503</v>
      </c>
      <c r="AM483">
        <f t="shared" si="174"/>
        <v>1</v>
      </c>
      <c r="AN483">
        <f t="shared" si="175"/>
        <v>6.0253164556962027</v>
      </c>
      <c r="AO483">
        <f t="shared" si="176"/>
        <v>1.5021097046413503</v>
      </c>
      <c r="AP483">
        <f t="shared" si="177"/>
        <v>1</v>
      </c>
      <c r="AR483">
        <f t="shared" si="178"/>
        <v>4.4968421052631582</v>
      </c>
      <c r="AT483">
        <f t="shared" si="179"/>
        <v>4.4968421052631582</v>
      </c>
      <c r="AV483">
        <f t="shared" si="180"/>
        <v>4984</v>
      </c>
      <c r="AW483">
        <f t="shared" si="181"/>
        <v>9256</v>
      </c>
    </row>
    <row r="484" spans="1:49" x14ac:dyDescent="0.15">
      <c r="A484" s="5">
        <v>474</v>
      </c>
      <c r="B484" s="5">
        <f t="shared" si="167"/>
        <v>28620</v>
      </c>
      <c r="C484" s="5">
        <f t="shared" si="166"/>
        <v>7135</v>
      </c>
      <c r="D484" s="5">
        <f t="shared" si="166"/>
        <v>4750</v>
      </c>
      <c r="E484" s="5">
        <f t="shared" si="166"/>
        <v>1428</v>
      </c>
      <c r="F484" s="5">
        <f t="shared" si="166"/>
        <v>1904</v>
      </c>
      <c r="G484" s="5">
        <f t="shared" si="182"/>
        <v>114480</v>
      </c>
      <c r="H484" s="5">
        <f t="shared" si="182"/>
        <v>28540</v>
      </c>
      <c r="I484" s="5">
        <f t="shared" si="182"/>
        <v>19000</v>
      </c>
      <c r="J484" s="5">
        <f t="shared" si="182"/>
        <v>5712</v>
      </c>
      <c r="K484" s="5">
        <f t="shared" si="182"/>
        <v>7616</v>
      </c>
      <c r="L484" s="5">
        <f t="shared" si="183"/>
        <v>57240</v>
      </c>
      <c r="M484" s="5">
        <f t="shared" si="183"/>
        <v>14270</v>
      </c>
      <c r="N484" s="5">
        <f t="shared" si="183"/>
        <v>9500</v>
      </c>
      <c r="O484" s="5">
        <f t="shared" si="183"/>
        <v>2856</v>
      </c>
      <c r="P484" s="5">
        <f t="shared" si="183"/>
        <v>3808</v>
      </c>
      <c r="Q484" s="5">
        <f t="shared" si="184"/>
        <v>200340</v>
      </c>
      <c r="R484" s="5">
        <f t="shared" si="185"/>
        <v>49945</v>
      </c>
      <c r="S484" s="5">
        <f t="shared" si="186"/>
        <v>33250</v>
      </c>
      <c r="T484" s="5">
        <f t="shared" si="187"/>
        <v>9996</v>
      </c>
      <c r="U484" s="5">
        <f t="shared" si="188"/>
        <v>13328</v>
      </c>
      <c r="V484" s="5">
        <f>B484*战斗力计算!$B$8+C484*战斗力计算!$B$9+D484*战斗力计算!$B$10+E484*战斗力计算!$B$11+F484*战斗力计算!$B$12</f>
        <v>209320</v>
      </c>
      <c r="W484" s="5">
        <f>G484*战斗力计算!$B$8+H484*战斗力计算!$B$9+I484*战斗力计算!$B$10+J484*战斗力计算!$B$11+K484*战斗力计算!$B$12+L484*战斗力计算!$B$8+M484*战斗力计算!$B$9+N484*战斗力计算!$B$10+O484*战斗力计算!$B$11+P484*战斗力计算!$B$12</f>
        <v>1255920</v>
      </c>
      <c r="X484" s="5">
        <f t="shared" si="189"/>
        <v>1465240</v>
      </c>
      <c r="AC484">
        <f t="shared" si="168"/>
        <v>4</v>
      </c>
      <c r="AD484">
        <f t="shared" si="169"/>
        <v>2</v>
      </c>
      <c r="AF484">
        <f t="shared" si="170"/>
        <v>0.75</v>
      </c>
      <c r="AH484">
        <f t="shared" si="171"/>
        <v>12</v>
      </c>
      <c r="AK484">
        <f t="shared" si="172"/>
        <v>6.0252631578947371</v>
      </c>
      <c r="AL484">
        <f t="shared" si="173"/>
        <v>1.5021052631578948</v>
      </c>
      <c r="AM484">
        <f t="shared" si="174"/>
        <v>1</v>
      </c>
      <c r="AN484">
        <f t="shared" si="175"/>
        <v>6.0252631578947371</v>
      </c>
      <c r="AO484">
        <f t="shared" si="176"/>
        <v>1.5021052631578948</v>
      </c>
      <c r="AP484">
        <f t="shared" si="177"/>
        <v>1</v>
      </c>
      <c r="AR484">
        <f t="shared" si="178"/>
        <v>4.4968487394957979</v>
      </c>
      <c r="AT484">
        <f t="shared" si="179"/>
        <v>4.4968487394957979</v>
      </c>
      <c r="AV484">
        <f t="shared" si="180"/>
        <v>4994</v>
      </c>
      <c r="AW484">
        <f t="shared" si="181"/>
        <v>9275</v>
      </c>
    </row>
    <row r="485" spans="1:49" x14ac:dyDescent="0.15">
      <c r="A485" s="5">
        <v>475</v>
      </c>
      <c r="B485" s="5">
        <f t="shared" si="167"/>
        <v>28680</v>
      </c>
      <c r="C485" s="5">
        <f t="shared" si="166"/>
        <v>7150</v>
      </c>
      <c r="D485" s="5">
        <f t="shared" si="166"/>
        <v>4760</v>
      </c>
      <c r="E485" s="5">
        <f t="shared" si="166"/>
        <v>1431</v>
      </c>
      <c r="F485" s="5">
        <f t="shared" si="166"/>
        <v>1908</v>
      </c>
      <c r="G485" s="5">
        <f t="shared" si="182"/>
        <v>114720</v>
      </c>
      <c r="H485" s="5">
        <f t="shared" si="182"/>
        <v>28600</v>
      </c>
      <c r="I485" s="5">
        <f t="shared" si="182"/>
        <v>19040</v>
      </c>
      <c r="J485" s="5">
        <f t="shared" si="182"/>
        <v>5724</v>
      </c>
      <c r="K485" s="5">
        <f t="shared" si="182"/>
        <v>7632</v>
      </c>
      <c r="L485" s="5">
        <f t="shared" si="183"/>
        <v>57360</v>
      </c>
      <c r="M485" s="5">
        <f t="shared" si="183"/>
        <v>14300</v>
      </c>
      <c r="N485" s="5">
        <f t="shared" si="183"/>
        <v>9520</v>
      </c>
      <c r="O485" s="5">
        <f t="shared" si="183"/>
        <v>2862</v>
      </c>
      <c r="P485" s="5">
        <f t="shared" si="183"/>
        <v>3816</v>
      </c>
      <c r="Q485" s="5">
        <f t="shared" si="184"/>
        <v>200760</v>
      </c>
      <c r="R485" s="5">
        <f t="shared" si="185"/>
        <v>50050</v>
      </c>
      <c r="S485" s="5">
        <f t="shared" si="186"/>
        <v>33320</v>
      </c>
      <c r="T485" s="5">
        <f t="shared" si="187"/>
        <v>10017</v>
      </c>
      <c r="U485" s="5">
        <f t="shared" si="188"/>
        <v>13356</v>
      </c>
      <c r="V485" s="5">
        <f>B485*战斗力计算!$B$8+C485*战斗力计算!$B$9+D485*战斗力计算!$B$10+E485*战斗力计算!$B$11+F485*战斗力计算!$B$12</f>
        <v>209760</v>
      </c>
      <c r="W485" s="5">
        <f>G485*战斗力计算!$B$8+H485*战斗力计算!$B$9+I485*战斗力计算!$B$10+J485*战斗力计算!$B$11+K485*战斗力计算!$B$12+L485*战斗力计算!$B$8+M485*战斗力计算!$B$9+N485*战斗力计算!$B$10+O485*战斗力计算!$B$11+P485*战斗力计算!$B$12</f>
        <v>1258560</v>
      </c>
      <c r="X485" s="5">
        <f t="shared" si="189"/>
        <v>1468320</v>
      </c>
      <c r="AC485">
        <f t="shared" si="168"/>
        <v>4</v>
      </c>
      <c r="AD485">
        <f t="shared" si="169"/>
        <v>2</v>
      </c>
      <c r="AF485">
        <f t="shared" si="170"/>
        <v>0.75</v>
      </c>
      <c r="AH485">
        <f t="shared" si="171"/>
        <v>12</v>
      </c>
      <c r="AK485">
        <f t="shared" si="172"/>
        <v>6.0252100840336134</v>
      </c>
      <c r="AL485">
        <f t="shared" si="173"/>
        <v>1.5021008403361344</v>
      </c>
      <c r="AM485">
        <f t="shared" si="174"/>
        <v>1</v>
      </c>
      <c r="AN485">
        <f t="shared" si="175"/>
        <v>6.0252100840336134</v>
      </c>
      <c r="AO485">
        <f t="shared" si="176"/>
        <v>1.5021008403361344</v>
      </c>
      <c r="AP485">
        <f t="shared" si="177"/>
        <v>1</v>
      </c>
      <c r="AR485">
        <f t="shared" si="178"/>
        <v>4.4968553459119498</v>
      </c>
      <c r="AT485">
        <f t="shared" si="179"/>
        <v>4.4968553459119498</v>
      </c>
      <c r="AV485">
        <f t="shared" si="180"/>
        <v>5005</v>
      </c>
      <c r="AW485">
        <f t="shared" si="181"/>
        <v>9295</v>
      </c>
    </row>
    <row r="486" spans="1:49" x14ac:dyDescent="0.15">
      <c r="A486" s="5">
        <v>476</v>
      </c>
      <c r="B486" s="5">
        <f t="shared" si="167"/>
        <v>28740</v>
      </c>
      <c r="C486" s="5">
        <f t="shared" si="166"/>
        <v>7165</v>
      </c>
      <c r="D486" s="5">
        <f t="shared" si="166"/>
        <v>4770</v>
      </c>
      <c r="E486" s="5">
        <f t="shared" si="166"/>
        <v>1434</v>
      </c>
      <c r="F486" s="5">
        <f t="shared" si="166"/>
        <v>1912</v>
      </c>
      <c r="G486" s="5">
        <f t="shared" si="182"/>
        <v>114960</v>
      </c>
      <c r="H486" s="5">
        <f t="shared" si="182"/>
        <v>28660</v>
      </c>
      <c r="I486" s="5">
        <f t="shared" si="182"/>
        <v>19080</v>
      </c>
      <c r="J486" s="5">
        <f t="shared" si="182"/>
        <v>5736</v>
      </c>
      <c r="K486" s="5">
        <f t="shared" si="182"/>
        <v>7648</v>
      </c>
      <c r="L486" s="5">
        <f t="shared" si="183"/>
        <v>57480</v>
      </c>
      <c r="M486" s="5">
        <f t="shared" si="183"/>
        <v>14330</v>
      </c>
      <c r="N486" s="5">
        <f t="shared" si="183"/>
        <v>9540</v>
      </c>
      <c r="O486" s="5">
        <f t="shared" si="183"/>
        <v>2868</v>
      </c>
      <c r="P486" s="5">
        <f t="shared" si="183"/>
        <v>3824</v>
      </c>
      <c r="Q486" s="5">
        <f t="shared" si="184"/>
        <v>201180</v>
      </c>
      <c r="R486" s="5">
        <f t="shared" si="185"/>
        <v>50155</v>
      </c>
      <c r="S486" s="5">
        <f t="shared" si="186"/>
        <v>33390</v>
      </c>
      <c r="T486" s="5">
        <f t="shared" si="187"/>
        <v>10038</v>
      </c>
      <c r="U486" s="5">
        <f t="shared" si="188"/>
        <v>13384</v>
      </c>
      <c r="V486" s="5">
        <f>B486*战斗力计算!$B$8+C486*战斗力计算!$B$9+D486*战斗力计算!$B$10+E486*战斗力计算!$B$11+F486*战斗力计算!$B$12</f>
        <v>210200</v>
      </c>
      <c r="W486" s="5">
        <f>G486*战斗力计算!$B$8+H486*战斗力计算!$B$9+I486*战斗力计算!$B$10+J486*战斗力计算!$B$11+K486*战斗力计算!$B$12+L486*战斗力计算!$B$8+M486*战斗力计算!$B$9+N486*战斗力计算!$B$10+O486*战斗力计算!$B$11+P486*战斗力计算!$B$12</f>
        <v>1261200</v>
      </c>
      <c r="X486" s="5">
        <f t="shared" si="189"/>
        <v>1471400</v>
      </c>
      <c r="AC486">
        <f t="shared" si="168"/>
        <v>4</v>
      </c>
      <c r="AD486">
        <f t="shared" si="169"/>
        <v>2</v>
      </c>
      <c r="AF486">
        <f t="shared" si="170"/>
        <v>0.75</v>
      </c>
      <c r="AH486">
        <f t="shared" si="171"/>
        <v>12</v>
      </c>
      <c r="AK486">
        <f t="shared" si="172"/>
        <v>6.0251572327044025</v>
      </c>
      <c r="AL486">
        <f t="shared" si="173"/>
        <v>1.5020964360587001</v>
      </c>
      <c r="AM486">
        <f t="shared" si="174"/>
        <v>1</v>
      </c>
      <c r="AN486">
        <f t="shared" si="175"/>
        <v>6.0251572327044025</v>
      </c>
      <c r="AO486">
        <f t="shared" si="176"/>
        <v>1.5020964360587001</v>
      </c>
      <c r="AP486">
        <f t="shared" si="177"/>
        <v>1</v>
      </c>
      <c r="AR486">
        <f t="shared" si="178"/>
        <v>4.4968619246861925</v>
      </c>
      <c r="AT486">
        <f t="shared" si="179"/>
        <v>4.4968619246861925</v>
      </c>
      <c r="AV486">
        <f t="shared" si="180"/>
        <v>5015</v>
      </c>
      <c r="AW486">
        <f t="shared" si="181"/>
        <v>9314</v>
      </c>
    </row>
    <row r="487" spans="1:49" x14ac:dyDescent="0.15">
      <c r="A487" s="5">
        <v>477</v>
      </c>
      <c r="B487" s="5">
        <f t="shared" si="167"/>
        <v>28800</v>
      </c>
      <c r="C487" s="5">
        <f t="shared" si="166"/>
        <v>7180</v>
      </c>
      <c r="D487" s="5">
        <f t="shared" si="166"/>
        <v>4780</v>
      </c>
      <c r="E487" s="5">
        <f t="shared" si="166"/>
        <v>1437</v>
      </c>
      <c r="F487" s="5">
        <f t="shared" si="166"/>
        <v>1916</v>
      </c>
      <c r="G487" s="5">
        <f t="shared" si="182"/>
        <v>115200</v>
      </c>
      <c r="H487" s="5">
        <f t="shared" si="182"/>
        <v>28720</v>
      </c>
      <c r="I487" s="5">
        <f t="shared" si="182"/>
        <v>19120</v>
      </c>
      <c r="J487" s="5">
        <f t="shared" si="182"/>
        <v>5748</v>
      </c>
      <c r="K487" s="5">
        <f t="shared" si="182"/>
        <v>7664</v>
      </c>
      <c r="L487" s="5">
        <f t="shared" si="183"/>
        <v>57600</v>
      </c>
      <c r="M487" s="5">
        <f t="shared" si="183"/>
        <v>14360</v>
      </c>
      <c r="N487" s="5">
        <f t="shared" si="183"/>
        <v>9560</v>
      </c>
      <c r="O487" s="5">
        <f t="shared" si="183"/>
        <v>2874</v>
      </c>
      <c r="P487" s="5">
        <f t="shared" si="183"/>
        <v>3832</v>
      </c>
      <c r="Q487" s="5">
        <f t="shared" si="184"/>
        <v>201600</v>
      </c>
      <c r="R487" s="5">
        <f t="shared" si="185"/>
        <v>50260</v>
      </c>
      <c r="S487" s="5">
        <f t="shared" si="186"/>
        <v>33460</v>
      </c>
      <c r="T487" s="5">
        <f t="shared" si="187"/>
        <v>10059</v>
      </c>
      <c r="U487" s="5">
        <f t="shared" si="188"/>
        <v>13412</v>
      </c>
      <c r="V487" s="5">
        <f>B487*战斗力计算!$B$8+C487*战斗力计算!$B$9+D487*战斗力计算!$B$10+E487*战斗力计算!$B$11+F487*战斗力计算!$B$12</f>
        <v>210640</v>
      </c>
      <c r="W487" s="5">
        <f>G487*战斗力计算!$B$8+H487*战斗力计算!$B$9+I487*战斗力计算!$B$10+J487*战斗力计算!$B$11+K487*战斗力计算!$B$12+L487*战斗力计算!$B$8+M487*战斗力计算!$B$9+N487*战斗力计算!$B$10+O487*战斗力计算!$B$11+P487*战斗力计算!$B$12</f>
        <v>1263840</v>
      </c>
      <c r="X487" s="5">
        <f t="shared" si="189"/>
        <v>1474480</v>
      </c>
      <c r="AC487">
        <f t="shared" si="168"/>
        <v>4</v>
      </c>
      <c r="AD487">
        <f t="shared" si="169"/>
        <v>2</v>
      </c>
      <c r="AF487">
        <f t="shared" si="170"/>
        <v>0.75</v>
      </c>
      <c r="AH487">
        <f t="shared" si="171"/>
        <v>12</v>
      </c>
      <c r="AK487">
        <f t="shared" si="172"/>
        <v>6.02510460251046</v>
      </c>
      <c r="AL487">
        <f t="shared" si="173"/>
        <v>1.502092050209205</v>
      </c>
      <c r="AM487">
        <f t="shared" si="174"/>
        <v>1</v>
      </c>
      <c r="AN487">
        <f t="shared" si="175"/>
        <v>6.02510460251046</v>
      </c>
      <c r="AO487">
        <f t="shared" si="176"/>
        <v>1.502092050209205</v>
      </c>
      <c r="AP487">
        <f t="shared" si="177"/>
        <v>1</v>
      </c>
      <c r="AR487">
        <f t="shared" si="178"/>
        <v>4.4968684759916489</v>
      </c>
      <c r="AT487">
        <f t="shared" si="179"/>
        <v>4.4968684759916489</v>
      </c>
      <c r="AV487">
        <f t="shared" si="180"/>
        <v>5026</v>
      </c>
      <c r="AW487">
        <f t="shared" si="181"/>
        <v>9334</v>
      </c>
    </row>
    <row r="488" spans="1:49" x14ac:dyDescent="0.15">
      <c r="A488" s="5">
        <v>478</v>
      </c>
      <c r="B488" s="5">
        <f t="shared" si="167"/>
        <v>28860</v>
      </c>
      <c r="C488" s="5">
        <f t="shared" si="166"/>
        <v>7195</v>
      </c>
      <c r="D488" s="5">
        <f t="shared" si="166"/>
        <v>4790</v>
      </c>
      <c r="E488" s="5">
        <f t="shared" si="166"/>
        <v>1440</v>
      </c>
      <c r="F488" s="5">
        <f t="shared" si="166"/>
        <v>1920</v>
      </c>
      <c r="G488" s="5">
        <f t="shared" si="182"/>
        <v>115440</v>
      </c>
      <c r="H488" s="5">
        <f t="shared" si="182"/>
        <v>28780</v>
      </c>
      <c r="I488" s="5">
        <f t="shared" si="182"/>
        <v>19160</v>
      </c>
      <c r="J488" s="5">
        <f t="shared" si="182"/>
        <v>5760</v>
      </c>
      <c r="K488" s="5">
        <f t="shared" si="182"/>
        <v>7680</v>
      </c>
      <c r="L488" s="5">
        <f t="shared" si="183"/>
        <v>57720</v>
      </c>
      <c r="M488" s="5">
        <f t="shared" si="183"/>
        <v>14390</v>
      </c>
      <c r="N488" s="5">
        <f t="shared" si="183"/>
        <v>9580</v>
      </c>
      <c r="O488" s="5">
        <f t="shared" si="183"/>
        <v>2880</v>
      </c>
      <c r="P488" s="5">
        <f t="shared" si="183"/>
        <v>3840</v>
      </c>
      <c r="Q488" s="5">
        <f t="shared" si="184"/>
        <v>202020</v>
      </c>
      <c r="R488" s="5">
        <f t="shared" si="185"/>
        <v>50365</v>
      </c>
      <c r="S488" s="5">
        <f t="shared" si="186"/>
        <v>33530</v>
      </c>
      <c r="T488" s="5">
        <f t="shared" si="187"/>
        <v>10080</v>
      </c>
      <c r="U488" s="5">
        <f t="shared" si="188"/>
        <v>13440</v>
      </c>
      <c r="V488" s="5">
        <f>B488*战斗力计算!$B$8+C488*战斗力计算!$B$9+D488*战斗力计算!$B$10+E488*战斗力计算!$B$11+F488*战斗力计算!$B$12</f>
        <v>211080</v>
      </c>
      <c r="W488" s="5">
        <f>G488*战斗力计算!$B$8+H488*战斗力计算!$B$9+I488*战斗力计算!$B$10+J488*战斗力计算!$B$11+K488*战斗力计算!$B$12+L488*战斗力计算!$B$8+M488*战斗力计算!$B$9+N488*战斗力计算!$B$10+O488*战斗力计算!$B$11+P488*战斗力计算!$B$12</f>
        <v>1266480</v>
      </c>
      <c r="X488" s="5">
        <f t="shared" si="189"/>
        <v>1477560</v>
      </c>
      <c r="AC488">
        <f t="shared" si="168"/>
        <v>4</v>
      </c>
      <c r="AD488">
        <f t="shared" si="169"/>
        <v>2</v>
      </c>
      <c r="AF488">
        <f t="shared" si="170"/>
        <v>0.75</v>
      </c>
      <c r="AH488">
        <f t="shared" si="171"/>
        <v>12</v>
      </c>
      <c r="AK488">
        <f t="shared" si="172"/>
        <v>6.0250521920668056</v>
      </c>
      <c r="AL488">
        <f t="shared" si="173"/>
        <v>1.5020876826722338</v>
      </c>
      <c r="AM488">
        <f t="shared" si="174"/>
        <v>1</v>
      </c>
      <c r="AN488">
        <f t="shared" si="175"/>
        <v>6.0250521920668056</v>
      </c>
      <c r="AO488">
        <f t="shared" si="176"/>
        <v>1.5020876826722338</v>
      </c>
      <c r="AP488">
        <f t="shared" si="177"/>
        <v>1</v>
      </c>
      <c r="AR488">
        <f t="shared" si="178"/>
        <v>4.4968750000000002</v>
      </c>
      <c r="AT488">
        <f t="shared" si="179"/>
        <v>4.4968750000000002</v>
      </c>
      <c r="AV488">
        <f t="shared" si="180"/>
        <v>5036</v>
      </c>
      <c r="AW488">
        <f t="shared" si="181"/>
        <v>9353</v>
      </c>
    </row>
    <row r="489" spans="1:49" x14ac:dyDescent="0.15">
      <c r="A489" s="5">
        <v>479</v>
      </c>
      <c r="B489" s="5">
        <f t="shared" si="167"/>
        <v>28920</v>
      </c>
      <c r="C489" s="5">
        <f t="shared" si="166"/>
        <v>7210</v>
      </c>
      <c r="D489" s="5">
        <f t="shared" si="166"/>
        <v>4800</v>
      </c>
      <c r="E489" s="5">
        <f t="shared" si="166"/>
        <v>1443</v>
      </c>
      <c r="F489" s="5">
        <f t="shared" si="166"/>
        <v>1924</v>
      </c>
      <c r="G489" s="5">
        <f t="shared" si="182"/>
        <v>115680</v>
      </c>
      <c r="H489" s="5">
        <f t="shared" si="182"/>
        <v>28840</v>
      </c>
      <c r="I489" s="5">
        <f t="shared" si="182"/>
        <v>19200</v>
      </c>
      <c r="J489" s="5">
        <f t="shared" si="182"/>
        <v>5772</v>
      </c>
      <c r="K489" s="5">
        <f t="shared" si="182"/>
        <v>7696</v>
      </c>
      <c r="L489" s="5">
        <f t="shared" si="183"/>
        <v>57840</v>
      </c>
      <c r="M489" s="5">
        <f t="shared" si="183"/>
        <v>14420</v>
      </c>
      <c r="N489" s="5">
        <f t="shared" si="183"/>
        <v>9600</v>
      </c>
      <c r="O489" s="5">
        <f t="shared" si="183"/>
        <v>2886</v>
      </c>
      <c r="P489" s="5">
        <f t="shared" si="183"/>
        <v>3848</v>
      </c>
      <c r="Q489" s="5">
        <f t="shared" si="184"/>
        <v>202440</v>
      </c>
      <c r="R489" s="5">
        <f t="shared" si="185"/>
        <v>50470</v>
      </c>
      <c r="S489" s="5">
        <f t="shared" si="186"/>
        <v>33600</v>
      </c>
      <c r="T489" s="5">
        <f t="shared" si="187"/>
        <v>10101</v>
      </c>
      <c r="U489" s="5">
        <f t="shared" si="188"/>
        <v>13468</v>
      </c>
      <c r="V489" s="5">
        <f>B489*战斗力计算!$B$8+C489*战斗力计算!$B$9+D489*战斗力计算!$B$10+E489*战斗力计算!$B$11+F489*战斗力计算!$B$12</f>
        <v>211520</v>
      </c>
      <c r="W489" s="5">
        <f>G489*战斗力计算!$B$8+H489*战斗力计算!$B$9+I489*战斗力计算!$B$10+J489*战斗力计算!$B$11+K489*战斗力计算!$B$12+L489*战斗力计算!$B$8+M489*战斗力计算!$B$9+N489*战斗力计算!$B$10+O489*战斗力计算!$B$11+P489*战斗力计算!$B$12</f>
        <v>1269120</v>
      </c>
      <c r="X489" s="5">
        <f t="shared" si="189"/>
        <v>1480640</v>
      </c>
      <c r="AC489">
        <f t="shared" si="168"/>
        <v>4</v>
      </c>
      <c r="AD489">
        <f t="shared" si="169"/>
        <v>2</v>
      </c>
      <c r="AF489">
        <f t="shared" si="170"/>
        <v>0.75</v>
      </c>
      <c r="AH489">
        <f t="shared" si="171"/>
        <v>12</v>
      </c>
      <c r="AK489">
        <f t="shared" si="172"/>
        <v>6.0250000000000004</v>
      </c>
      <c r="AL489">
        <f t="shared" si="173"/>
        <v>1.5020833333333334</v>
      </c>
      <c r="AM489">
        <f t="shared" si="174"/>
        <v>1</v>
      </c>
      <c r="AN489">
        <f t="shared" si="175"/>
        <v>6.0250000000000004</v>
      </c>
      <c r="AO489">
        <f t="shared" si="176"/>
        <v>1.5020833333333334</v>
      </c>
      <c r="AP489">
        <f t="shared" si="177"/>
        <v>1</v>
      </c>
      <c r="AR489">
        <f t="shared" si="178"/>
        <v>4.496881496881497</v>
      </c>
      <c r="AT489">
        <f t="shared" si="179"/>
        <v>4.496881496881497</v>
      </c>
      <c r="AV489">
        <f t="shared" si="180"/>
        <v>5047</v>
      </c>
      <c r="AW489">
        <f t="shared" si="181"/>
        <v>9373</v>
      </c>
    </row>
    <row r="490" spans="1:49" x14ac:dyDescent="0.15">
      <c r="A490" s="5">
        <v>480</v>
      </c>
      <c r="B490" s="5">
        <f t="shared" si="167"/>
        <v>28980</v>
      </c>
      <c r="C490" s="5">
        <f t="shared" si="166"/>
        <v>7225</v>
      </c>
      <c r="D490" s="5">
        <f t="shared" si="166"/>
        <v>4810</v>
      </c>
      <c r="E490" s="5">
        <f t="shared" si="166"/>
        <v>1446</v>
      </c>
      <c r="F490" s="5">
        <f t="shared" si="166"/>
        <v>1928</v>
      </c>
      <c r="G490" s="5">
        <f t="shared" si="182"/>
        <v>115920</v>
      </c>
      <c r="H490" s="5">
        <f t="shared" si="182"/>
        <v>28900</v>
      </c>
      <c r="I490" s="5">
        <f t="shared" si="182"/>
        <v>19240</v>
      </c>
      <c r="J490" s="5">
        <f t="shared" si="182"/>
        <v>5784</v>
      </c>
      <c r="K490" s="5">
        <f t="shared" si="182"/>
        <v>7712</v>
      </c>
      <c r="L490" s="5">
        <f t="shared" si="183"/>
        <v>57960</v>
      </c>
      <c r="M490" s="5">
        <f t="shared" si="183"/>
        <v>14450</v>
      </c>
      <c r="N490" s="5">
        <f t="shared" si="183"/>
        <v>9620</v>
      </c>
      <c r="O490" s="5">
        <f t="shared" si="183"/>
        <v>2892</v>
      </c>
      <c r="P490" s="5">
        <f t="shared" si="183"/>
        <v>3856</v>
      </c>
      <c r="Q490" s="5">
        <f t="shared" si="184"/>
        <v>202860</v>
      </c>
      <c r="R490" s="5">
        <f t="shared" si="185"/>
        <v>50575</v>
      </c>
      <c r="S490" s="5">
        <f t="shared" si="186"/>
        <v>33670</v>
      </c>
      <c r="T490" s="5">
        <f t="shared" si="187"/>
        <v>10122</v>
      </c>
      <c r="U490" s="5">
        <f t="shared" si="188"/>
        <v>13496</v>
      </c>
      <c r="V490" s="5">
        <f>B490*战斗力计算!$B$8+C490*战斗力计算!$B$9+D490*战斗力计算!$B$10+E490*战斗力计算!$B$11+F490*战斗力计算!$B$12</f>
        <v>211960</v>
      </c>
      <c r="W490" s="5">
        <f>G490*战斗力计算!$B$8+H490*战斗力计算!$B$9+I490*战斗力计算!$B$10+J490*战斗力计算!$B$11+K490*战斗力计算!$B$12+L490*战斗力计算!$B$8+M490*战斗力计算!$B$9+N490*战斗力计算!$B$10+O490*战斗力计算!$B$11+P490*战斗力计算!$B$12</f>
        <v>1271760</v>
      </c>
      <c r="X490" s="5">
        <f t="shared" si="189"/>
        <v>1483720</v>
      </c>
      <c r="AC490">
        <f t="shared" si="168"/>
        <v>4</v>
      </c>
      <c r="AD490">
        <f t="shared" si="169"/>
        <v>2</v>
      </c>
      <c r="AF490">
        <f t="shared" si="170"/>
        <v>0.75</v>
      </c>
      <c r="AH490">
        <f t="shared" si="171"/>
        <v>12</v>
      </c>
      <c r="AK490">
        <f t="shared" si="172"/>
        <v>6.0249480249480252</v>
      </c>
      <c r="AL490">
        <f t="shared" si="173"/>
        <v>1.502079002079002</v>
      </c>
      <c r="AM490">
        <f t="shared" si="174"/>
        <v>1</v>
      </c>
      <c r="AN490">
        <f t="shared" si="175"/>
        <v>6.0249480249480252</v>
      </c>
      <c r="AO490">
        <f t="shared" si="176"/>
        <v>1.502079002079002</v>
      </c>
      <c r="AP490">
        <f t="shared" si="177"/>
        <v>1</v>
      </c>
      <c r="AR490">
        <f t="shared" si="178"/>
        <v>4.4968879668049793</v>
      </c>
      <c r="AT490">
        <f t="shared" si="179"/>
        <v>4.4968879668049793</v>
      </c>
      <c r="AV490">
        <f t="shared" si="180"/>
        <v>5057</v>
      </c>
      <c r="AW490">
        <f t="shared" si="181"/>
        <v>9392</v>
      </c>
    </row>
    <row r="491" spans="1:49" x14ac:dyDescent="0.15">
      <c r="A491" s="5">
        <v>481</v>
      </c>
      <c r="B491" s="5">
        <f t="shared" si="167"/>
        <v>29040</v>
      </c>
      <c r="C491" s="5">
        <f t="shared" si="166"/>
        <v>7240</v>
      </c>
      <c r="D491" s="5">
        <f t="shared" si="166"/>
        <v>4820</v>
      </c>
      <c r="E491" s="5">
        <f t="shared" si="166"/>
        <v>1449</v>
      </c>
      <c r="F491" s="5">
        <f t="shared" si="166"/>
        <v>1932</v>
      </c>
      <c r="G491" s="5">
        <f t="shared" si="182"/>
        <v>116160</v>
      </c>
      <c r="H491" s="5">
        <f t="shared" si="182"/>
        <v>28960</v>
      </c>
      <c r="I491" s="5">
        <f t="shared" si="182"/>
        <v>19280</v>
      </c>
      <c r="J491" s="5">
        <f t="shared" si="182"/>
        <v>5796</v>
      </c>
      <c r="K491" s="5">
        <f t="shared" si="182"/>
        <v>7728</v>
      </c>
      <c r="L491" s="5">
        <f t="shared" si="183"/>
        <v>58080</v>
      </c>
      <c r="M491" s="5">
        <f t="shared" si="183"/>
        <v>14480</v>
      </c>
      <c r="N491" s="5">
        <f t="shared" si="183"/>
        <v>9640</v>
      </c>
      <c r="O491" s="5">
        <f t="shared" si="183"/>
        <v>2898</v>
      </c>
      <c r="P491" s="5">
        <f t="shared" si="183"/>
        <v>3864</v>
      </c>
      <c r="Q491" s="5">
        <f t="shared" si="184"/>
        <v>203280</v>
      </c>
      <c r="R491" s="5">
        <f t="shared" si="185"/>
        <v>50680</v>
      </c>
      <c r="S491" s="5">
        <f t="shared" si="186"/>
        <v>33740</v>
      </c>
      <c r="T491" s="5">
        <f t="shared" si="187"/>
        <v>10143</v>
      </c>
      <c r="U491" s="5">
        <f t="shared" si="188"/>
        <v>13524</v>
      </c>
      <c r="V491" s="5">
        <f>B491*战斗力计算!$B$8+C491*战斗力计算!$B$9+D491*战斗力计算!$B$10+E491*战斗力计算!$B$11+F491*战斗力计算!$B$12</f>
        <v>212400</v>
      </c>
      <c r="W491" s="5">
        <f>G491*战斗力计算!$B$8+H491*战斗力计算!$B$9+I491*战斗力计算!$B$10+J491*战斗力计算!$B$11+K491*战斗力计算!$B$12+L491*战斗力计算!$B$8+M491*战斗力计算!$B$9+N491*战斗力计算!$B$10+O491*战斗力计算!$B$11+P491*战斗力计算!$B$12</f>
        <v>1274400</v>
      </c>
      <c r="X491" s="5">
        <f t="shared" si="189"/>
        <v>1486800</v>
      </c>
      <c r="AC491">
        <f t="shared" si="168"/>
        <v>4</v>
      </c>
      <c r="AD491">
        <f t="shared" si="169"/>
        <v>2</v>
      </c>
      <c r="AF491">
        <f t="shared" si="170"/>
        <v>0.75</v>
      </c>
      <c r="AH491">
        <f t="shared" si="171"/>
        <v>12</v>
      </c>
      <c r="AK491">
        <f t="shared" si="172"/>
        <v>6.0248962655601659</v>
      </c>
      <c r="AL491">
        <f t="shared" si="173"/>
        <v>1.5020746887966805</v>
      </c>
      <c r="AM491">
        <f t="shared" si="174"/>
        <v>1</v>
      </c>
      <c r="AN491">
        <f t="shared" si="175"/>
        <v>6.0248962655601659</v>
      </c>
      <c r="AO491">
        <f t="shared" si="176"/>
        <v>1.5020746887966805</v>
      </c>
      <c r="AP491">
        <f t="shared" si="177"/>
        <v>1</v>
      </c>
      <c r="AR491">
        <f t="shared" si="178"/>
        <v>4.4968944099378882</v>
      </c>
      <c r="AT491">
        <f t="shared" si="179"/>
        <v>4.4968944099378882</v>
      </c>
      <c r="AV491">
        <f t="shared" si="180"/>
        <v>5068</v>
      </c>
      <c r="AW491">
        <f t="shared" si="181"/>
        <v>9412</v>
      </c>
    </row>
    <row r="492" spans="1:49" x14ac:dyDescent="0.15">
      <c r="A492" s="5">
        <v>482</v>
      </c>
      <c r="B492" s="5">
        <f t="shared" si="167"/>
        <v>29100</v>
      </c>
      <c r="C492" s="5">
        <f t="shared" si="166"/>
        <v>7255</v>
      </c>
      <c r="D492" s="5">
        <f t="shared" si="166"/>
        <v>4830</v>
      </c>
      <c r="E492" s="5">
        <f t="shared" si="166"/>
        <v>1452</v>
      </c>
      <c r="F492" s="5">
        <f t="shared" si="166"/>
        <v>1936</v>
      </c>
      <c r="G492" s="5">
        <f t="shared" si="182"/>
        <v>116400</v>
      </c>
      <c r="H492" s="5">
        <f t="shared" si="182"/>
        <v>29020</v>
      </c>
      <c r="I492" s="5">
        <f t="shared" si="182"/>
        <v>19320</v>
      </c>
      <c r="J492" s="5">
        <f t="shared" si="182"/>
        <v>5808</v>
      </c>
      <c r="K492" s="5">
        <f t="shared" si="182"/>
        <v>7744</v>
      </c>
      <c r="L492" s="5">
        <f t="shared" si="183"/>
        <v>58200</v>
      </c>
      <c r="M492" s="5">
        <f t="shared" si="183"/>
        <v>14510</v>
      </c>
      <c r="N492" s="5">
        <f t="shared" si="183"/>
        <v>9660</v>
      </c>
      <c r="O492" s="5">
        <f t="shared" si="183"/>
        <v>2904</v>
      </c>
      <c r="P492" s="5">
        <f t="shared" si="183"/>
        <v>3872</v>
      </c>
      <c r="Q492" s="5">
        <f t="shared" si="184"/>
        <v>203700</v>
      </c>
      <c r="R492" s="5">
        <f t="shared" si="185"/>
        <v>50785</v>
      </c>
      <c r="S492" s="5">
        <f t="shared" si="186"/>
        <v>33810</v>
      </c>
      <c r="T492" s="5">
        <f t="shared" si="187"/>
        <v>10164</v>
      </c>
      <c r="U492" s="5">
        <f t="shared" si="188"/>
        <v>13552</v>
      </c>
      <c r="V492" s="5">
        <f>B492*战斗力计算!$B$8+C492*战斗力计算!$B$9+D492*战斗力计算!$B$10+E492*战斗力计算!$B$11+F492*战斗力计算!$B$12</f>
        <v>212840</v>
      </c>
      <c r="W492" s="5">
        <f>G492*战斗力计算!$B$8+H492*战斗力计算!$B$9+I492*战斗力计算!$B$10+J492*战斗力计算!$B$11+K492*战斗力计算!$B$12+L492*战斗力计算!$B$8+M492*战斗力计算!$B$9+N492*战斗力计算!$B$10+O492*战斗力计算!$B$11+P492*战斗力计算!$B$12</f>
        <v>1277040</v>
      </c>
      <c r="X492" s="5">
        <f t="shared" si="189"/>
        <v>1489880</v>
      </c>
      <c r="AC492">
        <f t="shared" si="168"/>
        <v>4</v>
      </c>
      <c r="AD492">
        <f t="shared" si="169"/>
        <v>2</v>
      </c>
      <c r="AF492">
        <f t="shared" si="170"/>
        <v>0.75</v>
      </c>
      <c r="AH492">
        <f t="shared" si="171"/>
        <v>12</v>
      </c>
      <c r="AK492">
        <f t="shared" si="172"/>
        <v>6.024844720496894</v>
      </c>
      <c r="AL492">
        <f t="shared" si="173"/>
        <v>1.5020703933747412</v>
      </c>
      <c r="AM492">
        <f t="shared" si="174"/>
        <v>1</v>
      </c>
      <c r="AN492">
        <f t="shared" si="175"/>
        <v>6.024844720496894</v>
      </c>
      <c r="AO492">
        <f t="shared" si="176"/>
        <v>1.5020703933747412</v>
      </c>
      <c r="AP492">
        <f t="shared" si="177"/>
        <v>1</v>
      </c>
      <c r="AR492">
        <f t="shared" si="178"/>
        <v>4.4969008264462813</v>
      </c>
      <c r="AT492">
        <f t="shared" si="179"/>
        <v>4.4969008264462813</v>
      </c>
      <c r="AV492">
        <f t="shared" si="180"/>
        <v>5078</v>
      </c>
      <c r="AW492">
        <f t="shared" si="181"/>
        <v>9431</v>
      </c>
    </row>
    <row r="493" spans="1:49" x14ac:dyDescent="0.15">
      <c r="A493" s="5">
        <v>483</v>
      </c>
      <c r="B493" s="5">
        <f t="shared" si="167"/>
        <v>29160</v>
      </c>
      <c r="C493" s="5">
        <f t="shared" si="166"/>
        <v>7270</v>
      </c>
      <c r="D493" s="5">
        <f t="shared" si="166"/>
        <v>4840</v>
      </c>
      <c r="E493" s="5">
        <f t="shared" si="166"/>
        <v>1455</v>
      </c>
      <c r="F493" s="5">
        <f t="shared" si="166"/>
        <v>1940</v>
      </c>
      <c r="G493" s="5">
        <f t="shared" si="182"/>
        <v>116640</v>
      </c>
      <c r="H493" s="5">
        <f t="shared" si="182"/>
        <v>29080</v>
      </c>
      <c r="I493" s="5">
        <f t="shared" si="182"/>
        <v>19360</v>
      </c>
      <c r="J493" s="5">
        <f t="shared" si="182"/>
        <v>5820</v>
      </c>
      <c r="K493" s="5">
        <f t="shared" si="182"/>
        <v>7760</v>
      </c>
      <c r="L493" s="5">
        <f t="shared" si="183"/>
        <v>58320</v>
      </c>
      <c r="M493" s="5">
        <f t="shared" si="183"/>
        <v>14540</v>
      </c>
      <c r="N493" s="5">
        <f t="shared" si="183"/>
        <v>9680</v>
      </c>
      <c r="O493" s="5">
        <f t="shared" si="183"/>
        <v>2910</v>
      </c>
      <c r="P493" s="5">
        <f t="shared" si="183"/>
        <v>3880</v>
      </c>
      <c r="Q493" s="5">
        <f t="shared" si="184"/>
        <v>204120</v>
      </c>
      <c r="R493" s="5">
        <f t="shared" si="185"/>
        <v>50890</v>
      </c>
      <c r="S493" s="5">
        <f t="shared" si="186"/>
        <v>33880</v>
      </c>
      <c r="T493" s="5">
        <f t="shared" si="187"/>
        <v>10185</v>
      </c>
      <c r="U493" s="5">
        <f t="shared" si="188"/>
        <v>13580</v>
      </c>
      <c r="V493" s="5">
        <f>B493*战斗力计算!$B$8+C493*战斗力计算!$B$9+D493*战斗力计算!$B$10+E493*战斗力计算!$B$11+F493*战斗力计算!$B$12</f>
        <v>213280</v>
      </c>
      <c r="W493" s="5">
        <f>G493*战斗力计算!$B$8+H493*战斗力计算!$B$9+I493*战斗力计算!$B$10+J493*战斗力计算!$B$11+K493*战斗力计算!$B$12+L493*战斗力计算!$B$8+M493*战斗力计算!$B$9+N493*战斗力计算!$B$10+O493*战斗力计算!$B$11+P493*战斗力计算!$B$12</f>
        <v>1279680</v>
      </c>
      <c r="X493" s="5">
        <f t="shared" si="189"/>
        <v>1492960</v>
      </c>
      <c r="AC493">
        <f t="shared" si="168"/>
        <v>4</v>
      </c>
      <c r="AD493">
        <f t="shared" si="169"/>
        <v>2</v>
      </c>
      <c r="AF493">
        <f t="shared" si="170"/>
        <v>0.75</v>
      </c>
      <c r="AH493">
        <f t="shared" si="171"/>
        <v>12</v>
      </c>
      <c r="AK493">
        <f t="shared" si="172"/>
        <v>6.0247933884297522</v>
      </c>
      <c r="AL493">
        <f t="shared" si="173"/>
        <v>1.5020661157024793</v>
      </c>
      <c r="AM493">
        <f t="shared" si="174"/>
        <v>1</v>
      </c>
      <c r="AN493">
        <f t="shared" si="175"/>
        <v>6.0247933884297522</v>
      </c>
      <c r="AO493">
        <f t="shared" si="176"/>
        <v>1.5020661157024793</v>
      </c>
      <c r="AP493">
        <f t="shared" si="177"/>
        <v>1</v>
      </c>
      <c r="AR493">
        <f t="shared" si="178"/>
        <v>4.4969072164948454</v>
      </c>
      <c r="AT493">
        <f t="shared" si="179"/>
        <v>4.4969072164948454</v>
      </c>
      <c r="AV493">
        <f t="shared" si="180"/>
        <v>5089</v>
      </c>
      <c r="AW493">
        <f t="shared" si="181"/>
        <v>9451</v>
      </c>
    </row>
    <row r="494" spans="1:49" x14ac:dyDescent="0.15">
      <c r="A494" s="5">
        <v>484</v>
      </c>
      <c r="B494" s="5">
        <f t="shared" si="167"/>
        <v>29220</v>
      </c>
      <c r="C494" s="5">
        <f t="shared" si="166"/>
        <v>7285</v>
      </c>
      <c r="D494" s="5">
        <f t="shared" si="166"/>
        <v>4850</v>
      </c>
      <c r="E494" s="5">
        <f t="shared" si="166"/>
        <v>1458</v>
      </c>
      <c r="F494" s="5">
        <f t="shared" si="166"/>
        <v>1944</v>
      </c>
      <c r="G494" s="5">
        <f t="shared" si="182"/>
        <v>116880</v>
      </c>
      <c r="H494" s="5">
        <f t="shared" si="182"/>
        <v>29140</v>
      </c>
      <c r="I494" s="5">
        <f t="shared" si="182"/>
        <v>19400</v>
      </c>
      <c r="J494" s="5">
        <f t="shared" si="182"/>
        <v>5832</v>
      </c>
      <c r="K494" s="5">
        <f t="shared" si="182"/>
        <v>7776</v>
      </c>
      <c r="L494" s="5">
        <f t="shared" si="183"/>
        <v>58440</v>
      </c>
      <c r="M494" s="5">
        <f t="shared" si="183"/>
        <v>14570</v>
      </c>
      <c r="N494" s="5">
        <f t="shared" si="183"/>
        <v>9700</v>
      </c>
      <c r="O494" s="5">
        <f t="shared" si="183"/>
        <v>2916</v>
      </c>
      <c r="P494" s="5">
        <f t="shared" si="183"/>
        <v>3888</v>
      </c>
      <c r="Q494" s="5">
        <f t="shared" si="184"/>
        <v>204540</v>
      </c>
      <c r="R494" s="5">
        <f t="shared" si="185"/>
        <v>50995</v>
      </c>
      <c r="S494" s="5">
        <f t="shared" si="186"/>
        <v>33950</v>
      </c>
      <c r="T494" s="5">
        <f t="shared" si="187"/>
        <v>10206</v>
      </c>
      <c r="U494" s="5">
        <f t="shared" si="188"/>
        <v>13608</v>
      </c>
      <c r="V494" s="5">
        <f>B494*战斗力计算!$B$8+C494*战斗力计算!$B$9+D494*战斗力计算!$B$10+E494*战斗力计算!$B$11+F494*战斗力计算!$B$12</f>
        <v>213720</v>
      </c>
      <c r="W494" s="5">
        <f>G494*战斗力计算!$B$8+H494*战斗力计算!$B$9+I494*战斗力计算!$B$10+J494*战斗力计算!$B$11+K494*战斗力计算!$B$12+L494*战斗力计算!$B$8+M494*战斗力计算!$B$9+N494*战斗力计算!$B$10+O494*战斗力计算!$B$11+P494*战斗力计算!$B$12</f>
        <v>1282320</v>
      </c>
      <c r="X494" s="5">
        <f t="shared" si="189"/>
        <v>1496040</v>
      </c>
      <c r="AC494">
        <f t="shared" si="168"/>
        <v>4</v>
      </c>
      <c r="AD494">
        <f t="shared" si="169"/>
        <v>2</v>
      </c>
      <c r="AF494">
        <f t="shared" si="170"/>
        <v>0.75</v>
      </c>
      <c r="AH494">
        <f t="shared" si="171"/>
        <v>12</v>
      </c>
      <c r="AK494">
        <f t="shared" si="172"/>
        <v>6.024742268041237</v>
      </c>
      <c r="AL494">
        <f t="shared" si="173"/>
        <v>1.5020618556701031</v>
      </c>
      <c r="AM494">
        <f t="shared" si="174"/>
        <v>1</v>
      </c>
      <c r="AN494">
        <f t="shared" si="175"/>
        <v>6.024742268041237</v>
      </c>
      <c r="AO494">
        <f t="shared" si="176"/>
        <v>1.5020618556701031</v>
      </c>
      <c r="AP494">
        <f t="shared" si="177"/>
        <v>1</v>
      </c>
      <c r="AR494">
        <f t="shared" si="178"/>
        <v>4.4969135802469138</v>
      </c>
      <c r="AT494">
        <f t="shared" si="179"/>
        <v>4.4969135802469138</v>
      </c>
      <c r="AV494">
        <f t="shared" si="180"/>
        <v>5099</v>
      </c>
      <c r="AW494">
        <f t="shared" si="181"/>
        <v>9470</v>
      </c>
    </row>
    <row r="495" spans="1:49" x14ac:dyDescent="0.15">
      <c r="A495" s="5">
        <v>485</v>
      </c>
      <c r="B495" s="5">
        <f t="shared" si="167"/>
        <v>29280</v>
      </c>
      <c r="C495" s="5">
        <f t="shared" si="166"/>
        <v>7300</v>
      </c>
      <c r="D495" s="5">
        <f t="shared" si="166"/>
        <v>4860</v>
      </c>
      <c r="E495" s="5">
        <f t="shared" si="166"/>
        <v>1461</v>
      </c>
      <c r="F495" s="5">
        <f t="shared" si="166"/>
        <v>1948</v>
      </c>
      <c r="G495" s="5">
        <f t="shared" si="182"/>
        <v>117120</v>
      </c>
      <c r="H495" s="5">
        <f t="shared" si="182"/>
        <v>29200</v>
      </c>
      <c r="I495" s="5">
        <f t="shared" si="182"/>
        <v>19440</v>
      </c>
      <c r="J495" s="5">
        <f t="shared" si="182"/>
        <v>5844</v>
      </c>
      <c r="K495" s="5">
        <f t="shared" si="182"/>
        <v>7792</v>
      </c>
      <c r="L495" s="5">
        <f t="shared" si="183"/>
        <v>58560</v>
      </c>
      <c r="M495" s="5">
        <f t="shared" si="183"/>
        <v>14600</v>
      </c>
      <c r="N495" s="5">
        <f t="shared" si="183"/>
        <v>9720</v>
      </c>
      <c r="O495" s="5">
        <f t="shared" si="183"/>
        <v>2922</v>
      </c>
      <c r="P495" s="5">
        <f t="shared" si="183"/>
        <v>3896</v>
      </c>
      <c r="Q495" s="5">
        <f t="shared" si="184"/>
        <v>204960</v>
      </c>
      <c r="R495" s="5">
        <f t="shared" si="185"/>
        <v>51100</v>
      </c>
      <c r="S495" s="5">
        <f t="shared" si="186"/>
        <v>34020</v>
      </c>
      <c r="T495" s="5">
        <f t="shared" si="187"/>
        <v>10227</v>
      </c>
      <c r="U495" s="5">
        <f t="shared" si="188"/>
        <v>13636</v>
      </c>
      <c r="V495" s="5">
        <f>B495*战斗力计算!$B$8+C495*战斗力计算!$B$9+D495*战斗力计算!$B$10+E495*战斗力计算!$B$11+F495*战斗力计算!$B$12</f>
        <v>214160</v>
      </c>
      <c r="W495" s="5">
        <f>G495*战斗力计算!$B$8+H495*战斗力计算!$B$9+I495*战斗力计算!$B$10+J495*战斗力计算!$B$11+K495*战斗力计算!$B$12+L495*战斗力计算!$B$8+M495*战斗力计算!$B$9+N495*战斗力计算!$B$10+O495*战斗力计算!$B$11+P495*战斗力计算!$B$12</f>
        <v>1284960</v>
      </c>
      <c r="X495" s="5">
        <f t="shared" si="189"/>
        <v>1499120</v>
      </c>
      <c r="AC495">
        <f t="shared" si="168"/>
        <v>4</v>
      </c>
      <c r="AD495">
        <f t="shared" si="169"/>
        <v>2</v>
      </c>
      <c r="AF495">
        <f t="shared" si="170"/>
        <v>0.75</v>
      </c>
      <c r="AH495">
        <f t="shared" si="171"/>
        <v>12</v>
      </c>
      <c r="AK495">
        <f t="shared" si="172"/>
        <v>6.0246913580246915</v>
      </c>
      <c r="AL495">
        <f t="shared" si="173"/>
        <v>1.5020576131687242</v>
      </c>
      <c r="AM495">
        <f t="shared" si="174"/>
        <v>1</v>
      </c>
      <c r="AN495">
        <f t="shared" si="175"/>
        <v>6.0246913580246915</v>
      </c>
      <c r="AO495">
        <f t="shared" si="176"/>
        <v>1.5020576131687242</v>
      </c>
      <c r="AP495">
        <f t="shared" si="177"/>
        <v>1</v>
      </c>
      <c r="AR495">
        <f t="shared" si="178"/>
        <v>4.4969199178644761</v>
      </c>
      <c r="AT495">
        <f t="shared" si="179"/>
        <v>4.4969199178644761</v>
      </c>
      <c r="AV495">
        <f t="shared" si="180"/>
        <v>5110</v>
      </c>
      <c r="AW495">
        <f t="shared" si="181"/>
        <v>9490</v>
      </c>
    </row>
    <row r="496" spans="1:49" x14ac:dyDescent="0.15">
      <c r="A496" s="5">
        <v>486</v>
      </c>
      <c r="B496" s="5">
        <f t="shared" si="167"/>
        <v>29340</v>
      </c>
      <c r="C496" s="5">
        <f t="shared" si="166"/>
        <v>7315</v>
      </c>
      <c r="D496" s="5">
        <f t="shared" si="166"/>
        <v>4870</v>
      </c>
      <c r="E496" s="5">
        <f t="shared" si="166"/>
        <v>1464</v>
      </c>
      <c r="F496" s="5">
        <f t="shared" si="166"/>
        <v>1952</v>
      </c>
      <c r="G496" s="5">
        <f t="shared" ref="G496:K527" si="190">HLOOKUP(G$10,$B$10:$F$610,$A496+1,0)*$AC496</f>
        <v>117360</v>
      </c>
      <c r="H496" s="5">
        <f t="shared" si="190"/>
        <v>29260</v>
      </c>
      <c r="I496" s="5">
        <f t="shared" si="190"/>
        <v>19480</v>
      </c>
      <c r="J496" s="5">
        <f t="shared" si="190"/>
        <v>5856</v>
      </c>
      <c r="K496" s="5">
        <f t="shared" si="190"/>
        <v>7808</v>
      </c>
      <c r="L496" s="5">
        <f t="shared" ref="L496:P527" si="191">HLOOKUP(L$10,$B$10:$F$610,$A496+1,0)*$AD496</f>
        <v>58680</v>
      </c>
      <c r="M496" s="5">
        <f t="shared" si="191"/>
        <v>14630</v>
      </c>
      <c r="N496" s="5">
        <f t="shared" si="191"/>
        <v>9740</v>
      </c>
      <c r="O496" s="5">
        <f t="shared" si="191"/>
        <v>2928</v>
      </c>
      <c r="P496" s="5">
        <f t="shared" si="191"/>
        <v>3904</v>
      </c>
      <c r="Q496" s="5">
        <f t="shared" si="184"/>
        <v>205380</v>
      </c>
      <c r="R496" s="5">
        <f t="shared" si="185"/>
        <v>51205</v>
      </c>
      <c r="S496" s="5">
        <f t="shared" si="186"/>
        <v>34090</v>
      </c>
      <c r="T496" s="5">
        <f t="shared" si="187"/>
        <v>10248</v>
      </c>
      <c r="U496" s="5">
        <f t="shared" si="188"/>
        <v>13664</v>
      </c>
      <c r="V496" s="5">
        <f>B496*战斗力计算!$B$8+C496*战斗力计算!$B$9+D496*战斗力计算!$B$10+E496*战斗力计算!$B$11+F496*战斗力计算!$B$12</f>
        <v>214600</v>
      </c>
      <c r="W496" s="5">
        <f>G496*战斗力计算!$B$8+H496*战斗力计算!$B$9+I496*战斗力计算!$B$10+J496*战斗力计算!$B$11+K496*战斗力计算!$B$12+L496*战斗力计算!$B$8+M496*战斗力计算!$B$9+N496*战斗力计算!$B$10+O496*战斗力计算!$B$11+P496*战斗力计算!$B$12</f>
        <v>1287600</v>
      </c>
      <c r="X496" s="5">
        <f t="shared" si="189"/>
        <v>1502200</v>
      </c>
      <c r="AC496">
        <f t="shared" si="168"/>
        <v>4</v>
      </c>
      <c r="AD496">
        <f t="shared" si="169"/>
        <v>2</v>
      </c>
      <c r="AF496">
        <f t="shared" si="170"/>
        <v>0.75</v>
      </c>
      <c r="AH496">
        <f t="shared" si="171"/>
        <v>12</v>
      </c>
      <c r="AK496">
        <f t="shared" si="172"/>
        <v>6.0246406570841886</v>
      </c>
      <c r="AL496">
        <f t="shared" si="173"/>
        <v>1.5020533880903491</v>
      </c>
      <c r="AM496">
        <f t="shared" si="174"/>
        <v>1</v>
      </c>
      <c r="AN496">
        <f t="shared" si="175"/>
        <v>6.0246406570841886</v>
      </c>
      <c r="AO496">
        <f t="shared" si="176"/>
        <v>1.5020533880903491</v>
      </c>
      <c r="AP496">
        <f t="shared" si="177"/>
        <v>1</v>
      </c>
      <c r="AR496">
        <f t="shared" si="178"/>
        <v>4.4969262295081966</v>
      </c>
      <c r="AT496">
        <f t="shared" si="179"/>
        <v>4.4969262295081966</v>
      </c>
      <c r="AV496">
        <f t="shared" si="180"/>
        <v>5120</v>
      </c>
      <c r="AW496">
        <f t="shared" si="181"/>
        <v>9509</v>
      </c>
    </row>
    <row r="497" spans="1:49" x14ac:dyDescent="0.15">
      <c r="A497" s="5">
        <v>487</v>
      </c>
      <c r="B497" s="5">
        <f t="shared" si="167"/>
        <v>29400</v>
      </c>
      <c r="C497" s="5">
        <f t="shared" si="166"/>
        <v>7330</v>
      </c>
      <c r="D497" s="5">
        <f t="shared" si="166"/>
        <v>4880</v>
      </c>
      <c r="E497" s="5">
        <f t="shared" si="166"/>
        <v>1467</v>
      </c>
      <c r="F497" s="5">
        <f t="shared" si="166"/>
        <v>1956</v>
      </c>
      <c r="G497" s="5">
        <f t="shared" si="190"/>
        <v>117600</v>
      </c>
      <c r="H497" s="5">
        <f t="shared" si="190"/>
        <v>29320</v>
      </c>
      <c r="I497" s="5">
        <f t="shared" si="190"/>
        <v>19520</v>
      </c>
      <c r="J497" s="5">
        <f t="shared" si="190"/>
        <v>5868</v>
      </c>
      <c r="K497" s="5">
        <f t="shared" si="190"/>
        <v>7824</v>
      </c>
      <c r="L497" s="5">
        <f t="shared" si="191"/>
        <v>58800</v>
      </c>
      <c r="M497" s="5">
        <f t="shared" si="191"/>
        <v>14660</v>
      </c>
      <c r="N497" s="5">
        <f t="shared" si="191"/>
        <v>9760</v>
      </c>
      <c r="O497" s="5">
        <f t="shared" si="191"/>
        <v>2934</v>
      </c>
      <c r="P497" s="5">
        <f t="shared" si="191"/>
        <v>3912</v>
      </c>
      <c r="Q497" s="5">
        <f t="shared" si="184"/>
        <v>205800</v>
      </c>
      <c r="R497" s="5">
        <f t="shared" si="185"/>
        <v>51310</v>
      </c>
      <c r="S497" s="5">
        <f t="shared" si="186"/>
        <v>34160</v>
      </c>
      <c r="T497" s="5">
        <f t="shared" si="187"/>
        <v>10269</v>
      </c>
      <c r="U497" s="5">
        <f t="shared" si="188"/>
        <v>13692</v>
      </c>
      <c r="V497" s="5">
        <f>B497*战斗力计算!$B$8+C497*战斗力计算!$B$9+D497*战斗力计算!$B$10+E497*战斗力计算!$B$11+F497*战斗力计算!$B$12</f>
        <v>215040</v>
      </c>
      <c r="W497" s="5">
        <f>G497*战斗力计算!$B$8+H497*战斗力计算!$B$9+I497*战斗力计算!$B$10+J497*战斗力计算!$B$11+K497*战斗力计算!$B$12+L497*战斗力计算!$B$8+M497*战斗力计算!$B$9+N497*战斗力计算!$B$10+O497*战斗力计算!$B$11+P497*战斗力计算!$B$12</f>
        <v>1290240</v>
      </c>
      <c r="X497" s="5">
        <f t="shared" si="189"/>
        <v>1505280</v>
      </c>
      <c r="AC497">
        <f t="shared" si="168"/>
        <v>4</v>
      </c>
      <c r="AD497">
        <f t="shared" si="169"/>
        <v>2</v>
      </c>
      <c r="AF497">
        <f t="shared" si="170"/>
        <v>0.75</v>
      </c>
      <c r="AH497">
        <f t="shared" si="171"/>
        <v>12</v>
      </c>
      <c r="AK497">
        <f t="shared" si="172"/>
        <v>6.0245901639344259</v>
      </c>
      <c r="AL497">
        <f t="shared" si="173"/>
        <v>1.5020491803278688</v>
      </c>
      <c r="AM497">
        <f t="shared" si="174"/>
        <v>1</v>
      </c>
      <c r="AN497">
        <f t="shared" si="175"/>
        <v>6.0245901639344259</v>
      </c>
      <c r="AO497">
        <f t="shared" si="176"/>
        <v>1.5020491803278688</v>
      </c>
      <c r="AP497">
        <f t="shared" si="177"/>
        <v>1</v>
      </c>
      <c r="AR497">
        <f t="shared" si="178"/>
        <v>4.4969325153374236</v>
      </c>
      <c r="AT497">
        <f t="shared" si="179"/>
        <v>4.4969325153374236</v>
      </c>
      <c r="AV497">
        <f t="shared" si="180"/>
        <v>5131</v>
      </c>
      <c r="AW497">
        <f t="shared" si="181"/>
        <v>9529</v>
      </c>
    </row>
    <row r="498" spans="1:49" x14ac:dyDescent="0.15">
      <c r="A498" s="5">
        <v>488</v>
      </c>
      <c r="B498" s="5">
        <f t="shared" si="167"/>
        <v>29460</v>
      </c>
      <c r="C498" s="5">
        <f t="shared" si="166"/>
        <v>7345</v>
      </c>
      <c r="D498" s="5">
        <f t="shared" si="166"/>
        <v>4890</v>
      </c>
      <c r="E498" s="5">
        <f t="shared" si="166"/>
        <v>1470</v>
      </c>
      <c r="F498" s="5">
        <f t="shared" si="166"/>
        <v>1960</v>
      </c>
      <c r="G498" s="5">
        <f t="shared" si="190"/>
        <v>117840</v>
      </c>
      <c r="H498" s="5">
        <f t="shared" si="190"/>
        <v>29380</v>
      </c>
      <c r="I498" s="5">
        <f t="shared" si="190"/>
        <v>19560</v>
      </c>
      <c r="J498" s="5">
        <f t="shared" si="190"/>
        <v>5880</v>
      </c>
      <c r="K498" s="5">
        <f t="shared" si="190"/>
        <v>7840</v>
      </c>
      <c r="L498" s="5">
        <f t="shared" si="191"/>
        <v>58920</v>
      </c>
      <c r="M498" s="5">
        <f t="shared" si="191"/>
        <v>14690</v>
      </c>
      <c r="N498" s="5">
        <f t="shared" si="191"/>
        <v>9780</v>
      </c>
      <c r="O498" s="5">
        <f t="shared" si="191"/>
        <v>2940</v>
      </c>
      <c r="P498" s="5">
        <f t="shared" si="191"/>
        <v>3920</v>
      </c>
      <c r="Q498" s="5">
        <f t="shared" si="184"/>
        <v>206220</v>
      </c>
      <c r="R498" s="5">
        <f t="shared" si="185"/>
        <v>51415</v>
      </c>
      <c r="S498" s="5">
        <f t="shared" si="186"/>
        <v>34230</v>
      </c>
      <c r="T498" s="5">
        <f t="shared" si="187"/>
        <v>10290</v>
      </c>
      <c r="U498" s="5">
        <f t="shared" si="188"/>
        <v>13720</v>
      </c>
      <c r="V498" s="5">
        <f>B498*战斗力计算!$B$8+C498*战斗力计算!$B$9+D498*战斗力计算!$B$10+E498*战斗力计算!$B$11+F498*战斗力计算!$B$12</f>
        <v>215480</v>
      </c>
      <c r="W498" s="5">
        <f>G498*战斗力计算!$B$8+H498*战斗力计算!$B$9+I498*战斗力计算!$B$10+J498*战斗力计算!$B$11+K498*战斗力计算!$B$12+L498*战斗力计算!$B$8+M498*战斗力计算!$B$9+N498*战斗力计算!$B$10+O498*战斗力计算!$B$11+P498*战斗力计算!$B$12</f>
        <v>1292880</v>
      </c>
      <c r="X498" s="5">
        <f t="shared" si="189"/>
        <v>1508360</v>
      </c>
      <c r="AC498">
        <f t="shared" si="168"/>
        <v>4</v>
      </c>
      <c r="AD498">
        <f t="shared" si="169"/>
        <v>2</v>
      </c>
      <c r="AF498">
        <f t="shared" si="170"/>
        <v>0.75</v>
      </c>
      <c r="AH498">
        <f t="shared" si="171"/>
        <v>12</v>
      </c>
      <c r="AK498">
        <f t="shared" si="172"/>
        <v>6.0245398773006134</v>
      </c>
      <c r="AL498">
        <f t="shared" si="173"/>
        <v>1.5020449897750512</v>
      </c>
      <c r="AM498">
        <f t="shared" si="174"/>
        <v>1</v>
      </c>
      <c r="AN498">
        <f t="shared" si="175"/>
        <v>6.0245398773006134</v>
      </c>
      <c r="AO498">
        <f t="shared" si="176"/>
        <v>1.5020449897750512</v>
      </c>
      <c r="AP498">
        <f t="shared" si="177"/>
        <v>1</v>
      </c>
      <c r="AR498">
        <f t="shared" si="178"/>
        <v>4.4969387755102037</v>
      </c>
      <c r="AT498">
        <f t="shared" si="179"/>
        <v>4.4969387755102037</v>
      </c>
      <c r="AV498">
        <f t="shared" si="180"/>
        <v>5141</v>
      </c>
      <c r="AW498">
        <f t="shared" si="181"/>
        <v>9548</v>
      </c>
    </row>
    <row r="499" spans="1:49" x14ac:dyDescent="0.15">
      <c r="A499" s="5">
        <v>489</v>
      </c>
      <c r="B499" s="5">
        <f t="shared" si="167"/>
        <v>29520</v>
      </c>
      <c r="C499" s="5">
        <f t="shared" si="166"/>
        <v>7360</v>
      </c>
      <c r="D499" s="5">
        <f t="shared" si="166"/>
        <v>4900</v>
      </c>
      <c r="E499" s="5">
        <f t="shared" si="166"/>
        <v>1473</v>
      </c>
      <c r="F499" s="5">
        <f t="shared" si="166"/>
        <v>1964</v>
      </c>
      <c r="G499" s="5">
        <f t="shared" si="190"/>
        <v>118080</v>
      </c>
      <c r="H499" s="5">
        <f t="shared" si="190"/>
        <v>29440</v>
      </c>
      <c r="I499" s="5">
        <f t="shared" si="190"/>
        <v>19600</v>
      </c>
      <c r="J499" s="5">
        <f t="shared" si="190"/>
        <v>5892</v>
      </c>
      <c r="K499" s="5">
        <f t="shared" si="190"/>
        <v>7856</v>
      </c>
      <c r="L499" s="5">
        <f t="shared" si="191"/>
        <v>59040</v>
      </c>
      <c r="M499" s="5">
        <f t="shared" si="191"/>
        <v>14720</v>
      </c>
      <c r="N499" s="5">
        <f t="shared" si="191"/>
        <v>9800</v>
      </c>
      <c r="O499" s="5">
        <f t="shared" si="191"/>
        <v>2946</v>
      </c>
      <c r="P499" s="5">
        <f t="shared" si="191"/>
        <v>3928</v>
      </c>
      <c r="Q499" s="5">
        <f t="shared" si="184"/>
        <v>206640</v>
      </c>
      <c r="R499" s="5">
        <f t="shared" si="185"/>
        <v>51520</v>
      </c>
      <c r="S499" s="5">
        <f t="shared" si="186"/>
        <v>34300</v>
      </c>
      <c r="T499" s="5">
        <f t="shared" si="187"/>
        <v>10311</v>
      </c>
      <c r="U499" s="5">
        <f t="shared" si="188"/>
        <v>13748</v>
      </c>
      <c r="V499" s="5">
        <f>B499*战斗力计算!$B$8+C499*战斗力计算!$B$9+D499*战斗力计算!$B$10+E499*战斗力计算!$B$11+F499*战斗力计算!$B$12</f>
        <v>215920</v>
      </c>
      <c r="W499" s="5">
        <f>G499*战斗力计算!$B$8+H499*战斗力计算!$B$9+I499*战斗力计算!$B$10+J499*战斗力计算!$B$11+K499*战斗力计算!$B$12+L499*战斗力计算!$B$8+M499*战斗力计算!$B$9+N499*战斗力计算!$B$10+O499*战斗力计算!$B$11+P499*战斗力计算!$B$12</f>
        <v>1295520</v>
      </c>
      <c r="X499" s="5">
        <f t="shared" si="189"/>
        <v>1511440</v>
      </c>
      <c r="AC499">
        <f t="shared" si="168"/>
        <v>4</v>
      </c>
      <c r="AD499">
        <f t="shared" si="169"/>
        <v>2</v>
      </c>
      <c r="AF499">
        <f t="shared" si="170"/>
        <v>0.75</v>
      </c>
      <c r="AH499">
        <f t="shared" si="171"/>
        <v>12</v>
      </c>
      <c r="AK499">
        <f t="shared" si="172"/>
        <v>6.0244897959183676</v>
      </c>
      <c r="AL499">
        <f t="shared" si="173"/>
        <v>1.5020408163265306</v>
      </c>
      <c r="AM499">
        <f t="shared" si="174"/>
        <v>1</v>
      </c>
      <c r="AN499">
        <f t="shared" si="175"/>
        <v>6.0244897959183676</v>
      </c>
      <c r="AO499">
        <f t="shared" si="176"/>
        <v>1.5020408163265306</v>
      </c>
      <c r="AP499">
        <f t="shared" si="177"/>
        <v>1</v>
      </c>
      <c r="AR499">
        <f t="shared" si="178"/>
        <v>4.4969450101832997</v>
      </c>
      <c r="AT499">
        <f t="shared" si="179"/>
        <v>4.4969450101832997</v>
      </c>
      <c r="AV499">
        <f t="shared" si="180"/>
        <v>5152</v>
      </c>
      <c r="AW499">
        <f t="shared" si="181"/>
        <v>9568</v>
      </c>
    </row>
    <row r="500" spans="1:49" x14ac:dyDescent="0.15">
      <c r="A500" s="5">
        <v>490</v>
      </c>
      <c r="B500" s="5">
        <f t="shared" si="167"/>
        <v>29580</v>
      </c>
      <c r="C500" s="5">
        <f t="shared" si="166"/>
        <v>7375</v>
      </c>
      <c r="D500" s="5">
        <f t="shared" si="166"/>
        <v>4910</v>
      </c>
      <c r="E500" s="5">
        <f t="shared" si="166"/>
        <v>1476</v>
      </c>
      <c r="F500" s="5">
        <f t="shared" si="166"/>
        <v>1968</v>
      </c>
      <c r="G500" s="5">
        <f t="shared" si="190"/>
        <v>118320</v>
      </c>
      <c r="H500" s="5">
        <f t="shared" si="190"/>
        <v>29500</v>
      </c>
      <c r="I500" s="5">
        <f t="shared" si="190"/>
        <v>19640</v>
      </c>
      <c r="J500" s="5">
        <f t="shared" si="190"/>
        <v>5904</v>
      </c>
      <c r="K500" s="5">
        <f t="shared" si="190"/>
        <v>7872</v>
      </c>
      <c r="L500" s="5">
        <f t="shared" si="191"/>
        <v>59160</v>
      </c>
      <c r="M500" s="5">
        <f t="shared" si="191"/>
        <v>14750</v>
      </c>
      <c r="N500" s="5">
        <f t="shared" si="191"/>
        <v>9820</v>
      </c>
      <c r="O500" s="5">
        <f t="shared" si="191"/>
        <v>2952</v>
      </c>
      <c r="P500" s="5">
        <f t="shared" si="191"/>
        <v>3936</v>
      </c>
      <c r="Q500" s="5">
        <f t="shared" si="184"/>
        <v>207060</v>
      </c>
      <c r="R500" s="5">
        <f t="shared" si="185"/>
        <v>51625</v>
      </c>
      <c r="S500" s="5">
        <f t="shared" si="186"/>
        <v>34370</v>
      </c>
      <c r="T500" s="5">
        <f t="shared" si="187"/>
        <v>10332</v>
      </c>
      <c r="U500" s="5">
        <f t="shared" si="188"/>
        <v>13776</v>
      </c>
      <c r="V500" s="5">
        <f>B500*战斗力计算!$B$8+C500*战斗力计算!$B$9+D500*战斗力计算!$B$10+E500*战斗力计算!$B$11+F500*战斗力计算!$B$12</f>
        <v>216360</v>
      </c>
      <c r="W500" s="5">
        <f>G500*战斗力计算!$B$8+H500*战斗力计算!$B$9+I500*战斗力计算!$B$10+J500*战斗力计算!$B$11+K500*战斗力计算!$B$12+L500*战斗力计算!$B$8+M500*战斗力计算!$B$9+N500*战斗力计算!$B$10+O500*战斗力计算!$B$11+P500*战斗力计算!$B$12</f>
        <v>1298160</v>
      </c>
      <c r="X500" s="5">
        <f t="shared" si="189"/>
        <v>1514520</v>
      </c>
      <c r="AC500">
        <f t="shared" si="168"/>
        <v>4</v>
      </c>
      <c r="AD500">
        <f t="shared" si="169"/>
        <v>2</v>
      </c>
      <c r="AF500">
        <f t="shared" si="170"/>
        <v>0.75</v>
      </c>
      <c r="AH500">
        <f t="shared" si="171"/>
        <v>12</v>
      </c>
      <c r="AK500">
        <f t="shared" si="172"/>
        <v>6.0244399185336048</v>
      </c>
      <c r="AL500">
        <f t="shared" si="173"/>
        <v>1.5020366598778003</v>
      </c>
      <c r="AM500">
        <f t="shared" si="174"/>
        <v>1</v>
      </c>
      <c r="AN500">
        <f t="shared" si="175"/>
        <v>6.0244399185336048</v>
      </c>
      <c r="AO500">
        <f t="shared" si="176"/>
        <v>1.5020366598778003</v>
      </c>
      <c r="AP500">
        <f t="shared" si="177"/>
        <v>1</v>
      </c>
      <c r="AR500">
        <f t="shared" si="178"/>
        <v>4.4969512195121952</v>
      </c>
      <c r="AT500">
        <f t="shared" si="179"/>
        <v>4.4969512195121952</v>
      </c>
      <c r="AV500">
        <f t="shared" si="180"/>
        <v>5162</v>
      </c>
      <c r="AW500">
        <f t="shared" si="181"/>
        <v>9587</v>
      </c>
    </row>
    <row r="501" spans="1:49" x14ac:dyDescent="0.15">
      <c r="A501" s="5">
        <v>491</v>
      </c>
      <c r="B501" s="5">
        <f t="shared" si="167"/>
        <v>29640</v>
      </c>
      <c r="C501" s="5">
        <f t="shared" si="166"/>
        <v>7390</v>
      </c>
      <c r="D501" s="5">
        <f t="shared" si="166"/>
        <v>4920</v>
      </c>
      <c r="E501" s="5">
        <f t="shared" si="166"/>
        <v>1479</v>
      </c>
      <c r="F501" s="5">
        <f t="shared" si="166"/>
        <v>1972</v>
      </c>
      <c r="G501" s="5">
        <f t="shared" si="190"/>
        <v>118560</v>
      </c>
      <c r="H501" s="5">
        <f t="shared" si="190"/>
        <v>29560</v>
      </c>
      <c r="I501" s="5">
        <f t="shared" si="190"/>
        <v>19680</v>
      </c>
      <c r="J501" s="5">
        <f t="shared" si="190"/>
        <v>5916</v>
      </c>
      <c r="K501" s="5">
        <f t="shared" si="190"/>
        <v>7888</v>
      </c>
      <c r="L501" s="5">
        <f t="shared" si="191"/>
        <v>59280</v>
      </c>
      <c r="M501" s="5">
        <f t="shared" si="191"/>
        <v>14780</v>
      </c>
      <c r="N501" s="5">
        <f t="shared" si="191"/>
        <v>9840</v>
      </c>
      <c r="O501" s="5">
        <f t="shared" si="191"/>
        <v>2958</v>
      </c>
      <c r="P501" s="5">
        <f t="shared" si="191"/>
        <v>3944</v>
      </c>
      <c r="Q501" s="5">
        <f t="shared" si="184"/>
        <v>207480</v>
      </c>
      <c r="R501" s="5">
        <f t="shared" si="185"/>
        <v>51730</v>
      </c>
      <c r="S501" s="5">
        <f t="shared" si="186"/>
        <v>34440</v>
      </c>
      <c r="T501" s="5">
        <f t="shared" si="187"/>
        <v>10353</v>
      </c>
      <c r="U501" s="5">
        <f t="shared" si="188"/>
        <v>13804</v>
      </c>
      <c r="V501" s="5">
        <f>B501*战斗力计算!$B$8+C501*战斗力计算!$B$9+D501*战斗力计算!$B$10+E501*战斗力计算!$B$11+F501*战斗力计算!$B$12</f>
        <v>216800</v>
      </c>
      <c r="W501" s="5">
        <f>G501*战斗力计算!$B$8+H501*战斗力计算!$B$9+I501*战斗力计算!$B$10+J501*战斗力计算!$B$11+K501*战斗力计算!$B$12+L501*战斗力计算!$B$8+M501*战斗力计算!$B$9+N501*战斗力计算!$B$10+O501*战斗力计算!$B$11+P501*战斗力计算!$B$12</f>
        <v>1300800</v>
      </c>
      <c r="X501" s="5">
        <f t="shared" si="189"/>
        <v>1517600</v>
      </c>
      <c r="AC501">
        <f t="shared" si="168"/>
        <v>4</v>
      </c>
      <c r="AD501">
        <f t="shared" si="169"/>
        <v>2</v>
      </c>
      <c r="AF501">
        <f t="shared" si="170"/>
        <v>0.75</v>
      </c>
      <c r="AH501">
        <f t="shared" si="171"/>
        <v>12</v>
      </c>
      <c r="AK501">
        <f t="shared" si="172"/>
        <v>6.024390243902439</v>
      </c>
      <c r="AL501">
        <f t="shared" si="173"/>
        <v>1.5020325203252032</v>
      </c>
      <c r="AM501">
        <f t="shared" si="174"/>
        <v>1</v>
      </c>
      <c r="AN501">
        <f t="shared" si="175"/>
        <v>6.024390243902439</v>
      </c>
      <c r="AO501">
        <f t="shared" si="176"/>
        <v>1.5020325203252032</v>
      </c>
      <c r="AP501">
        <f t="shared" si="177"/>
        <v>1</v>
      </c>
      <c r="AR501">
        <f t="shared" si="178"/>
        <v>4.4969574036511153</v>
      </c>
      <c r="AT501">
        <f t="shared" si="179"/>
        <v>4.4969574036511153</v>
      </c>
      <c r="AV501">
        <f t="shared" si="180"/>
        <v>5173</v>
      </c>
      <c r="AW501">
        <f t="shared" si="181"/>
        <v>9607</v>
      </c>
    </row>
    <row r="502" spans="1:49" x14ac:dyDescent="0.15">
      <c r="A502" s="5">
        <v>492</v>
      </c>
      <c r="B502" s="5">
        <f t="shared" si="167"/>
        <v>29700</v>
      </c>
      <c r="C502" s="5">
        <f t="shared" si="166"/>
        <v>7405</v>
      </c>
      <c r="D502" s="5">
        <f t="shared" si="166"/>
        <v>4930</v>
      </c>
      <c r="E502" s="5">
        <f t="shared" si="166"/>
        <v>1482</v>
      </c>
      <c r="F502" s="5">
        <f t="shared" si="166"/>
        <v>1976</v>
      </c>
      <c r="G502" s="5">
        <f t="shared" si="190"/>
        <v>118800</v>
      </c>
      <c r="H502" s="5">
        <f t="shared" si="190"/>
        <v>29620</v>
      </c>
      <c r="I502" s="5">
        <f t="shared" si="190"/>
        <v>19720</v>
      </c>
      <c r="J502" s="5">
        <f t="shared" si="190"/>
        <v>5928</v>
      </c>
      <c r="K502" s="5">
        <f t="shared" si="190"/>
        <v>7904</v>
      </c>
      <c r="L502" s="5">
        <f t="shared" si="191"/>
        <v>59400</v>
      </c>
      <c r="M502" s="5">
        <f t="shared" si="191"/>
        <v>14810</v>
      </c>
      <c r="N502" s="5">
        <f t="shared" si="191"/>
        <v>9860</v>
      </c>
      <c r="O502" s="5">
        <f t="shared" si="191"/>
        <v>2964</v>
      </c>
      <c r="P502" s="5">
        <f t="shared" si="191"/>
        <v>3952</v>
      </c>
      <c r="Q502" s="5">
        <f t="shared" si="184"/>
        <v>207900</v>
      </c>
      <c r="R502" s="5">
        <f t="shared" si="185"/>
        <v>51835</v>
      </c>
      <c r="S502" s="5">
        <f t="shared" si="186"/>
        <v>34510</v>
      </c>
      <c r="T502" s="5">
        <f t="shared" si="187"/>
        <v>10374</v>
      </c>
      <c r="U502" s="5">
        <f t="shared" si="188"/>
        <v>13832</v>
      </c>
      <c r="V502" s="5">
        <f>B502*战斗力计算!$B$8+C502*战斗力计算!$B$9+D502*战斗力计算!$B$10+E502*战斗力计算!$B$11+F502*战斗力计算!$B$12</f>
        <v>217240</v>
      </c>
      <c r="W502" s="5">
        <f>G502*战斗力计算!$B$8+H502*战斗力计算!$B$9+I502*战斗力计算!$B$10+J502*战斗力计算!$B$11+K502*战斗力计算!$B$12+L502*战斗力计算!$B$8+M502*战斗力计算!$B$9+N502*战斗力计算!$B$10+O502*战斗力计算!$B$11+P502*战斗力计算!$B$12</f>
        <v>1303440</v>
      </c>
      <c r="X502" s="5">
        <f t="shared" si="189"/>
        <v>1520680</v>
      </c>
      <c r="AC502">
        <f t="shared" si="168"/>
        <v>4</v>
      </c>
      <c r="AD502">
        <f t="shared" si="169"/>
        <v>2</v>
      </c>
      <c r="AF502">
        <f t="shared" si="170"/>
        <v>0.75</v>
      </c>
      <c r="AH502">
        <f t="shared" si="171"/>
        <v>12</v>
      </c>
      <c r="AK502">
        <f t="shared" si="172"/>
        <v>6.024340770791075</v>
      </c>
      <c r="AL502">
        <f t="shared" si="173"/>
        <v>1.502028397565923</v>
      </c>
      <c r="AM502">
        <f t="shared" si="174"/>
        <v>1</v>
      </c>
      <c r="AN502">
        <f t="shared" si="175"/>
        <v>6.024340770791075</v>
      </c>
      <c r="AO502">
        <f t="shared" si="176"/>
        <v>1.502028397565923</v>
      </c>
      <c r="AP502">
        <f t="shared" si="177"/>
        <v>1</v>
      </c>
      <c r="AR502">
        <f t="shared" si="178"/>
        <v>4.4969635627530362</v>
      </c>
      <c r="AT502">
        <f t="shared" si="179"/>
        <v>4.4969635627530362</v>
      </c>
      <c r="AV502">
        <f t="shared" si="180"/>
        <v>5183</v>
      </c>
      <c r="AW502">
        <f t="shared" si="181"/>
        <v>9626</v>
      </c>
    </row>
    <row r="503" spans="1:49" x14ac:dyDescent="0.15">
      <c r="A503" s="5">
        <v>493</v>
      </c>
      <c r="B503" s="5">
        <f t="shared" si="167"/>
        <v>29760</v>
      </c>
      <c r="C503" s="5">
        <f t="shared" si="166"/>
        <v>7420</v>
      </c>
      <c r="D503" s="5">
        <f t="shared" si="166"/>
        <v>4940</v>
      </c>
      <c r="E503" s="5">
        <f t="shared" si="166"/>
        <v>1485</v>
      </c>
      <c r="F503" s="5">
        <f t="shared" si="166"/>
        <v>1980</v>
      </c>
      <c r="G503" s="5">
        <f t="shared" si="190"/>
        <v>119040</v>
      </c>
      <c r="H503" s="5">
        <f t="shared" si="190"/>
        <v>29680</v>
      </c>
      <c r="I503" s="5">
        <f t="shared" si="190"/>
        <v>19760</v>
      </c>
      <c r="J503" s="5">
        <f t="shared" si="190"/>
        <v>5940</v>
      </c>
      <c r="K503" s="5">
        <f t="shared" si="190"/>
        <v>7920</v>
      </c>
      <c r="L503" s="5">
        <f t="shared" si="191"/>
        <v>59520</v>
      </c>
      <c r="M503" s="5">
        <f t="shared" si="191"/>
        <v>14840</v>
      </c>
      <c r="N503" s="5">
        <f t="shared" si="191"/>
        <v>9880</v>
      </c>
      <c r="O503" s="5">
        <f t="shared" si="191"/>
        <v>2970</v>
      </c>
      <c r="P503" s="5">
        <f t="shared" si="191"/>
        <v>3960</v>
      </c>
      <c r="Q503" s="5">
        <f t="shared" si="184"/>
        <v>208320</v>
      </c>
      <c r="R503" s="5">
        <f t="shared" si="185"/>
        <v>51940</v>
      </c>
      <c r="S503" s="5">
        <f t="shared" si="186"/>
        <v>34580</v>
      </c>
      <c r="T503" s="5">
        <f t="shared" si="187"/>
        <v>10395</v>
      </c>
      <c r="U503" s="5">
        <f t="shared" si="188"/>
        <v>13860</v>
      </c>
      <c r="V503" s="5">
        <f>B503*战斗力计算!$B$8+C503*战斗力计算!$B$9+D503*战斗力计算!$B$10+E503*战斗力计算!$B$11+F503*战斗力计算!$B$12</f>
        <v>217680</v>
      </c>
      <c r="W503" s="5">
        <f>G503*战斗力计算!$B$8+H503*战斗力计算!$B$9+I503*战斗力计算!$B$10+J503*战斗力计算!$B$11+K503*战斗力计算!$B$12+L503*战斗力计算!$B$8+M503*战斗力计算!$B$9+N503*战斗力计算!$B$10+O503*战斗力计算!$B$11+P503*战斗力计算!$B$12</f>
        <v>1306080</v>
      </c>
      <c r="X503" s="5">
        <f t="shared" si="189"/>
        <v>1523760</v>
      </c>
      <c r="AC503">
        <f t="shared" si="168"/>
        <v>4</v>
      </c>
      <c r="AD503">
        <f t="shared" si="169"/>
        <v>2</v>
      </c>
      <c r="AF503">
        <f t="shared" si="170"/>
        <v>0.75</v>
      </c>
      <c r="AH503">
        <f t="shared" si="171"/>
        <v>12</v>
      </c>
      <c r="AK503">
        <f t="shared" si="172"/>
        <v>6.0242914979757085</v>
      </c>
      <c r="AL503">
        <f t="shared" si="173"/>
        <v>1.5020242914979758</v>
      </c>
      <c r="AM503">
        <f t="shared" si="174"/>
        <v>1</v>
      </c>
      <c r="AN503">
        <f t="shared" si="175"/>
        <v>6.0242914979757085</v>
      </c>
      <c r="AO503">
        <f t="shared" si="176"/>
        <v>1.5020242914979758</v>
      </c>
      <c r="AP503">
        <f t="shared" si="177"/>
        <v>1</v>
      </c>
      <c r="AR503">
        <f t="shared" si="178"/>
        <v>4.4969696969696971</v>
      </c>
      <c r="AT503">
        <f t="shared" si="179"/>
        <v>4.4969696969696971</v>
      </c>
      <c r="AV503">
        <f t="shared" si="180"/>
        <v>5194</v>
      </c>
      <c r="AW503">
        <f t="shared" si="181"/>
        <v>9646</v>
      </c>
    </row>
    <row r="504" spans="1:49" x14ac:dyDescent="0.15">
      <c r="A504" s="5">
        <v>494</v>
      </c>
      <c r="B504" s="5">
        <f t="shared" si="167"/>
        <v>29820</v>
      </c>
      <c r="C504" s="5">
        <f t="shared" si="166"/>
        <v>7435</v>
      </c>
      <c r="D504" s="5">
        <f t="shared" si="166"/>
        <v>4950</v>
      </c>
      <c r="E504" s="5">
        <f t="shared" si="166"/>
        <v>1488</v>
      </c>
      <c r="F504" s="5">
        <f t="shared" si="166"/>
        <v>1984</v>
      </c>
      <c r="G504" s="5">
        <f t="shared" si="190"/>
        <v>119280</v>
      </c>
      <c r="H504" s="5">
        <f t="shared" si="190"/>
        <v>29740</v>
      </c>
      <c r="I504" s="5">
        <f t="shared" si="190"/>
        <v>19800</v>
      </c>
      <c r="J504" s="5">
        <f t="shared" si="190"/>
        <v>5952</v>
      </c>
      <c r="K504" s="5">
        <f t="shared" si="190"/>
        <v>7936</v>
      </c>
      <c r="L504" s="5">
        <f t="shared" si="191"/>
        <v>59640</v>
      </c>
      <c r="M504" s="5">
        <f t="shared" si="191"/>
        <v>14870</v>
      </c>
      <c r="N504" s="5">
        <f t="shared" si="191"/>
        <v>9900</v>
      </c>
      <c r="O504" s="5">
        <f t="shared" si="191"/>
        <v>2976</v>
      </c>
      <c r="P504" s="5">
        <f t="shared" si="191"/>
        <v>3968</v>
      </c>
      <c r="Q504" s="5">
        <f t="shared" si="184"/>
        <v>208740</v>
      </c>
      <c r="R504" s="5">
        <f t="shared" si="185"/>
        <v>52045</v>
      </c>
      <c r="S504" s="5">
        <f t="shared" si="186"/>
        <v>34650</v>
      </c>
      <c r="T504" s="5">
        <f t="shared" si="187"/>
        <v>10416</v>
      </c>
      <c r="U504" s="5">
        <f t="shared" si="188"/>
        <v>13888</v>
      </c>
      <c r="V504" s="5">
        <f>B504*战斗力计算!$B$8+C504*战斗力计算!$B$9+D504*战斗力计算!$B$10+E504*战斗力计算!$B$11+F504*战斗力计算!$B$12</f>
        <v>218120</v>
      </c>
      <c r="W504" s="5">
        <f>G504*战斗力计算!$B$8+H504*战斗力计算!$B$9+I504*战斗力计算!$B$10+J504*战斗力计算!$B$11+K504*战斗力计算!$B$12+L504*战斗力计算!$B$8+M504*战斗力计算!$B$9+N504*战斗力计算!$B$10+O504*战斗力计算!$B$11+P504*战斗力计算!$B$12</f>
        <v>1308720</v>
      </c>
      <c r="X504" s="5">
        <f t="shared" si="189"/>
        <v>1526840</v>
      </c>
      <c r="AC504">
        <f t="shared" si="168"/>
        <v>4</v>
      </c>
      <c r="AD504">
        <f t="shared" si="169"/>
        <v>2</v>
      </c>
      <c r="AF504">
        <f t="shared" si="170"/>
        <v>0.75</v>
      </c>
      <c r="AH504">
        <f t="shared" si="171"/>
        <v>12</v>
      </c>
      <c r="AK504">
        <f t="shared" si="172"/>
        <v>6.0242424242424244</v>
      </c>
      <c r="AL504">
        <f t="shared" si="173"/>
        <v>1.502020202020202</v>
      </c>
      <c r="AM504">
        <f t="shared" si="174"/>
        <v>1</v>
      </c>
      <c r="AN504">
        <f t="shared" si="175"/>
        <v>6.0242424242424244</v>
      </c>
      <c r="AO504">
        <f t="shared" si="176"/>
        <v>1.502020202020202</v>
      </c>
      <c r="AP504">
        <f t="shared" si="177"/>
        <v>1</v>
      </c>
      <c r="AR504">
        <f t="shared" si="178"/>
        <v>4.496975806451613</v>
      </c>
      <c r="AT504">
        <f t="shared" si="179"/>
        <v>4.496975806451613</v>
      </c>
      <c r="AV504">
        <f t="shared" si="180"/>
        <v>5204</v>
      </c>
      <c r="AW504">
        <f t="shared" si="181"/>
        <v>9665</v>
      </c>
    </row>
    <row r="505" spans="1:49" x14ac:dyDescent="0.15">
      <c r="A505" s="5">
        <v>495</v>
      </c>
      <c r="B505" s="5">
        <f t="shared" si="167"/>
        <v>29880</v>
      </c>
      <c r="C505" s="5">
        <f t="shared" si="166"/>
        <v>7450</v>
      </c>
      <c r="D505" s="5">
        <f t="shared" si="166"/>
        <v>4960</v>
      </c>
      <c r="E505" s="5">
        <f t="shared" si="166"/>
        <v>1491</v>
      </c>
      <c r="F505" s="5">
        <f t="shared" si="166"/>
        <v>1988</v>
      </c>
      <c r="G505" s="5">
        <f t="shared" si="190"/>
        <v>119520</v>
      </c>
      <c r="H505" s="5">
        <f t="shared" si="190"/>
        <v>29800</v>
      </c>
      <c r="I505" s="5">
        <f t="shared" si="190"/>
        <v>19840</v>
      </c>
      <c r="J505" s="5">
        <f t="shared" si="190"/>
        <v>5964</v>
      </c>
      <c r="K505" s="5">
        <f t="shared" si="190"/>
        <v>7952</v>
      </c>
      <c r="L505" s="5">
        <f t="shared" si="191"/>
        <v>59760</v>
      </c>
      <c r="M505" s="5">
        <f t="shared" si="191"/>
        <v>14900</v>
      </c>
      <c r="N505" s="5">
        <f t="shared" si="191"/>
        <v>9920</v>
      </c>
      <c r="O505" s="5">
        <f t="shared" si="191"/>
        <v>2982</v>
      </c>
      <c r="P505" s="5">
        <f t="shared" si="191"/>
        <v>3976</v>
      </c>
      <c r="Q505" s="5">
        <f t="shared" si="184"/>
        <v>209160</v>
      </c>
      <c r="R505" s="5">
        <f t="shared" si="185"/>
        <v>52150</v>
      </c>
      <c r="S505" s="5">
        <f t="shared" si="186"/>
        <v>34720</v>
      </c>
      <c r="T505" s="5">
        <f t="shared" si="187"/>
        <v>10437</v>
      </c>
      <c r="U505" s="5">
        <f t="shared" si="188"/>
        <v>13916</v>
      </c>
      <c r="V505" s="5">
        <f>B505*战斗力计算!$B$8+C505*战斗力计算!$B$9+D505*战斗力计算!$B$10+E505*战斗力计算!$B$11+F505*战斗力计算!$B$12</f>
        <v>218560</v>
      </c>
      <c r="W505" s="5">
        <f>G505*战斗力计算!$B$8+H505*战斗力计算!$B$9+I505*战斗力计算!$B$10+J505*战斗力计算!$B$11+K505*战斗力计算!$B$12+L505*战斗力计算!$B$8+M505*战斗力计算!$B$9+N505*战斗力计算!$B$10+O505*战斗力计算!$B$11+P505*战斗力计算!$B$12</f>
        <v>1311360</v>
      </c>
      <c r="X505" s="5">
        <f t="shared" si="189"/>
        <v>1529920</v>
      </c>
      <c r="AC505">
        <f t="shared" si="168"/>
        <v>4</v>
      </c>
      <c r="AD505">
        <f t="shared" si="169"/>
        <v>2</v>
      </c>
      <c r="AF505">
        <f t="shared" si="170"/>
        <v>0.75</v>
      </c>
      <c r="AH505">
        <f t="shared" si="171"/>
        <v>12</v>
      </c>
      <c r="AK505">
        <f t="shared" si="172"/>
        <v>6.024193548387097</v>
      </c>
      <c r="AL505">
        <f t="shared" si="173"/>
        <v>1.502016129032258</v>
      </c>
      <c r="AM505">
        <f t="shared" si="174"/>
        <v>1</v>
      </c>
      <c r="AN505">
        <f t="shared" si="175"/>
        <v>6.024193548387097</v>
      </c>
      <c r="AO505">
        <f t="shared" si="176"/>
        <v>1.502016129032258</v>
      </c>
      <c r="AP505">
        <f t="shared" si="177"/>
        <v>1</v>
      </c>
      <c r="AR505">
        <f t="shared" si="178"/>
        <v>4.4969818913480886</v>
      </c>
      <c r="AT505">
        <f t="shared" si="179"/>
        <v>4.4969818913480886</v>
      </c>
      <c r="AV505">
        <f t="shared" si="180"/>
        <v>5215</v>
      </c>
      <c r="AW505">
        <f t="shared" si="181"/>
        <v>9685</v>
      </c>
    </row>
    <row r="506" spans="1:49" x14ac:dyDescent="0.15">
      <c r="A506" s="5">
        <v>496</v>
      </c>
      <c r="B506" s="5">
        <f t="shared" si="167"/>
        <v>29940</v>
      </c>
      <c r="C506" s="5">
        <f t="shared" si="166"/>
        <v>7465</v>
      </c>
      <c r="D506" s="5">
        <f t="shared" si="166"/>
        <v>4970</v>
      </c>
      <c r="E506" s="5">
        <f t="shared" si="166"/>
        <v>1494</v>
      </c>
      <c r="F506" s="5">
        <f t="shared" si="166"/>
        <v>1992</v>
      </c>
      <c r="G506" s="5">
        <f t="shared" si="190"/>
        <v>119760</v>
      </c>
      <c r="H506" s="5">
        <f t="shared" si="190"/>
        <v>29860</v>
      </c>
      <c r="I506" s="5">
        <f t="shared" si="190"/>
        <v>19880</v>
      </c>
      <c r="J506" s="5">
        <f t="shared" si="190"/>
        <v>5976</v>
      </c>
      <c r="K506" s="5">
        <f t="shared" si="190"/>
        <v>7968</v>
      </c>
      <c r="L506" s="5">
        <f t="shared" si="191"/>
        <v>59880</v>
      </c>
      <c r="M506" s="5">
        <f t="shared" si="191"/>
        <v>14930</v>
      </c>
      <c r="N506" s="5">
        <f t="shared" si="191"/>
        <v>9940</v>
      </c>
      <c r="O506" s="5">
        <f t="shared" si="191"/>
        <v>2988</v>
      </c>
      <c r="P506" s="5">
        <f t="shared" si="191"/>
        <v>3984</v>
      </c>
      <c r="Q506" s="5">
        <f t="shared" si="184"/>
        <v>209580</v>
      </c>
      <c r="R506" s="5">
        <f t="shared" si="185"/>
        <v>52255</v>
      </c>
      <c r="S506" s="5">
        <f t="shared" si="186"/>
        <v>34790</v>
      </c>
      <c r="T506" s="5">
        <f t="shared" si="187"/>
        <v>10458</v>
      </c>
      <c r="U506" s="5">
        <f t="shared" si="188"/>
        <v>13944</v>
      </c>
      <c r="V506" s="5">
        <f>B506*战斗力计算!$B$8+C506*战斗力计算!$B$9+D506*战斗力计算!$B$10+E506*战斗力计算!$B$11+F506*战斗力计算!$B$12</f>
        <v>219000</v>
      </c>
      <c r="W506" s="5">
        <f>G506*战斗力计算!$B$8+H506*战斗力计算!$B$9+I506*战斗力计算!$B$10+J506*战斗力计算!$B$11+K506*战斗力计算!$B$12+L506*战斗力计算!$B$8+M506*战斗力计算!$B$9+N506*战斗力计算!$B$10+O506*战斗力计算!$B$11+P506*战斗力计算!$B$12</f>
        <v>1314000</v>
      </c>
      <c r="X506" s="5">
        <f t="shared" si="189"/>
        <v>1533000</v>
      </c>
      <c r="AC506">
        <f t="shared" si="168"/>
        <v>4</v>
      </c>
      <c r="AD506">
        <f t="shared" si="169"/>
        <v>2</v>
      </c>
      <c r="AF506">
        <f t="shared" si="170"/>
        <v>0.75</v>
      </c>
      <c r="AH506">
        <f t="shared" si="171"/>
        <v>12</v>
      </c>
      <c r="AK506">
        <f t="shared" si="172"/>
        <v>6.0241448692152915</v>
      </c>
      <c r="AL506">
        <f t="shared" si="173"/>
        <v>1.5020120724346075</v>
      </c>
      <c r="AM506">
        <f t="shared" si="174"/>
        <v>1</v>
      </c>
      <c r="AN506">
        <f t="shared" si="175"/>
        <v>6.0241448692152915</v>
      </c>
      <c r="AO506">
        <f t="shared" si="176"/>
        <v>1.5020120724346075</v>
      </c>
      <c r="AP506">
        <f t="shared" si="177"/>
        <v>1</v>
      </c>
      <c r="AR506">
        <f t="shared" si="178"/>
        <v>4.4969879518072293</v>
      </c>
      <c r="AT506">
        <f t="shared" si="179"/>
        <v>4.4969879518072293</v>
      </c>
      <c r="AV506">
        <f t="shared" si="180"/>
        <v>5225</v>
      </c>
      <c r="AW506">
        <f t="shared" si="181"/>
        <v>9704</v>
      </c>
    </row>
    <row r="507" spans="1:49" x14ac:dyDescent="0.15">
      <c r="A507" s="5">
        <v>497</v>
      </c>
      <c r="B507" s="5">
        <f t="shared" si="167"/>
        <v>30000</v>
      </c>
      <c r="C507" s="5">
        <f t="shared" si="167"/>
        <v>7480</v>
      </c>
      <c r="D507" s="5">
        <f t="shared" si="167"/>
        <v>4980</v>
      </c>
      <c r="E507" s="5">
        <f t="shared" si="167"/>
        <v>1497</v>
      </c>
      <c r="F507" s="5">
        <f t="shared" si="167"/>
        <v>1996</v>
      </c>
      <c r="G507" s="5">
        <f t="shared" si="190"/>
        <v>120000</v>
      </c>
      <c r="H507" s="5">
        <f t="shared" si="190"/>
        <v>29920</v>
      </c>
      <c r="I507" s="5">
        <f t="shared" si="190"/>
        <v>19920</v>
      </c>
      <c r="J507" s="5">
        <f t="shared" si="190"/>
        <v>5988</v>
      </c>
      <c r="K507" s="5">
        <f t="shared" si="190"/>
        <v>7984</v>
      </c>
      <c r="L507" s="5">
        <f t="shared" si="191"/>
        <v>60000</v>
      </c>
      <c r="M507" s="5">
        <f t="shared" si="191"/>
        <v>14960</v>
      </c>
      <c r="N507" s="5">
        <f t="shared" si="191"/>
        <v>9960</v>
      </c>
      <c r="O507" s="5">
        <f t="shared" si="191"/>
        <v>2994</v>
      </c>
      <c r="P507" s="5">
        <f t="shared" si="191"/>
        <v>3992</v>
      </c>
      <c r="Q507" s="5">
        <f t="shared" si="184"/>
        <v>210000</v>
      </c>
      <c r="R507" s="5">
        <f t="shared" si="185"/>
        <v>52360</v>
      </c>
      <c r="S507" s="5">
        <f t="shared" si="186"/>
        <v>34860</v>
      </c>
      <c r="T507" s="5">
        <f t="shared" si="187"/>
        <v>10479</v>
      </c>
      <c r="U507" s="5">
        <f t="shared" si="188"/>
        <v>13972</v>
      </c>
      <c r="V507" s="5">
        <f>B507*战斗力计算!$B$8+C507*战斗力计算!$B$9+D507*战斗力计算!$B$10+E507*战斗力计算!$B$11+F507*战斗力计算!$B$12</f>
        <v>219440</v>
      </c>
      <c r="W507" s="5">
        <f>G507*战斗力计算!$B$8+H507*战斗力计算!$B$9+I507*战斗力计算!$B$10+J507*战斗力计算!$B$11+K507*战斗力计算!$B$12+L507*战斗力计算!$B$8+M507*战斗力计算!$B$9+N507*战斗力计算!$B$10+O507*战斗力计算!$B$11+P507*战斗力计算!$B$12</f>
        <v>1316640</v>
      </c>
      <c r="X507" s="5">
        <f t="shared" si="189"/>
        <v>1536080</v>
      </c>
      <c r="AC507">
        <f t="shared" si="168"/>
        <v>4</v>
      </c>
      <c r="AD507">
        <f t="shared" si="169"/>
        <v>2</v>
      </c>
      <c r="AF507">
        <f t="shared" si="170"/>
        <v>0.75</v>
      </c>
      <c r="AH507">
        <f t="shared" si="171"/>
        <v>12</v>
      </c>
      <c r="AK507">
        <f t="shared" si="172"/>
        <v>6.024096385542169</v>
      </c>
      <c r="AL507">
        <f t="shared" si="173"/>
        <v>1.5020080321285141</v>
      </c>
      <c r="AM507">
        <f t="shared" si="174"/>
        <v>1</v>
      </c>
      <c r="AN507">
        <f t="shared" si="175"/>
        <v>6.024096385542169</v>
      </c>
      <c r="AO507">
        <f t="shared" si="176"/>
        <v>1.5020080321285141</v>
      </c>
      <c r="AP507">
        <f t="shared" si="177"/>
        <v>1</v>
      </c>
      <c r="AR507">
        <f t="shared" si="178"/>
        <v>4.4969939879759515</v>
      </c>
      <c r="AT507">
        <f t="shared" si="179"/>
        <v>4.4969939879759515</v>
      </c>
      <c r="AV507">
        <f t="shared" si="180"/>
        <v>5236</v>
      </c>
      <c r="AW507">
        <f t="shared" si="181"/>
        <v>9724</v>
      </c>
    </row>
    <row r="508" spans="1:49" x14ac:dyDescent="0.15">
      <c r="A508" s="5">
        <v>498</v>
      </c>
      <c r="B508" s="5">
        <f t="shared" si="167"/>
        <v>30060</v>
      </c>
      <c r="C508" s="5">
        <f t="shared" si="167"/>
        <v>7495</v>
      </c>
      <c r="D508" s="5">
        <f t="shared" si="167"/>
        <v>4990</v>
      </c>
      <c r="E508" s="5">
        <f t="shared" si="167"/>
        <v>1500</v>
      </c>
      <c r="F508" s="5">
        <f t="shared" si="167"/>
        <v>2000</v>
      </c>
      <c r="G508" s="5">
        <f t="shared" si="190"/>
        <v>120240</v>
      </c>
      <c r="H508" s="5">
        <f t="shared" si="190"/>
        <v>29980</v>
      </c>
      <c r="I508" s="5">
        <f t="shared" si="190"/>
        <v>19960</v>
      </c>
      <c r="J508" s="5">
        <f t="shared" si="190"/>
        <v>6000</v>
      </c>
      <c r="K508" s="5">
        <f t="shared" si="190"/>
        <v>8000</v>
      </c>
      <c r="L508" s="5">
        <f t="shared" si="191"/>
        <v>60120</v>
      </c>
      <c r="M508" s="5">
        <f t="shared" si="191"/>
        <v>14990</v>
      </c>
      <c r="N508" s="5">
        <f t="shared" si="191"/>
        <v>9980</v>
      </c>
      <c r="O508" s="5">
        <f t="shared" si="191"/>
        <v>3000</v>
      </c>
      <c r="P508" s="5">
        <f t="shared" si="191"/>
        <v>4000</v>
      </c>
      <c r="Q508" s="5">
        <f t="shared" si="184"/>
        <v>210420</v>
      </c>
      <c r="R508" s="5">
        <f t="shared" si="185"/>
        <v>52465</v>
      </c>
      <c r="S508" s="5">
        <f t="shared" si="186"/>
        <v>34930</v>
      </c>
      <c r="T508" s="5">
        <f t="shared" si="187"/>
        <v>10500</v>
      </c>
      <c r="U508" s="5">
        <f t="shared" si="188"/>
        <v>14000</v>
      </c>
      <c r="V508" s="5">
        <f>B508*战斗力计算!$B$8+C508*战斗力计算!$B$9+D508*战斗力计算!$B$10+E508*战斗力计算!$B$11+F508*战斗力计算!$B$12</f>
        <v>219880</v>
      </c>
      <c r="W508" s="5">
        <f>G508*战斗力计算!$B$8+H508*战斗力计算!$B$9+I508*战斗力计算!$B$10+J508*战斗力计算!$B$11+K508*战斗力计算!$B$12+L508*战斗力计算!$B$8+M508*战斗力计算!$B$9+N508*战斗力计算!$B$10+O508*战斗力计算!$B$11+P508*战斗力计算!$B$12</f>
        <v>1319280</v>
      </c>
      <c r="X508" s="5">
        <f t="shared" si="189"/>
        <v>1539160</v>
      </c>
      <c r="AC508">
        <f t="shared" si="168"/>
        <v>4</v>
      </c>
      <c r="AD508">
        <f t="shared" si="169"/>
        <v>2</v>
      </c>
      <c r="AF508">
        <f t="shared" si="170"/>
        <v>0.75</v>
      </c>
      <c r="AH508">
        <f t="shared" si="171"/>
        <v>12</v>
      </c>
      <c r="AK508">
        <f t="shared" si="172"/>
        <v>6.0240480961923843</v>
      </c>
      <c r="AL508">
        <f t="shared" si="173"/>
        <v>1.502004008016032</v>
      </c>
      <c r="AM508">
        <f t="shared" si="174"/>
        <v>1</v>
      </c>
      <c r="AN508">
        <f t="shared" si="175"/>
        <v>6.0240480961923843</v>
      </c>
      <c r="AO508">
        <f t="shared" si="176"/>
        <v>1.502004008016032</v>
      </c>
      <c r="AP508">
        <f t="shared" si="177"/>
        <v>1</v>
      </c>
      <c r="AR508">
        <f t="shared" si="178"/>
        <v>4.4969999999999999</v>
      </c>
      <c r="AT508">
        <f t="shared" si="179"/>
        <v>4.4969999999999999</v>
      </c>
      <c r="AV508">
        <f t="shared" si="180"/>
        <v>5246</v>
      </c>
      <c r="AW508">
        <f t="shared" si="181"/>
        <v>9743</v>
      </c>
    </row>
    <row r="509" spans="1:49" x14ac:dyDescent="0.15">
      <c r="A509" s="5">
        <v>499</v>
      </c>
      <c r="B509" s="5">
        <f t="shared" si="167"/>
        <v>30120</v>
      </c>
      <c r="C509" s="5">
        <f t="shared" si="167"/>
        <v>7510</v>
      </c>
      <c r="D509" s="5">
        <f t="shared" si="167"/>
        <v>5000</v>
      </c>
      <c r="E509" s="5">
        <f t="shared" si="167"/>
        <v>1503</v>
      </c>
      <c r="F509" s="5">
        <f t="shared" si="167"/>
        <v>2004</v>
      </c>
      <c r="G509" s="5">
        <f t="shared" si="190"/>
        <v>120480</v>
      </c>
      <c r="H509" s="5">
        <f t="shared" si="190"/>
        <v>30040</v>
      </c>
      <c r="I509" s="5">
        <f t="shared" si="190"/>
        <v>20000</v>
      </c>
      <c r="J509" s="5">
        <f t="shared" si="190"/>
        <v>6012</v>
      </c>
      <c r="K509" s="5">
        <f t="shared" si="190"/>
        <v>8016</v>
      </c>
      <c r="L509" s="5">
        <f t="shared" si="191"/>
        <v>60240</v>
      </c>
      <c r="M509" s="5">
        <f t="shared" si="191"/>
        <v>15020</v>
      </c>
      <c r="N509" s="5">
        <f t="shared" si="191"/>
        <v>10000</v>
      </c>
      <c r="O509" s="5">
        <f t="shared" si="191"/>
        <v>3006</v>
      </c>
      <c r="P509" s="5">
        <f t="shared" si="191"/>
        <v>4008</v>
      </c>
      <c r="Q509" s="5">
        <f t="shared" si="184"/>
        <v>210840</v>
      </c>
      <c r="R509" s="5">
        <f t="shared" si="185"/>
        <v>52570</v>
      </c>
      <c r="S509" s="5">
        <f t="shared" si="186"/>
        <v>35000</v>
      </c>
      <c r="T509" s="5">
        <f t="shared" si="187"/>
        <v>10521</v>
      </c>
      <c r="U509" s="5">
        <f t="shared" si="188"/>
        <v>14028</v>
      </c>
      <c r="V509" s="5">
        <f>B509*战斗力计算!$B$8+C509*战斗力计算!$B$9+D509*战斗力计算!$B$10+E509*战斗力计算!$B$11+F509*战斗力计算!$B$12</f>
        <v>220320</v>
      </c>
      <c r="W509" s="5">
        <f>G509*战斗力计算!$B$8+H509*战斗力计算!$B$9+I509*战斗力计算!$B$10+J509*战斗力计算!$B$11+K509*战斗力计算!$B$12+L509*战斗力计算!$B$8+M509*战斗力计算!$B$9+N509*战斗力计算!$B$10+O509*战斗力计算!$B$11+P509*战斗力计算!$B$12</f>
        <v>1321920</v>
      </c>
      <c r="X509" s="5">
        <f t="shared" si="189"/>
        <v>1542240</v>
      </c>
      <c r="AC509">
        <f t="shared" si="168"/>
        <v>4</v>
      </c>
      <c r="AD509">
        <f t="shared" si="169"/>
        <v>2</v>
      </c>
      <c r="AF509">
        <f t="shared" si="170"/>
        <v>0.75</v>
      </c>
      <c r="AH509">
        <f t="shared" si="171"/>
        <v>12</v>
      </c>
      <c r="AK509">
        <f t="shared" si="172"/>
        <v>6.024</v>
      </c>
      <c r="AL509">
        <f t="shared" si="173"/>
        <v>1.502</v>
      </c>
      <c r="AM509">
        <f t="shared" si="174"/>
        <v>1</v>
      </c>
      <c r="AN509">
        <f t="shared" si="175"/>
        <v>6.024</v>
      </c>
      <c r="AO509">
        <f t="shared" si="176"/>
        <v>1.502</v>
      </c>
      <c r="AP509">
        <f t="shared" si="177"/>
        <v>1</v>
      </c>
      <c r="AR509">
        <f t="shared" si="178"/>
        <v>4.4970059880239521</v>
      </c>
      <c r="AT509">
        <f t="shared" si="179"/>
        <v>4.4970059880239521</v>
      </c>
      <c r="AV509">
        <f t="shared" si="180"/>
        <v>5257</v>
      </c>
      <c r="AW509">
        <f t="shared" si="181"/>
        <v>9763</v>
      </c>
    </row>
    <row r="510" spans="1:49" x14ac:dyDescent="0.15">
      <c r="A510" s="5">
        <v>500</v>
      </c>
      <c r="B510" s="5">
        <f t="shared" si="167"/>
        <v>30180</v>
      </c>
      <c r="C510" s="5">
        <f t="shared" si="167"/>
        <v>7525</v>
      </c>
      <c r="D510" s="5">
        <f t="shared" si="167"/>
        <v>5010</v>
      </c>
      <c r="E510" s="5">
        <f t="shared" si="167"/>
        <v>1506</v>
      </c>
      <c r="F510" s="5">
        <f t="shared" si="167"/>
        <v>2008</v>
      </c>
      <c r="G510" s="5">
        <f t="shared" si="190"/>
        <v>120720</v>
      </c>
      <c r="H510" s="5">
        <f t="shared" si="190"/>
        <v>30100</v>
      </c>
      <c r="I510" s="5">
        <f t="shared" si="190"/>
        <v>20040</v>
      </c>
      <c r="J510" s="5">
        <f t="shared" si="190"/>
        <v>6024</v>
      </c>
      <c r="K510" s="5">
        <f t="shared" si="190"/>
        <v>8032</v>
      </c>
      <c r="L510" s="5">
        <f t="shared" si="191"/>
        <v>60360</v>
      </c>
      <c r="M510" s="5">
        <f t="shared" si="191"/>
        <v>15050</v>
      </c>
      <c r="N510" s="5">
        <f t="shared" si="191"/>
        <v>10020</v>
      </c>
      <c r="O510" s="5">
        <f t="shared" si="191"/>
        <v>3012</v>
      </c>
      <c r="P510" s="5">
        <f t="shared" si="191"/>
        <v>4016</v>
      </c>
      <c r="Q510" s="5">
        <f t="shared" si="184"/>
        <v>211260</v>
      </c>
      <c r="R510" s="5">
        <f t="shared" si="185"/>
        <v>52675</v>
      </c>
      <c r="S510" s="5">
        <f t="shared" si="186"/>
        <v>35070</v>
      </c>
      <c r="T510" s="5">
        <f t="shared" si="187"/>
        <v>10542</v>
      </c>
      <c r="U510" s="5">
        <f t="shared" si="188"/>
        <v>14056</v>
      </c>
      <c r="V510" s="5">
        <f>B510*战斗力计算!$B$8+C510*战斗力计算!$B$9+D510*战斗力计算!$B$10+E510*战斗力计算!$B$11+F510*战斗力计算!$B$12</f>
        <v>220760</v>
      </c>
      <c r="W510" s="5">
        <f>G510*战斗力计算!$B$8+H510*战斗力计算!$B$9+I510*战斗力计算!$B$10+J510*战斗力计算!$B$11+K510*战斗力计算!$B$12+L510*战斗力计算!$B$8+M510*战斗力计算!$B$9+N510*战斗力计算!$B$10+O510*战斗力计算!$B$11+P510*战斗力计算!$B$12</f>
        <v>1324560</v>
      </c>
      <c r="X510" s="5">
        <f t="shared" si="189"/>
        <v>1545320</v>
      </c>
      <c r="AC510">
        <f t="shared" si="168"/>
        <v>4</v>
      </c>
      <c r="AD510">
        <f t="shared" si="169"/>
        <v>2</v>
      </c>
      <c r="AF510">
        <f t="shared" si="170"/>
        <v>0.75</v>
      </c>
      <c r="AH510">
        <f t="shared" si="171"/>
        <v>12</v>
      </c>
      <c r="AK510">
        <f t="shared" si="172"/>
        <v>6.023952095808383</v>
      </c>
      <c r="AL510">
        <f t="shared" si="173"/>
        <v>1.501996007984032</v>
      </c>
      <c r="AM510">
        <f t="shared" si="174"/>
        <v>1</v>
      </c>
      <c r="AN510">
        <f t="shared" si="175"/>
        <v>6.023952095808383</v>
      </c>
      <c r="AO510">
        <f t="shared" si="176"/>
        <v>1.501996007984032</v>
      </c>
      <c r="AP510">
        <f t="shared" si="177"/>
        <v>1</v>
      </c>
      <c r="AR510">
        <f t="shared" si="178"/>
        <v>4.4970119521912348</v>
      </c>
      <c r="AT510">
        <f t="shared" si="179"/>
        <v>4.4970119521912348</v>
      </c>
      <c r="AV510">
        <f t="shared" si="180"/>
        <v>5267</v>
      </c>
      <c r="AW510">
        <f t="shared" si="181"/>
        <v>9782</v>
      </c>
    </row>
    <row r="511" spans="1:49" x14ac:dyDescent="0.15">
      <c r="A511" s="5">
        <v>501</v>
      </c>
      <c r="B511" s="5">
        <f t="shared" si="167"/>
        <v>30240</v>
      </c>
      <c r="C511" s="5">
        <f t="shared" si="167"/>
        <v>7540</v>
      </c>
      <c r="D511" s="5">
        <f t="shared" si="167"/>
        <v>5020</v>
      </c>
      <c r="E511" s="5">
        <f t="shared" si="167"/>
        <v>1509</v>
      </c>
      <c r="F511" s="5">
        <f t="shared" si="167"/>
        <v>2012</v>
      </c>
      <c r="G511" s="5">
        <f t="shared" si="190"/>
        <v>120960</v>
      </c>
      <c r="H511" s="5">
        <f t="shared" si="190"/>
        <v>30160</v>
      </c>
      <c r="I511" s="5">
        <f t="shared" si="190"/>
        <v>20080</v>
      </c>
      <c r="J511" s="5">
        <f t="shared" si="190"/>
        <v>6036</v>
      </c>
      <c r="K511" s="5">
        <f t="shared" si="190"/>
        <v>8048</v>
      </c>
      <c r="L511" s="5">
        <f t="shared" si="191"/>
        <v>60480</v>
      </c>
      <c r="M511" s="5">
        <f t="shared" si="191"/>
        <v>15080</v>
      </c>
      <c r="N511" s="5">
        <f t="shared" si="191"/>
        <v>10040</v>
      </c>
      <c r="O511" s="5">
        <f t="shared" si="191"/>
        <v>3018</v>
      </c>
      <c r="P511" s="5">
        <f t="shared" si="191"/>
        <v>4024</v>
      </c>
      <c r="Q511" s="5">
        <f t="shared" si="184"/>
        <v>211680</v>
      </c>
      <c r="R511" s="5">
        <f t="shared" si="185"/>
        <v>52780</v>
      </c>
      <c r="S511" s="5">
        <f t="shared" si="186"/>
        <v>35140</v>
      </c>
      <c r="T511" s="5">
        <f t="shared" si="187"/>
        <v>10563</v>
      </c>
      <c r="U511" s="5">
        <f t="shared" si="188"/>
        <v>14084</v>
      </c>
      <c r="V511" s="5">
        <f>B511*战斗力计算!$B$8+C511*战斗力计算!$B$9+D511*战斗力计算!$B$10+E511*战斗力计算!$B$11+F511*战斗力计算!$B$12</f>
        <v>221200</v>
      </c>
      <c r="W511" s="5">
        <f>G511*战斗力计算!$B$8+H511*战斗力计算!$B$9+I511*战斗力计算!$B$10+J511*战斗力计算!$B$11+K511*战斗力计算!$B$12+L511*战斗力计算!$B$8+M511*战斗力计算!$B$9+N511*战斗力计算!$B$10+O511*战斗力计算!$B$11+P511*战斗力计算!$B$12</f>
        <v>1327200</v>
      </c>
      <c r="X511" s="5">
        <f t="shared" si="189"/>
        <v>1548400</v>
      </c>
      <c r="AC511">
        <f t="shared" si="168"/>
        <v>4</v>
      </c>
      <c r="AD511">
        <f t="shared" si="169"/>
        <v>2</v>
      </c>
      <c r="AF511">
        <f t="shared" si="170"/>
        <v>0.75</v>
      </c>
      <c r="AH511">
        <f t="shared" si="171"/>
        <v>12</v>
      </c>
      <c r="AK511">
        <f t="shared" si="172"/>
        <v>6.0239043824701195</v>
      </c>
      <c r="AL511">
        <f t="shared" si="173"/>
        <v>1.50199203187251</v>
      </c>
      <c r="AM511">
        <f t="shared" si="174"/>
        <v>1</v>
      </c>
      <c r="AN511">
        <f t="shared" si="175"/>
        <v>6.0239043824701195</v>
      </c>
      <c r="AO511">
        <f t="shared" si="176"/>
        <v>1.50199203187251</v>
      </c>
      <c r="AP511">
        <f t="shared" si="177"/>
        <v>1</v>
      </c>
      <c r="AR511">
        <f t="shared" si="178"/>
        <v>4.4970178926441351</v>
      </c>
      <c r="AT511">
        <f t="shared" si="179"/>
        <v>4.4970178926441351</v>
      </c>
      <c r="AV511">
        <f t="shared" si="180"/>
        <v>5278</v>
      </c>
      <c r="AW511">
        <f t="shared" si="181"/>
        <v>9802</v>
      </c>
    </row>
    <row r="512" spans="1:49" x14ac:dyDescent="0.15">
      <c r="A512" s="5">
        <v>502</v>
      </c>
      <c r="B512" s="5">
        <f t="shared" si="167"/>
        <v>30300</v>
      </c>
      <c r="C512" s="5">
        <f t="shared" si="167"/>
        <v>7555</v>
      </c>
      <c r="D512" s="5">
        <f t="shared" si="167"/>
        <v>5030</v>
      </c>
      <c r="E512" s="5">
        <f t="shared" si="167"/>
        <v>1512</v>
      </c>
      <c r="F512" s="5">
        <f t="shared" si="167"/>
        <v>2016</v>
      </c>
      <c r="G512" s="5">
        <f t="shared" si="190"/>
        <v>121200</v>
      </c>
      <c r="H512" s="5">
        <f t="shared" si="190"/>
        <v>30220</v>
      </c>
      <c r="I512" s="5">
        <f t="shared" si="190"/>
        <v>20120</v>
      </c>
      <c r="J512" s="5">
        <f t="shared" si="190"/>
        <v>6048</v>
      </c>
      <c r="K512" s="5">
        <f t="shared" si="190"/>
        <v>8064</v>
      </c>
      <c r="L512" s="5">
        <f t="shared" si="191"/>
        <v>60600</v>
      </c>
      <c r="M512" s="5">
        <f t="shared" si="191"/>
        <v>15110</v>
      </c>
      <c r="N512" s="5">
        <f t="shared" si="191"/>
        <v>10060</v>
      </c>
      <c r="O512" s="5">
        <f t="shared" si="191"/>
        <v>3024</v>
      </c>
      <c r="P512" s="5">
        <f t="shared" si="191"/>
        <v>4032</v>
      </c>
      <c r="Q512" s="5">
        <f t="shared" si="184"/>
        <v>212100</v>
      </c>
      <c r="R512" s="5">
        <f t="shared" si="185"/>
        <v>52885</v>
      </c>
      <c r="S512" s="5">
        <f t="shared" si="186"/>
        <v>35210</v>
      </c>
      <c r="T512" s="5">
        <f t="shared" si="187"/>
        <v>10584</v>
      </c>
      <c r="U512" s="5">
        <f t="shared" si="188"/>
        <v>14112</v>
      </c>
      <c r="V512" s="5">
        <f>B512*战斗力计算!$B$8+C512*战斗力计算!$B$9+D512*战斗力计算!$B$10+E512*战斗力计算!$B$11+F512*战斗力计算!$B$12</f>
        <v>221640</v>
      </c>
      <c r="W512" s="5">
        <f>G512*战斗力计算!$B$8+H512*战斗力计算!$B$9+I512*战斗力计算!$B$10+J512*战斗力计算!$B$11+K512*战斗力计算!$B$12+L512*战斗力计算!$B$8+M512*战斗力计算!$B$9+N512*战斗力计算!$B$10+O512*战斗力计算!$B$11+P512*战斗力计算!$B$12</f>
        <v>1329840</v>
      </c>
      <c r="X512" s="5">
        <f t="shared" si="189"/>
        <v>1551480</v>
      </c>
      <c r="AC512">
        <f t="shared" si="168"/>
        <v>4</v>
      </c>
      <c r="AD512">
        <f t="shared" si="169"/>
        <v>2</v>
      </c>
      <c r="AF512">
        <f t="shared" si="170"/>
        <v>0.75</v>
      </c>
      <c r="AH512">
        <f t="shared" si="171"/>
        <v>12</v>
      </c>
      <c r="AK512">
        <f t="shared" si="172"/>
        <v>6.0238568588469183</v>
      </c>
      <c r="AL512">
        <f t="shared" si="173"/>
        <v>1.5019880715705765</v>
      </c>
      <c r="AM512">
        <f t="shared" si="174"/>
        <v>1</v>
      </c>
      <c r="AN512">
        <f t="shared" si="175"/>
        <v>6.0238568588469183</v>
      </c>
      <c r="AO512">
        <f t="shared" si="176"/>
        <v>1.5019880715705765</v>
      </c>
      <c r="AP512">
        <f t="shared" si="177"/>
        <v>1</v>
      </c>
      <c r="AR512">
        <f t="shared" si="178"/>
        <v>4.4970238095238093</v>
      </c>
      <c r="AT512">
        <f t="shared" si="179"/>
        <v>4.4970238095238093</v>
      </c>
      <c r="AV512">
        <f t="shared" si="180"/>
        <v>5288</v>
      </c>
      <c r="AW512">
        <f t="shared" si="181"/>
        <v>9821</v>
      </c>
    </row>
    <row r="513" spans="1:49" x14ac:dyDescent="0.15">
      <c r="A513" s="5">
        <v>503</v>
      </c>
      <c r="B513" s="5">
        <f t="shared" si="167"/>
        <v>30360</v>
      </c>
      <c r="C513" s="5">
        <f t="shared" si="167"/>
        <v>7570</v>
      </c>
      <c r="D513" s="5">
        <f t="shared" si="167"/>
        <v>5040</v>
      </c>
      <c r="E513" s="5">
        <f t="shared" si="167"/>
        <v>1515</v>
      </c>
      <c r="F513" s="5">
        <f t="shared" si="167"/>
        <v>2020</v>
      </c>
      <c r="G513" s="5">
        <f t="shared" si="190"/>
        <v>121440</v>
      </c>
      <c r="H513" s="5">
        <f t="shared" si="190"/>
        <v>30280</v>
      </c>
      <c r="I513" s="5">
        <f t="shared" si="190"/>
        <v>20160</v>
      </c>
      <c r="J513" s="5">
        <f t="shared" si="190"/>
        <v>6060</v>
      </c>
      <c r="K513" s="5">
        <f t="shared" si="190"/>
        <v>8080</v>
      </c>
      <c r="L513" s="5">
        <f t="shared" si="191"/>
        <v>60720</v>
      </c>
      <c r="M513" s="5">
        <f t="shared" si="191"/>
        <v>15140</v>
      </c>
      <c r="N513" s="5">
        <f t="shared" si="191"/>
        <v>10080</v>
      </c>
      <c r="O513" s="5">
        <f t="shared" si="191"/>
        <v>3030</v>
      </c>
      <c r="P513" s="5">
        <f t="shared" si="191"/>
        <v>4040</v>
      </c>
      <c r="Q513" s="5">
        <f t="shared" si="184"/>
        <v>212520</v>
      </c>
      <c r="R513" s="5">
        <f t="shared" si="185"/>
        <v>52990</v>
      </c>
      <c r="S513" s="5">
        <f t="shared" si="186"/>
        <v>35280</v>
      </c>
      <c r="T513" s="5">
        <f t="shared" si="187"/>
        <v>10605</v>
      </c>
      <c r="U513" s="5">
        <f t="shared" si="188"/>
        <v>14140</v>
      </c>
      <c r="V513" s="5">
        <f>B513*战斗力计算!$B$8+C513*战斗力计算!$B$9+D513*战斗力计算!$B$10+E513*战斗力计算!$B$11+F513*战斗力计算!$B$12</f>
        <v>222080</v>
      </c>
      <c r="W513" s="5">
        <f>G513*战斗力计算!$B$8+H513*战斗力计算!$B$9+I513*战斗力计算!$B$10+J513*战斗力计算!$B$11+K513*战斗力计算!$B$12+L513*战斗力计算!$B$8+M513*战斗力计算!$B$9+N513*战斗力计算!$B$10+O513*战斗力计算!$B$11+P513*战斗力计算!$B$12</f>
        <v>1332480</v>
      </c>
      <c r="X513" s="5">
        <f t="shared" si="189"/>
        <v>1554560</v>
      </c>
      <c r="AC513">
        <f t="shared" si="168"/>
        <v>4</v>
      </c>
      <c r="AD513">
        <f t="shared" si="169"/>
        <v>2</v>
      </c>
      <c r="AF513">
        <f t="shared" si="170"/>
        <v>0.75</v>
      </c>
      <c r="AH513">
        <f t="shared" si="171"/>
        <v>12</v>
      </c>
      <c r="AK513">
        <f t="shared" si="172"/>
        <v>6.0238095238095237</v>
      </c>
      <c r="AL513">
        <f t="shared" si="173"/>
        <v>1.501984126984127</v>
      </c>
      <c r="AM513">
        <f t="shared" si="174"/>
        <v>1</v>
      </c>
      <c r="AN513">
        <f t="shared" si="175"/>
        <v>6.0238095238095237</v>
      </c>
      <c r="AO513">
        <f t="shared" si="176"/>
        <v>1.501984126984127</v>
      </c>
      <c r="AP513">
        <f t="shared" si="177"/>
        <v>1</v>
      </c>
      <c r="AR513">
        <f t="shared" si="178"/>
        <v>4.4970297029702975</v>
      </c>
      <c r="AT513">
        <f t="shared" si="179"/>
        <v>4.4970297029702975</v>
      </c>
      <c r="AV513">
        <f t="shared" si="180"/>
        <v>5299</v>
      </c>
      <c r="AW513">
        <f t="shared" si="181"/>
        <v>9841</v>
      </c>
    </row>
    <row r="514" spans="1:49" x14ac:dyDescent="0.15">
      <c r="A514" s="5">
        <v>504</v>
      </c>
      <c r="B514" s="5">
        <f t="shared" si="167"/>
        <v>30420</v>
      </c>
      <c r="C514" s="5">
        <f t="shared" si="167"/>
        <v>7585</v>
      </c>
      <c r="D514" s="5">
        <f t="shared" si="167"/>
        <v>5050</v>
      </c>
      <c r="E514" s="5">
        <f t="shared" si="167"/>
        <v>1518</v>
      </c>
      <c r="F514" s="5">
        <f t="shared" si="167"/>
        <v>2024</v>
      </c>
      <c r="G514" s="5">
        <f t="shared" si="190"/>
        <v>121680</v>
      </c>
      <c r="H514" s="5">
        <f t="shared" si="190"/>
        <v>30340</v>
      </c>
      <c r="I514" s="5">
        <f t="shared" si="190"/>
        <v>20200</v>
      </c>
      <c r="J514" s="5">
        <f t="shared" si="190"/>
        <v>6072</v>
      </c>
      <c r="K514" s="5">
        <f t="shared" si="190"/>
        <v>8096</v>
      </c>
      <c r="L514" s="5">
        <f t="shared" si="191"/>
        <v>60840</v>
      </c>
      <c r="M514" s="5">
        <f t="shared" si="191"/>
        <v>15170</v>
      </c>
      <c r="N514" s="5">
        <f t="shared" si="191"/>
        <v>10100</v>
      </c>
      <c r="O514" s="5">
        <f t="shared" si="191"/>
        <v>3036</v>
      </c>
      <c r="P514" s="5">
        <f t="shared" si="191"/>
        <v>4048</v>
      </c>
      <c r="Q514" s="5">
        <f t="shared" si="184"/>
        <v>212940</v>
      </c>
      <c r="R514" s="5">
        <f t="shared" si="185"/>
        <v>53095</v>
      </c>
      <c r="S514" s="5">
        <f t="shared" si="186"/>
        <v>35350</v>
      </c>
      <c r="T514" s="5">
        <f t="shared" si="187"/>
        <v>10626</v>
      </c>
      <c r="U514" s="5">
        <f t="shared" si="188"/>
        <v>14168</v>
      </c>
      <c r="V514" s="5">
        <f>B514*战斗力计算!$B$8+C514*战斗力计算!$B$9+D514*战斗力计算!$B$10+E514*战斗力计算!$B$11+F514*战斗力计算!$B$12</f>
        <v>222520</v>
      </c>
      <c r="W514" s="5">
        <f>G514*战斗力计算!$B$8+H514*战斗力计算!$B$9+I514*战斗力计算!$B$10+J514*战斗力计算!$B$11+K514*战斗力计算!$B$12+L514*战斗力计算!$B$8+M514*战斗力计算!$B$9+N514*战斗力计算!$B$10+O514*战斗力计算!$B$11+P514*战斗力计算!$B$12</f>
        <v>1335120</v>
      </c>
      <c r="X514" s="5">
        <f t="shared" si="189"/>
        <v>1557640</v>
      </c>
      <c r="AC514">
        <f t="shared" si="168"/>
        <v>4</v>
      </c>
      <c r="AD514">
        <f t="shared" si="169"/>
        <v>2</v>
      </c>
      <c r="AF514">
        <f t="shared" si="170"/>
        <v>0.75</v>
      </c>
      <c r="AH514">
        <f t="shared" si="171"/>
        <v>12</v>
      </c>
      <c r="AK514">
        <f t="shared" si="172"/>
        <v>6.0237623762376238</v>
      </c>
      <c r="AL514">
        <f t="shared" si="173"/>
        <v>1.501980198019802</v>
      </c>
      <c r="AM514">
        <f t="shared" si="174"/>
        <v>1</v>
      </c>
      <c r="AN514">
        <f t="shared" si="175"/>
        <v>6.0237623762376238</v>
      </c>
      <c r="AO514">
        <f t="shared" si="176"/>
        <v>1.501980198019802</v>
      </c>
      <c r="AP514">
        <f t="shared" si="177"/>
        <v>1</v>
      </c>
      <c r="AR514">
        <f t="shared" si="178"/>
        <v>4.4970355731225293</v>
      </c>
      <c r="AT514">
        <f t="shared" si="179"/>
        <v>4.4970355731225293</v>
      </c>
      <c r="AV514">
        <f t="shared" si="180"/>
        <v>5309</v>
      </c>
      <c r="AW514">
        <f t="shared" si="181"/>
        <v>9860</v>
      </c>
    </row>
    <row r="515" spans="1:49" x14ac:dyDescent="0.15">
      <c r="A515" s="5">
        <v>505</v>
      </c>
      <c r="B515" s="5">
        <f t="shared" si="167"/>
        <v>30480</v>
      </c>
      <c r="C515" s="5">
        <f t="shared" si="167"/>
        <v>7600</v>
      </c>
      <c r="D515" s="5">
        <f t="shared" si="167"/>
        <v>5060</v>
      </c>
      <c r="E515" s="5">
        <f t="shared" si="167"/>
        <v>1521</v>
      </c>
      <c r="F515" s="5">
        <f t="shared" si="167"/>
        <v>2028</v>
      </c>
      <c r="G515" s="5">
        <f t="shared" si="190"/>
        <v>121920</v>
      </c>
      <c r="H515" s="5">
        <f t="shared" si="190"/>
        <v>30400</v>
      </c>
      <c r="I515" s="5">
        <f t="shared" si="190"/>
        <v>20240</v>
      </c>
      <c r="J515" s="5">
        <f t="shared" si="190"/>
        <v>6084</v>
      </c>
      <c r="K515" s="5">
        <f t="shared" si="190"/>
        <v>8112</v>
      </c>
      <c r="L515" s="5">
        <f t="shared" si="191"/>
        <v>60960</v>
      </c>
      <c r="M515" s="5">
        <f t="shared" si="191"/>
        <v>15200</v>
      </c>
      <c r="N515" s="5">
        <f t="shared" si="191"/>
        <v>10120</v>
      </c>
      <c r="O515" s="5">
        <f t="shared" si="191"/>
        <v>3042</v>
      </c>
      <c r="P515" s="5">
        <f t="shared" si="191"/>
        <v>4056</v>
      </c>
      <c r="Q515" s="5">
        <f t="shared" si="184"/>
        <v>213360</v>
      </c>
      <c r="R515" s="5">
        <f t="shared" si="185"/>
        <v>53200</v>
      </c>
      <c r="S515" s="5">
        <f t="shared" si="186"/>
        <v>35420</v>
      </c>
      <c r="T515" s="5">
        <f t="shared" si="187"/>
        <v>10647</v>
      </c>
      <c r="U515" s="5">
        <f t="shared" si="188"/>
        <v>14196</v>
      </c>
      <c r="V515" s="5">
        <f>B515*战斗力计算!$B$8+C515*战斗力计算!$B$9+D515*战斗力计算!$B$10+E515*战斗力计算!$B$11+F515*战斗力计算!$B$12</f>
        <v>222960</v>
      </c>
      <c r="W515" s="5">
        <f>G515*战斗力计算!$B$8+H515*战斗力计算!$B$9+I515*战斗力计算!$B$10+J515*战斗力计算!$B$11+K515*战斗力计算!$B$12+L515*战斗力计算!$B$8+M515*战斗力计算!$B$9+N515*战斗力计算!$B$10+O515*战斗力计算!$B$11+P515*战斗力计算!$B$12</f>
        <v>1337760</v>
      </c>
      <c r="X515" s="5">
        <f t="shared" si="189"/>
        <v>1560720</v>
      </c>
      <c r="AC515">
        <f t="shared" si="168"/>
        <v>4</v>
      </c>
      <c r="AD515">
        <f t="shared" si="169"/>
        <v>2</v>
      </c>
      <c r="AF515">
        <f t="shared" si="170"/>
        <v>0.75</v>
      </c>
      <c r="AH515">
        <f t="shared" si="171"/>
        <v>12</v>
      </c>
      <c r="AK515">
        <f t="shared" si="172"/>
        <v>6.0237154150197627</v>
      </c>
      <c r="AL515">
        <f t="shared" si="173"/>
        <v>1.5019762845849802</v>
      </c>
      <c r="AM515">
        <f t="shared" si="174"/>
        <v>1</v>
      </c>
      <c r="AN515">
        <f t="shared" si="175"/>
        <v>6.0237154150197627</v>
      </c>
      <c r="AO515">
        <f t="shared" si="176"/>
        <v>1.5019762845849802</v>
      </c>
      <c r="AP515">
        <f t="shared" si="177"/>
        <v>1</v>
      </c>
      <c r="AR515">
        <f t="shared" si="178"/>
        <v>4.4970414201183431</v>
      </c>
      <c r="AT515">
        <f t="shared" si="179"/>
        <v>4.4970414201183431</v>
      </c>
      <c r="AV515">
        <f t="shared" si="180"/>
        <v>5320</v>
      </c>
      <c r="AW515">
        <f t="shared" si="181"/>
        <v>9880</v>
      </c>
    </row>
    <row r="516" spans="1:49" x14ac:dyDescent="0.15">
      <c r="A516" s="5">
        <v>506</v>
      </c>
      <c r="B516" s="5">
        <f t="shared" si="167"/>
        <v>30540</v>
      </c>
      <c r="C516" s="5">
        <f t="shared" si="167"/>
        <v>7615</v>
      </c>
      <c r="D516" s="5">
        <f t="shared" si="167"/>
        <v>5070</v>
      </c>
      <c r="E516" s="5">
        <f t="shared" si="167"/>
        <v>1524</v>
      </c>
      <c r="F516" s="5">
        <f t="shared" si="167"/>
        <v>2032</v>
      </c>
      <c r="G516" s="5">
        <f t="shared" si="190"/>
        <v>122160</v>
      </c>
      <c r="H516" s="5">
        <f t="shared" si="190"/>
        <v>30460</v>
      </c>
      <c r="I516" s="5">
        <f t="shared" si="190"/>
        <v>20280</v>
      </c>
      <c r="J516" s="5">
        <f t="shared" si="190"/>
        <v>6096</v>
      </c>
      <c r="K516" s="5">
        <f t="shared" si="190"/>
        <v>8128</v>
      </c>
      <c r="L516" s="5">
        <f t="shared" si="191"/>
        <v>61080</v>
      </c>
      <c r="M516" s="5">
        <f t="shared" si="191"/>
        <v>15230</v>
      </c>
      <c r="N516" s="5">
        <f t="shared" si="191"/>
        <v>10140</v>
      </c>
      <c r="O516" s="5">
        <f t="shared" si="191"/>
        <v>3048</v>
      </c>
      <c r="P516" s="5">
        <f t="shared" si="191"/>
        <v>4064</v>
      </c>
      <c r="Q516" s="5">
        <f t="shared" si="184"/>
        <v>213780</v>
      </c>
      <c r="R516" s="5">
        <f t="shared" si="185"/>
        <v>53305</v>
      </c>
      <c r="S516" s="5">
        <f t="shared" si="186"/>
        <v>35490</v>
      </c>
      <c r="T516" s="5">
        <f t="shared" si="187"/>
        <v>10668</v>
      </c>
      <c r="U516" s="5">
        <f t="shared" si="188"/>
        <v>14224</v>
      </c>
      <c r="V516" s="5">
        <f>B516*战斗力计算!$B$8+C516*战斗力计算!$B$9+D516*战斗力计算!$B$10+E516*战斗力计算!$B$11+F516*战斗力计算!$B$12</f>
        <v>223400</v>
      </c>
      <c r="W516" s="5">
        <f>G516*战斗力计算!$B$8+H516*战斗力计算!$B$9+I516*战斗力计算!$B$10+J516*战斗力计算!$B$11+K516*战斗力计算!$B$12+L516*战斗力计算!$B$8+M516*战斗力计算!$B$9+N516*战斗力计算!$B$10+O516*战斗力计算!$B$11+P516*战斗力计算!$B$12</f>
        <v>1340400</v>
      </c>
      <c r="X516" s="5">
        <f t="shared" si="189"/>
        <v>1563800</v>
      </c>
      <c r="AC516">
        <f t="shared" si="168"/>
        <v>4</v>
      </c>
      <c r="AD516">
        <f t="shared" si="169"/>
        <v>2</v>
      </c>
      <c r="AF516">
        <f t="shared" si="170"/>
        <v>0.75</v>
      </c>
      <c r="AH516">
        <f t="shared" si="171"/>
        <v>12</v>
      </c>
      <c r="AK516">
        <f t="shared" si="172"/>
        <v>6.0236686390532546</v>
      </c>
      <c r="AL516">
        <f t="shared" si="173"/>
        <v>1.5019723865877712</v>
      </c>
      <c r="AM516">
        <f t="shared" si="174"/>
        <v>1</v>
      </c>
      <c r="AN516">
        <f t="shared" si="175"/>
        <v>6.0236686390532546</v>
      </c>
      <c r="AO516">
        <f t="shared" si="176"/>
        <v>1.5019723865877712</v>
      </c>
      <c r="AP516">
        <f t="shared" si="177"/>
        <v>1</v>
      </c>
      <c r="AR516">
        <f t="shared" si="178"/>
        <v>4.497047244094488</v>
      </c>
      <c r="AT516">
        <f t="shared" si="179"/>
        <v>4.497047244094488</v>
      </c>
      <c r="AV516">
        <f t="shared" si="180"/>
        <v>5330</v>
      </c>
      <c r="AW516">
        <f t="shared" si="181"/>
        <v>9899</v>
      </c>
    </row>
    <row r="517" spans="1:49" x14ac:dyDescent="0.15">
      <c r="A517" s="5">
        <v>507</v>
      </c>
      <c r="B517" s="5">
        <f t="shared" si="167"/>
        <v>30600</v>
      </c>
      <c r="C517" s="5">
        <f t="shared" si="167"/>
        <v>7630</v>
      </c>
      <c r="D517" s="5">
        <f t="shared" si="167"/>
        <v>5080</v>
      </c>
      <c r="E517" s="5">
        <f t="shared" si="167"/>
        <v>1527</v>
      </c>
      <c r="F517" s="5">
        <f t="shared" si="167"/>
        <v>2036</v>
      </c>
      <c r="G517" s="5">
        <f t="shared" si="190"/>
        <v>122400</v>
      </c>
      <c r="H517" s="5">
        <f t="shared" si="190"/>
        <v>30520</v>
      </c>
      <c r="I517" s="5">
        <f t="shared" si="190"/>
        <v>20320</v>
      </c>
      <c r="J517" s="5">
        <f t="shared" si="190"/>
        <v>6108</v>
      </c>
      <c r="K517" s="5">
        <f t="shared" si="190"/>
        <v>8144</v>
      </c>
      <c r="L517" s="5">
        <f t="shared" si="191"/>
        <v>61200</v>
      </c>
      <c r="M517" s="5">
        <f t="shared" si="191"/>
        <v>15260</v>
      </c>
      <c r="N517" s="5">
        <f t="shared" si="191"/>
        <v>10160</v>
      </c>
      <c r="O517" s="5">
        <f t="shared" si="191"/>
        <v>3054</v>
      </c>
      <c r="P517" s="5">
        <f t="shared" si="191"/>
        <v>4072</v>
      </c>
      <c r="Q517" s="5">
        <f t="shared" si="184"/>
        <v>214200</v>
      </c>
      <c r="R517" s="5">
        <f t="shared" si="185"/>
        <v>53410</v>
      </c>
      <c r="S517" s="5">
        <f t="shared" si="186"/>
        <v>35560</v>
      </c>
      <c r="T517" s="5">
        <f t="shared" si="187"/>
        <v>10689</v>
      </c>
      <c r="U517" s="5">
        <f t="shared" si="188"/>
        <v>14252</v>
      </c>
      <c r="V517" s="5">
        <f>B517*战斗力计算!$B$8+C517*战斗力计算!$B$9+D517*战斗力计算!$B$10+E517*战斗力计算!$B$11+F517*战斗力计算!$B$12</f>
        <v>223840</v>
      </c>
      <c r="W517" s="5">
        <f>G517*战斗力计算!$B$8+H517*战斗力计算!$B$9+I517*战斗力计算!$B$10+J517*战斗力计算!$B$11+K517*战斗力计算!$B$12+L517*战斗力计算!$B$8+M517*战斗力计算!$B$9+N517*战斗力计算!$B$10+O517*战斗力计算!$B$11+P517*战斗力计算!$B$12</f>
        <v>1343040</v>
      </c>
      <c r="X517" s="5">
        <f t="shared" si="189"/>
        <v>1566880</v>
      </c>
      <c r="AC517">
        <f t="shared" si="168"/>
        <v>4</v>
      </c>
      <c r="AD517">
        <f t="shared" si="169"/>
        <v>2</v>
      </c>
      <c r="AF517">
        <f t="shared" si="170"/>
        <v>0.75</v>
      </c>
      <c r="AH517">
        <f t="shared" si="171"/>
        <v>12</v>
      </c>
      <c r="AK517">
        <f t="shared" si="172"/>
        <v>6.0236220472440944</v>
      </c>
      <c r="AL517">
        <f t="shared" si="173"/>
        <v>1.5019685039370079</v>
      </c>
      <c r="AM517">
        <f t="shared" si="174"/>
        <v>1</v>
      </c>
      <c r="AN517">
        <f t="shared" si="175"/>
        <v>6.0236220472440944</v>
      </c>
      <c r="AO517">
        <f t="shared" si="176"/>
        <v>1.5019685039370079</v>
      </c>
      <c r="AP517">
        <f t="shared" si="177"/>
        <v>1</v>
      </c>
      <c r="AR517">
        <f t="shared" si="178"/>
        <v>4.4970530451866404</v>
      </c>
      <c r="AT517">
        <f t="shared" si="179"/>
        <v>4.4970530451866404</v>
      </c>
      <c r="AV517">
        <f t="shared" si="180"/>
        <v>5341</v>
      </c>
      <c r="AW517">
        <f t="shared" si="181"/>
        <v>9919</v>
      </c>
    </row>
    <row r="518" spans="1:49" x14ac:dyDescent="0.15">
      <c r="A518" s="5">
        <v>508</v>
      </c>
      <c r="B518" s="5">
        <f t="shared" si="167"/>
        <v>30660</v>
      </c>
      <c r="C518" s="5">
        <f t="shared" si="167"/>
        <v>7645</v>
      </c>
      <c r="D518" s="5">
        <f t="shared" si="167"/>
        <v>5090</v>
      </c>
      <c r="E518" s="5">
        <f t="shared" si="167"/>
        <v>1530</v>
      </c>
      <c r="F518" s="5">
        <f t="shared" si="167"/>
        <v>2040</v>
      </c>
      <c r="G518" s="5">
        <f t="shared" si="190"/>
        <v>122640</v>
      </c>
      <c r="H518" s="5">
        <f t="shared" si="190"/>
        <v>30580</v>
      </c>
      <c r="I518" s="5">
        <f t="shared" si="190"/>
        <v>20360</v>
      </c>
      <c r="J518" s="5">
        <f t="shared" si="190"/>
        <v>6120</v>
      </c>
      <c r="K518" s="5">
        <f t="shared" si="190"/>
        <v>8160</v>
      </c>
      <c r="L518" s="5">
        <f t="shared" si="191"/>
        <v>61320</v>
      </c>
      <c r="M518" s="5">
        <f t="shared" si="191"/>
        <v>15290</v>
      </c>
      <c r="N518" s="5">
        <f t="shared" si="191"/>
        <v>10180</v>
      </c>
      <c r="O518" s="5">
        <f t="shared" si="191"/>
        <v>3060</v>
      </c>
      <c r="P518" s="5">
        <f t="shared" si="191"/>
        <v>4080</v>
      </c>
      <c r="Q518" s="5">
        <f t="shared" si="184"/>
        <v>214620</v>
      </c>
      <c r="R518" s="5">
        <f t="shared" si="185"/>
        <v>53515</v>
      </c>
      <c r="S518" s="5">
        <f t="shared" si="186"/>
        <v>35630</v>
      </c>
      <c r="T518" s="5">
        <f t="shared" si="187"/>
        <v>10710</v>
      </c>
      <c r="U518" s="5">
        <f t="shared" si="188"/>
        <v>14280</v>
      </c>
      <c r="V518" s="5">
        <f>B518*战斗力计算!$B$8+C518*战斗力计算!$B$9+D518*战斗力计算!$B$10+E518*战斗力计算!$B$11+F518*战斗力计算!$B$12</f>
        <v>224280</v>
      </c>
      <c r="W518" s="5">
        <f>G518*战斗力计算!$B$8+H518*战斗力计算!$B$9+I518*战斗力计算!$B$10+J518*战斗力计算!$B$11+K518*战斗力计算!$B$12+L518*战斗力计算!$B$8+M518*战斗力计算!$B$9+N518*战斗力计算!$B$10+O518*战斗力计算!$B$11+P518*战斗力计算!$B$12</f>
        <v>1345680</v>
      </c>
      <c r="X518" s="5">
        <f t="shared" si="189"/>
        <v>1569960</v>
      </c>
      <c r="AC518">
        <f t="shared" si="168"/>
        <v>4</v>
      </c>
      <c r="AD518">
        <f t="shared" si="169"/>
        <v>2</v>
      </c>
      <c r="AF518">
        <f t="shared" si="170"/>
        <v>0.75</v>
      </c>
      <c r="AH518">
        <f t="shared" si="171"/>
        <v>12</v>
      </c>
      <c r="AK518">
        <f t="shared" si="172"/>
        <v>6.0235756385068759</v>
      </c>
      <c r="AL518">
        <f t="shared" si="173"/>
        <v>1.5019646365422397</v>
      </c>
      <c r="AM518">
        <f t="shared" si="174"/>
        <v>1</v>
      </c>
      <c r="AN518">
        <f t="shared" si="175"/>
        <v>6.0235756385068759</v>
      </c>
      <c r="AO518">
        <f t="shared" si="176"/>
        <v>1.5019646365422397</v>
      </c>
      <c r="AP518">
        <f t="shared" si="177"/>
        <v>1</v>
      </c>
      <c r="AR518">
        <f t="shared" si="178"/>
        <v>4.4970588235294118</v>
      </c>
      <c r="AT518">
        <f t="shared" si="179"/>
        <v>4.4970588235294118</v>
      </c>
      <c r="AV518">
        <f t="shared" si="180"/>
        <v>5351</v>
      </c>
      <c r="AW518">
        <f t="shared" si="181"/>
        <v>9938</v>
      </c>
    </row>
    <row r="519" spans="1:49" x14ac:dyDescent="0.15">
      <c r="A519" s="5">
        <v>509</v>
      </c>
      <c r="B519" s="5">
        <f t="shared" si="167"/>
        <v>30720</v>
      </c>
      <c r="C519" s="5">
        <f t="shared" si="167"/>
        <v>7660</v>
      </c>
      <c r="D519" s="5">
        <f t="shared" si="167"/>
        <v>5100</v>
      </c>
      <c r="E519" s="5">
        <f t="shared" si="167"/>
        <v>1533</v>
      </c>
      <c r="F519" s="5">
        <f t="shared" si="167"/>
        <v>2044</v>
      </c>
      <c r="G519" s="5">
        <f t="shared" si="190"/>
        <v>122880</v>
      </c>
      <c r="H519" s="5">
        <f t="shared" si="190"/>
        <v>30640</v>
      </c>
      <c r="I519" s="5">
        <f t="shared" si="190"/>
        <v>20400</v>
      </c>
      <c r="J519" s="5">
        <f t="shared" si="190"/>
        <v>6132</v>
      </c>
      <c r="K519" s="5">
        <f t="shared" si="190"/>
        <v>8176</v>
      </c>
      <c r="L519" s="5">
        <f t="shared" si="191"/>
        <v>61440</v>
      </c>
      <c r="M519" s="5">
        <f t="shared" si="191"/>
        <v>15320</v>
      </c>
      <c r="N519" s="5">
        <f t="shared" si="191"/>
        <v>10200</v>
      </c>
      <c r="O519" s="5">
        <f t="shared" si="191"/>
        <v>3066</v>
      </c>
      <c r="P519" s="5">
        <f t="shared" si="191"/>
        <v>4088</v>
      </c>
      <c r="Q519" s="5">
        <f t="shared" si="184"/>
        <v>215040</v>
      </c>
      <c r="R519" s="5">
        <f t="shared" si="185"/>
        <v>53620</v>
      </c>
      <c r="S519" s="5">
        <f t="shared" si="186"/>
        <v>35700</v>
      </c>
      <c r="T519" s="5">
        <f t="shared" si="187"/>
        <v>10731</v>
      </c>
      <c r="U519" s="5">
        <f t="shared" si="188"/>
        <v>14308</v>
      </c>
      <c r="V519" s="5">
        <f>B519*战斗力计算!$B$8+C519*战斗力计算!$B$9+D519*战斗力计算!$B$10+E519*战斗力计算!$B$11+F519*战斗力计算!$B$12</f>
        <v>224720</v>
      </c>
      <c r="W519" s="5">
        <f>G519*战斗力计算!$B$8+H519*战斗力计算!$B$9+I519*战斗力计算!$B$10+J519*战斗力计算!$B$11+K519*战斗力计算!$B$12+L519*战斗力计算!$B$8+M519*战斗力计算!$B$9+N519*战斗力计算!$B$10+O519*战斗力计算!$B$11+P519*战斗力计算!$B$12</f>
        <v>1348320</v>
      </c>
      <c r="X519" s="5">
        <f t="shared" si="189"/>
        <v>1573040</v>
      </c>
      <c r="AC519">
        <f t="shared" si="168"/>
        <v>4</v>
      </c>
      <c r="AD519">
        <f t="shared" si="169"/>
        <v>2</v>
      </c>
      <c r="AF519">
        <f t="shared" si="170"/>
        <v>0.75</v>
      </c>
      <c r="AH519">
        <f t="shared" si="171"/>
        <v>12</v>
      </c>
      <c r="AK519">
        <f t="shared" si="172"/>
        <v>6.0235294117647058</v>
      </c>
      <c r="AL519">
        <f t="shared" si="173"/>
        <v>1.5019607843137255</v>
      </c>
      <c r="AM519">
        <f t="shared" si="174"/>
        <v>1</v>
      </c>
      <c r="AN519">
        <f t="shared" si="175"/>
        <v>6.0235294117647058</v>
      </c>
      <c r="AO519">
        <f t="shared" si="176"/>
        <v>1.5019607843137255</v>
      </c>
      <c r="AP519">
        <f t="shared" si="177"/>
        <v>1</v>
      </c>
      <c r="AR519">
        <f t="shared" si="178"/>
        <v>4.4970645792563602</v>
      </c>
      <c r="AT519">
        <f t="shared" si="179"/>
        <v>4.4970645792563602</v>
      </c>
      <c r="AV519">
        <f t="shared" si="180"/>
        <v>5362</v>
      </c>
      <c r="AW519">
        <f t="shared" si="181"/>
        <v>9958</v>
      </c>
    </row>
    <row r="520" spans="1:49" x14ac:dyDescent="0.15">
      <c r="A520" s="5">
        <v>510</v>
      </c>
      <c r="B520" s="5">
        <f t="shared" si="167"/>
        <v>30780</v>
      </c>
      <c r="C520" s="5">
        <f t="shared" si="167"/>
        <v>7675</v>
      </c>
      <c r="D520" s="5">
        <f t="shared" si="167"/>
        <v>5110</v>
      </c>
      <c r="E520" s="5">
        <f t="shared" si="167"/>
        <v>1536</v>
      </c>
      <c r="F520" s="5">
        <f t="shared" si="167"/>
        <v>2048</v>
      </c>
      <c r="G520" s="5">
        <f t="shared" si="190"/>
        <v>123120</v>
      </c>
      <c r="H520" s="5">
        <f t="shared" si="190"/>
        <v>30700</v>
      </c>
      <c r="I520" s="5">
        <f t="shared" si="190"/>
        <v>20440</v>
      </c>
      <c r="J520" s="5">
        <f t="shared" si="190"/>
        <v>6144</v>
      </c>
      <c r="K520" s="5">
        <f t="shared" si="190"/>
        <v>8192</v>
      </c>
      <c r="L520" s="5">
        <f t="shared" si="191"/>
        <v>61560</v>
      </c>
      <c r="M520" s="5">
        <f t="shared" si="191"/>
        <v>15350</v>
      </c>
      <c r="N520" s="5">
        <f t="shared" si="191"/>
        <v>10220</v>
      </c>
      <c r="O520" s="5">
        <f t="shared" si="191"/>
        <v>3072</v>
      </c>
      <c r="P520" s="5">
        <f t="shared" si="191"/>
        <v>4096</v>
      </c>
      <c r="Q520" s="5">
        <f t="shared" si="184"/>
        <v>215460</v>
      </c>
      <c r="R520" s="5">
        <f t="shared" si="185"/>
        <v>53725</v>
      </c>
      <c r="S520" s="5">
        <f t="shared" si="186"/>
        <v>35770</v>
      </c>
      <c r="T520" s="5">
        <f t="shared" si="187"/>
        <v>10752</v>
      </c>
      <c r="U520" s="5">
        <f t="shared" si="188"/>
        <v>14336</v>
      </c>
      <c r="V520" s="5">
        <f>B520*战斗力计算!$B$8+C520*战斗力计算!$B$9+D520*战斗力计算!$B$10+E520*战斗力计算!$B$11+F520*战斗力计算!$B$12</f>
        <v>225160</v>
      </c>
      <c r="W520" s="5">
        <f>G520*战斗力计算!$B$8+H520*战斗力计算!$B$9+I520*战斗力计算!$B$10+J520*战斗力计算!$B$11+K520*战斗力计算!$B$12+L520*战斗力计算!$B$8+M520*战斗力计算!$B$9+N520*战斗力计算!$B$10+O520*战斗力计算!$B$11+P520*战斗力计算!$B$12</f>
        <v>1350960</v>
      </c>
      <c r="X520" s="5">
        <f t="shared" si="189"/>
        <v>1576120</v>
      </c>
      <c r="AC520">
        <f t="shared" si="168"/>
        <v>4</v>
      </c>
      <c r="AD520">
        <f t="shared" si="169"/>
        <v>2</v>
      </c>
      <c r="AF520">
        <f t="shared" si="170"/>
        <v>0.75</v>
      </c>
      <c r="AH520">
        <f t="shared" si="171"/>
        <v>12</v>
      </c>
      <c r="AK520">
        <f t="shared" si="172"/>
        <v>6.0234833659491196</v>
      </c>
      <c r="AL520">
        <f t="shared" si="173"/>
        <v>1.5019569471624266</v>
      </c>
      <c r="AM520">
        <f t="shared" si="174"/>
        <v>1</v>
      </c>
      <c r="AN520">
        <f t="shared" si="175"/>
        <v>6.0234833659491196</v>
      </c>
      <c r="AO520">
        <f t="shared" si="176"/>
        <v>1.5019569471624266</v>
      </c>
      <c r="AP520">
        <f t="shared" si="177"/>
        <v>1</v>
      </c>
      <c r="AR520">
        <f t="shared" si="178"/>
        <v>4.4970703125</v>
      </c>
      <c r="AT520">
        <f t="shared" si="179"/>
        <v>4.4970703125</v>
      </c>
      <c r="AV520">
        <f t="shared" si="180"/>
        <v>5372</v>
      </c>
      <c r="AW520">
        <f t="shared" si="181"/>
        <v>9977</v>
      </c>
    </row>
    <row r="521" spans="1:49" x14ac:dyDescent="0.15">
      <c r="A521" s="5">
        <v>511</v>
      </c>
      <c r="B521" s="5">
        <f t="shared" si="167"/>
        <v>30840</v>
      </c>
      <c r="C521" s="5">
        <f t="shared" si="167"/>
        <v>7690</v>
      </c>
      <c r="D521" s="5">
        <f t="shared" si="167"/>
        <v>5120</v>
      </c>
      <c r="E521" s="5">
        <f t="shared" si="167"/>
        <v>1539</v>
      </c>
      <c r="F521" s="5">
        <f t="shared" si="167"/>
        <v>2052</v>
      </c>
      <c r="G521" s="5">
        <f t="shared" si="190"/>
        <v>123360</v>
      </c>
      <c r="H521" s="5">
        <f t="shared" si="190"/>
        <v>30760</v>
      </c>
      <c r="I521" s="5">
        <f t="shared" si="190"/>
        <v>20480</v>
      </c>
      <c r="J521" s="5">
        <f t="shared" si="190"/>
        <v>6156</v>
      </c>
      <c r="K521" s="5">
        <f t="shared" si="190"/>
        <v>8208</v>
      </c>
      <c r="L521" s="5">
        <f t="shared" si="191"/>
        <v>61680</v>
      </c>
      <c r="M521" s="5">
        <f t="shared" si="191"/>
        <v>15380</v>
      </c>
      <c r="N521" s="5">
        <f t="shared" si="191"/>
        <v>10240</v>
      </c>
      <c r="O521" s="5">
        <f t="shared" si="191"/>
        <v>3078</v>
      </c>
      <c r="P521" s="5">
        <f t="shared" si="191"/>
        <v>4104</v>
      </c>
      <c r="Q521" s="5">
        <f t="shared" si="184"/>
        <v>215880</v>
      </c>
      <c r="R521" s="5">
        <f t="shared" si="185"/>
        <v>53830</v>
      </c>
      <c r="S521" s="5">
        <f t="shared" si="186"/>
        <v>35840</v>
      </c>
      <c r="T521" s="5">
        <f t="shared" si="187"/>
        <v>10773</v>
      </c>
      <c r="U521" s="5">
        <f t="shared" si="188"/>
        <v>14364</v>
      </c>
      <c r="V521" s="5">
        <f>B521*战斗力计算!$B$8+C521*战斗力计算!$B$9+D521*战斗力计算!$B$10+E521*战斗力计算!$B$11+F521*战斗力计算!$B$12</f>
        <v>225600</v>
      </c>
      <c r="W521" s="5">
        <f>G521*战斗力计算!$B$8+H521*战斗力计算!$B$9+I521*战斗力计算!$B$10+J521*战斗力计算!$B$11+K521*战斗力计算!$B$12+L521*战斗力计算!$B$8+M521*战斗力计算!$B$9+N521*战斗力计算!$B$10+O521*战斗力计算!$B$11+P521*战斗力计算!$B$12</f>
        <v>1353600</v>
      </c>
      <c r="X521" s="5">
        <f t="shared" si="189"/>
        <v>1579200</v>
      </c>
      <c r="AC521">
        <f t="shared" si="168"/>
        <v>4</v>
      </c>
      <c r="AD521">
        <f t="shared" si="169"/>
        <v>2</v>
      </c>
      <c r="AF521">
        <f t="shared" si="170"/>
        <v>0.75</v>
      </c>
      <c r="AH521">
        <f t="shared" si="171"/>
        <v>12</v>
      </c>
      <c r="AK521">
        <f t="shared" si="172"/>
        <v>6.0234375</v>
      </c>
      <c r="AL521">
        <f t="shared" si="173"/>
        <v>1.501953125</v>
      </c>
      <c r="AM521">
        <f t="shared" si="174"/>
        <v>1</v>
      </c>
      <c r="AN521">
        <f t="shared" si="175"/>
        <v>6.0234375</v>
      </c>
      <c r="AO521">
        <f t="shared" si="176"/>
        <v>1.501953125</v>
      </c>
      <c r="AP521">
        <f t="shared" si="177"/>
        <v>1</v>
      </c>
      <c r="AR521">
        <f t="shared" si="178"/>
        <v>4.4970760233918128</v>
      </c>
      <c r="AT521">
        <f t="shared" si="179"/>
        <v>4.4970760233918128</v>
      </c>
      <c r="AV521">
        <f t="shared" si="180"/>
        <v>5383</v>
      </c>
      <c r="AW521">
        <f t="shared" si="181"/>
        <v>9997</v>
      </c>
    </row>
    <row r="522" spans="1:49" x14ac:dyDescent="0.15">
      <c r="A522" s="5">
        <v>512</v>
      </c>
      <c r="B522" s="5">
        <f t="shared" si="167"/>
        <v>30900</v>
      </c>
      <c r="C522" s="5">
        <f t="shared" si="167"/>
        <v>7705</v>
      </c>
      <c r="D522" s="5">
        <f t="shared" si="167"/>
        <v>5130</v>
      </c>
      <c r="E522" s="5">
        <f t="shared" si="167"/>
        <v>1542</v>
      </c>
      <c r="F522" s="5">
        <f t="shared" si="167"/>
        <v>2056</v>
      </c>
      <c r="G522" s="5">
        <f t="shared" si="190"/>
        <v>123600</v>
      </c>
      <c r="H522" s="5">
        <f t="shared" si="190"/>
        <v>30820</v>
      </c>
      <c r="I522" s="5">
        <f t="shared" si="190"/>
        <v>20520</v>
      </c>
      <c r="J522" s="5">
        <f t="shared" si="190"/>
        <v>6168</v>
      </c>
      <c r="K522" s="5">
        <f t="shared" si="190"/>
        <v>8224</v>
      </c>
      <c r="L522" s="5">
        <f t="shared" si="191"/>
        <v>61800</v>
      </c>
      <c r="M522" s="5">
        <f t="shared" si="191"/>
        <v>15410</v>
      </c>
      <c r="N522" s="5">
        <f t="shared" si="191"/>
        <v>10260</v>
      </c>
      <c r="O522" s="5">
        <f t="shared" si="191"/>
        <v>3084</v>
      </c>
      <c r="P522" s="5">
        <f t="shared" si="191"/>
        <v>4112</v>
      </c>
      <c r="Q522" s="5">
        <f t="shared" si="184"/>
        <v>216300</v>
      </c>
      <c r="R522" s="5">
        <f t="shared" si="185"/>
        <v>53935</v>
      </c>
      <c r="S522" s="5">
        <f t="shared" si="186"/>
        <v>35910</v>
      </c>
      <c r="T522" s="5">
        <f t="shared" si="187"/>
        <v>10794</v>
      </c>
      <c r="U522" s="5">
        <f t="shared" si="188"/>
        <v>14392</v>
      </c>
      <c r="V522" s="5">
        <f>B522*战斗力计算!$B$8+C522*战斗力计算!$B$9+D522*战斗力计算!$B$10+E522*战斗力计算!$B$11+F522*战斗力计算!$B$12</f>
        <v>226040</v>
      </c>
      <c r="W522" s="5">
        <f>G522*战斗力计算!$B$8+H522*战斗力计算!$B$9+I522*战斗力计算!$B$10+J522*战斗力计算!$B$11+K522*战斗力计算!$B$12+L522*战斗力计算!$B$8+M522*战斗力计算!$B$9+N522*战斗力计算!$B$10+O522*战斗力计算!$B$11+P522*战斗力计算!$B$12</f>
        <v>1356240</v>
      </c>
      <c r="X522" s="5">
        <f t="shared" si="189"/>
        <v>1582280</v>
      </c>
      <c r="AC522">
        <f t="shared" si="168"/>
        <v>4</v>
      </c>
      <c r="AD522">
        <f t="shared" si="169"/>
        <v>2</v>
      </c>
      <c r="AF522">
        <f t="shared" si="170"/>
        <v>0.75</v>
      </c>
      <c r="AH522">
        <f t="shared" si="171"/>
        <v>12</v>
      </c>
      <c r="AK522">
        <f t="shared" si="172"/>
        <v>6.0233918128654969</v>
      </c>
      <c r="AL522">
        <f t="shared" si="173"/>
        <v>1.5019493177387915</v>
      </c>
      <c r="AM522">
        <f t="shared" si="174"/>
        <v>1</v>
      </c>
      <c r="AN522">
        <f t="shared" si="175"/>
        <v>6.0233918128654969</v>
      </c>
      <c r="AO522">
        <f t="shared" si="176"/>
        <v>1.5019493177387915</v>
      </c>
      <c r="AP522">
        <f t="shared" si="177"/>
        <v>1</v>
      </c>
      <c r="AR522">
        <f t="shared" si="178"/>
        <v>4.4970817120622568</v>
      </c>
      <c r="AT522">
        <f t="shared" si="179"/>
        <v>4.4970817120622568</v>
      </c>
      <c r="AV522">
        <f t="shared" si="180"/>
        <v>5393</v>
      </c>
      <c r="AW522">
        <f t="shared" si="181"/>
        <v>10016</v>
      </c>
    </row>
    <row r="523" spans="1:49" x14ac:dyDescent="0.15">
      <c r="A523" s="5">
        <v>513</v>
      </c>
      <c r="B523" s="5">
        <f t="shared" si="167"/>
        <v>30960</v>
      </c>
      <c r="C523" s="5">
        <f t="shared" si="167"/>
        <v>7720</v>
      </c>
      <c r="D523" s="5">
        <f t="shared" si="167"/>
        <v>5140</v>
      </c>
      <c r="E523" s="5">
        <f t="shared" si="167"/>
        <v>1545</v>
      </c>
      <c r="F523" s="5">
        <f t="shared" si="167"/>
        <v>2060</v>
      </c>
      <c r="G523" s="5">
        <f t="shared" si="190"/>
        <v>123840</v>
      </c>
      <c r="H523" s="5">
        <f t="shared" si="190"/>
        <v>30880</v>
      </c>
      <c r="I523" s="5">
        <f t="shared" si="190"/>
        <v>20560</v>
      </c>
      <c r="J523" s="5">
        <f t="shared" si="190"/>
        <v>6180</v>
      </c>
      <c r="K523" s="5">
        <f t="shared" si="190"/>
        <v>8240</v>
      </c>
      <c r="L523" s="5">
        <f t="shared" si="191"/>
        <v>61920</v>
      </c>
      <c r="M523" s="5">
        <f t="shared" si="191"/>
        <v>15440</v>
      </c>
      <c r="N523" s="5">
        <f t="shared" si="191"/>
        <v>10280</v>
      </c>
      <c r="O523" s="5">
        <f t="shared" si="191"/>
        <v>3090</v>
      </c>
      <c r="P523" s="5">
        <f t="shared" si="191"/>
        <v>4120</v>
      </c>
      <c r="Q523" s="5">
        <f t="shared" si="184"/>
        <v>216720</v>
      </c>
      <c r="R523" s="5">
        <f t="shared" si="185"/>
        <v>54040</v>
      </c>
      <c r="S523" s="5">
        <f t="shared" si="186"/>
        <v>35980</v>
      </c>
      <c r="T523" s="5">
        <f t="shared" si="187"/>
        <v>10815</v>
      </c>
      <c r="U523" s="5">
        <f t="shared" si="188"/>
        <v>14420</v>
      </c>
      <c r="V523" s="5">
        <f>B523*战斗力计算!$B$8+C523*战斗力计算!$B$9+D523*战斗力计算!$B$10+E523*战斗力计算!$B$11+F523*战斗力计算!$B$12</f>
        <v>226480</v>
      </c>
      <c r="W523" s="5">
        <f>G523*战斗力计算!$B$8+H523*战斗力计算!$B$9+I523*战斗力计算!$B$10+J523*战斗力计算!$B$11+K523*战斗力计算!$B$12+L523*战斗力计算!$B$8+M523*战斗力计算!$B$9+N523*战斗力计算!$B$10+O523*战斗力计算!$B$11+P523*战斗力计算!$B$12</f>
        <v>1358880</v>
      </c>
      <c r="X523" s="5">
        <f t="shared" si="189"/>
        <v>1585360</v>
      </c>
      <c r="AC523">
        <f t="shared" si="168"/>
        <v>4</v>
      </c>
      <c r="AD523">
        <f t="shared" si="169"/>
        <v>2</v>
      </c>
      <c r="AF523">
        <f t="shared" si="170"/>
        <v>0.75</v>
      </c>
      <c r="AH523">
        <f t="shared" si="171"/>
        <v>12</v>
      </c>
      <c r="AK523">
        <f t="shared" si="172"/>
        <v>6.0233463035019454</v>
      </c>
      <c r="AL523">
        <f t="shared" si="173"/>
        <v>1.5019455252918288</v>
      </c>
      <c r="AM523">
        <f t="shared" si="174"/>
        <v>1</v>
      </c>
      <c r="AN523">
        <f t="shared" si="175"/>
        <v>6.0233463035019454</v>
      </c>
      <c r="AO523">
        <f t="shared" si="176"/>
        <v>1.5019455252918288</v>
      </c>
      <c r="AP523">
        <f t="shared" si="177"/>
        <v>1</v>
      </c>
      <c r="AR523">
        <f t="shared" si="178"/>
        <v>4.497087378640777</v>
      </c>
      <c r="AT523">
        <f t="shared" si="179"/>
        <v>4.497087378640777</v>
      </c>
      <c r="AV523">
        <f t="shared" si="180"/>
        <v>5404</v>
      </c>
      <c r="AW523">
        <f t="shared" si="181"/>
        <v>10036</v>
      </c>
    </row>
    <row r="524" spans="1:49" x14ac:dyDescent="0.15">
      <c r="A524" s="5">
        <v>514</v>
      </c>
      <c r="B524" s="5">
        <f t="shared" ref="B524:F587" si="192">INT(VLOOKUP(B$10,$A$2:$C$7,2,0)+($A524-1)*VLOOKUP(B$10,$A$2:$C$7,3,0))</f>
        <v>31020</v>
      </c>
      <c r="C524" s="5">
        <f t="shared" si="192"/>
        <v>7735</v>
      </c>
      <c r="D524" s="5">
        <f t="shared" si="192"/>
        <v>5150</v>
      </c>
      <c r="E524" s="5">
        <f t="shared" si="192"/>
        <v>1548</v>
      </c>
      <c r="F524" s="5">
        <f t="shared" si="192"/>
        <v>2064</v>
      </c>
      <c r="G524" s="5">
        <f t="shared" si="190"/>
        <v>124080</v>
      </c>
      <c r="H524" s="5">
        <f t="shared" si="190"/>
        <v>30940</v>
      </c>
      <c r="I524" s="5">
        <f t="shared" si="190"/>
        <v>20600</v>
      </c>
      <c r="J524" s="5">
        <f t="shared" si="190"/>
        <v>6192</v>
      </c>
      <c r="K524" s="5">
        <f t="shared" si="190"/>
        <v>8256</v>
      </c>
      <c r="L524" s="5">
        <f t="shared" si="191"/>
        <v>62040</v>
      </c>
      <c r="M524" s="5">
        <f t="shared" si="191"/>
        <v>15470</v>
      </c>
      <c r="N524" s="5">
        <f t="shared" si="191"/>
        <v>10300</v>
      </c>
      <c r="O524" s="5">
        <f t="shared" si="191"/>
        <v>3096</v>
      </c>
      <c r="P524" s="5">
        <f t="shared" si="191"/>
        <v>4128</v>
      </c>
      <c r="Q524" s="5">
        <f t="shared" si="184"/>
        <v>217140</v>
      </c>
      <c r="R524" s="5">
        <f t="shared" si="185"/>
        <v>54145</v>
      </c>
      <c r="S524" s="5">
        <f t="shared" si="186"/>
        <v>36050</v>
      </c>
      <c r="T524" s="5">
        <f t="shared" si="187"/>
        <v>10836</v>
      </c>
      <c r="U524" s="5">
        <f t="shared" si="188"/>
        <v>14448</v>
      </c>
      <c r="V524" s="5">
        <f>B524*战斗力计算!$B$8+C524*战斗力计算!$B$9+D524*战斗力计算!$B$10+E524*战斗力计算!$B$11+F524*战斗力计算!$B$12</f>
        <v>226920</v>
      </c>
      <c r="W524" s="5">
        <f>G524*战斗力计算!$B$8+H524*战斗力计算!$B$9+I524*战斗力计算!$B$10+J524*战斗力计算!$B$11+K524*战斗力计算!$B$12+L524*战斗力计算!$B$8+M524*战斗力计算!$B$9+N524*战斗力计算!$B$10+O524*战斗力计算!$B$11+P524*战斗力计算!$B$12</f>
        <v>1361520</v>
      </c>
      <c r="X524" s="5">
        <f t="shared" si="189"/>
        <v>1588440</v>
      </c>
      <c r="AC524">
        <f t="shared" ref="AC524:AC587" si="193">VLOOKUP($A524,$Z$2:$AA$13,2,1)*$E$3</f>
        <v>4</v>
      </c>
      <c r="AD524">
        <f t="shared" ref="AD524:AD587" si="194">VLOOKUP($A524,$Z$2:$AA$13,2,1)*$E$6</f>
        <v>2</v>
      </c>
      <c r="AF524">
        <f t="shared" ref="AF524:AF587" si="195">T524/U524</f>
        <v>0.75</v>
      </c>
      <c r="AH524">
        <f t="shared" ref="AH524:AH587" si="196">Q524/(R524-S524)</f>
        <v>12</v>
      </c>
      <c r="AK524">
        <f t="shared" ref="AK524:AK587" si="197">B524/D524</f>
        <v>6.0233009708737866</v>
      </c>
      <c r="AL524">
        <f t="shared" ref="AL524:AL587" si="198">C524/D524</f>
        <v>1.5019417475728156</v>
      </c>
      <c r="AM524">
        <f t="shared" ref="AM524:AM587" si="199">D524/D524</f>
        <v>1</v>
      </c>
      <c r="AN524">
        <f t="shared" ref="AN524:AN587" si="200">(G524+L524)/(I524+N524)</f>
        <v>6.0233009708737866</v>
      </c>
      <c r="AO524">
        <f t="shared" ref="AO524:AO587" si="201">(H524+M524)/(I524+N524)</f>
        <v>1.5019417475728156</v>
      </c>
      <c r="AP524">
        <f t="shared" ref="AP524:AP587" si="202">(I524+N524)/(I524+N524)</f>
        <v>1</v>
      </c>
      <c r="AR524">
        <f t="shared" ref="AR524:AR587" si="203">(B524*1+C524*12+D524*12)/(E524*16+F524*8)</f>
        <v>4.4970930232558137</v>
      </c>
      <c r="AT524">
        <f t="shared" ref="AT524:AT587" si="204">(G524*1+H524*12+I524*12+L524*1+M524*12+N524*12)/(J524*16+K524*8+O524*16+P524*8)</f>
        <v>4.4970930232558137</v>
      </c>
      <c r="AV524">
        <f t="shared" ref="AV524:AV587" si="205">INT(C524*$H$5)</f>
        <v>5414</v>
      </c>
      <c r="AW524">
        <f t="shared" ref="AW524:AW587" si="206">INT(C524*$H$3)</f>
        <v>10055</v>
      </c>
    </row>
    <row r="525" spans="1:49" x14ac:dyDescent="0.15">
      <c r="A525" s="5">
        <v>515</v>
      </c>
      <c r="B525" s="5">
        <f t="shared" si="192"/>
        <v>31080</v>
      </c>
      <c r="C525" s="5">
        <f t="shared" si="192"/>
        <v>7750</v>
      </c>
      <c r="D525" s="5">
        <f t="shared" si="192"/>
        <v>5160</v>
      </c>
      <c r="E525" s="5">
        <f t="shared" si="192"/>
        <v>1551</v>
      </c>
      <c r="F525" s="5">
        <f t="shared" si="192"/>
        <v>2068</v>
      </c>
      <c r="G525" s="5">
        <f t="shared" si="190"/>
        <v>124320</v>
      </c>
      <c r="H525" s="5">
        <f t="shared" si="190"/>
        <v>31000</v>
      </c>
      <c r="I525" s="5">
        <f t="shared" si="190"/>
        <v>20640</v>
      </c>
      <c r="J525" s="5">
        <f t="shared" si="190"/>
        <v>6204</v>
      </c>
      <c r="K525" s="5">
        <f t="shared" si="190"/>
        <v>8272</v>
      </c>
      <c r="L525" s="5">
        <f t="shared" si="191"/>
        <v>62160</v>
      </c>
      <c r="M525" s="5">
        <f t="shared" si="191"/>
        <v>15500</v>
      </c>
      <c r="N525" s="5">
        <f t="shared" si="191"/>
        <v>10320</v>
      </c>
      <c r="O525" s="5">
        <f t="shared" si="191"/>
        <v>3102</v>
      </c>
      <c r="P525" s="5">
        <f t="shared" si="191"/>
        <v>4136</v>
      </c>
      <c r="Q525" s="5">
        <f t="shared" si="184"/>
        <v>217560</v>
      </c>
      <c r="R525" s="5">
        <f t="shared" si="185"/>
        <v>54250</v>
      </c>
      <c r="S525" s="5">
        <f t="shared" si="186"/>
        <v>36120</v>
      </c>
      <c r="T525" s="5">
        <f t="shared" si="187"/>
        <v>10857</v>
      </c>
      <c r="U525" s="5">
        <f t="shared" si="188"/>
        <v>14476</v>
      </c>
      <c r="V525" s="5">
        <f>B525*战斗力计算!$B$8+C525*战斗力计算!$B$9+D525*战斗力计算!$B$10+E525*战斗力计算!$B$11+F525*战斗力计算!$B$12</f>
        <v>227360</v>
      </c>
      <c r="W525" s="5">
        <f>G525*战斗力计算!$B$8+H525*战斗力计算!$B$9+I525*战斗力计算!$B$10+J525*战斗力计算!$B$11+K525*战斗力计算!$B$12+L525*战斗力计算!$B$8+M525*战斗力计算!$B$9+N525*战斗力计算!$B$10+O525*战斗力计算!$B$11+P525*战斗力计算!$B$12</f>
        <v>1364160</v>
      </c>
      <c r="X525" s="5">
        <f t="shared" si="189"/>
        <v>1591520</v>
      </c>
      <c r="AC525">
        <f t="shared" si="193"/>
        <v>4</v>
      </c>
      <c r="AD525">
        <f t="shared" si="194"/>
        <v>2</v>
      </c>
      <c r="AF525">
        <f t="shared" si="195"/>
        <v>0.75</v>
      </c>
      <c r="AH525">
        <f t="shared" si="196"/>
        <v>12</v>
      </c>
      <c r="AK525">
        <f t="shared" si="197"/>
        <v>6.0232558139534884</v>
      </c>
      <c r="AL525">
        <f t="shared" si="198"/>
        <v>1.501937984496124</v>
      </c>
      <c r="AM525">
        <f t="shared" si="199"/>
        <v>1</v>
      </c>
      <c r="AN525">
        <f t="shared" si="200"/>
        <v>6.0232558139534884</v>
      </c>
      <c r="AO525">
        <f t="shared" si="201"/>
        <v>1.501937984496124</v>
      </c>
      <c r="AP525">
        <f t="shared" si="202"/>
        <v>1</v>
      </c>
      <c r="AR525">
        <f t="shared" si="203"/>
        <v>4.4970986460348161</v>
      </c>
      <c r="AT525">
        <f t="shared" si="204"/>
        <v>4.4970986460348161</v>
      </c>
      <c r="AV525">
        <f t="shared" si="205"/>
        <v>5425</v>
      </c>
      <c r="AW525">
        <f t="shared" si="206"/>
        <v>10075</v>
      </c>
    </row>
    <row r="526" spans="1:49" x14ac:dyDescent="0.15">
      <c r="A526" s="5">
        <v>516</v>
      </c>
      <c r="B526" s="5">
        <f t="shared" si="192"/>
        <v>31140</v>
      </c>
      <c r="C526" s="5">
        <f t="shared" si="192"/>
        <v>7765</v>
      </c>
      <c r="D526" s="5">
        <f t="shared" si="192"/>
        <v>5170</v>
      </c>
      <c r="E526" s="5">
        <f t="shared" si="192"/>
        <v>1554</v>
      </c>
      <c r="F526" s="5">
        <f t="shared" si="192"/>
        <v>2072</v>
      </c>
      <c r="G526" s="5">
        <f t="shared" si="190"/>
        <v>124560</v>
      </c>
      <c r="H526" s="5">
        <f t="shared" si="190"/>
        <v>31060</v>
      </c>
      <c r="I526" s="5">
        <f t="shared" si="190"/>
        <v>20680</v>
      </c>
      <c r="J526" s="5">
        <f t="shared" si="190"/>
        <v>6216</v>
      </c>
      <c r="K526" s="5">
        <f t="shared" si="190"/>
        <v>8288</v>
      </c>
      <c r="L526" s="5">
        <f t="shared" si="191"/>
        <v>62280</v>
      </c>
      <c r="M526" s="5">
        <f t="shared" si="191"/>
        <v>15530</v>
      </c>
      <c r="N526" s="5">
        <f t="shared" si="191"/>
        <v>10340</v>
      </c>
      <c r="O526" s="5">
        <f t="shared" si="191"/>
        <v>3108</v>
      </c>
      <c r="P526" s="5">
        <f t="shared" si="191"/>
        <v>4144</v>
      </c>
      <c r="Q526" s="5">
        <f t="shared" si="184"/>
        <v>217980</v>
      </c>
      <c r="R526" s="5">
        <f t="shared" si="185"/>
        <v>54355</v>
      </c>
      <c r="S526" s="5">
        <f t="shared" si="186"/>
        <v>36190</v>
      </c>
      <c r="T526" s="5">
        <f t="shared" si="187"/>
        <v>10878</v>
      </c>
      <c r="U526" s="5">
        <f t="shared" si="188"/>
        <v>14504</v>
      </c>
      <c r="V526" s="5">
        <f>B526*战斗力计算!$B$8+C526*战斗力计算!$B$9+D526*战斗力计算!$B$10+E526*战斗力计算!$B$11+F526*战斗力计算!$B$12</f>
        <v>227800</v>
      </c>
      <c r="W526" s="5">
        <f>G526*战斗力计算!$B$8+H526*战斗力计算!$B$9+I526*战斗力计算!$B$10+J526*战斗力计算!$B$11+K526*战斗力计算!$B$12+L526*战斗力计算!$B$8+M526*战斗力计算!$B$9+N526*战斗力计算!$B$10+O526*战斗力计算!$B$11+P526*战斗力计算!$B$12</f>
        <v>1366800</v>
      </c>
      <c r="X526" s="5">
        <f t="shared" si="189"/>
        <v>1594600</v>
      </c>
      <c r="AC526">
        <f t="shared" si="193"/>
        <v>4</v>
      </c>
      <c r="AD526">
        <f t="shared" si="194"/>
        <v>2</v>
      </c>
      <c r="AF526">
        <f t="shared" si="195"/>
        <v>0.75</v>
      </c>
      <c r="AH526">
        <f t="shared" si="196"/>
        <v>12</v>
      </c>
      <c r="AK526">
        <f t="shared" si="197"/>
        <v>6.0232108317214701</v>
      </c>
      <c r="AL526">
        <f t="shared" si="198"/>
        <v>1.5019342359767891</v>
      </c>
      <c r="AM526">
        <f t="shared" si="199"/>
        <v>1</v>
      </c>
      <c r="AN526">
        <f t="shared" si="200"/>
        <v>6.0232108317214701</v>
      </c>
      <c r="AO526">
        <f t="shared" si="201"/>
        <v>1.5019342359767891</v>
      </c>
      <c r="AP526">
        <f t="shared" si="202"/>
        <v>1</v>
      </c>
      <c r="AR526">
        <f t="shared" si="203"/>
        <v>4.4971042471042475</v>
      </c>
      <c r="AT526">
        <f t="shared" si="204"/>
        <v>4.4971042471042475</v>
      </c>
      <c r="AV526">
        <f t="shared" si="205"/>
        <v>5435</v>
      </c>
      <c r="AW526">
        <f t="shared" si="206"/>
        <v>10094</v>
      </c>
    </row>
    <row r="527" spans="1:49" x14ac:dyDescent="0.15">
      <c r="A527" s="5">
        <v>517</v>
      </c>
      <c r="B527" s="5">
        <f t="shared" si="192"/>
        <v>31200</v>
      </c>
      <c r="C527" s="5">
        <f t="shared" si="192"/>
        <v>7780</v>
      </c>
      <c r="D527" s="5">
        <f t="shared" si="192"/>
        <v>5180</v>
      </c>
      <c r="E527" s="5">
        <f t="shared" si="192"/>
        <v>1557</v>
      </c>
      <c r="F527" s="5">
        <f t="shared" si="192"/>
        <v>2076</v>
      </c>
      <c r="G527" s="5">
        <f t="shared" si="190"/>
        <v>124800</v>
      </c>
      <c r="H527" s="5">
        <f t="shared" si="190"/>
        <v>31120</v>
      </c>
      <c r="I527" s="5">
        <f t="shared" si="190"/>
        <v>20720</v>
      </c>
      <c r="J527" s="5">
        <f t="shared" si="190"/>
        <v>6228</v>
      </c>
      <c r="K527" s="5">
        <f t="shared" si="190"/>
        <v>8304</v>
      </c>
      <c r="L527" s="5">
        <f t="shared" si="191"/>
        <v>62400</v>
      </c>
      <c r="M527" s="5">
        <f t="shared" si="191"/>
        <v>15560</v>
      </c>
      <c r="N527" s="5">
        <f t="shared" si="191"/>
        <v>10360</v>
      </c>
      <c r="O527" s="5">
        <f t="shared" si="191"/>
        <v>3114</v>
      </c>
      <c r="P527" s="5">
        <f t="shared" si="191"/>
        <v>4152</v>
      </c>
      <c r="Q527" s="5">
        <f t="shared" si="184"/>
        <v>218400</v>
      </c>
      <c r="R527" s="5">
        <f t="shared" si="185"/>
        <v>54460</v>
      </c>
      <c r="S527" s="5">
        <f t="shared" si="186"/>
        <v>36260</v>
      </c>
      <c r="T527" s="5">
        <f t="shared" si="187"/>
        <v>10899</v>
      </c>
      <c r="U527" s="5">
        <f t="shared" si="188"/>
        <v>14532</v>
      </c>
      <c r="V527" s="5">
        <f>B527*战斗力计算!$B$8+C527*战斗力计算!$B$9+D527*战斗力计算!$B$10+E527*战斗力计算!$B$11+F527*战斗力计算!$B$12</f>
        <v>228240</v>
      </c>
      <c r="W527" s="5">
        <f>G527*战斗力计算!$B$8+H527*战斗力计算!$B$9+I527*战斗力计算!$B$10+J527*战斗力计算!$B$11+K527*战斗力计算!$B$12+L527*战斗力计算!$B$8+M527*战斗力计算!$B$9+N527*战斗力计算!$B$10+O527*战斗力计算!$B$11+P527*战斗力计算!$B$12</f>
        <v>1369440</v>
      </c>
      <c r="X527" s="5">
        <f t="shared" si="189"/>
        <v>1597680</v>
      </c>
      <c r="AC527">
        <f t="shared" si="193"/>
        <v>4</v>
      </c>
      <c r="AD527">
        <f t="shared" si="194"/>
        <v>2</v>
      </c>
      <c r="AF527">
        <f t="shared" si="195"/>
        <v>0.75</v>
      </c>
      <c r="AH527">
        <f t="shared" si="196"/>
        <v>12</v>
      </c>
      <c r="AK527">
        <f t="shared" si="197"/>
        <v>6.0231660231660236</v>
      </c>
      <c r="AL527">
        <f t="shared" si="198"/>
        <v>1.501930501930502</v>
      </c>
      <c r="AM527">
        <f t="shared" si="199"/>
        <v>1</v>
      </c>
      <c r="AN527">
        <f t="shared" si="200"/>
        <v>6.0231660231660236</v>
      </c>
      <c r="AO527">
        <f t="shared" si="201"/>
        <v>1.501930501930502</v>
      </c>
      <c r="AP527">
        <f t="shared" si="202"/>
        <v>1</v>
      </c>
      <c r="AR527">
        <f t="shared" si="203"/>
        <v>4.497109826589595</v>
      </c>
      <c r="AT527">
        <f t="shared" si="204"/>
        <v>4.497109826589595</v>
      </c>
      <c r="AV527">
        <f t="shared" si="205"/>
        <v>5446</v>
      </c>
      <c r="AW527">
        <f t="shared" si="206"/>
        <v>10114</v>
      </c>
    </row>
    <row r="528" spans="1:49" x14ac:dyDescent="0.15">
      <c r="A528" s="5">
        <v>518</v>
      </c>
      <c r="B528" s="5">
        <f t="shared" si="192"/>
        <v>31260</v>
      </c>
      <c r="C528" s="5">
        <f t="shared" si="192"/>
        <v>7795</v>
      </c>
      <c r="D528" s="5">
        <f t="shared" si="192"/>
        <v>5190</v>
      </c>
      <c r="E528" s="5">
        <f t="shared" si="192"/>
        <v>1560</v>
      </c>
      <c r="F528" s="5">
        <f t="shared" si="192"/>
        <v>2080</v>
      </c>
      <c r="G528" s="5">
        <f t="shared" ref="G528:K559" si="207">HLOOKUP(G$10,$B$10:$F$610,$A528+1,0)*$AC528</f>
        <v>125040</v>
      </c>
      <c r="H528" s="5">
        <f t="shared" si="207"/>
        <v>31180</v>
      </c>
      <c r="I528" s="5">
        <f t="shared" si="207"/>
        <v>20760</v>
      </c>
      <c r="J528" s="5">
        <f t="shared" si="207"/>
        <v>6240</v>
      </c>
      <c r="K528" s="5">
        <f t="shared" si="207"/>
        <v>8320</v>
      </c>
      <c r="L528" s="5">
        <f t="shared" ref="L528:P559" si="208">HLOOKUP(L$10,$B$10:$F$610,$A528+1,0)*$AD528</f>
        <v>62520</v>
      </c>
      <c r="M528" s="5">
        <f t="shared" si="208"/>
        <v>15590</v>
      </c>
      <c r="N528" s="5">
        <f t="shared" si="208"/>
        <v>10380</v>
      </c>
      <c r="O528" s="5">
        <f t="shared" si="208"/>
        <v>3120</v>
      </c>
      <c r="P528" s="5">
        <f t="shared" si="208"/>
        <v>4160</v>
      </c>
      <c r="Q528" s="5">
        <f t="shared" si="184"/>
        <v>218820</v>
      </c>
      <c r="R528" s="5">
        <f t="shared" si="185"/>
        <v>54565</v>
      </c>
      <c r="S528" s="5">
        <f t="shared" si="186"/>
        <v>36330</v>
      </c>
      <c r="T528" s="5">
        <f t="shared" si="187"/>
        <v>10920</v>
      </c>
      <c r="U528" s="5">
        <f t="shared" si="188"/>
        <v>14560</v>
      </c>
      <c r="V528" s="5">
        <f>B528*战斗力计算!$B$8+C528*战斗力计算!$B$9+D528*战斗力计算!$B$10+E528*战斗力计算!$B$11+F528*战斗力计算!$B$12</f>
        <v>228680</v>
      </c>
      <c r="W528" s="5">
        <f>G528*战斗力计算!$B$8+H528*战斗力计算!$B$9+I528*战斗力计算!$B$10+J528*战斗力计算!$B$11+K528*战斗力计算!$B$12+L528*战斗力计算!$B$8+M528*战斗力计算!$B$9+N528*战斗力计算!$B$10+O528*战斗力计算!$B$11+P528*战斗力计算!$B$12</f>
        <v>1372080</v>
      </c>
      <c r="X528" s="5">
        <f t="shared" si="189"/>
        <v>1600760</v>
      </c>
      <c r="AC528">
        <f t="shared" si="193"/>
        <v>4</v>
      </c>
      <c r="AD528">
        <f t="shared" si="194"/>
        <v>2</v>
      </c>
      <c r="AF528">
        <f t="shared" si="195"/>
        <v>0.75</v>
      </c>
      <c r="AH528">
        <f t="shared" si="196"/>
        <v>12</v>
      </c>
      <c r="AK528">
        <f t="shared" si="197"/>
        <v>6.0231213872832372</v>
      </c>
      <c r="AL528">
        <f t="shared" si="198"/>
        <v>1.5019267822736031</v>
      </c>
      <c r="AM528">
        <f t="shared" si="199"/>
        <v>1</v>
      </c>
      <c r="AN528">
        <f t="shared" si="200"/>
        <v>6.0231213872832372</v>
      </c>
      <c r="AO528">
        <f t="shared" si="201"/>
        <v>1.5019267822736031</v>
      </c>
      <c r="AP528">
        <f t="shared" si="202"/>
        <v>1</v>
      </c>
      <c r="AR528">
        <f t="shared" si="203"/>
        <v>4.4971153846153848</v>
      </c>
      <c r="AT528">
        <f t="shared" si="204"/>
        <v>4.4971153846153848</v>
      </c>
      <c r="AV528">
        <f t="shared" si="205"/>
        <v>5456</v>
      </c>
      <c r="AW528">
        <f t="shared" si="206"/>
        <v>10133</v>
      </c>
    </row>
    <row r="529" spans="1:49" x14ac:dyDescent="0.15">
      <c r="A529" s="5">
        <v>519</v>
      </c>
      <c r="B529" s="5">
        <f t="shared" si="192"/>
        <v>31320</v>
      </c>
      <c r="C529" s="5">
        <f t="shared" si="192"/>
        <v>7810</v>
      </c>
      <c r="D529" s="5">
        <f t="shared" si="192"/>
        <v>5200</v>
      </c>
      <c r="E529" s="5">
        <f t="shared" si="192"/>
        <v>1563</v>
      </c>
      <c r="F529" s="5">
        <f t="shared" si="192"/>
        <v>2084</v>
      </c>
      <c r="G529" s="5">
        <f t="shared" si="207"/>
        <v>125280</v>
      </c>
      <c r="H529" s="5">
        <f t="shared" si="207"/>
        <v>31240</v>
      </c>
      <c r="I529" s="5">
        <f t="shared" si="207"/>
        <v>20800</v>
      </c>
      <c r="J529" s="5">
        <f t="shared" si="207"/>
        <v>6252</v>
      </c>
      <c r="K529" s="5">
        <f t="shared" si="207"/>
        <v>8336</v>
      </c>
      <c r="L529" s="5">
        <f t="shared" si="208"/>
        <v>62640</v>
      </c>
      <c r="M529" s="5">
        <f t="shared" si="208"/>
        <v>15620</v>
      </c>
      <c r="N529" s="5">
        <f t="shared" si="208"/>
        <v>10400</v>
      </c>
      <c r="O529" s="5">
        <f t="shared" si="208"/>
        <v>3126</v>
      </c>
      <c r="P529" s="5">
        <f t="shared" si="208"/>
        <v>4168</v>
      </c>
      <c r="Q529" s="5">
        <f t="shared" si="184"/>
        <v>219240</v>
      </c>
      <c r="R529" s="5">
        <f t="shared" si="185"/>
        <v>54670</v>
      </c>
      <c r="S529" s="5">
        <f t="shared" si="186"/>
        <v>36400</v>
      </c>
      <c r="T529" s="5">
        <f t="shared" si="187"/>
        <v>10941</v>
      </c>
      <c r="U529" s="5">
        <f t="shared" si="188"/>
        <v>14588</v>
      </c>
      <c r="V529" s="5">
        <f>B529*战斗力计算!$B$8+C529*战斗力计算!$B$9+D529*战斗力计算!$B$10+E529*战斗力计算!$B$11+F529*战斗力计算!$B$12</f>
        <v>229120</v>
      </c>
      <c r="W529" s="5">
        <f>G529*战斗力计算!$B$8+H529*战斗力计算!$B$9+I529*战斗力计算!$B$10+J529*战斗力计算!$B$11+K529*战斗力计算!$B$12+L529*战斗力计算!$B$8+M529*战斗力计算!$B$9+N529*战斗力计算!$B$10+O529*战斗力计算!$B$11+P529*战斗力计算!$B$12</f>
        <v>1374720</v>
      </c>
      <c r="X529" s="5">
        <f t="shared" si="189"/>
        <v>1603840</v>
      </c>
      <c r="AC529">
        <f t="shared" si="193"/>
        <v>4</v>
      </c>
      <c r="AD529">
        <f t="shared" si="194"/>
        <v>2</v>
      </c>
      <c r="AF529">
        <f t="shared" si="195"/>
        <v>0.75</v>
      </c>
      <c r="AH529">
        <f t="shared" si="196"/>
        <v>12</v>
      </c>
      <c r="AK529">
        <f t="shared" si="197"/>
        <v>6.023076923076923</v>
      </c>
      <c r="AL529">
        <f t="shared" si="198"/>
        <v>1.5019230769230769</v>
      </c>
      <c r="AM529">
        <f t="shared" si="199"/>
        <v>1</v>
      </c>
      <c r="AN529">
        <f t="shared" si="200"/>
        <v>6.023076923076923</v>
      </c>
      <c r="AO529">
        <f t="shared" si="201"/>
        <v>1.5019230769230769</v>
      </c>
      <c r="AP529">
        <f t="shared" si="202"/>
        <v>1</v>
      </c>
      <c r="AR529">
        <f t="shared" si="203"/>
        <v>4.4971209213051822</v>
      </c>
      <c r="AT529">
        <f t="shared" si="204"/>
        <v>4.4971209213051822</v>
      </c>
      <c r="AV529">
        <f t="shared" si="205"/>
        <v>5467</v>
      </c>
      <c r="AW529">
        <f t="shared" si="206"/>
        <v>10153</v>
      </c>
    </row>
    <row r="530" spans="1:49" x14ac:dyDescent="0.15">
      <c r="A530" s="5">
        <v>520</v>
      </c>
      <c r="B530" s="5">
        <f t="shared" si="192"/>
        <v>31380</v>
      </c>
      <c r="C530" s="5">
        <f t="shared" si="192"/>
        <v>7825</v>
      </c>
      <c r="D530" s="5">
        <f t="shared" si="192"/>
        <v>5210</v>
      </c>
      <c r="E530" s="5">
        <f t="shared" si="192"/>
        <v>1566</v>
      </c>
      <c r="F530" s="5">
        <f t="shared" si="192"/>
        <v>2088</v>
      </c>
      <c r="G530" s="5">
        <f t="shared" si="207"/>
        <v>125520</v>
      </c>
      <c r="H530" s="5">
        <f t="shared" si="207"/>
        <v>31300</v>
      </c>
      <c r="I530" s="5">
        <f t="shared" si="207"/>
        <v>20840</v>
      </c>
      <c r="J530" s="5">
        <f t="shared" si="207"/>
        <v>6264</v>
      </c>
      <c r="K530" s="5">
        <f t="shared" si="207"/>
        <v>8352</v>
      </c>
      <c r="L530" s="5">
        <f t="shared" si="208"/>
        <v>62760</v>
      </c>
      <c r="M530" s="5">
        <f t="shared" si="208"/>
        <v>15650</v>
      </c>
      <c r="N530" s="5">
        <f t="shared" si="208"/>
        <v>10420</v>
      </c>
      <c r="O530" s="5">
        <f t="shared" si="208"/>
        <v>3132</v>
      </c>
      <c r="P530" s="5">
        <f t="shared" si="208"/>
        <v>4176</v>
      </c>
      <c r="Q530" s="5">
        <f t="shared" si="184"/>
        <v>219660</v>
      </c>
      <c r="R530" s="5">
        <f t="shared" si="185"/>
        <v>54775</v>
      </c>
      <c r="S530" s="5">
        <f t="shared" si="186"/>
        <v>36470</v>
      </c>
      <c r="T530" s="5">
        <f t="shared" si="187"/>
        <v>10962</v>
      </c>
      <c r="U530" s="5">
        <f t="shared" si="188"/>
        <v>14616</v>
      </c>
      <c r="V530" s="5">
        <f>B530*战斗力计算!$B$8+C530*战斗力计算!$B$9+D530*战斗力计算!$B$10+E530*战斗力计算!$B$11+F530*战斗力计算!$B$12</f>
        <v>229560</v>
      </c>
      <c r="W530" s="5">
        <f>G530*战斗力计算!$B$8+H530*战斗力计算!$B$9+I530*战斗力计算!$B$10+J530*战斗力计算!$B$11+K530*战斗力计算!$B$12+L530*战斗力计算!$B$8+M530*战斗力计算!$B$9+N530*战斗力计算!$B$10+O530*战斗力计算!$B$11+P530*战斗力计算!$B$12</f>
        <v>1377360</v>
      </c>
      <c r="X530" s="5">
        <f t="shared" si="189"/>
        <v>1606920</v>
      </c>
      <c r="AC530">
        <f t="shared" si="193"/>
        <v>4</v>
      </c>
      <c r="AD530">
        <f t="shared" si="194"/>
        <v>2</v>
      </c>
      <c r="AF530">
        <f t="shared" si="195"/>
        <v>0.75</v>
      </c>
      <c r="AH530">
        <f t="shared" si="196"/>
        <v>12</v>
      </c>
      <c r="AK530">
        <f t="shared" si="197"/>
        <v>6.023032629558541</v>
      </c>
      <c r="AL530">
        <f t="shared" si="198"/>
        <v>1.5019193857965452</v>
      </c>
      <c r="AM530">
        <f t="shared" si="199"/>
        <v>1</v>
      </c>
      <c r="AN530">
        <f t="shared" si="200"/>
        <v>6.023032629558541</v>
      </c>
      <c r="AO530">
        <f t="shared" si="201"/>
        <v>1.5019193857965452</v>
      </c>
      <c r="AP530">
        <f t="shared" si="202"/>
        <v>1</v>
      </c>
      <c r="AR530">
        <f t="shared" si="203"/>
        <v>4.4971264367816088</v>
      </c>
      <c r="AT530">
        <f t="shared" si="204"/>
        <v>4.4971264367816088</v>
      </c>
      <c r="AV530">
        <f t="shared" si="205"/>
        <v>5477</v>
      </c>
      <c r="AW530">
        <f t="shared" si="206"/>
        <v>10172</v>
      </c>
    </row>
    <row r="531" spans="1:49" x14ac:dyDescent="0.15">
      <c r="A531" s="5">
        <v>521</v>
      </c>
      <c r="B531" s="5">
        <f t="shared" si="192"/>
        <v>31440</v>
      </c>
      <c r="C531" s="5">
        <f t="shared" si="192"/>
        <v>7840</v>
      </c>
      <c r="D531" s="5">
        <f t="shared" si="192"/>
        <v>5220</v>
      </c>
      <c r="E531" s="5">
        <f t="shared" si="192"/>
        <v>1569</v>
      </c>
      <c r="F531" s="5">
        <f t="shared" si="192"/>
        <v>2092</v>
      </c>
      <c r="G531" s="5">
        <f t="shared" si="207"/>
        <v>125760</v>
      </c>
      <c r="H531" s="5">
        <f t="shared" si="207"/>
        <v>31360</v>
      </c>
      <c r="I531" s="5">
        <f t="shared" si="207"/>
        <v>20880</v>
      </c>
      <c r="J531" s="5">
        <f t="shared" si="207"/>
        <v>6276</v>
      </c>
      <c r="K531" s="5">
        <f t="shared" si="207"/>
        <v>8368</v>
      </c>
      <c r="L531" s="5">
        <f t="shared" si="208"/>
        <v>62880</v>
      </c>
      <c r="M531" s="5">
        <f t="shared" si="208"/>
        <v>15680</v>
      </c>
      <c r="N531" s="5">
        <f t="shared" si="208"/>
        <v>10440</v>
      </c>
      <c r="O531" s="5">
        <f t="shared" si="208"/>
        <v>3138</v>
      </c>
      <c r="P531" s="5">
        <f t="shared" si="208"/>
        <v>4184</v>
      </c>
      <c r="Q531" s="5">
        <f t="shared" si="184"/>
        <v>220080</v>
      </c>
      <c r="R531" s="5">
        <f t="shared" si="185"/>
        <v>54880</v>
      </c>
      <c r="S531" s="5">
        <f t="shared" si="186"/>
        <v>36540</v>
      </c>
      <c r="T531" s="5">
        <f t="shared" si="187"/>
        <v>10983</v>
      </c>
      <c r="U531" s="5">
        <f t="shared" si="188"/>
        <v>14644</v>
      </c>
      <c r="V531" s="5">
        <f>B531*战斗力计算!$B$8+C531*战斗力计算!$B$9+D531*战斗力计算!$B$10+E531*战斗力计算!$B$11+F531*战斗力计算!$B$12</f>
        <v>230000</v>
      </c>
      <c r="W531" s="5">
        <f>G531*战斗力计算!$B$8+H531*战斗力计算!$B$9+I531*战斗力计算!$B$10+J531*战斗力计算!$B$11+K531*战斗力计算!$B$12+L531*战斗力计算!$B$8+M531*战斗力计算!$B$9+N531*战斗力计算!$B$10+O531*战斗力计算!$B$11+P531*战斗力计算!$B$12</f>
        <v>1380000</v>
      </c>
      <c r="X531" s="5">
        <f t="shared" si="189"/>
        <v>1610000</v>
      </c>
      <c r="AC531">
        <f t="shared" si="193"/>
        <v>4</v>
      </c>
      <c r="AD531">
        <f t="shared" si="194"/>
        <v>2</v>
      </c>
      <c r="AF531">
        <f t="shared" si="195"/>
        <v>0.75</v>
      </c>
      <c r="AH531">
        <f t="shared" si="196"/>
        <v>12</v>
      </c>
      <c r="AK531">
        <f t="shared" si="197"/>
        <v>6.0229885057471266</v>
      </c>
      <c r="AL531">
        <f t="shared" si="198"/>
        <v>1.5019157088122606</v>
      </c>
      <c r="AM531">
        <f t="shared" si="199"/>
        <v>1</v>
      </c>
      <c r="AN531">
        <f t="shared" si="200"/>
        <v>6.0229885057471266</v>
      </c>
      <c r="AO531">
        <f t="shared" si="201"/>
        <v>1.5019157088122606</v>
      </c>
      <c r="AP531">
        <f t="shared" si="202"/>
        <v>1</v>
      </c>
      <c r="AR531">
        <f t="shared" si="203"/>
        <v>4.497131931166348</v>
      </c>
      <c r="AT531">
        <f t="shared" si="204"/>
        <v>4.497131931166348</v>
      </c>
      <c r="AV531">
        <f t="shared" si="205"/>
        <v>5488</v>
      </c>
      <c r="AW531">
        <f t="shared" si="206"/>
        <v>10192</v>
      </c>
    </row>
    <row r="532" spans="1:49" x14ac:dyDescent="0.15">
      <c r="A532" s="5">
        <v>522</v>
      </c>
      <c r="B532" s="5">
        <f t="shared" si="192"/>
        <v>31500</v>
      </c>
      <c r="C532" s="5">
        <f t="shared" si="192"/>
        <v>7855</v>
      </c>
      <c r="D532" s="5">
        <f t="shared" si="192"/>
        <v>5230</v>
      </c>
      <c r="E532" s="5">
        <f t="shared" si="192"/>
        <v>1572</v>
      </c>
      <c r="F532" s="5">
        <f t="shared" si="192"/>
        <v>2096</v>
      </c>
      <c r="G532" s="5">
        <f t="shared" si="207"/>
        <v>126000</v>
      </c>
      <c r="H532" s="5">
        <f t="shared" si="207"/>
        <v>31420</v>
      </c>
      <c r="I532" s="5">
        <f t="shared" si="207"/>
        <v>20920</v>
      </c>
      <c r="J532" s="5">
        <f t="shared" si="207"/>
        <v>6288</v>
      </c>
      <c r="K532" s="5">
        <f t="shared" si="207"/>
        <v>8384</v>
      </c>
      <c r="L532" s="5">
        <f t="shared" si="208"/>
        <v>63000</v>
      </c>
      <c r="M532" s="5">
        <f t="shared" si="208"/>
        <v>15710</v>
      </c>
      <c r="N532" s="5">
        <f t="shared" si="208"/>
        <v>10460</v>
      </c>
      <c r="O532" s="5">
        <f t="shared" si="208"/>
        <v>3144</v>
      </c>
      <c r="P532" s="5">
        <f t="shared" si="208"/>
        <v>4192</v>
      </c>
      <c r="Q532" s="5">
        <f t="shared" si="184"/>
        <v>220500</v>
      </c>
      <c r="R532" s="5">
        <f t="shared" si="185"/>
        <v>54985</v>
      </c>
      <c r="S532" s="5">
        <f t="shared" si="186"/>
        <v>36610</v>
      </c>
      <c r="T532" s="5">
        <f t="shared" si="187"/>
        <v>11004</v>
      </c>
      <c r="U532" s="5">
        <f t="shared" si="188"/>
        <v>14672</v>
      </c>
      <c r="V532" s="5">
        <f>B532*战斗力计算!$B$8+C532*战斗力计算!$B$9+D532*战斗力计算!$B$10+E532*战斗力计算!$B$11+F532*战斗力计算!$B$12</f>
        <v>230440</v>
      </c>
      <c r="W532" s="5">
        <f>G532*战斗力计算!$B$8+H532*战斗力计算!$B$9+I532*战斗力计算!$B$10+J532*战斗力计算!$B$11+K532*战斗力计算!$B$12+L532*战斗力计算!$B$8+M532*战斗力计算!$B$9+N532*战斗力计算!$B$10+O532*战斗力计算!$B$11+P532*战斗力计算!$B$12</f>
        <v>1382640</v>
      </c>
      <c r="X532" s="5">
        <f t="shared" si="189"/>
        <v>1613080</v>
      </c>
      <c r="AC532">
        <f t="shared" si="193"/>
        <v>4</v>
      </c>
      <c r="AD532">
        <f t="shared" si="194"/>
        <v>2</v>
      </c>
      <c r="AF532">
        <f t="shared" si="195"/>
        <v>0.75</v>
      </c>
      <c r="AH532">
        <f t="shared" si="196"/>
        <v>12</v>
      </c>
      <c r="AK532">
        <f t="shared" si="197"/>
        <v>6.0229445506692159</v>
      </c>
      <c r="AL532">
        <f t="shared" si="198"/>
        <v>1.5019120458891013</v>
      </c>
      <c r="AM532">
        <f t="shared" si="199"/>
        <v>1</v>
      </c>
      <c r="AN532">
        <f t="shared" si="200"/>
        <v>6.0229445506692159</v>
      </c>
      <c r="AO532">
        <f t="shared" si="201"/>
        <v>1.5019120458891013</v>
      </c>
      <c r="AP532">
        <f t="shared" si="202"/>
        <v>1</v>
      </c>
      <c r="AR532">
        <f t="shared" si="203"/>
        <v>4.4971374045801529</v>
      </c>
      <c r="AT532">
        <f t="shared" si="204"/>
        <v>4.4971374045801529</v>
      </c>
      <c r="AV532">
        <f t="shared" si="205"/>
        <v>5498</v>
      </c>
      <c r="AW532">
        <f t="shared" si="206"/>
        <v>10211</v>
      </c>
    </row>
    <row r="533" spans="1:49" x14ac:dyDescent="0.15">
      <c r="A533" s="5">
        <v>523</v>
      </c>
      <c r="B533" s="5">
        <f t="shared" si="192"/>
        <v>31560</v>
      </c>
      <c r="C533" s="5">
        <f t="shared" si="192"/>
        <v>7870</v>
      </c>
      <c r="D533" s="5">
        <f t="shared" si="192"/>
        <v>5240</v>
      </c>
      <c r="E533" s="5">
        <f t="shared" si="192"/>
        <v>1575</v>
      </c>
      <c r="F533" s="5">
        <f t="shared" si="192"/>
        <v>2100</v>
      </c>
      <c r="G533" s="5">
        <f t="shared" si="207"/>
        <v>126240</v>
      </c>
      <c r="H533" s="5">
        <f t="shared" si="207"/>
        <v>31480</v>
      </c>
      <c r="I533" s="5">
        <f t="shared" si="207"/>
        <v>20960</v>
      </c>
      <c r="J533" s="5">
        <f t="shared" si="207"/>
        <v>6300</v>
      </c>
      <c r="K533" s="5">
        <f t="shared" si="207"/>
        <v>8400</v>
      </c>
      <c r="L533" s="5">
        <f t="shared" si="208"/>
        <v>63120</v>
      </c>
      <c r="M533" s="5">
        <f t="shared" si="208"/>
        <v>15740</v>
      </c>
      <c r="N533" s="5">
        <f t="shared" si="208"/>
        <v>10480</v>
      </c>
      <c r="O533" s="5">
        <f t="shared" si="208"/>
        <v>3150</v>
      </c>
      <c r="P533" s="5">
        <f t="shared" si="208"/>
        <v>4200</v>
      </c>
      <c r="Q533" s="5">
        <f t="shared" si="184"/>
        <v>220920</v>
      </c>
      <c r="R533" s="5">
        <f t="shared" si="185"/>
        <v>55090</v>
      </c>
      <c r="S533" s="5">
        <f t="shared" si="186"/>
        <v>36680</v>
      </c>
      <c r="T533" s="5">
        <f t="shared" si="187"/>
        <v>11025</v>
      </c>
      <c r="U533" s="5">
        <f t="shared" si="188"/>
        <v>14700</v>
      </c>
      <c r="V533" s="5">
        <f>B533*战斗力计算!$B$8+C533*战斗力计算!$B$9+D533*战斗力计算!$B$10+E533*战斗力计算!$B$11+F533*战斗力计算!$B$12</f>
        <v>230880</v>
      </c>
      <c r="W533" s="5">
        <f>G533*战斗力计算!$B$8+H533*战斗力计算!$B$9+I533*战斗力计算!$B$10+J533*战斗力计算!$B$11+K533*战斗力计算!$B$12+L533*战斗力计算!$B$8+M533*战斗力计算!$B$9+N533*战斗力计算!$B$10+O533*战斗力计算!$B$11+P533*战斗力计算!$B$12</f>
        <v>1385280</v>
      </c>
      <c r="X533" s="5">
        <f t="shared" si="189"/>
        <v>1616160</v>
      </c>
      <c r="AC533">
        <f t="shared" si="193"/>
        <v>4</v>
      </c>
      <c r="AD533">
        <f t="shared" si="194"/>
        <v>2</v>
      </c>
      <c r="AF533">
        <f t="shared" si="195"/>
        <v>0.75</v>
      </c>
      <c r="AH533">
        <f t="shared" si="196"/>
        <v>12</v>
      </c>
      <c r="AK533">
        <f t="shared" si="197"/>
        <v>6.0229007633587788</v>
      </c>
      <c r="AL533">
        <f t="shared" si="198"/>
        <v>1.501908396946565</v>
      </c>
      <c r="AM533">
        <f t="shared" si="199"/>
        <v>1</v>
      </c>
      <c r="AN533">
        <f t="shared" si="200"/>
        <v>6.0229007633587788</v>
      </c>
      <c r="AO533">
        <f t="shared" si="201"/>
        <v>1.501908396946565</v>
      </c>
      <c r="AP533">
        <f t="shared" si="202"/>
        <v>1</v>
      </c>
      <c r="AR533">
        <f t="shared" si="203"/>
        <v>4.4971428571428573</v>
      </c>
      <c r="AT533">
        <f t="shared" si="204"/>
        <v>4.4971428571428573</v>
      </c>
      <c r="AV533">
        <f t="shared" si="205"/>
        <v>5509</v>
      </c>
      <c r="AW533">
        <f t="shared" si="206"/>
        <v>10231</v>
      </c>
    </row>
    <row r="534" spans="1:49" x14ac:dyDescent="0.15">
      <c r="A534" s="5">
        <v>524</v>
      </c>
      <c r="B534" s="5">
        <f t="shared" si="192"/>
        <v>31620</v>
      </c>
      <c r="C534" s="5">
        <f t="shared" si="192"/>
        <v>7885</v>
      </c>
      <c r="D534" s="5">
        <f t="shared" si="192"/>
        <v>5250</v>
      </c>
      <c r="E534" s="5">
        <f t="shared" si="192"/>
        <v>1578</v>
      </c>
      <c r="F534" s="5">
        <f t="shared" si="192"/>
        <v>2104</v>
      </c>
      <c r="G534" s="5">
        <f t="shared" si="207"/>
        <v>126480</v>
      </c>
      <c r="H534" s="5">
        <f t="shared" si="207"/>
        <v>31540</v>
      </c>
      <c r="I534" s="5">
        <f t="shared" si="207"/>
        <v>21000</v>
      </c>
      <c r="J534" s="5">
        <f t="shared" si="207"/>
        <v>6312</v>
      </c>
      <c r="K534" s="5">
        <f t="shared" si="207"/>
        <v>8416</v>
      </c>
      <c r="L534" s="5">
        <f t="shared" si="208"/>
        <v>63240</v>
      </c>
      <c r="M534" s="5">
        <f t="shared" si="208"/>
        <v>15770</v>
      </c>
      <c r="N534" s="5">
        <f t="shared" si="208"/>
        <v>10500</v>
      </c>
      <c r="O534" s="5">
        <f t="shared" si="208"/>
        <v>3156</v>
      </c>
      <c r="P534" s="5">
        <f t="shared" si="208"/>
        <v>4208</v>
      </c>
      <c r="Q534" s="5">
        <f t="shared" si="184"/>
        <v>221340</v>
      </c>
      <c r="R534" s="5">
        <f t="shared" si="185"/>
        <v>55195</v>
      </c>
      <c r="S534" s="5">
        <f t="shared" si="186"/>
        <v>36750</v>
      </c>
      <c r="T534" s="5">
        <f t="shared" si="187"/>
        <v>11046</v>
      </c>
      <c r="U534" s="5">
        <f t="shared" si="188"/>
        <v>14728</v>
      </c>
      <c r="V534" s="5">
        <f>B534*战斗力计算!$B$8+C534*战斗力计算!$B$9+D534*战斗力计算!$B$10+E534*战斗力计算!$B$11+F534*战斗力计算!$B$12</f>
        <v>231320</v>
      </c>
      <c r="W534" s="5">
        <f>G534*战斗力计算!$B$8+H534*战斗力计算!$B$9+I534*战斗力计算!$B$10+J534*战斗力计算!$B$11+K534*战斗力计算!$B$12+L534*战斗力计算!$B$8+M534*战斗力计算!$B$9+N534*战斗力计算!$B$10+O534*战斗力计算!$B$11+P534*战斗力计算!$B$12</f>
        <v>1387920</v>
      </c>
      <c r="X534" s="5">
        <f t="shared" si="189"/>
        <v>1619240</v>
      </c>
      <c r="AC534">
        <f t="shared" si="193"/>
        <v>4</v>
      </c>
      <c r="AD534">
        <f t="shared" si="194"/>
        <v>2</v>
      </c>
      <c r="AF534">
        <f t="shared" si="195"/>
        <v>0.75</v>
      </c>
      <c r="AH534">
        <f t="shared" si="196"/>
        <v>12</v>
      </c>
      <c r="AK534">
        <f t="shared" si="197"/>
        <v>6.0228571428571431</v>
      </c>
      <c r="AL534">
        <f t="shared" si="198"/>
        <v>1.5019047619047619</v>
      </c>
      <c r="AM534">
        <f t="shared" si="199"/>
        <v>1</v>
      </c>
      <c r="AN534">
        <f t="shared" si="200"/>
        <v>6.0228571428571431</v>
      </c>
      <c r="AO534">
        <f t="shared" si="201"/>
        <v>1.5019047619047619</v>
      </c>
      <c r="AP534">
        <f t="shared" si="202"/>
        <v>1</v>
      </c>
      <c r="AR534">
        <f t="shared" si="203"/>
        <v>4.497148288973384</v>
      </c>
      <c r="AT534">
        <f t="shared" si="204"/>
        <v>4.497148288973384</v>
      </c>
      <c r="AV534">
        <f t="shared" si="205"/>
        <v>5519</v>
      </c>
      <c r="AW534">
        <f t="shared" si="206"/>
        <v>10250</v>
      </c>
    </row>
    <row r="535" spans="1:49" x14ac:dyDescent="0.15">
      <c r="A535" s="5">
        <v>525</v>
      </c>
      <c r="B535" s="5">
        <f t="shared" si="192"/>
        <v>31680</v>
      </c>
      <c r="C535" s="5">
        <f t="shared" si="192"/>
        <v>7900</v>
      </c>
      <c r="D535" s="5">
        <f t="shared" si="192"/>
        <v>5260</v>
      </c>
      <c r="E535" s="5">
        <f t="shared" si="192"/>
        <v>1581</v>
      </c>
      <c r="F535" s="5">
        <f t="shared" si="192"/>
        <v>2108</v>
      </c>
      <c r="G535" s="5">
        <f t="shared" si="207"/>
        <v>126720</v>
      </c>
      <c r="H535" s="5">
        <f t="shared" si="207"/>
        <v>31600</v>
      </c>
      <c r="I535" s="5">
        <f t="shared" si="207"/>
        <v>21040</v>
      </c>
      <c r="J535" s="5">
        <f t="shared" si="207"/>
        <v>6324</v>
      </c>
      <c r="K535" s="5">
        <f t="shared" si="207"/>
        <v>8432</v>
      </c>
      <c r="L535" s="5">
        <f t="shared" si="208"/>
        <v>63360</v>
      </c>
      <c r="M535" s="5">
        <f t="shared" si="208"/>
        <v>15800</v>
      </c>
      <c r="N535" s="5">
        <f t="shared" si="208"/>
        <v>10520</v>
      </c>
      <c r="O535" s="5">
        <f t="shared" si="208"/>
        <v>3162</v>
      </c>
      <c r="P535" s="5">
        <f t="shared" si="208"/>
        <v>4216</v>
      </c>
      <c r="Q535" s="5">
        <f t="shared" si="184"/>
        <v>221760</v>
      </c>
      <c r="R535" s="5">
        <f t="shared" si="185"/>
        <v>55300</v>
      </c>
      <c r="S535" s="5">
        <f t="shared" si="186"/>
        <v>36820</v>
      </c>
      <c r="T535" s="5">
        <f t="shared" si="187"/>
        <v>11067</v>
      </c>
      <c r="U535" s="5">
        <f t="shared" si="188"/>
        <v>14756</v>
      </c>
      <c r="V535" s="5">
        <f>B535*战斗力计算!$B$8+C535*战斗力计算!$B$9+D535*战斗力计算!$B$10+E535*战斗力计算!$B$11+F535*战斗力计算!$B$12</f>
        <v>231760</v>
      </c>
      <c r="W535" s="5">
        <f>G535*战斗力计算!$B$8+H535*战斗力计算!$B$9+I535*战斗力计算!$B$10+J535*战斗力计算!$B$11+K535*战斗力计算!$B$12+L535*战斗力计算!$B$8+M535*战斗力计算!$B$9+N535*战斗力计算!$B$10+O535*战斗力计算!$B$11+P535*战斗力计算!$B$12</f>
        <v>1390560</v>
      </c>
      <c r="X535" s="5">
        <f t="shared" si="189"/>
        <v>1622320</v>
      </c>
      <c r="AC535">
        <f t="shared" si="193"/>
        <v>4</v>
      </c>
      <c r="AD535">
        <f t="shared" si="194"/>
        <v>2</v>
      </c>
      <c r="AF535">
        <f t="shared" si="195"/>
        <v>0.75</v>
      </c>
      <c r="AH535">
        <f t="shared" si="196"/>
        <v>12</v>
      </c>
      <c r="AK535">
        <f t="shared" si="197"/>
        <v>6.0228136882129277</v>
      </c>
      <c r="AL535">
        <f t="shared" si="198"/>
        <v>1.5019011406844107</v>
      </c>
      <c r="AM535">
        <f t="shared" si="199"/>
        <v>1</v>
      </c>
      <c r="AN535">
        <f t="shared" si="200"/>
        <v>6.0228136882129277</v>
      </c>
      <c r="AO535">
        <f t="shared" si="201"/>
        <v>1.5019011406844107</v>
      </c>
      <c r="AP535">
        <f t="shared" si="202"/>
        <v>1</v>
      </c>
      <c r="AR535">
        <f t="shared" si="203"/>
        <v>4.4971537001897532</v>
      </c>
      <c r="AT535">
        <f t="shared" si="204"/>
        <v>4.4971537001897532</v>
      </c>
      <c r="AV535">
        <f t="shared" si="205"/>
        <v>5530</v>
      </c>
      <c r="AW535">
        <f t="shared" si="206"/>
        <v>10270</v>
      </c>
    </row>
    <row r="536" spans="1:49" x14ac:dyDescent="0.15">
      <c r="A536" s="5">
        <v>526</v>
      </c>
      <c r="B536" s="5">
        <f t="shared" si="192"/>
        <v>31740</v>
      </c>
      <c r="C536" s="5">
        <f t="shared" si="192"/>
        <v>7915</v>
      </c>
      <c r="D536" s="5">
        <f t="shared" si="192"/>
        <v>5270</v>
      </c>
      <c r="E536" s="5">
        <f t="shared" si="192"/>
        <v>1584</v>
      </c>
      <c r="F536" s="5">
        <f t="shared" si="192"/>
        <v>2112</v>
      </c>
      <c r="G536" s="5">
        <f t="shared" si="207"/>
        <v>126960</v>
      </c>
      <c r="H536" s="5">
        <f t="shared" si="207"/>
        <v>31660</v>
      </c>
      <c r="I536" s="5">
        <f t="shared" si="207"/>
        <v>21080</v>
      </c>
      <c r="J536" s="5">
        <f t="shared" si="207"/>
        <v>6336</v>
      </c>
      <c r="K536" s="5">
        <f t="shared" si="207"/>
        <v>8448</v>
      </c>
      <c r="L536" s="5">
        <f t="shared" si="208"/>
        <v>63480</v>
      </c>
      <c r="M536" s="5">
        <f t="shared" si="208"/>
        <v>15830</v>
      </c>
      <c r="N536" s="5">
        <f t="shared" si="208"/>
        <v>10540</v>
      </c>
      <c r="O536" s="5">
        <f t="shared" si="208"/>
        <v>3168</v>
      </c>
      <c r="P536" s="5">
        <f t="shared" si="208"/>
        <v>4224</v>
      </c>
      <c r="Q536" s="5">
        <f t="shared" si="184"/>
        <v>222180</v>
      </c>
      <c r="R536" s="5">
        <f t="shared" si="185"/>
        <v>55405</v>
      </c>
      <c r="S536" s="5">
        <f t="shared" si="186"/>
        <v>36890</v>
      </c>
      <c r="T536" s="5">
        <f t="shared" si="187"/>
        <v>11088</v>
      </c>
      <c r="U536" s="5">
        <f t="shared" si="188"/>
        <v>14784</v>
      </c>
      <c r="V536" s="5">
        <f>B536*战斗力计算!$B$8+C536*战斗力计算!$B$9+D536*战斗力计算!$B$10+E536*战斗力计算!$B$11+F536*战斗力计算!$B$12</f>
        <v>232200</v>
      </c>
      <c r="W536" s="5">
        <f>G536*战斗力计算!$B$8+H536*战斗力计算!$B$9+I536*战斗力计算!$B$10+J536*战斗力计算!$B$11+K536*战斗力计算!$B$12+L536*战斗力计算!$B$8+M536*战斗力计算!$B$9+N536*战斗力计算!$B$10+O536*战斗力计算!$B$11+P536*战斗力计算!$B$12</f>
        <v>1393200</v>
      </c>
      <c r="X536" s="5">
        <f t="shared" si="189"/>
        <v>1625400</v>
      </c>
      <c r="AC536">
        <f t="shared" si="193"/>
        <v>4</v>
      </c>
      <c r="AD536">
        <f t="shared" si="194"/>
        <v>2</v>
      </c>
      <c r="AF536">
        <f t="shared" si="195"/>
        <v>0.75</v>
      </c>
      <c r="AH536">
        <f t="shared" si="196"/>
        <v>12</v>
      </c>
      <c r="AK536">
        <f t="shared" si="197"/>
        <v>6.0227703984819732</v>
      </c>
      <c r="AL536">
        <f t="shared" si="198"/>
        <v>1.5018975332068312</v>
      </c>
      <c r="AM536">
        <f t="shared" si="199"/>
        <v>1</v>
      </c>
      <c r="AN536">
        <f t="shared" si="200"/>
        <v>6.0227703984819732</v>
      </c>
      <c r="AO536">
        <f t="shared" si="201"/>
        <v>1.5018975332068312</v>
      </c>
      <c r="AP536">
        <f t="shared" si="202"/>
        <v>1</v>
      </c>
      <c r="AR536">
        <f t="shared" si="203"/>
        <v>4.4971590909090908</v>
      </c>
      <c r="AT536">
        <f t="shared" si="204"/>
        <v>4.4971590909090908</v>
      </c>
      <c r="AV536">
        <f t="shared" si="205"/>
        <v>5540</v>
      </c>
      <c r="AW536">
        <f t="shared" si="206"/>
        <v>10289</v>
      </c>
    </row>
    <row r="537" spans="1:49" x14ac:dyDescent="0.15">
      <c r="A537" s="5">
        <v>527</v>
      </c>
      <c r="B537" s="5">
        <f t="shared" si="192"/>
        <v>31800</v>
      </c>
      <c r="C537" s="5">
        <f t="shared" si="192"/>
        <v>7930</v>
      </c>
      <c r="D537" s="5">
        <f t="shared" si="192"/>
        <v>5280</v>
      </c>
      <c r="E537" s="5">
        <f t="shared" si="192"/>
        <v>1587</v>
      </c>
      <c r="F537" s="5">
        <f t="shared" si="192"/>
        <v>2116</v>
      </c>
      <c r="G537" s="5">
        <f t="shared" si="207"/>
        <v>127200</v>
      </c>
      <c r="H537" s="5">
        <f t="shared" si="207"/>
        <v>31720</v>
      </c>
      <c r="I537" s="5">
        <f t="shared" si="207"/>
        <v>21120</v>
      </c>
      <c r="J537" s="5">
        <f t="shared" si="207"/>
        <v>6348</v>
      </c>
      <c r="K537" s="5">
        <f t="shared" si="207"/>
        <v>8464</v>
      </c>
      <c r="L537" s="5">
        <f t="shared" si="208"/>
        <v>63600</v>
      </c>
      <c r="M537" s="5">
        <f t="shared" si="208"/>
        <v>15860</v>
      </c>
      <c r="N537" s="5">
        <f t="shared" si="208"/>
        <v>10560</v>
      </c>
      <c r="O537" s="5">
        <f t="shared" si="208"/>
        <v>3174</v>
      </c>
      <c r="P537" s="5">
        <f t="shared" si="208"/>
        <v>4232</v>
      </c>
      <c r="Q537" s="5">
        <f t="shared" si="184"/>
        <v>222600</v>
      </c>
      <c r="R537" s="5">
        <f t="shared" si="185"/>
        <v>55510</v>
      </c>
      <c r="S537" s="5">
        <f t="shared" si="186"/>
        <v>36960</v>
      </c>
      <c r="T537" s="5">
        <f t="shared" si="187"/>
        <v>11109</v>
      </c>
      <c r="U537" s="5">
        <f t="shared" si="188"/>
        <v>14812</v>
      </c>
      <c r="V537" s="5">
        <f>B537*战斗力计算!$B$8+C537*战斗力计算!$B$9+D537*战斗力计算!$B$10+E537*战斗力计算!$B$11+F537*战斗力计算!$B$12</f>
        <v>232640</v>
      </c>
      <c r="W537" s="5">
        <f>G537*战斗力计算!$B$8+H537*战斗力计算!$B$9+I537*战斗力计算!$B$10+J537*战斗力计算!$B$11+K537*战斗力计算!$B$12+L537*战斗力计算!$B$8+M537*战斗力计算!$B$9+N537*战斗力计算!$B$10+O537*战斗力计算!$B$11+P537*战斗力计算!$B$12</f>
        <v>1395840</v>
      </c>
      <c r="X537" s="5">
        <f t="shared" si="189"/>
        <v>1628480</v>
      </c>
      <c r="AC537">
        <f t="shared" si="193"/>
        <v>4</v>
      </c>
      <c r="AD537">
        <f t="shared" si="194"/>
        <v>2</v>
      </c>
      <c r="AF537">
        <f t="shared" si="195"/>
        <v>0.75</v>
      </c>
      <c r="AH537">
        <f t="shared" si="196"/>
        <v>12</v>
      </c>
      <c r="AK537">
        <f t="shared" si="197"/>
        <v>6.0227272727272725</v>
      </c>
      <c r="AL537">
        <f t="shared" si="198"/>
        <v>1.5018939393939394</v>
      </c>
      <c r="AM537">
        <f t="shared" si="199"/>
        <v>1</v>
      </c>
      <c r="AN537">
        <f t="shared" si="200"/>
        <v>6.0227272727272725</v>
      </c>
      <c r="AO537">
        <f t="shared" si="201"/>
        <v>1.5018939393939394</v>
      </c>
      <c r="AP537">
        <f t="shared" si="202"/>
        <v>1</v>
      </c>
      <c r="AR537">
        <f t="shared" si="203"/>
        <v>4.4971644612476371</v>
      </c>
      <c r="AT537">
        <f t="shared" si="204"/>
        <v>4.4971644612476371</v>
      </c>
      <c r="AV537">
        <f t="shared" si="205"/>
        <v>5551</v>
      </c>
      <c r="AW537">
        <f t="shared" si="206"/>
        <v>10309</v>
      </c>
    </row>
    <row r="538" spans="1:49" x14ac:dyDescent="0.15">
      <c r="A538" s="5">
        <v>528</v>
      </c>
      <c r="B538" s="5">
        <f t="shared" si="192"/>
        <v>31860</v>
      </c>
      <c r="C538" s="5">
        <f t="shared" si="192"/>
        <v>7945</v>
      </c>
      <c r="D538" s="5">
        <f t="shared" si="192"/>
        <v>5290</v>
      </c>
      <c r="E538" s="5">
        <f t="shared" si="192"/>
        <v>1590</v>
      </c>
      <c r="F538" s="5">
        <f t="shared" si="192"/>
        <v>2120</v>
      </c>
      <c r="G538" s="5">
        <f t="shared" si="207"/>
        <v>127440</v>
      </c>
      <c r="H538" s="5">
        <f t="shared" si="207"/>
        <v>31780</v>
      </c>
      <c r="I538" s="5">
        <f t="shared" si="207"/>
        <v>21160</v>
      </c>
      <c r="J538" s="5">
        <f t="shared" si="207"/>
        <v>6360</v>
      </c>
      <c r="K538" s="5">
        <f t="shared" si="207"/>
        <v>8480</v>
      </c>
      <c r="L538" s="5">
        <f t="shared" si="208"/>
        <v>63720</v>
      </c>
      <c r="M538" s="5">
        <f t="shared" si="208"/>
        <v>15890</v>
      </c>
      <c r="N538" s="5">
        <f t="shared" si="208"/>
        <v>10580</v>
      </c>
      <c r="O538" s="5">
        <f t="shared" si="208"/>
        <v>3180</v>
      </c>
      <c r="P538" s="5">
        <f t="shared" si="208"/>
        <v>4240</v>
      </c>
      <c r="Q538" s="5">
        <f t="shared" si="184"/>
        <v>223020</v>
      </c>
      <c r="R538" s="5">
        <f t="shared" si="185"/>
        <v>55615</v>
      </c>
      <c r="S538" s="5">
        <f t="shared" si="186"/>
        <v>37030</v>
      </c>
      <c r="T538" s="5">
        <f t="shared" si="187"/>
        <v>11130</v>
      </c>
      <c r="U538" s="5">
        <f t="shared" si="188"/>
        <v>14840</v>
      </c>
      <c r="V538" s="5">
        <f>B538*战斗力计算!$B$8+C538*战斗力计算!$B$9+D538*战斗力计算!$B$10+E538*战斗力计算!$B$11+F538*战斗力计算!$B$12</f>
        <v>233080</v>
      </c>
      <c r="W538" s="5">
        <f>G538*战斗力计算!$B$8+H538*战斗力计算!$B$9+I538*战斗力计算!$B$10+J538*战斗力计算!$B$11+K538*战斗力计算!$B$12+L538*战斗力计算!$B$8+M538*战斗力计算!$B$9+N538*战斗力计算!$B$10+O538*战斗力计算!$B$11+P538*战斗力计算!$B$12</f>
        <v>1398480</v>
      </c>
      <c r="X538" s="5">
        <f t="shared" si="189"/>
        <v>1631560</v>
      </c>
      <c r="AC538">
        <f t="shared" si="193"/>
        <v>4</v>
      </c>
      <c r="AD538">
        <f t="shared" si="194"/>
        <v>2</v>
      </c>
      <c r="AF538">
        <f t="shared" si="195"/>
        <v>0.75</v>
      </c>
      <c r="AH538">
        <f t="shared" si="196"/>
        <v>12</v>
      </c>
      <c r="AK538">
        <f t="shared" si="197"/>
        <v>6.0226843100189038</v>
      </c>
      <c r="AL538">
        <f t="shared" si="198"/>
        <v>1.501890359168242</v>
      </c>
      <c r="AM538">
        <f t="shared" si="199"/>
        <v>1</v>
      </c>
      <c r="AN538">
        <f t="shared" si="200"/>
        <v>6.0226843100189038</v>
      </c>
      <c r="AO538">
        <f t="shared" si="201"/>
        <v>1.501890359168242</v>
      </c>
      <c r="AP538">
        <f t="shared" si="202"/>
        <v>1</v>
      </c>
      <c r="AR538">
        <f t="shared" si="203"/>
        <v>4.497169811320755</v>
      </c>
      <c r="AT538">
        <f t="shared" si="204"/>
        <v>4.497169811320755</v>
      </c>
      <c r="AV538">
        <f t="shared" si="205"/>
        <v>5561</v>
      </c>
      <c r="AW538">
        <f t="shared" si="206"/>
        <v>10328</v>
      </c>
    </row>
    <row r="539" spans="1:49" x14ac:dyDescent="0.15">
      <c r="A539" s="5">
        <v>529</v>
      </c>
      <c r="B539" s="5">
        <f t="shared" si="192"/>
        <v>31920</v>
      </c>
      <c r="C539" s="5">
        <f t="shared" si="192"/>
        <v>7960</v>
      </c>
      <c r="D539" s="5">
        <f t="shared" si="192"/>
        <v>5300</v>
      </c>
      <c r="E539" s="5">
        <f t="shared" si="192"/>
        <v>1593</v>
      </c>
      <c r="F539" s="5">
        <f t="shared" si="192"/>
        <v>2124</v>
      </c>
      <c r="G539" s="5">
        <f t="shared" si="207"/>
        <v>127680</v>
      </c>
      <c r="H539" s="5">
        <f t="shared" si="207"/>
        <v>31840</v>
      </c>
      <c r="I539" s="5">
        <f t="shared" si="207"/>
        <v>21200</v>
      </c>
      <c r="J539" s="5">
        <f t="shared" si="207"/>
        <v>6372</v>
      </c>
      <c r="K539" s="5">
        <f t="shared" si="207"/>
        <v>8496</v>
      </c>
      <c r="L539" s="5">
        <f t="shared" si="208"/>
        <v>63840</v>
      </c>
      <c r="M539" s="5">
        <f t="shared" si="208"/>
        <v>15920</v>
      </c>
      <c r="N539" s="5">
        <f t="shared" si="208"/>
        <v>10600</v>
      </c>
      <c r="O539" s="5">
        <f t="shared" si="208"/>
        <v>3186</v>
      </c>
      <c r="P539" s="5">
        <f t="shared" si="208"/>
        <v>4248</v>
      </c>
      <c r="Q539" s="5">
        <f t="shared" si="184"/>
        <v>223440</v>
      </c>
      <c r="R539" s="5">
        <f t="shared" si="185"/>
        <v>55720</v>
      </c>
      <c r="S539" s="5">
        <f t="shared" si="186"/>
        <v>37100</v>
      </c>
      <c r="T539" s="5">
        <f t="shared" si="187"/>
        <v>11151</v>
      </c>
      <c r="U539" s="5">
        <f t="shared" si="188"/>
        <v>14868</v>
      </c>
      <c r="V539" s="5">
        <f>B539*战斗力计算!$B$8+C539*战斗力计算!$B$9+D539*战斗力计算!$B$10+E539*战斗力计算!$B$11+F539*战斗力计算!$B$12</f>
        <v>233520</v>
      </c>
      <c r="W539" s="5">
        <f>G539*战斗力计算!$B$8+H539*战斗力计算!$B$9+I539*战斗力计算!$B$10+J539*战斗力计算!$B$11+K539*战斗力计算!$B$12+L539*战斗力计算!$B$8+M539*战斗力计算!$B$9+N539*战斗力计算!$B$10+O539*战斗力计算!$B$11+P539*战斗力计算!$B$12</f>
        <v>1401120</v>
      </c>
      <c r="X539" s="5">
        <f t="shared" si="189"/>
        <v>1634640</v>
      </c>
      <c r="AC539">
        <f t="shared" si="193"/>
        <v>4</v>
      </c>
      <c r="AD539">
        <f t="shared" si="194"/>
        <v>2</v>
      </c>
      <c r="AF539">
        <f t="shared" si="195"/>
        <v>0.75</v>
      </c>
      <c r="AH539">
        <f t="shared" si="196"/>
        <v>12</v>
      </c>
      <c r="AK539">
        <f t="shared" si="197"/>
        <v>6.0226415094339627</v>
      </c>
      <c r="AL539">
        <f t="shared" si="198"/>
        <v>1.5018867924528303</v>
      </c>
      <c r="AM539">
        <f t="shared" si="199"/>
        <v>1</v>
      </c>
      <c r="AN539">
        <f t="shared" si="200"/>
        <v>6.0226415094339627</v>
      </c>
      <c r="AO539">
        <f t="shared" si="201"/>
        <v>1.5018867924528303</v>
      </c>
      <c r="AP539">
        <f t="shared" si="202"/>
        <v>1</v>
      </c>
      <c r="AR539">
        <f t="shared" si="203"/>
        <v>4.4971751412429377</v>
      </c>
      <c r="AT539">
        <f t="shared" si="204"/>
        <v>4.4971751412429377</v>
      </c>
      <c r="AV539">
        <f t="shared" si="205"/>
        <v>5572</v>
      </c>
      <c r="AW539">
        <f t="shared" si="206"/>
        <v>10348</v>
      </c>
    </row>
    <row r="540" spans="1:49" x14ac:dyDescent="0.15">
      <c r="A540" s="5">
        <v>530</v>
      </c>
      <c r="B540" s="5">
        <f t="shared" si="192"/>
        <v>31980</v>
      </c>
      <c r="C540" s="5">
        <f t="shared" si="192"/>
        <v>7975</v>
      </c>
      <c r="D540" s="5">
        <f t="shared" si="192"/>
        <v>5310</v>
      </c>
      <c r="E540" s="5">
        <f t="shared" si="192"/>
        <v>1596</v>
      </c>
      <c r="F540" s="5">
        <f t="shared" si="192"/>
        <v>2128</v>
      </c>
      <c r="G540" s="5">
        <f t="shared" si="207"/>
        <v>127920</v>
      </c>
      <c r="H540" s="5">
        <f t="shared" si="207"/>
        <v>31900</v>
      </c>
      <c r="I540" s="5">
        <f t="shared" si="207"/>
        <v>21240</v>
      </c>
      <c r="J540" s="5">
        <f t="shared" si="207"/>
        <v>6384</v>
      </c>
      <c r="K540" s="5">
        <f t="shared" si="207"/>
        <v>8512</v>
      </c>
      <c r="L540" s="5">
        <f t="shared" si="208"/>
        <v>63960</v>
      </c>
      <c r="M540" s="5">
        <f t="shared" si="208"/>
        <v>15950</v>
      </c>
      <c r="N540" s="5">
        <f t="shared" si="208"/>
        <v>10620</v>
      </c>
      <c r="O540" s="5">
        <f t="shared" si="208"/>
        <v>3192</v>
      </c>
      <c r="P540" s="5">
        <f t="shared" si="208"/>
        <v>4256</v>
      </c>
      <c r="Q540" s="5">
        <f t="shared" si="184"/>
        <v>223860</v>
      </c>
      <c r="R540" s="5">
        <f t="shared" si="185"/>
        <v>55825</v>
      </c>
      <c r="S540" s="5">
        <f t="shared" si="186"/>
        <v>37170</v>
      </c>
      <c r="T540" s="5">
        <f t="shared" si="187"/>
        <v>11172</v>
      </c>
      <c r="U540" s="5">
        <f t="shared" si="188"/>
        <v>14896</v>
      </c>
      <c r="V540" s="5">
        <f>B540*战斗力计算!$B$8+C540*战斗力计算!$B$9+D540*战斗力计算!$B$10+E540*战斗力计算!$B$11+F540*战斗力计算!$B$12</f>
        <v>233960</v>
      </c>
      <c r="W540" s="5">
        <f>G540*战斗力计算!$B$8+H540*战斗力计算!$B$9+I540*战斗力计算!$B$10+J540*战斗力计算!$B$11+K540*战斗力计算!$B$12+L540*战斗力计算!$B$8+M540*战斗力计算!$B$9+N540*战斗力计算!$B$10+O540*战斗力计算!$B$11+P540*战斗力计算!$B$12</f>
        <v>1403760</v>
      </c>
      <c r="X540" s="5">
        <f t="shared" si="189"/>
        <v>1637720</v>
      </c>
      <c r="AC540">
        <f t="shared" si="193"/>
        <v>4</v>
      </c>
      <c r="AD540">
        <f t="shared" si="194"/>
        <v>2</v>
      </c>
      <c r="AF540">
        <f t="shared" si="195"/>
        <v>0.75</v>
      </c>
      <c r="AH540">
        <f t="shared" si="196"/>
        <v>12</v>
      </c>
      <c r="AK540">
        <f t="shared" si="197"/>
        <v>6.0225988700564974</v>
      </c>
      <c r="AL540">
        <f t="shared" si="198"/>
        <v>1.5018832391713748</v>
      </c>
      <c r="AM540">
        <f t="shared" si="199"/>
        <v>1</v>
      </c>
      <c r="AN540">
        <f t="shared" si="200"/>
        <v>6.0225988700564974</v>
      </c>
      <c r="AO540">
        <f t="shared" si="201"/>
        <v>1.5018832391713748</v>
      </c>
      <c r="AP540">
        <f t="shared" si="202"/>
        <v>1</v>
      </c>
      <c r="AR540">
        <f t="shared" si="203"/>
        <v>4.4971804511278197</v>
      </c>
      <c r="AT540">
        <f t="shared" si="204"/>
        <v>4.4971804511278197</v>
      </c>
      <c r="AV540">
        <f t="shared" si="205"/>
        <v>5582</v>
      </c>
      <c r="AW540">
        <f t="shared" si="206"/>
        <v>10367</v>
      </c>
    </row>
    <row r="541" spans="1:49" x14ac:dyDescent="0.15">
      <c r="A541" s="5">
        <v>531</v>
      </c>
      <c r="B541" s="5">
        <f t="shared" si="192"/>
        <v>32040</v>
      </c>
      <c r="C541" s="5">
        <f t="shared" si="192"/>
        <v>7990</v>
      </c>
      <c r="D541" s="5">
        <f t="shared" si="192"/>
        <v>5320</v>
      </c>
      <c r="E541" s="5">
        <f t="shared" si="192"/>
        <v>1599</v>
      </c>
      <c r="F541" s="5">
        <f t="shared" si="192"/>
        <v>2132</v>
      </c>
      <c r="G541" s="5">
        <f t="shared" si="207"/>
        <v>128160</v>
      </c>
      <c r="H541" s="5">
        <f t="shared" si="207"/>
        <v>31960</v>
      </c>
      <c r="I541" s="5">
        <f t="shared" si="207"/>
        <v>21280</v>
      </c>
      <c r="J541" s="5">
        <f t="shared" si="207"/>
        <v>6396</v>
      </c>
      <c r="K541" s="5">
        <f t="shared" si="207"/>
        <v>8528</v>
      </c>
      <c r="L541" s="5">
        <f t="shared" si="208"/>
        <v>64080</v>
      </c>
      <c r="M541" s="5">
        <f t="shared" si="208"/>
        <v>15980</v>
      </c>
      <c r="N541" s="5">
        <f t="shared" si="208"/>
        <v>10640</v>
      </c>
      <c r="O541" s="5">
        <f t="shared" si="208"/>
        <v>3198</v>
      </c>
      <c r="P541" s="5">
        <f t="shared" si="208"/>
        <v>4264</v>
      </c>
      <c r="Q541" s="5">
        <f t="shared" si="184"/>
        <v>224280</v>
      </c>
      <c r="R541" s="5">
        <f t="shared" si="185"/>
        <v>55930</v>
      </c>
      <c r="S541" s="5">
        <f t="shared" si="186"/>
        <v>37240</v>
      </c>
      <c r="T541" s="5">
        <f t="shared" si="187"/>
        <v>11193</v>
      </c>
      <c r="U541" s="5">
        <f t="shared" si="188"/>
        <v>14924</v>
      </c>
      <c r="V541" s="5">
        <f>B541*战斗力计算!$B$8+C541*战斗力计算!$B$9+D541*战斗力计算!$B$10+E541*战斗力计算!$B$11+F541*战斗力计算!$B$12</f>
        <v>234400</v>
      </c>
      <c r="W541" s="5">
        <f>G541*战斗力计算!$B$8+H541*战斗力计算!$B$9+I541*战斗力计算!$B$10+J541*战斗力计算!$B$11+K541*战斗力计算!$B$12+L541*战斗力计算!$B$8+M541*战斗力计算!$B$9+N541*战斗力计算!$B$10+O541*战斗力计算!$B$11+P541*战斗力计算!$B$12</f>
        <v>1406400</v>
      </c>
      <c r="X541" s="5">
        <f t="shared" si="189"/>
        <v>1640800</v>
      </c>
      <c r="AC541">
        <f t="shared" si="193"/>
        <v>4</v>
      </c>
      <c r="AD541">
        <f t="shared" si="194"/>
        <v>2</v>
      </c>
      <c r="AF541">
        <f t="shared" si="195"/>
        <v>0.75</v>
      </c>
      <c r="AH541">
        <f t="shared" si="196"/>
        <v>12</v>
      </c>
      <c r="AK541">
        <f t="shared" si="197"/>
        <v>6.022556390977444</v>
      </c>
      <c r="AL541">
        <f t="shared" si="198"/>
        <v>1.5018796992481203</v>
      </c>
      <c r="AM541">
        <f t="shared" si="199"/>
        <v>1</v>
      </c>
      <c r="AN541">
        <f t="shared" si="200"/>
        <v>6.022556390977444</v>
      </c>
      <c r="AO541">
        <f t="shared" si="201"/>
        <v>1.5018796992481203</v>
      </c>
      <c r="AP541">
        <f t="shared" si="202"/>
        <v>1</v>
      </c>
      <c r="AR541">
        <f t="shared" si="203"/>
        <v>4.4971857410881801</v>
      </c>
      <c r="AT541">
        <f t="shared" si="204"/>
        <v>4.4971857410881801</v>
      </c>
      <c r="AV541">
        <f t="shared" si="205"/>
        <v>5593</v>
      </c>
      <c r="AW541">
        <f t="shared" si="206"/>
        <v>10387</v>
      </c>
    </row>
    <row r="542" spans="1:49" x14ac:dyDescent="0.15">
      <c r="A542" s="5">
        <v>532</v>
      </c>
      <c r="B542" s="5">
        <f t="shared" si="192"/>
        <v>32100</v>
      </c>
      <c r="C542" s="5">
        <f t="shared" si="192"/>
        <v>8005</v>
      </c>
      <c r="D542" s="5">
        <f t="shared" si="192"/>
        <v>5330</v>
      </c>
      <c r="E542" s="5">
        <f t="shared" si="192"/>
        <v>1602</v>
      </c>
      <c r="F542" s="5">
        <f t="shared" si="192"/>
        <v>2136</v>
      </c>
      <c r="G542" s="5">
        <f t="shared" si="207"/>
        <v>128400</v>
      </c>
      <c r="H542" s="5">
        <f t="shared" si="207"/>
        <v>32020</v>
      </c>
      <c r="I542" s="5">
        <f t="shared" si="207"/>
        <v>21320</v>
      </c>
      <c r="J542" s="5">
        <f t="shared" si="207"/>
        <v>6408</v>
      </c>
      <c r="K542" s="5">
        <f t="shared" si="207"/>
        <v>8544</v>
      </c>
      <c r="L542" s="5">
        <f t="shared" si="208"/>
        <v>64200</v>
      </c>
      <c r="M542" s="5">
        <f t="shared" si="208"/>
        <v>16010</v>
      </c>
      <c r="N542" s="5">
        <f t="shared" si="208"/>
        <v>10660</v>
      </c>
      <c r="O542" s="5">
        <f t="shared" si="208"/>
        <v>3204</v>
      </c>
      <c r="P542" s="5">
        <f t="shared" si="208"/>
        <v>4272</v>
      </c>
      <c r="Q542" s="5">
        <f t="shared" si="184"/>
        <v>224700</v>
      </c>
      <c r="R542" s="5">
        <f t="shared" si="185"/>
        <v>56035</v>
      </c>
      <c r="S542" s="5">
        <f t="shared" si="186"/>
        <v>37310</v>
      </c>
      <c r="T542" s="5">
        <f t="shared" si="187"/>
        <v>11214</v>
      </c>
      <c r="U542" s="5">
        <f t="shared" si="188"/>
        <v>14952</v>
      </c>
      <c r="V542" s="5">
        <f>B542*战斗力计算!$B$8+C542*战斗力计算!$B$9+D542*战斗力计算!$B$10+E542*战斗力计算!$B$11+F542*战斗力计算!$B$12</f>
        <v>234840</v>
      </c>
      <c r="W542" s="5">
        <f>G542*战斗力计算!$B$8+H542*战斗力计算!$B$9+I542*战斗力计算!$B$10+J542*战斗力计算!$B$11+K542*战斗力计算!$B$12+L542*战斗力计算!$B$8+M542*战斗力计算!$B$9+N542*战斗力计算!$B$10+O542*战斗力计算!$B$11+P542*战斗力计算!$B$12</f>
        <v>1409040</v>
      </c>
      <c r="X542" s="5">
        <f t="shared" si="189"/>
        <v>1643880</v>
      </c>
      <c r="AC542">
        <f t="shared" si="193"/>
        <v>4</v>
      </c>
      <c r="AD542">
        <f t="shared" si="194"/>
        <v>2</v>
      </c>
      <c r="AF542">
        <f t="shared" si="195"/>
        <v>0.75</v>
      </c>
      <c r="AH542">
        <f t="shared" si="196"/>
        <v>12</v>
      </c>
      <c r="AK542">
        <f t="shared" si="197"/>
        <v>6.0225140712945588</v>
      </c>
      <c r="AL542">
        <f t="shared" si="198"/>
        <v>1.50187617260788</v>
      </c>
      <c r="AM542">
        <f t="shared" si="199"/>
        <v>1</v>
      </c>
      <c r="AN542">
        <f t="shared" si="200"/>
        <v>6.0225140712945588</v>
      </c>
      <c r="AO542">
        <f t="shared" si="201"/>
        <v>1.50187617260788</v>
      </c>
      <c r="AP542">
        <f t="shared" si="202"/>
        <v>1</v>
      </c>
      <c r="AR542">
        <f t="shared" si="203"/>
        <v>4.4971910112359552</v>
      </c>
      <c r="AT542">
        <f t="shared" si="204"/>
        <v>4.4971910112359552</v>
      </c>
      <c r="AV542">
        <f t="shared" si="205"/>
        <v>5603</v>
      </c>
      <c r="AW542">
        <f t="shared" si="206"/>
        <v>10406</v>
      </c>
    </row>
    <row r="543" spans="1:49" x14ac:dyDescent="0.15">
      <c r="A543" s="5">
        <v>533</v>
      </c>
      <c r="B543" s="5">
        <f t="shared" si="192"/>
        <v>32160</v>
      </c>
      <c r="C543" s="5">
        <f t="shared" si="192"/>
        <v>8020</v>
      </c>
      <c r="D543" s="5">
        <f t="shared" si="192"/>
        <v>5340</v>
      </c>
      <c r="E543" s="5">
        <f t="shared" si="192"/>
        <v>1605</v>
      </c>
      <c r="F543" s="5">
        <f t="shared" si="192"/>
        <v>2140</v>
      </c>
      <c r="G543" s="5">
        <f t="shared" si="207"/>
        <v>128640</v>
      </c>
      <c r="H543" s="5">
        <f t="shared" si="207"/>
        <v>32080</v>
      </c>
      <c r="I543" s="5">
        <f t="shared" si="207"/>
        <v>21360</v>
      </c>
      <c r="J543" s="5">
        <f t="shared" si="207"/>
        <v>6420</v>
      </c>
      <c r="K543" s="5">
        <f t="shared" si="207"/>
        <v>8560</v>
      </c>
      <c r="L543" s="5">
        <f t="shared" si="208"/>
        <v>64320</v>
      </c>
      <c r="M543" s="5">
        <f t="shared" si="208"/>
        <v>16040</v>
      </c>
      <c r="N543" s="5">
        <f t="shared" si="208"/>
        <v>10680</v>
      </c>
      <c r="O543" s="5">
        <f t="shared" si="208"/>
        <v>3210</v>
      </c>
      <c r="P543" s="5">
        <f t="shared" si="208"/>
        <v>4280</v>
      </c>
      <c r="Q543" s="5">
        <f t="shared" si="184"/>
        <v>225120</v>
      </c>
      <c r="R543" s="5">
        <f t="shared" si="185"/>
        <v>56140</v>
      </c>
      <c r="S543" s="5">
        <f t="shared" si="186"/>
        <v>37380</v>
      </c>
      <c r="T543" s="5">
        <f t="shared" si="187"/>
        <v>11235</v>
      </c>
      <c r="U543" s="5">
        <f t="shared" si="188"/>
        <v>14980</v>
      </c>
      <c r="V543" s="5">
        <f>B543*战斗力计算!$B$8+C543*战斗力计算!$B$9+D543*战斗力计算!$B$10+E543*战斗力计算!$B$11+F543*战斗力计算!$B$12</f>
        <v>235280</v>
      </c>
      <c r="W543" s="5">
        <f>G543*战斗力计算!$B$8+H543*战斗力计算!$B$9+I543*战斗力计算!$B$10+J543*战斗力计算!$B$11+K543*战斗力计算!$B$12+L543*战斗力计算!$B$8+M543*战斗力计算!$B$9+N543*战斗力计算!$B$10+O543*战斗力计算!$B$11+P543*战斗力计算!$B$12</f>
        <v>1411680</v>
      </c>
      <c r="X543" s="5">
        <f t="shared" si="189"/>
        <v>1646960</v>
      </c>
      <c r="AC543">
        <f t="shared" si="193"/>
        <v>4</v>
      </c>
      <c r="AD543">
        <f t="shared" si="194"/>
        <v>2</v>
      </c>
      <c r="AF543">
        <f t="shared" si="195"/>
        <v>0.75</v>
      </c>
      <c r="AH543">
        <f t="shared" si="196"/>
        <v>12</v>
      </c>
      <c r="AK543">
        <f t="shared" si="197"/>
        <v>6.0224719101123592</v>
      </c>
      <c r="AL543">
        <f t="shared" si="198"/>
        <v>1.5018726591760299</v>
      </c>
      <c r="AM543">
        <f t="shared" si="199"/>
        <v>1</v>
      </c>
      <c r="AN543">
        <f t="shared" si="200"/>
        <v>6.0224719101123592</v>
      </c>
      <c r="AO543">
        <f t="shared" si="201"/>
        <v>1.5018726591760299</v>
      </c>
      <c r="AP543">
        <f t="shared" si="202"/>
        <v>1</v>
      </c>
      <c r="AR543">
        <f t="shared" si="203"/>
        <v>4.4971962616822427</v>
      </c>
      <c r="AT543">
        <f t="shared" si="204"/>
        <v>4.4971962616822427</v>
      </c>
      <c r="AV543">
        <f t="shared" si="205"/>
        <v>5614</v>
      </c>
      <c r="AW543">
        <f t="shared" si="206"/>
        <v>10426</v>
      </c>
    </row>
    <row r="544" spans="1:49" x14ac:dyDescent="0.15">
      <c r="A544" s="5">
        <v>534</v>
      </c>
      <c r="B544" s="5">
        <f t="shared" si="192"/>
        <v>32220</v>
      </c>
      <c r="C544" s="5">
        <f t="shared" si="192"/>
        <v>8035</v>
      </c>
      <c r="D544" s="5">
        <f t="shared" si="192"/>
        <v>5350</v>
      </c>
      <c r="E544" s="5">
        <f t="shared" si="192"/>
        <v>1608</v>
      </c>
      <c r="F544" s="5">
        <f t="shared" si="192"/>
        <v>2144</v>
      </c>
      <c r="G544" s="5">
        <f t="shared" si="207"/>
        <v>128880</v>
      </c>
      <c r="H544" s="5">
        <f t="shared" si="207"/>
        <v>32140</v>
      </c>
      <c r="I544" s="5">
        <f t="shared" si="207"/>
        <v>21400</v>
      </c>
      <c r="J544" s="5">
        <f t="shared" si="207"/>
        <v>6432</v>
      </c>
      <c r="K544" s="5">
        <f t="shared" si="207"/>
        <v>8576</v>
      </c>
      <c r="L544" s="5">
        <f t="shared" si="208"/>
        <v>64440</v>
      </c>
      <c r="M544" s="5">
        <f t="shared" si="208"/>
        <v>16070</v>
      </c>
      <c r="N544" s="5">
        <f t="shared" si="208"/>
        <v>10700</v>
      </c>
      <c r="O544" s="5">
        <f t="shared" si="208"/>
        <v>3216</v>
      </c>
      <c r="P544" s="5">
        <f t="shared" si="208"/>
        <v>4288</v>
      </c>
      <c r="Q544" s="5">
        <f t="shared" si="184"/>
        <v>225540</v>
      </c>
      <c r="R544" s="5">
        <f t="shared" si="185"/>
        <v>56245</v>
      </c>
      <c r="S544" s="5">
        <f t="shared" si="186"/>
        <v>37450</v>
      </c>
      <c r="T544" s="5">
        <f t="shared" si="187"/>
        <v>11256</v>
      </c>
      <c r="U544" s="5">
        <f t="shared" si="188"/>
        <v>15008</v>
      </c>
      <c r="V544" s="5">
        <f>B544*战斗力计算!$B$8+C544*战斗力计算!$B$9+D544*战斗力计算!$B$10+E544*战斗力计算!$B$11+F544*战斗力计算!$B$12</f>
        <v>235720</v>
      </c>
      <c r="W544" s="5">
        <f>G544*战斗力计算!$B$8+H544*战斗力计算!$B$9+I544*战斗力计算!$B$10+J544*战斗力计算!$B$11+K544*战斗力计算!$B$12+L544*战斗力计算!$B$8+M544*战斗力计算!$B$9+N544*战斗力计算!$B$10+O544*战斗力计算!$B$11+P544*战斗力计算!$B$12</f>
        <v>1414320</v>
      </c>
      <c r="X544" s="5">
        <f t="shared" si="189"/>
        <v>1650040</v>
      </c>
      <c r="AC544">
        <f t="shared" si="193"/>
        <v>4</v>
      </c>
      <c r="AD544">
        <f t="shared" si="194"/>
        <v>2</v>
      </c>
      <c r="AF544">
        <f t="shared" si="195"/>
        <v>0.75</v>
      </c>
      <c r="AH544">
        <f t="shared" si="196"/>
        <v>12</v>
      </c>
      <c r="AK544">
        <f t="shared" si="197"/>
        <v>6.0224299065420563</v>
      </c>
      <c r="AL544">
        <f t="shared" si="198"/>
        <v>1.5018691588785047</v>
      </c>
      <c r="AM544">
        <f t="shared" si="199"/>
        <v>1</v>
      </c>
      <c r="AN544">
        <f t="shared" si="200"/>
        <v>6.0224299065420563</v>
      </c>
      <c r="AO544">
        <f t="shared" si="201"/>
        <v>1.5018691588785047</v>
      </c>
      <c r="AP544">
        <f t="shared" si="202"/>
        <v>1</v>
      </c>
      <c r="AR544">
        <f t="shared" si="203"/>
        <v>4.4972014925373136</v>
      </c>
      <c r="AT544">
        <f t="shared" si="204"/>
        <v>4.4972014925373136</v>
      </c>
      <c r="AV544">
        <f t="shared" si="205"/>
        <v>5624</v>
      </c>
      <c r="AW544">
        <f t="shared" si="206"/>
        <v>10445</v>
      </c>
    </row>
    <row r="545" spans="1:49" x14ac:dyDescent="0.15">
      <c r="A545" s="5">
        <v>535</v>
      </c>
      <c r="B545" s="5">
        <f t="shared" si="192"/>
        <v>32280</v>
      </c>
      <c r="C545" s="5">
        <f t="shared" si="192"/>
        <v>8050</v>
      </c>
      <c r="D545" s="5">
        <f t="shared" si="192"/>
        <v>5360</v>
      </c>
      <c r="E545" s="5">
        <f t="shared" si="192"/>
        <v>1611</v>
      </c>
      <c r="F545" s="5">
        <f t="shared" si="192"/>
        <v>2148</v>
      </c>
      <c r="G545" s="5">
        <f t="shared" si="207"/>
        <v>129120</v>
      </c>
      <c r="H545" s="5">
        <f t="shared" si="207"/>
        <v>32200</v>
      </c>
      <c r="I545" s="5">
        <f t="shared" si="207"/>
        <v>21440</v>
      </c>
      <c r="J545" s="5">
        <f t="shared" si="207"/>
        <v>6444</v>
      </c>
      <c r="K545" s="5">
        <f t="shared" si="207"/>
        <v>8592</v>
      </c>
      <c r="L545" s="5">
        <f t="shared" si="208"/>
        <v>64560</v>
      </c>
      <c r="M545" s="5">
        <f t="shared" si="208"/>
        <v>16100</v>
      </c>
      <c r="N545" s="5">
        <f t="shared" si="208"/>
        <v>10720</v>
      </c>
      <c r="O545" s="5">
        <f t="shared" si="208"/>
        <v>3222</v>
      </c>
      <c r="P545" s="5">
        <f t="shared" si="208"/>
        <v>4296</v>
      </c>
      <c r="Q545" s="5">
        <f t="shared" ref="Q545:Q608" si="209">B545+G545+L545</f>
        <v>225960</v>
      </c>
      <c r="R545" s="5">
        <f t="shared" ref="R545:R608" si="210">C545+H545+M545</f>
        <v>56350</v>
      </c>
      <c r="S545" s="5">
        <f t="shared" ref="S545:S608" si="211">D545+I545+N545</f>
        <v>37520</v>
      </c>
      <c r="T545" s="5">
        <f t="shared" ref="T545:T608" si="212">E545+J545+O545</f>
        <v>11277</v>
      </c>
      <c r="U545" s="5">
        <f t="shared" ref="U545:U608" si="213">F545+K545+P545</f>
        <v>15036</v>
      </c>
      <c r="V545" s="5">
        <f>B545*战斗力计算!$B$8+C545*战斗力计算!$B$9+D545*战斗力计算!$B$10+E545*战斗力计算!$B$11+F545*战斗力计算!$B$12</f>
        <v>236160</v>
      </c>
      <c r="W545" s="5">
        <f>G545*战斗力计算!$B$8+H545*战斗力计算!$B$9+I545*战斗力计算!$B$10+J545*战斗力计算!$B$11+K545*战斗力计算!$B$12+L545*战斗力计算!$B$8+M545*战斗力计算!$B$9+N545*战斗力计算!$B$10+O545*战斗力计算!$B$11+P545*战斗力计算!$B$12</f>
        <v>1416960</v>
      </c>
      <c r="X545" s="5">
        <f t="shared" ref="X545:X608" si="214">V545+W545</f>
        <v>1653120</v>
      </c>
      <c r="AC545">
        <f t="shared" si="193"/>
        <v>4</v>
      </c>
      <c r="AD545">
        <f t="shared" si="194"/>
        <v>2</v>
      </c>
      <c r="AF545">
        <f t="shared" si="195"/>
        <v>0.75</v>
      </c>
      <c r="AH545">
        <f t="shared" si="196"/>
        <v>12</v>
      </c>
      <c r="AK545">
        <f t="shared" si="197"/>
        <v>6.0223880597014929</v>
      </c>
      <c r="AL545">
        <f t="shared" si="198"/>
        <v>1.5018656716417911</v>
      </c>
      <c r="AM545">
        <f t="shared" si="199"/>
        <v>1</v>
      </c>
      <c r="AN545">
        <f t="shared" si="200"/>
        <v>6.0223880597014929</v>
      </c>
      <c r="AO545">
        <f t="shared" si="201"/>
        <v>1.5018656716417911</v>
      </c>
      <c r="AP545">
        <f t="shared" si="202"/>
        <v>1</v>
      </c>
      <c r="AR545">
        <f t="shared" si="203"/>
        <v>4.4972067039106145</v>
      </c>
      <c r="AT545">
        <f t="shared" si="204"/>
        <v>4.4972067039106145</v>
      </c>
      <c r="AV545">
        <f t="shared" si="205"/>
        <v>5635</v>
      </c>
      <c r="AW545">
        <f t="shared" si="206"/>
        <v>10465</v>
      </c>
    </row>
    <row r="546" spans="1:49" x14ac:dyDescent="0.15">
      <c r="A546" s="5">
        <v>536</v>
      </c>
      <c r="B546" s="5">
        <f t="shared" si="192"/>
        <v>32340</v>
      </c>
      <c r="C546" s="5">
        <f t="shared" si="192"/>
        <v>8065</v>
      </c>
      <c r="D546" s="5">
        <f t="shared" si="192"/>
        <v>5370</v>
      </c>
      <c r="E546" s="5">
        <f t="shared" si="192"/>
        <v>1614</v>
      </c>
      <c r="F546" s="5">
        <f t="shared" si="192"/>
        <v>2152</v>
      </c>
      <c r="G546" s="5">
        <f t="shared" si="207"/>
        <v>129360</v>
      </c>
      <c r="H546" s="5">
        <f t="shared" si="207"/>
        <v>32260</v>
      </c>
      <c r="I546" s="5">
        <f t="shared" si="207"/>
        <v>21480</v>
      </c>
      <c r="J546" s="5">
        <f t="shared" si="207"/>
        <v>6456</v>
      </c>
      <c r="K546" s="5">
        <f t="shared" si="207"/>
        <v>8608</v>
      </c>
      <c r="L546" s="5">
        <f t="shared" si="208"/>
        <v>64680</v>
      </c>
      <c r="M546" s="5">
        <f t="shared" si="208"/>
        <v>16130</v>
      </c>
      <c r="N546" s="5">
        <f t="shared" si="208"/>
        <v>10740</v>
      </c>
      <c r="O546" s="5">
        <f t="shared" si="208"/>
        <v>3228</v>
      </c>
      <c r="P546" s="5">
        <f t="shared" si="208"/>
        <v>4304</v>
      </c>
      <c r="Q546" s="5">
        <f t="shared" si="209"/>
        <v>226380</v>
      </c>
      <c r="R546" s="5">
        <f t="shared" si="210"/>
        <v>56455</v>
      </c>
      <c r="S546" s="5">
        <f t="shared" si="211"/>
        <v>37590</v>
      </c>
      <c r="T546" s="5">
        <f t="shared" si="212"/>
        <v>11298</v>
      </c>
      <c r="U546" s="5">
        <f t="shared" si="213"/>
        <v>15064</v>
      </c>
      <c r="V546" s="5">
        <f>B546*战斗力计算!$B$8+C546*战斗力计算!$B$9+D546*战斗力计算!$B$10+E546*战斗力计算!$B$11+F546*战斗力计算!$B$12</f>
        <v>236600</v>
      </c>
      <c r="W546" s="5">
        <f>G546*战斗力计算!$B$8+H546*战斗力计算!$B$9+I546*战斗力计算!$B$10+J546*战斗力计算!$B$11+K546*战斗力计算!$B$12+L546*战斗力计算!$B$8+M546*战斗力计算!$B$9+N546*战斗力计算!$B$10+O546*战斗力计算!$B$11+P546*战斗力计算!$B$12</f>
        <v>1419600</v>
      </c>
      <c r="X546" s="5">
        <f t="shared" si="214"/>
        <v>1656200</v>
      </c>
      <c r="AC546">
        <f t="shared" si="193"/>
        <v>4</v>
      </c>
      <c r="AD546">
        <f t="shared" si="194"/>
        <v>2</v>
      </c>
      <c r="AF546">
        <f t="shared" si="195"/>
        <v>0.75</v>
      </c>
      <c r="AH546">
        <f t="shared" si="196"/>
        <v>12</v>
      </c>
      <c r="AK546">
        <f t="shared" si="197"/>
        <v>6.022346368715084</v>
      </c>
      <c r="AL546">
        <f t="shared" si="198"/>
        <v>1.5018621973929236</v>
      </c>
      <c r="AM546">
        <f t="shared" si="199"/>
        <v>1</v>
      </c>
      <c r="AN546">
        <f t="shared" si="200"/>
        <v>6.022346368715084</v>
      </c>
      <c r="AO546">
        <f t="shared" si="201"/>
        <v>1.5018621973929236</v>
      </c>
      <c r="AP546">
        <f t="shared" si="202"/>
        <v>1</v>
      </c>
      <c r="AR546">
        <f t="shared" si="203"/>
        <v>4.4972118959107803</v>
      </c>
      <c r="AT546">
        <f t="shared" si="204"/>
        <v>4.4972118959107803</v>
      </c>
      <c r="AV546">
        <f t="shared" si="205"/>
        <v>5645</v>
      </c>
      <c r="AW546">
        <f t="shared" si="206"/>
        <v>10484</v>
      </c>
    </row>
    <row r="547" spans="1:49" x14ac:dyDescent="0.15">
      <c r="A547" s="5">
        <v>537</v>
      </c>
      <c r="B547" s="5">
        <f t="shared" si="192"/>
        <v>32400</v>
      </c>
      <c r="C547" s="5">
        <f t="shared" si="192"/>
        <v>8080</v>
      </c>
      <c r="D547" s="5">
        <f t="shared" si="192"/>
        <v>5380</v>
      </c>
      <c r="E547" s="5">
        <f t="shared" si="192"/>
        <v>1617</v>
      </c>
      <c r="F547" s="5">
        <f t="shared" si="192"/>
        <v>2156</v>
      </c>
      <c r="G547" s="5">
        <f t="shared" si="207"/>
        <v>129600</v>
      </c>
      <c r="H547" s="5">
        <f t="shared" si="207"/>
        <v>32320</v>
      </c>
      <c r="I547" s="5">
        <f t="shared" si="207"/>
        <v>21520</v>
      </c>
      <c r="J547" s="5">
        <f t="shared" si="207"/>
        <v>6468</v>
      </c>
      <c r="K547" s="5">
        <f t="shared" si="207"/>
        <v>8624</v>
      </c>
      <c r="L547" s="5">
        <f t="shared" si="208"/>
        <v>64800</v>
      </c>
      <c r="M547" s="5">
        <f t="shared" si="208"/>
        <v>16160</v>
      </c>
      <c r="N547" s="5">
        <f t="shared" si="208"/>
        <v>10760</v>
      </c>
      <c r="O547" s="5">
        <f t="shared" si="208"/>
        <v>3234</v>
      </c>
      <c r="P547" s="5">
        <f t="shared" si="208"/>
        <v>4312</v>
      </c>
      <c r="Q547" s="5">
        <f t="shared" si="209"/>
        <v>226800</v>
      </c>
      <c r="R547" s="5">
        <f t="shared" si="210"/>
        <v>56560</v>
      </c>
      <c r="S547" s="5">
        <f t="shared" si="211"/>
        <v>37660</v>
      </c>
      <c r="T547" s="5">
        <f t="shared" si="212"/>
        <v>11319</v>
      </c>
      <c r="U547" s="5">
        <f t="shared" si="213"/>
        <v>15092</v>
      </c>
      <c r="V547" s="5">
        <f>B547*战斗力计算!$B$8+C547*战斗力计算!$B$9+D547*战斗力计算!$B$10+E547*战斗力计算!$B$11+F547*战斗力计算!$B$12</f>
        <v>237040</v>
      </c>
      <c r="W547" s="5">
        <f>G547*战斗力计算!$B$8+H547*战斗力计算!$B$9+I547*战斗力计算!$B$10+J547*战斗力计算!$B$11+K547*战斗力计算!$B$12+L547*战斗力计算!$B$8+M547*战斗力计算!$B$9+N547*战斗力计算!$B$10+O547*战斗力计算!$B$11+P547*战斗力计算!$B$12</f>
        <v>1422240</v>
      </c>
      <c r="X547" s="5">
        <f t="shared" si="214"/>
        <v>1659280</v>
      </c>
      <c r="AC547">
        <f t="shared" si="193"/>
        <v>4</v>
      </c>
      <c r="AD547">
        <f t="shared" si="194"/>
        <v>2</v>
      </c>
      <c r="AF547">
        <f t="shared" si="195"/>
        <v>0.75</v>
      </c>
      <c r="AH547">
        <f t="shared" si="196"/>
        <v>12</v>
      </c>
      <c r="AK547">
        <f t="shared" si="197"/>
        <v>6.0223048327137549</v>
      </c>
      <c r="AL547">
        <f t="shared" si="198"/>
        <v>1.5018587360594795</v>
      </c>
      <c r="AM547">
        <f t="shared" si="199"/>
        <v>1</v>
      </c>
      <c r="AN547">
        <f t="shared" si="200"/>
        <v>6.0223048327137549</v>
      </c>
      <c r="AO547">
        <f t="shared" si="201"/>
        <v>1.5018587360594795</v>
      </c>
      <c r="AP547">
        <f t="shared" si="202"/>
        <v>1</v>
      </c>
      <c r="AR547">
        <f t="shared" si="203"/>
        <v>4.4972170686456403</v>
      </c>
      <c r="AT547">
        <f t="shared" si="204"/>
        <v>4.4972170686456403</v>
      </c>
      <c r="AV547">
        <f t="shared" si="205"/>
        <v>5656</v>
      </c>
      <c r="AW547">
        <f t="shared" si="206"/>
        <v>10504</v>
      </c>
    </row>
    <row r="548" spans="1:49" x14ac:dyDescent="0.15">
      <c r="A548" s="5">
        <v>538</v>
      </c>
      <c r="B548" s="5">
        <f t="shared" si="192"/>
        <v>32460</v>
      </c>
      <c r="C548" s="5">
        <f t="shared" si="192"/>
        <v>8095</v>
      </c>
      <c r="D548" s="5">
        <f t="shared" si="192"/>
        <v>5390</v>
      </c>
      <c r="E548" s="5">
        <f t="shared" si="192"/>
        <v>1620</v>
      </c>
      <c r="F548" s="5">
        <f t="shared" si="192"/>
        <v>2160</v>
      </c>
      <c r="G548" s="5">
        <f t="shared" si="207"/>
        <v>129840</v>
      </c>
      <c r="H548" s="5">
        <f t="shared" si="207"/>
        <v>32380</v>
      </c>
      <c r="I548" s="5">
        <f t="shared" si="207"/>
        <v>21560</v>
      </c>
      <c r="J548" s="5">
        <f t="shared" si="207"/>
        <v>6480</v>
      </c>
      <c r="K548" s="5">
        <f t="shared" si="207"/>
        <v>8640</v>
      </c>
      <c r="L548" s="5">
        <f t="shared" si="208"/>
        <v>64920</v>
      </c>
      <c r="M548" s="5">
        <f t="shared" si="208"/>
        <v>16190</v>
      </c>
      <c r="N548" s="5">
        <f t="shared" si="208"/>
        <v>10780</v>
      </c>
      <c r="O548" s="5">
        <f t="shared" si="208"/>
        <v>3240</v>
      </c>
      <c r="P548" s="5">
        <f t="shared" si="208"/>
        <v>4320</v>
      </c>
      <c r="Q548" s="5">
        <f t="shared" si="209"/>
        <v>227220</v>
      </c>
      <c r="R548" s="5">
        <f t="shared" si="210"/>
        <v>56665</v>
      </c>
      <c r="S548" s="5">
        <f t="shared" si="211"/>
        <v>37730</v>
      </c>
      <c r="T548" s="5">
        <f t="shared" si="212"/>
        <v>11340</v>
      </c>
      <c r="U548" s="5">
        <f t="shared" si="213"/>
        <v>15120</v>
      </c>
      <c r="V548" s="5">
        <f>B548*战斗力计算!$B$8+C548*战斗力计算!$B$9+D548*战斗力计算!$B$10+E548*战斗力计算!$B$11+F548*战斗力计算!$B$12</f>
        <v>237480</v>
      </c>
      <c r="W548" s="5">
        <f>G548*战斗力计算!$B$8+H548*战斗力计算!$B$9+I548*战斗力计算!$B$10+J548*战斗力计算!$B$11+K548*战斗力计算!$B$12+L548*战斗力计算!$B$8+M548*战斗力计算!$B$9+N548*战斗力计算!$B$10+O548*战斗力计算!$B$11+P548*战斗力计算!$B$12</f>
        <v>1424880</v>
      </c>
      <c r="X548" s="5">
        <f t="shared" si="214"/>
        <v>1662360</v>
      </c>
      <c r="AC548">
        <f t="shared" si="193"/>
        <v>4</v>
      </c>
      <c r="AD548">
        <f t="shared" si="194"/>
        <v>2</v>
      </c>
      <c r="AF548">
        <f t="shared" si="195"/>
        <v>0.75</v>
      </c>
      <c r="AH548">
        <f t="shared" si="196"/>
        <v>12</v>
      </c>
      <c r="AK548">
        <f t="shared" si="197"/>
        <v>6.0222634508348794</v>
      </c>
      <c r="AL548">
        <f t="shared" si="198"/>
        <v>1.5018552875695732</v>
      </c>
      <c r="AM548">
        <f t="shared" si="199"/>
        <v>1</v>
      </c>
      <c r="AN548">
        <f t="shared" si="200"/>
        <v>6.0222634508348794</v>
      </c>
      <c r="AO548">
        <f t="shared" si="201"/>
        <v>1.5018552875695732</v>
      </c>
      <c r="AP548">
        <f t="shared" si="202"/>
        <v>1</v>
      </c>
      <c r="AR548">
        <f t="shared" si="203"/>
        <v>4.4972222222222218</v>
      </c>
      <c r="AT548">
        <f t="shared" si="204"/>
        <v>4.4972222222222218</v>
      </c>
      <c r="AV548">
        <f t="shared" si="205"/>
        <v>5666</v>
      </c>
      <c r="AW548">
        <f t="shared" si="206"/>
        <v>10523</v>
      </c>
    </row>
    <row r="549" spans="1:49" x14ac:dyDescent="0.15">
      <c r="A549" s="5">
        <v>539</v>
      </c>
      <c r="B549" s="5">
        <f t="shared" si="192"/>
        <v>32520</v>
      </c>
      <c r="C549" s="5">
        <f t="shared" si="192"/>
        <v>8110</v>
      </c>
      <c r="D549" s="5">
        <f t="shared" si="192"/>
        <v>5400</v>
      </c>
      <c r="E549" s="5">
        <f t="shared" si="192"/>
        <v>1623</v>
      </c>
      <c r="F549" s="5">
        <f t="shared" si="192"/>
        <v>2164</v>
      </c>
      <c r="G549" s="5">
        <f t="shared" si="207"/>
        <v>130080</v>
      </c>
      <c r="H549" s="5">
        <f t="shared" si="207"/>
        <v>32440</v>
      </c>
      <c r="I549" s="5">
        <f t="shared" si="207"/>
        <v>21600</v>
      </c>
      <c r="J549" s="5">
        <f t="shared" si="207"/>
        <v>6492</v>
      </c>
      <c r="K549" s="5">
        <f t="shared" si="207"/>
        <v>8656</v>
      </c>
      <c r="L549" s="5">
        <f t="shared" si="208"/>
        <v>65040</v>
      </c>
      <c r="M549" s="5">
        <f t="shared" si="208"/>
        <v>16220</v>
      </c>
      <c r="N549" s="5">
        <f t="shared" si="208"/>
        <v>10800</v>
      </c>
      <c r="O549" s="5">
        <f t="shared" si="208"/>
        <v>3246</v>
      </c>
      <c r="P549" s="5">
        <f t="shared" si="208"/>
        <v>4328</v>
      </c>
      <c r="Q549" s="5">
        <f t="shared" si="209"/>
        <v>227640</v>
      </c>
      <c r="R549" s="5">
        <f t="shared" si="210"/>
        <v>56770</v>
      </c>
      <c r="S549" s="5">
        <f t="shared" si="211"/>
        <v>37800</v>
      </c>
      <c r="T549" s="5">
        <f t="shared" si="212"/>
        <v>11361</v>
      </c>
      <c r="U549" s="5">
        <f t="shared" si="213"/>
        <v>15148</v>
      </c>
      <c r="V549" s="5">
        <f>B549*战斗力计算!$B$8+C549*战斗力计算!$B$9+D549*战斗力计算!$B$10+E549*战斗力计算!$B$11+F549*战斗力计算!$B$12</f>
        <v>237920</v>
      </c>
      <c r="W549" s="5">
        <f>G549*战斗力计算!$B$8+H549*战斗力计算!$B$9+I549*战斗力计算!$B$10+J549*战斗力计算!$B$11+K549*战斗力计算!$B$12+L549*战斗力计算!$B$8+M549*战斗力计算!$B$9+N549*战斗力计算!$B$10+O549*战斗力计算!$B$11+P549*战斗力计算!$B$12</f>
        <v>1427520</v>
      </c>
      <c r="X549" s="5">
        <f t="shared" si="214"/>
        <v>1665440</v>
      </c>
      <c r="AC549">
        <f t="shared" si="193"/>
        <v>4</v>
      </c>
      <c r="AD549">
        <f t="shared" si="194"/>
        <v>2</v>
      </c>
      <c r="AF549">
        <f t="shared" si="195"/>
        <v>0.75</v>
      </c>
      <c r="AH549">
        <f t="shared" si="196"/>
        <v>12</v>
      </c>
      <c r="AK549">
        <f t="shared" si="197"/>
        <v>6.0222222222222221</v>
      </c>
      <c r="AL549">
        <f t="shared" si="198"/>
        <v>1.5018518518518518</v>
      </c>
      <c r="AM549">
        <f t="shared" si="199"/>
        <v>1</v>
      </c>
      <c r="AN549">
        <f t="shared" si="200"/>
        <v>6.0222222222222221</v>
      </c>
      <c r="AO549">
        <f t="shared" si="201"/>
        <v>1.5018518518518518</v>
      </c>
      <c r="AP549">
        <f t="shared" si="202"/>
        <v>1</v>
      </c>
      <c r="AR549">
        <f t="shared" si="203"/>
        <v>4.4972273567467651</v>
      </c>
      <c r="AT549">
        <f t="shared" si="204"/>
        <v>4.4972273567467651</v>
      </c>
      <c r="AV549">
        <f t="shared" si="205"/>
        <v>5677</v>
      </c>
      <c r="AW549">
        <f t="shared" si="206"/>
        <v>10543</v>
      </c>
    </row>
    <row r="550" spans="1:49" x14ac:dyDescent="0.15">
      <c r="A550" s="5">
        <v>540</v>
      </c>
      <c r="B550" s="5">
        <f t="shared" si="192"/>
        <v>32580</v>
      </c>
      <c r="C550" s="5">
        <f t="shared" si="192"/>
        <v>8125</v>
      </c>
      <c r="D550" s="5">
        <f t="shared" si="192"/>
        <v>5410</v>
      </c>
      <c r="E550" s="5">
        <f t="shared" si="192"/>
        <v>1626</v>
      </c>
      <c r="F550" s="5">
        <f t="shared" si="192"/>
        <v>2168</v>
      </c>
      <c r="G550" s="5">
        <f t="shared" si="207"/>
        <v>130320</v>
      </c>
      <c r="H550" s="5">
        <f t="shared" si="207"/>
        <v>32500</v>
      </c>
      <c r="I550" s="5">
        <f t="shared" si="207"/>
        <v>21640</v>
      </c>
      <c r="J550" s="5">
        <f t="shared" si="207"/>
        <v>6504</v>
      </c>
      <c r="K550" s="5">
        <f t="shared" si="207"/>
        <v>8672</v>
      </c>
      <c r="L550" s="5">
        <f t="shared" si="208"/>
        <v>65160</v>
      </c>
      <c r="M550" s="5">
        <f t="shared" si="208"/>
        <v>16250</v>
      </c>
      <c r="N550" s="5">
        <f t="shared" si="208"/>
        <v>10820</v>
      </c>
      <c r="O550" s="5">
        <f t="shared" si="208"/>
        <v>3252</v>
      </c>
      <c r="P550" s="5">
        <f t="shared" si="208"/>
        <v>4336</v>
      </c>
      <c r="Q550" s="5">
        <f t="shared" si="209"/>
        <v>228060</v>
      </c>
      <c r="R550" s="5">
        <f t="shared" si="210"/>
        <v>56875</v>
      </c>
      <c r="S550" s="5">
        <f t="shared" si="211"/>
        <v>37870</v>
      </c>
      <c r="T550" s="5">
        <f t="shared" si="212"/>
        <v>11382</v>
      </c>
      <c r="U550" s="5">
        <f t="shared" si="213"/>
        <v>15176</v>
      </c>
      <c r="V550" s="5">
        <f>B550*战斗力计算!$B$8+C550*战斗力计算!$B$9+D550*战斗力计算!$B$10+E550*战斗力计算!$B$11+F550*战斗力计算!$B$12</f>
        <v>238360</v>
      </c>
      <c r="W550" s="5">
        <f>G550*战斗力计算!$B$8+H550*战斗力计算!$B$9+I550*战斗力计算!$B$10+J550*战斗力计算!$B$11+K550*战斗力计算!$B$12+L550*战斗力计算!$B$8+M550*战斗力计算!$B$9+N550*战斗力计算!$B$10+O550*战斗力计算!$B$11+P550*战斗力计算!$B$12</f>
        <v>1430160</v>
      </c>
      <c r="X550" s="5">
        <f t="shared" si="214"/>
        <v>1668520</v>
      </c>
      <c r="AC550">
        <f t="shared" si="193"/>
        <v>4</v>
      </c>
      <c r="AD550">
        <f t="shared" si="194"/>
        <v>2</v>
      </c>
      <c r="AF550">
        <f t="shared" si="195"/>
        <v>0.75</v>
      </c>
      <c r="AH550">
        <f t="shared" si="196"/>
        <v>12</v>
      </c>
      <c r="AK550">
        <f t="shared" si="197"/>
        <v>6.0221811460258783</v>
      </c>
      <c r="AL550">
        <f t="shared" si="198"/>
        <v>1.5018484288354899</v>
      </c>
      <c r="AM550">
        <f t="shared" si="199"/>
        <v>1</v>
      </c>
      <c r="AN550">
        <f t="shared" si="200"/>
        <v>6.0221811460258783</v>
      </c>
      <c r="AO550">
        <f t="shared" si="201"/>
        <v>1.5018484288354899</v>
      </c>
      <c r="AP550">
        <f t="shared" si="202"/>
        <v>1</v>
      </c>
      <c r="AR550">
        <f t="shared" si="203"/>
        <v>4.4972324723247237</v>
      </c>
      <c r="AT550">
        <f t="shared" si="204"/>
        <v>4.4972324723247237</v>
      </c>
      <c r="AV550">
        <f t="shared" si="205"/>
        <v>5687</v>
      </c>
      <c r="AW550">
        <f t="shared" si="206"/>
        <v>10562</v>
      </c>
    </row>
    <row r="551" spans="1:49" x14ac:dyDescent="0.15">
      <c r="A551" s="5">
        <v>541</v>
      </c>
      <c r="B551" s="5">
        <f t="shared" si="192"/>
        <v>32640</v>
      </c>
      <c r="C551" s="5">
        <f t="shared" si="192"/>
        <v>8140</v>
      </c>
      <c r="D551" s="5">
        <f t="shared" si="192"/>
        <v>5420</v>
      </c>
      <c r="E551" s="5">
        <f t="shared" si="192"/>
        <v>1629</v>
      </c>
      <c r="F551" s="5">
        <f t="shared" si="192"/>
        <v>2172</v>
      </c>
      <c r="G551" s="5">
        <f t="shared" si="207"/>
        <v>130560</v>
      </c>
      <c r="H551" s="5">
        <f t="shared" si="207"/>
        <v>32560</v>
      </c>
      <c r="I551" s="5">
        <f t="shared" si="207"/>
        <v>21680</v>
      </c>
      <c r="J551" s="5">
        <f t="shared" si="207"/>
        <v>6516</v>
      </c>
      <c r="K551" s="5">
        <f t="shared" si="207"/>
        <v>8688</v>
      </c>
      <c r="L551" s="5">
        <f t="shared" si="208"/>
        <v>65280</v>
      </c>
      <c r="M551" s="5">
        <f t="shared" si="208"/>
        <v>16280</v>
      </c>
      <c r="N551" s="5">
        <f t="shared" si="208"/>
        <v>10840</v>
      </c>
      <c r="O551" s="5">
        <f t="shared" si="208"/>
        <v>3258</v>
      </c>
      <c r="P551" s="5">
        <f t="shared" si="208"/>
        <v>4344</v>
      </c>
      <c r="Q551" s="5">
        <f t="shared" si="209"/>
        <v>228480</v>
      </c>
      <c r="R551" s="5">
        <f t="shared" si="210"/>
        <v>56980</v>
      </c>
      <c r="S551" s="5">
        <f t="shared" si="211"/>
        <v>37940</v>
      </c>
      <c r="T551" s="5">
        <f t="shared" si="212"/>
        <v>11403</v>
      </c>
      <c r="U551" s="5">
        <f t="shared" si="213"/>
        <v>15204</v>
      </c>
      <c r="V551" s="5">
        <f>B551*战斗力计算!$B$8+C551*战斗力计算!$B$9+D551*战斗力计算!$B$10+E551*战斗力计算!$B$11+F551*战斗力计算!$B$12</f>
        <v>238800</v>
      </c>
      <c r="W551" s="5">
        <f>G551*战斗力计算!$B$8+H551*战斗力计算!$B$9+I551*战斗力计算!$B$10+J551*战斗力计算!$B$11+K551*战斗力计算!$B$12+L551*战斗力计算!$B$8+M551*战斗力计算!$B$9+N551*战斗力计算!$B$10+O551*战斗力计算!$B$11+P551*战斗力计算!$B$12</f>
        <v>1432800</v>
      </c>
      <c r="X551" s="5">
        <f t="shared" si="214"/>
        <v>1671600</v>
      </c>
      <c r="AC551">
        <f t="shared" si="193"/>
        <v>4</v>
      </c>
      <c r="AD551">
        <f t="shared" si="194"/>
        <v>2</v>
      </c>
      <c r="AF551">
        <f t="shared" si="195"/>
        <v>0.75</v>
      </c>
      <c r="AH551">
        <f t="shared" si="196"/>
        <v>12</v>
      </c>
      <c r="AK551">
        <f t="shared" si="197"/>
        <v>6.0221402214022142</v>
      </c>
      <c r="AL551">
        <f t="shared" si="198"/>
        <v>1.5018450184501846</v>
      </c>
      <c r="AM551">
        <f t="shared" si="199"/>
        <v>1</v>
      </c>
      <c r="AN551">
        <f t="shared" si="200"/>
        <v>6.0221402214022142</v>
      </c>
      <c r="AO551">
        <f t="shared" si="201"/>
        <v>1.5018450184501846</v>
      </c>
      <c r="AP551">
        <f t="shared" si="202"/>
        <v>1</v>
      </c>
      <c r="AR551">
        <f t="shared" si="203"/>
        <v>4.4972375690607738</v>
      </c>
      <c r="AT551">
        <f t="shared" si="204"/>
        <v>4.4972375690607738</v>
      </c>
      <c r="AV551">
        <f t="shared" si="205"/>
        <v>5698</v>
      </c>
      <c r="AW551">
        <f t="shared" si="206"/>
        <v>10582</v>
      </c>
    </row>
    <row r="552" spans="1:49" x14ac:dyDescent="0.15">
      <c r="A552" s="5">
        <v>542</v>
      </c>
      <c r="B552" s="5">
        <f t="shared" si="192"/>
        <v>32700</v>
      </c>
      <c r="C552" s="5">
        <f t="shared" si="192"/>
        <v>8155</v>
      </c>
      <c r="D552" s="5">
        <f t="shared" si="192"/>
        <v>5430</v>
      </c>
      <c r="E552" s="5">
        <f t="shared" si="192"/>
        <v>1632</v>
      </c>
      <c r="F552" s="5">
        <f t="shared" si="192"/>
        <v>2176</v>
      </c>
      <c r="G552" s="5">
        <f t="shared" si="207"/>
        <v>130800</v>
      </c>
      <c r="H552" s="5">
        <f t="shared" si="207"/>
        <v>32620</v>
      </c>
      <c r="I552" s="5">
        <f t="shared" si="207"/>
        <v>21720</v>
      </c>
      <c r="J552" s="5">
        <f t="shared" si="207"/>
        <v>6528</v>
      </c>
      <c r="K552" s="5">
        <f t="shared" si="207"/>
        <v>8704</v>
      </c>
      <c r="L552" s="5">
        <f t="shared" si="208"/>
        <v>65400</v>
      </c>
      <c r="M552" s="5">
        <f t="shared" si="208"/>
        <v>16310</v>
      </c>
      <c r="N552" s="5">
        <f t="shared" si="208"/>
        <v>10860</v>
      </c>
      <c r="O552" s="5">
        <f t="shared" si="208"/>
        <v>3264</v>
      </c>
      <c r="P552" s="5">
        <f t="shared" si="208"/>
        <v>4352</v>
      </c>
      <c r="Q552" s="5">
        <f t="shared" si="209"/>
        <v>228900</v>
      </c>
      <c r="R552" s="5">
        <f t="shared" si="210"/>
        <v>57085</v>
      </c>
      <c r="S552" s="5">
        <f t="shared" si="211"/>
        <v>38010</v>
      </c>
      <c r="T552" s="5">
        <f t="shared" si="212"/>
        <v>11424</v>
      </c>
      <c r="U552" s="5">
        <f t="shared" si="213"/>
        <v>15232</v>
      </c>
      <c r="V552" s="5">
        <f>B552*战斗力计算!$B$8+C552*战斗力计算!$B$9+D552*战斗力计算!$B$10+E552*战斗力计算!$B$11+F552*战斗力计算!$B$12</f>
        <v>239240</v>
      </c>
      <c r="W552" s="5">
        <f>G552*战斗力计算!$B$8+H552*战斗力计算!$B$9+I552*战斗力计算!$B$10+J552*战斗力计算!$B$11+K552*战斗力计算!$B$12+L552*战斗力计算!$B$8+M552*战斗力计算!$B$9+N552*战斗力计算!$B$10+O552*战斗力计算!$B$11+P552*战斗力计算!$B$12</f>
        <v>1435440</v>
      </c>
      <c r="X552" s="5">
        <f t="shared" si="214"/>
        <v>1674680</v>
      </c>
      <c r="AC552">
        <f t="shared" si="193"/>
        <v>4</v>
      </c>
      <c r="AD552">
        <f t="shared" si="194"/>
        <v>2</v>
      </c>
      <c r="AF552">
        <f t="shared" si="195"/>
        <v>0.75</v>
      </c>
      <c r="AH552">
        <f t="shared" si="196"/>
        <v>12</v>
      </c>
      <c r="AK552">
        <f t="shared" si="197"/>
        <v>6.0220994475138125</v>
      </c>
      <c r="AL552">
        <f t="shared" si="198"/>
        <v>1.5018416206261511</v>
      </c>
      <c r="AM552">
        <f t="shared" si="199"/>
        <v>1</v>
      </c>
      <c r="AN552">
        <f t="shared" si="200"/>
        <v>6.0220994475138125</v>
      </c>
      <c r="AO552">
        <f t="shared" si="201"/>
        <v>1.5018416206261511</v>
      </c>
      <c r="AP552">
        <f t="shared" si="202"/>
        <v>1</v>
      </c>
      <c r="AR552">
        <f t="shared" si="203"/>
        <v>4.4972426470588234</v>
      </c>
      <c r="AT552">
        <f t="shared" si="204"/>
        <v>4.4972426470588234</v>
      </c>
      <c r="AV552">
        <f t="shared" si="205"/>
        <v>5708</v>
      </c>
      <c r="AW552">
        <f t="shared" si="206"/>
        <v>10601</v>
      </c>
    </row>
    <row r="553" spans="1:49" x14ac:dyDescent="0.15">
      <c r="A553" s="5">
        <v>543</v>
      </c>
      <c r="B553" s="5">
        <f t="shared" si="192"/>
        <v>32760</v>
      </c>
      <c r="C553" s="5">
        <f t="shared" si="192"/>
        <v>8170</v>
      </c>
      <c r="D553" s="5">
        <f t="shared" si="192"/>
        <v>5440</v>
      </c>
      <c r="E553" s="5">
        <f t="shared" si="192"/>
        <v>1635</v>
      </c>
      <c r="F553" s="5">
        <f t="shared" si="192"/>
        <v>2180</v>
      </c>
      <c r="G553" s="5">
        <f t="shared" si="207"/>
        <v>131040</v>
      </c>
      <c r="H553" s="5">
        <f t="shared" si="207"/>
        <v>32680</v>
      </c>
      <c r="I553" s="5">
        <f t="shared" si="207"/>
        <v>21760</v>
      </c>
      <c r="J553" s="5">
        <f t="shared" si="207"/>
        <v>6540</v>
      </c>
      <c r="K553" s="5">
        <f t="shared" si="207"/>
        <v>8720</v>
      </c>
      <c r="L553" s="5">
        <f t="shared" si="208"/>
        <v>65520</v>
      </c>
      <c r="M553" s="5">
        <f t="shared" si="208"/>
        <v>16340</v>
      </c>
      <c r="N553" s="5">
        <f t="shared" si="208"/>
        <v>10880</v>
      </c>
      <c r="O553" s="5">
        <f t="shared" si="208"/>
        <v>3270</v>
      </c>
      <c r="P553" s="5">
        <f t="shared" si="208"/>
        <v>4360</v>
      </c>
      <c r="Q553" s="5">
        <f t="shared" si="209"/>
        <v>229320</v>
      </c>
      <c r="R553" s="5">
        <f t="shared" si="210"/>
        <v>57190</v>
      </c>
      <c r="S553" s="5">
        <f t="shared" si="211"/>
        <v>38080</v>
      </c>
      <c r="T553" s="5">
        <f t="shared" si="212"/>
        <v>11445</v>
      </c>
      <c r="U553" s="5">
        <f t="shared" si="213"/>
        <v>15260</v>
      </c>
      <c r="V553" s="5">
        <f>B553*战斗力计算!$B$8+C553*战斗力计算!$B$9+D553*战斗力计算!$B$10+E553*战斗力计算!$B$11+F553*战斗力计算!$B$12</f>
        <v>239680</v>
      </c>
      <c r="W553" s="5">
        <f>G553*战斗力计算!$B$8+H553*战斗力计算!$B$9+I553*战斗力计算!$B$10+J553*战斗力计算!$B$11+K553*战斗力计算!$B$12+L553*战斗力计算!$B$8+M553*战斗力计算!$B$9+N553*战斗力计算!$B$10+O553*战斗力计算!$B$11+P553*战斗力计算!$B$12</f>
        <v>1438080</v>
      </c>
      <c r="X553" s="5">
        <f t="shared" si="214"/>
        <v>1677760</v>
      </c>
      <c r="AC553">
        <f t="shared" si="193"/>
        <v>4</v>
      </c>
      <c r="AD553">
        <f t="shared" si="194"/>
        <v>2</v>
      </c>
      <c r="AF553">
        <f t="shared" si="195"/>
        <v>0.75</v>
      </c>
      <c r="AH553">
        <f t="shared" si="196"/>
        <v>12</v>
      </c>
      <c r="AK553">
        <f t="shared" si="197"/>
        <v>6.0220588235294121</v>
      </c>
      <c r="AL553">
        <f t="shared" si="198"/>
        <v>1.5018382352941178</v>
      </c>
      <c r="AM553">
        <f t="shared" si="199"/>
        <v>1</v>
      </c>
      <c r="AN553">
        <f t="shared" si="200"/>
        <v>6.0220588235294121</v>
      </c>
      <c r="AO553">
        <f t="shared" si="201"/>
        <v>1.5018382352941178</v>
      </c>
      <c r="AP553">
        <f t="shared" si="202"/>
        <v>1</v>
      </c>
      <c r="AR553">
        <f t="shared" si="203"/>
        <v>4.4972477064220184</v>
      </c>
      <c r="AT553">
        <f t="shared" si="204"/>
        <v>4.4972477064220184</v>
      </c>
      <c r="AV553">
        <f t="shared" si="205"/>
        <v>5719</v>
      </c>
      <c r="AW553">
        <f t="shared" si="206"/>
        <v>10621</v>
      </c>
    </row>
    <row r="554" spans="1:49" x14ac:dyDescent="0.15">
      <c r="A554" s="5">
        <v>544</v>
      </c>
      <c r="B554" s="5">
        <f t="shared" si="192"/>
        <v>32820</v>
      </c>
      <c r="C554" s="5">
        <f t="shared" si="192"/>
        <v>8185</v>
      </c>
      <c r="D554" s="5">
        <f t="shared" si="192"/>
        <v>5450</v>
      </c>
      <c r="E554" s="5">
        <f t="shared" si="192"/>
        <v>1638</v>
      </c>
      <c r="F554" s="5">
        <f t="shared" si="192"/>
        <v>2184</v>
      </c>
      <c r="G554" s="5">
        <f t="shared" si="207"/>
        <v>131280</v>
      </c>
      <c r="H554" s="5">
        <f t="shared" si="207"/>
        <v>32740</v>
      </c>
      <c r="I554" s="5">
        <f t="shared" si="207"/>
        <v>21800</v>
      </c>
      <c r="J554" s="5">
        <f t="shared" si="207"/>
        <v>6552</v>
      </c>
      <c r="K554" s="5">
        <f t="shared" si="207"/>
        <v>8736</v>
      </c>
      <c r="L554" s="5">
        <f t="shared" si="208"/>
        <v>65640</v>
      </c>
      <c r="M554" s="5">
        <f t="shared" si="208"/>
        <v>16370</v>
      </c>
      <c r="N554" s="5">
        <f t="shared" si="208"/>
        <v>10900</v>
      </c>
      <c r="O554" s="5">
        <f t="shared" si="208"/>
        <v>3276</v>
      </c>
      <c r="P554" s="5">
        <f t="shared" si="208"/>
        <v>4368</v>
      </c>
      <c r="Q554" s="5">
        <f t="shared" si="209"/>
        <v>229740</v>
      </c>
      <c r="R554" s="5">
        <f t="shared" si="210"/>
        <v>57295</v>
      </c>
      <c r="S554" s="5">
        <f t="shared" si="211"/>
        <v>38150</v>
      </c>
      <c r="T554" s="5">
        <f t="shared" si="212"/>
        <v>11466</v>
      </c>
      <c r="U554" s="5">
        <f t="shared" si="213"/>
        <v>15288</v>
      </c>
      <c r="V554" s="5">
        <f>B554*战斗力计算!$B$8+C554*战斗力计算!$B$9+D554*战斗力计算!$B$10+E554*战斗力计算!$B$11+F554*战斗力计算!$B$12</f>
        <v>240120</v>
      </c>
      <c r="W554" s="5">
        <f>G554*战斗力计算!$B$8+H554*战斗力计算!$B$9+I554*战斗力计算!$B$10+J554*战斗力计算!$B$11+K554*战斗力计算!$B$12+L554*战斗力计算!$B$8+M554*战斗力计算!$B$9+N554*战斗力计算!$B$10+O554*战斗力计算!$B$11+P554*战斗力计算!$B$12</f>
        <v>1440720</v>
      </c>
      <c r="X554" s="5">
        <f t="shared" si="214"/>
        <v>1680840</v>
      </c>
      <c r="AC554">
        <f t="shared" si="193"/>
        <v>4</v>
      </c>
      <c r="AD554">
        <f t="shared" si="194"/>
        <v>2</v>
      </c>
      <c r="AF554">
        <f t="shared" si="195"/>
        <v>0.75</v>
      </c>
      <c r="AH554">
        <f t="shared" si="196"/>
        <v>12</v>
      </c>
      <c r="AK554">
        <f t="shared" si="197"/>
        <v>6.0220183486238534</v>
      </c>
      <c r="AL554">
        <f t="shared" si="198"/>
        <v>1.501834862385321</v>
      </c>
      <c r="AM554">
        <f t="shared" si="199"/>
        <v>1</v>
      </c>
      <c r="AN554">
        <f t="shared" si="200"/>
        <v>6.0220183486238534</v>
      </c>
      <c r="AO554">
        <f t="shared" si="201"/>
        <v>1.501834862385321</v>
      </c>
      <c r="AP554">
        <f t="shared" si="202"/>
        <v>1</v>
      </c>
      <c r="AR554">
        <f t="shared" si="203"/>
        <v>4.4972527472527473</v>
      </c>
      <c r="AT554">
        <f t="shared" si="204"/>
        <v>4.4972527472527473</v>
      </c>
      <c r="AV554">
        <f t="shared" si="205"/>
        <v>5729</v>
      </c>
      <c r="AW554">
        <f t="shared" si="206"/>
        <v>10640</v>
      </c>
    </row>
    <row r="555" spans="1:49" x14ac:dyDescent="0.15">
      <c r="A555" s="5">
        <v>545</v>
      </c>
      <c r="B555" s="5">
        <f t="shared" si="192"/>
        <v>32880</v>
      </c>
      <c r="C555" s="5">
        <f t="shared" si="192"/>
        <v>8200</v>
      </c>
      <c r="D555" s="5">
        <f t="shared" si="192"/>
        <v>5460</v>
      </c>
      <c r="E555" s="5">
        <f t="shared" si="192"/>
        <v>1641</v>
      </c>
      <c r="F555" s="5">
        <f t="shared" si="192"/>
        <v>2188</v>
      </c>
      <c r="G555" s="5">
        <f t="shared" si="207"/>
        <v>131520</v>
      </c>
      <c r="H555" s="5">
        <f t="shared" si="207"/>
        <v>32800</v>
      </c>
      <c r="I555" s="5">
        <f t="shared" si="207"/>
        <v>21840</v>
      </c>
      <c r="J555" s="5">
        <f t="shared" si="207"/>
        <v>6564</v>
      </c>
      <c r="K555" s="5">
        <f t="shared" si="207"/>
        <v>8752</v>
      </c>
      <c r="L555" s="5">
        <f t="shared" si="208"/>
        <v>65760</v>
      </c>
      <c r="M555" s="5">
        <f t="shared" si="208"/>
        <v>16400</v>
      </c>
      <c r="N555" s="5">
        <f t="shared" si="208"/>
        <v>10920</v>
      </c>
      <c r="O555" s="5">
        <f t="shared" si="208"/>
        <v>3282</v>
      </c>
      <c r="P555" s="5">
        <f t="shared" si="208"/>
        <v>4376</v>
      </c>
      <c r="Q555" s="5">
        <f t="shared" si="209"/>
        <v>230160</v>
      </c>
      <c r="R555" s="5">
        <f t="shared" si="210"/>
        <v>57400</v>
      </c>
      <c r="S555" s="5">
        <f t="shared" si="211"/>
        <v>38220</v>
      </c>
      <c r="T555" s="5">
        <f t="shared" si="212"/>
        <v>11487</v>
      </c>
      <c r="U555" s="5">
        <f t="shared" si="213"/>
        <v>15316</v>
      </c>
      <c r="V555" s="5">
        <f>B555*战斗力计算!$B$8+C555*战斗力计算!$B$9+D555*战斗力计算!$B$10+E555*战斗力计算!$B$11+F555*战斗力计算!$B$12</f>
        <v>240560</v>
      </c>
      <c r="W555" s="5">
        <f>G555*战斗力计算!$B$8+H555*战斗力计算!$B$9+I555*战斗力计算!$B$10+J555*战斗力计算!$B$11+K555*战斗力计算!$B$12+L555*战斗力计算!$B$8+M555*战斗力计算!$B$9+N555*战斗力计算!$B$10+O555*战斗力计算!$B$11+P555*战斗力计算!$B$12</f>
        <v>1443360</v>
      </c>
      <c r="X555" s="5">
        <f t="shared" si="214"/>
        <v>1683920</v>
      </c>
      <c r="AC555">
        <f t="shared" si="193"/>
        <v>4</v>
      </c>
      <c r="AD555">
        <f t="shared" si="194"/>
        <v>2</v>
      </c>
      <c r="AF555">
        <f t="shared" si="195"/>
        <v>0.75</v>
      </c>
      <c r="AH555">
        <f t="shared" si="196"/>
        <v>12</v>
      </c>
      <c r="AK555">
        <f t="shared" si="197"/>
        <v>6.0219780219780219</v>
      </c>
      <c r="AL555">
        <f t="shared" si="198"/>
        <v>1.5018315018315018</v>
      </c>
      <c r="AM555">
        <f t="shared" si="199"/>
        <v>1</v>
      </c>
      <c r="AN555">
        <f t="shared" si="200"/>
        <v>6.0219780219780219</v>
      </c>
      <c r="AO555">
        <f t="shared" si="201"/>
        <v>1.5018315018315018</v>
      </c>
      <c r="AP555">
        <f t="shared" si="202"/>
        <v>1</v>
      </c>
      <c r="AR555">
        <f t="shared" si="203"/>
        <v>4.4972577696526512</v>
      </c>
      <c r="AT555">
        <f t="shared" si="204"/>
        <v>4.4972577696526512</v>
      </c>
      <c r="AV555">
        <f t="shared" si="205"/>
        <v>5740</v>
      </c>
      <c r="AW555">
        <f t="shared" si="206"/>
        <v>10660</v>
      </c>
    </row>
    <row r="556" spans="1:49" x14ac:dyDescent="0.15">
      <c r="A556" s="5">
        <v>546</v>
      </c>
      <c r="B556" s="5">
        <f t="shared" si="192"/>
        <v>32940</v>
      </c>
      <c r="C556" s="5">
        <f t="shared" si="192"/>
        <v>8215</v>
      </c>
      <c r="D556" s="5">
        <f t="shared" si="192"/>
        <v>5470</v>
      </c>
      <c r="E556" s="5">
        <f t="shared" si="192"/>
        <v>1644</v>
      </c>
      <c r="F556" s="5">
        <f t="shared" si="192"/>
        <v>2192</v>
      </c>
      <c r="G556" s="5">
        <f t="shared" si="207"/>
        <v>131760</v>
      </c>
      <c r="H556" s="5">
        <f t="shared" si="207"/>
        <v>32860</v>
      </c>
      <c r="I556" s="5">
        <f t="shared" si="207"/>
        <v>21880</v>
      </c>
      <c r="J556" s="5">
        <f t="shared" si="207"/>
        <v>6576</v>
      </c>
      <c r="K556" s="5">
        <f t="shared" si="207"/>
        <v>8768</v>
      </c>
      <c r="L556" s="5">
        <f t="shared" si="208"/>
        <v>65880</v>
      </c>
      <c r="M556" s="5">
        <f t="shared" si="208"/>
        <v>16430</v>
      </c>
      <c r="N556" s="5">
        <f t="shared" si="208"/>
        <v>10940</v>
      </c>
      <c r="O556" s="5">
        <f t="shared" si="208"/>
        <v>3288</v>
      </c>
      <c r="P556" s="5">
        <f t="shared" si="208"/>
        <v>4384</v>
      </c>
      <c r="Q556" s="5">
        <f t="shared" si="209"/>
        <v>230580</v>
      </c>
      <c r="R556" s="5">
        <f t="shared" si="210"/>
        <v>57505</v>
      </c>
      <c r="S556" s="5">
        <f t="shared" si="211"/>
        <v>38290</v>
      </c>
      <c r="T556" s="5">
        <f t="shared" si="212"/>
        <v>11508</v>
      </c>
      <c r="U556" s="5">
        <f t="shared" si="213"/>
        <v>15344</v>
      </c>
      <c r="V556" s="5">
        <f>B556*战斗力计算!$B$8+C556*战斗力计算!$B$9+D556*战斗力计算!$B$10+E556*战斗力计算!$B$11+F556*战斗力计算!$B$12</f>
        <v>241000</v>
      </c>
      <c r="W556" s="5">
        <f>G556*战斗力计算!$B$8+H556*战斗力计算!$B$9+I556*战斗力计算!$B$10+J556*战斗力计算!$B$11+K556*战斗力计算!$B$12+L556*战斗力计算!$B$8+M556*战斗力计算!$B$9+N556*战斗力计算!$B$10+O556*战斗力计算!$B$11+P556*战斗力计算!$B$12</f>
        <v>1446000</v>
      </c>
      <c r="X556" s="5">
        <f t="shared" si="214"/>
        <v>1687000</v>
      </c>
      <c r="AC556">
        <f t="shared" si="193"/>
        <v>4</v>
      </c>
      <c r="AD556">
        <f t="shared" si="194"/>
        <v>2</v>
      </c>
      <c r="AF556">
        <f t="shared" si="195"/>
        <v>0.75</v>
      </c>
      <c r="AH556">
        <f t="shared" si="196"/>
        <v>12</v>
      </c>
      <c r="AK556">
        <f t="shared" si="197"/>
        <v>6.0219378427787937</v>
      </c>
      <c r="AL556">
        <f t="shared" si="198"/>
        <v>1.5018281535648994</v>
      </c>
      <c r="AM556">
        <f t="shared" si="199"/>
        <v>1</v>
      </c>
      <c r="AN556">
        <f t="shared" si="200"/>
        <v>6.0219378427787937</v>
      </c>
      <c r="AO556">
        <f t="shared" si="201"/>
        <v>1.5018281535648994</v>
      </c>
      <c r="AP556">
        <f t="shared" si="202"/>
        <v>1</v>
      </c>
      <c r="AR556">
        <f t="shared" si="203"/>
        <v>4.4972627737226274</v>
      </c>
      <c r="AT556">
        <f t="shared" si="204"/>
        <v>4.4972627737226274</v>
      </c>
      <c r="AV556">
        <f t="shared" si="205"/>
        <v>5750</v>
      </c>
      <c r="AW556">
        <f t="shared" si="206"/>
        <v>10679</v>
      </c>
    </row>
    <row r="557" spans="1:49" x14ac:dyDescent="0.15">
      <c r="A557" s="5">
        <v>547</v>
      </c>
      <c r="B557" s="5">
        <f t="shared" si="192"/>
        <v>33000</v>
      </c>
      <c r="C557" s="5">
        <f t="shared" si="192"/>
        <v>8230</v>
      </c>
      <c r="D557" s="5">
        <f t="shared" si="192"/>
        <v>5480</v>
      </c>
      <c r="E557" s="5">
        <f t="shared" si="192"/>
        <v>1647</v>
      </c>
      <c r="F557" s="5">
        <f t="shared" si="192"/>
        <v>2196</v>
      </c>
      <c r="G557" s="5">
        <f t="shared" si="207"/>
        <v>132000</v>
      </c>
      <c r="H557" s="5">
        <f t="shared" si="207"/>
        <v>32920</v>
      </c>
      <c r="I557" s="5">
        <f t="shared" si="207"/>
        <v>21920</v>
      </c>
      <c r="J557" s="5">
        <f t="shared" si="207"/>
        <v>6588</v>
      </c>
      <c r="K557" s="5">
        <f t="shared" si="207"/>
        <v>8784</v>
      </c>
      <c r="L557" s="5">
        <f t="shared" si="208"/>
        <v>66000</v>
      </c>
      <c r="M557" s="5">
        <f t="shared" si="208"/>
        <v>16460</v>
      </c>
      <c r="N557" s="5">
        <f t="shared" si="208"/>
        <v>10960</v>
      </c>
      <c r="O557" s="5">
        <f t="shared" si="208"/>
        <v>3294</v>
      </c>
      <c r="P557" s="5">
        <f t="shared" si="208"/>
        <v>4392</v>
      </c>
      <c r="Q557" s="5">
        <f t="shared" si="209"/>
        <v>231000</v>
      </c>
      <c r="R557" s="5">
        <f t="shared" si="210"/>
        <v>57610</v>
      </c>
      <c r="S557" s="5">
        <f t="shared" si="211"/>
        <v>38360</v>
      </c>
      <c r="T557" s="5">
        <f t="shared" si="212"/>
        <v>11529</v>
      </c>
      <c r="U557" s="5">
        <f t="shared" si="213"/>
        <v>15372</v>
      </c>
      <c r="V557" s="5">
        <f>B557*战斗力计算!$B$8+C557*战斗力计算!$B$9+D557*战斗力计算!$B$10+E557*战斗力计算!$B$11+F557*战斗力计算!$B$12</f>
        <v>241440</v>
      </c>
      <c r="W557" s="5">
        <f>G557*战斗力计算!$B$8+H557*战斗力计算!$B$9+I557*战斗力计算!$B$10+J557*战斗力计算!$B$11+K557*战斗力计算!$B$12+L557*战斗力计算!$B$8+M557*战斗力计算!$B$9+N557*战斗力计算!$B$10+O557*战斗力计算!$B$11+P557*战斗力计算!$B$12</f>
        <v>1448640</v>
      </c>
      <c r="X557" s="5">
        <f t="shared" si="214"/>
        <v>1690080</v>
      </c>
      <c r="AC557">
        <f t="shared" si="193"/>
        <v>4</v>
      </c>
      <c r="AD557">
        <f t="shared" si="194"/>
        <v>2</v>
      </c>
      <c r="AF557">
        <f t="shared" si="195"/>
        <v>0.75</v>
      </c>
      <c r="AH557">
        <f t="shared" si="196"/>
        <v>12</v>
      </c>
      <c r="AK557">
        <f t="shared" si="197"/>
        <v>6.0218978102189782</v>
      </c>
      <c r="AL557">
        <f t="shared" si="198"/>
        <v>1.5018248175182483</v>
      </c>
      <c r="AM557">
        <f t="shared" si="199"/>
        <v>1</v>
      </c>
      <c r="AN557">
        <f t="shared" si="200"/>
        <v>6.0218978102189782</v>
      </c>
      <c r="AO557">
        <f t="shared" si="201"/>
        <v>1.5018248175182483</v>
      </c>
      <c r="AP557">
        <f t="shared" si="202"/>
        <v>1</v>
      </c>
      <c r="AR557">
        <f t="shared" si="203"/>
        <v>4.4972677595628419</v>
      </c>
      <c r="AT557">
        <f t="shared" si="204"/>
        <v>4.4972677595628419</v>
      </c>
      <c r="AV557">
        <f t="shared" si="205"/>
        <v>5761</v>
      </c>
      <c r="AW557">
        <f t="shared" si="206"/>
        <v>10699</v>
      </c>
    </row>
    <row r="558" spans="1:49" x14ac:dyDescent="0.15">
      <c r="A558" s="5">
        <v>548</v>
      </c>
      <c r="B558" s="5">
        <f t="shared" si="192"/>
        <v>33060</v>
      </c>
      <c r="C558" s="5">
        <f t="shared" si="192"/>
        <v>8245</v>
      </c>
      <c r="D558" s="5">
        <f t="shared" si="192"/>
        <v>5490</v>
      </c>
      <c r="E558" s="5">
        <f t="shared" si="192"/>
        <v>1650</v>
      </c>
      <c r="F558" s="5">
        <f t="shared" si="192"/>
        <v>2200</v>
      </c>
      <c r="G558" s="5">
        <f t="shared" si="207"/>
        <v>132240</v>
      </c>
      <c r="H558" s="5">
        <f t="shared" si="207"/>
        <v>32980</v>
      </c>
      <c r="I558" s="5">
        <f t="shared" si="207"/>
        <v>21960</v>
      </c>
      <c r="J558" s="5">
        <f t="shared" si="207"/>
        <v>6600</v>
      </c>
      <c r="K558" s="5">
        <f t="shared" si="207"/>
        <v>8800</v>
      </c>
      <c r="L558" s="5">
        <f t="shared" si="208"/>
        <v>66120</v>
      </c>
      <c r="M558" s="5">
        <f t="shared" si="208"/>
        <v>16490</v>
      </c>
      <c r="N558" s="5">
        <f t="shared" si="208"/>
        <v>10980</v>
      </c>
      <c r="O558" s="5">
        <f t="shared" si="208"/>
        <v>3300</v>
      </c>
      <c r="P558" s="5">
        <f t="shared" si="208"/>
        <v>4400</v>
      </c>
      <c r="Q558" s="5">
        <f t="shared" si="209"/>
        <v>231420</v>
      </c>
      <c r="R558" s="5">
        <f t="shared" si="210"/>
        <v>57715</v>
      </c>
      <c r="S558" s="5">
        <f t="shared" si="211"/>
        <v>38430</v>
      </c>
      <c r="T558" s="5">
        <f t="shared" si="212"/>
        <v>11550</v>
      </c>
      <c r="U558" s="5">
        <f t="shared" si="213"/>
        <v>15400</v>
      </c>
      <c r="V558" s="5">
        <f>B558*战斗力计算!$B$8+C558*战斗力计算!$B$9+D558*战斗力计算!$B$10+E558*战斗力计算!$B$11+F558*战斗力计算!$B$12</f>
        <v>241880</v>
      </c>
      <c r="W558" s="5">
        <f>G558*战斗力计算!$B$8+H558*战斗力计算!$B$9+I558*战斗力计算!$B$10+J558*战斗力计算!$B$11+K558*战斗力计算!$B$12+L558*战斗力计算!$B$8+M558*战斗力计算!$B$9+N558*战斗力计算!$B$10+O558*战斗力计算!$B$11+P558*战斗力计算!$B$12</f>
        <v>1451280</v>
      </c>
      <c r="X558" s="5">
        <f t="shared" si="214"/>
        <v>1693160</v>
      </c>
      <c r="AC558">
        <f t="shared" si="193"/>
        <v>4</v>
      </c>
      <c r="AD558">
        <f t="shared" si="194"/>
        <v>2</v>
      </c>
      <c r="AF558">
        <f t="shared" si="195"/>
        <v>0.75</v>
      </c>
      <c r="AH558">
        <f t="shared" si="196"/>
        <v>12</v>
      </c>
      <c r="AK558">
        <f t="shared" si="197"/>
        <v>6.0218579234972678</v>
      </c>
      <c r="AL558">
        <f t="shared" si="198"/>
        <v>1.5018214936247722</v>
      </c>
      <c r="AM558">
        <f t="shared" si="199"/>
        <v>1</v>
      </c>
      <c r="AN558">
        <f t="shared" si="200"/>
        <v>6.0218579234972678</v>
      </c>
      <c r="AO558">
        <f t="shared" si="201"/>
        <v>1.5018214936247722</v>
      </c>
      <c r="AP558">
        <f t="shared" si="202"/>
        <v>1</v>
      </c>
      <c r="AR558">
        <f t="shared" si="203"/>
        <v>4.4972727272727271</v>
      </c>
      <c r="AT558">
        <f t="shared" si="204"/>
        <v>4.4972727272727271</v>
      </c>
      <c r="AV558">
        <f t="shared" si="205"/>
        <v>5771</v>
      </c>
      <c r="AW558">
        <f t="shared" si="206"/>
        <v>10718</v>
      </c>
    </row>
    <row r="559" spans="1:49" x14ac:dyDescent="0.15">
      <c r="A559" s="5">
        <v>549</v>
      </c>
      <c r="B559" s="5">
        <f t="shared" si="192"/>
        <v>33120</v>
      </c>
      <c r="C559" s="5">
        <f t="shared" si="192"/>
        <v>8260</v>
      </c>
      <c r="D559" s="5">
        <f t="shared" si="192"/>
        <v>5500</v>
      </c>
      <c r="E559" s="5">
        <f t="shared" si="192"/>
        <v>1653</v>
      </c>
      <c r="F559" s="5">
        <f t="shared" si="192"/>
        <v>2204</v>
      </c>
      <c r="G559" s="5">
        <f t="shared" si="207"/>
        <v>132480</v>
      </c>
      <c r="H559" s="5">
        <f t="shared" si="207"/>
        <v>33040</v>
      </c>
      <c r="I559" s="5">
        <f t="shared" si="207"/>
        <v>22000</v>
      </c>
      <c r="J559" s="5">
        <f t="shared" si="207"/>
        <v>6612</v>
      </c>
      <c r="K559" s="5">
        <f t="shared" si="207"/>
        <v>8816</v>
      </c>
      <c r="L559" s="5">
        <f t="shared" si="208"/>
        <v>66240</v>
      </c>
      <c r="M559" s="5">
        <f t="shared" si="208"/>
        <v>16520</v>
      </c>
      <c r="N559" s="5">
        <f t="shared" si="208"/>
        <v>11000</v>
      </c>
      <c r="O559" s="5">
        <f t="shared" si="208"/>
        <v>3306</v>
      </c>
      <c r="P559" s="5">
        <f t="shared" si="208"/>
        <v>4408</v>
      </c>
      <c r="Q559" s="5">
        <f t="shared" si="209"/>
        <v>231840</v>
      </c>
      <c r="R559" s="5">
        <f t="shared" si="210"/>
        <v>57820</v>
      </c>
      <c r="S559" s="5">
        <f t="shared" si="211"/>
        <v>38500</v>
      </c>
      <c r="T559" s="5">
        <f t="shared" si="212"/>
        <v>11571</v>
      </c>
      <c r="U559" s="5">
        <f t="shared" si="213"/>
        <v>15428</v>
      </c>
      <c r="V559" s="5">
        <f>B559*战斗力计算!$B$8+C559*战斗力计算!$B$9+D559*战斗力计算!$B$10+E559*战斗力计算!$B$11+F559*战斗力计算!$B$12</f>
        <v>242320</v>
      </c>
      <c r="W559" s="5">
        <f>G559*战斗力计算!$B$8+H559*战斗力计算!$B$9+I559*战斗力计算!$B$10+J559*战斗力计算!$B$11+K559*战斗力计算!$B$12+L559*战斗力计算!$B$8+M559*战斗力计算!$B$9+N559*战斗力计算!$B$10+O559*战斗力计算!$B$11+P559*战斗力计算!$B$12</f>
        <v>1453920</v>
      </c>
      <c r="X559" s="5">
        <f t="shared" si="214"/>
        <v>1696240</v>
      </c>
      <c r="AC559">
        <f t="shared" si="193"/>
        <v>4</v>
      </c>
      <c r="AD559">
        <f t="shared" si="194"/>
        <v>2</v>
      </c>
      <c r="AF559">
        <f t="shared" si="195"/>
        <v>0.75</v>
      </c>
      <c r="AH559">
        <f t="shared" si="196"/>
        <v>12</v>
      </c>
      <c r="AK559">
        <f t="shared" si="197"/>
        <v>6.0218181818181815</v>
      </c>
      <c r="AL559">
        <f t="shared" si="198"/>
        <v>1.5018181818181817</v>
      </c>
      <c r="AM559">
        <f t="shared" si="199"/>
        <v>1</v>
      </c>
      <c r="AN559">
        <f t="shared" si="200"/>
        <v>6.0218181818181815</v>
      </c>
      <c r="AO559">
        <f t="shared" si="201"/>
        <v>1.5018181818181817</v>
      </c>
      <c r="AP559">
        <f t="shared" si="202"/>
        <v>1</v>
      </c>
      <c r="AR559">
        <f t="shared" si="203"/>
        <v>4.4972776769509979</v>
      </c>
      <c r="AT559">
        <f t="shared" si="204"/>
        <v>4.4972776769509979</v>
      </c>
      <c r="AV559">
        <f t="shared" si="205"/>
        <v>5782</v>
      </c>
      <c r="AW559">
        <f t="shared" si="206"/>
        <v>10738</v>
      </c>
    </row>
    <row r="560" spans="1:49" s="1" customFormat="1" x14ac:dyDescent="0.15">
      <c r="A560" s="7">
        <v>550</v>
      </c>
      <c r="B560" s="7">
        <f t="shared" si="192"/>
        <v>33180</v>
      </c>
      <c r="C560" s="7">
        <f t="shared" si="192"/>
        <v>8275</v>
      </c>
      <c r="D560" s="7">
        <f t="shared" si="192"/>
        <v>5510</v>
      </c>
      <c r="E560" s="7">
        <f t="shared" si="192"/>
        <v>1656</v>
      </c>
      <c r="F560" s="7">
        <f t="shared" si="192"/>
        <v>2208</v>
      </c>
      <c r="G560" s="5">
        <f t="shared" ref="G560:K591" si="215">HLOOKUP(G$10,$B$10:$F$610,$A560+1,0)*$AC560</f>
        <v>132720</v>
      </c>
      <c r="H560" s="5">
        <f t="shared" si="215"/>
        <v>33100</v>
      </c>
      <c r="I560" s="5">
        <f t="shared" si="215"/>
        <v>22040</v>
      </c>
      <c r="J560" s="5">
        <f t="shared" si="215"/>
        <v>6624</v>
      </c>
      <c r="K560" s="5">
        <f t="shared" si="215"/>
        <v>8832</v>
      </c>
      <c r="L560" s="5">
        <f t="shared" ref="L560:P591" si="216">HLOOKUP(L$10,$B$10:$F$610,$A560+1,0)*$AD560</f>
        <v>66360</v>
      </c>
      <c r="M560" s="5">
        <f t="shared" si="216"/>
        <v>16550</v>
      </c>
      <c r="N560" s="5">
        <f t="shared" si="216"/>
        <v>11020</v>
      </c>
      <c r="O560" s="5">
        <f t="shared" si="216"/>
        <v>3312</v>
      </c>
      <c r="P560" s="5">
        <f t="shared" si="216"/>
        <v>4416</v>
      </c>
      <c r="Q560" s="7">
        <f t="shared" si="209"/>
        <v>232260</v>
      </c>
      <c r="R560" s="7">
        <f t="shared" si="210"/>
        <v>57925</v>
      </c>
      <c r="S560" s="7">
        <f t="shared" si="211"/>
        <v>38570</v>
      </c>
      <c r="T560" s="7">
        <f t="shared" si="212"/>
        <v>11592</v>
      </c>
      <c r="U560" s="7">
        <f t="shared" si="213"/>
        <v>15456</v>
      </c>
      <c r="V560" s="7">
        <f>B560*战斗力计算!$B$8+C560*战斗力计算!$B$9+D560*战斗力计算!$B$10+E560*战斗力计算!$B$11+F560*战斗力计算!$B$12</f>
        <v>242760</v>
      </c>
      <c r="W560" s="7">
        <f>G560*战斗力计算!$B$8+H560*战斗力计算!$B$9+I560*战斗力计算!$B$10+J560*战斗力计算!$B$11+K560*战斗力计算!$B$12+L560*战斗力计算!$B$8+M560*战斗力计算!$B$9+N560*战斗力计算!$B$10+O560*战斗力计算!$B$11+P560*战斗力计算!$B$12</f>
        <v>1456560</v>
      </c>
      <c r="X560" s="7">
        <f t="shared" si="214"/>
        <v>1699320</v>
      </c>
      <c r="Z560" s="10"/>
      <c r="AC560">
        <f t="shared" si="193"/>
        <v>4</v>
      </c>
      <c r="AD560">
        <f t="shared" si="194"/>
        <v>2</v>
      </c>
      <c r="AF560" s="1">
        <f t="shared" si="195"/>
        <v>0.75</v>
      </c>
      <c r="AH560" s="1">
        <f t="shared" si="196"/>
        <v>12</v>
      </c>
      <c r="AK560">
        <f t="shared" si="197"/>
        <v>6.0217785843920142</v>
      </c>
      <c r="AL560">
        <f t="shared" si="198"/>
        <v>1.5018148820326678</v>
      </c>
      <c r="AM560">
        <f t="shared" si="199"/>
        <v>1</v>
      </c>
      <c r="AN560">
        <f t="shared" si="200"/>
        <v>6.0217785843920142</v>
      </c>
      <c r="AO560">
        <f t="shared" si="201"/>
        <v>1.5018148820326678</v>
      </c>
      <c r="AP560">
        <f t="shared" si="202"/>
        <v>1</v>
      </c>
      <c r="AR560">
        <f t="shared" si="203"/>
        <v>4.4972826086956523</v>
      </c>
      <c r="AT560">
        <f t="shared" si="204"/>
        <v>4.4972826086956523</v>
      </c>
      <c r="AV560">
        <f t="shared" si="205"/>
        <v>5792</v>
      </c>
      <c r="AW560">
        <f t="shared" si="206"/>
        <v>10757</v>
      </c>
    </row>
    <row r="561" spans="1:49" x14ac:dyDescent="0.15">
      <c r="A561" s="5">
        <v>551</v>
      </c>
      <c r="B561" s="5">
        <f t="shared" si="192"/>
        <v>33240</v>
      </c>
      <c r="C561" s="5">
        <f t="shared" si="192"/>
        <v>8290</v>
      </c>
      <c r="D561" s="5">
        <f t="shared" si="192"/>
        <v>5520</v>
      </c>
      <c r="E561" s="5">
        <f t="shared" si="192"/>
        <v>1659</v>
      </c>
      <c r="F561" s="5">
        <f t="shared" si="192"/>
        <v>2212</v>
      </c>
      <c r="G561" s="5">
        <f t="shared" si="215"/>
        <v>132960</v>
      </c>
      <c r="H561" s="5">
        <f t="shared" si="215"/>
        <v>33160</v>
      </c>
      <c r="I561" s="5">
        <f t="shared" si="215"/>
        <v>22080</v>
      </c>
      <c r="J561" s="5">
        <f t="shared" si="215"/>
        <v>6636</v>
      </c>
      <c r="K561" s="5">
        <f t="shared" si="215"/>
        <v>8848</v>
      </c>
      <c r="L561" s="5">
        <f t="shared" si="216"/>
        <v>66480</v>
      </c>
      <c r="M561" s="5">
        <f t="shared" si="216"/>
        <v>16580</v>
      </c>
      <c r="N561" s="5">
        <f t="shared" si="216"/>
        <v>11040</v>
      </c>
      <c r="O561" s="5">
        <f t="shared" si="216"/>
        <v>3318</v>
      </c>
      <c r="P561" s="5">
        <f t="shared" si="216"/>
        <v>4424</v>
      </c>
      <c r="Q561" s="5">
        <f t="shared" si="209"/>
        <v>232680</v>
      </c>
      <c r="R561" s="5">
        <f t="shared" si="210"/>
        <v>58030</v>
      </c>
      <c r="S561" s="5">
        <f t="shared" si="211"/>
        <v>38640</v>
      </c>
      <c r="T561" s="5">
        <f t="shared" si="212"/>
        <v>11613</v>
      </c>
      <c r="U561" s="5">
        <f t="shared" si="213"/>
        <v>15484</v>
      </c>
      <c r="V561" s="5">
        <f>B561*战斗力计算!$B$8+C561*战斗力计算!$B$9+D561*战斗力计算!$B$10+E561*战斗力计算!$B$11+F561*战斗力计算!$B$12</f>
        <v>243200</v>
      </c>
      <c r="W561" s="5">
        <f>G561*战斗力计算!$B$8+H561*战斗力计算!$B$9+I561*战斗力计算!$B$10+J561*战斗力计算!$B$11+K561*战斗力计算!$B$12+L561*战斗力计算!$B$8+M561*战斗力计算!$B$9+N561*战斗力计算!$B$10+O561*战斗力计算!$B$11+P561*战斗力计算!$B$12</f>
        <v>1459200</v>
      </c>
      <c r="X561" s="5">
        <f t="shared" si="214"/>
        <v>1702400</v>
      </c>
      <c r="AC561">
        <f t="shared" si="193"/>
        <v>4</v>
      </c>
      <c r="AD561">
        <f t="shared" si="194"/>
        <v>2</v>
      </c>
      <c r="AF561">
        <f t="shared" si="195"/>
        <v>0.75</v>
      </c>
      <c r="AH561">
        <f t="shared" si="196"/>
        <v>12</v>
      </c>
      <c r="AK561">
        <f t="shared" si="197"/>
        <v>6.0217391304347823</v>
      </c>
      <c r="AL561">
        <f t="shared" si="198"/>
        <v>1.5018115942028984</v>
      </c>
      <c r="AM561">
        <f t="shared" si="199"/>
        <v>1</v>
      </c>
      <c r="AN561">
        <f t="shared" si="200"/>
        <v>6.0217391304347823</v>
      </c>
      <c r="AO561">
        <f t="shared" si="201"/>
        <v>1.5018115942028984</v>
      </c>
      <c r="AP561">
        <f t="shared" si="202"/>
        <v>1</v>
      </c>
      <c r="AR561">
        <f t="shared" si="203"/>
        <v>4.4972875226039779</v>
      </c>
      <c r="AT561">
        <f t="shared" si="204"/>
        <v>4.4972875226039779</v>
      </c>
      <c r="AV561">
        <f t="shared" si="205"/>
        <v>5803</v>
      </c>
      <c r="AW561">
        <f t="shared" si="206"/>
        <v>10777</v>
      </c>
    </row>
    <row r="562" spans="1:49" x14ac:dyDescent="0.15">
      <c r="A562" s="5">
        <v>552</v>
      </c>
      <c r="B562" s="5">
        <f t="shared" si="192"/>
        <v>33300</v>
      </c>
      <c r="C562" s="5">
        <f t="shared" si="192"/>
        <v>8305</v>
      </c>
      <c r="D562" s="5">
        <f t="shared" si="192"/>
        <v>5530</v>
      </c>
      <c r="E562" s="5">
        <f t="shared" si="192"/>
        <v>1662</v>
      </c>
      <c r="F562" s="5">
        <f t="shared" si="192"/>
        <v>2216</v>
      </c>
      <c r="G562" s="5">
        <f t="shared" si="215"/>
        <v>133200</v>
      </c>
      <c r="H562" s="5">
        <f t="shared" si="215"/>
        <v>33220</v>
      </c>
      <c r="I562" s="5">
        <f t="shared" si="215"/>
        <v>22120</v>
      </c>
      <c r="J562" s="5">
        <f t="shared" si="215"/>
        <v>6648</v>
      </c>
      <c r="K562" s="5">
        <f t="shared" si="215"/>
        <v>8864</v>
      </c>
      <c r="L562" s="5">
        <f t="shared" si="216"/>
        <v>66600</v>
      </c>
      <c r="M562" s="5">
        <f t="shared" si="216"/>
        <v>16610</v>
      </c>
      <c r="N562" s="5">
        <f t="shared" si="216"/>
        <v>11060</v>
      </c>
      <c r="O562" s="5">
        <f t="shared" si="216"/>
        <v>3324</v>
      </c>
      <c r="P562" s="5">
        <f t="shared" si="216"/>
        <v>4432</v>
      </c>
      <c r="Q562" s="5">
        <f t="shared" si="209"/>
        <v>233100</v>
      </c>
      <c r="R562" s="5">
        <f t="shared" si="210"/>
        <v>58135</v>
      </c>
      <c r="S562" s="5">
        <f t="shared" si="211"/>
        <v>38710</v>
      </c>
      <c r="T562" s="5">
        <f t="shared" si="212"/>
        <v>11634</v>
      </c>
      <c r="U562" s="5">
        <f t="shared" si="213"/>
        <v>15512</v>
      </c>
      <c r="V562" s="5">
        <f>B562*战斗力计算!$B$8+C562*战斗力计算!$B$9+D562*战斗力计算!$B$10+E562*战斗力计算!$B$11+F562*战斗力计算!$B$12</f>
        <v>243640</v>
      </c>
      <c r="W562" s="5">
        <f>G562*战斗力计算!$B$8+H562*战斗力计算!$B$9+I562*战斗力计算!$B$10+J562*战斗力计算!$B$11+K562*战斗力计算!$B$12+L562*战斗力计算!$B$8+M562*战斗力计算!$B$9+N562*战斗力计算!$B$10+O562*战斗力计算!$B$11+P562*战斗力计算!$B$12</f>
        <v>1461840</v>
      </c>
      <c r="X562" s="5">
        <f t="shared" si="214"/>
        <v>1705480</v>
      </c>
      <c r="AC562">
        <f t="shared" si="193"/>
        <v>4</v>
      </c>
      <c r="AD562">
        <f t="shared" si="194"/>
        <v>2</v>
      </c>
      <c r="AF562">
        <f t="shared" si="195"/>
        <v>0.75</v>
      </c>
      <c r="AH562">
        <f t="shared" si="196"/>
        <v>12</v>
      </c>
      <c r="AK562">
        <f t="shared" si="197"/>
        <v>6.0216998191681732</v>
      </c>
      <c r="AL562">
        <f t="shared" si="198"/>
        <v>1.5018083182640145</v>
      </c>
      <c r="AM562">
        <f t="shared" si="199"/>
        <v>1</v>
      </c>
      <c r="AN562">
        <f t="shared" si="200"/>
        <v>6.0216998191681732</v>
      </c>
      <c r="AO562">
        <f t="shared" si="201"/>
        <v>1.5018083182640145</v>
      </c>
      <c r="AP562">
        <f t="shared" si="202"/>
        <v>1</v>
      </c>
      <c r="AR562">
        <f t="shared" si="203"/>
        <v>4.4972924187725631</v>
      </c>
      <c r="AT562">
        <f t="shared" si="204"/>
        <v>4.4972924187725631</v>
      </c>
      <c r="AV562">
        <f t="shared" si="205"/>
        <v>5813</v>
      </c>
      <c r="AW562">
        <f t="shared" si="206"/>
        <v>10796</v>
      </c>
    </row>
    <row r="563" spans="1:49" x14ac:dyDescent="0.15">
      <c r="A563" s="5">
        <v>553</v>
      </c>
      <c r="B563" s="5">
        <f t="shared" si="192"/>
        <v>33360</v>
      </c>
      <c r="C563" s="5">
        <f t="shared" si="192"/>
        <v>8320</v>
      </c>
      <c r="D563" s="5">
        <f t="shared" si="192"/>
        <v>5540</v>
      </c>
      <c r="E563" s="5">
        <f t="shared" si="192"/>
        <v>1665</v>
      </c>
      <c r="F563" s="5">
        <f t="shared" si="192"/>
        <v>2220</v>
      </c>
      <c r="G563" s="5">
        <f t="shared" si="215"/>
        <v>133440</v>
      </c>
      <c r="H563" s="5">
        <f t="shared" si="215"/>
        <v>33280</v>
      </c>
      <c r="I563" s="5">
        <f t="shared" si="215"/>
        <v>22160</v>
      </c>
      <c r="J563" s="5">
        <f t="shared" si="215"/>
        <v>6660</v>
      </c>
      <c r="K563" s="5">
        <f t="shared" si="215"/>
        <v>8880</v>
      </c>
      <c r="L563" s="5">
        <f t="shared" si="216"/>
        <v>66720</v>
      </c>
      <c r="M563" s="5">
        <f t="shared" si="216"/>
        <v>16640</v>
      </c>
      <c r="N563" s="5">
        <f t="shared" si="216"/>
        <v>11080</v>
      </c>
      <c r="O563" s="5">
        <f t="shared" si="216"/>
        <v>3330</v>
      </c>
      <c r="P563" s="5">
        <f t="shared" si="216"/>
        <v>4440</v>
      </c>
      <c r="Q563" s="5">
        <f t="shared" si="209"/>
        <v>233520</v>
      </c>
      <c r="R563" s="5">
        <f t="shared" si="210"/>
        <v>58240</v>
      </c>
      <c r="S563" s="5">
        <f t="shared" si="211"/>
        <v>38780</v>
      </c>
      <c r="T563" s="5">
        <f t="shared" si="212"/>
        <v>11655</v>
      </c>
      <c r="U563" s="5">
        <f t="shared" si="213"/>
        <v>15540</v>
      </c>
      <c r="V563" s="5">
        <f>B563*战斗力计算!$B$8+C563*战斗力计算!$B$9+D563*战斗力计算!$B$10+E563*战斗力计算!$B$11+F563*战斗力计算!$B$12</f>
        <v>244080</v>
      </c>
      <c r="W563" s="5">
        <f>G563*战斗力计算!$B$8+H563*战斗力计算!$B$9+I563*战斗力计算!$B$10+J563*战斗力计算!$B$11+K563*战斗力计算!$B$12+L563*战斗力计算!$B$8+M563*战斗力计算!$B$9+N563*战斗力计算!$B$10+O563*战斗力计算!$B$11+P563*战斗力计算!$B$12</f>
        <v>1464480</v>
      </c>
      <c r="X563" s="5">
        <f t="shared" si="214"/>
        <v>1708560</v>
      </c>
      <c r="AC563">
        <f t="shared" si="193"/>
        <v>4</v>
      </c>
      <c r="AD563">
        <f t="shared" si="194"/>
        <v>2</v>
      </c>
      <c r="AF563">
        <f t="shared" si="195"/>
        <v>0.75</v>
      </c>
      <c r="AH563">
        <f t="shared" si="196"/>
        <v>12</v>
      </c>
      <c r="AK563">
        <f t="shared" si="197"/>
        <v>6.0216606498194949</v>
      </c>
      <c r="AL563">
        <f t="shared" si="198"/>
        <v>1.5018050541516246</v>
      </c>
      <c r="AM563">
        <f t="shared" si="199"/>
        <v>1</v>
      </c>
      <c r="AN563">
        <f t="shared" si="200"/>
        <v>6.0216606498194949</v>
      </c>
      <c r="AO563">
        <f t="shared" si="201"/>
        <v>1.5018050541516246</v>
      </c>
      <c r="AP563">
        <f t="shared" si="202"/>
        <v>1</v>
      </c>
      <c r="AR563">
        <f t="shared" si="203"/>
        <v>4.4972972972972975</v>
      </c>
      <c r="AT563">
        <f t="shared" si="204"/>
        <v>4.4972972972972975</v>
      </c>
      <c r="AV563">
        <f t="shared" si="205"/>
        <v>5824</v>
      </c>
      <c r="AW563">
        <f t="shared" si="206"/>
        <v>10816</v>
      </c>
    </row>
    <row r="564" spans="1:49" x14ac:dyDescent="0.15">
      <c r="A564" s="5">
        <v>554</v>
      </c>
      <c r="B564" s="5">
        <f t="shared" si="192"/>
        <v>33420</v>
      </c>
      <c r="C564" s="5">
        <f t="shared" si="192"/>
        <v>8335</v>
      </c>
      <c r="D564" s="5">
        <f t="shared" si="192"/>
        <v>5550</v>
      </c>
      <c r="E564" s="5">
        <f t="shared" si="192"/>
        <v>1668</v>
      </c>
      <c r="F564" s="5">
        <f t="shared" si="192"/>
        <v>2224</v>
      </c>
      <c r="G564" s="5">
        <f t="shared" si="215"/>
        <v>133680</v>
      </c>
      <c r="H564" s="5">
        <f t="shared" si="215"/>
        <v>33340</v>
      </c>
      <c r="I564" s="5">
        <f t="shared" si="215"/>
        <v>22200</v>
      </c>
      <c r="J564" s="5">
        <f t="shared" si="215"/>
        <v>6672</v>
      </c>
      <c r="K564" s="5">
        <f t="shared" si="215"/>
        <v>8896</v>
      </c>
      <c r="L564" s="5">
        <f t="shared" si="216"/>
        <v>66840</v>
      </c>
      <c r="M564" s="5">
        <f t="shared" si="216"/>
        <v>16670</v>
      </c>
      <c r="N564" s="5">
        <f t="shared" si="216"/>
        <v>11100</v>
      </c>
      <c r="O564" s="5">
        <f t="shared" si="216"/>
        <v>3336</v>
      </c>
      <c r="P564" s="5">
        <f t="shared" si="216"/>
        <v>4448</v>
      </c>
      <c r="Q564" s="5">
        <f t="shared" si="209"/>
        <v>233940</v>
      </c>
      <c r="R564" s="5">
        <f t="shared" si="210"/>
        <v>58345</v>
      </c>
      <c r="S564" s="5">
        <f t="shared" si="211"/>
        <v>38850</v>
      </c>
      <c r="T564" s="5">
        <f t="shared" si="212"/>
        <v>11676</v>
      </c>
      <c r="U564" s="5">
        <f t="shared" si="213"/>
        <v>15568</v>
      </c>
      <c r="V564" s="5">
        <f>B564*战斗力计算!$B$8+C564*战斗力计算!$B$9+D564*战斗力计算!$B$10+E564*战斗力计算!$B$11+F564*战斗力计算!$B$12</f>
        <v>244520</v>
      </c>
      <c r="W564" s="5">
        <f>G564*战斗力计算!$B$8+H564*战斗力计算!$B$9+I564*战斗力计算!$B$10+J564*战斗力计算!$B$11+K564*战斗力计算!$B$12+L564*战斗力计算!$B$8+M564*战斗力计算!$B$9+N564*战斗力计算!$B$10+O564*战斗力计算!$B$11+P564*战斗力计算!$B$12</f>
        <v>1467120</v>
      </c>
      <c r="X564" s="5">
        <f t="shared" si="214"/>
        <v>1711640</v>
      </c>
      <c r="AC564">
        <f t="shared" si="193"/>
        <v>4</v>
      </c>
      <c r="AD564">
        <f t="shared" si="194"/>
        <v>2</v>
      </c>
      <c r="AF564">
        <f t="shared" si="195"/>
        <v>0.75</v>
      </c>
      <c r="AH564">
        <f t="shared" si="196"/>
        <v>12</v>
      </c>
      <c r="AK564">
        <f t="shared" si="197"/>
        <v>6.0216216216216214</v>
      </c>
      <c r="AL564">
        <f t="shared" si="198"/>
        <v>1.5018018018018018</v>
      </c>
      <c r="AM564">
        <f t="shared" si="199"/>
        <v>1</v>
      </c>
      <c r="AN564">
        <f t="shared" si="200"/>
        <v>6.0216216216216214</v>
      </c>
      <c r="AO564">
        <f t="shared" si="201"/>
        <v>1.5018018018018018</v>
      </c>
      <c r="AP564">
        <f t="shared" si="202"/>
        <v>1</v>
      </c>
      <c r="AR564">
        <f t="shared" si="203"/>
        <v>4.4973021582733814</v>
      </c>
      <c r="AT564">
        <f t="shared" si="204"/>
        <v>4.4973021582733814</v>
      </c>
      <c r="AV564">
        <f t="shared" si="205"/>
        <v>5834</v>
      </c>
      <c r="AW564">
        <f t="shared" si="206"/>
        <v>10835</v>
      </c>
    </row>
    <row r="565" spans="1:49" x14ac:dyDescent="0.15">
      <c r="A565" s="5">
        <v>555</v>
      </c>
      <c r="B565" s="5">
        <f t="shared" si="192"/>
        <v>33480</v>
      </c>
      <c r="C565" s="5">
        <f t="shared" si="192"/>
        <v>8350</v>
      </c>
      <c r="D565" s="5">
        <f t="shared" si="192"/>
        <v>5560</v>
      </c>
      <c r="E565" s="5">
        <f t="shared" si="192"/>
        <v>1671</v>
      </c>
      <c r="F565" s="5">
        <f t="shared" si="192"/>
        <v>2228</v>
      </c>
      <c r="G565" s="5">
        <f t="shared" si="215"/>
        <v>133920</v>
      </c>
      <c r="H565" s="5">
        <f t="shared" si="215"/>
        <v>33400</v>
      </c>
      <c r="I565" s="5">
        <f t="shared" si="215"/>
        <v>22240</v>
      </c>
      <c r="J565" s="5">
        <f t="shared" si="215"/>
        <v>6684</v>
      </c>
      <c r="K565" s="5">
        <f t="shared" si="215"/>
        <v>8912</v>
      </c>
      <c r="L565" s="5">
        <f t="shared" si="216"/>
        <v>66960</v>
      </c>
      <c r="M565" s="5">
        <f t="shared" si="216"/>
        <v>16700</v>
      </c>
      <c r="N565" s="5">
        <f t="shared" si="216"/>
        <v>11120</v>
      </c>
      <c r="O565" s="5">
        <f t="shared" si="216"/>
        <v>3342</v>
      </c>
      <c r="P565" s="5">
        <f t="shared" si="216"/>
        <v>4456</v>
      </c>
      <c r="Q565" s="5">
        <f t="shared" si="209"/>
        <v>234360</v>
      </c>
      <c r="R565" s="5">
        <f t="shared" si="210"/>
        <v>58450</v>
      </c>
      <c r="S565" s="5">
        <f t="shared" si="211"/>
        <v>38920</v>
      </c>
      <c r="T565" s="5">
        <f t="shared" si="212"/>
        <v>11697</v>
      </c>
      <c r="U565" s="5">
        <f t="shared" si="213"/>
        <v>15596</v>
      </c>
      <c r="V565" s="5">
        <f>B565*战斗力计算!$B$8+C565*战斗力计算!$B$9+D565*战斗力计算!$B$10+E565*战斗力计算!$B$11+F565*战斗力计算!$B$12</f>
        <v>244960</v>
      </c>
      <c r="W565" s="5">
        <f>G565*战斗力计算!$B$8+H565*战斗力计算!$B$9+I565*战斗力计算!$B$10+J565*战斗力计算!$B$11+K565*战斗力计算!$B$12+L565*战斗力计算!$B$8+M565*战斗力计算!$B$9+N565*战斗力计算!$B$10+O565*战斗力计算!$B$11+P565*战斗力计算!$B$12</f>
        <v>1469760</v>
      </c>
      <c r="X565" s="5">
        <f t="shared" si="214"/>
        <v>1714720</v>
      </c>
      <c r="AC565">
        <f t="shared" si="193"/>
        <v>4</v>
      </c>
      <c r="AD565">
        <f t="shared" si="194"/>
        <v>2</v>
      </c>
      <c r="AF565">
        <f t="shared" si="195"/>
        <v>0.75</v>
      </c>
      <c r="AH565">
        <f t="shared" si="196"/>
        <v>12</v>
      </c>
      <c r="AK565">
        <f t="shared" si="197"/>
        <v>6.0215827338129495</v>
      </c>
      <c r="AL565">
        <f t="shared" si="198"/>
        <v>1.5017985611510791</v>
      </c>
      <c r="AM565">
        <f t="shared" si="199"/>
        <v>1</v>
      </c>
      <c r="AN565">
        <f t="shared" si="200"/>
        <v>6.0215827338129495</v>
      </c>
      <c r="AO565">
        <f t="shared" si="201"/>
        <v>1.5017985611510791</v>
      </c>
      <c r="AP565">
        <f t="shared" si="202"/>
        <v>1</v>
      </c>
      <c r="AR565">
        <f t="shared" si="203"/>
        <v>4.497307001795332</v>
      </c>
      <c r="AT565">
        <f t="shared" si="204"/>
        <v>4.497307001795332</v>
      </c>
      <c r="AV565">
        <f t="shared" si="205"/>
        <v>5845</v>
      </c>
      <c r="AW565">
        <f t="shared" si="206"/>
        <v>10855</v>
      </c>
    </row>
    <row r="566" spans="1:49" x14ac:dyDescent="0.15">
      <c r="A566" s="5">
        <v>556</v>
      </c>
      <c r="B566" s="5">
        <f t="shared" si="192"/>
        <v>33540</v>
      </c>
      <c r="C566" s="5">
        <f t="shared" si="192"/>
        <v>8365</v>
      </c>
      <c r="D566" s="5">
        <f t="shared" si="192"/>
        <v>5570</v>
      </c>
      <c r="E566" s="5">
        <f t="shared" si="192"/>
        <v>1674</v>
      </c>
      <c r="F566" s="5">
        <f t="shared" si="192"/>
        <v>2232</v>
      </c>
      <c r="G566" s="5">
        <f t="shared" si="215"/>
        <v>134160</v>
      </c>
      <c r="H566" s="5">
        <f t="shared" si="215"/>
        <v>33460</v>
      </c>
      <c r="I566" s="5">
        <f t="shared" si="215"/>
        <v>22280</v>
      </c>
      <c r="J566" s="5">
        <f t="shared" si="215"/>
        <v>6696</v>
      </c>
      <c r="K566" s="5">
        <f t="shared" si="215"/>
        <v>8928</v>
      </c>
      <c r="L566" s="5">
        <f t="shared" si="216"/>
        <v>67080</v>
      </c>
      <c r="M566" s="5">
        <f t="shared" si="216"/>
        <v>16730</v>
      </c>
      <c r="N566" s="5">
        <f t="shared" si="216"/>
        <v>11140</v>
      </c>
      <c r="O566" s="5">
        <f t="shared" si="216"/>
        <v>3348</v>
      </c>
      <c r="P566" s="5">
        <f t="shared" si="216"/>
        <v>4464</v>
      </c>
      <c r="Q566" s="5">
        <f t="shared" si="209"/>
        <v>234780</v>
      </c>
      <c r="R566" s="5">
        <f t="shared" si="210"/>
        <v>58555</v>
      </c>
      <c r="S566" s="5">
        <f t="shared" si="211"/>
        <v>38990</v>
      </c>
      <c r="T566" s="5">
        <f t="shared" si="212"/>
        <v>11718</v>
      </c>
      <c r="U566" s="5">
        <f t="shared" si="213"/>
        <v>15624</v>
      </c>
      <c r="V566" s="5">
        <f>B566*战斗力计算!$B$8+C566*战斗力计算!$B$9+D566*战斗力计算!$B$10+E566*战斗力计算!$B$11+F566*战斗力计算!$B$12</f>
        <v>245400</v>
      </c>
      <c r="W566" s="5">
        <f>G566*战斗力计算!$B$8+H566*战斗力计算!$B$9+I566*战斗力计算!$B$10+J566*战斗力计算!$B$11+K566*战斗力计算!$B$12+L566*战斗力计算!$B$8+M566*战斗力计算!$B$9+N566*战斗力计算!$B$10+O566*战斗力计算!$B$11+P566*战斗力计算!$B$12</f>
        <v>1472400</v>
      </c>
      <c r="X566" s="5">
        <f t="shared" si="214"/>
        <v>1717800</v>
      </c>
      <c r="AC566">
        <f t="shared" si="193"/>
        <v>4</v>
      </c>
      <c r="AD566">
        <f t="shared" si="194"/>
        <v>2</v>
      </c>
      <c r="AF566">
        <f t="shared" si="195"/>
        <v>0.75</v>
      </c>
      <c r="AH566">
        <f t="shared" si="196"/>
        <v>12</v>
      </c>
      <c r="AK566">
        <f t="shared" si="197"/>
        <v>6.0215439856373427</v>
      </c>
      <c r="AL566">
        <f t="shared" si="198"/>
        <v>1.5017953321364452</v>
      </c>
      <c r="AM566">
        <f t="shared" si="199"/>
        <v>1</v>
      </c>
      <c r="AN566">
        <f t="shared" si="200"/>
        <v>6.0215439856373427</v>
      </c>
      <c r="AO566">
        <f t="shared" si="201"/>
        <v>1.5017953321364452</v>
      </c>
      <c r="AP566">
        <f t="shared" si="202"/>
        <v>1</v>
      </c>
      <c r="AR566">
        <f t="shared" si="203"/>
        <v>4.497311827956989</v>
      </c>
      <c r="AT566">
        <f t="shared" si="204"/>
        <v>4.497311827956989</v>
      </c>
      <c r="AV566">
        <f t="shared" si="205"/>
        <v>5855</v>
      </c>
      <c r="AW566">
        <f t="shared" si="206"/>
        <v>10874</v>
      </c>
    </row>
    <row r="567" spans="1:49" x14ac:dyDescent="0.15">
      <c r="A567" s="5">
        <v>557</v>
      </c>
      <c r="B567" s="5">
        <f t="shared" si="192"/>
        <v>33600</v>
      </c>
      <c r="C567" s="5">
        <f t="shared" si="192"/>
        <v>8380</v>
      </c>
      <c r="D567" s="5">
        <f t="shared" si="192"/>
        <v>5580</v>
      </c>
      <c r="E567" s="5">
        <f t="shared" si="192"/>
        <v>1677</v>
      </c>
      <c r="F567" s="5">
        <f t="shared" si="192"/>
        <v>2236</v>
      </c>
      <c r="G567" s="5">
        <f t="shared" si="215"/>
        <v>134400</v>
      </c>
      <c r="H567" s="5">
        <f t="shared" si="215"/>
        <v>33520</v>
      </c>
      <c r="I567" s="5">
        <f t="shared" si="215"/>
        <v>22320</v>
      </c>
      <c r="J567" s="5">
        <f t="shared" si="215"/>
        <v>6708</v>
      </c>
      <c r="K567" s="5">
        <f t="shared" si="215"/>
        <v>8944</v>
      </c>
      <c r="L567" s="5">
        <f t="shared" si="216"/>
        <v>67200</v>
      </c>
      <c r="M567" s="5">
        <f t="shared" si="216"/>
        <v>16760</v>
      </c>
      <c r="N567" s="5">
        <f t="shared" si="216"/>
        <v>11160</v>
      </c>
      <c r="O567" s="5">
        <f t="shared" si="216"/>
        <v>3354</v>
      </c>
      <c r="P567" s="5">
        <f t="shared" si="216"/>
        <v>4472</v>
      </c>
      <c r="Q567" s="5">
        <f t="shared" si="209"/>
        <v>235200</v>
      </c>
      <c r="R567" s="5">
        <f t="shared" si="210"/>
        <v>58660</v>
      </c>
      <c r="S567" s="5">
        <f t="shared" si="211"/>
        <v>39060</v>
      </c>
      <c r="T567" s="5">
        <f t="shared" si="212"/>
        <v>11739</v>
      </c>
      <c r="U567" s="5">
        <f t="shared" si="213"/>
        <v>15652</v>
      </c>
      <c r="V567" s="5">
        <f>B567*战斗力计算!$B$8+C567*战斗力计算!$B$9+D567*战斗力计算!$B$10+E567*战斗力计算!$B$11+F567*战斗力计算!$B$12</f>
        <v>245840</v>
      </c>
      <c r="W567" s="5">
        <f>G567*战斗力计算!$B$8+H567*战斗力计算!$B$9+I567*战斗力计算!$B$10+J567*战斗力计算!$B$11+K567*战斗力计算!$B$12+L567*战斗力计算!$B$8+M567*战斗力计算!$B$9+N567*战斗力计算!$B$10+O567*战斗力计算!$B$11+P567*战斗力计算!$B$12</f>
        <v>1475040</v>
      </c>
      <c r="X567" s="5">
        <f t="shared" si="214"/>
        <v>1720880</v>
      </c>
      <c r="AC567">
        <f t="shared" si="193"/>
        <v>4</v>
      </c>
      <c r="AD567">
        <f t="shared" si="194"/>
        <v>2</v>
      </c>
      <c r="AF567">
        <f t="shared" si="195"/>
        <v>0.75</v>
      </c>
      <c r="AH567">
        <f t="shared" si="196"/>
        <v>12</v>
      </c>
      <c r="AK567">
        <f t="shared" si="197"/>
        <v>6.021505376344086</v>
      </c>
      <c r="AL567">
        <f t="shared" si="198"/>
        <v>1.5017921146953406</v>
      </c>
      <c r="AM567">
        <f t="shared" si="199"/>
        <v>1</v>
      </c>
      <c r="AN567">
        <f t="shared" si="200"/>
        <v>6.021505376344086</v>
      </c>
      <c r="AO567">
        <f t="shared" si="201"/>
        <v>1.5017921146953406</v>
      </c>
      <c r="AP567">
        <f t="shared" si="202"/>
        <v>1</v>
      </c>
      <c r="AR567">
        <f t="shared" si="203"/>
        <v>4.4973166368515205</v>
      </c>
      <c r="AT567">
        <f t="shared" si="204"/>
        <v>4.4973166368515205</v>
      </c>
      <c r="AV567">
        <f t="shared" si="205"/>
        <v>5866</v>
      </c>
      <c r="AW567">
        <f t="shared" si="206"/>
        <v>10894</v>
      </c>
    </row>
    <row r="568" spans="1:49" x14ac:dyDescent="0.15">
      <c r="A568" s="5">
        <v>558</v>
      </c>
      <c r="B568" s="5">
        <f t="shared" si="192"/>
        <v>33660</v>
      </c>
      <c r="C568" s="5">
        <f t="shared" si="192"/>
        <v>8395</v>
      </c>
      <c r="D568" s="5">
        <f t="shared" si="192"/>
        <v>5590</v>
      </c>
      <c r="E568" s="5">
        <f t="shared" si="192"/>
        <v>1680</v>
      </c>
      <c r="F568" s="5">
        <f t="shared" si="192"/>
        <v>2240</v>
      </c>
      <c r="G568" s="5">
        <f t="shared" si="215"/>
        <v>134640</v>
      </c>
      <c r="H568" s="5">
        <f t="shared" si="215"/>
        <v>33580</v>
      </c>
      <c r="I568" s="5">
        <f t="shared" si="215"/>
        <v>22360</v>
      </c>
      <c r="J568" s="5">
        <f t="shared" si="215"/>
        <v>6720</v>
      </c>
      <c r="K568" s="5">
        <f t="shared" si="215"/>
        <v>8960</v>
      </c>
      <c r="L568" s="5">
        <f t="shared" si="216"/>
        <v>67320</v>
      </c>
      <c r="M568" s="5">
        <f t="shared" si="216"/>
        <v>16790</v>
      </c>
      <c r="N568" s="5">
        <f t="shared" si="216"/>
        <v>11180</v>
      </c>
      <c r="O568" s="5">
        <f t="shared" si="216"/>
        <v>3360</v>
      </c>
      <c r="P568" s="5">
        <f t="shared" si="216"/>
        <v>4480</v>
      </c>
      <c r="Q568" s="5">
        <f t="shared" si="209"/>
        <v>235620</v>
      </c>
      <c r="R568" s="5">
        <f t="shared" si="210"/>
        <v>58765</v>
      </c>
      <c r="S568" s="5">
        <f t="shared" si="211"/>
        <v>39130</v>
      </c>
      <c r="T568" s="5">
        <f t="shared" si="212"/>
        <v>11760</v>
      </c>
      <c r="U568" s="5">
        <f t="shared" si="213"/>
        <v>15680</v>
      </c>
      <c r="V568" s="5">
        <f>B568*战斗力计算!$B$8+C568*战斗力计算!$B$9+D568*战斗力计算!$B$10+E568*战斗力计算!$B$11+F568*战斗力计算!$B$12</f>
        <v>246280</v>
      </c>
      <c r="W568" s="5">
        <f>G568*战斗力计算!$B$8+H568*战斗力计算!$B$9+I568*战斗力计算!$B$10+J568*战斗力计算!$B$11+K568*战斗力计算!$B$12+L568*战斗力计算!$B$8+M568*战斗力计算!$B$9+N568*战斗力计算!$B$10+O568*战斗力计算!$B$11+P568*战斗力计算!$B$12</f>
        <v>1477680</v>
      </c>
      <c r="X568" s="5">
        <f t="shared" si="214"/>
        <v>1723960</v>
      </c>
      <c r="AC568">
        <f t="shared" si="193"/>
        <v>4</v>
      </c>
      <c r="AD568">
        <f t="shared" si="194"/>
        <v>2</v>
      </c>
      <c r="AF568">
        <f t="shared" si="195"/>
        <v>0.75</v>
      </c>
      <c r="AH568">
        <f t="shared" si="196"/>
        <v>12</v>
      </c>
      <c r="AK568">
        <f t="shared" si="197"/>
        <v>6.0214669051878351</v>
      </c>
      <c r="AL568">
        <f t="shared" si="198"/>
        <v>1.5017889087656529</v>
      </c>
      <c r="AM568">
        <f t="shared" si="199"/>
        <v>1</v>
      </c>
      <c r="AN568">
        <f t="shared" si="200"/>
        <v>6.0214669051878351</v>
      </c>
      <c r="AO568">
        <f t="shared" si="201"/>
        <v>1.5017889087656529</v>
      </c>
      <c r="AP568">
        <f t="shared" si="202"/>
        <v>1</v>
      </c>
      <c r="AR568">
        <f t="shared" si="203"/>
        <v>4.4973214285714285</v>
      </c>
      <c r="AT568">
        <f t="shared" si="204"/>
        <v>4.4973214285714285</v>
      </c>
      <c r="AV568">
        <f t="shared" si="205"/>
        <v>5876</v>
      </c>
      <c r="AW568">
        <f t="shared" si="206"/>
        <v>10913</v>
      </c>
    </row>
    <row r="569" spans="1:49" x14ac:dyDescent="0.15">
      <c r="A569" s="5">
        <v>559</v>
      </c>
      <c r="B569" s="5">
        <f t="shared" si="192"/>
        <v>33720</v>
      </c>
      <c r="C569" s="5">
        <f t="shared" si="192"/>
        <v>8410</v>
      </c>
      <c r="D569" s="5">
        <f t="shared" si="192"/>
        <v>5600</v>
      </c>
      <c r="E569" s="5">
        <f t="shared" si="192"/>
        <v>1683</v>
      </c>
      <c r="F569" s="5">
        <f t="shared" si="192"/>
        <v>2244</v>
      </c>
      <c r="G569" s="5">
        <f t="shared" si="215"/>
        <v>134880</v>
      </c>
      <c r="H569" s="5">
        <f t="shared" si="215"/>
        <v>33640</v>
      </c>
      <c r="I569" s="5">
        <f t="shared" si="215"/>
        <v>22400</v>
      </c>
      <c r="J569" s="5">
        <f t="shared" si="215"/>
        <v>6732</v>
      </c>
      <c r="K569" s="5">
        <f t="shared" si="215"/>
        <v>8976</v>
      </c>
      <c r="L569" s="5">
        <f t="shared" si="216"/>
        <v>67440</v>
      </c>
      <c r="M569" s="5">
        <f t="shared" si="216"/>
        <v>16820</v>
      </c>
      <c r="N569" s="5">
        <f t="shared" si="216"/>
        <v>11200</v>
      </c>
      <c r="O569" s="5">
        <f t="shared" si="216"/>
        <v>3366</v>
      </c>
      <c r="P569" s="5">
        <f t="shared" si="216"/>
        <v>4488</v>
      </c>
      <c r="Q569" s="5">
        <f t="shared" si="209"/>
        <v>236040</v>
      </c>
      <c r="R569" s="5">
        <f t="shared" si="210"/>
        <v>58870</v>
      </c>
      <c r="S569" s="5">
        <f t="shared" si="211"/>
        <v>39200</v>
      </c>
      <c r="T569" s="5">
        <f t="shared" si="212"/>
        <v>11781</v>
      </c>
      <c r="U569" s="5">
        <f t="shared" si="213"/>
        <v>15708</v>
      </c>
      <c r="V569" s="5">
        <f>B569*战斗力计算!$B$8+C569*战斗力计算!$B$9+D569*战斗力计算!$B$10+E569*战斗力计算!$B$11+F569*战斗力计算!$B$12</f>
        <v>246720</v>
      </c>
      <c r="W569" s="5">
        <f>G569*战斗力计算!$B$8+H569*战斗力计算!$B$9+I569*战斗力计算!$B$10+J569*战斗力计算!$B$11+K569*战斗力计算!$B$12+L569*战斗力计算!$B$8+M569*战斗力计算!$B$9+N569*战斗力计算!$B$10+O569*战斗力计算!$B$11+P569*战斗力计算!$B$12</f>
        <v>1480320</v>
      </c>
      <c r="X569" s="5">
        <f t="shared" si="214"/>
        <v>1727040</v>
      </c>
      <c r="AC569">
        <f t="shared" si="193"/>
        <v>4</v>
      </c>
      <c r="AD569">
        <f t="shared" si="194"/>
        <v>2</v>
      </c>
      <c r="AF569">
        <f t="shared" si="195"/>
        <v>0.75</v>
      </c>
      <c r="AH569">
        <f t="shared" si="196"/>
        <v>12</v>
      </c>
      <c r="AK569">
        <f t="shared" si="197"/>
        <v>6.0214285714285714</v>
      </c>
      <c r="AL569">
        <f t="shared" si="198"/>
        <v>1.5017857142857143</v>
      </c>
      <c r="AM569">
        <f t="shared" si="199"/>
        <v>1</v>
      </c>
      <c r="AN569">
        <f t="shared" si="200"/>
        <v>6.0214285714285714</v>
      </c>
      <c r="AO569">
        <f t="shared" si="201"/>
        <v>1.5017857142857143</v>
      </c>
      <c r="AP569">
        <f t="shared" si="202"/>
        <v>1</v>
      </c>
      <c r="AR569">
        <f t="shared" si="203"/>
        <v>4.4973262032085559</v>
      </c>
      <c r="AT569">
        <f t="shared" si="204"/>
        <v>4.4973262032085559</v>
      </c>
      <c r="AV569">
        <f t="shared" si="205"/>
        <v>5887</v>
      </c>
      <c r="AW569">
        <f t="shared" si="206"/>
        <v>10933</v>
      </c>
    </row>
    <row r="570" spans="1:49" x14ac:dyDescent="0.15">
      <c r="A570" s="5">
        <v>560</v>
      </c>
      <c r="B570" s="5">
        <f t="shared" si="192"/>
        <v>33780</v>
      </c>
      <c r="C570" s="5">
        <f t="shared" si="192"/>
        <v>8425</v>
      </c>
      <c r="D570" s="5">
        <f t="shared" si="192"/>
        <v>5610</v>
      </c>
      <c r="E570" s="5">
        <f t="shared" si="192"/>
        <v>1686</v>
      </c>
      <c r="F570" s="5">
        <f t="shared" si="192"/>
        <v>2248</v>
      </c>
      <c r="G570" s="5">
        <f t="shared" si="215"/>
        <v>135120</v>
      </c>
      <c r="H570" s="5">
        <f t="shared" si="215"/>
        <v>33700</v>
      </c>
      <c r="I570" s="5">
        <f t="shared" si="215"/>
        <v>22440</v>
      </c>
      <c r="J570" s="5">
        <f t="shared" si="215"/>
        <v>6744</v>
      </c>
      <c r="K570" s="5">
        <f t="shared" si="215"/>
        <v>8992</v>
      </c>
      <c r="L570" s="5">
        <f t="shared" si="216"/>
        <v>67560</v>
      </c>
      <c r="M570" s="5">
        <f t="shared" si="216"/>
        <v>16850</v>
      </c>
      <c r="N570" s="5">
        <f t="shared" si="216"/>
        <v>11220</v>
      </c>
      <c r="O570" s="5">
        <f t="shared" si="216"/>
        <v>3372</v>
      </c>
      <c r="P570" s="5">
        <f t="shared" si="216"/>
        <v>4496</v>
      </c>
      <c r="Q570" s="5">
        <f t="shared" si="209"/>
        <v>236460</v>
      </c>
      <c r="R570" s="5">
        <f t="shared" si="210"/>
        <v>58975</v>
      </c>
      <c r="S570" s="5">
        <f t="shared" si="211"/>
        <v>39270</v>
      </c>
      <c r="T570" s="5">
        <f t="shared" si="212"/>
        <v>11802</v>
      </c>
      <c r="U570" s="5">
        <f t="shared" si="213"/>
        <v>15736</v>
      </c>
      <c r="V570" s="5">
        <f>B570*战斗力计算!$B$8+C570*战斗力计算!$B$9+D570*战斗力计算!$B$10+E570*战斗力计算!$B$11+F570*战斗力计算!$B$12</f>
        <v>247160</v>
      </c>
      <c r="W570" s="5">
        <f>G570*战斗力计算!$B$8+H570*战斗力计算!$B$9+I570*战斗力计算!$B$10+J570*战斗力计算!$B$11+K570*战斗力计算!$B$12+L570*战斗力计算!$B$8+M570*战斗力计算!$B$9+N570*战斗力计算!$B$10+O570*战斗力计算!$B$11+P570*战斗力计算!$B$12</f>
        <v>1482960</v>
      </c>
      <c r="X570" s="5">
        <f t="shared" si="214"/>
        <v>1730120</v>
      </c>
      <c r="AC570">
        <f t="shared" si="193"/>
        <v>4</v>
      </c>
      <c r="AD570">
        <f t="shared" si="194"/>
        <v>2</v>
      </c>
      <c r="AF570">
        <f t="shared" si="195"/>
        <v>0.75</v>
      </c>
      <c r="AH570">
        <f t="shared" si="196"/>
        <v>12</v>
      </c>
      <c r="AK570">
        <f t="shared" si="197"/>
        <v>6.0213903743315509</v>
      </c>
      <c r="AL570">
        <f t="shared" si="198"/>
        <v>1.5017825311942958</v>
      </c>
      <c r="AM570">
        <f t="shared" si="199"/>
        <v>1</v>
      </c>
      <c r="AN570">
        <f t="shared" si="200"/>
        <v>6.0213903743315509</v>
      </c>
      <c r="AO570">
        <f t="shared" si="201"/>
        <v>1.5017825311942958</v>
      </c>
      <c r="AP570">
        <f t="shared" si="202"/>
        <v>1</v>
      </c>
      <c r="AR570">
        <f t="shared" si="203"/>
        <v>4.4973309608540921</v>
      </c>
      <c r="AT570">
        <f t="shared" si="204"/>
        <v>4.4973309608540921</v>
      </c>
      <c r="AV570">
        <f t="shared" si="205"/>
        <v>5897</v>
      </c>
      <c r="AW570">
        <f t="shared" si="206"/>
        <v>10952</v>
      </c>
    </row>
    <row r="571" spans="1:49" x14ac:dyDescent="0.15">
      <c r="A571" s="5">
        <v>561</v>
      </c>
      <c r="B571" s="5">
        <f t="shared" si="192"/>
        <v>33840</v>
      </c>
      <c r="C571" s="5">
        <f t="shared" si="192"/>
        <v>8440</v>
      </c>
      <c r="D571" s="5">
        <f t="shared" si="192"/>
        <v>5620</v>
      </c>
      <c r="E571" s="5">
        <f t="shared" si="192"/>
        <v>1689</v>
      </c>
      <c r="F571" s="5">
        <f t="shared" ref="C571:F610" si="217">INT(VLOOKUP(F$10,$A$2:$C$7,2,0)+($A571-1)*VLOOKUP(F$10,$A$2:$C$7,3,0))</f>
        <v>2252</v>
      </c>
      <c r="G571" s="5">
        <f t="shared" si="215"/>
        <v>135360</v>
      </c>
      <c r="H571" s="5">
        <f t="shared" si="215"/>
        <v>33760</v>
      </c>
      <c r="I571" s="5">
        <f t="shared" si="215"/>
        <v>22480</v>
      </c>
      <c r="J571" s="5">
        <f t="shared" si="215"/>
        <v>6756</v>
      </c>
      <c r="K571" s="5">
        <f t="shared" si="215"/>
        <v>9008</v>
      </c>
      <c r="L571" s="5">
        <f t="shared" si="216"/>
        <v>67680</v>
      </c>
      <c r="M571" s="5">
        <f t="shared" si="216"/>
        <v>16880</v>
      </c>
      <c r="N571" s="5">
        <f t="shared" si="216"/>
        <v>11240</v>
      </c>
      <c r="O571" s="5">
        <f t="shared" si="216"/>
        <v>3378</v>
      </c>
      <c r="P571" s="5">
        <f t="shared" si="216"/>
        <v>4504</v>
      </c>
      <c r="Q571" s="5">
        <f t="shared" si="209"/>
        <v>236880</v>
      </c>
      <c r="R571" s="5">
        <f t="shared" si="210"/>
        <v>59080</v>
      </c>
      <c r="S571" s="5">
        <f t="shared" si="211"/>
        <v>39340</v>
      </c>
      <c r="T571" s="5">
        <f t="shared" si="212"/>
        <v>11823</v>
      </c>
      <c r="U571" s="5">
        <f t="shared" si="213"/>
        <v>15764</v>
      </c>
      <c r="V571" s="5">
        <f>B571*战斗力计算!$B$8+C571*战斗力计算!$B$9+D571*战斗力计算!$B$10+E571*战斗力计算!$B$11+F571*战斗力计算!$B$12</f>
        <v>247600</v>
      </c>
      <c r="W571" s="5">
        <f>G571*战斗力计算!$B$8+H571*战斗力计算!$B$9+I571*战斗力计算!$B$10+J571*战斗力计算!$B$11+K571*战斗力计算!$B$12+L571*战斗力计算!$B$8+M571*战斗力计算!$B$9+N571*战斗力计算!$B$10+O571*战斗力计算!$B$11+P571*战斗力计算!$B$12</f>
        <v>1485600</v>
      </c>
      <c r="X571" s="5">
        <f t="shared" si="214"/>
        <v>1733200</v>
      </c>
      <c r="AC571">
        <f t="shared" si="193"/>
        <v>4</v>
      </c>
      <c r="AD571">
        <f t="shared" si="194"/>
        <v>2</v>
      </c>
      <c r="AF571">
        <f t="shared" si="195"/>
        <v>0.75</v>
      </c>
      <c r="AH571">
        <f t="shared" si="196"/>
        <v>12</v>
      </c>
      <c r="AK571">
        <f t="shared" si="197"/>
        <v>6.0213523131672595</v>
      </c>
      <c r="AL571">
        <f t="shared" si="198"/>
        <v>1.501779359430605</v>
      </c>
      <c r="AM571">
        <f t="shared" si="199"/>
        <v>1</v>
      </c>
      <c r="AN571">
        <f t="shared" si="200"/>
        <v>6.0213523131672595</v>
      </c>
      <c r="AO571">
        <f t="shared" si="201"/>
        <v>1.501779359430605</v>
      </c>
      <c r="AP571">
        <f t="shared" si="202"/>
        <v>1</v>
      </c>
      <c r="AR571">
        <f t="shared" si="203"/>
        <v>4.4973357015985789</v>
      </c>
      <c r="AT571">
        <f t="shared" si="204"/>
        <v>4.4973357015985789</v>
      </c>
      <c r="AV571">
        <f t="shared" si="205"/>
        <v>5908</v>
      </c>
      <c r="AW571">
        <f t="shared" si="206"/>
        <v>10972</v>
      </c>
    </row>
    <row r="572" spans="1:49" x14ac:dyDescent="0.15">
      <c r="A572" s="5">
        <v>562</v>
      </c>
      <c r="B572" s="5">
        <f t="shared" si="192"/>
        <v>33900</v>
      </c>
      <c r="C572" s="5">
        <f t="shared" si="217"/>
        <v>8455</v>
      </c>
      <c r="D572" s="5">
        <f t="shared" si="217"/>
        <v>5630</v>
      </c>
      <c r="E572" s="5">
        <f t="shared" si="217"/>
        <v>1692</v>
      </c>
      <c r="F572" s="5">
        <f t="shared" si="217"/>
        <v>2256</v>
      </c>
      <c r="G572" s="5">
        <f t="shared" si="215"/>
        <v>135600</v>
      </c>
      <c r="H572" s="5">
        <f t="shared" si="215"/>
        <v>33820</v>
      </c>
      <c r="I572" s="5">
        <f t="shared" si="215"/>
        <v>22520</v>
      </c>
      <c r="J572" s="5">
        <f t="shared" si="215"/>
        <v>6768</v>
      </c>
      <c r="K572" s="5">
        <f t="shared" si="215"/>
        <v>9024</v>
      </c>
      <c r="L572" s="5">
        <f t="shared" si="216"/>
        <v>67800</v>
      </c>
      <c r="M572" s="5">
        <f t="shared" si="216"/>
        <v>16910</v>
      </c>
      <c r="N572" s="5">
        <f t="shared" si="216"/>
        <v>11260</v>
      </c>
      <c r="O572" s="5">
        <f t="shared" si="216"/>
        <v>3384</v>
      </c>
      <c r="P572" s="5">
        <f t="shared" si="216"/>
        <v>4512</v>
      </c>
      <c r="Q572" s="5">
        <f t="shared" si="209"/>
        <v>237300</v>
      </c>
      <c r="R572" s="5">
        <f t="shared" si="210"/>
        <v>59185</v>
      </c>
      <c r="S572" s="5">
        <f t="shared" si="211"/>
        <v>39410</v>
      </c>
      <c r="T572" s="5">
        <f t="shared" si="212"/>
        <v>11844</v>
      </c>
      <c r="U572" s="5">
        <f t="shared" si="213"/>
        <v>15792</v>
      </c>
      <c r="V572" s="5">
        <f>B572*战斗力计算!$B$8+C572*战斗力计算!$B$9+D572*战斗力计算!$B$10+E572*战斗力计算!$B$11+F572*战斗力计算!$B$12</f>
        <v>248040</v>
      </c>
      <c r="W572" s="5">
        <f>G572*战斗力计算!$B$8+H572*战斗力计算!$B$9+I572*战斗力计算!$B$10+J572*战斗力计算!$B$11+K572*战斗力计算!$B$12+L572*战斗力计算!$B$8+M572*战斗力计算!$B$9+N572*战斗力计算!$B$10+O572*战斗力计算!$B$11+P572*战斗力计算!$B$12</f>
        <v>1488240</v>
      </c>
      <c r="X572" s="5">
        <f t="shared" si="214"/>
        <v>1736280</v>
      </c>
      <c r="AC572">
        <f t="shared" si="193"/>
        <v>4</v>
      </c>
      <c r="AD572">
        <f t="shared" si="194"/>
        <v>2</v>
      </c>
      <c r="AF572">
        <f t="shared" si="195"/>
        <v>0.75</v>
      </c>
      <c r="AH572">
        <f t="shared" si="196"/>
        <v>12</v>
      </c>
      <c r="AK572">
        <f t="shared" si="197"/>
        <v>6.0213143872113672</v>
      </c>
      <c r="AL572">
        <f t="shared" si="198"/>
        <v>1.5017761989342806</v>
      </c>
      <c r="AM572">
        <f t="shared" si="199"/>
        <v>1</v>
      </c>
      <c r="AN572">
        <f t="shared" si="200"/>
        <v>6.0213143872113672</v>
      </c>
      <c r="AO572">
        <f t="shared" si="201"/>
        <v>1.5017761989342806</v>
      </c>
      <c r="AP572">
        <f t="shared" si="202"/>
        <v>1</v>
      </c>
      <c r="AR572">
        <f t="shared" si="203"/>
        <v>4.4973404255319149</v>
      </c>
      <c r="AT572">
        <f t="shared" si="204"/>
        <v>4.4973404255319149</v>
      </c>
      <c r="AV572">
        <f t="shared" si="205"/>
        <v>5918</v>
      </c>
      <c r="AW572">
        <f t="shared" si="206"/>
        <v>10991</v>
      </c>
    </row>
    <row r="573" spans="1:49" x14ac:dyDescent="0.15">
      <c r="A573" s="5">
        <v>563</v>
      </c>
      <c r="B573" s="5">
        <f t="shared" si="192"/>
        <v>33960</v>
      </c>
      <c r="C573" s="5">
        <f t="shared" si="217"/>
        <v>8470</v>
      </c>
      <c r="D573" s="5">
        <f t="shared" si="217"/>
        <v>5640</v>
      </c>
      <c r="E573" s="5">
        <f t="shared" si="217"/>
        <v>1695</v>
      </c>
      <c r="F573" s="5">
        <f t="shared" si="217"/>
        <v>2260</v>
      </c>
      <c r="G573" s="5">
        <f t="shared" si="215"/>
        <v>135840</v>
      </c>
      <c r="H573" s="5">
        <f t="shared" si="215"/>
        <v>33880</v>
      </c>
      <c r="I573" s="5">
        <f t="shared" si="215"/>
        <v>22560</v>
      </c>
      <c r="J573" s="5">
        <f t="shared" si="215"/>
        <v>6780</v>
      </c>
      <c r="K573" s="5">
        <f t="shared" si="215"/>
        <v>9040</v>
      </c>
      <c r="L573" s="5">
        <f t="shared" si="216"/>
        <v>67920</v>
      </c>
      <c r="M573" s="5">
        <f t="shared" si="216"/>
        <v>16940</v>
      </c>
      <c r="N573" s="5">
        <f t="shared" si="216"/>
        <v>11280</v>
      </c>
      <c r="O573" s="5">
        <f t="shared" si="216"/>
        <v>3390</v>
      </c>
      <c r="P573" s="5">
        <f t="shared" si="216"/>
        <v>4520</v>
      </c>
      <c r="Q573" s="5">
        <f t="shared" si="209"/>
        <v>237720</v>
      </c>
      <c r="R573" s="5">
        <f t="shared" si="210"/>
        <v>59290</v>
      </c>
      <c r="S573" s="5">
        <f t="shared" si="211"/>
        <v>39480</v>
      </c>
      <c r="T573" s="5">
        <f t="shared" si="212"/>
        <v>11865</v>
      </c>
      <c r="U573" s="5">
        <f t="shared" si="213"/>
        <v>15820</v>
      </c>
      <c r="V573" s="5">
        <f>B573*战斗力计算!$B$8+C573*战斗力计算!$B$9+D573*战斗力计算!$B$10+E573*战斗力计算!$B$11+F573*战斗力计算!$B$12</f>
        <v>248480</v>
      </c>
      <c r="W573" s="5">
        <f>G573*战斗力计算!$B$8+H573*战斗力计算!$B$9+I573*战斗力计算!$B$10+J573*战斗力计算!$B$11+K573*战斗力计算!$B$12+L573*战斗力计算!$B$8+M573*战斗力计算!$B$9+N573*战斗力计算!$B$10+O573*战斗力计算!$B$11+P573*战斗力计算!$B$12</f>
        <v>1490880</v>
      </c>
      <c r="X573" s="5">
        <f t="shared" si="214"/>
        <v>1739360</v>
      </c>
      <c r="AC573">
        <f t="shared" si="193"/>
        <v>4</v>
      </c>
      <c r="AD573">
        <f t="shared" si="194"/>
        <v>2</v>
      </c>
      <c r="AF573">
        <f t="shared" si="195"/>
        <v>0.75</v>
      </c>
      <c r="AH573">
        <f t="shared" si="196"/>
        <v>12</v>
      </c>
      <c r="AK573">
        <f t="shared" si="197"/>
        <v>6.0212765957446805</v>
      </c>
      <c r="AL573">
        <f t="shared" si="198"/>
        <v>1.50177304964539</v>
      </c>
      <c r="AM573">
        <f t="shared" si="199"/>
        <v>1</v>
      </c>
      <c r="AN573">
        <f t="shared" si="200"/>
        <v>6.0212765957446805</v>
      </c>
      <c r="AO573">
        <f t="shared" si="201"/>
        <v>1.50177304964539</v>
      </c>
      <c r="AP573">
        <f t="shared" si="202"/>
        <v>1</v>
      </c>
      <c r="AR573">
        <f t="shared" si="203"/>
        <v>4.4973451327433631</v>
      </c>
      <c r="AT573">
        <f t="shared" si="204"/>
        <v>4.4973451327433631</v>
      </c>
      <c r="AV573">
        <f t="shared" si="205"/>
        <v>5929</v>
      </c>
      <c r="AW573">
        <f t="shared" si="206"/>
        <v>11011</v>
      </c>
    </row>
    <row r="574" spans="1:49" x14ac:dyDescent="0.15">
      <c r="A574" s="5">
        <v>564</v>
      </c>
      <c r="B574" s="5">
        <f t="shared" si="192"/>
        <v>34020</v>
      </c>
      <c r="C574" s="5">
        <f t="shared" si="217"/>
        <v>8485</v>
      </c>
      <c r="D574" s="5">
        <f t="shared" si="217"/>
        <v>5650</v>
      </c>
      <c r="E574" s="5">
        <f t="shared" si="217"/>
        <v>1698</v>
      </c>
      <c r="F574" s="5">
        <f t="shared" si="217"/>
        <v>2264</v>
      </c>
      <c r="G574" s="5">
        <f t="shared" si="215"/>
        <v>136080</v>
      </c>
      <c r="H574" s="5">
        <f t="shared" si="215"/>
        <v>33940</v>
      </c>
      <c r="I574" s="5">
        <f t="shared" si="215"/>
        <v>22600</v>
      </c>
      <c r="J574" s="5">
        <f t="shared" si="215"/>
        <v>6792</v>
      </c>
      <c r="K574" s="5">
        <f t="shared" si="215"/>
        <v>9056</v>
      </c>
      <c r="L574" s="5">
        <f t="shared" si="216"/>
        <v>68040</v>
      </c>
      <c r="M574" s="5">
        <f t="shared" si="216"/>
        <v>16970</v>
      </c>
      <c r="N574" s="5">
        <f t="shared" si="216"/>
        <v>11300</v>
      </c>
      <c r="O574" s="5">
        <f t="shared" si="216"/>
        <v>3396</v>
      </c>
      <c r="P574" s="5">
        <f t="shared" si="216"/>
        <v>4528</v>
      </c>
      <c r="Q574" s="5">
        <f t="shared" si="209"/>
        <v>238140</v>
      </c>
      <c r="R574" s="5">
        <f t="shared" si="210"/>
        <v>59395</v>
      </c>
      <c r="S574" s="5">
        <f t="shared" si="211"/>
        <v>39550</v>
      </c>
      <c r="T574" s="5">
        <f t="shared" si="212"/>
        <v>11886</v>
      </c>
      <c r="U574" s="5">
        <f t="shared" si="213"/>
        <v>15848</v>
      </c>
      <c r="V574" s="5">
        <f>B574*战斗力计算!$B$8+C574*战斗力计算!$B$9+D574*战斗力计算!$B$10+E574*战斗力计算!$B$11+F574*战斗力计算!$B$12</f>
        <v>248920</v>
      </c>
      <c r="W574" s="5">
        <f>G574*战斗力计算!$B$8+H574*战斗力计算!$B$9+I574*战斗力计算!$B$10+J574*战斗力计算!$B$11+K574*战斗力计算!$B$12+L574*战斗力计算!$B$8+M574*战斗力计算!$B$9+N574*战斗力计算!$B$10+O574*战斗力计算!$B$11+P574*战斗力计算!$B$12</f>
        <v>1493520</v>
      </c>
      <c r="X574" s="5">
        <f t="shared" si="214"/>
        <v>1742440</v>
      </c>
      <c r="AC574">
        <f t="shared" si="193"/>
        <v>4</v>
      </c>
      <c r="AD574">
        <f t="shared" si="194"/>
        <v>2</v>
      </c>
      <c r="AF574">
        <f t="shared" si="195"/>
        <v>0.75</v>
      </c>
      <c r="AH574">
        <f t="shared" si="196"/>
        <v>12</v>
      </c>
      <c r="AK574">
        <f t="shared" si="197"/>
        <v>6.0212389380530977</v>
      </c>
      <c r="AL574">
        <f t="shared" si="198"/>
        <v>1.5017699115044247</v>
      </c>
      <c r="AM574">
        <f t="shared" si="199"/>
        <v>1</v>
      </c>
      <c r="AN574">
        <f t="shared" si="200"/>
        <v>6.0212389380530977</v>
      </c>
      <c r="AO574">
        <f t="shared" si="201"/>
        <v>1.5017699115044247</v>
      </c>
      <c r="AP574">
        <f t="shared" si="202"/>
        <v>1</v>
      </c>
      <c r="AR574">
        <f t="shared" si="203"/>
        <v>4.4973498233215548</v>
      </c>
      <c r="AT574">
        <f t="shared" si="204"/>
        <v>4.4973498233215548</v>
      </c>
      <c r="AV574">
        <f t="shared" si="205"/>
        <v>5939</v>
      </c>
      <c r="AW574">
        <f t="shared" si="206"/>
        <v>11030</v>
      </c>
    </row>
    <row r="575" spans="1:49" x14ac:dyDescent="0.15">
      <c r="A575" s="5">
        <v>565</v>
      </c>
      <c r="B575" s="5">
        <f t="shared" si="192"/>
        <v>34080</v>
      </c>
      <c r="C575" s="5">
        <f t="shared" si="217"/>
        <v>8500</v>
      </c>
      <c r="D575" s="5">
        <f t="shared" si="217"/>
        <v>5660</v>
      </c>
      <c r="E575" s="5">
        <f t="shared" si="217"/>
        <v>1701</v>
      </c>
      <c r="F575" s="5">
        <f t="shared" si="217"/>
        <v>2268</v>
      </c>
      <c r="G575" s="5">
        <f t="shared" si="215"/>
        <v>136320</v>
      </c>
      <c r="H575" s="5">
        <f t="shared" si="215"/>
        <v>34000</v>
      </c>
      <c r="I575" s="5">
        <f t="shared" si="215"/>
        <v>22640</v>
      </c>
      <c r="J575" s="5">
        <f t="shared" si="215"/>
        <v>6804</v>
      </c>
      <c r="K575" s="5">
        <f t="shared" si="215"/>
        <v>9072</v>
      </c>
      <c r="L575" s="5">
        <f t="shared" si="216"/>
        <v>68160</v>
      </c>
      <c r="M575" s="5">
        <f t="shared" si="216"/>
        <v>17000</v>
      </c>
      <c r="N575" s="5">
        <f t="shared" si="216"/>
        <v>11320</v>
      </c>
      <c r="O575" s="5">
        <f t="shared" si="216"/>
        <v>3402</v>
      </c>
      <c r="P575" s="5">
        <f t="shared" si="216"/>
        <v>4536</v>
      </c>
      <c r="Q575" s="5">
        <f t="shared" si="209"/>
        <v>238560</v>
      </c>
      <c r="R575" s="5">
        <f t="shared" si="210"/>
        <v>59500</v>
      </c>
      <c r="S575" s="5">
        <f t="shared" si="211"/>
        <v>39620</v>
      </c>
      <c r="T575" s="5">
        <f t="shared" si="212"/>
        <v>11907</v>
      </c>
      <c r="U575" s="5">
        <f t="shared" si="213"/>
        <v>15876</v>
      </c>
      <c r="V575" s="5">
        <f>B575*战斗力计算!$B$8+C575*战斗力计算!$B$9+D575*战斗力计算!$B$10+E575*战斗力计算!$B$11+F575*战斗力计算!$B$12</f>
        <v>249360</v>
      </c>
      <c r="W575" s="5">
        <f>G575*战斗力计算!$B$8+H575*战斗力计算!$B$9+I575*战斗力计算!$B$10+J575*战斗力计算!$B$11+K575*战斗力计算!$B$12+L575*战斗力计算!$B$8+M575*战斗力计算!$B$9+N575*战斗力计算!$B$10+O575*战斗力计算!$B$11+P575*战斗力计算!$B$12</f>
        <v>1496160</v>
      </c>
      <c r="X575" s="5">
        <f t="shared" si="214"/>
        <v>1745520</v>
      </c>
      <c r="AC575">
        <f t="shared" si="193"/>
        <v>4</v>
      </c>
      <c r="AD575">
        <f t="shared" si="194"/>
        <v>2</v>
      </c>
      <c r="AF575">
        <f t="shared" si="195"/>
        <v>0.75</v>
      </c>
      <c r="AH575">
        <f t="shared" si="196"/>
        <v>12</v>
      </c>
      <c r="AK575">
        <f t="shared" si="197"/>
        <v>6.021201413427562</v>
      </c>
      <c r="AL575">
        <f t="shared" si="198"/>
        <v>1.5017667844522968</v>
      </c>
      <c r="AM575">
        <f t="shared" si="199"/>
        <v>1</v>
      </c>
      <c r="AN575">
        <f t="shared" si="200"/>
        <v>6.021201413427562</v>
      </c>
      <c r="AO575">
        <f t="shared" si="201"/>
        <v>1.5017667844522968</v>
      </c>
      <c r="AP575">
        <f t="shared" si="202"/>
        <v>1</v>
      </c>
      <c r="AR575">
        <f t="shared" si="203"/>
        <v>4.4973544973544977</v>
      </c>
      <c r="AT575">
        <f t="shared" si="204"/>
        <v>4.4973544973544977</v>
      </c>
      <c r="AV575">
        <f t="shared" si="205"/>
        <v>5950</v>
      </c>
      <c r="AW575">
        <f t="shared" si="206"/>
        <v>11050</v>
      </c>
    </row>
    <row r="576" spans="1:49" x14ac:dyDescent="0.15">
      <c r="A576" s="5">
        <v>566</v>
      </c>
      <c r="B576" s="5">
        <f t="shared" si="192"/>
        <v>34140</v>
      </c>
      <c r="C576" s="5">
        <f t="shared" si="217"/>
        <v>8515</v>
      </c>
      <c r="D576" s="5">
        <f t="shared" si="217"/>
        <v>5670</v>
      </c>
      <c r="E576" s="5">
        <f t="shared" si="217"/>
        <v>1704</v>
      </c>
      <c r="F576" s="5">
        <f t="shared" si="217"/>
        <v>2272</v>
      </c>
      <c r="G576" s="5">
        <f t="shared" si="215"/>
        <v>136560</v>
      </c>
      <c r="H576" s="5">
        <f t="shared" si="215"/>
        <v>34060</v>
      </c>
      <c r="I576" s="5">
        <f t="shared" si="215"/>
        <v>22680</v>
      </c>
      <c r="J576" s="5">
        <f t="shared" si="215"/>
        <v>6816</v>
      </c>
      <c r="K576" s="5">
        <f t="shared" si="215"/>
        <v>9088</v>
      </c>
      <c r="L576" s="5">
        <f t="shared" si="216"/>
        <v>68280</v>
      </c>
      <c r="M576" s="5">
        <f t="shared" si="216"/>
        <v>17030</v>
      </c>
      <c r="N576" s="5">
        <f t="shared" si="216"/>
        <v>11340</v>
      </c>
      <c r="O576" s="5">
        <f t="shared" si="216"/>
        <v>3408</v>
      </c>
      <c r="P576" s="5">
        <f t="shared" si="216"/>
        <v>4544</v>
      </c>
      <c r="Q576" s="5">
        <f t="shared" si="209"/>
        <v>238980</v>
      </c>
      <c r="R576" s="5">
        <f t="shared" si="210"/>
        <v>59605</v>
      </c>
      <c r="S576" s="5">
        <f t="shared" si="211"/>
        <v>39690</v>
      </c>
      <c r="T576" s="5">
        <f t="shared" si="212"/>
        <v>11928</v>
      </c>
      <c r="U576" s="5">
        <f t="shared" si="213"/>
        <v>15904</v>
      </c>
      <c r="V576" s="5">
        <f>B576*战斗力计算!$B$8+C576*战斗力计算!$B$9+D576*战斗力计算!$B$10+E576*战斗力计算!$B$11+F576*战斗力计算!$B$12</f>
        <v>249800</v>
      </c>
      <c r="W576" s="5">
        <f>G576*战斗力计算!$B$8+H576*战斗力计算!$B$9+I576*战斗力计算!$B$10+J576*战斗力计算!$B$11+K576*战斗力计算!$B$12+L576*战斗力计算!$B$8+M576*战斗力计算!$B$9+N576*战斗力计算!$B$10+O576*战斗力计算!$B$11+P576*战斗力计算!$B$12</f>
        <v>1498800</v>
      </c>
      <c r="X576" s="5">
        <f t="shared" si="214"/>
        <v>1748600</v>
      </c>
      <c r="AC576">
        <f t="shared" si="193"/>
        <v>4</v>
      </c>
      <c r="AD576">
        <f t="shared" si="194"/>
        <v>2</v>
      </c>
      <c r="AF576">
        <f t="shared" si="195"/>
        <v>0.75</v>
      </c>
      <c r="AH576">
        <f t="shared" si="196"/>
        <v>12</v>
      </c>
      <c r="AK576">
        <f t="shared" si="197"/>
        <v>6.0211640211640214</v>
      </c>
      <c r="AL576">
        <f t="shared" si="198"/>
        <v>1.501763668430335</v>
      </c>
      <c r="AM576">
        <f t="shared" si="199"/>
        <v>1</v>
      </c>
      <c r="AN576">
        <f t="shared" si="200"/>
        <v>6.0211640211640214</v>
      </c>
      <c r="AO576">
        <f t="shared" si="201"/>
        <v>1.501763668430335</v>
      </c>
      <c r="AP576">
        <f t="shared" si="202"/>
        <v>1</v>
      </c>
      <c r="AR576">
        <f t="shared" si="203"/>
        <v>4.4973591549295771</v>
      </c>
      <c r="AT576">
        <f t="shared" si="204"/>
        <v>4.4973591549295771</v>
      </c>
      <c r="AV576">
        <f t="shared" si="205"/>
        <v>5960</v>
      </c>
      <c r="AW576">
        <f t="shared" si="206"/>
        <v>11069</v>
      </c>
    </row>
    <row r="577" spans="1:49" x14ac:dyDescent="0.15">
      <c r="A577" s="5">
        <v>567</v>
      </c>
      <c r="B577" s="5">
        <f t="shared" si="192"/>
        <v>34200</v>
      </c>
      <c r="C577" s="5">
        <f t="shared" si="217"/>
        <v>8530</v>
      </c>
      <c r="D577" s="5">
        <f t="shared" si="217"/>
        <v>5680</v>
      </c>
      <c r="E577" s="5">
        <f t="shared" si="217"/>
        <v>1707</v>
      </c>
      <c r="F577" s="5">
        <f t="shared" si="217"/>
        <v>2276</v>
      </c>
      <c r="G577" s="5">
        <f t="shared" si="215"/>
        <v>136800</v>
      </c>
      <c r="H577" s="5">
        <f t="shared" si="215"/>
        <v>34120</v>
      </c>
      <c r="I577" s="5">
        <f t="shared" si="215"/>
        <v>22720</v>
      </c>
      <c r="J577" s="5">
        <f t="shared" si="215"/>
        <v>6828</v>
      </c>
      <c r="K577" s="5">
        <f t="shared" si="215"/>
        <v>9104</v>
      </c>
      <c r="L577" s="5">
        <f t="shared" si="216"/>
        <v>68400</v>
      </c>
      <c r="M577" s="5">
        <f t="shared" si="216"/>
        <v>17060</v>
      </c>
      <c r="N577" s="5">
        <f t="shared" si="216"/>
        <v>11360</v>
      </c>
      <c r="O577" s="5">
        <f t="shared" si="216"/>
        <v>3414</v>
      </c>
      <c r="P577" s="5">
        <f t="shared" si="216"/>
        <v>4552</v>
      </c>
      <c r="Q577" s="5">
        <f t="shared" si="209"/>
        <v>239400</v>
      </c>
      <c r="R577" s="5">
        <f t="shared" si="210"/>
        <v>59710</v>
      </c>
      <c r="S577" s="5">
        <f t="shared" si="211"/>
        <v>39760</v>
      </c>
      <c r="T577" s="5">
        <f t="shared" si="212"/>
        <v>11949</v>
      </c>
      <c r="U577" s="5">
        <f t="shared" si="213"/>
        <v>15932</v>
      </c>
      <c r="V577" s="5">
        <f>B577*战斗力计算!$B$8+C577*战斗力计算!$B$9+D577*战斗力计算!$B$10+E577*战斗力计算!$B$11+F577*战斗力计算!$B$12</f>
        <v>250240</v>
      </c>
      <c r="W577" s="5">
        <f>G577*战斗力计算!$B$8+H577*战斗力计算!$B$9+I577*战斗力计算!$B$10+J577*战斗力计算!$B$11+K577*战斗力计算!$B$12+L577*战斗力计算!$B$8+M577*战斗力计算!$B$9+N577*战斗力计算!$B$10+O577*战斗力计算!$B$11+P577*战斗力计算!$B$12</f>
        <v>1501440</v>
      </c>
      <c r="X577" s="5">
        <f t="shared" si="214"/>
        <v>1751680</v>
      </c>
      <c r="AC577">
        <f t="shared" si="193"/>
        <v>4</v>
      </c>
      <c r="AD577">
        <f t="shared" si="194"/>
        <v>2</v>
      </c>
      <c r="AF577">
        <f t="shared" si="195"/>
        <v>0.75</v>
      </c>
      <c r="AH577">
        <f t="shared" si="196"/>
        <v>12</v>
      </c>
      <c r="AK577">
        <f t="shared" si="197"/>
        <v>6.02112676056338</v>
      </c>
      <c r="AL577">
        <f t="shared" si="198"/>
        <v>1.5017605633802817</v>
      </c>
      <c r="AM577">
        <f t="shared" si="199"/>
        <v>1</v>
      </c>
      <c r="AN577">
        <f t="shared" si="200"/>
        <v>6.02112676056338</v>
      </c>
      <c r="AO577">
        <f t="shared" si="201"/>
        <v>1.5017605633802817</v>
      </c>
      <c r="AP577">
        <f t="shared" si="202"/>
        <v>1</v>
      </c>
      <c r="AR577">
        <f t="shared" si="203"/>
        <v>4.497363796133568</v>
      </c>
      <c r="AT577">
        <f t="shared" si="204"/>
        <v>4.497363796133568</v>
      </c>
      <c r="AV577">
        <f t="shared" si="205"/>
        <v>5971</v>
      </c>
      <c r="AW577">
        <f t="shared" si="206"/>
        <v>11089</v>
      </c>
    </row>
    <row r="578" spans="1:49" x14ac:dyDescent="0.15">
      <c r="A578" s="5">
        <v>568</v>
      </c>
      <c r="B578" s="5">
        <f t="shared" si="192"/>
        <v>34260</v>
      </c>
      <c r="C578" s="5">
        <f t="shared" si="217"/>
        <v>8545</v>
      </c>
      <c r="D578" s="5">
        <f t="shared" si="217"/>
        <v>5690</v>
      </c>
      <c r="E578" s="5">
        <f t="shared" si="217"/>
        <v>1710</v>
      </c>
      <c r="F578" s="5">
        <f t="shared" si="217"/>
        <v>2280</v>
      </c>
      <c r="G578" s="5">
        <f t="shared" si="215"/>
        <v>137040</v>
      </c>
      <c r="H578" s="5">
        <f t="shared" si="215"/>
        <v>34180</v>
      </c>
      <c r="I578" s="5">
        <f t="shared" si="215"/>
        <v>22760</v>
      </c>
      <c r="J578" s="5">
        <f t="shared" si="215"/>
        <v>6840</v>
      </c>
      <c r="K578" s="5">
        <f t="shared" si="215"/>
        <v>9120</v>
      </c>
      <c r="L578" s="5">
        <f t="shared" si="216"/>
        <v>68520</v>
      </c>
      <c r="M578" s="5">
        <f t="shared" si="216"/>
        <v>17090</v>
      </c>
      <c r="N578" s="5">
        <f t="shared" si="216"/>
        <v>11380</v>
      </c>
      <c r="O578" s="5">
        <f t="shared" si="216"/>
        <v>3420</v>
      </c>
      <c r="P578" s="5">
        <f t="shared" si="216"/>
        <v>4560</v>
      </c>
      <c r="Q578" s="5">
        <f t="shared" si="209"/>
        <v>239820</v>
      </c>
      <c r="R578" s="5">
        <f t="shared" si="210"/>
        <v>59815</v>
      </c>
      <c r="S578" s="5">
        <f t="shared" si="211"/>
        <v>39830</v>
      </c>
      <c r="T578" s="5">
        <f t="shared" si="212"/>
        <v>11970</v>
      </c>
      <c r="U578" s="5">
        <f t="shared" si="213"/>
        <v>15960</v>
      </c>
      <c r="V578" s="5">
        <f>B578*战斗力计算!$B$8+C578*战斗力计算!$B$9+D578*战斗力计算!$B$10+E578*战斗力计算!$B$11+F578*战斗力计算!$B$12</f>
        <v>250680</v>
      </c>
      <c r="W578" s="5">
        <f>G578*战斗力计算!$B$8+H578*战斗力计算!$B$9+I578*战斗力计算!$B$10+J578*战斗力计算!$B$11+K578*战斗力计算!$B$12+L578*战斗力计算!$B$8+M578*战斗力计算!$B$9+N578*战斗力计算!$B$10+O578*战斗力计算!$B$11+P578*战斗力计算!$B$12</f>
        <v>1504080</v>
      </c>
      <c r="X578" s="5">
        <f t="shared" si="214"/>
        <v>1754760</v>
      </c>
      <c r="AC578">
        <f t="shared" si="193"/>
        <v>4</v>
      </c>
      <c r="AD578">
        <f t="shared" si="194"/>
        <v>2</v>
      </c>
      <c r="AF578">
        <f t="shared" si="195"/>
        <v>0.75</v>
      </c>
      <c r="AH578">
        <f t="shared" si="196"/>
        <v>12</v>
      </c>
      <c r="AK578">
        <f t="shared" si="197"/>
        <v>6.021089630931459</v>
      </c>
      <c r="AL578">
        <f t="shared" si="198"/>
        <v>1.5017574692442883</v>
      </c>
      <c r="AM578">
        <f t="shared" si="199"/>
        <v>1</v>
      </c>
      <c r="AN578">
        <f t="shared" si="200"/>
        <v>6.021089630931459</v>
      </c>
      <c r="AO578">
        <f t="shared" si="201"/>
        <v>1.5017574692442883</v>
      </c>
      <c r="AP578">
        <f t="shared" si="202"/>
        <v>1</v>
      </c>
      <c r="AR578">
        <f t="shared" si="203"/>
        <v>4.4973684210526317</v>
      </c>
      <c r="AT578">
        <f t="shared" si="204"/>
        <v>4.4973684210526317</v>
      </c>
      <c r="AV578">
        <f t="shared" si="205"/>
        <v>5981</v>
      </c>
      <c r="AW578">
        <f t="shared" si="206"/>
        <v>11108</v>
      </c>
    </row>
    <row r="579" spans="1:49" x14ac:dyDescent="0.15">
      <c r="A579" s="5">
        <v>569</v>
      </c>
      <c r="B579" s="5">
        <f t="shared" si="192"/>
        <v>34320</v>
      </c>
      <c r="C579" s="5">
        <f t="shared" si="217"/>
        <v>8560</v>
      </c>
      <c r="D579" s="5">
        <f t="shared" si="217"/>
        <v>5700</v>
      </c>
      <c r="E579" s="5">
        <f t="shared" si="217"/>
        <v>1713</v>
      </c>
      <c r="F579" s="5">
        <f t="shared" si="217"/>
        <v>2284</v>
      </c>
      <c r="G579" s="5">
        <f t="shared" si="215"/>
        <v>137280</v>
      </c>
      <c r="H579" s="5">
        <f t="shared" si="215"/>
        <v>34240</v>
      </c>
      <c r="I579" s="5">
        <f t="shared" si="215"/>
        <v>22800</v>
      </c>
      <c r="J579" s="5">
        <f t="shared" si="215"/>
        <v>6852</v>
      </c>
      <c r="K579" s="5">
        <f t="shared" si="215"/>
        <v>9136</v>
      </c>
      <c r="L579" s="5">
        <f t="shared" si="216"/>
        <v>68640</v>
      </c>
      <c r="M579" s="5">
        <f t="shared" si="216"/>
        <v>17120</v>
      </c>
      <c r="N579" s="5">
        <f t="shared" si="216"/>
        <v>11400</v>
      </c>
      <c r="O579" s="5">
        <f t="shared" si="216"/>
        <v>3426</v>
      </c>
      <c r="P579" s="5">
        <f t="shared" si="216"/>
        <v>4568</v>
      </c>
      <c r="Q579" s="5">
        <f t="shared" si="209"/>
        <v>240240</v>
      </c>
      <c r="R579" s="5">
        <f t="shared" si="210"/>
        <v>59920</v>
      </c>
      <c r="S579" s="5">
        <f t="shared" si="211"/>
        <v>39900</v>
      </c>
      <c r="T579" s="5">
        <f t="shared" si="212"/>
        <v>11991</v>
      </c>
      <c r="U579" s="5">
        <f t="shared" si="213"/>
        <v>15988</v>
      </c>
      <c r="V579" s="5">
        <f>B579*战斗力计算!$B$8+C579*战斗力计算!$B$9+D579*战斗力计算!$B$10+E579*战斗力计算!$B$11+F579*战斗力计算!$B$12</f>
        <v>251120</v>
      </c>
      <c r="W579" s="5">
        <f>G579*战斗力计算!$B$8+H579*战斗力计算!$B$9+I579*战斗力计算!$B$10+J579*战斗力计算!$B$11+K579*战斗力计算!$B$12+L579*战斗力计算!$B$8+M579*战斗力计算!$B$9+N579*战斗力计算!$B$10+O579*战斗力计算!$B$11+P579*战斗力计算!$B$12</f>
        <v>1506720</v>
      </c>
      <c r="X579" s="5">
        <f t="shared" si="214"/>
        <v>1757840</v>
      </c>
      <c r="AC579">
        <f t="shared" si="193"/>
        <v>4</v>
      </c>
      <c r="AD579">
        <f t="shared" si="194"/>
        <v>2</v>
      </c>
      <c r="AF579">
        <f t="shared" si="195"/>
        <v>0.75</v>
      </c>
      <c r="AH579">
        <f t="shared" si="196"/>
        <v>12</v>
      </c>
      <c r="AK579">
        <f t="shared" si="197"/>
        <v>6.0210526315789474</v>
      </c>
      <c r="AL579">
        <f t="shared" si="198"/>
        <v>1.5017543859649123</v>
      </c>
      <c r="AM579">
        <f t="shared" si="199"/>
        <v>1</v>
      </c>
      <c r="AN579">
        <f t="shared" si="200"/>
        <v>6.0210526315789474</v>
      </c>
      <c r="AO579">
        <f t="shared" si="201"/>
        <v>1.5017543859649123</v>
      </c>
      <c r="AP579">
        <f t="shared" si="202"/>
        <v>1</v>
      </c>
      <c r="AR579">
        <f t="shared" si="203"/>
        <v>4.4973730297723291</v>
      </c>
      <c r="AT579">
        <f t="shared" si="204"/>
        <v>4.4973730297723291</v>
      </c>
      <c r="AV579">
        <f t="shared" si="205"/>
        <v>5992</v>
      </c>
      <c r="AW579">
        <f t="shared" si="206"/>
        <v>11128</v>
      </c>
    </row>
    <row r="580" spans="1:49" x14ac:dyDescent="0.15">
      <c r="A580" s="5">
        <v>570</v>
      </c>
      <c r="B580" s="5">
        <f t="shared" si="192"/>
        <v>34380</v>
      </c>
      <c r="C580" s="5">
        <f t="shared" si="217"/>
        <v>8575</v>
      </c>
      <c r="D580" s="5">
        <f t="shared" si="217"/>
        <v>5710</v>
      </c>
      <c r="E580" s="5">
        <f t="shared" si="217"/>
        <v>1716</v>
      </c>
      <c r="F580" s="5">
        <f t="shared" si="217"/>
        <v>2288</v>
      </c>
      <c r="G580" s="5">
        <f t="shared" si="215"/>
        <v>137520</v>
      </c>
      <c r="H580" s="5">
        <f t="shared" si="215"/>
        <v>34300</v>
      </c>
      <c r="I580" s="5">
        <f t="shared" si="215"/>
        <v>22840</v>
      </c>
      <c r="J580" s="5">
        <f t="shared" si="215"/>
        <v>6864</v>
      </c>
      <c r="K580" s="5">
        <f t="shared" si="215"/>
        <v>9152</v>
      </c>
      <c r="L580" s="5">
        <f t="shared" si="216"/>
        <v>68760</v>
      </c>
      <c r="M580" s="5">
        <f t="shared" si="216"/>
        <v>17150</v>
      </c>
      <c r="N580" s="5">
        <f t="shared" si="216"/>
        <v>11420</v>
      </c>
      <c r="O580" s="5">
        <f t="shared" si="216"/>
        <v>3432</v>
      </c>
      <c r="P580" s="5">
        <f t="shared" si="216"/>
        <v>4576</v>
      </c>
      <c r="Q580" s="5">
        <f t="shared" si="209"/>
        <v>240660</v>
      </c>
      <c r="R580" s="5">
        <f t="shared" si="210"/>
        <v>60025</v>
      </c>
      <c r="S580" s="5">
        <f t="shared" si="211"/>
        <v>39970</v>
      </c>
      <c r="T580" s="5">
        <f t="shared" si="212"/>
        <v>12012</v>
      </c>
      <c r="U580" s="5">
        <f t="shared" si="213"/>
        <v>16016</v>
      </c>
      <c r="V580" s="5">
        <f>B580*战斗力计算!$B$8+C580*战斗力计算!$B$9+D580*战斗力计算!$B$10+E580*战斗力计算!$B$11+F580*战斗力计算!$B$12</f>
        <v>251560</v>
      </c>
      <c r="W580" s="5">
        <f>G580*战斗力计算!$B$8+H580*战斗力计算!$B$9+I580*战斗力计算!$B$10+J580*战斗力计算!$B$11+K580*战斗力计算!$B$12+L580*战斗力计算!$B$8+M580*战斗力计算!$B$9+N580*战斗力计算!$B$10+O580*战斗力计算!$B$11+P580*战斗力计算!$B$12</f>
        <v>1509360</v>
      </c>
      <c r="X580" s="5">
        <f t="shared" si="214"/>
        <v>1760920</v>
      </c>
      <c r="AC580">
        <f t="shared" si="193"/>
        <v>4</v>
      </c>
      <c r="AD580">
        <f t="shared" si="194"/>
        <v>2</v>
      </c>
      <c r="AF580">
        <f t="shared" si="195"/>
        <v>0.75</v>
      </c>
      <c r="AH580">
        <f t="shared" si="196"/>
        <v>12</v>
      </c>
      <c r="AK580">
        <f t="shared" si="197"/>
        <v>6.0210157618213662</v>
      </c>
      <c r="AL580">
        <f t="shared" si="198"/>
        <v>1.5017513134851139</v>
      </c>
      <c r="AM580">
        <f t="shared" si="199"/>
        <v>1</v>
      </c>
      <c r="AN580">
        <f t="shared" si="200"/>
        <v>6.0210157618213662</v>
      </c>
      <c r="AO580">
        <f t="shared" si="201"/>
        <v>1.5017513134851139</v>
      </c>
      <c r="AP580">
        <f t="shared" si="202"/>
        <v>1</v>
      </c>
      <c r="AR580">
        <f t="shared" si="203"/>
        <v>4.4973776223776225</v>
      </c>
      <c r="AT580">
        <f t="shared" si="204"/>
        <v>4.4973776223776225</v>
      </c>
      <c r="AV580">
        <f t="shared" si="205"/>
        <v>6002</v>
      </c>
      <c r="AW580">
        <f t="shared" si="206"/>
        <v>11147</v>
      </c>
    </row>
    <row r="581" spans="1:49" x14ac:dyDescent="0.15">
      <c r="A581" s="5">
        <v>571</v>
      </c>
      <c r="B581" s="5">
        <f t="shared" si="192"/>
        <v>34440</v>
      </c>
      <c r="C581" s="5">
        <f t="shared" si="217"/>
        <v>8590</v>
      </c>
      <c r="D581" s="5">
        <f t="shared" si="217"/>
        <v>5720</v>
      </c>
      <c r="E581" s="5">
        <f t="shared" si="217"/>
        <v>1719</v>
      </c>
      <c r="F581" s="5">
        <f t="shared" si="217"/>
        <v>2292</v>
      </c>
      <c r="G581" s="5">
        <f t="shared" si="215"/>
        <v>137760</v>
      </c>
      <c r="H581" s="5">
        <f t="shared" si="215"/>
        <v>34360</v>
      </c>
      <c r="I581" s="5">
        <f t="shared" si="215"/>
        <v>22880</v>
      </c>
      <c r="J581" s="5">
        <f t="shared" si="215"/>
        <v>6876</v>
      </c>
      <c r="K581" s="5">
        <f t="shared" si="215"/>
        <v>9168</v>
      </c>
      <c r="L581" s="5">
        <f t="shared" si="216"/>
        <v>68880</v>
      </c>
      <c r="M581" s="5">
        <f t="shared" si="216"/>
        <v>17180</v>
      </c>
      <c r="N581" s="5">
        <f t="shared" si="216"/>
        <v>11440</v>
      </c>
      <c r="O581" s="5">
        <f t="shared" si="216"/>
        <v>3438</v>
      </c>
      <c r="P581" s="5">
        <f t="shared" si="216"/>
        <v>4584</v>
      </c>
      <c r="Q581" s="5">
        <f t="shared" si="209"/>
        <v>241080</v>
      </c>
      <c r="R581" s="5">
        <f t="shared" si="210"/>
        <v>60130</v>
      </c>
      <c r="S581" s="5">
        <f t="shared" si="211"/>
        <v>40040</v>
      </c>
      <c r="T581" s="5">
        <f t="shared" si="212"/>
        <v>12033</v>
      </c>
      <c r="U581" s="5">
        <f t="shared" si="213"/>
        <v>16044</v>
      </c>
      <c r="V581" s="5">
        <f>B581*战斗力计算!$B$8+C581*战斗力计算!$B$9+D581*战斗力计算!$B$10+E581*战斗力计算!$B$11+F581*战斗力计算!$B$12</f>
        <v>252000</v>
      </c>
      <c r="W581" s="5">
        <f>G581*战斗力计算!$B$8+H581*战斗力计算!$B$9+I581*战斗力计算!$B$10+J581*战斗力计算!$B$11+K581*战斗力计算!$B$12+L581*战斗力计算!$B$8+M581*战斗力计算!$B$9+N581*战斗力计算!$B$10+O581*战斗力计算!$B$11+P581*战斗力计算!$B$12</f>
        <v>1512000</v>
      </c>
      <c r="X581" s="5">
        <f t="shared" si="214"/>
        <v>1764000</v>
      </c>
      <c r="AC581">
        <f t="shared" si="193"/>
        <v>4</v>
      </c>
      <c r="AD581">
        <f t="shared" si="194"/>
        <v>2</v>
      </c>
      <c r="AF581">
        <f t="shared" si="195"/>
        <v>0.75</v>
      </c>
      <c r="AH581">
        <f t="shared" si="196"/>
        <v>12</v>
      </c>
      <c r="AK581">
        <f t="shared" si="197"/>
        <v>6.0209790209790208</v>
      </c>
      <c r="AL581">
        <f t="shared" si="198"/>
        <v>1.5017482517482517</v>
      </c>
      <c r="AM581">
        <f t="shared" si="199"/>
        <v>1</v>
      </c>
      <c r="AN581">
        <f t="shared" si="200"/>
        <v>6.0209790209790208</v>
      </c>
      <c r="AO581">
        <f t="shared" si="201"/>
        <v>1.5017482517482517</v>
      </c>
      <c r="AP581">
        <f t="shared" si="202"/>
        <v>1</v>
      </c>
      <c r="AR581">
        <f t="shared" si="203"/>
        <v>4.4973821989528799</v>
      </c>
      <c r="AT581">
        <f t="shared" si="204"/>
        <v>4.4973821989528799</v>
      </c>
      <c r="AV581">
        <f t="shared" si="205"/>
        <v>6013</v>
      </c>
      <c r="AW581">
        <f t="shared" si="206"/>
        <v>11167</v>
      </c>
    </row>
    <row r="582" spans="1:49" x14ac:dyDescent="0.15">
      <c r="A582" s="5">
        <v>572</v>
      </c>
      <c r="B582" s="5">
        <f t="shared" si="192"/>
        <v>34500</v>
      </c>
      <c r="C582" s="5">
        <f t="shared" si="217"/>
        <v>8605</v>
      </c>
      <c r="D582" s="5">
        <f t="shared" si="217"/>
        <v>5730</v>
      </c>
      <c r="E582" s="5">
        <f t="shared" si="217"/>
        <v>1722</v>
      </c>
      <c r="F582" s="5">
        <f t="shared" si="217"/>
        <v>2296</v>
      </c>
      <c r="G582" s="5">
        <f t="shared" si="215"/>
        <v>138000</v>
      </c>
      <c r="H582" s="5">
        <f t="shared" si="215"/>
        <v>34420</v>
      </c>
      <c r="I582" s="5">
        <f t="shared" si="215"/>
        <v>22920</v>
      </c>
      <c r="J582" s="5">
        <f t="shared" si="215"/>
        <v>6888</v>
      </c>
      <c r="K582" s="5">
        <f t="shared" si="215"/>
        <v>9184</v>
      </c>
      <c r="L582" s="5">
        <f t="shared" si="216"/>
        <v>69000</v>
      </c>
      <c r="M582" s="5">
        <f t="shared" si="216"/>
        <v>17210</v>
      </c>
      <c r="N582" s="5">
        <f t="shared" si="216"/>
        <v>11460</v>
      </c>
      <c r="O582" s="5">
        <f t="shared" si="216"/>
        <v>3444</v>
      </c>
      <c r="P582" s="5">
        <f t="shared" si="216"/>
        <v>4592</v>
      </c>
      <c r="Q582" s="5">
        <f t="shared" si="209"/>
        <v>241500</v>
      </c>
      <c r="R582" s="5">
        <f t="shared" si="210"/>
        <v>60235</v>
      </c>
      <c r="S582" s="5">
        <f t="shared" si="211"/>
        <v>40110</v>
      </c>
      <c r="T582" s="5">
        <f t="shared" si="212"/>
        <v>12054</v>
      </c>
      <c r="U582" s="5">
        <f t="shared" si="213"/>
        <v>16072</v>
      </c>
      <c r="V582" s="5">
        <f>B582*战斗力计算!$B$8+C582*战斗力计算!$B$9+D582*战斗力计算!$B$10+E582*战斗力计算!$B$11+F582*战斗力计算!$B$12</f>
        <v>252440</v>
      </c>
      <c r="W582" s="5">
        <f>G582*战斗力计算!$B$8+H582*战斗力计算!$B$9+I582*战斗力计算!$B$10+J582*战斗力计算!$B$11+K582*战斗力计算!$B$12+L582*战斗力计算!$B$8+M582*战斗力计算!$B$9+N582*战斗力计算!$B$10+O582*战斗力计算!$B$11+P582*战斗力计算!$B$12</f>
        <v>1514640</v>
      </c>
      <c r="X582" s="5">
        <f t="shared" si="214"/>
        <v>1767080</v>
      </c>
      <c r="AC582">
        <f t="shared" si="193"/>
        <v>4</v>
      </c>
      <c r="AD582">
        <f t="shared" si="194"/>
        <v>2</v>
      </c>
      <c r="AF582">
        <f t="shared" si="195"/>
        <v>0.75</v>
      </c>
      <c r="AH582">
        <f t="shared" si="196"/>
        <v>12</v>
      </c>
      <c r="AK582">
        <f t="shared" si="197"/>
        <v>6.0209424083769632</v>
      </c>
      <c r="AL582">
        <f t="shared" si="198"/>
        <v>1.5017452006980803</v>
      </c>
      <c r="AM582">
        <f t="shared" si="199"/>
        <v>1</v>
      </c>
      <c r="AN582">
        <f t="shared" si="200"/>
        <v>6.0209424083769632</v>
      </c>
      <c r="AO582">
        <f t="shared" si="201"/>
        <v>1.5017452006980803</v>
      </c>
      <c r="AP582">
        <f t="shared" si="202"/>
        <v>1</v>
      </c>
      <c r="AR582">
        <f t="shared" si="203"/>
        <v>4.4973867595818815</v>
      </c>
      <c r="AT582">
        <f t="shared" si="204"/>
        <v>4.4973867595818815</v>
      </c>
      <c r="AV582">
        <f t="shared" si="205"/>
        <v>6023</v>
      </c>
      <c r="AW582">
        <f t="shared" si="206"/>
        <v>11186</v>
      </c>
    </row>
    <row r="583" spans="1:49" x14ac:dyDescent="0.15">
      <c r="A583" s="5">
        <v>573</v>
      </c>
      <c r="B583" s="5">
        <f t="shared" si="192"/>
        <v>34560</v>
      </c>
      <c r="C583" s="5">
        <f t="shared" si="217"/>
        <v>8620</v>
      </c>
      <c r="D583" s="5">
        <f t="shared" si="217"/>
        <v>5740</v>
      </c>
      <c r="E583" s="5">
        <f t="shared" si="217"/>
        <v>1725</v>
      </c>
      <c r="F583" s="5">
        <f t="shared" si="217"/>
        <v>2300</v>
      </c>
      <c r="G583" s="5">
        <f t="shared" si="215"/>
        <v>138240</v>
      </c>
      <c r="H583" s="5">
        <f t="shared" si="215"/>
        <v>34480</v>
      </c>
      <c r="I583" s="5">
        <f t="shared" si="215"/>
        <v>22960</v>
      </c>
      <c r="J583" s="5">
        <f t="shared" si="215"/>
        <v>6900</v>
      </c>
      <c r="K583" s="5">
        <f t="shared" si="215"/>
        <v>9200</v>
      </c>
      <c r="L583" s="5">
        <f t="shared" si="216"/>
        <v>69120</v>
      </c>
      <c r="M583" s="5">
        <f t="shared" si="216"/>
        <v>17240</v>
      </c>
      <c r="N583" s="5">
        <f t="shared" si="216"/>
        <v>11480</v>
      </c>
      <c r="O583" s="5">
        <f t="shared" si="216"/>
        <v>3450</v>
      </c>
      <c r="P583" s="5">
        <f t="shared" si="216"/>
        <v>4600</v>
      </c>
      <c r="Q583" s="5">
        <f t="shared" si="209"/>
        <v>241920</v>
      </c>
      <c r="R583" s="5">
        <f t="shared" si="210"/>
        <v>60340</v>
      </c>
      <c r="S583" s="5">
        <f t="shared" si="211"/>
        <v>40180</v>
      </c>
      <c r="T583" s="5">
        <f t="shared" si="212"/>
        <v>12075</v>
      </c>
      <c r="U583" s="5">
        <f t="shared" si="213"/>
        <v>16100</v>
      </c>
      <c r="V583" s="5">
        <f>B583*战斗力计算!$B$8+C583*战斗力计算!$B$9+D583*战斗力计算!$B$10+E583*战斗力计算!$B$11+F583*战斗力计算!$B$12</f>
        <v>252880</v>
      </c>
      <c r="W583" s="5">
        <f>G583*战斗力计算!$B$8+H583*战斗力计算!$B$9+I583*战斗力计算!$B$10+J583*战斗力计算!$B$11+K583*战斗力计算!$B$12+L583*战斗力计算!$B$8+M583*战斗力计算!$B$9+N583*战斗力计算!$B$10+O583*战斗力计算!$B$11+P583*战斗力计算!$B$12</f>
        <v>1517280</v>
      </c>
      <c r="X583" s="5">
        <f t="shared" si="214"/>
        <v>1770160</v>
      </c>
      <c r="AC583">
        <f t="shared" si="193"/>
        <v>4</v>
      </c>
      <c r="AD583">
        <f t="shared" si="194"/>
        <v>2</v>
      </c>
      <c r="AF583">
        <f t="shared" si="195"/>
        <v>0.75</v>
      </c>
      <c r="AH583">
        <f t="shared" si="196"/>
        <v>12</v>
      </c>
      <c r="AK583">
        <f t="shared" si="197"/>
        <v>6.020905923344948</v>
      </c>
      <c r="AL583">
        <f t="shared" si="198"/>
        <v>1.5017421602787457</v>
      </c>
      <c r="AM583">
        <f t="shared" si="199"/>
        <v>1</v>
      </c>
      <c r="AN583">
        <f t="shared" si="200"/>
        <v>6.020905923344948</v>
      </c>
      <c r="AO583">
        <f t="shared" si="201"/>
        <v>1.5017421602787457</v>
      </c>
      <c r="AP583">
        <f t="shared" si="202"/>
        <v>1</v>
      </c>
      <c r="AR583">
        <f t="shared" si="203"/>
        <v>4.4973913043478264</v>
      </c>
      <c r="AT583">
        <f t="shared" si="204"/>
        <v>4.4973913043478264</v>
      </c>
      <c r="AV583">
        <f t="shared" si="205"/>
        <v>6034</v>
      </c>
      <c r="AW583">
        <f t="shared" si="206"/>
        <v>11206</v>
      </c>
    </row>
    <row r="584" spans="1:49" x14ac:dyDescent="0.15">
      <c r="A584" s="5">
        <v>574</v>
      </c>
      <c r="B584" s="5">
        <f t="shared" si="192"/>
        <v>34620</v>
      </c>
      <c r="C584" s="5">
        <f t="shared" si="217"/>
        <v>8635</v>
      </c>
      <c r="D584" s="5">
        <f t="shared" si="217"/>
        <v>5750</v>
      </c>
      <c r="E584" s="5">
        <f t="shared" si="217"/>
        <v>1728</v>
      </c>
      <c r="F584" s="5">
        <f t="shared" si="217"/>
        <v>2304</v>
      </c>
      <c r="G584" s="5">
        <f t="shared" si="215"/>
        <v>138480</v>
      </c>
      <c r="H584" s="5">
        <f t="shared" si="215"/>
        <v>34540</v>
      </c>
      <c r="I584" s="5">
        <f t="shared" si="215"/>
        <v>23000</v>
      </c>
      <c r="J584" s="5">
        <f t="shared" si="215"/>
        <v>6912</v>
      </c>
      <c r="K584" s="5">
        <f t="shared" si="215"/>
        <v>9216</v>
      </c>
      <c r="L584" s="5">
        <f t="shared" si="216"/>
        <v>69240</v>
      </c>
      <c r="M584" s="5">
        <f t="shared" si="216"/>
        <v>17270</v>
      </c>
      <c r="N584" s="5">
        <f t="shared" si="216"/>
        <v>11500</v>
      </c>
      <c r="O584" s="5">
        <f t="shared" si="216"/>
        <v>3456</v>
      </c>
      <c r="P584" s="5">
        <f t="shared" si="216"/>
        <v>4608</v>
      </c>
      <c r="Q584" s="5">
        <f t="shared" si="209"/>
        <v>242340</v>
      </c>
      <c r="R584" s="5">
        <f t="shared" si="210"/>
        <v>60445</v>
      </c>
      <c r="S584" s="5">
        <f t="shared" si="211"/>
        <v>40250</v>
      </c>
      <c r="T584" s="5">
        <f t="shared" si="212"/>
        <v>12096</v>
      </c>
      <c r="U584" s="5">
        <f t="shared" si="213"/>
        <v>16128</v>
      </c>
      <c r="V584" s="5">
        <f>B584*战斗力计算!$B$8+C584*战斗力计算!$B$9+D584*战斗力计算!$B$10+E584*战斗力计算!$B$11+F584*战斗力计算!$B$12</f>
        <v>253320</v>
      </c>
      <c r="W584" s="5">
        <f>G584*战斗力计算!$B$8+H584*战斗力计算!$B$9+I584*战斗力计算!$B$10+J584*战斗力计算!$B$11+K584*战斗力计算!$B$12+L584*战斗力计算!$B$8+M584*战斗力计算!$B$9+N584*战斗力计算!$B$10+O584*战斗力计算!$B$11+P584*战斗力计算!$B$12</f>
        <v>1519920</v>
      </c>
      <c r="X584" s="5">
        <f t="shared" si="214"/>
        <v>1773240</v>
      </c>
      <c r="AC584">
        <f t="shared" si="193"/>
        <v>4</v>
      </c>
      <c r="AD584">
        <f t="shared" si="194"/>
        <v>2</v>
      </c>
      <c r="AF584">
        <f t="shared" si="195"/>
        <v>0.75</v>
      </c>
      <c r="AH584">
        <f t="shared" si="196"/>
        <v>12</v>
      </c>
      <c r="AK584">
        <f t="shared" si="197"/>
        <v>6.0208695652173914</v>
      </c>
      <c r="AL584">
        <f t="shared" si="198"/>
        <v>1.5017391304347827</v>
      </c>
      <c r="AM584">
        <f t="shared" si="199"/>
        <v>1</v>
      </c>
      <c r="AN584">
        <f t="shared" si="200"/>
        <v>6.0208695652173914</v>
      </c>
      <c r="AO584">
        <f t="shared" si="201"/>
        <v>1.5017391304347827</v>
      </c>
      <c r="AP584">
        <f t="shared" si="202"/>
        <v>1</v>
      </c>
      <c r="AR584">
        <f t="shared" si="203"/>
        <v>4.497395833333333</v>
      </c>
      <c r="AT584">
        <f t="shared" si="204"/>
        <v>4.497395833333333</v>
      </c>
      <c r="AV584">
        <f t="shared" si="205"/>
        <v>6044</v>
      </c>
      <c r="AW584">
        <f t="shared" si="206"/>
        <v>11225</v>
      </c>
    </row>
    <row r="585" spans="1:49" x14ac:dyDescent="0.15">
      <c r="A585" s="5">
        <v>575</v>
      </c>
      <c r="B585" s="5">
        <f t="shared" si="192"/>
        <v>34680</v>
      </c>
      <c r="C585" s="5">
        <f t="shared" si="217"/>
        <v>8650</v>
      </c>
      <c r="D585" s="5">
        <f t="shared" si="217"/>
        <v>5760</v>
      </c>
      <c r="E585" s="5">
        <f t="shared" si="217"/>
        <v>1731</v>
      </c>
      <c r="F585" s="5">
        <f t="shared" si="217"/>
        <v>2308</v>
      </c>
      <c r="G585" s="5">
        <f t="shared" si="215"/>
        <v>138720</v>
      </c>
      <c r="H585" s="5">
        <f t="shared" si="215"/>
        <v>34600</v>
      </c>
      <c r="I585" s="5">
        <f t="shared" si="215"/>
        <v>23040</v>
      </c>
      <c r="J585" s="5">
        <f t="shared" si="215"/>
        <v>6924</v>
      </c>
      <c r="K585" s="5">
        <f t="shared" si="215"/>
        <v>9232</v>
      </c>
      <c r="L585" s="5">
        <f t="shared" si="216"/>
        <v>69360</v>
      </c>
      <c r="M585" s="5">
        <f t="shared" si="216"/>
        <v>17300</v>
      </c>
      <c r="N585" s="5">
        <f t="shared" si="216"/>
        <v>11520</v>
      </c>
      <c r="O585" s="5">
        <f t="shared" si="216"/>
        <v>3462</v>
      </c>
      <c r="P585" s="5">
        <f t="shared" si="216"/>
        <v>4616</v>
      </c>
      <c r="Q585" s="5">
        <f t="shared" si="209"/>
        <v>242760</v>
      </c>
      <c r="R585" s="5">
        <f t="shared" si="210"/>
        <v>60550</v>
      </c>
      <c r="S585" s="5">
        <f t="shared" si="211"/>
        <v>40320</v>
      </c>
      <c r="T585" s="5">
        <f t="shared" si="212"/>
        <v>12117</v>
      </c>
      <c r="U585" s="5">
        <f t="shared" si="213"/>
        <v>16156</v>
      </c>
      <c r="V585" s="5">
        <f>B585*战斗力计算!$B$8+C585*战斗力计算!$B$9+D585*战斗力计算!$B$10+E585*战斗力计算!$B$11+F585*战斗力计算!$B$12</f>
        <v>253760</v>
      </c>
      <c r="W585" s="5">
        <f>G585*战斗力计算!$B$8+H585*战斗力计算!$B$9+I585*战斗力计算!$B$10+J585*战斗力计算!$B$11+K585*战斗力计算!$B$12+L585*战斗力计算!$B$8+M585*战斗力计算!$B$9+N585*战斗力计算!$B$10+O585*战斗力计算!$B$11+P585*战斗力计算!$B$12</f>
        <v>1522560</v>
      </c>
      <c r="X585" s="5">
        <f t="shared" si="214"/>
        <v>1776320</v>
      </c>
      <c r="AC585">
        <f t="shared" si="193"/>
        <v>4</v>
      </c>
      <c r="AD585">
        <f t="shared" si="194"/>
        <v>2</v>
      </c>
      <c r="AF585">
        <f t="shared" si="195"/>
        <v>0.75</v>
      </c>
      <c r="AH585">
        <f t="shared" si="196"/>
        <v>12</v>
      </c>
      <c r="AK585">
        <f t="shared" si="197"/>
        <v>6.020833333333333</v>
      </c>
      <c r="AL585">
        <f t="shared" si="198"/>
        <v>1.5017361111111112</v>
      </c>
      <c r="AM585">
        <f t="shared" si="199"/>
        <v>1</v>
      </c>
      <c r="AN585">
        <f t="shared" si="200"/>
        <v>6.020833333333333</v>
      </c>
      <c r="AO585">
        <f t="shared" si="201"/>
        <v>1.5017361111111112</v>
      </c>
      <c r="AP585">
        <f t="shared" si="202"/>
        <v>1</v>
      </c>
      <c r="AR585">
        <f t="shared" si="203"/>
        <v>4.4974003466204504</v>
      </c>
      <c r="AT585">
        <f t="shared" si="204"/>
        <v>4.4974003466204504</v>
      </c>
      <c r="AV585">
        <f t="shared" si="205"/>
        <v>6055</v>
      </c>
      <c r="AW585">
        <f t="shared" si="206"/>
        <v>11245</v>
      </c>
    </row>
    <row r="586" spans="1:49" x14ac:dyDescent="0.15">
      <c r="A586" s="5">
        <v>576</v>
      </c>
      <c r="B586" s="5">
        <f t="shared" si="192"/>
        <v>34740</v>
      </c>
      <c r="C586" s="5">
        <f t="shared" si="217"/>
        <v>8665</v>
      </c>
      <c r="D586" s="5">
        <f t="shared" si="217"/>
        <v>5770</v>
      </c>
      <c r="E586" s="5">
        <f t="shared" si="217"/>
        <v>1734</v>
      </c>
      <c r="F586" s="5">
        <f t="shared" si="217"/>
        <v>2312</v>
      </c>
      <c r="G586" s="5">
        <f t="shared" si="215"/>
        <v>138960</v>
      </c>
      <c r="H586" s="5">
        <f t="shared" si="215"/>
        <v>34660</v>
      </c>
      <c r="I586" s="5">
        <f t="shared" si="215"/>
        <v>23080</v>
      </c>
      <c r="J586" s="5">
        <f t="shared" si="215"/>
        <v>6936</v>
      </c>
      <c r="K586" s="5">
        <f t="shared" si="215"/>
        <v>9248</v>
      </c>
      <c r="L586" s="5">
        <f t="shared" si="216"/>
        <v>69480</v>
      </c>
      <c r="M586" s="5">
        <f t="shared" si="216"/>
        <v>17330</v>
      </c>
      <c r="N586" s="5">
        <f t="shared" si="216"/>
        <v>11540</v>
      </c>
      <c r="O586" s="5">
        <f t="shared" si="216"/>
        <v>3468</v>
      </c>
      <c r="P586" s="5">
        <f t="shared" si="216"/>
        <v>4624</v>
      </c>
      <c r="Q586" s="5">
        <f t="shared" si="209"/>
        <v>243180</v>
      </c>
      <c r="R586" s="5">
        <f t="shared" si="210"/>
        <v>60655</v>
      </c>
      <c r="S586" s="5">
        <f t="shared" si="211"/>
        <v>40390</v>
      </c>
      <c r="T586" s="5">
        <f t="shared" si="212"/>
        <v>12138</v>
      </c>
      <c r="U586" s="5">
        <f t="shared" si="213"/>
        <v>16184</v>
      </c>
      <c r="V586" s="5">
        <f>B586*战斗力计算!$B$8+C586*战斗力计算!$B$9+D586*战斗力计算!$B$10+E586*战斗力计算!$B$11+F586*战斗力计算!$B$12</f>
        <v>254200</v>
      </c>
      <c r="W586" s="5">
        <f>G586*战斗力计算!$B$8+H586*战斗力计算!$B$9+I586*战斗力计算!$B$10+J586*战斗力计算!$B$11+K586*战斗力计算!$B$12+L586*战斗力计算!$B$8+M586*战斗力计算!$B$9+N586*战斗力计算!$B$10+O586*战斗力计算!$B$11+P586*战斗力计算!$B$12</f>
        <v>1525200</v>
      </c>
      <c r="X586" s="5">
        <f t="shared" si="214"/>
        <v>1779400</v>
      </c>
      <c r="AC586">
        <f t="shared" si="193"/>
        <v>4</v>
      </c>
      <c r="AD586">
        <f t="shared" si="194"/>
        <v>2</v>
      </c>
      <c r="AF586">
        <f t="shared" si="195"/>
        <v>0.75</v>
      </c>
      <c r="AH586">
        <f t="shared" si="196"/>
        <v>12</v>
      </c>
      <c r="AK586">
        <f t="shared" si="197"/>
        <v>6.020797227036395</v>
      </c>
      <c r="AL586">
        <f t="shared" si="198"/>
        <v>1.5017331022530329</v>
      </c>
      <c r="AM586">
        <f t="shared" si="199"/>
        <v>1</v>
      </c>
      <c r="AN586">
        <f t="shared" si="200"/>
        <v>6.020797227036395</v>
      </c>
      <c r="AO586">
        <f t="shared" si="201"/>
        <v>1.5017331022530329</v>
      </c>
      <c r="AP586">
        <f t="shared" si="202"/>
        <v>1</v>
      </c>
      <c r="AR586">
        <f t="shared" si="203"/>
        <v>4.4974048442906573</v>
      </c>
      <c r="AT586">
        <f t="shared" si="204"/>
        <v>4.4974048442906573</v>
      </c>
      <c r="AV586">
        <f t="shared" si="205"/>
        <v>6065</v>
      </c>
      <c r="AW586">
        <f t="shared" si="206"/>
        <v>11264</v>
      </c>
    </row>
    <row r="587" spans="1:49" x14ac:dyDescent="0.15">
      <c r="A587" s="5">
        <v>577</v>
      </c>
      <c r="B587" s="5">
        <f t="shared" si="192"/>
        <v>34800</v>
      </c>
      <c r="C587" s="5">
        <f t="shared" si="217"/>
        <v>8680</v>
      </c>
      <c r="D587" s="5">
        <f t="shared" si="217"/>
        <v>5780</v>
      </c>
      <c r="E587" s="5">
        <f t="shared" si="217"/>
        <v>1737</v>
      </c>
      <c r="F587" s="5">
        <f t="shared" si="217"/>
        <v>2316</v>
      </c>
      <c r="G587" s="5">
        <f t="shared" si="215"/>
        <v>139200</v>
      </c>
      <c r="H587" s="5">
        <f t="shared" si="215"/>
        <v>34720</v>
      </c>
      <c r="I587" s="5">
        <f t="shared" si="215"/>
        <v>23120</v>
      </c>
      <c r="J587" s="5">
        <f t="shared" si="215"/>
        <v>6948</v>
      </c>
      <c r="K587" s="5">
        <f t="shared" si="215"/>
        <v>9264</v>
      </c>
      <c r="L587" s="5">
        <f t="shared" si="216"/>
        <v>69600</v>
      </c>
      <c r="M587" s="5">
        <f t="shared" si="216"/>
        <v>17360</v>
      </c>
      <c r="N587" s="5">
        <f t="shared" si="216"/>
        <v>11560</v>
      </c>
      <c r="O587" s="5">
        <f t="shared" si="216"/>
        <v>3474</v>
      </c>
      <c r="P587" s="5">
        <f t="shared" si="216"/>
        <v>4632</v>
      </c>
      <c r="Q587" s="5">
        <f t="shared" si="209"/>
        <v>243600</v>
      </c>
      <c r="R587" s="5">
        <f t="shared" si="210"/>
        <v>60760</v>
      </c>
      <c r="S587" s="5">
        <f t="shared" si="211"/>
        <v>40460</v>
      </c>
      <c r="T587" s="5">
        <f t="shared" si="212"/>
        <v>12159</v>
      </c>
      <c r="U587" s="5">
        <f t="shared" si="213"/>
        <v>16212</v>
      </c>
      <c r="V587" s="5">
        <f>B587*战斗力计算!$B$8+C587*战斗力计算!$B$9+D587*战斗力计算!$B$10+E587*战斗力计算!$B$11+F587*战斗力计算!$B$12</f>
        <v>254640</v>
      </c>
      <c r="W587" s="5">
        <f>G587*战斗力计算!$B$8+H587*战斗力计算!$B$9+I587*战斗力计算!$B$10+J587*战斗力计算!$B$11+K587*战斗力计算!$B$12+L587*战斗力计算!$B$8+M587*战斗力计算!$B$9+N587*战斗力计算!$B$10+O587*战斗力计算!$B$11+P587*战斗力计算!$B$12</f>
        <v>1527840</v>
      </c>
      <c r="X587" s="5">
        <f t="shared" si="214"/>
        <v>1782480</v>
      </c>
      <c r="AC587">
        <f t="shared" si="193"/>
        <v>4</v>
      </c>
      <c r="AD587">
        <f t="shared" si="194"/>
        <v>2</v>
      </c>
      <c r="AF587">
        <f t="shared" si="195"/>
        <v>0.75</v>
      </c>
      <c r="AH587">
        <f t="shared" si="196"/>
        <v>12</v>
      </c>
      <c r="AK587">
        <f t="shared" si="197"/>
        <v>6.0207612456747404</v>
      </c>
      <c r="AL587">
        <f t="shared" si="198"/>
        <v>1.5017301038062283</v>
      </c>
      <c r="AM587">
        <f t="shared" si="199"/>
        <v>1</v>
      </c>
      <c r="AN587">
        <f t="shared" si="200"/>
        <v>6.0207612456747404</v>
      </c>
      <c r="AO587">
        <f t="shared" si="201"/>
        <v>1.5017301038062283</v>
      </c>
      <c r="AP587">
        <f t="shared" si="202"/>
        <v>1</v>
      </c>
      <c r="AR587">
        <f t="shared" si="203"/>
        <v>4.4974093264248705</v>
      </c>
      <c r="AT587">
        <f t="shared" si="204"/>
        <v>4.4974093264248705</v>
      </c>
      <c r="AV587">
        <f t="shared" si="205"/>
        <v>6076</v>
      </c>
      <c r="AW587">
        <f t="shared" si="206"/>
        <v>11284</v>
      </c>
    </row>
    <row r="588" spans="1:49" x14ac:dyDescent="0.15">
      <c r="A588" s="5">
        <v>578</v>
      </c>
      <c r="B588" s="5">
        <f t="shared" ref="B588:B610" si="218">INT(VLOOKUP(B$10,$A$2:$C$7,2,0)+($A588-1)*VLOOKUP(B$10,$A$2:$C$7,3,0))</f>
        <v>34860</v>
      </c>
      <c r="C588" s="5">
        <f t="shared" si="217"/>
        <v>8695</v>
      </c>
      <c r="D588" s="5">
        <f t="shared" si="217"/>
        <v>5790</v>
      </c>
      <c r="E588" s="5">
        <f t="shared" si="217"/>
        <v>1740</v>
      </c>
      <c r="F588" s="5">
        <f t="shared" si="217"/>
        <v>2320</v>
      </c>
      <c r="G588" s="5">
        <f t="shared" si="215"/>
        <v>139440</v>
      </c>
      <c r="H588" s="5">
        <f t="shared" si="215"/>
        <v>34780</v>
      </c>
      <c r="I588" s="5">
        <f t="shared" si="215"/>
        <v>23160</v>
      </c>
      <c r="J588" s="5">
        <f t="shared" si="215"/>
        <v>6960</v>
      </c>
      <c r="K588" s="5">
        <f t="shared" si="215"/>
        <v>9280</v>
      </c>
      <c r="L588" s="5">
        <f t="shared" si="216"/>
        <v>69720</v>
      </c>
      <c r="M588" s="5">
        <f t="shared" si="216"/>
        <v>17390</v>
      </c>
      <c r="N588" s="5">
        <f t="shared" si="216"/>
        <v>11580</v>
      </c>
      <c r="O588" s="5">
        <f t="shared" si="216"/>
        <v>3480</v>
      </c>
      <c r="P588" s="5">
        <f t="shared" si="216"/>
        <v>4640</v>
      </c>
      <c r="Q588" s="5">
        <f t="shared" si="209"/>
        <v>244020</v>
      </c>
      <c r="R588" s="5">
        <f t="shared" si="210"/>
        <v>60865</v>
      </c>
      <c r="S588" s="5">
        <f t="shared" si="211"/>
        <v>40530</v>
      </c>
      <c r="T588" s="5">
        <f t="shared" si="212"/>
        <v>12180</v>
      </c>
      <c r="U588" s="5">
        <f t="shared" si="213"/>
        <v>16240</v>
      </c>
      <c r="V588" s="5">
        <f>B588*战斗力计算!$B$8+C588*战斗力计算!$B$9+D588*战斗力计算!$B$10+E588*战斗力计算!$B$11+F588*战斗力计算!$B$12</f>
        <v>255080</v>
      </c>
      <c r="W588" s="5">
        <f>G588*战斗力计算!$B$8+H588*战斗力计算!$B$9+I588*战斗力计算!$B$10+J588*战斗力计算!$B$11+K588*战斗力计算!$B$12+L588*战斗力计算!$B$8+M588*战斗力计算!$B$9+N588*战斗力计算!$B$10+O588*战斗力计算!$B$11+P588*战斗力计算!$B$12</f>
        <v>1530480</v>
      </c>
      <c r="X588" s="5">
        <f t="shared" si="214"/>
        <v>1785560</v>
      </c>
      <c r="AC588">
        <f t="shared" ref="AC588:AC610" si="219">VLOOKUP($A588,$Z$2:$AA$13,2,1)*$E$3</f>
        <v>4</v>
      </c>
      <c r="AD588">
        <f t="shared" ref="AD588:AD610" si="220">VLOOKUP($A588,$Z$2:$AA$13,2,1)*$E$6</f>
        <v>2</v>
      </c>
      <c r="AF588">
        <f t="shared" ref="AF588:AF610" si="221">T588/U588</f>
        <v>0.75</v>
      </c>
      <c r="AH588">
        <f t="shared" ref="AH588:AH610" si="222">Q588/(R588-S588)</f>
        <v>12</v>
      </c>
      <c r="AK588">
        <f t="shared" ref="AK588:AK610" si="223">B588/D588</f>
        <v>6.0207253886010363</v>
      </c>
      <c r="AL588">
        <f t="shared" ref="AL588:AL610" si="224">C588/D588</f>
        <v>1.5017271157167531</v>
      </c>
      <c r="AM588">
        <f t="shared" ref="AM588:AM610" si="225">D588/D588</f>
        <v>1</v>
      </c>
      <c r="AN588">
        <f t="shared" ref="AN588:AN610" si="226">(G588+L588)/(I588+N588)</f>
        <v>6.0207253886010363</v>
      </c>
      <c r="AO588">
        <f t="shared" ref="AO588:AO610" si="227">(H588+M588)/(I588+N588)</f>
        <v>1.5017271157167531</v>
      </c>
      <c r="AP588">
        <f t="shared" ref="AP588:AP610" si="228">(I588+N588)/(I588+N588)</f>
        <v>1</v>
      </c>
      <c r="AR588">
        <f t="shared" ref="AR588:AR610" si="229">(B588*1+C588*12+D588*12)/(E588*16+F588*8)</f>
        <v>4.4974137931034486</v>
      </c>
      <c r="AT588">
        <f t="shared" ref="AT588:AT610" si="230">(G588*1+H588*12+I588*12+L588*1+M588*12+N588*12)/(J588*16+K588*8+O588*16+P588*8)</f>
        <v>4.4974137931034486</v>
      </c>
      <c r="AV588">
        <f t="shared" ref="AV588:AV610" si="231">INT(C588*$H$5)</f>
        <v>6086</v>
      </c>
      <c r="AW588">
        <f t="shared" ref="AW588:AW610" si="232">INT(C588*$H$3)</f>
        <v>11303</v>
      </c>
    </row>
    <row r="589" spans="1:49" x14ac:dyDescent="0.15">
      <c r="A589" s="5">
        <v>579</v>
      </c>
      <c r="B589" s="5">
        <f t="shared" si="218"/>
        <v>34920</v>
      </c>
      <c r="C589" s="5">
        <f t="shared" si="217"/>
        <v>8710</v>
      </c>
      <c r="D589" s="5">
        <f t="shared" si="217"/>
        <v>5800</v>
      </c>
      <c r="E589" s="5">
        <f t="shared" si="217"/>
        <v>1743</v>
      </c>
      <c r="F589" s="5">
        <f t="shared" si="217"/>
        <v>2324</v>
      </c>
      <c r="G589" s="5">
        <f t="shared" si="215"/>
        <v>139680</v>
      </c>
      <c r="H589" s="5">
        <f t="shared" si="215"/>
        <v>34840</v>
      </c>
      <c r="I589" s="5">
        <f t="shared" si="215"/>
        <v>23200</v>
      </c>
      <c r="J589" s="5">
        <f t="shared" si="215"/>
        <v>6972</v>
      </c>
      <c r="K589" s="5">
        <f t="shared" si="215"/>
        <v>9296</v>
      </c>
      <c r="L589" s="5">
        <f t="shared" si="216"/>
        <v>69840</v>
      </c>
      <c r="M589" s="5">
        <f t="shared" si="216"/>
        <v>17420</v>
      </c>
      <c r="N589" s="5">
        <f t="shared" si="216"/>
        <v>11600</v>
      </c>
      <c r="O589" s="5">
        <f t="shared" si="216"/>
        <v>3486</v>
      </c>
      <c r="P589" s="5">
        <f t="shared" si="216"/>
        <v>4648</v>
      </c>
      <c r="Q589" s="5">
        <f t="shared" si="209"/>
        <v>244440</v>
      </c>
      <c r="R589" s="5">
        <f t="shared" si="210"/>
        <v>60970</v>
      </c>
      <c r="S589" s="5">
        <f t="shared" si="211"/>
        <v>40600</v>
      </c>
      <c r="T589" s="5">
        <f t="shared" si="212"/>
        <v>12201</v>
      </c>
      <c r="U589" s="5">
        <f t="shared" si="213"/>
        <v>16268</v>
      </c>
      <c r="V589" s="5">
        <f>B589*战斗力计算!$B$8+C589*战斗力计算!$B$9+D589*战斗力计算!$B$10+E589*战斗力计算!$B$11+F589*战斗力计算!$B$12</f>
        <v>255520</v>
      </c>
      <c r="W589" s="5">
        <f>G589*战斗力计算!$B$8+H589*战斗力计算!$B$9+I589*战斗力计算!$B$10+J589*战斗力计算!$B$11+K589*战斗力计算!$B$12+L589*战斗力计算!$B$8+M589*战斗力计算!$B$9+N589*战斗力计算!$B$10+O589*战斗力计算!$B$11+P589*战斗力计算!$B$12</f>
        <v>1533120</v>
      </c>
      <c r="X589" s="5">
        <f t="shared" si="214"/>
        <v>1788640</v>
      </c>
      <c r="AC589">
        <f t="shared" si="219"/>
        <v>4</v>
      </c>
      <c r="AD589">
        <f t="shared" si="220"/>
        <v>2</v>
      </c>
      <c r="AF589">
        <f t="shared" si="221"/>
        <v>0.75</v>
      </c>
      <c r="AH589">
        <f t="shared" si="222"/>
        <v>12</v>
      </c>
      <c r="AK589">
        <f t="shared" si="223"/>
        <v>6.0206896551724141</v>
      </c>
      <c r="AL589">
        <f t="shared" si="224"/>
        <v>1.5017241379310344</v>
      </c>
      <c r="AM589">
        <f t="shared" si="225"/>
        <v>1</v>
      </c>
      <c r="AN589">
        <f t="shared" si="226"/>
        <v>6.0206896551724141</v>
      </c>
      <c r="AO589">
        <f t="shared" si="227"/>
        <v>1.5017241379310344</v>
      </c>
      <c r="AP589">
        <f t="shared" si="228"/>
        <v>1</v>
      </c>
      <c r="AR589">
        <f t="shared" si="229"/>
        <v>4.4974182444061963</v>
      </c>
      <c r="AT589">
        <f t="shared" si="230"/>
        <v>4.4974182444061963</v>
      </c>
      <c r="AV589">
        <f t="shared" si="231"/>
        <v>6097</v>
      </c>
      <c r="AW589">
        <f t="shared" si="232"/>
        <v>11323</v>
      </c>
    </row>
    <row r="590" spans="1:49" x14ac:dyDescent="0.15">
      <c r="A590" s="5">
        <v>580</v>
      </c>
      <c r="B590" s="5">
        <f t="shared" si="218"/>
        <v>34980</v>
      </c>
      <c r="C590" s="5">
        <f t="shared" si="217"/>
        <v>8725</v>
      </c>
      <c r="D590" s="5">
        <f t="shared" si="217"/>
        <v>5810</v>
      </c>
      <c r="E590" s="5">
        <f t="shared" si="217"/>
        <v>1746</v>
      </c>
      <c r="F590" s="5">
        <f t="shared" si="217"/>
        <v>2328</v>
      </c>
      <c r="G590" s="5">
        <f t="shared" si="215"/>
        <v>139920</v>
      </c>
      <c r="H590" s="5">
        <f t="shared" si="215"/>
        <v>34900</v>
      </c>
      <c r="I590" s="5">
        <f t="shared" si="215"/>
        <v>23240</v>
      </c>
      <c r="J590" s="5">
        <f t="shared" si="215"/>
        <v>6984</v>
      </c>
      <c r="K590" s="5">
        <f t="shared" si="215"/>
        <v>9312</v>
      </c>
      <c r="L590" s="5">
        <f t="shared" si="216"/>
        <v>69960</v>
      </c>
      <c r="M590" s="5">
        <f t="shared" si="216"/>
        <v>17450</v>
      </c>
      <c r="N590" s="5">
        <f t="shared" si="216"/>
        <v>11620</v>
      </c>
      <c r="O590" s="5">
        <f t="shared" si="216"/>
        <v>3492</v>
      </c>
      <c r="P590" s="5">
        <f t="shared" si="216"/>
        <v>4656</v>
      </c>
      <c r="Q590" s="5">
        <f t="shared" si="209"/>
        <v>244860</v>
      </c>
      <c r="R590" s="5">
        <f t="shared" si="210"/>
        <v>61075</v>
      </c>
      <c r="S590" s="5">
        <f t="shared" si="211"/>
        <v>40670</v>
      </c>
      <c r="T590" s="5">
        <f t="shared" si="212"/>
        <v>12222</v>
      </c>
      <c r="U590" s="5">
        <f t="shared" si="213"/>
        <v>16296</v>
      </c>
      <c r="V590" s="5">
        <f>B590*战斗力计算!$B$8+C590*战斗力计算!$B$9+D590*战斗力计算!$B$10+E590*战斗力计算!$B$11+F590*战斗力计算!$B$12</f>
        <v>255960</v>
      </c>
      <c r="W590" s="5">
        <f>G590*战斗力计算!$B$8+H590*战斗力计算!$B$9+I590*战斗力计算!$B$10+J590*战斗力计算!$B$11+K590*战斗力计算!$B$12+L590*战斗力计算!$B$8+M590*战斗力计算!$B$9+N590*战斗力计算!$B$10+O590*战斗力计算!$B$11+P590*战斗力计算!$B$12</f>
        <v>1535760</v>
      </c>
      <c r="X590" s="5">
        <f t="shared" si="214"/>
        <v>1791720</v>
      </c>
      <c r="AC590">
        <f t="shared" si="219"/>
        <v>4</v>
      </c>
      <c r="AD590">
        <f t="shared" si="220"/>
        <v>2</v>
      </c>
      <c r="AF590">
        <f t="shared" si="221"/>
        <v>0.75</v>
      </c>
      <c r="AH590">
        <f t="shared" si="222"/>
        <v>12</v>
      </c>
      <c r="AK590">
        <f t="shared" si="223"/>
        <v>6.0206540447504304</v>
      </c>
      <c r="AL590">
        <f t="shared" si="224"/>
        <v>1.5017211703958693</v>
      </c>
      <c r="AM590">
        <f t="shared" si="225"/>
        <v>1</v>
      </c>
      <c r="AN590">
        <f t="shared" si="226"/>
        <v>6.0206540447504304</v>
      </c>
      <c r="AO590">
        <f t="shared" si="227"/>
        <v>1.5017211703958693</v>
      </c>
      <c r="AP590">
        <f t="shared" si="228"/>
        <v>1</v>
      </c>
      <c r="AR590">
        <f t="shared" si="229"/>
        <v>4.4974226804123711</v>
      </c>
      <c r="AT590">
        <f t="shared" si="230"/>
        <v>4.4974226804123711</v>
      </c>
      <c r="AV590">
        <f t="shared" si="231"/>
        <v>6107</v>
      </c>
      <c r="AW590">
        <f t="shared" si="232"/>
        <v>11342</v>
      </c>
    </row>
    <row r="591" spans="1:49" x14ac:dyDescent="0.15">
      <c r="A591" s="5">
        <v>581</v>
      </c>
      <c r="B591" s="5">
        <f t="shared" si="218"/>
        <v>35040</v>
      </c>
      <c r="C591" s="5">
        <f t="shared" si="217"/>
        <v>8740</v>
      </c>
      <c r="D591" s="5">
        <f t="shared" si="217"/>
        <v>5820</v>
      </c>
      <c r="E591" s="5">
        <f t="shared" si="217"/>
        <v>1749</v>
      </c>
      <c r="F591" s="5">
        <f t="shared" si="217"/>
        <v>2332</v>
      </c>
      <c r="G591" s="5">
        <f t="shared" si="215"/>
        <v>140160</v>
      </c>
      <c r="H591" s="5">
        <f t="shared" si="215"/>
        <v>34960</v>
      </c>
      <c r="I591" s="5">
        <f t="shared" si="215"/>
        <v>23280</v>
      </c>
      <c r="J591" s="5">
        <f t="shared" si="215"/>
        <v>6996</v>
      </c>
      <c r="K591" s="5">
        <f t="shared" si="215"/>
        <v>9328</v>
      </c>
      <c r="L591" s="5">
        <f t="shared" si="216"/>
        <v>70080</v>
      </c>
      <c r="M591" s="5">
        <f t="shared" si="216"/>
        <v>17480</v>
      </c>
      <c r="N591" s="5">
        <f t="shared" si="216"/>
        <v>11640</v>
      </c>
      <c r="O591" s="5">
        <f t="shared" si="216"/>
        <v>3498</v>
      </c>
      <c r="P591" s="5">
        <f t="shared" si="216"/>
        <v>4664</v>
      </c>
      <c r="Q591" s="5">
        <f t="shared" si="209"/>
        <v>245280</v>
      </c>
      <c r="R591" s="5">
        <f t="shared" si="210"/>
        <v>61180</v>
      </c>
      <c r="S591" s="5">
        <f t="shared" si="211"/>
        <v>40740</v>
      </c>
      <c r="T591" s="5">
        <f t="shared" si="212"/>
        <v>12243</v>
      </c>
      <c r="U591" s="5">
        <f t="shared" si="213"/>
        <v>16324</v>
      </c>
      <c r="V591" s="5">
        <f>B591*战斗力计算!$B$8+C591*战斗力计算!$B$9+D591*战斗力计算!$B$10+E591*战斗力计算!$B$11+F591*战斗力计算!$B$12</f>
        <v>256400</v>
      </c>
      <c r="W591" s="5">
        <f>G591*战斗力计算!$B$8+H591*战斗力计算!$B$9+I591*战斗力计算!$B$10+J591*战斗力计算!$B$11+K591*战斗力计算!$B$12+L591*战斗力计算!$B$8+M591*战斗力计算!$B$9+N591*战斗力计算!$B$10+O591*战斗力计算!$B$11+P591*战斗力计算!$B$12</f>
        <v>1538400</v>
      </c>
      <c r="X591" s="5">
        <f t="shared" si="214"/>
        <v>1794800</v>
      </c>
      <c r="AC591">
        <f t="shared" si="219"/>
        <v>4</v>
      </c>
      <c r="AD591">
        <f t="shared" si="220"/>
        <v>2</v>
      </c>
      <c r="AF591">
        <f t="shared" si="221"/>
        <v>0.75</v>
      </c>
      <c r="AH591">
        <f t="shared" si="222"/>
        <v>12</v>
      </c>
      <c r="AK591">
        <f t="shared" si="223"/>
        <v>6.0206185567010309</v>
      </c>
      <c r="AL591">
        <f t="shared" si="224"/>
        <v>1.5017182130584192</v>
      </c>
      <c r="AM591">
        <f t="shared" si="225"/>
        <v>1</v>
      </c>
      <c r="AN591">
        <f t="shared" si="226"/>
        <v>6.0206185567010309</v>
      </c>
      <c r="AO591">
        <f t="shared" si="227"/>
        <v>1.5017182130584192</v>
      </c>
      <c r="AP591">
        <f t="shared" si="228"/>
        <v>1</v>
      </c>
      <c r="AR591">
        <f t="shared" si="229"/>
        <v>4.4974271012006861</v>
      </c>
      <c r="AT591">
        <f t="shared" si="230"/>
        <v>4.4974271012006861</v>
      </c>
      <c r="AV591">
        <f t="shared" si="231"/>
        <v>6118</v>
      </c>
      <c r="AW591">
        <f t="shared" si="232"/>
        <v>11362</v>
      </c>
    </row>
    <row r="592" spans="1:49" x14ac:dyDescent="0.15">
      <c r="A592" s="5">
        <v>582</v>
      </c>
      <c r="B592" s="5">
        <f t="shared" si="218"/>
        <v>35100</v>
      </c>
      <c r="C592" s="5">
        <f t="shared" si="217"/>
        <v>8755</v>
      </c>
      <c r="D592" s="5">
        <f t="shared" si="217"/>
        <v>5830</v>
      </c>
      <c r="E592" s="5">
        <f t="shared" si="217"/>
        <v>1752</v>
      </c>
      <c r="F592" s="5">
        <f t="shared" si="217"/>
        <v>2336</v>
      </c>
      <c r="G592" s="5">
        <f t="shared" ref="G592:K610" si="233">HLOOKUP(G$10,$B$10:$F$610,$A592+1,0)*$AC592</f>
        <v>140400</v>
      </c>
      <c r="H592" s="5">
        <f t="shared" si="233"/>
        <v>35020</v>
      </c>
      <c r="I592" s="5">
        <f t="shared" si="233"/>
        <v>23320</v>
      </c>
      <c r="J592" s="5">
        <f t="shared" si="233"/>
        <v>7008</v>
      </c>
      <c r="K592" s="5">
        <f t="shared" si="233"/>
        <v>9344</v>
      </c>
      <c r="L592" s="5">
        <f t="shared" ref="L592:P610" si="234">HLOOKUP(L$10,$B$10:$F$610,$A592+1,0)*$AD592</f>
        <v>70200</v>
      </c>
      <c r="M592" s="5">
        <f t="shared" si="234"/>
        <v>17510</v>
      </c>
      <c r="N592" s="5">
        <f t="shared" si="234"/>
        <v>11660</v>
      </c>
      <c r="O592" s="5">
        <f t="shared" si="234"/>
        <v>3504</v>
      </c>
      <c r="P592" s="5">
        <f t="shared" si="234"/>
        <v>4672</v>
      </c>
      <c r="Q592" s="5">
        <f t="shared" si="209"/>
        <v>245700</v>
      </c>
      <c r="R592" s="5">
        <f t="shared" si="210"/>
        <v>61285</v>
      </c>
      <c r="S592" s="5">
        <f t="shared" si="211"/>
        <v>40810</v>
      </c>
      <c r="T592" s="5">
        <f t="shared" si="212"/>
        <v>12264</v>
      </c>
      <c r="U592" s="5">
        <f t="shared" si="213"/>
        <v>16352</v>
      </c>
      <c r="V592" s="5">
        <f>B592*战斗力计算!$B$8+C592*战斗力计算!$B$9+D592*战斗力计算!$B$10+E592*战斗力计算!$B$11+F592*战斗力计算!$B$12</f>
        <v>256840</v>
      </c>
      <c r="W592" s="5">
        <f>G592*战斗力计算!$B$8+H592*战斗力计算!$B$9+I592*战斗力计算!$B$10+J592*战斗力计算!$B$11+K592*战斗力计算!$B$12+L592*战斗力计算!$B$8+M592*战斗力计算!$B$9+N592*战斗力计算!$B$10+O592*战斗力计算!$B$11+P592*战斗力计算!$B$12</f>
        <v>1541040</v>
      </c>
      <c r="X592" s="5">
        <f t="shared" si="214"/>
        <v>1797880</v>
      </c>
      <c r="AC592">
        <f t="shared" si="219"/>
        <v>4</v>
      </c>
      <c r="AD592">
        <f t="shared" si="220"/>
        <v>2</v>
      </c>
      <c r="AF592">
        <f t="shared" si="221"/>
        <v>0.75</v>
      </c>
      <c r="AH592">
        <f t="shared" si="222"/>
        <v>12</v>
      </c>
      <c r="AK592">
        <f t="shared" si="223"/>
        <v>6.0205831903945111</v>
      </c>
      <c r="AL592">
        <f t="shared" si="224"/>
        <v>1.5017152658662092</v>
      </c>
      <c r="AM592">
        <f t="shared" si="225"/>
        <v>1</v>
      </c>
      <c r="AN592">
        <f t="shared" si="226"/>
        <v>6.0205831903945111</v>
      </c>
      <c r="AO592">
        <f t="shared" si="227"/>
        <v>1.5017152658662092</v>
      </c>
      <c r="AP592">
        <f t="shared" si="228"/>
        <v>1</v>
      </c>
      <c r="AR592">
        <f t="shared" si="229"/>
        <v>4.4974315068493151</v>
      </c>
      <c r="AT592">
        <f t="shared" si="230"/>
        <v>4.4974315068493151</v>
      </c>
      <c r="AV592">
        <f t="shared" si="231"/>
        <v>6128</v>
      </c>
      <c r="AW592">
        <f t="shared" si="232"/>
        <v>11381</v>
      </c>
    </row>
    <row r="593" spans="1:49" x14ac:dyDescent="0.15">
      <c r="A593" s="5">
        <v>583</v>
      </c>
      <c r="B593" s="5">
        <f t="shared" si="218"/>
        <v>35160</v>
      </c>
      <c r="C593" s="5">
        <f t="shared" si="217"/>
        <v>8770</v>
      </c>
      <c r="D593" s="5">
        <f t="shared" si="217"/>
        <v>5840</v>
      </c>
      <c r="E593" s="5">
        <f t="shared" si="217"/>
        <v>1755</v>
      </c>
      <c r="F593" s="5">
        <f t="shared" si="217"/>
        <v>2340</v>
      </c>
      <c r="G593" s="5">
        <f t="shared" si="233"/>
        <v>140640</v>
      </c>
      <c r="H593" s="5">
        <f t="shared" si="233"/>
        <v>35080</v>
      </c>
      <c r="I593" s="5">
        <f t="shared" si="233"/>
        <v>23360</v>
      </c>
      <c r="J593" s="5">
        <f t="shared" si="233"/>
        <v>7020</v>
      </c>
      <c r="K593" s="5">
        <f t="shared" si="233"/>
        <v>9360</v>
      </c>
      <c r="L593" s="5">
        <f t="shared" si="234"/>
        <v>70320</v>
      </c>
      <c r="M593" s="5">
        <f t="shared" si="234"/>
        <v>17540</v>
      </c>
      <c r="N593" s="5">
        <f t="shared" si="234"/>
        <v>11680</v>
      </c>
      <c r="O593" s="5">
        <f t="shared" si="234"/>
        <v>3510</v>
      </c>
      <c r="P593" s="5">
        <f t="shared" si="234"/>
        <v>4680</v>
      </c>
      <c r="Q593" s="5">
        <f t="shared" si="209"/>
        <v>246120</v>
      </c>
      <c r="R593" s="5">
        <f t="shared" si="210"/>
        <v>61390</v>
      </c>
      <c r="S593" s="5">
        <f t="shared" si="211"/>
        <v>40880</v>
      </c>
      <c r="T593" s="5">
        <f t="shared" si="212"/>
        <v>12285</v>
      </c>
      <c r="U593" s="5">
        <f t="shared" si="213"/>
        <v>16380</v>
      </c>
      <c r="V593" s="5">
        <f>B593*战斗力计算!$B$8+C593*战斗力计算!$B$9+D593*战斗力计算!$B$10+E593*战斗力计算!$B$11+F593*战斗力计算!$B$12</f>
        <v>257280</v>
      </c>
      <c r="W593" s="5">
        <f>G593*战斗力计算!$B$8+H593*战斗力计算!$B$9+I593*战斗力计算!$B$10+J593*战斗力计算!$B$11+K593*战斗力计算!$B$12+L593*战斗力计算!$B$8+M593*战斗力计算!$B$9+N593*战斗力计算!$B$10+O593*战斗力计算!$B$11+P593*战斗力计算!$B$12</f>
        <v>1543680</v>
      </c>
      <c r="X593" s="5">
        <f t="shared" si="214"/>
        <v>1800960</v>
      </c>
      <c r="AC593">
        <f t="shared" si="219"/>
        <v>4</v>
      </c>
      <c r="AD593">
        <f t="shared" si="220"/>
        <v>2</v>
      </c>
      <c r="AF593">
        <f t="shared" si="221"/>
        <v>0.75</v>
      </c>
      <c r="AH593">
        <f t="shared" si="222"/>
        <v>12</v>
      </c>
      <c r="AK593">
        <f t="shared" si="223"/>
        <v>6.0205479452054798</v>
      </c>
      <c r="AL593">
        <f t="shared" si="224"/>
        <v>1.5017123287671232</v>
      </c>
      <c r="AM593">
        <f t="shared" si="225"/>
        <v>1</v>
      </c>
      <c r="AN593">
        <f t="shared" si="226"/>
        <v>6.0205479452054798</v>
      </c>
      <c r="AO593">
        <f t="shared" si="227"/>
        <v>1.5017123287671232</v>
      </c>
      <c r="AP593">
        <f t="shared" si="228"/>
        <v>1</v>
      </c>
      <c r="AR593">
        <f t="shared" si="229"/>
        <v>4.4974358974358974</v>
      </c>
      <c r="AT593">
        <f t="shared" si="230"/>
        <v>4.4974358974358974</v>
      </c>
      <c r="AV593">
        <f t="shared" si="231"/>
        <v>6139</v>
      </c>
      <c r="AW593">
        <f t="shared" si="232"/>
        <v>11401</v>
      </c>
    </row>
    <row r="594" spans="1:49" x14ac:dyDescent="0.15">
      <c r="A594" s="5">
        <v>584</v>
      </c>
      <c r="B594" s="5">
        <f t="shared" si="218"/>
        <v>35220</v>
      </c>
      <c r="C594" s="5">
        <f t="shared" si="217"/>
        <v>8785</v>
      </c>
      <c r="D594" s="5">
        <f t="shared" si="217"/>
        <v>5850</v>
      </c>
      <c r="E594" s="5">
        <f t="shared" si="217"/>
        <v>1758</v>
      </c>
      <c r="F594" s="5">
        <f t="shared" si="217"/>
        <v>2344</v>
      </c>
      <c r="G594" s="5">
        <f t="shared" si="233"/>
        <v>140880</v>
      </c>
      <c r="H594" s="5">
        <f t="shared" si="233"/>
        <v>35140</v>
      </c>
      <c r="I594" s="5">
        <f t="shared" si="233"/>
        <v>23400</v>
      </c>
      <c r="J594" s="5">
        <f t="shared" si="233"/>
        <v>7032</v>
      </c>
      <c r="K594" s="5">
        <f t="shared" si="233"/>
        <v>9376</v>
      </c>
      <c r="L594" s="5">
        <f t="shared" si="234"/>
        <v>70440</v>
      </c>
      <c r="M594" s="5">
        <f t="shared" si="234"/>
        <v>17570</v>
      </c>
      <c r="N594" s="5">
        <f t="shared" si="234"/>
        <v>11700</v>
      </c>
      <c r="O594" s="5">
        <f t="shared" si="234"/>
        <v>3516</v>
      </c>
      <c r="P594" s="5">
        <f t="shared" si="234"/>
        <v>4688</v>
      </c>
      <c r="Q594" s="5">
        <f t="shared" si="209"/>
        <v>246540</v>
      </c>
      <c r="R594" s="5">
        <f t="shared" si="210"/>
        <v>61495</v>
      </c>
      <c r="S594" s="5">
        <f t="shared" si="211"/>
        <v>40950</v>
      </c>
      <c r="T594" s="5">
        <f t="shared" si="212"/>
        <v>12306</v>
      </c>
      <c r="U594" s="5">
        <f t="shared" si="213"/>
        <v>16408</v>
      </c>
      <c r="V594" s="5">
        <f>B594*战斗力计算!$B$8+C594*战斗力计算!$B$9+D594*战斗力计算!$B$10+E594*战斗力计算!$B$11+F594*战斗力计算!$B$12</f>
        <v>257720</v>
      </c>
      <c r="W594" s="5">
        <f>G594*战斗力计算!$B$8+H594*战斗力计算!$B$9+I594*战斗力计算!$B$10+J594*战斗力计算!$B$11+K594*战斗力计算!$B$12+L594*战斗力计算!$B$8+M594*战斗力计算!$B$9+N594*战斗力计算!$B$10+O594*战斗力计算!$B$11+P594*战斗力计算!$B$12</f>
        <v>1546320</v>
      </c>
      <c r="X594" s="5">
        <f t="shared" si="214"/>
        <v>1804040</v>
      </c>
      <c r="AC594">
        <f t="shared" si="219"/>
        <v>4</v>
      </c>
      <c r="AD594">
        <f t="shared" si="220"/>
        <v>2</v>
      </c>
      <c r="AF594">
        <f t="shared" si="221"/>
        <v>0.75</v>
      </c>
      <c r="AH594">
        <f t="shared" si="222"/>
        <v>12</v>
      </c>
      <c r="AK594">
        <f t="shared" si="223"/>
        <v>6.0205128205128204</v>
      </c>
      <c r="AL594">
        <f t="shared" si="224"/>
        <v>1.5017094017094017</v>
      </c>
      <c r="AM594">
        <f t="shared" si="225"/>
        <v>1</v>
      </c>
      <c r="AN594">
        <f t="shared" si="226"/>
        <v>6.0205128205128204</v>
      </c>
      <c r="AO594">
        <f t="shared" si="227"/>
        <v>1.5017094017094017</v>
      </c>
      <c r="AP594">
        <f t="shared" si="228"/>
        <v>1</v>
      </c>
      <c r="AR594">
        <f t="shared" si="229"/>
        <v>4.4974402730375429</v>
      </c>
      <c r="AT594">
        <f t="shared" si="230"/>
        <v>4.4974402730375429</v>
      </c>
      <c r="AV594">
        <f t="shared" si="231"/>
        <v>6149</v>
      </c>
      <c r="AW594">
        <f t="shared" si="232"/>
        <v>11420</v>
      </c>
    </row>
    <row r="595" spans="1:49" x14ac:dyDescent="0.15">
      <c r="A595" s="5">
        <v>585</v>
      </c>
      <c r="B595" s="5">
        <f t="shared" si="218"/>
        <v>35280</v>
      </c>
      <c r="C595" s="5">
        <f t="shared" si="217"/>
        <v>8800</v>
      </c>
      <c r="D595" s="5">
        <f t="shared" si="217"/>
        <v>5860</v>
      </c>
      <c r="E595" s="5">
        <f t="shared" si="217"/>
        <v>1761</v>
      </c>
      <c r="F595" s="5">
        <f t="shared" si="217"/>
        <v>2348</v>
      </c>
      <c r="G595" s="5">
        <f t="shared" si="233"/>
        <v>141120</v>
      </c>
      <c r="H595" s="5">
        <f t="shared" si="233"/>
        <v>35200</v>
      </c>
      <c r="I595" s="5">
        <f t="shared" si="233"/>
        <v>23440</v>
      </c>
      <c r="J595" s="5">
        <f t="shared" si="233"/>
        <v>7044</v>
      </c>
      <c r="K595" s="5">
        <f t="shared" si="233"/>
        <v>9392</v>
      </c>
      <c r="L595" s="5">
        <f t="shared" si="234"/>
        <v>70560</v>
      </c>
      <c r="M595" s="5">
        <f t="shared" si="234"/>
        <v>17600</v>
      </c>
      <c r="N595" s="5">
        <f t="shared" si="234"/>
        <v>11720</v>
      </c>
      <c r="O595" s="5">
        <f t="shared" si="234"/>
        <v>3522</v>
      </c>
      <c r="P595" s="5">
        <f t="shared" si="234"/>
        <v>4696</v>
      </c>
      <c r="Q595" s="5">
        <f t="shared" si="209"/>
        <v>246960</v>
      </c>
      <c r="R595" s="5">
        <f t="shared" si="210"/>
        <v>61600</v>
      </c>
      <c r="S595" s="5">
        <f t="shared" si="211"/>
        <v>41020</v>
      </c>
      <c r="T595" s="5">
        <f t="shared" si="212"/>
        <v>12327</v>
      </c>
      <c r="U595" s="5">
        <f t="shared" si="213"/>
        <v>16436</v>
      </c>
      <c r="V595" s="5">
        <f>B595*战斗力计算!$B$8+C595*战斗力计算!$B$9+D595*战斗力计算!$B$10+E595*战斗力计算!$B$11+F595*战斗力计算!$B$12</f>
        <v>258160</v>
      </c>
      <c r="W595" s="5">
        <f>G595*战斗力计算!$B$8+H595*战斗力计算!$B$9+I595*战斗力计算!$B$10+J595*战斗力计算!$B$11+K595*战斗力计算!$B$12+L595*战斗力计算!$B$8+M595*战斗力计算!$B$9+N595*战斗力计算!$B$10+O595*战斗力计算!$B$11+P595*战斗力计算!$B$12</f>
        <v>1548960</v>
      </c>
      <c r="X595" s="5">
        <f t="shared" si="214"/>
        <v>1807120</v>
      </c>
      <c r="AC595">
        <f t="shared" si="219"/>
        <v>4</v>
      </c>
      <c r="AD595">
        <f t="shared" si="220"/>
        <v>2</v>
      </c>
      <c r="AF595">
        <f t="shared" si="221"/>
        <v>0.75</v>
      </c>
      <c r="AH595">
        <f t="shared" si="222"/>
        <v>12</v>
      </c>
      <c r="AK595">
        <f t="shared" si="223"/>
        <v>6.0204778156996586</v>
      </c>
      <c r="AL595">
        <f t="shared" si="224"/>
        <v>1.5017064846416381</v>
      </c>
      <c r="AM595">
        <f t="shared" si="225"/>
        <v>1</v>
      </c>
      <c r="AN595">
        <f t="shared" si="226"/>
        <v>6.0204778156996586</v>
      </c>
      <c r="AO595">
        <f t="shared" si="227"/>
        <v>1.5017064846416381</v>
      </c>
      <c r="AP595">
        <f t="shared" si="228"/>
        <v>1</v>
      </c>
      <c r="AR595">
        <f t="shared" si="229"/>
        <v>4.4974446337308347</v>
      </c>
      <c r="AT595">
        <f t="shared" si="230"/>
        <v>4.4974446337308347</v>
      </c>
      <c r="AV595">
        <f t="shared" si="231"/>
        <v>6160</v>
      </c>
      <c r="AW595">
        <f t="shared" si="232"/>
        <v>11440</v>
      </c>
    </row>
    <row r="596" spans="1:49" x14ac:dyDescent="0.15">
      <c r="A596" s="5">
        <v>586</v>
      </c>
      <c r="B596" s="5">
        <f t="shared" si="218"/>
        <v>35340</v>
      </c>
      <c r="C596" s="5">
        <f t="shared" si="217"/>
        <v>8815</v>
      </c>
      <c r="D596" s="5">
        <f t="shared" si="217"/>
        <v>5870</v>
      </c>
      <c r="E596" s="5">
        <f t="shared" si="217"/>
        <v>1764</v>
      </c>
      <c r="F596" s="5">
        <f t="shared" si="217"/>
        <v>2352</v>
      </c>
      <c r="G596" s="5">
        <f t="shared" si="233"/>
        <v>141360</v>
      </c>
      <c r="H596" s="5">
        <f t="shared" si="233"/>
        <v>35260</v>
      </c>
      <c r="I596" s="5">
        <f t="shared" si="233"/>
        <v>23480</v>
      </c>
      <c r="J596" s="5">
        <f t="shared" si="233"/>
        <v>7056</v>
      </c>
      <c r="K596" s="5">
        <f t="shared" si="233"/>
        <v>9408</v>
      </c>
      <c r="L596" s="5">
        <f t="shared" si="234"/>
        <v>70680</v>
      </c>
      <c r="M596" s="5">
        <f t="shared" si="234"/>
        <v>17630</v>
      </c>
      <c r="N596" s="5">
        <f t="shared" si="234"/>
        <v>11740</v>
      </c>
      <c r="O596" s="5">
        <f t="shared" si="234"/>
        <v>3528</v>
      </c>
      <c r="P596" s="5">
        <f t="shared" si="234"/>
        <v>4704</v>
      </c>
      <c r="Q596" s="5">
        <f t="shared" si="209"/>
        <v>247380</v>
      </c>
      <c r="R596" s="5">
        <f t="shared" si="210"/>
        <v>61705</v>
      </c>
      <c r="S596" s="5">
        <f t="shared" si="211"/>
        <v>41090</v>
      </c>
      <c r="T596" s="5">
        <f t="shared" si="212"/>
        <v>12348</v>
      </c>
      <c r="U596" s="5">
        <f t="shared" si="213"/>
        <v>16464</v>
      </c>
      <c r="V596" s="5">
        <f>B596*战斗力计算!$B$8+C596*战斗力计算!$B$9+D596*战斗力计算!$B$10+E596*战斗力计算!$B$11+F596*战斗力计算!$B$12</f>
        <v>258600</v>
      </c>
      <c r="W596" s="5">
        <f>G596*战斗力计算!$B$8+H596*战斗力计算!$B$9+I596*战斗力计算!$B$10+J596*战斗力计算!$B$11+K596*战斗力计算!$B$12+L596*战斗力计算!$B$8+M596*战斗力计算!$B$9+N596*战斗力计算!$B$10+O596*战斗力计算!$B$11+P596*战斗力计算!$B$12</f>
        <v>1551600</v>
      </c>
      <c r="X596" s="5">
        <f t="shared" si="214"/>
        <v>1810200</v>
      </c>
      <c r="AC596">
        <f t="shared" si="219"/>
        <v>4</v>
      </c>
      <c r="AD596">
        <f t="shared" si="220"/>
        <v>2</v>
      </c>
      <c r="AF596">
        <f t="shared" si="221"/>
        <v>0.75</v>
      </c>
      <c r="AH596">
        <f t="shared" si="222"/>
        <v>12</v>
      </c>
      <c r="AK596">
        <f t="shared" si="223"/>
        <v>6.0204429301533215</v>
      </c>
      <c r="AL596">
        <f t="shared" si="224"/>
        <v>1.5017035775127767</v>
      </c>
      <c r="AM596">
        <f t="shared" si="225"/>
        <v>1</v>
      </c>
      <c r="AN596">
        <f t="shared" si="226"/>
        <v>6.0204429301533215</v>
      </c>
      <c r="AO596">
        <f t="shared" si="227"/>
        <v>1.5017035775127767</v>
      </c>
      <c r="AP596">
        <f t="shared" si="228"/>
        <v>1</v>
      </c>
      <c r="AR596">
        <f t="shared" si="229"/>
        <v>4.4974489795918364</v>
      </c>
      <c r="AT596">
        <f t="shared" si="230"/>
        <v>4.4974489795918364</v>
      </c>
      <c r="AV596">
        <f t="shared" si="231"/>
        <v>6170</v>
      </c>
      <c r="AW596">
        <f t="shared" si="232"/>
        <v>11459</v>
      </c>
    </row>
    <row r="597" spans="1:49" x14ac:dyDescent="0.15">
      <c r="A597" s="5">
        <v>587</v>
      </c>
      <c r="B597" s="5">
        <f t="shared" si="218"/>
        <v>35400</v>
      </c>
      <c r="C597" s="5">
        <f t="shared" si="217"/>
        <v>8830</v>
      </c>
      <c r="D597" s="5">
        <f t="shared" si="217"/>
        <v>5880</v>
      </c>
      <c r="E597" s="5">
        <f t="shared" si="217"/>
        <v>1767</v>
      </c>
      <c r="F597" s="5">
        <f t="shared" si="217"/>
        <v>2356</v>
      </c>
      <c r="G597" s="5">
        <f t="shared" si="233"/>
        <v>141600</v>
      </c>
      <c r="H597" s="5">
        <f t="shared" si="233"/>
        <v>35320</v>
      </c>
      <c r="I597" s="5">
        <f t="shared" si="233"/>
        <v>23520</v>
      </c>
      <c r="J597" s="5">
        <f t="shared" si="233"/>
        <v>7068</v>
      </c>
      <c r="K597" s="5">
        <f t="shared" si="233"/>
        <v>9424</v>
      </c>
      <c r="L597" s="5">
        <f t="shared" si="234"/>
        <v>70800</v>
      </c>
      <c r="M597" s="5">
        <f t="shared" si="234"/>
        <v>17660</v>
      </c>
      <c r="N597" s="5">
        <f t="shared" si="234"/>
        <v>11760</v>
      </c>
      <c r="O597" s="5">
        <f t="shared" si="234"/>
        <v>3534</v>
      </c>
      <c r="P597" s="5">
        <f t="shared" si="234"/>
        <v>4712</v>
      </c>
      <c r="Q597" s="5">
        <f t="shared" si="209"/>
        <v>247800</v>
      </c>
      <c r="R597" s="5">
        <f t="shared" si="210"/>
        <v>61810</v>
      </c>
      <c r="S597" s="5">
        <f t="shared" si="211"/>
        <v>41160</v>
      </c>
      <c r="T597" s="5">
        <f t="shared" si="212"/>
        <v>12369</v>
      </c>
      <c r="U597" s="5">
        <f t="shared" si="213"/>
        <v>16492</v>
      </c>
      <c r="V597" s="5">
        <f>B597*战斗力计算!$B$8+C597*战斗力计算!$B$9+D597*战斗力计算!$B$10+E597*战斗力计算!$B$11+F597*战斗力计算!$B$12</f>
        <v>259040</v>
      </c>
      <c r="W597" s="5">
        <f>G597*战斗力计算!$B$8+H597*战斗力计算!$B$9+I597*战斗力计算!$B$10+J597*战斗力计算!$B$11+K597*战斗力计算!$B$12+L597*战斗力计算!$B$8+M597*战斗力计算!$B$9+N597*战斗力计算!$B$10+O597*战斗力计算!$B$11+P597*战斗力计算!$B$12</f>
        <v>1554240</v>
      </c>
      <c r="X597" s="5">
        <f t="shared" si="214"/>
        <v>1813280</v>
      </c>
      <c r="AC597">
        <f t="shared" si="219"/>
        <v>4</v>
      </c>
      <c r="AD597">
        <f t="shared" si="220"/>
        <v>2</v>
      </c>
      <c r="AF597">
        <f t="shared" si="221"/>
        <v>0.75</v>
      </c>
      <c r="AH597">
        <f t="shared" si="222"/>
        <v>12</v>
      </c>
      <c r="AK597">
        <f t="shared" si="223"/>
        <v>6.0204081632653059</v>
      </c>
      <c r="AL597">
        <f t="shared" si="224"/>
        <v>1.5017006802721089</v>
      </c>
      <c r="AM597">
        <f t="shared" si="225"/>
        <v>1</v>
      </c>
      <c r="AN597">
        <f t="shared" si="226"/>
        <v>6.0204081632653059</v>
      </c>
      <c r="AO597">
        <f t="shared" si="227"/>
        <v>1.5017006802721089</v>
      </c>
      <c r="AP597">
        <f t="shared" si="228"/>
        <v>1</v>
      </c>
      <c r="AR597">
        <f t="shared" si="229"/>
        <v>4.4974533106960948</v>
      </c>
      <c r="AT597">
        <f t="shared" si="230"/>
        <v>4.4974533106960948</v>
      </c>
      <c r="AV597">
        <f t="shared" si="231"/>
        <v>6181</v>
      </c>
      <c r="AW597">
        <f t="shared" si="232"/>
        <v>11479</v>
      </c>
    </row>
    <row r="598" spans="1:49" x14ac:dyDescent="0.15">
      <c r="A598" s="5">
        <v>588</v>
      </c>
      <c r="B598" s="5">
        <f t="shared" si="218"/>
        <v>35460</v>
      </c>
      <c r="C598" s="5">
        <f t="shared" si="217"/>
        <v>8845</v>
      </c>
      <c r="D598" s="5">
        <f t="shared" si="217"/>
        <v>5890</v>
      </c>
      <c r="E598" s="5">
        <f t="shared" si="217"/>
        <v>1770</v>
      </c>
      <c r="F598" s="5">
        <f t="shared" si="217"/>
        <v>2360</v>
      </c>
      <c r="G598" s="5">
        <f t="shared" si="233"/>
        <v>141840</v>
      </c>
      <c r="H598" s="5">
        <f t="shared" si="233"/>
        <v>35380</v>
      </c>
      <c r="I598" s="5">
        <f t="shared" si="233"/>
        <v>23560</v>
      </c>
      <c r="J598" s="5">
        <f t="shared" si="233"/>
        <v>7080</v>
      </c>
      <c r="K598" s="5">
        <f t="shared" si="233"/>
        <v>9440</v>
      </c>
      <c r="L598" s="5">
        <f t="shared" si="234"/>
        <v>70920</v>
      </c>
      <c r="M598" s="5">
        <f t="shared" si="234"/>
        <v>17690</v>
      </c>
      <c r="N598" s="5">
        <f t="shared" si="234"/>
        <v>11780</v>
      </c>
      <c r="O598" s="5">
        <f t="shared" si="234"/>
        <v>3540</v>
      </c>
      <c r="P598" s="5">
        <f t="shared" si="234"/>
        <v>4720</v>
      </c>
      <c r="Q598" s="5">
        <f t="shared" si="209"/>
        <v>248220</v>
      </c>
      <c r="R598" s="5">
        <f t="shared" si="210"/>
        <v>61915</v>
      </c>
      <c r="S598" s="5">
        <f t="shared" si="211"/>
        <v>41230</v>
      </c>
      <c r="T598" s="5">
        <f t="shared" si="212"/>
        <v>12390</v>
      </c>
      <c r="U598" s="5">
        <f t="shared" si="213"/>
        <v>16520</v>
      </c>
      <c r="V598" s="5">
        <f>B598*战斗力计算!$B$8+C598*战斗力计算!$B$9+D598*战斗力计算!$B$10+E598*战斗力计算!$B$11+F598*战斗力计算!$B$12</f>
        <v>259480</v>
      </c>
      <c r="W598" s="5">
        <f>G598*战斗力计算!$B$8+H598*战斗力计算!$B$9+I598*战斗力计算!$B$10+J598*战斗力计算!$B$11+K598*战斗力计算!$B$12+L598*战斗力计算!$B$8+M598*战斗力计算!$B$9+N598*战斗力计算!$B$10+O598*战斗力计算!$B$11+P598*战斗力计算!$B$12</f>
        <v>1556880</v>
      </c>
      <c r="X598" s="5">
        <f t="shared" si="214"/>
        <v>1816360</v>
      </c>
      <c r="AC598">
        <f t="shared" si="219"/>
        <v>4</v>
      </c>
      <c r="AD598">
        <f t="shared" si="220"/>
        <v>2</v>
      </c>
      <c r="AF598">
        <f t="shared" si="221"/>
        <v>0.75</v>
      </c>
      <c r="AH598">
        <f t="shared" si="222"/>
        <v>12</v>
      </c>
      <c r="AK598">
        <f t="shared" si="223"/>
        <v>6.0203735144312391</v>
      </c>
      <c r="AL598">
        <f t="shared" si="224"/>
        <v>1.5016977928692699</v>
      </c>
      <c r="AM598">
        <f t="shared" si="225"/>
        <v>1</v>
      </c>
      <c r="AN598">
        <f t="shared" si="226"/>
        <v>6.0203735144312391</v>
      </c>
      <c r="AO598">
        <f t="shared" si="227"/>
        <v>1.5016977928692699</v>
      </c>
      <c r="AP598">
        <f t="shared" si="228"/>
        <v>1</v>
      </c>
      <c r="AR598">
        <f t="shared" si="229"/>
        <v>4.4974576271186439</v>
      </c>
      <c r="AT598">
        <f t="shared" si="230"/>
        <v>4.4974576271186439</v>
      </c>
      <c r="AV598">
        <f t="shared" si="231"/>
        <v>6191</v>
      </c>
      <c r="AW598">
        <f t="shared" si="232"/>
        <v>11498</v>
      </c>
    </row>
    <row r="599" spans="1:49" x14ac:dyDescent="0.15">
      <c r="A599" s="5">
        <v>589</v>
      </c>
      <c r="B599" s="5">
        <f t="shared" si="218"/>
        <v>35520</v>
      </c>
      <c r="C599" s="5">
        <f t="shared" si="217"/>
        <v>8860</v>
      </c>
      <c r="D599" s="5">
        <f t="shared" si="217"/>
        <v>5900</v>
      </c>
      <c r="E599" s="5">
        <f t="shared" si="217"/>
        <v>1773</v>
      </c>
      <c r="F599" s="5">
        <f t="shared" si="217"/>
        <v>2364</v>
      </c>
      <c r="G599" s="5">
        <f t="shared" si="233"/>
        <v>142080</v>
      </c>
      <c r="H599" s="5">
        <f t="shared" si="233"/>
        <v>35440</v>
      </c>
      <c r="I599" s="5">
        <f t="shared" si="233"/>
        <v>23600</v>
      </c>
      <c r="J599" s="5">
        <f t="shared" si="233"/>
        <v>7092</v>
      </c>
      <c r="K599" s="5">
        <f t="shared" si="233"/>
        <v>9456</v>
      </c>
      <c r="L599" s="5">
        <f t="shared" si="234"/>
        <v>71040</v>
      </c>
      <c r="M599" s="5">
        <f t="shared" si="234"/>
        <v>17720</v>
      </c>
      <c r="N599" s="5">
        <f t="shared" si="234"/>
        <v>11800</v>
      </c>
      <c r="O599" s="5">
        <f t="shared" si="234"/>
        <v>3546</v>
      </c>
      <c r="P599" s="5">
        <f t="shared" si="234"/>
        <v>4728</v>
      </c>
      <c r="Q599" s="5">
        <f t="shared" si="209"/>
        <v>248640</v>
      </c>
      <c r="R599" s="5">
        <f t="shared" si="210"/>
        <v>62020</v>
      </c>
      <c r="S599" s="5">
        <f t="shared" si="211"/>
        <v>41300</v>
      </c>
      <c r="T599" s="5">
        <f t="shared" si="212"/>
        <v>12411</v>
      </c>
      <c r="U599" s="5">
        <f t="shared" si="213"/>
        <v>16548</v>
      </c>
      <c r="V599" s="5">
        <f>B599*战斗力计算!$B$8+C599*战斗力计算!$B$9+D599*战斗力计算!$B$10+E599*战斗力计算!$B$11+F599*战斗力计算!$B$12</f>
        <v>259920</v>
      </c>
      <c r="W599" s="5">
        <f>G599*战斗力计算!$B$8+H599*战斗力计算!$B$9+I599*战斗力计算!$B$10+J599*战斗力计算!$B$11+K599*战斗力计算!$B$12+L599*战斗力计算!$B$8+M599*战斗力计算!$B$9+N599*战斗力计算!$B$10+O599*战斗力计算!$B$11+P599*战斗力计算!$B$12</f>
        <v>1559520</v>
      </c>
      <c r="X599" s="5">
        <f t="shared" si="214"/>
        <v>1819440</v>
      </c>
      <c r="AC599">
        <f t="shared" si="219"/>
        <v>4</v>
      </c>
      <c r="AD599">
        <f t="shared" si="220"/>
        <v>2</v>
      </c>
      <c r="AF599">
        <f t="shared" si="221"/>
        <v>0.75</v>
      </c>
      <c r="AH599">
        <f t="shared" si="222"/>
        <v>12</v>
      </c>
      <c r="AK599">
        <f t="shared" si="223"/>
        <v>6.0203389830508476</v>
      </c>
      <c r="AL599">
        <f t="shared" si="224"/>
        <v>1.5016949152542374</v>
      </c>
      <c r="AM599">
        <f t="shared" si="225"/>
        <v>1</v>
      </c>
      <c r="AN599">
        <f t="shared" si="226"/>
        <v>6.0203389830508476</v>
      </c>
      <c r="AO599">
        <f t="shared" si="227"/>
        <v>1.5016949152542374</v>
      </c>
      <c r="AP599">
        <f t="shared" si="228"/>
        <v>1</v>
      </c>
      <c r="AR599">
        <f t="shared" si="229"/>
        <v>4.4974619289340101</v>
      </c>
      <c r="AT599">
        <f t="shared" si="230"/>
        <v>4.4974619289340101</v>
      </c>
      <c r="AV599">
        <f t="shared" si="231"/>
        <v>6202</v>
      </c>
      <c r="AW599">
        <f t="shared" si="232"/>
        <v>11518</v>
      </c>
    </row>
    <row r="600" spans="1:49" x14ac:dyDescent="0.15">
      <c r="A600" s="5">
        <v>590</v>
      </c>
      <c r="B600" s="5">
        <f t="shared" si="218"/>
        <v>35580</v>
      </c>
      <c r="C600" s="5">
        <f t="shared" si="217"/>
        <v>8875</v>
      </c>
      <c r="D600" s="5">
        <f t="shared" si="217"/>
        <v>5910</v>
      </c>
      <c r="E600" s="5">
        <f t="shared" si="217"/>
        <v>1776</v>
      </c>
      <c r="F600" s="5">
        <f t="shared" si="217"/>
        <v>2368</v>
      </c>
      <c r="G600" s="5">
        <f t="shared" si="233"/>
        <v>142320</v>
      </c>
      <c r="H600" s="5">
        <f t="shared" si="233"/>
        <v>35500</v>
      </c>
      <c r="I600" s="5">
        <f t="shared" si="233"/>
        <v>23640</v>
      </c>
      <c r="J600" s="5">
        <f t="shared" si="233"/>
        <v>7104</v>
      </c>
      <c r="K600" s="5">
        <f t="shared" si="233"/>
        <v>9472</v>
      </c>
      <c r="L600" s="5">
        <f t="shared" si="234"/>
        <v>71160</v>
      </c>
      <c r="M600" s="5">
        <f t="shared" si="234"/>
        <v>17750</v>
      </c>
      <c r="N600" s="5">
        <f t="shared" si="234"/>
        <v>11820</v>
      </c>
      <c r="O600" s="5">
        <f t="shared" si="234"/>
        <v>3552</v>
      </c>
      <c r="P600" s="5">
        <f t="shared" si="234"/>
        <v>4736</v>
      </c>
      <c r="Q600" s="5">
        <f t="shared" si="209"/>
        <v>249060</v>
      </c>
      <c r="R600" s="5">
        <f t="shared" si="210"/>
        <v>62125</v>
      </c>
      <c r="S600" s="5">
        <f t="shared" si="211"/>
        <v>41370</v>
      </c>
      <c r="T600" s="5">
        <f t="shared" si="212"/>
        <v>12432</v>
      </c>
      <c r="U600" s="5">
        <f t="shared" si="213"/>
        <v>16576</v>
      </c>
      <c r="V600" s="5">
        <f>B600*战斗力计算!$B$8+C600*战斗力计算!$B$9+D600*战斗力计算!$B$10+E600*战斗力计算!$B$11+F600*战斗力计算!$B$12</f>
        <v>260360</v>
      </c>
      <c r="W600" s="5">
        <f>G600*战斗力计算!$B$8+H600*战斗力计算!$B$9+I600*战斗力计算!$B$10+J600*战斗力计算!$B$11+K600*战斗力计算!$B$12+L600*战斗力计算!$B$8+M600*战斗力计算!$B$9+N600*战斗力计算!$B$10+O600*战斗力计算!$B$11+P600*战斗力计算!$B$12</f>
        <v>1562160</v>
      </c>
      <c r="X600" s="5">
        <f t="shared" si="214"/>
        <v>1822520</v>
      </c>
      <c r="AC600">
        <f t="shared" si="219"/>
        <v>4</v>
      </c>
      <c r="AD600">
        <f t="shared" si="220"/>
        <v>2</v>
      </c>
      <c r="AF600">
        <f t="shared" si="221"/>
        <v>0.75</v>
      </c>
      <c r="AH600">
        <f t="shared" si="222"/>
        <v>12</v>
      </c>
      <c r="AK600">
        <f t="shared" si="223"/>
        <v>6.0203045685279184</v>
      </c>
      <c r="AL600">
        <f t="shared" si="224"/>
        <v>1.5016920473773265</v>
      </c>
      <c r="AM600">
        <f t="shared" si="225"/>
        <v>1</v>
      </c>
      <c r="AN600">
        <f t="shared" si="226"/>
        <v>6.0203045685279184</v>
      </c>
      <c r="AO600">
        <f t="shared" si="227"/>
        <v>1.5016920473773265</v>
      </c>
      <c r="AP600">
        <f t="shared" si="228"/>
        <v>1</v>
      </c>
      <c r="AR600">
        <f t="shared" si="229"/>
        <v>4.4974662162162158</v>
      </c>
      <c r="AT600">
        <f t="shared" si="230"/>
        <v>4.4974662162162158</v>
      </c>
      <c r="AV600">
        <f t="shared" si="231"/>
        <v>6212</v>
      </c>
      <c r="AW600">
        <f t="shared" si="232"/>
        <v>11537</v>
      </c>
    </row>
    <row r="601" spans="1:49" x14ac:dyDescent="0.15">
      <c r="A601" s="5">
        <v>591</v>
      </c>
      <c r="B601" s="5">
        <f t="shared" si="218"/>
        <v>35640</v>
      </c>
      <c r="C601" s="5">
        <f t="shared" si="217"/>
        <v>8890</v>
      </c>
      <c r="D601" s="5">
        <f t="shared" si="217"/>
        <v>5920</v>
      </c>
      <c r="E601" s="5">
        <f t="shared" si="217"/>
        <v>1779</v>
      </c>
      <c r="F601" s="5">
        <f t="shared" si="217"/>
        <v>2372</v>
      </c>
      <c r="G601" s="5">
        <f t="shared" si="233"/>
        <v>142560</v>
      </c>
      <c r="H601" s="5">
        <f t="shared" si="233"/>
        <v>35560</v>
      </c>
      <c r="I601" s="5">
        <f t="shared" si="233"/>
        <v>23680</v>
      </c>
      <c r="J601" s="5">
        <f t="shared" si="233"/>
        <v>7116</v>
      </c>
      <c r="K601" s="5">
        <f t="shared" si="233"/>
        <v>9488</v>
      </c>
      <c r="L601" s="5">
        <f t="shared" si="234"/>
        <v>71280</v>
      </c>
      <c r="M601" s="5">
        <f t="shared" si="234"/>
        <v>17780</v>
      </c>
      <c r="N601" s="5">
        <f t="shared" si="234"/>
        <v>11840</v>
      </c>
      <c r="O601" s="5">
        <f t="shared" si="234"/>
        <v>3558</v>
      </c>
      <c r="P601" s="5">
        <f t="shared" si="234"/>
        <v>4744</v>
      </c>
      <c r="Q601" s="5">
        <f t="shared" si="209"/>
        <v>249480</v>
      </c>
      <c r="R601" s="5">
        <f t="shared" si="210"/>
        <v>62230</v>
      </c>
      <c r="S601" s="5">
        <f t="shared" si="211"/>
        <v>41440</v>
      </c>
      <c r="T601" s="5">
        <f t="shared" si="212"/>
        <v>12453</v>
      </c>
      <c r="U601" s="5">
        <f t="shared" si="213"/>
        <v>16604</v>
      </c>
      <c r="V601" s="5">
        <f>B601*战斗力计算!$B$8+C601*战斗力计算!$B$9+D601*战斗力计算!$B$10+E601*战斗力计算!$B$11+F601*战斗力计算!$B$12</f>
        <v>260800</v>
      </c>
      <c r="W601" s="5">
        <f>G601*战斗力计算!$B$8+H601*战斗力计算!$B$9+I601*战斗力计算!$B$10+J601*战斗力计算!$B$11+K601*战斗力计算!$B$12+L601*战斗力计算!$B$8+M601*战斗力计算!$B$9+N601*战斗力计算!$B$10+O601*战斗力计算!$B$11+P601*战斗力计算!$B$12</f>
        <v>1564800</v>
      </c>
      <c r="X601" s="5">
        <f t="shared" si="214"/>
        <v>1825600</v>
      </c>
      <c r="AC601">
        <f t="shared" si="219"/>
        <v>4</v>
      </c>
      <c r="AD601">
        <f t="shared" si="220"/>
        <v>2</v>
      </c>
      <c r="AF601">
        <f t="shared" si="221"/>
        <v>0.75</v>
      </c>
      <c r="AH601">
        <f t="shared" si="222"/>
        <v>12</v>
      </c>
      <c r="AK601">
        <f t="shared" si="223"/>
        <v>6.0202702702702702</v>
      </c>
      <c r="AL601">
        <f t="shared" si="224"/>
        <v>1.5016891891891893</v>
      </c>
      <c r="AM601">
        <f t="shared" si="225"/>
        <v>1</v>
      </c>
      <c r="AN601">
        <f t="shared" si="226"/>
        <v>6.0202702702702702</v>
      </c>
      <c r="AO601">
        <f t="shared" si="227"/>
        <v>1.5016891891891893</v>
      </c>
      <c r="AP601">
        <f t="shared" si="228"/>
        <v>1</v>
      </c>
      <c r="AR601">
        <f t="shared" si="229"/>
        <v>4.4974704890387862</v>
      </c>
      <c r="AT601">
        <f t="shared" si="230"/>
        <v>4.4974704890387862</v>
      </c>
      <c r="AV601">
        <f t="shared" si="231"/>
        <v>6223</v>
      </c>
      <c r="AW601">
        <f t="shared" si="232"/>
        <v>11557</v>
      </c>
    </row>
    <row r="602" spans="1:49" x14ac:dyDescent="0.15">
      <c r="A602" s="5">
        <v>592</v>
      </c>
      <c r="B602" s="5">
        <f t="shared" si="218"/>
        <v>35700</v>
      </c>
      <c r="C602" s="5">
        <f t="shared" si="217"/>
        <v>8905</v>
      </c>
      <c r="D602" s="5">
        <f t="shared" si="217"/>
        <v>5930</v>
      </c>
      <c r="E602" s="5">
        <f t="shared" si="217"/>
        <v>1782</v>
      </c>
      <c r="F602" s="5">
        <f t="shared" si="217"/>
        <v>2376</v>
      </c>
      <c r="G602" s="5">
        <f t="shared" si="233"/>
        <v>142800</v>
      </c>
      <c r="H602" s="5">
        <f t="shared" si="233"/>
        <v>35620</v>
      </c>
      <c r="I602" s="5">
        <f t="shared" si="233"/>
        <v>23720</v>
      </c>
      <c r="J602" s="5">
        <f t="shared" si="233"/>
        <v>7128</v>
      </c>
      <c r="K602" s="5">
        <f t="shared" si="233"/>
        <v>9504</v>
      </c>
      <c r="L602" s="5">
        <f t="shared" si="234"/>
        <v>71400</v>
      </c>
      <c r="M602" s="5">
        <f t="shared" si="234"/>
        <v>17810</v>
      </c>
      <c r="N602" s="5">
        <f t="shared" si="234"/>
        <v>11860</v>
      </c>
      <c r="O602" s="5">
        <f t="shared" si="234"/>
        <v>3564</v>
      </c>
      <c r="P602" s="5">
        <f t="shared" si="234"/>
        <v>4752</v>
      </c>
      <c r="Q602" s="5">
        <f t="shared" si="209"/>
        <v>249900</v>
      </c>
      <c r="R602" s="5">
        <f t="shared" si="210"/>
        <v>62335</v>
      </c>
      <c r="S602" s="5">
        <f t="shared" si="211"/>
        <v>41510</v>
      </c>
      <c r="T602" s="5">
        <f t="shared" si="212"/>
        <v>12474</v>
      </c>
      <c r="U602" s="5">
        <f t="shared" si="213"/>
        <v>16632</v>
      </c>
      <c r="V602" s="5">
        <f>B602*战斗力计算!$B$8+C602*战斗力计算!$B$9+D602*战斗力计算!$B$10+E602*战斗力计算!$B$11+F602*战斗力计算!$B$12</f>
        <v>261240</v>
      </c>
      <c r="W602" s="5">
        <f>G602*战斗力计算!$B$8+H602*战斗力计算!$B$9+I602*战斗力计算!$B$10+J602*战斗力计算!$B$11+K602*战斗力计算!$B$12+L602*战斗力计算!$B$8+M602*战斗力计算!$B$9+N602*战斗力计算!$B$10+O602*战斗力计算!$B$11+P602*战斗力计算!$B$12</f>
        <v>1567440</v>
      </c>
      <c r="X602" s="5">
        <f t="shared" si="214"/>
        <v>1828680</v>
      </c>
      <c r="AC602">
        <f t="shared" si="219"/>
        <v>4</v>
      </c>
      <c r="AD602">
        <f t="shared" si="220"/>
        <v>2</v>
      </c>
      <c r="AF602">
        <f t="shared" si="221"/>
        <v>0.75</v>
      </c>
      <c r="AH602">
        <f t="shared" si="222"/>
        <v>12</v>
      </c>
      <c r="AK602">
        <f t="shared" si="223"/>
        <v>6.020236087689713</v>
      </c>
      <c r="AL602">
        <f t="shared" si="224"/>
        <v>1.5016863406408094</v>
      </c>
      <c r="AM602">
        <f t="shared" si="225"/>
        <v>1</v>
      </c>
      <c r="AN602">
        <f t="shared" si="226"/>
        <v>6.020236087689713</v>
      </c>
      <c r="AO602">
        <f t="shared" si="227"/>
        <v>1.5016863406408094</v>
      </c>
      <c r="AP602">
        <f t="shared" si="228"/>
        <v>1</v>
      </c>
      <c r="AR602">
        <f t="shared" si="229"/>
        <v>4.4974747474747474</v>
      </c>
      <c r="AT602">
        <f t="shared" si="230"/>
        <v>4.4974747474747474</v>
      </c>
      <c r="AV602">
        <f t="shared" si="231"/>
        <v>6233</v>
      </c>
      <c r="AW602">
        <f t="shared" si="232"/>
        <v>11576</v>
      </c>
    </row>
    <row r="603" spans="1:49" x14ac:dyDescent="0.15">
      <c r="A603" s="5">
        <v>593</v>
      </c>
      <c r="B603" s="5">
        <f t="shared" si="218"/>
        <v>35760</v>
      </c>
      <c r="C603" s="5">
        <f t="shared" si="217"/>
        <v>8920</v>
      </c>
      <c r="D603" s="5">
        <f t="shared" si="217"/>
        <v>5940</v>
      </c>
      <c r="E603" s="5">
        <f t="shared" si="217"/>
        <v>1785</v>
      </c>
      <c r="F603" s="5">
        <f t="shared" si="217"/>
        <v>2380</v>
      </c>
      <c r="G603" s="5">
        <f t="shared" si="233"/>
        <v>143040</v>
      </c>
      <c r="H603" s="5">
        <f t="shared" si="233"/>
        <v>35680</v>
      </c>
      <c r="I603" s="5">
        <f t="shared" si="233"/>
        <v>23760</v>
      </c>
      <c r="J603" s="5">
        <f t="shared" si="233"/>
        <v>7140</v>
      </c>
      <c r="K603" s="5">
        <f t="shared" si="233"/>
        <v>9520</v>
      </c>
      <c r="L603" s="5">
        <f t="shared" si="234"/>
        <v>71520</v>
      </c>
      <c r="M603" s="5">
        <f t="shared" si="234"/>
        <v>17840</v>
      </c>
      <c r="N603" s="5">
        <f t="shared" si="234"/>
        <v>11880</v>
      </c>
      <c r="O603" s="5">
        <f t="shared" si="234"/>
        <v>3570</v>
      </c>
      <c r="P603" s="5">
        <f t="shared" si="234"/>
        <v>4760</v>
      </c>
      <c r="Q603" s="5">
        <f t="shared" si="209"/>
        <v>250320</v>
      </c>
      <c r="R603" s="5">
        <f t="shared" si="210"/>
        <v>62440</v>
      </c>
      <c r="S603" s="5">
        <f t="shared" si="211"/>
        <v>41580</v>
      </c>
      <c r="T603" s="5">
        <f t="shared" si="212"/>
        <v>12495</v>
      </c>
      <c r="U603" s="5">
        <f t="shared" si="213"/>
        <v>16660</v>
      </c>
      <c r="V603" s="5">
        <f>B603*战斗力计算!$B$8+C603*战斗力计算!$B$9+D603*战斗力计算!$B$10+E603*战斗力计算!$B$11+F603*战斗力计算!$B$12</f>
        <v>261680</v>
      </c>
      <c r="W603" s="5">
        <f>G603*战斗力计算!$B$8+H603*战斗力计算!$B$9+I603*战斗力计算!$B$10+J603*战斗力计算!$B$11+K603*战斗力计算!$B$12+L603*战斗力计算!$B$8+M603*战斗力计算!$B$9+N603*战斗力计算!$B$10+O603*战斗力计算!$B$11+P603*战斗力计算!$B$12</f>
        <v>1570080</v>
      </c>
      <c r="X603" s="5">
        <f t="shared" si="214"/>
        <v>1831760</v>
      </c>
      <c r="AC603">
        <f t="shared" si="219"/>
        <v>4</v>
      </c>
      <c r="AD603">
        <f t="shared" si="220"/>
        <v>2</v>
      </c>
      <c r="AF603">
        <f t="shared" si="221"/>
        <v>0.75</v>
      </c>
      <c r="AH603">
        <f t="shared" si="222"/>
        <v>12</v>
      </c>
      <c r="AK603">
        <f t="shared" si="223"/>
        <v>6.0202020202020199</v>
      </c>
      <c r="AL603">
        <f t="shared" si="224"/>
        <v>1.5016835016835017</v>
      </c>
      <c r="AM603">
        <f t="shared" si="225"/>
        <v>1</v>
      </c>
      <c r="AN603">
        <f t="shared" si="226"/>
        <v>6.0202020202020199</v>
      </c>
      <c r="AO603">
        <f t="shared" si="227"/>
        <v>1.5016835016835017</v>
      </c>
      <c r="AP603">
        <f t="shared" si="228"/>
        <v>1</v>
      </c>
      <c r="AR603">
        <f t="shared" si="229"/>
        <v>4.4974789915966387</v>
      </c>
      <c r="AT603">
        <f t="shared" si="230"/>
        <v>4.4974789915966387</v>
      </c>
      <c r="AV603">
        <f t="shared" si="231"/>
        <v>6244</v>
      </c>
      <c r="AW603">
        <f t="shared" si="232"/>
        <v>11596</v>
      </c>
    </row>
    <row r="604" spans="1:49" x14ac:dyDescent="0.15">
      <c r="A604" s="5">
        <v>594</v>
      </c>
      <c r="B604" s="5">
        <f t="shared" si="218"/>
        <v>35820</v>
      </c>
      <c r="C604" s="5">
        <f t="shared" si="217"/>
        <v>8935</v>
      </c>
      <c r="D604" s="5">
        <f t="shared" si="217"/>
        <v>5950</v>
      </c>
      <c r="E604" s="5">
        <f t="shared" si="217"/>
        <v>1788</v>
      </c>
      <c r="F604" s="5">
        <f t="shared" si="217"/>
        <v>2384</v>
      </c>
      <c r="G604" s="5">
        <f t="shared" si="233"/>
        <v>143280</v>
      </c>
      <c r="H604" s="5">
        <f t="shared" si="233"/>
        <v>35740</v>
      </c>
      <c r="I604" s="5">
        <f t="shared" si="233"/>
        <v>23800</v>
      </c>
      <c r="J604" s="5">
        <f t="shared" si="233"/>
        <v>7152</v>
      </c>
      <c r="K604" s="5">
        <f t="shared" si="233"/>
        <v>9536</v>
      </c>
      <c r="L604" s="5">
        <f t="shared" si="234"/>
        <v>71640</v>
      </c>
      <c r="M604" s="5">
        <f t="shared" si="234"/>
        <v>17870</v>
      </c>
      <c r="N604" s="5">
        <f t="shared" si="234"/>
        <v>11900</v>
      </c>
      <c r="O604" s="5">
        <f t="shared" si="234"/>
        <v>3576</v>
      </c>
      <c r="P604" s="5">
        <f t="shared" si="234"/>
        <v>4768</v>
      </c>
      <c r="Q604" s="5">
        <f t="shared" si="209"/>
        <v>250740</v>
      </c>
      <c r="R604" s="5">
        <f t="shared" si="210"/>
        <v>62545</v>
      </c>
      <c r="S604" s="5">
        <f t="shared" si="211"/>
        <v>41650</v>
      </c>
      <c r="T604" s="5">
        <f t="shared" si="212"/>
        <v>12516</v>
      </c>
      <c r="U604" s="5">
        <f t="shared" si="213"/>
        <v>16688</v>
      </c>
      <c r="V604" s="5">
        <f>B604*战斗力计算!$B$8+C604*战斗力计算!$B$9+D604*战斗力计算!$B$10+E604*战斗力计算!$B$11+F604*战斗力计算!$B$12</f>
        <v>262120</v>
      </c>
      <c r="W604" s="5">
        <f>G604*战斗力计算!$B$8+H604*战斗力计算!$B$9+I604*战斗力计算!$B$10+J604*战斗力计算!$B$11+K604*战斗力计算!$B$12+L604*战斗力计算!$B$8+M604*战斗力计算!$B$9+N604*战斗力计算!$B$10+O604*战斗力计算!$B$11+P604*战斗力计算!$B$12</f>
        <v>1572720</v>
      </c>
      <c r="X604" s="5">
        <f t="shared" si="214"/>
        <v>1834840</v>
      </c>
      <c r="AC604">
        <f t="shared" si="219"/>
        <v>4</v>
      </c>
      <c r="AD604">
        <f t="shared" si="220"/>
        <v>2</v>
      </c>
      <c r="AF604">
        <f t="shared" si="221"/>
        <v>0.75</v>
      </c>
      <c r="AH604">
        <f t="shared" si="222"/>
        <v>12</v>
      </c>
      <c r="AK604">
        <f t="shared" si="223"/>
        <v>6.0201680672268907</v>
      </c>
      <c r="AL604">
        <f t="shared" si="224"/>
        <v>1.5016806722689076</v>
      </c>
      <c r="AM604">
        <f t="shared" si="225"/>
        <v>1</v>
      </c>
      <c r="AN604">
        <f t="shared" si="226"/>
        <v>6.0201680672268907</v>
      </c>
      <c r="AO604">
        <f t="shared" si="227"/>
        <v>1.5016806722689076</v>
      </c>
      <c r="AP604">
        <f t="shared" si="228"/>
        <v>1</v>
      </c>
      <c r="AR604">
        <f t="shared" si="229"/>
        <v>4.4974832214765099</v>
      </c>
      <c r="AT604">
        <f t="shared" si="230"/>
        <v>4.4974832214765099</v>
      </c>
      <c r="AV604">
        <f t="shared" si="231"/>
        <v>6254</v>
      </c>
      <c r="AW604">
        <f t="shared" si="232"/>
        <v>11615</v>
      </c>
    </row>
    <row r="605" spans="1:49" x14ac:dyDescent="0.15">
      <c r="A605" s="5">
        <v>595</v>
      </c>
      <c r="B605" s="5">
        <f t="shared" si="218"/>
        <v>35880</v>
      </c>
      <c r="C605" s="5">
        <f t="shared" si="217"/>
        <v>8950</v>
      </c>
      <c r="D605" s="5">
        <f t="shared" si="217"/>
        <v>5960</v>
      </c>
      <c r="E605" s="5">
        <f t="shared" si="217"/>
        <v>1791</v>
      </c>
      <c r="F605" s="5">
        <f t="shared" si="217"/>
        <v>2388</v>
      </c>
      <c r="G605" s="5">
        <f t="shared" si="233"/>
        <v>143520</v>
      </c>
      <c r="H605" s="5">
        <f t="shared" si="233"/>
        <v>35800</v>
      </c>
      <c r="I605" s="5">
        <f t="shared" si="233"/>
        <v>23840</v>
      </c>
      <c r="J605" s="5">
        <f t="shared" si="233"/>
        <v>7164</v>
      </c>
      <c r="K605" s="5">
        <f t="shared" si="233"/>
        <v>9552</v>
      </c>
      <c r="L605" s="5">
        <f t="shared" si="234"/>
        <v>71760</v>
      </c>
      <c r="M605" s="5">
        <f t="shared" si="234"/>
        <v>17900</v>
      </c>
      <c r="N605" s="5">
        <f t="shared" si="234"/>
        <v>11920</v>
      </c>
      <c r="O605" s="5">
        <f t="shared" si="234"/>
        <v>3582</v>
      </c>
      <c r="P605" s="5">
        <f t="shared" si="234"/>
        <v>4776</v>
      </c>
      <c r="Q605" s="5">
        <f t="shared" si="209"/>
        <v>251160</v>
      </c>
      <c r="R605" s="5">
        <f t="shared" si="210"/>
        <v>62650</v>
      </c>
      <c r="S605" s="5">
        <f t="shared" si="211"/>
        <v>41720</v>
      </c>
      <c r="T605" s="5">
        <f t="shared" si="212"/>
        <v>12537</v>
      </c>
      <c r="U605" s="5">
        <f t="shared" si="213"/>
        <v>16716</v>
      </c>
      <c r="V605" s="5">
        <f>B605*战斗力计算!$B$8+C605*战斗力计算!$B$9+D605*战斗力计算!$B$10+E605*战斗力计算!$B$11+F605*战斗力计算!$B$12</f>
        <v>262560</v>
      </c>
      <c r="W605" s="5">
        <f>G605*战斗力计算!$B$8+H605*战斗力计算!$B$9+I605*战斗力计算!$B$10+J605*战斗力计算!$B$11+K605*战斗力计算!$B$12+L605*战斗力计算!$B$8+M605*战斗力计算!$B$9+N605*战斗力计算!$B$10+O605*战斗力计算!$B$11+P605*战斗力计算!$B$12</f>
        <v>1575360</v>
      </c>
      <c r="X605" s="5">
        <f t="shared" si="214"/>
        <v>1837920</v>
      </c>
      <c r="AC605">
        <f t="shared" si="219"/>
        <v>4</v>
      </c>
      <c r="AD605">
        <f t="shared" si="220"/>
        <v>2</v>
      </c>
      <c r="AF605">
        <f t="shared" si="221"/>
        <v>0.75</v>
      </c>
      <c r="AH605">
        <f t="shared" si="222"/>
        <v>12</v>
      </c>
      <c r="AK605">
        <f t="shared" si="223"/>
        <v>6.0201342281879198</v>
      </c>
      <c r="AL605">
        <f t="shared" si="224"/>
        <v>1.5016778523489933</v>
      </c>
      <c r="AM605">
        <f t="shared" si="225"/>
        <v>1</v>
      </c>
      <c r="AN605">
        <f t="shared" si="226"/>
        <v>6.0201342281879198</v>
      </c>
      <c r="AO605">
        <f t="shared" si="227"/>
        <v>1.5016778523489933</v>
      </c>
      <c r="AP605">
        <f t="shared" si="228"/>
        <v>1</v>
      </c>
      <c r="AR605">
        <f t="shared" si="229"/>
        <v>4.4974874371859297</v>
      </c>
      <c r="AT605">
        <f t="shared" si="230"/>
        <v>4.4974874371859297</v>
      </c>
      <c r="AV605">
        <f t="shared" si="231"/>
        <v>6265</v>
      </c>
      <c r="AW605">
        <f t="shared" si="232"/>
        <v>11635</v>
      </c>
    </row>
    <row r="606" spans="1:49" x14ac:dyDescent="0.15">
      <c r="A606" s="5">
        <v>596</v>
      </c>
      <c r="B606" s="5">
        <f t="shared" si="218"/>
        <v>35940</v>
      </c>
      <c r="C606" s="5">
        <f t="shared" si="217"/>
        <v>8965</v>
      </c>
      <c r="D606" s="5">
        <f t="shared" si="217"/>
        <v>5970</v>
      </c>
      <c r="E606" s="5">
        <f t="shared" si="217"/>
        <v>1794</v>
      </c>
      <c r="F606" s="5">
        <f t="shared" si="217"/>
        <v>2392</v>
      </c>
      <c r="G606" s="5">
        <f t="shared" si="233"/>
        <v>143760</v>
      </c>
      <c r="H606" s="5">
        <f t="shared" si="233"/>
        <v>35860</v>
      </c>
      <c r="I606" s="5">
        <f t="shared" si="233"/>
        <v>23880</v>
      </c>
      <c r="J606" s="5">
        <f t="shared" si="233"/>
        <v>7176</v>
      </c>
      <c r="K606" s="5">
        <f t="shared" si="233"/>
        <v>9568</v>
      </c>
      <c r="L606" s="5">
        <f t="shared" si="234"/>
        <v>71880</v>
      </c>
      <c r="M606" s="5">
        <f t="shared" si="234"/>
        <v>17930</v>
      </c>
      <c r="N606" s="5">
        <f t="shared" si="234"/>
        <v>11940</v>
      </c>
      <c r="O606" s="5">
        <f t="shared" si="234"/>
        <v>3588</v>
      </c>
      <c r="P606" s="5">
        <f t="shared" si="234"/>
        <v>4784</v>
      </c>
      <c r="Q606" s="5">
        <f t="shared" si="209"/>
        <v>251580</v>
      </c>
      <c r="R606" s="5">
        <f t="shared" si="210"/>
        <v>62755</v>
      </c>
      <c r="S606" s="5">
        <f t="shared" si="211"/>
        <v>41790</v>
      </c>
      <c r="T606" s="5">
        <f t="shared" si="212"/>
        <v>12558</v>
      </c>
      <c r="U606" s="5">
        <f t="shared" si="213"/>
        <v>16744</v>
      </c>
      <c r="V606" s="5">
        <f>B606*战斗力计算!$B$8+C606*战斗力计算!$B$9+D606*战斗力计算!$B$10+E606*战斗力计算!$B$11+F606*战斗力计算!$B$12</f>
        <v>263000</v>
      </c>
      <c r="W606" s="5">
        <f>G606*战斗力计算!$B$8+H606*战斗力计算!$B$9+I606*战斗力计算!$B$10+J606*战斗力计算!$B$11+K606*战斗力计算!$B$12+L606*战斗力计算!$B$8+M606*战斗力计算!$B$9+N606*战斗力计算!$B$10+O606*战斗力计算!$B$11+P606*战斗力计算!$B$12</f>
        <v>1578000</v>
      </c>
      <c r="X606" s="5">
        <f t="shared" si="214"/>
        <v>1841000</v>
      </c>
      <c r="AC606">
        <f t="shared" si="219"/>
        <v>4</v>
      </c>
      <c r="AD606">
        <f t="shared" si="220"/>
        <v>2</v>
      </c>
      <c r="AF606">
        <f t="shared" si="221"/>
        <v>0.75</v>
      </c>
      <c r="AH606">
        <f t="shared" si="222"/>
        <v>12</v>
      </c>
      <c r="AK606">
        <f t="shared" si="223"/>
        <v>6.0201005025125625</v>
      </c>
      <c r="AL606">
        <f t="shared" si="224"/>
        <v>1.5016750418760469</v>
      </c>
      <c r="AM606">
        <f t="shared" si="225"/>
        <v>1</v>
      </c>
      <c r="AN606">
        <f t="shared" si="226"/>
        <v>6.0201005025125625</v>
      </c>
      <c r="AO606">
        <f t="shared" si="227"/>
        <v>1.5016750418760469</v>
      </c>
      <c r="AP606">
        <f t="shared" si="228"/>
        <v>1</v>
      </c>
      <c r="AR606">
        <f t="shared" si="229"/>
        <v>4.4974916387959869</v>
      </c>
      <c r="AT606">
        <f t="shared" si="230"/>
        <v>4.4974916387959869</v>
      </c>
      <c r="AV606">
        <f t="shared" si="231"/>
        <v>6275</v>
      </c>
      <c r="AW606">
        <f t="shared" si="232"/>
        <v>11654</v>
      </c>
    </row>
    <row r="607" spans="1:49" x14ac:dyDescent="0.15">
      <c r="A607" s="5">
        <v>597</v>
      </c>
      <c r="B607" s="5">
        <f t="shared" si="218"/>
        <v>36000</v>
      </c>
      <c r="C607" s="5">
        <f t="shared" si="217"/>
        <v>8980</v>
      </c>
      <c r="D607" s="5">
        <f t="shared" si="217"/>
        <v>5980</v>
      </c>
      <c r="E607" s="5">
        <f t="shared" si="217"/>
        <v>1797</v>
      </c>
      <c r="F607" s="5">
        <f t="shared" si="217"/>
        <v>2396</v>
      </c>
      <c r="G607" s="5">
        <f t="shared" si="233"/>
        <v>144000</v>
      </c>
      <c r="H607" s="5">
        <f t="shared" si="233"/>
        <v>35920</v>
      </c>
      <c r="I607" s="5">
        <f t="shared" si="233"/>
        <v>23920</v>
      </c>
      <c r="J607" s="5">
        <f t="shared" si="233"/>
        <v>7188</v>
      </c>
      <c r="K607" s="5">
        <f t="shared" si="233"/>
        <v>9584</v>
      </c>
      <c r="L607" s="5">
        <f t="shared" si="234"/>
        <v>72000</v>
      </c>
      <c r="M607" s="5">
        <f t="shared" si="234"/>
        <v>17960</v>
      </c>
      <c r="N607" s="5">
        <f t="shared" si="234"/>
        <v>11960</v>
      </c>
      <c r="O607" s="5">
        <f t="shared" si="234"/>
        <v>3594</v>
      </c>
      <c r="P607" s="5">
        <f t="shared" si="234"/>
        <v>4792</v>
      </c>
      <c r="Q607" s="5">
        <f t="shared" si="209"/>
        <v>252000</v>
      </c>
      <c r="R607" s="5">
        <f t="shared" si="210"/>
        <v>62860</v>
      </c>
      <c r="S607" s="5">
        <f t="shared" si="211"/>
        <v>41860</v>
      </c>
      <c r="T607" s="5">
        <f t="shared" si="212"/>
        <v>12579</v>
      </c>
      <c r="U607" s="5">
        <f t="shared" si="213"/>
        <v>16772</v>
      </c>
      <c r="V607" s="5">
        <f>B607*战斗力计算!$B$8+C607*战斗力计算!$B$9+D607*战斗力计算!$B$10+E607*战斗力计算!$B$11+F607*战斗力计算!$B$12</f>
        <v>263440</v>
      </c>
      <c r="W607" s="5">
        <f>G607*战斗力计算!$B$8+H607*战斗力计算!$B$9+I607*战斗力计算!$B$10+J607*战斗力计算!$B$11+K607*战斗力计算!$B$12+L607*战斗力计算!$B$8+M607*战斗力计算!$B$9+N607*战斗力计算!$B$10+O607*战斗力计算!$B$11+P607*战斗力计算!$B$12</f>
        <v>1580640</v>
      </c>
      <c r="X607" s="5">
        <f t="shared" si="214"/>
        <v>1844080</v>
      </c>
      <c r="AC607">
        <f t="shared" si="219"/>
        <v>4</v>
      </c>
      <c r="AD607">
        <f t="shared" si="220"/>
        <v>2</v>
      </c>
      <c r="AF607">
        <f t="shared" si="221"/>
        <v>0.75</v>
      </c>
      <c r="AH607">
        <f t="shared" si="222"/>
        <v>12</v>
      </c>
      <c r="AK607">
        <f t="shared" si="223"/>
        <v>6.0200668896321075</v>
      </c>
      <c r="AL607">
        <f t="shared" si="224"/>
        <v>1.5016722408026757</v>
      </c>
      <c r="AM607">
        <f t="shared" si="225"/>
        <v>1</v>
      </c>
      <c r="AN607">
        <f t="shared" si="226"/>
        <v>6.0200668896321075</v>
      </c>
      <c r="AO607">
        <f t="shared" si="227"/>
        <v>1.5016722408026757</v>
      </c>
      <c r="AP607">
        <f t="shared" si="228"/>
        <v>1</v>
      </c>
      <c r="AR607">
        <f t="shared" si="229"/>
        <v>4.4974958263772953</v>
      </c>
      <c r="AT607">
        <f t="shared" si="230"/>
        <v>4.4974958263772953</v>
      </c>
      <c r="AV607">
        <f t="shared" si="231"/>
        <v>6286</v>
      </c>
      <c r="AW607">
        <f t="shared" si="232"/>
        <v>11674</v>
      </c>
    </row>
    <row r="608" spans="1:49" x14ac:dyDescent="0.15">
      <c r="A608" s="5">
        <v>598</v>
      </c>
      <c r="B608" s="5">
        <f t="shared" si="218"/>
        <v>36060</v>
      </c>
      <c r="C608" s="5">
        <f t="shared" si="217"/>
        <v>8995</v>
      </c>
      <c r="D608" s="5">
        <f t="shared" si="217"/>
        <v>5990</v>
      </c>
      <c r="E608" s="5">
        <f t="shared" si="217"/>
        <v>1800</v>
      </c>
      <c r="F608" s="5">
        <f t="shared" si="217"/>
        <v>2400</v>
      </c>
      <c r="G608" s="5">
        <f t="shared" si="233"/>
        <v>144240</v>
      </c>
      <c r="H608" s="5">
        <f t="shared" si="233"/>
        <v>35980</v>
      </c>
      <c r="I608" s="5">
        <f t="shared" si="233"/>
        <v>23960</v>
      </c>
      <c r="J608" s="5">
        <f t="shared" si="233"/>
        <v>7200</v>
      </c>
      <c r="K608" s="5">
        <f t="shared" si="233"/>
        <v>9600</v>
      </c>
      <c r="L608" s="5">
        <f t="shared" si="234"/>
        <v>72120</v>
      </c>
      <c r="M608" s="5">
        <f t="shared" si="234"/>
        <v>17990</v>
      </c>
      <c r="N608" s="5">
        <f t="shared" si="234"/>
        <v>11980</v>
      </c>
      <c r="O608" s="5">
        <f t="shared" si="234"/>
        <v>3600</v>
      </c>
      <c r="P608" s="5">
        <f t="shared" si="234"/>
        <v>4800</v>
      </c>
      <c r="Q608" s="5">
        <f t="shared" si="209"/>
        <v>252420</v>
      </c>
      <c r="R608" s="5">
        <f t="shared" si="210"/>
        <v>62965</v>
      </c>
      <c r="S608" s="5">
        <f t="shared" si="211"/>
        <v>41930</v>
      </c>
      <c r="T608" s="5">
        <f t="shared" si="212"/>
        <v>12600</v>
      </c>
      <c r="U608" s="5">
        <f t="shared" si="213"/>
        <v>16800</v>
      </c>
      <c r="V608" s="5">
        <f>B608*战斗力计算!$B$8+C608*战斗力计算!$B$9+D608*战斗力计算!$B$10+E608*战斗力计算!$B$11+F608*战斗力计算!$B$12</f>
        <v>263880</v>
      </c>
      <c r="W608" s="5">
        <f>G608*战斗力计算!$B$8+H608*战斗力计算!$B$9+I608*战斗力计算!$B$10+J608*战斗力计算!$B$11+K608*战斗力计算!$B$12+L608*战斗力计算!$B$8+M608*战斗力计算!$B$9+N608*战斗力计算!$B$10+O608*战斗力计算!$B$11+P608*战斗力计算!$B$12</f>
        <v>1583280</v>
      </c>
      <c r="X608" s="5">
        <f t="shared" si="214"/>
        <v>1847160</v>
      </c>
      <c r="AC608">
        <f t="shared" si="219"/>
        <v>4</v>
      </c>
      <c r="AD608">
        <f t="shared" si="220"/>
        <v>2</v>
      </c>
      <c r="AF608">
        <f t="shared" si="221"/>
        <v>0.75</v>
      </c>
      <c r="AH608">
        <f t="shared" si="222"/>
        <v>12</v>
      </c>
      <c r="AK608">
        <f t="shared" si="223"/>
        <v>6.020033388981636</v>
      </c>
      <c r="AL608">
        <f t="shared" si="224"/>
        <v>1.501669449081803</v>
      </c>
      <c r="AM608">
        <f t="shared" si="225"/>
        <v>1</v>
      </c>
      <c r="AN608">
        <f t="shared" si="226"/>
        <v>6.020033388981636</v>
      </c>
      <c r="AO608">
        <f t="shared" si="227"/>
        <v>1.501669449081803</v>
      </c>
      <c r="AP608">
        <f t="shared" si="228"/>
        <v>1</v>
      </c>
      <c r="AR608">
        <f t="shared" si="229"/>
        <v>4.4974999999999996</v>
      </c>
      <c r="AT608">
        <f t="shared" si="230"/>
        <v>4.4974999999999996</v>
      </c>
      <c r="AV608">
        <f t="shared" si="231"/>
        <v>6296</v>
      </c>
      <c r="AW608">
        <f t="shared" si="232"/>
        <v>11693</v>
      </c>
    </row>
    <row r="609" spans="1:49" x14ac:dyDescent="0.15">
      <c r="A609" s="5">
        <v>599</v>
      </c>
      <c r="B609" s="5">
        <f t="shared" si="218"/>
        <v>36120</v>
      </c>
      <c r="C609" s="5">
        <f t="shared" si="217"/>
        <v>9010</v>
      </c>
      <c r="D609" s="5">
        <f t="shared" si="217"/>
        <v>6000</v>
      </c>
      <c r="E609" s="5">
        <f t="shared" si="217"/>
        <v>1803</v>
      </c>
      <c r="F609" s="5">
        <f t="shared" si="217"/>
        <v>2404</v>
      </c>
      <c r="G609" s="5">
        <f t="shared" si="233"/>
        <v>144480</v>
      </c>
      <c r="H609" s="5">
        <f t="shared" si="233"/>
        <v>36040</v>
      </c>
      <c r="I609" s="5">
        <f t="shared" si="233"/>
        <v>24000</v>
      </c>
      <c r="J609" s="5">
        <f t="shared" si="233"/>
        <v>7212</v>
      </c>
      <c r="K609" s="5">
        <f t="shared" si="233"/>
        <v>9616</v>
      </c>
      <c r="L609" s="5">
        <f t="shared" si="234"/>
        <v>72240</v>
      </c>
      <c r="M609" s="5">
        <f t="shared" si="234"/>
        <v>18020</v>
      </c>
      <c r="N609" s="5">
        <f t="shared" si="234"/>
        <v>12000</v>
      </c>
      <c r="O609" s="5">
        <f t="shared" si="234"/>
        <v>3606</v>
      </c>
      <c r="P609" s="5">
        <f t="shared" si="234"/>
        <v>4808</v>
      </c>
      <c r="Q609" s="5">
        <f t="shared" ref="Q609:Q610" si="235">B609+G609+L609</f>
        <v>252840</v>
      </c>
      <c r="R609" s="5">
        <f t="shared" ref="R609:R610" si="236">C609+H609+M609</f>
        <v>63070</v>
      </c>
      <c r="S609" s="5">
        <f t="shared" ref="S609:S610" si="237">D609+I609+N609</f>
        <v>42000</v>
      </c>
      <c r="T609" s="5">
        <f t="shared" ref="T609:T610" si="238">E609+J609+O609</f>
        <v>12621</v>
      </c>
      <c r="U609" s="5">
        <f t="shared" ref="U609:U610" si="239">F609+K609+P609</f>
        <v>16828</v>
      </c>
      <c r="V609" s="5">
        <f>B609*战斗力计算!$B$8+C609*战斗力计算!$B$9+D609*战斗力计算!$B$10+E609*战斗力计算!$B$11+F609*战斗力计算!$B$12</f>
        <v>264320</v>
      </c>
      <c r="W609" s="5">
        <f>G609*战斗力计算!$B$8+H609*战斗力计算!$B$9+I609*战斗力计算!$B$10+J609*战斗力计算!$B$11+K609*战斗力计算!$B$12+L609*战斗力计算!$B$8+M609*战斗力计算!$B$9+N609*战斗力计算!$B$10+O609*战斗力计算!$B$11+P609*战斗力计算!$B$12</f>
        <v>1585920</v>
      </c>
      <c r="X609" s="5">
        <f t="shared" ref="X609:X610" si="240">V609+W609</f>
        <v>1850240</v>
      </c>
      <c r="AC609">
        <f t="shared" si="219"/>
        <v>4</v>
      </c>
      <c r="AD609">
        <f t="shared" si="220"/>
        <v>2</v>
      </c>
      <c r="AF609">
        <f t="shared" si="221"/>
        <v>0.75</v>
      </c>
      <c r="AH609">
        <f t="shared" si="222"/>
        <v>12</v>
      </c>
      <c r="AK609">
        <f t="shared" si="223"/>
        <v>6.02</v>
      </c>
      <c r="AL609">
        <f t="shared" si="224"/>
        <v>1.5016666666666667</v>
      </c>
      <c r="AM609">
        <f t="shared" si="225"/>
        <v>1</v>
      </c>
      <c r="AN609">
        <f t="shared" si="226"/>
        <v>6.02</v>
      </c>
      <c r="AO609">
        <f t="shared" si="227"/>
        <v>1.5016666666666667</v>
      </c>
      <c r="AP609">
        <f t="shared" si="228"/>
        <v>1</v>
      </c>
      <c r="AR609">
        <f t="shared" si="229"/>
        <v>4.4975041597337766</v>
      </c>
      <c r="AT609">
        <f t="shared" si="230"/>
        <v>4.4975041597337766</v>
      </c>
      <c r="AV609">
        <f t="shared" si="231"/>
        <v>6307</v>
      </c>
      <c r="AW609">
        <f t="shared" si="232"/>
        <v>11713</v>
      </c>
    </row>
    <row r="610" spans="1:49" x14ac:dyDescent="0.15">
      <c r="A610" s="5">
        <v>600</v>
      </c>
      <c r="B610" s="5">
        <f t="shared" si="218"/>
        <v>36180</v>
      </c>
      <c r="C610" s="5">
        <f t="shared" si="217"/>
        <v>9025</v>
      </c>
      <c r="D610" s="5">
        <f t="shared" si="217"/>
        <v>6010</v>
      </c>
      <c r="E610" s="5">
        <f t="shared" si="217"/>
        <v>1806</v>
      </c>
      <c r="F610" s="5">
        <f t="shared" si="217"/>
        <v>2408</v>
      </c>
      <c r="G610" s="5">
        <f t="shared" si="233"/>
        <v>144720</v>
      </c>
      <c r="H610" s="5">
        <f t="shared" si="233"/>
        <v>36100</v>
      </c>
      <c r="I610" s="5">
        <f t="shared" si="233"/>
        <v>24040</v>
      </c>
      <c r="J610" s="5">
        <f t="shared" si="233"/>
        <v>7224</v>
      </c>
      <c r="K610" s="5">
        <f t="shared" si="233"/>
        <v>9632</v>
      </c>
      <c r="L610" s="5">
        <f t="shared" si="234"/>
        <v>72360</v>
      </c>
      <c r="M610" s="5">
        <f t="shared" si="234"/>
        <v>18050</v>
      </c>
      <c r="N610" s="5">
        <f t="shared" si="234"/>
        <v>12020</v>
      </c>
      <c r="O610" s="5">
        <f t="shared" si="234"/>
        <v>3612</v>
      </c>
      <c r="P610" s="5">
        <f t="shared" si="234"/>
        <v>4816</v>
      </c>
      <c r="Q610" s="5">
        <f t="shared" si="235"/>
        <v>253260</v>
      </c>
      <c r="R610" s="5">
        <f t="shared" si="236"/>
        <v>63175</v>
      </c>
      <c r="S610" s="5">
        <f t="shared" si="237"/>
        <v>42070</v>
      </c>
      <c r="T610" s="5">
        <f t="shared" si="238"/>
        <v>12642</v>
      </c>
      <c r="U610" s="5">
        <f t="shared" si="239"/>
        <v>16856</v>
      </c>
      <c r="V610" s="5">
        <f>B610*战斗力计算!$B$8+C610*战斗力计算!$B$9+D610*战斗力计算!$B$10+E610*战斗力计算!$B$11+F610*战斗力计算!$B$12</f>
        <v>264760</v>
      </c>
      <c r="W610" s="5">
        <f>G610*战斗力计算!$B$8+H610*战斗力计算!$B$9+I610*战斗力计算!$B$10+J610*战斗力计算!$B$11+K610*战斗力计算!$B$12+L610*战斗力计算!$B$8+M610*战斗力计算!$B$9+N610*战斗力计算!$B$10+O610*战斗力计算!$B$11+P610*战斗力计算!$B$12</f>
        <v>1588560</v>
      </c>
      <c r="X610" s="5">
        <f t="shared" si="240"/>
        <v>1853320</v>
      </c>
      <c r="AC610">
        <f t="shared" si="219"/>
        <v>4</v>
      </c>
      <c r="AD610">
        <f t="shared" si="220"/>
        <v>2</v>
      </c>
      <c r="AF610">
        <f t="shared" si="221"/>
        <v>0.75</v>
      </c>
      <c r="AH610">
        <f t="shared" si="222"/>
        <v>12</v>
      </c>
      <c r="AK610">
        <f t="shared" si="223"/>
        <v>6.0199667221297837</v>
      </c>
      <c r="AL610">
        <f t="shared" si="224"/>
        <v>1.5016638935108153</v>
      </c>
      <c r="AM610">
        <f t="shared" si="225"/>
        <v>1</v>
      </c>
      <c r="AN610">
        <f t="shared" si="226"/>
        <v>6.0199667221297837</v>
      </c>
      <c r="AO610">
        <f t="shared" si="227"/>
        <v>1.5016638935108153</v>
      </c>
      <c r="AP610">
        <f t="shared" si="228"/>
        <v>1</v>
      </c>
      <c r="AR610">
        <f t="shared" si="229"/>
        <v>4.4975083056478402</v>
      </c>
      <c r="AT610">
        <f t="shared" si="230"/>
        <v>4.4975083056478402</v>
      </c>
      <c r="AV610">
        <f t="shared" si="231"/>
        <v>6317</v>
      </c>
      <c r="AW610">
        <f t="shared" si="232"/>
        <v>11732</v>
      </c>
    </row>
  </sheetData>
  <mergeCells count="8">
    <mergeCell ref="AV9:AW9"/>
    <mergeCell ref="AK9:AM9"/>
    <mergeCell ref="AN9:AP9"/>
    <mergeCell ref="B9:F9"/>
    <mergeCell ref="G9:K9"/>
    <mergeCell ref="L9:P9"/>
    <mergeCell ref="Q9:U9"/>
    <mergeCell ref="V9:X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战斗力计算</vt:lpstr>
      <vt:lpstr>角色属性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2021-12-18T08:27:35Z</dcterms:modified>
</cp:coreProperties>
</file>