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\教育\线上课\s-数值课-少三\后期素材\表格\"/>
    </mc:Choice>
  </mc:AlternateContent>
  <bookViews>
    <workbookView xWindow="28680" yWindow="-180" windowWidth="29040" windowHeight="16440" activeTab="12"/>
  </bookViews>
  <sheets>
    <sheet name="等级经验" sheetId="1" r:id="rId1"/>
    <sheet name="等级经验-新" sheetId="3" r:id="rId2"/>
    <sheet name="攻击分赃比" sheetId="4" r:id="rId3"/>
    <sheet name="攻击" sheetId="2" r:id="rId4"/>
    <sheet name="开放指数" sheetId="6" r:id="rId5"/>
    <sheet name="HP1" sheetId="7" state="hidden" r:id="rId6"/>
    <sheet name="HP" sheetId="15" r:id="rId7"/>
    <sheet name="霸气1" sheetId="9" state="hidden" r:id="rId8"/>
    <sheet name="霸气" sheetId="16" r:id="rId9"/>
    <sheet name="防御1" sheetId="10" state="hidden" r:id="rId10"/>
    <sheet name="防御" sheetId="17" r:id="rId11"/>
    <sheet name="暴击、抗暴" sheetId="11" r:id="rId12"/>
    <sheet name="命中、闪避" sheetId="12" r:id="rId13"/>
    <sheet name="特殊命中" sheetId="13" r:id="rId14"/>
    <sheet name="怪物" sheetId="14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9" i="2" l="1"/>
  <c r="I4" i="14"/>
  <c r="I5" i="14" s="1"/>
  <c r="L4" i="14"/>
  <c r="L5" i="14" s="1"/>
  <c r="F4" i="14"/>
  <c r="F5" i="14" s="1"/>
  <c r="F6" i="14" s="1"/>
  <c r="O4" i="14"/>
  <c r="O5" i="14" s="1"/>
  <c r="R4" i="14"/>
  <c r="R5" i="14" s="1"/>
  <c r="R6" i="14" s="1"/>
  <c r="R7" i="14" s="1"/>
  <c r="U4" i="14"/>
  <c r="X4" i="14"/>
  <c r="X5" i="14" s="1"/>
  <c r="AA4" i="14"/>
  <c r="AA5" i="14" s="1"/>
  <c r="AA6" i="14" s="1"/>
  <c r="U5" i="14" l="1"/>
  <c r="R8" i="14"/>
  <c r="R9" i="14" s="1"/>
  <c r="R10" i="14" s="1"/>
  <c r="R11" i="14" s="1"/>
  <c r="R12" i="14" s="1"/>
  <c r="R13" i="14" s="1"/>
  <c r="R14" i="14" s="1"/>
  <c r="R15" i="14" s="1"/>
  <c r="R16" i="14" s="1"/>
  <c r="R17" i="14" s="1"/>
  <c r="R18" i="14" s="1"/>
  <c r="R19" i="14" s="1"/>
  <c r="R20" i="14" s="1"/>
  <c r="R21" i="14" s="1"/>
  <c r="R22" i="14" s="1"/>
  <c r="R23" i="14" s="1"/>
  <c r="R24" i="14" s="1"/>
  <c r="R25" i="14" s="1"/>
  <c r="R26" i="14" s="1"/>
  <c r="R27" i="14" s="1"/>
  <c r="R28" i="14" s="1"/>
  <c r="R29" i="14" s="1"/>
  <c r="R30" i="14" s="1"/>
  <c r="R31" i="14" s="1"/>
  <c r="R32" i="14" s="1"/>
  <c r="R33" i="14" s="1"/>
  <c r="R34" i="14" s="1"/>
  <c r="R35" i="14" s="1"/>
  <c r="R36" i="14" s="1"/>
  <c r="R37" i="14" s="1"/>
  <c r="R38" i="14" s="1"/>
  <c r="R39" i="14" s="1"/>
  <c r="R40" i="14" s="1"/>
  <c r="R41" i="14" s="1"/>
  <c r="O6" i="14"/>
  <c r="O7" i="14" s="1"/>
  <c r="I6" i="14"/>
  <c r="L6" i="14"/>
  <c r="F7" i="14"/>
  <c r="X6" i="14"/>
  <c r="AA7" i="14"/>
  <c r="AA8" i="14" s="1"/>
  <c r="AA9" i="14" s="1"/>
  <c r="C4" i="14"/>
  <c r="C4" i="11"/>
  <c r="F4" i="11"/>
  <c r="C5" i="11"/>
  <c r="C6" i="11" s="1"/>
  <c r="C7" i="11" s="1"/>
  <c r="C8" i="11" s="1"/>
  <c r="C9" i="11" s="1"/>
  <c r="F5" i="11"/>
  <c r="B4" i="15"/>
  <c r="B5" i="15" s="1"/>
  <c r="U6" i="14" l="1"/>
  <c r="R42" i="14"/>
  <c r="O8" i="14"/>
  <c r="B6" i="15"/>
  <c r="I7" i="14"/>
  <c r="L7" i="14"/>
  <c r="F8" i="14"/>
  <c r="AA10" i="14"/>
  <c r="X7" i="14"/>
  <c r="C5" i="14"/>
  <c r="F6" i="11"/>
  <c r="C10" i="11"/>
  <c r="AN3" i="2"/>
  <c r="AO3" i="2"/>
  <c r="AP3" i="2"/>
  <c r="AQ3" i="2"/>
  <c r="AM3" i="2"/>
  <c r="D3" i="2"/>
  <c r="AH3" i="2" s="1"/>
  <c r="AG3" i="15" s="1"/>
  <c r="Y3" i="2"/>
  <c r="Z3" i="2"/>
  <c r="AA3" i="2"/>
  <c r="AB3" i="2"/>
  <c r="X3" i="2"/>
  <c r="AS4" i="4"/>
  <c r="AR3" i="4"/>
  <c r="AQ4" i="4"/>
  <c r="AQ4" i="2" s="1"/>
  <c r="AP4" i="4"/>
  <c r="AO4" i="4"/>
  <c r="AN4" i="4"/>
  <c r="AN4" i="2" s="1"/>
  <c r="AM4" i="4"/>
  <c r="AM4" i="2" s="1"/>
  <c r="AL4" i="4"/>
  <c r="AK3" i="4"/>
  <c r="AJ4" i="4"/>
  <c r="AI4" i="4"/>
  <c r="AH4" i="4"/>
  <c r="AG4" i="4"/>
  <c r="AG5" i="4" s="1"/>
  <c r="AF4" i="4"/>
  <c r="AF5" i="4" s="1"/>
  <c r="AF6" i="4" s="1"/>
  <c r="AE4" i="4"/>
  <c r="AD4" i="4"/>
  <c r="AC4" i="4"/>
  <c r="AB4" i="4"/>
  <c r="AA3" i="4"/>
  <c r="AN5" i="4" l="1"/>
  <c r="V3" i="2"/>
  <c r="U3" i="15" s="1"/>
  <c r="R3" i="2"/>
  <c r="P3" i="16" s="1"/>
  <c r="P3" i="2"/>
  <c r="O3" i="15" s="1"/>
  <c r="AJ3" i="2"/>
  <c r="AI3" i="15" s="1"/>
  <c r="AR3" i="2"/>
  <c r="AG3" i="16" s="1"/>
  <c r="B3" i="12"/>
  <c r="T3" i="14" s="1"/>
  <c r="V3" i="14" s="1"/>
  <c r="B3" i="11"/>
  <c r="C3" i="15"/>
  <c r="B3" i="16"/>
  <c r="B3" i="17"/>
  <c r="O3" i="2"/>
  <c r="M3" i="17" s="1"/>
  <c r="AF7" i="4"/>
  <c r="AO4" i="2"/>
  <c r="AD4" i="16" s="1"/>
  <c r="AO5" i="4"/>
  <c r="AO5" i="2" s="1"/>
  <c r="AD5" i="17" s="1"/>
  <c r="AC5" i="4"/>
  <c r="AG6" i="4"/>
  <c r="AI5" i="4"/>
  <c r="AQ5" i="4"/>
  <c r="AE5" i="4"/>
  <c r="AL5" i="4"/>
  <c r="AJ5" i="4"/>
  <c r="AD5" i="4"/>
  <c r="AP4" i="2"/>
  <c r="AO4" i="15" s="1"/>
  <c r="AP5" i="4"/>
  <c r="AS5" i="4"/>
  <c r="AH5" i="4"/>
  <c r="AB5" i="4"/>
  <c r="AM5" i="4"/>
  <c r="AC4" i="16"/>
  <c r="AC4" i="17"/>
  <c r="AM4" i="15"/>
  <c r="AD3" i="17"/>
  <c r="AN3" i="15"/>
  <c r="AD3" i="16"/>
  <c r="V3" i="17"/>
  <c r="V3" i="16"/>
  <c r="W3" i="15"/>
  <c r="AC3" i="17"/>
  <c r="AC3" i="16"/>
  <c r="AM3" i="15"/>
  <c r="AB4" i="17"/>
  <c r="AB4" i="16"/>
  <c r="AL4" i="15"/>
  <c r="AF4" i="17"/>
  <c r="AF4" i="16"/>
  <c r="AP4" i="15"/>
  <c r="Y3" i="17"/>
  <c r="Y3" i="16"/>
  <c r="Z3" i="15"/>
  <c r="T3" i="17"/>
  <c r="AF3" i="17"/>
  <c r="AP3" i="15"/>
  <c r="AF3" i="16"/>
  <c r="Z3" i="16"/>
  <c r="AA3" i="15"/>
  <c r="Z3" i="17"/>
  <c r="AB3" i="17"/>
  <c r="AL3" i="15"/>
  <c r="AB3" i="16"/>
  <c r="X3" i="17"/>
  <c r="X3" i="16"/>
  <c r="Y3" i="15"/>
  <c r="W3" i="17"/>
  <c r="W3" i="16"/>
  <c r="X3" i="15"/>
  <c r="AE3" i="17"/>
  <c r="AE3" i="16"/>
  <c r="AO3" i="15"/>
  <c r="U7" i="14"/>
  <c r="R43" i="14"/>
  <c r="O9" i="14"/>
  <c r="B7" i="15"/>
  <c r="I8" i="14"/>
  <c r="L8" i="14"/>
  <c r="F9" i="14"/>
  <c r="X8" i="14"/>
  <c r="AA11" i="14"/>
  <c r="C6" i="14"/>
  <c r="C11" i="11"/>
  <c r="F7" i="11"/>
  <c r="W3" i="2"/>
  <c r="Q3" i="2"/>
  <c r="AI3" i="2"/>
  <c r="AH3" i="15" s="1"/>
  <c r="AG3" i="2"/>
  <c r="AF3" i="15" s="1"/>
  <c r="T3" i="2"/>
  <c r="AC3" i="2"/>
  <c r="AB3" i="15" s="1"/>
  <c r="AF3" i="2"/>
  <c r="AE3" i="15" s="1"/>
  <c r="U3" i="2"/>
  <c r="S3" i="2"/>
  <c r="AK3" i="2"/>
  <c r="AJ3" i="15" s="1"/>
  <c r="AD3" i="2"/>
  <c r="AC3" i="15" s="1"/>
  <c r="AE3" i="2"/>
  <c r="AD3" i="15" s="1"/>
  <c r="AL3" i="2"/>
  <c r="P3" i="17" l="1"/>
  <c r="Q3" i="15"/>
  <c r="N3" i="16"/>
  <c r="N3" i="17"/>
  <c r="AN5" i="2"/>
  <c r="AN6" i="4"/>
  <c r="T3" i="16"/>
  <c r="AN4" i="15"/>
  <c r="AQ3" i="15"/>
  <c r="AO6" i="4"/>
  <c r="AO6" i="2" s="1"/>
  <c r="AD6" i="16" s="1"/>
  <c r="AE4" i="16"/>
  <c r="AD4" i="17"/>
  <c r="AE4" i="17"/>
  <c r="AG3" i="17"/>
  <c r="N3" i="15"/>
  <c r="M3" i="16"/>
  <c r="AN5" i="15"/>
  <c r="AD5" i="16"/>
  <c r="D3" i="11"/>
  <c r="G3" i="11"/>
  <c r="Z3" i="14"/>
  <c r="AB3" i="14" s="1"/>
  <c r="AB6" i="4"/>
  <c r="AD6" i="4"/>
  <c r="AC6" i="4"/>
  <c r="AH6" i="4"/>
  <c r="AJ6" i="4"/>
  <c r="AS6" i="4"/>
  <c r="AL6" i="4"/>
  <c r="AI6" i="4"/>
  <c r="AP5" i="2"/>
  <c r="AP6" i="4"/>
  <c r="AE6" i="4"/>
  <c r="AM5" i="2"/>
  <c r="AM6" i="4"/>
  <c r="AQ5" i="2"/>
  <c r="AQ6" i="4"/>
  <c r="AG7" i="4"/>
  <c r="AF8" i="4"/>
  <c r="R3" i="17"/>
  <c r="R3" i="16"/>
  <c r="S3" i="15"/>
  <c r="Q3" i="17"/>
  <c r="Q3" i="16"/>
  <c r="R3" i="15"/>
  <c r="S3" i="17"/>
  <c r="S3" i="16"/>
  <c r="T3" i="15"/>
  <c r="O3" i="17"/>
  <c r="P3" i="15"/>
  <c r="O3" i="16"/>
  <c r="AA3" i="17"/>
  <c r="AK3" i="15"/>
  <c r="AA3" i="16"/>
  <c r="U3" i="17"/>
  <c r="U3" i="16"/>
  <c r="V3" i="15"/>
  <c r="U8" i="14"/>
  <c r="R44" i="14"/>
  <c r="O10" i="14"/>
  <c r="B8" i="15"/>
  <c r="I9" i="14"/>
  <c r="L9" i="14"/>
  <c r="F10" i="14"/>
  <c r="AA12" i="14"/>
  <c r="X9" i="14"/>
  <c r="C7" i="14"/>
  <c r="C12" i="11"/>
  <c r="F8" i="11"/>
  <c r="AS3" i="2"/>
  <c r="AO7" i="4"/>
  <c r="AO7" i="2" s="1"/>
  <c r="AM5" i="15" l="1"/>
  <c r="AC5" i="17"/>
  <c r="AC5" i="16"/>
  <c r="AN6" i="2"/>
  <c r="AN7" i="4"/>
  <c r="AH3" i="16"/>
  <c r="K3" i="14" s="1"/>
  <c r="M3" i="14" s="1"/>
  <c r="AN6" i="15"/>
  <c r="AD6" i="17"/>
  <c r="AR3" i="15"/>
  <c r="E3" i="14" s="1"/>
  <c r="G3" i="14" s="1"/>
  <c r="AH3" i="17"/>
  <c r="N3" i="14" s="1"/>
  <c r="P3" i="14" s="1"/>
  <c r="W3" i="14"/>
  <c r="Y3" i="14" s="1"/>
  <c r="H3" i="11"/>
  <c r="J3" i="11" s="1"/>
  <c r="AG8" i="4"/>
  <c r="AH7" i="4"/>
  <c r="AC7" i="4"/>
  <c r="AQ6" i="2"/>
  <c r="AQ7" i="4"/>
  <c r="AP6" i="2"/>
  <c r="AP7" i="4"/>
  <c r="AM6" i="2"/>
  <c r="AM7" i="4"/>
  <c r="AI7" i="4"/>
  <c r="AJ7" i="4"/>
  <c r="AP5" i="15"/>
  <c r="AF5" i="17"/>
  <c r="AF5" i="16"/>
  <c r="AE5" i="17"/>
  <c r="AO5" i="15"/>
  <c r="AE5" i="16"/>
  <c r="AS7" i="4"/>
  <c r="AF9" i="4"/>
  <c r="AB5" i="17"/>
  <c r="AL5" i="15"/>
  <c r="AB5" i="16"/>
  <c r="AB7" i="4"/>
  <c r="AD7" i="17"/>
  <c r="AN7" i="15"/>
  <c r="AD7" i="16"/>
  <c r="AE7" i="4"/>
  <c r="AL7" i="4"/>
  <c r="AD7" i="4"/>
  <c r="H3" i="14"/>
  <c r="J3" i="14" s="1"/>
  <c r="B3" i="14"/>
  <c r="D3" i="14" s="1"/>
  <c r="U9" i="14"/>
  <c r="R45" i="14"/>
  <c r="O11" i="14"/>
  <c r="B9" i="15"/>
  <c r="I10" i="14"/>
  <c r="L10" i="14"/>
  <c r="F11" i="14"/>
  <c r="X10" i="14"/>
  <c r="AA13" i="14"/>
  <c r="C8" i="14"/>
  <c r="F9" i="11"/>
  <c r="C13" i="11"/>
  <c r="AO8" i="4"/>
  <c r="AO8" i="2" s="1"/>
  <c r="AN8" i="4" l="1"/>
  <c r="AN7" i="2"/>
  <c r="AC6" i="16"/>
  <c r="AC6" i="17"/>
  <c r="AM6" i="15"/>
  <c r="AM7" i="2"/>
  <c r="AM8" i="4"/>
  <c r="AE6" i="16"/>
  <c r="AE6" i="17"/>
  <c r="AO6" i="15"/>
  <c r="AH8" i="4"/>
  <c r="AD8" i="16"/>
  <c r="AN8" i="15"/>
  <c r="AD8" i="17"/>
  <c r="AB8" i="4"/>
  <c r="AL6" i="15"/>
  <c r="AB6" i="17"/>
  <c r="AB6" i="16"/>
  <c r="AQ7" i="2"/>
  <c r="AQ8" i="4"/>
  <c r="AE8" i="4"/>
  <c r="AP6" i="15"/>
  <c r="AF6" i="17"/>
  <c r="AF6" i="16"/>
  <c r="AF10" i="4"/>
  <c r="AJ8" i="4"/>
  <c r="AC8" i="4"/>
  <c r="AD8" i="4"/>
  <c r="AS8" i="4"/>
  <c r="AL8" i="4"/>
  <c r="AI8" i="4"/>
  <c r="AP7" i="2"/>
  <c r="AP8" i="4"/>
  <c r="AG9" i="4"/>
  <c r="U10" i="14"/>
  <c r="R46" i="14"/>
  <c r="O12" i="14"/>
  <c r="B10" i="15"/>
  <c r="I11" i="14"/>
  <c r="L11" i="14"/>
  <c r="F12" i="14"/>
  <c r="X11" i="14"/>
  <c r="AA14" i="14"/>
  <c r="C9" i="14"/>
  <c r="C14" i="11"/>
  <c r="F10" i="11"/>
  <c r="AO9" i="4"/>
  <c r="AO9" i="2" s="1"/>
  <c r="AC7" i="16" l="1"/>
  <c r="AC7" i="17"/>
  <c r="AM7" i="15"/>
  <c r="AN9" i="4"/>
  <c r="AN8" i="2"/>
  <c r="AI9" i="4"/>
  <c r="AD9" i="16"/>
  <c r="AD9" i="17"/>
  <c r="AN9" i="15"/>
  <c r="AE7" i="16"/>
  <c r="AO7" i="15"/>
  <c r="AE7" i="17"/>
  <c r="AL9" i="4"/>
  <c r="AP7" i="15"/>
  <c r="AF7" i="17"/>
  <c r="AF7" i="16"/>
  <c r="AL7" i="15"/>
  <c r="AB7" i="16"/>
  <c r="AB7" i="17"/>
  <c r="AC9" i="4"/>
  <c r="AH9" i="4"/>
  <c r="AS9" i="4"/>
  <c r="AJ9" i="4"/>
  <c r="AB9" i="4"/>
  <c r="AG10" i="4"/>
  <c r="AD9" i="4"/>
  <c r="AE9" i="4"/>
  <c r="AP8" i="2"/>
  <c r="AP9" i="4"/>
  <c r="AF11" i="4"/>
  <c r="AQ8" i="2"/>
  <c r="AQ9" i="4"/>
  <c r="AM8" i="2"/>
  <c r="AM9" i="4"/>
  <c r="U11" i="14"/>
  <c r="R47" i="14"/>
  <c r="O13" i="14"/>
  <c r="B11" i="15"/>
  <c r="I12" i="14"/>
  <c r="L12" i="14"/>
  <c r="F13" i="14"/>
  <c r="X12" i="14"/>
  <c r="AA15" i="14"/>
  <c r="C10" i="14"/>
  <c r="C15" i="11"/>
  <c r="F11" i="11"/>
  <c r="AO10" i="4"/>
  <c r="AO10" i="2" s="1"/>
  <c r="AM8" i="15" l="1"/>
  <c r="AC8" i="17"/>
  <c r="AC8" i="16"/>
  <c r="AN10" i="4"/>
  <c r="AN9" i="2"/>
  <c r="AF8" i="16"/>
  <c r="AP8" i="15"/>
  <c r="AF8" i="17"/>
  <c r="AS10" i="4"/>
  <c r="AF12" i="4"/>
  <c r="AD10" i="4"/>
  <c r="AL10" i="4"/>
  <c r="AC10" i="4"/>
  <c r="AM9" i="2"/>
  <c r="AM10" i="4"/>
  <c r="AP9" i="2"/>
  <c r="AP10" i="4"/>
  <c r="AB10" i="4"/>
  <c r="AL8" i="15"/>
  <c r="AB8" i="16"/>
  <c r="AB8" i="17"/>
  <c r="AE8" i="16"/>
  <c r="AE8" i="17"/>
  <c r="AO8" i="15"/>
  <c r="AG11" i="4"/>
  <c r="AE10" i="4"/>
  <c r="AD10" i="16"/>
  <c r="AD10" i="17"/>
  <c r="AN10" i="15"/>
  <c r="AQ9" i="2"/>
  <c r="AQ10" i="4"/>
  <c r="AJ10" i="4"/>
  <c r="AH10" i="4"/>
  <c r="AI10" i="4"/>
  <c r="U12" i="14"/>
  <c r="R48" i="14"/>
  <c r="O14" i="14"/>
  <c r="B12" i="15"/>
  <c r="I13" i="14"/>
  <c r="L13" i="14"/>
  <c r="F14" i="14"/>
  <c r="AA16" i="14"/>
  <c r="X13" i="14"/>
  <c r="C11" i="14"/>
  <c r="C16" i="11"/>
  <c r="F12" i="11"/>
  <c r="AO11" i="4"/>
  <c r="AO11" i="2" s="1"/>
  <c r="AC9" i="16" l="1"/>
  <c r="AC9" i="17"/>
  <c r="AM9" i="15"/>
  <c r="AN10" i="2"/>
  <c r="AN11" i="4"/>
  <c r="AH11" i="4"/>
  <c r="AM10" i="2"/>
  <c r="AM11" i="4"/>
  <c r="AS11" i="4"/>
  <c r="AB9" i="17"/>
  <c r="AB9" i="16"/>
  <c r="AL9" i="15"/>
  <c r="AO9" i="15"/>
  <c r="AE9" i="17"/>
  <c r="AE9" i="16"/>
  <c r="AI11" i="4"/>
  <c r="AQ10" i="2"/>
  <c r="AQ11" i="4"/>
  <c r="AE11" i="4"/>
  <c r="AF13" i="4"/>
  <c r="AB11" i="4"/>
  <c r="AC11" i="4"/>
  <c r="AD11" i="4"/>
  <c r="AJ11" i="4"/>
  <c r="AF9" i="17"/>
  <c r="AP9" i="15"/>
  <c r="AF9" i="16"/>
  <c r="AD11" i="17"/>
  <c r="AD11" i="16"/>
  <c r="AN11" i="15"/>
  <c r="AG12" i="4"/>
  <c r="AP10" i="2"/>
  <c r="AP11" i="4"/>
  <c r="AL11" i="4"/>
  <c r="U13" i="14"/>
  <c r="R49" i="14"/>
  <c r="O15" i="14"/>
  <c r="B13" i="15"/>
  <c r="I14" i="14"/>
  <c r="L14" i="14"/>
  <c r="F15" i="14"/>
  <c r="AA17" i="14"/>
  <c r="X14" i="14"/>
  <c r="C12" i="14"/>
  <c r="F13" i="11"/>
  <c r="C17" i="11"/>
  <c r="AO12" i="4"/>
  <c r="AO12" i="2" s="1"/>
  <c r="AN12" i="4" l="1"/>
  <c r="AN11" i="2"/>
  <c r="AC10" i="16"/>
  <c r="AC10" i="17"/>
  <c r="AM10" i="15"/>
  <c r="AE10" i="17"/>
  <c r="AE10" i="16"/>
  <c r="AO10" i="15"/>
  <c r="AD12" i="4"/>
  <c r="AF14" i="4"/>
  <c r="AI12" i="4"/>
  <c r="AG13" i="4"/>
  <c r="AE12" i="4"/>
  <c r="AM11" i="2"/>
  <c r="AM12" i="4"/>
  <c r="AL12" i="4"/>
  <c r="AQ11" i="2"/>
  <c r="AQ12" i="4"/>
  <c r="AB10" i="17"/>
  <c r="AB10" i="16"/>
  <c r="AL10" i="15"/>
  <c r="AC12" i="4"/>
  <c r="AD12" i="17"/>
  <c r="AD12" i="16"/>
  <c r="AN12" i="15"/>
  <c r="AJ12" i="4"/>
  <c r="AB12" i="4"/>
  <c r="AF10" i="16"/>
  <c r="AF10" i="17"/>
  <c r="AP10" i="15"/>
  <c r="AS12" i="4"/>
  <c r="AP11" i="2"/>
  <c r="AP12" i="4"/>
  <c r="AH12" i="4"/>
  <c r="U14" i="14"/>
  <c r="R50" i="14"/>
  <c r="O16" i="14"/>
  <c r="B14" i="15"/>
  <c r="I15" i="14"/>
  <c r="L15" i="14"/>
  <c r="F16" i="14"/>
  <c r="AA18" i="14"/>
  <c r="X15" i="14"/>
  <c r="C13" i="14"/>
  <c r="C18" i="11"/>
  <c r="F14" i="11"/>
  <c r="AO13" i="4"/>
  <c r="AO13" i="2" s="1"/>
  <c r="AC11" i="16" l="1"/>
  <c r="AM11" i="15"/>
  <c r="AC11" i="17"/>
  <c r="AN12" i="2"/>
  <c r="AN13" i="4"/>
  <c r="AF11" i="17"/>
  <c r="AF11" i="16"/>
  <c r="AP11" i="15"/>
  <c r="AE13" i="4"/>
  <c r="AS13" i="4"/>
  <c r="AB13" i="4"/>
  <c r="AP12" i="2"/>
  <c r="AP13" i="4"/>
  <c r="AJ13" i="4"/>
  <c r="AC13" i="4"/>
  <c r="AL13" i="4"/>
  <c r="AD13" i="4"/>
  <c r="AE11" i="16"/>
  <c r="AE11" i="17"/>
  <c r="AO11" i="15"/>
  <c r="AG14" i="4"/>
  <c r="AQ12" i="2"/>
  <c r="AQ13" i="4"/>
  <c r="AM12" i="2"/>
  <c r="AM13" i="4"/>
  <c r="AI13" i="4"/>
  <c r="AF15" i="4"/>
  <c r="AD13" i="16"/>
  <c r="AD13" i="17"/>
  <c r="AN13" i="15"/>
  <c r="AH13" i="4"/>
  <c r="AB11" i="17"/>
  <c r="AB11" i="16"/>
  <c r="AL11" i="15"/>
  <c r="U15" i="14"/>
  <c r="R51" i="14"/>
  <c r="O17" i="14"/>
  <c r="B15" i="15"/>
  <c r="I16" i="14"/>
  <c r="L16" i="14"/>
  <c r="F17" i="14"/>
  <c r="AA19" i="14"/>
  <c r="X16" i="14"/>
  <c r="C14" i="14"/>
  <c r="F15" i="11"/>
  <c r="C19" i="11"/>
  <c r="AO14" i="4"/>
  <c r="AO14" i="2" s="1"/>
  <c r="AN14" i="4" l="1"/>
  <c r="AN13" i="2"/>
  <c r="AC12" i="16"/>
  <c r="AM12" i="15"/>
  <c r="AC12" i="17"/>
  <c r="AN14" i="15"/>
  <c r="AD14" i="17"/>
  <c r="AD14" i="16"/>
  <c r="AF16" i="4"/>
  <c r="AE12" i="16"/>
  <c r="AO12" i="15"/>
  <c r="AE12" i="17"/>
  <c r="AH14" i="4"/>
  <c r="AG15" i="4"/>
  <c r="AL14" i="4"/>
  <c r="AB14" i="4"/>
  <c r="AM13" i="2"/>
  <c r="AM14" i="4"/>
  <c r="AS14" i="4"/>
  <c r="AB12" i="17"/>
  <c r="AB12" i="16"/>
  <c r="AL12" i="15"/>
  <c r="AD14" i="4"/>
  <c r="AC14" i="4"/>
  <c r="AF12" i="16"/>
  <c r="AF12" i="17"/>
  <c r="AP12" i="15"/>
  <c r="AJ14" i="4"/>
  <c r="AI14" i="4"/>
  <c r="AE14" i="4"/>
  <c r="AQ13" i="2"/>
  <c r="AQ14" i="4"/>
  <c r="AP13" i="2"/>
  <c r="AP14" i="4"/>
  <c r="U16" i="14"/>
  <c r="R52" i="14"/>
  <c r="O18" i="14"/>
  <c r="B16" i="15"/>
  <c r="I17" i="14"/>
  <c r="L17" i="14"/>
  <c r="F18" i="14"/>
  <c r="AA20" i="14"/>
  <c r="X17" i="14"/>
  <c r="C15" i="14"/>
  <c r="F16" i="11"/>
  <c r="C20" i="11"/>
  <c r="AO15" i="4"/>
  <c r="AO15" i="2" s="1"/>
  <c r="AC13" i="17" l="1"/>
  <c r="AM13" i="15"/>
  <c r="AC13" i="16"/>
  <c r="AN14" i="2"/>
  <c r="AN15" i="4"/>
  <c r="AE13" i="17"/>
  <c r="AO13" i="15"/>
  <c r="AE13" i="16"/>
  <c r="AM14" i="2"/>
  <c r="AM15" i="4"/>
  <c r="AI15" i="4"/>
  <c r="AQ14" i="2"/>
  <c r="AQ15" i="4"/>
  <c r="AJ15" i="4"/>
  <c r="AC15" i="4"/>
  <c r="AS15" i="4"/>
  <c r="AB13" i="17"/>
  <c r="AB13" i="16"/>
  <c r="AL13" i="15"/>
  <c r="AG16" i="4"/>
  <c r="AF13" i="17"/>
  <c r="AP13" i="15"/>
  <c r="AF13" i="16"/>
  <c r="AF17" i="4"/>
  <c r="AN15" i="15"/>
  <c r="AD15" i="17"/>
  <c r="AD15" i="16"/>
  <c r="AD15" i="4"/>
  <c r="AB15" i="4"/>
  <c r="AH15" i="4"/>
  <c r="AE15" i="4"/>
  <c r="AL15" i="4"/>
  <c r="AP14" i="2"/>
  <c r="AP15" i="4"/>
  <c r="U17" i="14"/>
  <c r="R53" i="14"/>
  <c r="O19" i="14"/>
  <c r="B17" i="15"/>
  <c r="I18" i="14"/>
  <c r="L18" i="14"/>
  <c r="F19" i="14"/>
  <c r="AA21" i="14"/>
  <c r="X18" i="14"/>
  <c r="C16" i="14"/>
  <c r="C21" i="11"/>
  <c r="F17" i="11"/>
  <c r="AO16" i="4"/>
  <c r="AO16" i="2" s="1"/>
  <c r="AN15" i="2" l="1"/>
  <c r="AN16" i="4"/>
  <c r="AC14" i="17"/>
  <c r="AC14" i="16"/>
  <c r="AM14" i="15"/>
  <c r="AP15" i="2"/>
  <c r="AP16" i="4"/>
  <c r="AB16" i="4"/>
  <c r="AC16" i="4"/>
  <c r="AI16" i="4"/>
  <c r="AE14" i="17"/>
  <c r="AO14" i="15"/>
  <c r="AE14" i="16"/>
  <c r="AM15" i="2"/>
  <c r="AM16" i="4"/>
  <c r="AL16" i="4"/>
  <c r="AD16" i="4"/>
  <c r="AJ16" i="4"/>
  <c r="AB14" i="17"/>
  <c r="AL14" i="15"/>
  <c r="AB14" i="16"/>
  <c r="AF18" i="4"/>
  <c r="AS16" i="4"/>
  <c r="AQ15" i="2"/>
  <c r="AQ16" i="4"/>
  <c r="AH16" i="4"/>
  <c r="AF14" i="17"/>
  <c r="AF14" i="16"/>
  <c r="AP14" i="15"/>
  <c r="AD16" i="16"/>
  <c r="AD16" i="17"/>
  <c r="AN16" i="15"/>
  <c r="AE16" i="4"/>
  <c r="AG17" i="4"/>
  <c r="U18" i="14"/>
  <c r="R54" i="14"/>
  <c r="O20" i="14"/>
  <c r="B18" i="15"/>
  <c r="I19" i="14"/>
  <c r="L19" i="14"/>
  <c r="F20" i="14"/>
  <c r="X19" i="14"/>
  <c r="AA22" i="14"/>
  <c r="C17" i="14"/>
  <c r="F18" i="11"/>
  <c r="C22" i="11"/>
  <c r="AO17" i="4"/>
  <c r="AO17" i="2" s="1"/>
  <c r="AN16" i="2" l="1"/>
  <c r="AN17" i="4"/>
  <c r="AC15" i="17"/>
  <c r="AM15" i="15"/>
  <c r="AC15" i="16"/>
  <c r="AE17" i="4"/>
  <c r="AC17" i="4"/>
  <c r="AH17" i="4"/>
  <c r="AF19" i="4"/>
  <c r="AD17" i="4"/>
  <c r="AB15" i="16"/>
  <c r="AL15" i="15"/>
  <c r="AB15" i="17"/>
  <c r="AQ16" i="2"/>
  <c r="AQ17" i="4"/>
  <c r="AL17" i="4"/>
  <c r="AB17" i="4"/>
  <c r="AG18" i="4"/>
  <c r="AP16" i="2"/>
  <c r="AP17" i="4"/>
  <c r="AP15" i="15"/>
  <c r="AF15" i="16"/>
  <c r="AF15" i="17"/>
  <c r="AD17" i="17"/>
  <c r="AD17" i="16"/>
  <c r="AN17" i="15"/>
  <c r="AS17" i="4"/>
  <c r="AJ17" i="4"/>
  <c r="AM16" i="2"/>
  <c r="AM17" i="4"/>
  <c r="AI17" i="4"/>
  <c r="AO15" i="15"/>
  <c r="AE15" i="16"/>
  <c r="AE15" i="17"/>
  <c r="U19" i="14"/>
  <c r="R55" i="14"/>
  <c r="O21" i="14"/>
  <c r="B19" i="15"/>
  <c r="I20" i="14"/>
  <c r="L20" i="14"/>
  <c r="F21" i="14"/>
  <c r="AA23" i="14"/>
  <c r="X20" i="14"/>
  <c r="C18" i="14"/>
  <c r="F19" i="11"/>
  <c r="C23" i="11"/>
  <c r="AO18" i="4"/>
  <c r="AO18" i="2" s="1"/>
  <c r="AN18" i="4" l="1"/>
  <c r="AN17" i="2"/>
  <c r="AM16" i="15"/>
  <c r="AC16" i="17"/>
  <c r="AC16" i="16"/>
  <c r="AI18" i="4"/>
  <c r="AB18" i="4"/>
  <c r="AM17" i="2"/>
  <c r="AM18" i="4"/>
  <c r="AS18" i="4"/>
  <c r="AQ17" i="2"/>
  <c r="AQ18" i="4"/>
  <c r="AD18" i="4"/>
  <c r="AC18" i="4"/>
  <c r="AP16" i="15"/>
  <c r="AF16" i="17"/>
  <c r="AF16" i="16"/>
  <c r="AF20" i="4"/>
  <c r="AD18" i="16"/>
  <c r="AN18" i="15"/>
  <c r="AD18" i="17"/>
  <c r="AB16" i="16"/>
  <c r="AL16" i="15"/>
  <c r="AB16" i="17"/>
  <c r="AE16" i="16"/>
  <c r="AO16" i="15"/>
  <c r="AE16" i="17"/>
  <c r="AH18" i="4"/>
  <c r="AP17" i="2"/>
  <c r="AP18" i="4"/>
  <c r="AL18" i="4"/>
  <c r="AJ18" i="4"/>
  <c r="AG19" i="4"/>
  <c r="AE18" i="4"/>
  <c r="U20" i="14"/>
  <c r="R56" i="14"/>
  <c r="O22" i="14"/>
  <c r="B20" i="15"/>
  <c r="I21" i="14"/>
  <c r="L21" i="14"/>
  <c r="F22" i="14"/>
  <c r="AA24" i="14"/>
  <c r="X21" i="14"/>
  <c r="C19" i="14"/>
  <c r="C24" i="11"/>
  <c r="F20" i="11"/>
  <c r="AO19" i="4"/>
  <c r="AO19" i="2" s="1"/>
  <c r="AC17" i="16" l="1"/>
  <c r="AM17" i="15"/>
  <c r="AC17" i="17"/>
  <c r="AN18" i="2"/>
  <c r="AN19" i="4"/>
  <c r="AD19" i="4"/>
  <c r="AL17" i="15"/>
  <c r="AB17" i="16"/>
  <c r="AB17" i="17"/>
  <c r="AP18" i="2"/>
  <c r="AP19" i="4"/>
  <c r="AQ18" i="2"/>
  <c r="AQ19" i="4"/>
  <c r="AD19" i="16"/>
  <c r="AD19" i="17"/>
  <c r="AN19" i="15"/>
  <c r="AG20" i="4"/>
  <c r="AE17" i="16"/>
  <c r="AE17" i="17"/>
  <c r="AO17" i="15"/>
  <c r="AF21" i="4"/>
  <c r="AF17" i="17"/>
  <c r="AF17" i="16"/>
  <c r="AP17" i="15"/>
  <c r="AB19" i="4"/>
  <c r="AE19" i="4"/>
  <c r="AJ19" i="4"/>
  <c r="AS19" i="4"/>
  <c r="AL19" i="4"/>
  <c r="AM18" i="2"/>
  <c r="AM19" i="4"/>
  <c r="AH19" i="4"/>
  <c r="AC19" i="4"/>
  <c r="AI19" i="4"/>
  <c r="U21" i="14"/>
  <c r="R57" i="14"/>
  <c r="O23" i="14"/>
  <c r="B21" i="15"/>
  <c r="I22" i="14"/>
  <c r="L22" i="14"/>
  <c r="F23" i="14"/>
  <c r="AA25" i="14"/>
  <c r="X22" i="14"/>
  <c r="C20" i="14"/>
  <c r="F21" i="11"/>
  <c r="C25" i="11"/>
  <c r="AO20" i="4"/>
  <c r="AO20" i="2" s="1"/>
  <c r="AN19" i="2" l="1"/>
  <c r="AN20" i="4"/>
  <c r="AC18" i="17"/>
  <c r="AM18" i="15"/>
  <c r="AC18" i="16"/>
  <c r="AB20" i="4"/>
  <c r="AC20" i="4"/>
  <c r="AH20" i="4"/>
  <c r="AL20" i="4"/>
  <c r="AE20" i="4"/>
  <c r="AG21" i="4"/>
  <c r="AP19" i="2"/>
  <c r="AP20" i="4"/>
  <c r="AD20" i="4"/>
  <c r="AS20" i="4"/>
  <c r="AF22" i="4"/>
  <c r="AE18" i="17"/>
  <c r="AO18" i="15"/>
  <c r="AE18" i="16"/>
  <c r="AM19" i="2"/>
  <c r="AM20" i="4"/>
  <c r="AN20" i="15"/>
  <c r="AD20" i="17"/>
  <c r="AD20" i="16"/>
  <c r="AI20" i="4"/>
  <c r="AB18" i="17"/>
  <c r="AB18" i="16"/>
  <c r="AL18" i="15"/>
  <c r="AJ20" i="4"/>
  <c r="AQ19" i="2"/>
  <c r="AQ20" i="4"/>
  <c r="AF18" i="16"/>
  <c r="AF18" i="17"/>
  <c r="AP18" i="15"/>
  <c r="U22" i="14"/>
  <c r="R58" i="14"/>
  <c r="O24" i="14"/>
  <c r="B22" i="15"/>
  <c r="I23" i="14"/>
  <c r="L23" i="14"/>
  <c r="F24" i="14"/>
  <c r="AA26" i="14"/>
  <c r="X23" i="14"/>
  <c r="C21" i="14"/>
  <c r="C26" i="11"/>
  <c r="F22" i="11"/>
  <c r="AO21" i="4"/>
  <c r="AO21" i="2" s="1"/>
  <c r="AN21" i="4" l="1"/>
  <c r="AN20" i="2"/>
  <c r="AC19" i="16"/>
  <c r="AM19" i="15"/>
  <c r="AC19" i="17"/>
  <c r="AE21" i="4"/>
  <c r="AB19" i="16"/>
  <c r="AB19" i="17"/>
  <c r="AL19" i="15"/>
  <c r="AJ21" i="4"/>
  <c r="AI21" i="4"/>
  <c r="AP20" i="2"/>
  <c r="AP21" i="4"/>
  <c r="AH21" i="4"/>
  <c r="AD21" i="16"/>
  <c r="AN21" i="15"/>
  <c r="AD21" i="17"/>
  <c r="AF19" i="16"/>
  <c r="AP19" i="15"/>
  <c r="AF19" i="17"/>
  <c r="AF23" i="4"/>
  <c r="AE19" i="17"/>
  <c r="AE19" i="16"/>
  <c r="AO19" i="15"/>
  <c r="AD21" i="4"/>
  <c r="AS21" i="4"/>
  <c r="AC21" i="4"/>
  <c r="AG22" i="4"/>
  <c r="AL21" i="4"/>
  <c r="AQ20" i="2"/>
  <c r="AQ21" i="4"/>
  <c r="AM20" i="2"/>
  <c r="AM21" i="4"/>
  <c r="AB21" i="4"/>
  <c r="U23" i="14"/>
  <c r="R59" i="14"/>
  <c r="O25" i="14"/>
  <c r="B23" i="15"/>
  <c r="I24" i="14"/>
  <c r="L24" i="14"/>
  <c r="F25" i="14"/>
  <c r="AA27" i="14"/>
  <c r="X24" i="14"/>
  <c r="C22" i="14"/>
  <c r="F23" i="11"/>
  <c r="C27" i="11"/>
  <c r="AO22" i="4"/>
  <c r="AO22" i="2" s="1"/>
  <c r="AM20" i="15" l="1"/>
  <c r="AC20" i="17"/>
  <c r="AC20" i="16"/>
  <c r="AN21" i="2"/>
  <c r="AN22" i="4"/>
  <c r="AD22" i="17"/>
  <c r="AN22" i="15"/>
  <c r="AD22" i="16"/>
  <c r="AL22" i="4"/>
  <c r="AS22" i="4"/>
  <c r="AH22" i="4"/>
  <c r="AJ22" i="4"/>
  <c r="AM21" i="2"/>
  <c r="AM22" i="4"/>
  <c r="AB22" i="4"/>
  <c r="AP21" i="2"/>
  <c r="AP22" i="4"/>
  <c r="AE20" i="16"/>
  <c r="AE20" i="17"/>
  <c r="AO20" i="15"/>
  <c r="AB20" i="16"/>
  <c r="AL20" i="15"/>
  <c r="AB20" i="17"/>
  <c r="AG23" i="4"/>
  <c r="AQ21" i="2"/>
  <c r="AQ22" i="4"/>
  <c r="AF24" i="4"/>
  <c r="AI22" i="4"/>
  <c r="AF20" i="17"/>
  <c r="AF20" i="16"/>
  <c r="AP20" i="15"/>
  <c r="AC22" i="4"/>
  <c r="AD22" i="4"/>
  <c r="AE22" i="4"/>
  <c r="U24" i="14"/>
  <c r="R60" i="14"/>
  <c r="O26" i="14"/>
  <c r="B24" i="15"/>
  <c r="I25" i="14"/>
  <c r="L25" i="14"/>
  <c r="F26" i="14"/>
  <c r="X25" i="14"/>
  <c r="AA28" i="14"/>
  <c r="C23" i="14"/>
  <c r="C28" i="11"/>
  <c r="F24" i="11"/>
  <c r="AO23" i="4"/>
  <c r="AO23" i="2" s="1"/>
  <c r="AN22" i="2" l="1"/>
  <c r="AN23" i="4"/>
  <c r="AM21" i="15"/>
  <c r="AC21" i="17"/>
  <c r="AC21" i="16"/>
  <c r="AP21" i="15"/>
  <c r="AF21" i="16"/>
  <c r="AF21" i="17"/>
  <c r="AD23" i="4"/>
  <c r="AL21" i="15"/>
  <c r="AB21" i="17"/>
  <c r="AB21" i="16"/>
  <c r="AI23" i="4"/>
  <c r="AP22" i="2"/>
  <c r="AP23" i="4"/>
  <c r="AJ23" i="4"/>
  <c r="AL23" i="4"/>
  <c r="AC23" i="4"/>
  <c r="AE21" i="16"/>
  <c r="AO21" i="15"/>
  <c r="AE21" i="17"/>
  <c r="AF25" i="4"/>
  <c r="AN23" i="15"/>
  <c r="AD23" i="16"/>
  <c r="AD23" i="17"/>
  <c r="AE23" i="4"/>
  <c r="AQ22" i="2"/>
  <c r="AQ23" i="4"/>
  <c r="AG24" i="4"/>
  <c r="AB23" i="4"/>
  <c r="AH23" i="4"/>
  <c r="AM22" i="2"/>
  <c r="AM23" i="4"/>
  <c r="AS23" i="4"/>
  <c r="U25" i="14"/>
  <c r="R61" i="14"/>
  <c r="O27" i="14"/>
  <c r="B25" i="15"/>
  <c r="I26" i="14"/>
  <c r="L26" i="14"/>
  <c r="F27" i="14"/>
  <c r="AA29" i="14"/>
  <c r="X26" i="14"/>
  <c r="C24" i="14"/>
  <c r="C29" i="11"/>
  <c r="F25" i="11"/>
  <c r="AO24" i="4"/>
  <c r="AO24" i="2" s="1"/>
  <c r="AN24" i="4" l="1"/>
  <c r="AN23" i="2"/>
  <c r="AM22" i="15"/>
  <c r="AC22" i="17"/>
  <c r="AC22" i="16"/>
  <c r="AL22" i="15"/>
  <c r="AB22" i="17"/>
  <c r="AB22" i="16"/>
  <c r="AB24" i="4"/>
  <c r="AE24" i="4"/>
  <c r="AP23" i="2"/>
  <c r="AP24" i="4"/>
  <c r="AC24" i="4"/>
  <c r="AE22" i="17"/>
  <c r="AO22" i="15"/>
  <c r="AE22" i="16"/>
  <c r="AF26" i="4"/>
  <c r="AD24" i="4"/>
  <c r="AS24" i="4"/>
  <c r="AQ23" i="2"/>
  <c r="AQ24" i="4"/>
  <c r="AI24" i="4"/>
  <c r="AN24" i="15"/>
  <c r="AD24" i="17"/>
  <c r="AD24" i="16"/>
  <c r="AL24" i="4"/>
  <c r="AH24" i="4"/>
  <c r="AF22" i="17"/>
  <c r="AF22" i="16"/>
  <c r="AP22" i="15"/>
  <c r="AG25" i="4"/>
  <c r="AM23" i="2"/>
  <c r="AM24" i="4"/>
  <c r="AJ24" i="4"/>
  <c r="U26" i="14"/>
  <c r="R62" i="14"/>
  <c r="O28" i="14"/>
  <c r="B26" i="15"/>
  <c r="I27" i="14"/>
  <c r="L27" i="14"/>
  <c r="F28" i="14"/>
  <c r="X27" i="14"/>
  <c r="AA30" i="14"/>
  <c r="C25" i="14"/>
  <c r="F26" i="11"/>
  <c r="C30" i="11"/>
  <c r="AO25" i="4"/>
  <c r="AO25" i="2" s="1"/>
  <c r="AC23" i="17" l="1"/>
  <c r="AM23" i="15"/>
  <c r="AC23" i="16"/>
  <c r="AN25" i="4"/>
  <c r="AN24" i="2"/>
  <c r="AL23" i="15"/>
  <c r="AB23" i="16"/>
  <c r="AB23" i="17"/>
  <c r="AC25" i="4"/>
  <c r="AE25" i="4"/>
  <c r="AH25" i="4"/>
  <c r="AG26" i="4"/>
  <c r="AD25" i="4"/>
  <c r="AB25" i="4"/>
  <c r="AJ25" i="4"/>
  <c r="AQ24" i="2"/>
  <c r="AQ25" i="4"/>
  <c r="AP24" i="2"/>
  <c r="AP25" i="4"/>
  <c r="AD25" i="17"/>
  <c r="AD25" i="16"/>
  <c r="AN25" i="15"/>
  <c r="AF23" i="16"/>
  <c r="AP23" i="15"/>
  <c r="AF23" i="17"/>
  <c r="AF27" i="4"/>
  <c r="AE23" i="17"/>
  <c r="AO23" i="15"/>
  <c r="AE23" i="16"/>
  <c r="AM24" i="2"/>
  <c r="AM25" i="4"/>
  <c r="AL25" i="4"/>
  <c r="AI25" i="4"/>
  <c r="AS25" i="4"/>
  <c r="U27" i="14"/>
  <c r="R63" i="14"/>
  <c r="O29" i="14"/>
  <c r="B27" i="15"/>
  <c r="I28" i="14"/>
  <c r="L28" i="14"/>
  <c r="F29" i="14"/>
  <c r="AA31" i="14"/>
  <c r="X28" i="14"/>
  <c r="C26" i="14"/>
  <c r="C31" i="11"/>
  <c r="F27" i="11"/>
  <c r="AO26" i="4"/>
  <c r="AO26" i="2" s="1"/>
  <c r="AC24" i="17" l="1"/>
  <c r="AM24" i="15"/>
  <c r="AC24" i="16"/>
  <c r="AN25" i="2"/>
  <c r="AN26" i="4"/>
  <c r="AC26" i="4"/>
  <c r="AI26" i="4"/>
  <c r="AQ25" i="2"/>
  <c r="AQ26" i="4"/>
  <c r="AG27" i="4"/>
  <c r="AE26" i="4"/>
  <c r="AL26" i="4"/>
  <c r="AP24" i="15"/>
  <c r="AF24" i="17"/>
  <c r="AF24" i="16"/>
  <c r="AS26" i="4"/>
  <c r="AF28" i="4"/>
  <c r="AB24" i="17"/>
  <c r="AB24" i="16"/>
  <c r="AL24" i="15"/>
  <c r="AP25" i="2"/>
  <c r="AP26" i="4"/>
  <c r="AD26" i="4"/>
  <c r="AH26" i="4"/>
  <c r="AM25" i="2"/>
  <c r="AM26" i="4"/>
  <c r="AJ26" i="4"/>
  <c r="AD26" i="17"/>
  <c r="AD26" i="16"/>
  <c r="AN26" i="15"/>
  <c r="AE24" i="16"/>
  <c r="AO24" i="15"/>
  <c r="AE24" i="17"/>
  <c r="AB26" i="4"/>
  <c r="U28" i="14"/>
  <c r="R64" i="14"/>
  <c r="O30" i="14"/>
  <c r="B28" i="15"/>
  <c r="I29" i="14"/>
  <c r="L29" i="14"/>
  <c r="F30" i="14"/>
  <c r="AA32" i="14"/>
  <c r="X29" i="14"/>
  <c r="C27" i="14"/>
  <c r="F28" i="11"/>
  <c r="C32" i="11"/>
  <c r="AO27" i="4"/>
  <c r="AO27" i="2" s="1"/>
  <c r="AN27" i="4" l="1"/>
  <c r="AN26" i="2"/>
  <c r="AC25" i="16"/>
  <c r="AC25" i="17"/>
  <c r="AM25" i="15"/>
  <c r="AQ26" i="2"/>
  <c r="AQ27" i="4"/>
  <c r="AM26" i="2"/>
  <c r="AM27" i="4"/>
  <c r="AP25" i="15"/>
  <c r="AF25" i="16"/>
  <c r="AF25" i="17"/>
  <c r="AB25" i="17"/>
  <c r="AB25" i="16"/>
  <c r="AL25" i="15"/>
  <c r="AH27" i="4"/>
  <c r="AF29" i="4"/>
  <c r="AE27" i="4"/>
  <c r="AI27" i="4"/>
  <c r="AL27" i="4"/>
  <c r="AE25" i="16"/>
  <c r="AO25" i="15"/>
  <c r="AE25" i="17"/>
  <c r="AB27" i="4"/>
  <c r="AS27" i="4"/>
  <c r="AP26" i="2"/>
  <c r="AP27" i="4"/>
  <c r="AD27" i="16"/>
  <c r="AD27" i="17"/>
  <c r="AN27" i="15"/>
  <c r="AJ27" i="4"/>
  <c r="AD27" i="4"/>
  <c r="AG28" i="4"/>
  <c r="AC27" i="4"/>
  <c r="U29" i="14"/>
  <c r="R65" i="14"/>
  <c r="O31" i="14"/>
  <c r="B29" i="15"/>
  <c r="I30" i="14"/>
  <c r="L30" i="14"/>
  <c r="F31" i="14"/>
  <c r="AA33" i="14"/>
  <c r="X30" i="14"/>
  <c r="C28" i="14"/>
  <c r="C33" i="11"/>
  <c r="F29" i="11"/>
  <c r="AO28" i="4"/>
  <c r="AO28" i="2" s="1"/>
  <c r="AC26" i="16" l="1"/>
  <c r="AM26" i="15"/>
  <c r="AC26" i="17"/>
  <c r="AN27" i="2"/>
  <c r="AN28" i="4"/>
  <c r="AM27" i="2"/>
  <c r="AM28" i="4"/>
  <c r="AJ28" i="4"/>
  <c r="AS28" i="4"/>
  <c r="AE28" i="4"/>
  <c r="AB26" i="17"/>
  <c r="AB26" i="16"/>
  <c r="AL26" i="15"/>
  <c r="AG29" i="4"/>
  <c r="AL28" i="4"/>
  <c r="AQ27" i="2"/>
  <c r="AQ28" i="4"/>
  <c r="AE26" i="17"/>
  <c r="AE26" i="16"/>
  <c r="AO26" i="15"/>
  <c r="AF30" i="4"/>
  <c r="AF26" i="17"/>
  <c r="AF26" i="16"/>
  <c r="AP26" i="15"/>
  <c r="AD28" i="17"/>
  <c r="AD28" i="16"/>
  <c r="AN28" i="15"/>
  <c r="AC28" i="4"/>
  <c r="AB28" i="4"/>
  <c r="AD28" i="4"/>
  <c r="AP27" i="2"/>
  <c r="AP28" i="4"/>
  <c r="AI28" i="4"/>
  <c r="AH28" i="4"/>
  <c r="U30" i="14"/>
  <c r="R66" i="14"/>
  <c r="O32" i="14"/>
  <c r="B30" i="15"/>
  <c r="I31" i="14"/>
  <c r="L31" i="14"/>
  <c r="F32" i="14"/>
  <c r="AA34" i="14"/>
  <c r="X31" i="14"/>
  <c r="C29" i="14"/>
  <c r="F30" i="11"/>
  <c r="C34" i="11"/>
  <c r="AO29" i="4"/>
  <c r="AO29" i="2" s="1"/>
  <c r="AN29" i="4" l="1"/>
  <c r="AN28" i="2"/>
  <c r="AC27" i="16"/>
  <c r="AM27" i="15"/>
  <c r="AC27" i="17"/>
  <c r="AL29" i="4"/>
  <c r="AG30" i="4"/>
  <c r="AS29" i="4"/>
  <c r="AH29" i="4"/>
  <c r="AD29" i="4"/>
  <c r="AC29" i="4"/>
  <c r="AJ29" i="4"/>
  <c r="AI29" i="4"/>
  <c r="AD29" i="17"/>
  <c r="AD29" i="16"/>
  <c r="AN29" i="15"/>
  <c r="AF31" i="4"/>
  <c r="AP28" i="2"/>
  <c r="AP29" i="4"/>
  <c r="AQ28" i="2"/>
  <c r="AQ29" i="4"/>
  <c r="AM28" i="2"/>
  <c r="AM29" i="4"/>
  <c r="AO27" i="15"/>
  <c r="AE27" i="17"/>
  <c r="AE27" i="16"/>
  <c r="AB29" i="4"/>
  <c r="AF27" i="17"/>
  <c r="AF27" i="16"/>
  <c r="AP27" i="15"/>
  <c r="AE29" i="4"/>
  <c r="AB27" i="17"/>
  <c r="AB27" i="16"/>
  <c r="AL27" i="15"/>
  <c r="U31" i="14"/>
  <c r="R67" i="14"/>
  <c r="O33" i="14"/>
  <c r="B31" i="15"/>
  <c r="I32" i="14"/>
  <c r="L32" i="14"/>
  <c r="F33" i="14"/>
  <c r="X32" i="14"/>
  <c r="AA35" i="14"/>
  <c r="C30" i="14"/>
  <c r="C35" i="11"/>
  <c r="F31" i="11"/>
  <c r="AO30" i="4"/>
  <c r="AO30" i="2" s="1"/>
  <c r="AC28" i="16" l="1"/>
  <c r="AM28" i="15"/>
  <c r="AC28" i="17"/>
  <c r="AN30" i="4"/>
  <c r="AN29" i="2"/>
  <c r="AQ29" i="2"/>
  <c r="AQ30" i="4"/>
  <c r="AB30" i="4"/>
  <c r="AS30" i="4"/>
  <c r="AE30" i="4"/>
  <c r="AF28" i="16"/>
  <c r="AP28" i="15"/>
  <c r="AF28" i="17"/>
  <c r="AI30" i="4"/>
  <c r="AC30" i="4"/>
  <c r="AM29" i="2"/>
  <c r="AM30" i="4"/>
  <c r="AP29" i="2"/>
  <c r="AP30" i="4"/>
  <c r="AE28" i="17"/>
  <c r="AE28" i="16"/>
  <c r="AO28" i="15"/>
  <c r="AJ30" i="4"/>
  <c r="AD30" i="4"/>
  <c r="AG31" i="4"/>
  <c r="AD30" i="16"/>
  <c r="AN30" i="15"/>
  <c r="AD30" i="17"/>
  <c r="AL30" i="4"/>
  <c r="AB28" i="17"/>
  <c r="AB28" i="16"/>
  <c r="AL28" i="15"/>
  <c r="AF32" i="4"/>
  <c r="AH30" i="4"/>
  <c r="U32" i="14"/>
  <c r="R68" i="14"/>
  <c r="O34" i="14"/>
  <c r="B32" i="15"/>
  <c r="I33" i="14"/>
  <c r="L33" i="14"/>
  <c r="F34" i="14"/>
  <c r="AA36" i="14"/>
  <c r="X33" i="14"/>
  <c r="C31" i="14"/>
  <c r="F32" i="11"/>
  <c r="C36" i="11"/>
  <c r="AO31" i="4"/>
  <c r="AO31" i="2" s="1"/>
  <c r="AC29" i="16" l="1"/>
  <c r="AM29" i="15"/>
  <c r="AC29" i="17"/>
  <c r="AN31" i="4"/>
  <c r="AN30" i="2"/>
  <c r="AG32" i="4"/>
  <c r="AI31" i="4"/>
  <c r="AH31" i="4"/>
  <c r="AF33" i="4"/>
  <c r="AS31" i="4"/>
  <c r="AD31" i="4"/>
  <c r="AP30" i="2"/>
  <c r="AP31" i="4"/>
  <c r="AE29" i="17"/>
  <c r="AE29" i="16"/>
  <c r="AO29" i="15"/>
  <c r="AB31" i="4"/>
  <c r="AD31" i="17"/>
  <c r="AD31" i="16"/>
  <c r="AN31" i="15"/>
  <c r="AL31" i="4"/>
  <c r="AM30" i="2"/>
  <c r="AM31" i="4"/>
  <c r="AC31" i="4"/>
  <c r="AQ30" i="2"/>
  <c r="AQ31" i="4"/>
  <c r="AJ31" i="4"/>
  <c r="AB29" i="17"/>
  <c r="AL29" i="15"/>
  <c r="AB29" i="16"/>
  <c r="AE31" i="4"/>
  <c r="AF29" i="17"/>
  <c r="AF29" i="16"/>
  <c r="AP29" i="15"/>
  <c r="U33" i="14"/>
  <c r="R69" i="14"/>
  <c r="O35" i="14"/>
  <c r="B33" i="15"/>
  <c r="I34" i="14"/>
  <c r="L34" i="14"/>
  <c r="F35" i="14"/>
  <c r="X34" i="14"/>
  <c r="AA37" i="14"/>
  <c r="C32" i="14"/>
  <c r="C37" i="11"/>
  <c r="F33" i="11"/>
  <c r="AO32" i="4"/>
  <c r="AO32" i="2" s="1"/>
  <c r="AM30" i="15" l="1"/>
  <c r="AC30" i="17"/>
  <c r="AC30" i="16"/>
  <c r="AN31" i="2"/>
  <c r="AN32" i="4"/>
  <c r="AS32" i="4"/>
  <c r="AE32" i="4"/>
  <c r="AC32" i="4"/>
  <c r="AH32" i="4"/>
  <c r="AM31" i="2"/>
  <c r="AM32" i="4"/>
  <c r="AP31" i="2"/>
  <c r="AP32" i="4"/>
  <c r="AJ32" i="4"/>
  <c r="AB30" i="16"/>
  <c r="AL30" i="15"/>
  <c r="AB30" i="17"/>
  <c r="AE30" i="17"/>
  <c r="AE30" i="16"/>
  <c r="AO30" i="15"/>
  <c r="AI32" i="4"/>
  <c r="AD32" i="16"/>
  <c r="AN32" i="15"/>
  <c r="AD32" i="17"/>
  <c r="AQ31" i="2"/>
  <c r="AQ32" i="4"/>
  <c r="AL32" i="4"/>
  <c r="AB32" i="4"/>
  <c r="AF30" i="17"/>
  <c r="AF30" i="16"/>
  <c r="AP30" i="15"/>
  <c r="AD32" i="4"/>
  <c r="AF34" i="4"/>
  <c r="AG33" i="4"/>
  <c r="U34" i="14"/>
  <c r="R70" i="14"/>
  <c r="O36" i="14"/>
  <c r="B34" i="15"/>
  <c r="I35" i="14"/>
  <c r="L35" i="14"/>
  <c r="F36" i="14"/>
  <c r="AA38" i="14"/>
  <c r="X35" i="14"/>
  <c r="C33" i="14"/>
  <c r="C38" i="11"/>
  <c r="F34" i="11"/>
  <c r="AO33" i="4"/>
  <c r="AO33" i="2" s="1"/>
  <c r="AN32" i="2" l="1"/>
  <c r="AN33" i="4"/>
  <c r="AC31" i="16"/>
  <c r="AM31" i="15"/>
  <c r="AC31" i="17"/>
  <c r="AI33" i="4"/>
  <c r="AC33" i="4"/>
  <c r="AD33" i="4"/>
  <c r="AH33" i="4"/>
  <c r="AP32" i="2"/>
  <c r="AP33" i="4"/>
  <c r="AE33" i="4"/>
  <c r="AF35" i="4"/>
  <c r="AL31" i="15"/>
  <c r="AB31" i="16"/>
  <c r="AB31" i="17"/>
  <c r="AQ32" i="2"/>
  <c r="AQ33" i="4"/>
  <c r="AF31" i="17"/>
  <c r="AF31" i="16"/>
  <c r="AP31" i="15"/>
  <c r="AG34" i="4"/>
  <c r="AB33" i="4"/>
  <c r="AE31" i="17"/>
  <c r="AO31" i="15"/>
  <c r="AE31" i="16"/>
  <c r="AS33" i="4"/>
  <c r="AN33" i="15"/>
  <c r="AD33" i="17"/>
  <c r="AD33" i="16"/>
  <c r="AL33" i="4"/>
  <c r="AJ33" i="4"/>
  <c r="AM32" i="2"/>
  <c r="AM33" i="4"/>
  <c r="U35" i="14"/>
  <c r="R71" i="14"/>
  <c r="O37" i="14"/>
  <c r="B35" i="15"/>
  <c r="I36" i="14"/>
  <c r="L36" i="14"/>
  <c r="F37" i="14"/>
  <c r="AA39" i="14"/>
  <c r="X36" i="14"/>
  <c r="C34" i="14"/>
  <c r="C39" i="11"/>
  <c r="F35" i="11"/>
  <c r="AO34" i="4"/>
  <c r="AO34" i="2" s="1"/>
  <c r="AN33" i="2" l="1"/>
  <c r="AN34" i="4"/>
  <c r="AC32" i="16"/>
  <c r="AM32" i="15"/>
  <c r="AC32" i="17"/>
  <c r="AB34" i="4"/>
  <c r="AP33" i="2"/>
  <c r="AP34" i="4"/>
  <c r="AG35" i="4"/>
  <c r="AJ34" i="4"/>
  <c r="AQ33" i="2"/>
  <c r="AQ34" i="4"/>
  <c r="AF36" i="4"/>
  <c r="AH34" i="4"/>
  <c r="AM33" i="2"/>
  <c r="AM34" i="4"/>
  <c r="AS34" i="4"/>
  <c r="AE32" i="16"/>
  <c r="AO32" i="15"/>
  <c r="AE32" i="17"/>
  <c r="AL34" i="4"/>
  <c r="AF32" i="17"/>
  <c r="AF32" i="16"/>
  <c r="AP32" i="15"/>
  <c r="AB32" i="16"/>
  <c r="AB32" i="17"/>
  <c r="AL32" i="15"/>
  <c r="AC34" i="4"/>
  <c r="AD34" i="17"/>
  <c r="AD34" i="16"/>
  <c r="AN34" i="15"/>
  <c r="AE34" i="4"/>
  <c r="AD34" i="4"/>
  <c r="AI34" i="4"/>
  <c r="U36" i="14"/>
  <c r="R72" i="14"/>
  <c r="O38" i="14"/>
  <c r="B36" i="15"/>
  <c r="I37" i="14"/>
  <c r="L37" i="14"/>
  <c r="F38" i="14"/>
  <c r="X37" i="14"/>
  <c r="AA40" i="14"/>
  <c r="C35" i="14"/>
  <c r="F36" i="11"/>
  <c r="C40" i="11"/>
  <c r="AO35" i="4"/>
  <c r="AO35" i="2" s="1"/>
  <c r="AN34" i="2" l="1"/>
  <c r="AN35" i="4"/>
  <c r="AM33" i="15"/>
  <c r="AC33" i="17"/>
  <c r="AC33" i="16"/>
  <c r="AD35" i="4"/>
  <c r="AB33" i="17"/>
  <c r="AB33" i="16"/>
  <c r="AL33" i="15"/>
  <c r="AF37" i="4"/>
  <c r="AG36" i="4"/>
  <c r="AS35" i="4"/>
  <c r="AF33" i="16"/>
  <c r="AP33" i="15"/>
  <c r="AF33" i="17"/>
  <c r="AE33" i="17"/>
  <c r="AO33" i="15"/>
  <c r="AE33" i="16"/>
  <c r="AQ34" i="2"/>
  <c r="AQ35" i="4"/>
  <c r="AI35" i="4"/>
  <c r="AC35" i="4"/>
  <c r="AJ35" i="4"/>
  <c r="AE35" i="4"/>
  <c r="AP34" i="2"/>
  <c r="AP35" i="4"/>
  <c r="AD35" i="17"/>
  <c r="AD35" i="16"/>
  <c r="AN35" i="15"/>
  <c r="AL35" i="4"/>
  <c r="AM34" i="2"/>
  <c r="AM35" i="4"/>
  <c r="AH35" i="4"/>
  <c r="AB35" i="4"/>
  <c r="U37" i="14"/>
  <c r="R73" i="14"/>
  <c r="O39" i="14"/>
  <c r="B37" i="15"/>
  <c r="I38" i="14"/>
  <c r="L38" i="14"/>
  <c r="F39" i="14"/>
  <c r="X38" i="14"/>
  <c r="AA41" i="14"/>
  <c r="C36" i="14"/>
  <c r="C41" i="11"/>
  <c r="F37" i="11"/>
  <c r="AO36" i="4"/>
  <c r="AO36" i="2" s="1"/>
  <c r="AN36" i="4" l="1"/>
  <c r="AN35" i="2"/>
  <c r="AM34" i="15"/>
  <c r="AC34" i="17"/>
  <c r="AC34" i="16"/>
  <c r="AC36" i="4"/>
  <c r="AM35" i="2"/>
  <c r="AM36" i="4"/>
  <c r="AJ36" i="4"/>
  <c r="AF38" i="4"/>
  <c r="AH36" i="4"/>
  <c r="AB34" i="16"/>
  <c r="AL34" i="15"/>
  <c r="AB34" i="17"/>
  <c r="AP35" i="2"/>
  <c r="AP36" i="4"/>
  <c r="AI36" i="4"/>
  <c r="AS36" i="4"/>
  <c r="AB36" i="4"/>
  <c r="AP34" i="15"/>
  <c r="AF34" i="17"/>
  <c r="AF34" i="16"/>
  <c r="AL36" i="4"/>
  <c r="AE34" i="17"/>
  <c r="AO34" i="15"/>
  <c r="AE34" i="16"/>
  <c r="AQ35" i="2"/>
  <c r="AQ36" i="4"/>
  <c r="AD36" i="17"/>
  <c r="AD36" i="16"/>
  <c r="AN36" i="15"/>
  <c r="AE36" i="4"/>
  <c r="AG37" i="4"/>
  <c r="AD36" i="4"/>
  <c r="U38" i="14"/>
  <c r="R74" i="14"/>
  <c r="O40" i="14"/>
  <c r="B38" i="15"/>
  <c r="I39" i="14"/>
  <c r="L39" i="14"/>
  <c r="F40" i="14"/>
  <c r="AA42" i="14"/>
  <c r="X39" i="14"/>
  <c r="C37" i="14"/>
  <c r="F38" i="11"/>
  <c r="C42" i="11"/>
  <c r="AO37" i="4"/>
  <c r="AO37" i="2" s="1"/>
  <c r="AM35" i="15" l="1"/>
  <c r="AC35" i="17"/>
  <c r="AC35" i="16"/>
  <c r="AN36" i="2"/>
  <c r="AN37" i="4"/>
  <c r="AG38" i="4"/>
  <c r="AJ37" i="4"/>
  <c r="AF35" i="17"/>
  <c r="AF35" i="16"/>
  <c r="AP35" i="15"/>
  <c r="AE37" i="4"/>
  <c r="AB37" i="4"/>
  <c r="AI37" i="4"/>
  <c r="AM36" i="2"/>
  <c r="AM37" i="4"/>
  <c r="AN37" i="15"/>
  <c r="AD37" i="17"/>
  <c r="AD37" i="16"/>
  <c r="AQ36" i="2"/>
  <c r="AQ37" i="4"/>
  <c r="AP36" i="2"/>
  <c r="AP37" i="4"/>
  <c r="AH37" i="4"/>
  <c r="AB35" i="16"/>
  <c r="AL35" i="15"/>
  <c r="AB35" i="17"/>
  <c r="AE35" i="17"/>
  <c r="AE35" i="16"/>
  <c r="AO35" i="15"/>
  <c r="AD37" i="4"/>
  <c r="AL37" i="4"/>
  <c r="AS37" i="4"/>
  <c r="AF39" i="4"/>
  <c r="AC37" i="4"/>
  <c r="U39" i="14"/>
  <c r="R75" i="14"/>
  <c r="O41" i="14"/>
  <c r="B39" i="15"/>
  <c r="I40" i="14"/>
  <c r="L40" i="14"/>
  <c r="F41" i="14"/>
  <c r="AA43" i="14"/>
  <c r="X40" i="14"/>
  <c r="C38" i="14"/>
  <c r="F39" i="11"/>
  <c r="C43" i="11"/>
  <c r="AO38" i="4"/>
  <c r="AO38" i="2" s="1"/>
  <c r="AN37" i="2" l="1"/>
  <c r="AN38" i="4"/>
  <c r="AM36" i="15"/>
  <c r="AC36" i="17"/>
  <c r="AC36" i="16"/>
  <c r="AB38" i="4"/>
  <c r="AF40" i="4"/>
  <c r="AD38" i="4"/>
  <c r="AP37" i="2"/>
  <c r="AP38" i="4"/>
  <c r="AI38" i="4"/>
  <c r="AS38" i="4"/>
  <c r="AO36" i="15"/>
  <c r="AE36" i="16"/>
  <c r="AE36" i="17"/>
  <c r="AC38" i="4"/>
  <c r="AQ37" i="2"/>
  <c r="AQ38" i="4"/>
  <c r="AE38" i="4"/>
  <c r="AD38" i="17"/>
  <c r="AD38" i="16"/>
  <c r="AN38" i="15"/>
  <c r="AL38" i="4"/>
  <c r="AM37" i="2"/>
  <c r="AM38" i="4"/>
  <c r="AJ38" i="4"/>
  <c r="AB36" i="17"/>
  <c r="AL36" i="15"/>
  <c r="AB36" i="16"/>
  <c r="AH38" i="4"/>
  <c r="AF36" i="17"/>
  <c r="AF36" i="16"/>
  <c r="AP36" i="15"/>
  <c r="AG39" i="4"/>
  <c r="U40" i="14"/>
  <c r="R76" i="14"/>
  <c r="O42" i="14"/>
  <c r="B40" i="15"/>
  <c r="I41" i="14"/>
  <c r="L41" i="14"/>
  <c r="F42" i="14"/>
  <c r="X41" i="14"/>
  <c r="AA44" i="14"/>
  <c r="C39" i="14"/>
  <c r="C44" i="11"/>
  <c r="F40" i="11"/>
  <c r="AO39" i="4"/>
  <c r="AO39" i="2" s="1"/>
  <c r="AN39" i="4" l="1"/>
  <c r="AN38" i="2"/>
  <c r="AM37" i="15"/>
  <c r="AC37" i="17"/>
  <c r="AC37" i="16"/>
  <c r="AB39" i="4"/>
  <c r="AM38" i="2"/>
  <c r="AM39" i="4"/>
  <c r="AI39" i="4"/>
  <c r="AF41" i="4"/>
  <c r="AB37" i="17"/>
  <c r="AB37" i="16"/>
  <c r="AL37" i="15"/>
  <c r="AE39" i="4"/>
  <c r="AP38" i="2"/>
  <c r="AP39" i="4"/>
  <c r="AH39" i="4"/>
  <c r="AF37" i="17"/>
  <c r="AF37" i="16"/>
  <c r="AP37" i="15"/>
  <c r="AS39" i="4"/>
  <c r="AE37" i="17"/>
  <c r="AE37" i="16"/>
  <c r="AO37" i="15"/>
  <c r="AD39" i="16"/>
  <c r="AN39" i="15"/>
  <c r="AD39" i="17"/>
  <c r="AG40" i="4"/>
  <c r="AJ39" i="4"/>
  <c r="AD39" i="4"/>
  <c r="AQ38" i="2"/>
  <c r="AQ39" i="4"/>
  <c r="AL39" i="4"/>
  <c r="AC39" i="4"/>
  <c r="U41" i="14"/>
  <c r="R77" i="14"/>
  <c r="O43" i="14"/>
  <c r="B41" i="15"/>
  <c r="I42" i="14"/>
  <c r="L42" i="14"/>
  <c r="F43" i="14"/>
  <c r="X42" i="14"/>
  <c r="AA45" i="14"/>
  <c r="C40" i="14"/>
  <c r="C45" i="11"/>
  <c r="F41" i="11"/>
  <c r="AO40" i="4"/>
  <c r="AO40" i="2" s="1"/>
  <c r="AM38" i="15" l="1"/>
  <c r="AC38" i="16"/>
  <c r="AC38" i="17"/>
  <c r="AN39" i="2"/>
  <c r="AN40" i="4"/>
  <c r="AP39" i="2"/>
  <c r="AP40" i="4"/>
  <c r="AD40" i="4"/>
  <c r="AE38" i="17"/>
  <c r="AE38" i="16"/>
  <c r="AO38" i="15"/>
  <c r="AL40" i="4"/>
  <c r="AJ40" i="4"/>
  <c r="AM39" i="2"/>
  <c r="AM40" i="4"/>
  <c r="AE40" i="4"/>
  <c r="AB38" i="17"/>
  <c r="AB38" i="16"/>
  <c r="AL38" i="15"/>
  <c r="AD40" i="17"/>
  <c r="AD40" i="16"/>
  <c r="AN40" i="15"/>
  <c r="AC40" i="4"/>
  <c r="AQ39" i="2"/>
  <c r="AQ40" i="4"/>
  <c r="AG41" i="4"/>
  <c r="AI40" i="4"/>
  <c r="AF42" i="4"/>
  <c r="AP38" i="15"/>
  <c r="AF38" i="17"/>
  <c r="AF38" i="16"/>
  <c r="AS40" i="4"/>
  <c r="AH40" i="4"/>
  <c r="AB40" i="4"/>
  <c r="U42" i="14"/>
  <c r="R78" i="14"/>
  <c r="O44" i="14"/>
  <c r="B42" i="15"/>
  <c r="I43" i="14"/>
  <c r="L43" i="14"/>
  <c r="F44" i="14"/>
  <c r="AA46" i="14"/>
  <c r="X43" i="14"/>
  <c r="C41" i="14"/>
  <c r="F42" i="11"/>
  <c r="C46" i="11"/>
  <c r="AO41" i="4"/>
  <c r="AO41" i="2" s="1"/>
  <c r="AN41" i="4" l="1"/>
  <c r="AN40" i="2"/>
  <c r="AM39" i="15"/>
  <c r="AC39" i="16"/>
  <c r="AC39" i="17"/>
  <c r="AL41" i="4"/>
  <c r="AD41" i="4"/>
  <c r="AS41" i="4"/>
  <c r="AG42" i="4"/>
  <c r="AP40" i="2"/>
  <c r="AP41" i="4"/>
  <c r="AQ40" i="2"/>
  <c r="AQ41" i="4"/>
  <c r="AM40" i="2"/>
  <c r="AM41" i="4"/>
  <c r="AE39" i="16"/>
  <c r="AO39" i="15"/>
  <c r="AE39" i="17"/>
  <c r="AF43" i="4"/>
  <c r="AF39" i="17"/>
  <c r="AF39" i="16"/>
  <c r="AP39" i="15"/>
  <c r="AB39" i="17"/>
  <c r="AB39" i="16"/>
  <c r="AL39" i="15"/>
  <c r="AH41" i="4"/>
  <c r="AN41" i="15"/>
  <c r="AD41" i="16"/>
  <c r="AD41" i="17"/>
  <c r="AB41" i="4"/>
  <c r="AE41" i="4"/>
  <c r="AJ41" i="4"/>
  <c r="AI41" i="4"/>
  <c r="AC41" i="4"/>
  <c r="U43" i="14"/>
  <c r="R79" i="14"/>
  <c r="O45" i="14"/>
  <c r="B43" i="15"/>
  <c r="I44" i="14"/>
  <c r="L44" i="14"/>
  <c r="F45" i="14"/>
  <c r="AA47" i="14"/>
  <c r="X44" i="14"/>
  <c r="C42" i="14"/>
  <c r="C47" i="11"/>
  <c r="F43" i="11"/>
  <c r="AO42" i="4"/>
  <c r="AO42" i="2" s="1"/>
  <c r="AM40" i="15" l="1"/>
  <c r="AC40" i="17"/>
  <c r="AC40" i="16"/>
  <c r="AN42" i="4"/>
  <c r="AN41" i="2"/>
  <c r="AQ41" i="2"/>
  <c r="AQ42" i="4"/>
  <c r="AE40" i="17"/>
  <c r="AO40" i="15"/>
  <c r="AE40" i="16"/>
  <c r="AS42" i="4"/>
  <c r="AJ42" i="4"/>
  <c r="AH42" i="4"/>
  <c r="AB42" i="4"/>
  <c r="AI42" i="4"/>
  <c r="AF40" i="16"/>
  <c r="AP40" i="15"/>
  <c r="AF40" i="17"/>
  <c r="AL42" i="4"/>
  <c r="AD42" i="4"/>
  <c r="AD42" i="17"/>
  <c r="AD42" i="16"/>
  <c r="AN42" i="15"/>
  <c r="AC42" i="4"/>
  <c r="AE42" i="4"/>
  <c r="AF44" i="4"/>
  <c r="AM41" i="2"/>
  <c r="AM42" i="4"/>
  <c r="AL40" i="15"/>
  <c r="AB40" i="17"/>
  <c r="AB40" i="16"/>
  <c r="AP41" i="2"/>
  <c r="AP42" i="4"/>
  <c r="AG43" i="4"/>
  <c r="U44" i="14"/>
  <c r="R80" i="14"/>
  <c r="O46" i="14"/>
  <c r="B44" i="15"/>
  <c r="I45" i="14"/>
  <c r="L45" i="14"/>
  <c r="F46" i="14"/>
  <c r="AA48" i="14"/>
  <c r="X45" i="14"/>
  <c r="C43" i="14"/>
  <c r="C48" i="11"/>
  <c r="F44" i="11"/>
  <c r="AO43" i="4"/>
  <c r="AO43" i="2" s="1"/>
  <c r="AC41" i="17" l="1"/>
  <c r="AC41" i="16"/>
  <c r="AM41" i="15"/>
  <c r="AN42" i="2"/>
  <c r="AN43" i="4"/>
  <c r="AF45" i="4"/>
  <c r="AB43" i="4"/>
  <c r="AG44" i="4"/>
  <c r="AH43" i="4"/>
  <c r="AE41" i="16"/>
  <c r="AO41" i="15"/>
  <c r="AE41" i="17"/>
  <c r="AM42" i="2"/>
  <c r="AM43" i="4"/>
  <c r="AD43" i="4"/>
  <c r="AJ43" i="4"/>
  <c r="AE43" i="4"/>
  <c r="AL41" i="15"/>
  <c r="AB41" i="16"/>
  <c r="AB41" i="17"/>
  <c r="AC43" i="4"/>
  <c r="AL43" i="4"/>
  <c r="AI43" i="4"/>
  <c r="AQ42" i="2"/>
  <c r="AQ43" i="4"/>
  <c r="AP42" i="2"/>
  <c r="AP43" i="4"/>
  <c r="AD43" i="17"/>
  <c r="AD43" i="16"/>
  <c r="AN43" i="15"/>
  <c r="AS43" i="4"/>
  <c r="AF41" i="17"/>
  <c r="AF41" i="16"/>
  <c r="AP41" i="15"/>
  <c r="U45" i="14"/>
  <c r="R81" i="14"/>
  <c r="O47" i="14"/>
  <c r="B45" i="15"/>
  <c r="I46" i="14"/>
  <c r="L46" i="14"/>
  <c r="F47" i="14"/>
  <c r="X46" i="14"/>
  <c r="AA49" i="14"/>
  <c r="C44" i="14"/>
  <c r="C49" i="11"/>
  <c r="F45" i="11"/>
  <c r="AO44" i="4"/>
  <c r="AO44" i="2" s="1"/>
  <c r="AN44" i="4" l="1"/>
  <c r="AN43" i="2"/>
  <c r="AC42" i="16"/>
  <c r="AM42" i="15"/>
  <c r="AC42" i="17"/>
  <c r="AM43" i="2"/>
  <c r="AM44" i="4"/>
  <c r="AD44" i="16"/>
  <c r="AN44" i="15"/>
  <c r="AD44" i="17"/>
  <c r="AI44" i="4"/>
  <c r="AB42" i="17"/>
  <c r="AB42" i="16"/>
  <c r="AL42" i="15"/>
  <c r="AS44" i="4"/>
  <c r="AF46" i="4"/>
  <c r="AB44" i="4"/>
  <c r="AP43" i="2"/>
  <c r="AP44" i="4"/>
  <c r="AO42" i="15"/>
  <c r="AE42" i="17"/>
  <c r="AE42" i="16"/>
  <c r="AJ44" i="4"/>
  <c r="AH44" i="4"/>
  <c r="AL44" i="4"/>
  <c r="AQ43" i="2"/>
  <c r="AQ44" i="4"/>
  <c r="AE44" i="4"/>
  <c r="AG45" i="4"/>
  <c r="AP42" i="15"/>
  <c r="AF42" i="17"/>
  <c r="AF42" i="16"/>
  <c r="AC44" i="4"/>
  <c r="AD44" i="4"/>
  <c r="U46" i="14"/>
  <c r="R82" i="14"/>
  <c r="O48" i="14"/>
  <c r="B46" i="15"/>
  <c r="I47" i="14"/>
  <c r="L47" i="14"/>
  <c r="F48" i="14"/>
  <c r="AA50" i="14"/>
  <c r="X47" i="14"/>
  <c r="C45" i="14"/>
  <c r="C50" i="11"/>
  <c r="F46" i="11"/>
  <c r="AO45" i="4"/>
  <c r="AO45" i="2" s="1"/>
  <c r="AC43" i="17" l="1"/>
  <c r="AC43" i="16"/>
  <c r="AM43" i="15"/>
  <c r="AN44" i="2"/>
  <c r="AN45" i="4"/>
  <c r="AC45" i="4"/>
  <c r="AE45" i="4"/>
  <c r="AH45" i="4"/>
  <c r="AB45" i="4"/>
  <c r="AS45" i="4"/>
  <c r="AQ44" i="2"/>
  <c r="AQ45" i="4"/>
  <c r="AJ45" i="4"/>
  <c r="AF43" i="17"/>
  <c r="AF43" i="16"/>
  <c r="AP43" i="15"/>
  <c r="AF47" i="4"/>
  <c r="AI45" i="4"/>
  <c r="AD45" i="4"/>
  <c r="AL45" i="4"/>
  <c r="AP44" i="2"/>
  <c r="AP45" i="4"/>
  <c r="AM44" i="2"/>
  <c r="AM45" i="4"/>
  <c r="AD45" i="17"/>
  <c r="AD45" i="16"/>
  <c r="AN45" i="15"/>
  <c r="AG46" i="4"/>
  <c r="AE43" i="16"/>
  <c r="AE43" i="17"/>
  <c r="AO43" i="15"/>
  <c r="AL43" i="15"/>
  <c r="AB43" i="16"/>
  <c r="AB43" i="17"/>
  <c r="U47" i="14"/>
  <c r="R83" i="14"/>
  <c r="O49" i="14"/>
  <c r="B47" i="15"/>
  <c r="I48" i="14"/>
  <c r="L48" i="14"/>
  <c r="F49" i="14"/>
  <c r="AA51" i="14"/>
  <c r="X48" i="14"/>
  <c r="C46" i="14"/>
  <c r="F47" i="11"/>
  <c r="C51" i="11"/>
  <c r="AO46" i="4"/>
  <c r="AO46" i="2" s="1"/>
  <c r="AN45" i="2" l="1"/>
  <c r="AN46" i="4"/>
  <c r="AC44" i="16"/>
  <c r="AM44" i="15"/>
  <c r="AC44" i="17"/>
  <c r="AG47" i="4"/>
  <c r="AP45" i="2"/>
  <c r="AP46" i="4"/>
  <c r="AF44" i="17"/>
  <c r="AF44" i="16"/>
  <c r="AP44" i="15"/>
  <c r="AH46" i="4"/>
  <c r="AQ45" i="2"/>
  <c r="AQ46" i="4"/>
  <c r="AD46" i="4"/>
  <c r="AF48" i="4"/>
  <c r="AM45" i="2"/>
  <c r="AM46" i="4"/>
  <c r="AE44" i="17"/>
  <c r="AE44" i="16"/>
  <c r="AO44" i="15"/>
  <c r="AI46" i="4"/>
  <c r="AD46" i="16"/>
  <c r="AN46" i="15"/>
  <c r="AD46" i="17"/>
  <c r="AS46" i="4"/>
  <c r="AB44" i="17"/>
  <c r="AL44" i="15"/>
  <c r="AB44" i="16"/>
  <c r="AL46" i="4"/>
  <c r="AE46" i="4"/>
  <c r="AJ46" i="4"/>
  <c r="AB46" i="4"/>
  <c r="AC46" i="4"/>
  <c r="U48" i="14"/>
  <c r="R84" i="14"/>
  <c r="O50" i="14"/>
  <c r="B48" i="15"/>
  <c r="I49" i="14"/>
  <c r="L49" i="14"/>
  <c r="F50" i="14"/>
  <c r="X49" i="14"/>
  <c r="AA52" i="14"/>
  <c r="C47" i="14"/>
  <c r="C52" i="11"/>
  <c r="F48" i="11"/>
  <c r="AO47" i="4"/>
  <c r="AO47" i="2" s="1"/>
  <c r="AN47" i="4" l="1"/>
  <c r="AN46" i="2"/>
  <c r="AC45" i="17"/>
  <c r="AM45" i="15"/>
  <c r="AC45" i="16"/>
  <c r="AB47" i="4"/>
  <c r="AS47" i="4"/>
  <c r="AD47" i="4"/>
  <c r="AJ47" i="4"/>
  <c r="AE47" i="4"/>
  <c r="AL47" i="4"/>
  <c r="AM46" i="2"/>
  <c r="AM47" i="4"/>
  <c r="AQ46" i="2"/>
  <c r="AQ47" i="4"/>
  <c r="AL45" i="15"/>
  <c r="AB45" i="17"/>
  <c r="AB45" i="16"/>
  <c r="AP46" i="2"/>
  <c r="AP47" i="4"/>
  <c r="AI47" i="4"/>
  <c r="AE45" i="17"/>
  <c r="AO45" i="15"/>
  <c r="AE45" i="16"/>
  <c r="AF45" i="16"/>
  <c r="AP45" i="15"/>
  <c r="AF45" i="17"/>
  <c r="AN47" i="15"/>
  <c r="AD47" i="17"/>
  <c r="AD47" i="16"/>
  <c r="AC47" i="4"/>
  <c r="AF49" i="4"/>
  <c r="AH47" i="4"/>
  <c r="AG48" i="4"/>
  <c r="U49" i="14"/>
  <c r="R85" i="14"/>
  <c r="O51" i="14"/>
  <c r="B49" i="15"/>
  <c r="I50" i="14"/>
  <c r="L50" i="14"/>
  <c r="F51" i="14"/>
  <c r="AA53" i="14"/>
  <c r="X50" i="14"/>
  <c r="C48" i="14"/>
  <c r="F49" i="11"/>
  <c r="C53" i="11"/>
  <c r="AO48" i="4"/>
  <c r="AO48" i="2" s="1"/>
  <c r="AM46" i="15" l="1"/>
  <c r="AC46" i="16"/>
  <c r="AC46" i="17"/>
  <c r="AN47" i="2"/>
  <c r="AN48" i="4"/>
  <c r="AH48" i="4"/>
  <c r="AC48" i="4"/>
  <c r="AE48" i="4"/>
  <c r="AQ47" i="2"/>
  <c r="AQ48" i="4"/>
  <c r="AL48" i="4"/>
  <c r="AJ48" i="4"/>
  <c r="AP47" i="2"/>
  <c r="AP48" i="4"/>
  <c r="AF46" i="16"/>
  <c r="AP46" i="15"/>
  <c r="AF46" i="17"/>
  <c r="AD48" i="17"/>
  <c r="AN48" i="15"/>
  <c r="AD48" i="16"/>
  <c r="AG49" i="4"/>
  <c r="AF50" i="4"/>
  <c r="AE46" i="17"/>
  <c r="AO46" i="15"/>
  <c r="AE46" i="16"/>
  <c r="AM47" i="2"/>
  <c r="AM48" i="4"/>
  <c r="AD48" i="4"/>
  <c r="AI48" i="4"/>
  <c r="AB46" i="17"/>
  <c r="AB46" i="16"/>
  <c r="AL46" i="15"/>
  <c r="AS48" i="4"/>
  <c r="AB48" i="4"/>
  <c r="U50" i="14"/>
  <c r="R86" i="14"/>
  <c r="O52" i="14"/>
  <c r="B50" i="15"/>
  <c r="I51" i="14"/>
  <c r="L51" i="14"/>
  <c r="F52" i="14"/>
  <c r="X51" i="14"/>
  <c r="AA54" i="14"/>
  <c r="C49" i="14"/>
  <c r="C54" i="11"/>
  <c r="F50" i="11"/>
  <c r="AO49" i="4"/>
  <c r="AO49" i="2" s="1"/>
  <c r="AN48" i="2" l="1"/>
  <c r="AN49" i="4"/>
  <c r="AC47" i="17"/>
  <c r="AC47" i="16"/>
  <c r="AM47" i="15"/>
  <c r="AI49" i="4"/>
  <c r="AM48" i="2"/>
  <c r="AM49" i="4"/>
  <c r="AF51" i="4"/>
  <c r="AJ49" i="4"/>
  <c r="AC49" i="4"/>
  <c r="AD49" i="17"/>
  <c r="AD49" i="16"/>
  <c r="AN49" i="15"/>
  <c r="AB49" i="4"/>
  <c r="AP48" i="2"/>
  <c r="AP49" i="4"/>
  <c r="AQ48" i="2"/>
  <c r="AQ49" i="4"/>
  <c r="AE49" i="4"/>
  <c r="AB47" i="16"/>
  <c r="AB47" i="17"/>
  <c r="AL47" i="15"/>
  <c r="AL49" i="4"/>
  <c r="AD49" i="4"/>
  <c r="AG50" i="4"/>
  <c r="AS49" i="4"/>
  <c r="AE47" i="17"/>
  <c r="AE47" i="16"/>
  <c r="AO47" i="15"/>
  <c r="AF47" i="16"/>
  <c r="AP47" i="15"/>
  <c r="AF47" i="17"/>
  <c r="AH49" i="4"/>
  <c r="U51" i="14"/>
  <c r="R87" i="14"/>
  <c r="O53" i="14"/>
  <c r="B51" i="15"/>
  <c r="I52" i="14"/>
  <c r="L52" i="14"/>
  <c r="F53" i="14"/>
  <c r="AA55" i="14"/>
  <c r="X52" i="14"/>
  <c r="C50" i="14"/>
  <c r="C55" i="11"/>
  <c r="F51" i="11"/>
  <c r="AO50" i="4"/>
  <c r="AO50" i="2" s="1"/>
  <c r="AN50" i="4" l="1"/>
  <c r="AN49" i="2"/>
  <c r="AC48" i="17"/>
  <c r="AC48" i="16"/>
  <c r="AM48" i="15"/>
  <c r="AF52" i="4"/>
  <c r="AS50" i="4"/>
  <c r="AL50" i="4"/>
  <c r="AE50" i="4"/>
  <c r="AJ50" i="4"/>
  <c r="AM49" i="2"/>
  <c r="AM50" i="4"/>
  <c r="AE48" i="16"/>
  <c r="AO48" i="15"/>
  <c r="AE48" i="17"/>
  <c r="AD50" i="4"/>
  <c r="AD50" i="16"/>
  <c r="AN50" i="15"/>
  <c r="AD50" i="17"/>
  <c r="AQ49" i="2"/>
  <c r="AQ50" i="4"/>
  <c r="AC50" i="4"/>
  <c r="AB48" i="16"/>
  <c r="AL48" i="15"/>
  <c r="AB48" i="17"/>
  <c r="AH50" i="4"/>
  <c r="AP48" i="15"/>
  <c r="AF48" i="17"/>
  <c r="AF48" i="16"/>
  <c r="AB50" i="4"/>
  <c r="AG51" i="4"/>
  <c r="AP49" i="2"/>
  <c r="AP50" i="4"/>
  <c r="AI50" i="4"/>
  <c r="U52" i="14"/>
  <c r="R88" i="14"/>
  <c r="O54" i="14"/>
  <c r="B52" i="15"/>
  <c r="I53" i="14"/>
  <c r="L53" i="14"/>
  <c r="F54" i="14"/>
  <c r="AA56" i="14"/>
  <c r="X53" i="14"/>
  <c r="C51" i="14"/>
  <c r="F52" i="11"/>
  <c r="C56" i="11"/>
  <c r="AO51" i="4"/>
  <c r="AO51" i="2" s="1"/>
  <c r="AM49" i="15" l="1"/>
  <c r="AC49" i="16"/>
  <c r="AC49" i="17"/>
  <c r="AN51" i="4"/>
  <c r="AN50" i="2"/>
  <c r="AG52" i="4"/>
  <c r="AM50" i="2"/>
  <c r="AM51" i="4"/>
  <c r="AE49" i="17"/>
  <c r="AE49" i="16"/>
  <c r="AO49" i="15"/>
  <c r="AL51" i="4"/>
  <c r="AC51" i="4"/>
  <c r="AS51" i="4"/>
  <c r="AH51" i="4"/>
  <c r="AQ50" i="2"/>
  <c r="AQ51" i="4"/>
  <c r="AD51" i="16"/>
  <c r="AN51" i="15"/>
  <c r="AD51" i="17"/>
  <c r="AI51" i="4"/>
  <c r="AB51" i="4"/>
  <c r="AF49" i="17"/>
  <c r="AF49" i="16"/>
  <c r="AP49" i="15"/>
  <c r="AL49" i="15"/>
  <c r="AB49" i="17"/>
  <c r="AB49" i="16"/>
  <c r="AP50" i="2"/>
  <c r="AP51" i="4"/>
  <c r="AD51" i="4"/>
  <c r="AJ51" i="4"/>
  <c r="AE51" i="4"/>
  <c r="AF53" i="4"/>
  <c r="U53" i="14"/>
  <c r="R89" i="14"/>
  <c r="O55" i="14"/>
  <c r="B53" i="15"/>
  <c r="I54" i="14"/>
  <c r="L54" i="14"/>
  <c r="F55" i="14"/>
  <c r="X54" i="14"/>
  <c r="AA57" i="14"/>
  <c r="C52" i="14"/>
  <c r="C57" i="11"/>
  <c r="F53" i="11"/>
  <c r="AO52" i="4"/>
  <c r="AO52" i="2" s="1"/>
  <c r="AM50" i="15" l="1"/>
  <c r="AC50" i="17"/>
  <c r="AC50" i="16"/>
  <c r="AN51" i="2"/>
  <c r="AN52" i="4"/>
  <c r="AE52" i="4"/>
  <c r="AE50" i="16"/>
  <c r="AO50" i="15"/>
  <c r="AE50" i="17"/>
  <c r="AS52" i="4"/>
  <c r="AL50" i="15"/>
  <c r="AB50" i="16"/>
  <c r="AB50" i="17"/>
  <c r="AL52" i="4"/>
  <c r="AJ52" i="4"/>
  <c r="AB52" i="4"/>
  <c r="AQ51" i="2"/>
  <c r="AQ52" i="4"/>
  <c r="AG53" i="4"/>
  <c r="AF50" i="17"/>
  <c r="AF50" i="16"/>
  <c r="AP50" i="15"/>
  <c r="AD52" i="17"/>
  <c r="AD52" i="16"/>
  <c r="AN52" i="15"/>
  <c r="AF54" i="4"/>
  <c r="AD52" i="4"/>
  <c r="AI52" i="4"/>
  <c r="AP51" i="2"/>
  <c r="AP52" i="4"/>
  <c r="AH52" i="4"/>
  <c r="AC52" i="4"/>
  <c r="AM51" i="2"/>
  <c r="AM52" i="4"/>
  <c r="U54" i="14"/>
  <c r="R90" i="14"/>
  <c r="O56" i="14"/>
  <c r="B54" i="15"/>
  <c r="I55" i="14"/>
  <c r="L55" i="14"/>
  <c r="F56" i="14"/>
  <c r="AA58" i="14"/>
  <c r="X55" i="14"/>
  <c r="C53" i="14"/>
  <c r="C58" i="11"/>
  <c r="F54" i="11"/>
  <c r="AO53" i="4"/>
  <c r="AO53" i="2" s="1"/>
  <c r="AN52" i="2" l="1"/>
  <c r="AN53" i="4"/>
  <c r="AC51" i="16"/>
  <c r="AM51" i="15"/>
  <c r="AC51" i="17"/>
  <c r="AC53" i="4"/>
  <c r="AI53" i="4"/>
  <c r="AQ52" i="2"/>
  <c r="AQ53" i="4"/>
  <c r="AL53" i="4"/>
  <c r="AD53" i="16"/>
  <c r="AD53" i="17"/>
  <c r="AN53" i="15"/>
  <c r="AF51" i="16"/>
  <c r="AP51" i="15"/>
  <c r="AF51" i="17"/>
  <c r="AH53" i="4"/>
  <c r="AD53" i="4"/>
  <c r="AM52" i="2"/>
  <c r="AM53" i="4"/>
  <c r="AP52" i="2"/>
  <c r="AP53" i="4"/>
  <c r="AG54" i="4"/>
  <c r="AB53" i="4"/>
  <c r="AB51" i="17"/>
  <c r="AB51" i="16"/>
  <c r="AL51" i="15"/>
  <c r="AO51" i="15"/>
  <c r="AE51" i="17"/>
  <c r="AE51" i="16"/>
  <c r="AF55" i="4"/>
  <c r="AJ53" i="4"/>
  <c r="AS53" i="4"/>
  <c r="AE53" i="4"/>
  <c r="U55" i="14"/>
  <c r="R91" i="14"/>
  <c r="O57" i="14"/>
  <c r="B55" i="15"/>
  <c r="I56" i="14"/>
  <c r="L56" i="14"/>
  <c r="F57" i="14"/>
  <c r="AA59" i="14"/>
  <c r="X56" i="14"/>
  <c r="C54" i="14"/>
  <c r="C59" i="11"/>
  <c r="F55" i="11"/>
  <c r="AO54" i="4"/>
  <c r="AO54" i="2" s="1"/>
  <c r="AN53" i="2" l="1"/>
  <c r="AN54" i="4"/>
  <c r="AM52" i="15"/>
  <c r="AC52" i="17"/>
  <c r="AC52" i="16"/>
  <c r="AQ53" i="2"/>
  <c r="AQ54" i="4"/>
  <c r="AG55" i="4"/>
  <c r="AD54" i="4"/>
  <c r="AF52" i="16"/>
  <c r="AP52" i="15"/>
  <c r="AF52" i="17"/>
  <c r="AE52" i="16"/>
  <c r="AO52" i="15"/>
  <c r="AE52" i="17"/>
  <c r="AH54" i="4"/>
  <c r="AI54" i="4"/>
  <c r="AE54" i="4"/>
  <c r="AM53" i="2"/>
  <c r="AM54" i="4"/>
  <c r="AL54" i="4"/>
  <c r="AP53" i="2"/>
  <c r="AP54" i="4"/>
  <c r="AF56" i="4"/>
  <c r="AD54" i="17"/>
  <c r="AN54" i="15"/>
  <c r="AD54" i="16"/>
  <c r="AS54" i="4"/>
  <c r="AJ54" i="4"/>
  <c r="AB54" i="4"/>
  <c r="AB52" i="17"/>
  <c r="AL52" i="15"/>
  <c r="AB52" i="16"/>
  <c r="AC54" i="4"/>
  <c r="U56" i="14"/>
  <c r="R92" i="14"/>
  <c r="O58" i="14"/>
  <c r="B56" i="15"/>
  <c r="I57" i="14"/>
  <c r="L57" i="14"/>
  <c r="F58" i="14"/>
  <c r="X57" i="14"/>
  <c r="AA60" i="14"/>
  <c r="C55" i="14"/>
  <c r="F56" i="11"/>
  <c r="C60" i="11"/>
  <c r="AO55" i="4"/>
  <c r="AO55" i="2" s="1"/>
  <c r="AN54" i="2" l="1"/>
  <c r="AN55" i="4"/>
  <c r="AM53" i="15"/>
  <c r="AC53" i="16"/>
  <c r="AC53" i="17"/>
  <c r="AJ55" i="4"/>
  <c r="AI55" i="4"/>
  <c r="AG56" i="4"/>
  <c r="AS55" i="4"/>
  <c r="AF57" i="4"/>
  <c r="AB53" i="17"/>
  <c r="AB53" i="16"/>
  <c r="AL53" i="15"/>
  <c r="AH55" i="4"/>
  <c r="AB55" i="4"/>
  <c r="AL55" i="4"/>
  <c r="AF53" i="17"/>
  <c r="AF53" i="16"/>
  <c r="AP53" i="15"/>
  <c r="AC55" i="4"/>
  <c r="AP54" i="2"/>
  <c r="AP55" i="4"/>
  <c r="AM54" i="2"/>
  <c r="AM55" i="4"/>
  <c r="AD55" i="17"/>
  <c r="AN55" i="15"/>
  <c r="AD55" i="16"/>
  <c r="AO53" i="15"/>
  <c r="AE53" i="17"/>
  <c r="AE53" i="16"/>
  <c r="AE55" i="4"/>
  <c r="AD55" i="4"/>
  <c r="AQ54" i="2"/>
  <c r="AQ55" i="4"/>
  <c r="U57" i="14"/>
  <c r="R93" i="14"/>
  <c r="O59" i="14"/>
  <c r="B57" i="15"/>
  <c r="I58" i="14"/>
  <c r="L58" i="14"/>
  <c r="F59" i="14"/>
  <c r="X58" i="14"/>
  <c r="AA61" i="14"/>
  <c r="C56" i="14"/>
  <c r="C61" i="11"/>
  <c r="F57" i="11"/>
  <c r="AO56" i="4"/>
  <c r="AO56" i="2" s="1"/>
  <c r="AN56" i="4" l="1"/>
  <c r="AN55" i="2"/>
  <c r="AC54" i="17"/>
  <c r="AC54" i="16"/>
  <c r="AM54" i="15"/>
  <c r="AD56" i="4"/>
  <c r="AE54" i="17"/>
  <c r="AE54" i="16"/>
  <c r="AO54" i="15"/>
  <c r="AL56" i="4"/>
  <c r="AI56" i="4"/>
  <c r="AE56" i="4"/>
  <c r="AB54" i="16"/>
  <c r="AL54" i="15"/>
  <c r="AB54" i="17"/>
  <c r="AF58" i="4"/>
  <c r="AG57" i="4"/>
  <c r="AN56" i="15"/>
  <c r="AD56" i="17"/>
  <c r="AD56" i="16"/>
  <c r="AQ55" i="2"/>
  <c r="AQ56" i="4"/>
  <c r="AM55" i="2"/>
  <c r="AM56" i="4"/>
  <c r="AB56" i="4"/>
  <c r="AF54" i="16"/>
  <c r="AF54" i="17"/>
  <c r="AP54" i="15"/>
  <c r="AP55" i="2"/>
  <c r="AP56" i="4"/>
  <c r="AC56" i="4"/>
  <c r="AH56" i="4"/>
  <c r="AS56" i="4"/>
  <c r="AJ56" i="4"/>
  <c r="U58" i="14"/>
  <c r="R94" i="14"/>
  <c r="O60" i="14"/>
  <c r="B58" i="15"/>
  <c r="I59" i="14"/>
  <c r="L59" i="14"/>
  <c r="F60" i="14"/>
  <c r="AA62" i="14"/>
  <c r="X59" i="14"/>
  <c r="C57" i="14"/>
  <c r="C62" i="11"/>
  <c r="F58" i="11"/>
  <c r="AO57" i="4"/>
  <c r="AO57" i="2" s="1"/>
  <c r="AC55" i="16" l="1"/>
  <c r="AC55" i="17"/>
  <c r="AM55" i="15"/>
  <c r="AN56" i="2"/>
  <c r="AN57" i="4"/>
  <c r="AI57" i="4"/>
  <c r="AM56" i="2"/>
  <c r="AM57" i="4"/>
  <c r="AE57" i="4"/>
  <c r="AH57" i="4"/>
  <c r="AQ56" i="2"/>
  <c r="AQ57" i="4"/>
  <c r="AG58" i="4"/>
  <c r="AJ57" i="4"/>
  <c r="AF55" i="17"/>
  <c r="AP55" i="15"/>
  <c r="AF55" i="16"/>
  <c r="AN57" i="15"/>
  <c r="AD57" i="17"/>
  <c r="AD57" i="16"/>
  <c r="AC57" i="4"/>
  <c r="AF59" i="4"/>
  <c r="AE55" i="16"/>
  <c r="AE55" i="17"/>
  <c r="AO55" i="15"/>
  <c r="AB55" i="17"/>
  <c r="AB55" i="16"/>
  <c r="AL55" i="15"/>
  <c r="AS57" i="4"/>
  <c r="AP56" i="2"/>
  <c r="AP57" i="4"/>
  <c r="AB57" i="4"/>
  <c r="AL57" i="4"/>
  <c r="AD57" i="4"/>
  <c r="U59" i="14"/>
  <c r="R95" i="14"/>
  <c r="O61" i="14"/>
  <c r="B59" i="15"/>
  <c r="I60" i="14"/>
  <c r="L60" i="14"/>
  <c r="F61" i="14"/>
  <c r="X60" i="14"/>
  <c r="AA63" i="14"/>
  <c r="C58" i="14"/>
  <c r="F59" i="11"/>
  <c r="C63" i="11"/>
  <c r="AO58" i="4"/>
  <c r="AO58" i="2" s="1"/>
  <c r="AN58" i="4" l="1"/>
  <c r="AN57" i="2"/>
  <c r="AM56" i="15"/>
  <c r="AC56" i="17"/>
  <c r="AC56" i="16"/>
  <c r="AQ57" i="2"/>
  <c r="AQ58" i="4"/>
  <c r="AB56" i="17"/>
  <c r="AL56" i="15"/>
  <c r="AB56" i="16"/>
  <c r="AF56" i="17"/>
  <c r="AF56" i="16"/>
  <c r="AP56" i="15"/>
  <c r="AP57" i="2"/>
  <c r="AP58" i="4"/>
  <c r="AH58" i="4"/>
  <c r="AJ58" i="4"/>
  <c r="AB58" i="4"/>
  <c r="AF60" i="4"/>
  <c r="AD58" i="4"/>
  <c r="AE56" i="17"/>
  <c r="AE56" i="16"/>
  <c r="AO56" i="15"/>
  <c r="AC58" i="4"/>
  <c r="AE58" i="4"/>
  <c r="AD58" i="17"/>
  <c r="AD58" i="16"/>
  <c r="AN58" i="15"/>
  <c r="AL58" i="4"/>
  <c r="AS58" i="4"/>
  <c r="AG59" i="4"/>
  <c r="AM57" i="2"/>
  <c r="AM58" i="4"/>
  <c r="AI58" i="4"/>
  <c r="U60" i="14"/>
  <c r="R96" i="14"/>
  <c r="O62" i="14"/>
  <c r="B60" i="15"/>
  <c r="I61" i="14"/>
  <c r="L61" i="14"/>
  <c r="F62" i="14"/>
  <c r="X61" i="14"/>
  <c r="AA64" i="14"/>
  <c r="C59" i="14"/>
  <c r="C64" i="11"/>
  <c r="F60" i="11"/>
  <c r="AO59" i="4"/>
  <c r="AO59" i="2" s="1"/>
  <c r="AC57" i="16" l="1"/>
  <c r="AM57" i="15"/>
  <c r="AC57" i="17"/>
  <c r="AN58" i="2"/>
  <c r="AN59" i="4"/>
  <c r="AD59" i="16"/>
  <c r="AD59" i="17"/>
  <c r="AN59" i="15"/>
  <c r="AB57" i="17"/>
  <c r="AB57" i="16"/>
  <c r="AL57" i="15"/>
  <c r="AS59" i="4"/>
  <c r="AC59" i="4"/>
  <c r="AF61" i="4"/>
  <c r="AH59" i="4"/>
  <c r="AB59" i="4"/>
  <c r="AE57" i="16"/>
  <c r="AE57" i="17"/>
  <c r="AO57" i="15"/>
  <c r="AL59" i="4"/>
  <c r="AI59" i="4"/>
  <c r="AJ59" i="4"/>
  <c r="AQ58" i="2"/>
  <c r="AQ59" i="4"/>
  <c r="AE59" i="4"/>
  <c r="AP58" i="2"/>
  <c r="AP59" i="4"/>
  <c r="AM58" i="2"/>
  <c r="AM59" i="4"/>
  <c r="AG60" i="4"/>
  <c r="AD59" i="4"/>
  <c r="AP57" i="15"/>
  <c r="AF57" i="17"/>
  <c r="AF57" i="16"/>
  <c r="U61" i="14"/>
  <c r="R97" i="14"/>
  <c r="O63" i="14"/>
  <c r="B61" i="15"/>
  <c r="I62" i="14"/>
  <c r="L62" i="14"/>
  <c r="F63" i="14"/>
  <c r="AA65" i="14"/>
  <c r="X62" i="14"/>
  <c r="C60" i="14"/>
  <c r="C65" i="11"/>
  <c r="F61" i="11"/>
  <c r="AO60" i="4"/>
  <c r="AO60" i="2" s="1"/>
  <c r="AN59" i="2" l="1"/>
  <c r="AN60" i="4"/>
  <c r="AC58" i="17"/>
  <c r="AC58" i="16"/>
  <c r="AM58" i="15"/>
  <c r="AD60" i="4"/>
  <c r="AE58" i="16"/>
  <c r="AE58" i="17"/>
  <c r="AO58" i="15"/>
  <c r="AJ60" i="4"/>
  <c r="AL60" i="4"/>
  <c r="AB60" i="4"/>
  <c r="AP59" i="2"/>
  <c r="AP60" i="4"/>
  <c r="AI60" i="4"/>
  <c r="AH60" i="4"/>
  <c r="AG61" i="4"/>
  <c r="AE60" i="4"/>
  <c r="AC60" i="4"/>
  <c r="AM59" i="2"/>
  <c r="AM60" i="4"/>
  <c r="AQ59" i="2"/>
  <c r="AQ60" i="4"/>
  <c r="AF62" i="4"/>
  <c r="AS60" i="4"/>
  <c r="AD60" i="16"/>
  <c r="AD60" i="17"/>
  <c r="AN60" i="15"/>
  <c r="AL58" i="15"/>
  <c r="AB58" i="16"/>
  <c r="AB58" i="17"/>
  <c r="AP58" i="15"/>
  <c r="AF58" i="16"/>
  <c r="AF58" i="17"/>
  <c r="U62" i="14"/>
  <c r="R98" i="14"/>
  <c r="O64" i="14"/>
  <c r="B62" i="15"/>
  <c r="I63" i="14"/>
  <c r="L63" i="14"/>
  <c r="F64" i="14"/>
  <c r="AA66" i="14"/>
  <c r="X63" i="14"/>
  <c r="C61" i="14"/>
  <c r="F62" i="11"/>
  <c r="C66" i="11"/>
  <c r="AO61" i="4"/>
  <c r="AO61" i="2" s="1"/>
  <c r="AN60" i="2" l="1"/>
  <c r="AN61" i="4"/>
  <c r="AC59" i="17"/>
  <c r="AM59" i="15"/>
  <c r="AC59" i="16"/>
  <c r="AF63" i="4"/>
  <c r="AC61" i="4"/>
  <c r="AE59" i="16"/>
  <c r="AE59" i="17"/>
  <c r="AO59" i="15"/>
  <c r="AQ60" i="2"/>
  <c r="AQ61" i="4"/>
  <c r="AG62" i="4"/>
  <c r="AF59" i="17"/>
  <c r="AF59" i="16"/>
  <c r="AP59" i="15"/>
  <c r="AB61" i="4"/>
  <c r="AN61" i="15"/>
  <c r="AD61" i="17"/>
  <c r="AD61" i="16"/>
  <c r="AM60" i="2"/>
  <c r="AM61" i="4"/>
  <c r="AH61" i="4"/>
  <c r="AL61" i="4"/>
  <c r="AB59" i="16"/>
  <c r="AL59" i="15"/>
  <c r="AB59" i="17"/>
  <c r="AI61" i="4"/>
  <c r="AS61" i="4"/>
  <c r="AE61" i="4"/>
  <c r="AP60" i="2"/>
  <c r="AP61" i="4"/>
  <c r="AJ61" i="4"/>
  <c r="AD61" i="4"/>
  <c r="U63" i="14"/>
  <c r="R99" i="14"/>
  <c r="O65" i="14"/>
  <c r="B63" i="15"/>
  <c r="I64" i="14"/>
  <c r="L64" i="14"/>
  <c r="F65" i="14"/>
  <c r="X64" i="14"/>
  <c r="AA67" i="14"/>
  <c r="C62" i="14"/>
  <c r="C67" i="11"/>
  <c r="F63" i="11"/>
  <c r="AO62" i="4"/>
  <c r="AO62" i="2" s="1"/>
  <c r="AN61" i="2" l="1"/>
  <c r="AN62" i="4"/>
  <c r="AC60" i="17"/>
  <c r="AM60" i="15"/>
  <c r="AC60" i="16"/>
  <c r="AS62" i="4"/>
  <c r="AH62" i="4"/>
  <c r="AG63" i="4"/>
  <c r="AD62" i="17"/>
  <c r="AN62" i="15"/>
  <c r="AD62" i="16"/>
  <c r="AL62" i="4"/>
  <c r="AJ62" i="4"/>
  <c r="AP61" i="2"/>
  <c r="AP62" i="4"/>
  <c r="AE62" i="4"/>
  <c r="AE60" i="17"/>
  <c r="AE60" i="16"/>
  <c r="AO60" i="15"/>
  <c r="AI62" i="4"/>
  <c r="AM61" i="2"/>
  <c r="AM62" i="4"/>
  <c r="AB62" i="4"/>
  <c r="AQ61" i="2"/>
  <c r="AQ62" i="4"/>
  <c r="AC62" i="4"/>
  <c r="AD62" i="4"/>
  <c r="AB60" i="17"/>
  <c r="AB60" i="16"/>
  <c r="AL60" i="15"/>
  <c r="AF60" i="16"/>
  <c r="AP60" i="15"/>
  <c r="AF60" i="17"/>
  <c r="AF64" i="4"/>
  <c r="U64" i="14"/>
  <c r="R100" i="14"/>
  <c r="O66" i="14"/>
  <c r="B64" i="15"/>
  <c r="I65" i="14"/>
  <c r="L65" i="14"/>
  <c r="F66" i="14"/>
  <c r="X65" i="14"/>
  <c r="AA68" i="14"/>
  <c r="C63" i="14"/>
  <c r="F64" i="11"/>
  <c r="C68" i="11"/>
  <c r="AO63" i="4"/>
  <c r="AO63" i="2" s="1"/>
  <c r="AN62" i="2" l="1"/>
  <c r="AN63" i="4"/>
  <c r="AC61" i="16"/>
  <c r="AM61" i="15"/>
  <c r="AC61" i="17"/>
  <c r="AQ62" i="2"/>
  <c r="AQ63" i="4"/>
  <c r="AP62" i="2"/>
  <c r="AP63" i="4"/>
  <c r="AI63" i="4"/>
  <c r="AJ63" i="4"/>
  <c r="AF61" i="17"/>
  <c r="AF61" i="16"/>
  <c r="AP61" i="15"/>
  <c r="AE61" i="16"/>
  <c r="AO61" i="15"/>
  <c r="AE61" i="17"/>
  <c r="AL63" i="4"/>
  <c r="AG64" i="4"/>
  <c r="AB63" i="4"/>
  <c r="AH63" i="4"/>
  <c r="AF65" i="4"/>
  <c r="AM62" i="2"/>
  <c r="AM63" i="4"/>
  <c r="AS63" i="4"/>
  <c r="AD63" i="4"/>
  <c r="AD63" i="17"/>
  <c r="AN63" i="15"/>
  <c r="AD63" i="16"/>
  <c r="AC63" i="4"/>
  <c r="AB61" i="16"/>
  <c r="AB61" i="17"/>
  <c r="AL61" i="15"/>
  <c r="AE63" i="4"/>
  <c r="U65" i="14"/>
  <c r="R101" i="14"/>
  <c r="O67" i="14"/>
  <c r="B65" i="15"/>
  <c r="I66" i="14"/>
  <c r="L66" i="14"/>
  <c r="F67" i="14"/>
  <c r="X66" i="14"/>
  <c r="AA69" i="14"/>
  <c r="C64" i="14"/>
  <c r="F65" i="11"/>
  <c r="C69" i="11"/>
  <c r="AO64" i="4"/>
  <c r="AO64" i="2" s="1"/>
  <c r="AN63" i="2" l="1"/>
  <c r="AN64" i="4"/>
  <c r="AC62" i="17"/>
  <c r="AM62" i="15"/>
  <c r="AC62" i="16"/>
  <c r="AD64" i="16"/>
  <c r="AN64" i="15"/>
  <c r="AD64" i="17"/>
  <c r="AC64" i="4"/>
  <c r="AB62" i="17"/>
  <c r="AB62" i="16"/>
  <c r="AL62" i="15"/>
  <c r="AB64" i="4"/>
  <c r="AE64" i="4"/>
  <c r="AF66" i="4"/>
  <c r="AG65" i="4"/>
  <c r="AP63" i="2"/>
  <c r="AP64" i="4"/>
  <c r="AS64" i="4"/>
  <c r="AL64" i="4"/>
  <c r="AJ64" i="4"/>
  <c r="AO62" i="15"/>
  <c r="AE62" i="17"/>
  <c r="AE62" i="16"/>
  <c r="AH64" i="4"/>
  <c r="AQ63" i="2"/>
  <c r="AQ64" i="4"/>
  <c r="AD64" i="4"/>
  <c r="AM63" i="2"/>
  <c r="AM64" i="4"/>
  <c r="AI64" i="4"/>
  <c r="AP62" i="15"/>
  <c r="AF62" i="17"/>
  <c r="AF62" i="16"/>
  <c r="U66" i="14"/>
  <c r="R102" i="14"/>
  <c r="O68" i="14"/>
  <c r="B66" i="15"/>
  <c r="I67" i="14"/>
  <c r="L67" i="14"/>
  <c r="F68" i="14"/>
  <c r="AA70" i="14"/>
  <c r="X67" i="14"/>
  <c r="C65" i="14"/>
  <c r="F66" i="11"/>
  <c r="C70" i="11"/>
  <c r="AO65" i="4"/>
  <c r="AO65" i="2" s="1"/>
  <c r="AN64" i="2" l="1"/>
  <c r="AN65" i="4"/>
  <c r="AC63" i="17"/>
  <c r="AC63" i="16"/>
  <c r="AM63" i="15"/>
  <c r="AQ64" i="2"/>
  <c r="AQ65" i="4"/>
  <c r="AH65" i="4"/>
  <c r="AF67" i="4"/>
  <c r="AI65" i="4"/>
  <c r="AF63" i="17"/>
  <c r="AF63" i="16"/>
  <c r="AP63" i="15"/>
  <c r="AP64" i="2"/>
  <c r="AP65" i="4"/>
  <c r="AC65" i="4"/>
  <c r="AL63" i="15"/>
  <c r="AB63" i="17"/>
  <c r="AB63" i="16"/>
  <c r="AL65" i="4"/>
  <c r="AB65" i="4"/>
  <c r="AJ65" i="4"/>
  <c r="AG66" i="4"/>
  <c r="AM64" i="2"/>
  <c r="AM65" i="4"/>
  <c r="AO63" i="15"/>
  <c r="AE63" i="17"/>
  <c r="AE63" i="16"/>
  <c r="AN65" i="15"/>
  <c r="AD65" i="17"/>
  <c r="AD65" i="16"/>
  <c r="AD65" i="4"/>
  <c r="AS65" i="4"/>
  <c r="AE65" i="4"/>
  <c r="U67" i="14"/>
  <c r="R103" i="14"/>
  <c r="O69" i="14"/>
  <c r="B67" i="15"/>
  <c r="I68" i="14"/>
  <c r="L68" i="14"/>
  <c r="F69" i="14"/>
  <c r="X68" i="14"/>
  <c r="AA71" i="14"/>
  <c r="C66" i="14"/>
  <c r="F67" i="11"/>
  <c r="C71" i="11"/>
  <c r="AO66" i="4"/>
  <c r="AO66" i="2" s="1"/>
  <c r="AN65" i="2" l="1"/>
  <c r="AN66" i="4"/>
  <c r="AM64" i="15"/>
  <c r="AC64" i="16"/>
  <c r="AC64" i="17"/>
  <c r="AS66" i="4"/>
  <c r="AN66" i="15"/>
  <c r="AD66" i="17"/>
  <c r="AD66" i="16"/>
  <c r="AJ66" i="4"/>
  <c r="AG67" i="4"/>
  <c r="AP65" i="2"/>
  <c r="AP66" i="4"/>
  <c r="AI66" i="4"/>
  <c r="AB66" i="4"/>
  <c r="AE64" i="16"/>
  <c r="AO64" i="15"/>
  <c r="AE64" i="17"/>
  <c r="AD66" i="4"/>
  <c r="AL66" i="4"/>
  <c r="AC66" i="4"/>
  <c r="AM65" i="2"/>
  <c r="AM66" i="4"/>
  <c r="AH66" i="4"/>
  <c r="AE66" i="4"/>
  <c r="AB64" i="17"/>
  <c r="AB64" i="16"/>
  <c r="AL64" i="15"/>
  <c r="AF68" i="4"/>
  <c r="AQ65" i="2"/>
  <c r="AQ66" i="4"/>
  <c r="AF64" i="17"/>
  <c r="AF64" i="16"/>
  <c r="AP64" i="15"/>
  <c r="U68" i="14"/>
  <c r="R104" i="14"/>
  <c r="O70" i="14"/>
  <c r="B68" i="15"/>
  <c r="I69" i="14"/>
  <c r="L69" i="14"/>
  <c r="F70" i="14"/>
  <c r="AA72" i="14"/>
  <c r="X69" i="14"/>
  <c r="C67" i="14"/>
  <c r="C72" i="11"/>
  <c r="F68" i="11"/>
  <c r="AO67" i="4"/>
  <c r="AO67" i="2" s="1"/>
  <c r="AN66" i="2" l="1"/>
  <c r="AN67" i="4"/>
  <c r="AC65" i="16"/>
  <c r="AM65" i="15"/>
  <c r="AC65" i="17"/>
  <c r="AP65" i="15"/>
  <c r="AF65" i="16"/>
  <c r="AF65" i="17"/>
  <c r="AB67" i="4"/>
  <c r="AG68" i="4"/>
  <c r="AE67" i="4"/>
  <c r="AM66" i="2"/>
  <c r="AM67" i="4"/>
  <c r="AC67" i="4"/>
  <c r="AD67" i="4"/>
  <c r="AD67" i="17"/>
  <c r="AD67" i="16"/>
  <c r="AN67" i="15"/>
  <c r="AF69" i="4"/>
  <c r="AB65" i="17"/>
  <c r="AB65" i="16"/>
  <c r="AL65" i="15"/>
  <c r="AL67" i="4"/>
  <c r="AI67" i="4"/>
  <c r="AH67" i="4"/>
  <c r="AP66" i="2"/>
  <c r="AP67" i="4"/>
  <c r="AS67" i="4"/>
  <c r="AQ66" i="2"/>
  <c r="AQ67" i="4"/>
  <c r="AJ67" i="4"/>
  <c r="AE65" i="17"/>
  <c r="AE65" i="16"/>
  <c r="AO65" i="15"/>
  <c r="U69" i="14"/>
  <c r="R105" i="14"/>
  <c r="O71" i="14"/>
  <c r="B69" i="15"/>
  <c r="I70" i="14"/>
  <c r="L70" i="14"/>
  <c r="F71" i="14"/>
  <c r="X70" i="14"/>
  <c r="AA73" i="14"/>
  <c r="C68" i="14"/>
  <c r="F69" i="11"/>
  <c r="C73" i="11"/>
  <c r="AO68" i="4"/>
  <c r="AO68" i="2" s="1"/>
  <c r="AN67" i="2" l="1"/>
  <c r="AN68" i="4"/>
  <c r="AC66" i="16"/>
  <c r="AC66" i="17"/>
  <c r="AM66" i="15"/>
  <c r="AF70" i="4"/>
  <c r="AB66" i="17"/>
  <c r="AB66" i="16"/>
  <c r="AL66" i="15"/>
  <c r="AS68" i="4"/>
  <c r="AD68" i="16"/>
  <c r="AN68" i="15"/>
  <c r="AD68" i="17"/>
  <c r="AE68" i="4"/>
  <c r="AP67" i="2"/>
  <c r="AP68" i="4"/>
  <c r="AH68" i="4"/>
  <c r="AL68" i="4"/>
  <c r="AB68" i="4"/>
  <c r="AJ68" i="4"/>
  <c r="AE66" i="17"/>
  <c r="AE66" i="16"/>
  <c r="AO66" i="15"/>
  <c r="AC68" i="4"/>
  <c r="AG69" i="4"/>
  <c r="AP66" i="15"/>
  <c r="AF66" i="17"/>
  <c r="AF66" i="16"/>
  <c r="AQ67" i="2"/>
  <c r="AQ68" i="4"/>
  <c r="AI68" i="4"/>
  <c r="AD68" i="4"/>
  <c r="AM67" i="2"/>
  <c r="AM68" i="4"/>
  <c r="U70" i="14"/>
  <c r="R106" i="14"/>
  <c r="O72" i="14"/>
  <c r="B70" i="15"/>
  <c r="I71" i="14"/>
  <c r="L71" i="14"/>
  <c r="F72" i="14"/>
  <c r="X71" i="14"/>
  <c r="AA74" i="14"/>
  <c r="C69" i="14"/>
  <c r="F70" i="11"/>
  <c r="C74" i="11"/>
  <c r="AO69" i="4"/>
  <c r="AO69" i="2" s="1"/>
  <c r="AN68" i="2" l="1"/>
  <c r="AN69" i="4"/>
  <c r="AC67" i="17"/>
  <c r="AC67" i="16"/>
  <c r="AM67" i="15"/>
  <c r="AD69" i="4"/>
  <c r="AH69" i="4"/>
  <c r="AB69" i="4"/>
  <c r="AP68" i="2"/>
  <c r="AP69" i="4"/>
  <c r="AE69" i="4"/>
  <c r="AM68" i="2"/>
  <c r="AM69" i="4"/>
  <c r="AQ68" i="2"/>
  <c r="AQ69" i="4"/>
  <c r="AG70" i="4"/>
  <c r="AE67" i="17"/>
  <c r="AE67" i="16"/>
  <c r="AO67" i="15"/>
  <c r="AI69" i="4"/>
  <c r="AJ69" i="4"/>
  <c r="AD69" i="16"/>
  <c r="AN69" i="15"/>
  <c r="AD69" i="17"/>
  <c r="AL67" i="15"/>
  <c r="AB67" i="17"/>
  <c r="AB67" i="16"/>
  <c r="AP67" i="15"/>
  <c r="AF67" i="17"/>
  <c r="AF67" i="16"/>
  <c r="AL69" i="4"/>
  <c r="AC69" i="4"/>
  <c r="AS69" i="4"/>
  <c r="AF71" i="4"/>
  <c r="U71" i="14"/>
  <c r="R107" i="14"/>
  <c r="O73" i="14"/>
  <c r="B71" i="15"/>
  <c r="I72" i="14"/>
  <c r="L72" i="14"/>
  <c r="F73" i="14"/>
  <c r="AA75" i="14"/>
  <c r="X72" i="14"/>
  <c r="C70" i="14"/>
  <c r="F71" i="11"/>
  <c r="C75" i="11"/>
  <c r="AO70" i="4"/>
  <c r="AO70" i="2" s="1"/>
  <c r="AN70" i="4" l="1"/>
  <c r="AN69" i="2"/>
  <c r="AC68" i="16"/>
  <c r="AM68" i="15"/>
  <c r="AC68" i="17"/>
  <c r="AL70" i="4"/>
  <c r="AG71" i="4"/>
  <c r="AQ69" i="2"/>
  <c r="AQ70" i="4"/>
  <c r="AP69" i="2"/>
  <c r="AP70" i="4"/>
  <c r="AJ70" i="4"/>
  <c r="AM69" i="2"/>
  <c r="AM70" i="4"/>
  <c r="AE70" i="4"/>
  <c r="AE68" i="16"/>
  <c r="AO68" i="15"/>
  <c r="AE68" i="17"/>
  <c r="AF72" i="4"/>
  <c r="AL68" i="15"/>
  <c r="AB68" i="16"/>
  <c r="AB68" i="17"/>
  <c r="AB70" i="4"/>
  <c r="AH70" i="4"/>
  <c r="AF68" i="17"/>
  <c r="AF68" i="16"/>
  <c r="AP68" i="15"/>
  <c r="AD70" i="16"/>
  <c r="AN70" i="15"/>
  <c r="AD70" i="17"/>
  <c r="AS70" i="4"/>
  <c r="AC70" i="4"/>
  <c r="AI70" i="4"/>
  <c r="AD70" i="4"/>
  <c r="U72" i="14"/>
  <c r="R108" i="14"/>
  <c r="O74" i="14"/>
  <c r="B72" i="15"/>
  <c r="I73" i="14"/>
  <c r="L73" i="14"/>
  <c r="F74" i="14"/>
  <c r="AA76" i="14"/>
  <c r="X73" i="14"/>
  <c r="C71" i="14"/>
  <c r="C76" i="11"/>
  <c r="F72" i="11"/>
  <c r="AO71" i="4"/>
  <c r="AO71" i="2" s="1"/>
  <c r="AM69" i="15" l="1"/>
  <c r="AC69" i="16"/>
  <c r="AC69" i="17"/>
  <c r="AN70" i="2"/>
  <c r="AN71" i="4"/>
  <c r="AC71" i="4"/>
  <c r="AI71" i="4"/>
  <c r="AH71" i="4"/>
  <c r="AE71" i="4"/>
  <c r="AQ70" i="2"/>
  <c r="AQ71" i="4"/>
  <c r="AF73" i="4"/>
  <c r="AJ71" i="4"/>
  <c r="AF69" i="16"/>
  <c r="AP69" i="15"/>
  <c r="AF69" i="17"/>
  <c r="AD71" i="4"/>
  <c r="AM70" i="2"/>
  <c r="AM71" i="4"/>
  <c r="AP70" i="2"/>
  <c r="AP71" i="4"/>
  <c r="AL71" i="4"/>
  <c r="AB71" i="4"/>
  <c r="AD71" i="16"/>
  <c r="AD71" i="17"/>
  <c r="AN71" i="15"/>
  <c r="AS71" i="4"/>
  <c r="AG72" i="4"/>
  <c r="AL69" i="15"/>
  <c r="AB69" i="17"/>
  <c r="AB69" i="16"/>
  <c r="AE69" i="17"/>
  <c r="AO69" i="15"/>
  <c r="AE69" i="16"/>
  <c r="U73" i="14"/>
  <c r="R109" i="14"/>
  <c r="O75" i="14"/>
  <c r="B73" i="15"/>
  <c r="I74" i="14"/>
  <c r="L74" i="14"/>
  <c r="F75" i="14"/>
  <c r="X74" i="14"/>
  <c r="AA77" i="14"/>
  <c r="C72" i="14"/>
  <c r="F73" i="11"/>
  <c r="C77" i="11"/>
  <c r="AO72" i="4"/>
  <c r="AO72" i="2" s="1"/>
  <c r="AN71" i="2" l="1"/>
  <c r="AN72" i="4"/>
  <c r="AC70" i="16"/>
  <c r="AC70" i="17"/>
  <c r="AM70" i="15"/>
  <c r="AL72" i="4"/>
  <c r="AH72" i="4"/>
  <c r="AP71" i="2"/>
  <c r="AP72" i="4"/>
  <c r="AJ72" i="4"/>
  <c r="AQ71" i="2"/>
  <c r="AQ72" i="4"/>
  <c r="AD72" i="4"/>
  <c r="AE70" i="17"/>
  <c r="AE70" i="16"/>
  <c r="AO70" i="15"/>
  <c r="AF70" i="16"/>
  <c r="AP70" i="15"/>
  <c r="AF70" i="17"/>
  <c r="AI72" i="4"/>
  <c r="AG73" i="4"/>
  <c r="AM71" i="2"/>
  <c r="AM72" i="4"/>
  <c r="AF74" i="4"/>
  <c r="AC72" i="4"/>
  <c r="AD72" i="16"/>
  <c r="AD72" i="17"/>
  <c r="AN72" i="15"/>
  <c r="AS72" i="4"/>
  <c r="AB72" i="4"/>
  <c r="AB70" i="17"/>
  <c r="AL70" i="15"/>
  <c r="AB70" i="16"/>
  <c r="AE72" i="4"/>
  <c r="U74" i="14"/>
  <c r="R110" i="14"/>
  <c r="O76" i="14"/>
  <c r="B74" i="15"/>
  <c r="I75" i="14"/>
  <c r="L75" i="14"/>
  <c r="F76" i="14"/>
  <c r="AA78" i="14"/>
  <c r="X75" i="14"/>
  <c r="C73" i="14"/>
  <c r="C78" i="11"/>
  <c r="F74" i="11"/>
  <c r="AO73" i="4"/>
  <c r="AO73" i="2" s="1"/>
  <c r="AN72" i="2" l="1"/>
  <c r="AN73" i="4"/>
  <c r="AC71" i="17"/>
  <c r="AC71" i="16"/>
  <c r="AM71" i="15"/>
  <c r="AF75" i="4"/>
  <c r="AH73" i="4"/>
  <c r="AM72" i="2"/>
  <c r="AM73" i="4"/>
  <c r="AD73" i="17"/>
  <c r="AD73" i="16"/>
  <c r="AN73" i="15"/>
  <c r="AB71" i="17"/>
  <c r="AL71" i="15"/>
  <c r="AB71" i="16"/>
  <c r="AD73" i="4"/>
  <c r="AJ73" i="4"/>
  <c r="AB73" i="4"/>
  <c r="AI73" i="4"/>
  <c r="AQ72" i="2"/>
  <c r="AQ73" i="4"/>
  <c r="AP72" i="2"/>
  <c r="AP73" i="4"/>
  <c r="AE73" i="4"/>
  <c r="AS73" i="4"/>
  <c r="AC73" i="4"/>
  <c r="AG74" i="4"/>
  <c r="AF71" i="16"/>
  <c r="AP71" i="15"/>
  <c r="AF71" i="17"/>
  <c r="AE71" i="16"/>
  <c r="AE71" i="17"/>
  <c r="AO71" i="15"/>
  <c r="AL73" i="4"/>
  <c r="U75" i="14"/>
  <c r="R111" i="14"/>
  <c r="O77" i="14"/>
  <c r="B75" i="15"/>
  <c r="I76" i="14"/>
  <c r="L76" i="14"/>
  <c r="F77" i="14"/>
  <c r="X76" i="14"/>
  <c r="AA79" i="14"/>
  <c r="C74" i="14"/>
  <c r="F75" i="11"/>
  <c r="C79" i="11"/>
  <c r="AO74" i="4"/>
  <c r="AO74" i="2" s="1"/>
  <c r="AN73" i="2" l="1"/>
  <c r="AN74" i="4"/>
  <c r="AC72" i="17"/>
  <c r="AC72" i="16"/>
  <c r="AM72" i="15"/>
  <c r="AF76" i="4"/>
  <c r="AG75" i="4"/>
  <c r="AI74" i="4"/>
  <c r="AP73" i="2"/>
  <c r="AP74" i="4"/>
  <c r="AD74" i="17"/>
  <c r="AN74" i="15"/>
  <c r="AD74" i="16"/>
  <c r="AE72" i="17"/>
  <c r="AE72" i="16"/>
  <c r="AO72" i="15"/>
  <c r="AB74" i="4"/>
  <c r="AL74" i="4"/>
  <c r="AS74" i="4"/>
  <c r="AQ73" i="2"/>
  <c r="AQ74" i="4"/>
  <c r="AD74" i="4"/>
  <c r="AH74" i="4"/>
  <c r="AE74" i="4"/>
  <c r="AM73" i="2"/>
  <c r="AM74" i="4"/>
  <c r="AB72" i="16"/>
  <c r="AL72" i="15"/>
  <c r="AB72" i="17"/>
  <c r="AC74" i="4"/>
  <c r="AF72" i="16"/>
  <c r="AF72" i="17"/>
  <c r="AP72" i="15"/>
  <c r="AJ74" i="4"/>
  <c r="U76" i="14"/>
  <c r="R112" i="14"/>
  <c r="O78" i="14"/>
  <c r="B76" i="15"/>
  <c r="I77" i="14"/>
  <c r="L77" i="14"/>
  <c r="F78" i="14"/>
  <c r="X77" i="14"/>
  <c r="AA80" i="14"/>
  <c r="C75" i="14"/>
  <c r="F76" i="11"/>
  <c r="C80" i="11"/>
  <c r="AO75" i="4"/>
  <c r="AO75" i="2" s="1"/>
  <c r="AN74" i="2" l="1"/>
  <c r="AN75" i="4"/>
  <c r="AC73" i="17"/>
  <c r="AC73" i="16"/>
  <c r="AM73" i="15"/>
  <c r="AI75" i="4"/>
  <c r="AQ74" i="2"/>
  <c r="AQ75" i="4"/>
  <c r="AJ75" i="4"/>
  <c r="AE75" i="4"/>
  <c r="AL75" i="4"/>
  <c r="AM74" i="2"/>
  <c r="AM75" i="4"/>
  <c r="AG76" i="4"/>
  <c r="AD75" i="4"/>
  <c r="AF73" i="16"/>
  <c r="AF73" i="17"/>
  <c r="AP73" i="15"/>
  <c r="AB73" i="16"/>
  <c r="AB73" i="17"/>
  <c r="AL73" i="15"/>
  <c r="AS75" i="4"/>
  <c r="AP74" i="2"/>
  <c r="AP75" i="4"/>
  <c r="AB75" i="4"/>
  <c r="AN75" i="15"/>
  <c r="AD75" i="16"/>
  <c r="AD75" i="17"/>
  <c r="AC75" i="4"/>
  <c r="AH75" i="4"/>
  <c r="AE73" i="16"/>
  <c r="AO73" i="15"/>
  <c r="AE73" i="17"/>
  <c r="AF77" i="4"/>
  <c r="U77" i="14"/>
  <c r="R113" i="14"/>
  <c r="O79" i="14"/>
  <c r="B77" i="15"/>
  <c r="I78" i="14"/>
  <c r="L78" i="14"/>
  <c r="F79" i="14"/>
  <c r="X78" i="14"/>
  <c r="AA81" i="14"/>
  <c r="C76" i="14"/>
  <c r="C81" i="11"/>
  <c r="F77" i="11"/>
  <c r="AO76" i="4"/>
  <c r="AO76" i="2" s="1"/>
  <c r="AN75" i="2" l="1"/>
  <c r="AN76" i="4"/>
  <c r="AC74" i="16"/>
  <c r="AC74" i="17"/>
  <c r="AM74" i="15"/>
  <c r="AQ75" i="2"/>
  <c r="AQ76" i="4"/>
  <c r="AE74" i="17"/>
  <c r="AE74" i="16"/>
  <c r="AO74" i="15"/>
  <c r="AL76" i="4"/>
  <c r="AG77" i="4"/>
  <c r="AB76" i="4"/>
  <c r="AS76" i="4"/>
  <c r="AD76" i="4"/>
  <c r="AJ76" i="4"/>
  <c r="AC76" i="4"/>
  <c r="AF74" i="17"/>
  <c r="AF74" i="16"/>
  <c r="AP74" i="15"/>
  <c r="AD76" i="17"/>
  <c r="AN76" i="15"/>
  <c r="AD76" i="16"/>
  <c r="AF78" i="4"/>
  <c r="AM75" i="2"/>
  <c r="AM76" i="4"/>
  <c r="AH76" i="4"/>
  <c r="AP75" i="2"/>
  <c r="AP76" i="4"/>
  <c r="AL74" i="15"/>
  <c r="AB74" i="17"/>
  <c r="AB74" i="16"/>
  <c r="AE76" i="4"/>
  <c r="AI76" i="4"/>
  <c r="U78" i="14"/>
  <c r="R114" i="14"/>
  <c r="O80" i="14"/>
  <c r="B78" i="15"/>
  <c r="I79" i="14"/>
  <c r="L79" i="14"/>
  <c r="F80" i="14"/>
  <c r="X79" i="14"/>
  <c r="AA82" i="14"/>
  <c r="C77" i="14"/>
  <c r="F78" i="11"/>
  <c r="C82" i="11"/>
  <c r="AO77" i="4"/>
  <c r="AO77" i="2" s="1"/>
  <c r="AN77" i="4" l="1"/>
  <c r="AN76" i="2"/>
  <c r="AC75" i="17"/>
  <c r="AC75" i="16"/>
  <c r="AM75" i="15"/>
  <c r="AM76" i="2"/>
  <c r="AM77" i="4"/>
  <c r="AD77" i="17"/>
  <c r="AD77" i="16"/>
  <c r="AN77" i="15"/>
  <c r="AP76" i="2"/>
  <c r="AP77" i="4"/>
  <c r="AC77" i="4"/>
  <c r="AE77" i="4"/>
  <c r="AJ77" i="4"/>
  <c r="AS77" i="4"/>
  <c r="AL77" i="4"/>
  <c r="AH77" i="4"/>
  <c r="AQ76" i="2"/>
  <c r="AQ77" i="4"/>
  <c r="AB75" i="17"/>
  <c r="AB75" i="16"/>
  <c r="AL75" i="15"/>
  <c r="AB77" i="4"/>
  <c r="AI77" i="4"/>
  <c r="AE75" i="17"/>
  <c r="AE75" i="16"/>
  <c r="AO75" i="15"/>
  <c r="AF79" i="4"/>
  <c r="AD77" i="4"/>
  <c r="AG78" i="4"/>
  <c r="AF75" i="17"/>
  <c r="AP75" i="15"/>
  <c r="AF75" i="16"/>
  <c r="U79" i="14"/>
  <c r="R115" i="14"/>
  <c r="O81" i="14"/>
  <c r="B79" i="15"/>
  <c r="I80" i="14"/>
  <c r="L80" i="14"/>
  <c r="F81" i="14"/>
  <c r="X80" i="14"/>
  <c r="AA83" i="14"/>
  <c r="C78" i="14"/>
  <c r="C83" i="11"/>
  <c r="F79" i="11"/>
  <c r="AO78" i="4"/>
  <c r="AO78" i="2" s="1"/>
  <c r="AC76" i="17" l="1"/>
  <c r="AC76" i="16"/>
  <c r="AM76" i="15"/>
  <c r="AN78" i="4"/>
  <c r="AN77" i="2"/>
  <c r="AI78" i="4"/>
  <c r="AQ77" i="2"/>
  <c r="AQ78" i="4"/>
  <c r="AJ78" i="4"/>
  <c r="AO76" i="15"/>
  <c r="AE76" i="16"/>
  <c r="AE76" i="17"/>
  <c r="AF80" i="4"/>
  <c r="AP76" i="15"/>
  <c r="AF76" i="16"/>
  <c r="AF76" i="17"/>
  <c r="AL78" i="4"/>
  <c r="AB78" i="4"/>
  <c r="AE78" i="4"/>
  <c r="AG79" i="4"/>
  <c r="AH78" i="4"/>
  <c r="AS78" i="4"/>
  <c r="AC78" i="4"/>
  <c r="AM77" i="2"/>
  <c r="AM78" i="4"/>
  <c r="AD78" i="16"/>
  <c r="AN78" i="15"/>
  <c r="AD78" i="17"/>
  <c r="AD78" i="4"/>
  <c r="AP77" i="2"/>
  <c r="AP78" i="4"/>
  <c r="AB76" i="16"/>
  <c r="AL76" i="15"/>
  <c r="AB76" i="17"/>
  <c r="U80" i="14"/>
  <c r="R116" i="14"/>
  <c r="O82" i="14"/>
  <c r="B80" i="15"/>
  <c r="I81" i="14"/>
  <c r="L81" i="14"/>
  <c r="F82" i="14"/>
  <c r="AA84" i="14"/>
  <c r="X81" i="14"/>
  <c r="C79" i="14"/>
  <c r="F80" i="11"/>
  <c r="C84" i="11"/>
  <c r="AO79" i="4"/>
  <c r="AO79" i="2" s="1"/>
  <c r="AM77" i="15" l="1"/>
  <c r="AC77" i="16"/>
  <c r="AC77" i="17"/>
  <c r="AN78" i="2"/>
  <c r="AN79" i="4"/>
  <c r="AP78" i="2"/>
  <c r="AP79" i="4"/>
  <c r="AQ78" i="2"/>
  <c r="AQ79" i="4"/>
  <c r="AE77" i="16"/>
  <c r="AE77" i="17"/>
  <c r="AO77" i="15"/>
  <c r="AM78" i="2"/>
  <c r="AM79" i="4"/>
  <c r="AG80" i="4"/>
  <c r="AF77" i="17"/>
  <c r="AF77" i="16"/>
  <c r="AP77" i="15"/>
  <c r="AL77" i="15"/>
  <c r="AB77" i="16"/>
  <c r="AB77" i="17"/>
  <c r="AS79" i="4"/>
  <c r="AB79" i="4"/>
  <c r="AN79" i="15"/>
  <c r="AD79" i="17"/>
  <c r="AD79" i="16"/>
  <c r="AD79" i="4"/>
  <c r="AE79" i="4"/>
  <c r="AL79" i="4"/>
  <c r="AF81" i="4"/>
  <c r="AI79" i="4"/>
  <c r="AC79" i="4"/>
  <c r="AH79" i="4"/>
  <c r="AJ79" i="4"/>
  <c r="U81" i="14"/>
  <c r="R117" i="14"/>
  <c r="O83" i="14"/>
  <c r="B81" i="15"/>
  <c r="I82" i="14"/>
  <c r="L82" i="14"/>
  <c r="F83" i="14"/>
  <c r="X82" i="14"/>
  <c r="AA85" i="14"/>
  <c r="C80" i="14"/>
  <c r="F81" i="11"/>
  <c r="C85" i="11"/>
  <c r="AO80" i="4"/>
  <c r="AO80" i="2" s="1"/>
  <c r="AN80" i="4" l="1"/>
  <c r="AN79" i="2"/>
  <c r="AC78" i="16"/>
  <c r="AM78" i="15"/>
  <c r="AC78" i="17"/>
  <c r="AI80" i="4"/>
  <c r="AE80" i="4"/>
  <c r="AJ80" i="4"/>
  <c r="AF82" i="4"/>
  <c r="AG81" i="4"/>
  <c r="AQ79" i="2"/>
  <c r="AQ80" i="4"/>
  <c r="AH80" i="4"/>
  <c r="AL80" i="4"/>
  <c r="AM79" i="2"/>
  <c r="AM80" i="4"/>
  <c r="AF78" i="17"/>
  <c r="AF78" i="16"/>
  <c r="AP78" i="15"/>
  <c r="AB80" i="4"/>
  <c r="AB78" i="17"/>
  <c r="AB78" i="16"/>
  <c r="AL78" i="15"/>
  <c r="AP79" i="2"/>
  <c r="AP80" i="4"/>
  <c r="AC80" i="4"/>
  <c r="AD80" i="17"/>
  <c r="AN80" i="15"/>
  <c r="AD80" i="16"/>
  <c r="AD80" i="4"/>
  <c r="AS80" i="4"/>
  <c r="AE78" i="17"/>
  <c r="AE78" i="16"/>
  <c r="AO78" i="15"/>
  <c r="U82" i="14"/>
  <c r="R118" i="14"/>
  <c r="O84" i="14"/>
  <c r="B82" i="15"/>
  <c r="I83" i="14"/>
  <c r="L83" i="14"/>
  <c r="F84" i="14"/>
  <c r="X83" i="14"/>
  <c r="AA86" i="14"/>
  <c r="C81" i="14"/>
  <c r="C86" i="11"/>
  <c r="F82" i="11"/>
  <c r="AO81" i="4"/>
  <c r="AO81" i="2" s="1"/>
  <c r="AC79" i="16" l="1"/>
  <c r="AM79" i="15"/>
  <c r="AC79" i="17"/>
  <c r="AN81" i="4"/>
  <c r="AN80" i="2"/>
  <c r="AS81" i="4"/>
  <c r="AG82" i="4"/>
  <c r="AO79" i="15"/>
  <c r="AE79" i="16"/>
  <c r="AE79" i="17"/>
  <c r="AC81" i="4"/>
  <c r="AH81" i="4"/>
  <c r="AF83" i="4"/>
  <c r="AD81" i="4"/>
  <c r="AM81" i="4"/>
  <c r="AM80" i="2"/>
  <c r="AQ80" i="2"/>
  <c r="AQ81" i="4"/>
  <c r="AE81" i="4"/>
  <c r="AF79" i="16"/>
  <c r="AP79" i="15"/>
  <c r="AF79" i="17"/>
  <c r="AJ81" i="4"/>
  <c r="AB81" i="4"/>
  <c r="AB79" i="17"/>
  <c r="AB79" i="16"/>
  <c r="AL79" i="15"/>
  <c r="AD81" i="17"/>
  <c r="AD81" i="16"/>
  <c r="AN81" i="15"/>
  <c r="AP80" i="2"/>
  <c r="AP81" i="4"/>
  <c r="AL81" i="4"/>
  <c r="AI81" i="4"/>
  <c r="U83" i="14"/>
  <c r="R119" i="14"/>
  <c r="O85" i="14"/>
  <c r="B83" i="15"/>
  <c r="I84" i="14"/>
  <c r="L84" i="14"/>
  <c r="F85" i="14"/>
  <c r="AA87" i="14"/>
  <c r="X84" i="14"/>
  <c r="C82" i="14"/>
  <c r="F83" i="11"/>
  <c r="C87" i="11"/>
  <c r="AO82" i="4"/>
  <c r="AO82" i="2" s="1"/>
  <c r="AM80" i="15" l="1"/>
  <c r="AC80" i="16"/>
  <c r="AC80" i="17"/>
  <c r="AN81" i="2"/>
  <c r="AN82" i="4"/>
  <c r="AG83" i="4"/>
  <c r="AM81" i="2"/>
  <c r="AM82" i="4"/>
  <c r="AE82" i="4"/>
  <c r="AH82" i="4"/>
  <c r="AJ82" i="4"/>
  <c r="AQ81" i="2"/>
  <c r="AQ82" i="4"/>
  <c r="AF84" i="4"/>
  <c r="AP81" i="2"/>
  <c r="AP82" i="4"/>
  <c r="AE80" i="16"/>
  <c r="AO80" i="15"/>
  <c r="AE80" i="17"/>
  <c r="AD82" i="17"/>
  <c r="AD82" i="16"/>
  <c r="AN82" i="15"/>
  <c r="AI82" i="4"/>
  <c r="AB82" i="4"/>
  <c r="AF80" i="16"/>
  <c r="AF80" i="17"/>
  <c r="AP80" i="15"/>
  <c r="AD82" i="4"/>
  <c r="AC82" i="4"/>
  <c r="AS82" i="4"/>
  <c r="AL82" i="4"/>
  <c r="AB80" i="17"/>
  <c r="AB80" i="16"/>
  <c r="AL80" i="15"/>
  <c r="U84" i="14"/>
  <c r="R120" i="14"/>
  <c r="O86" i="14"/>
  <c r="B84" i="15"/>
  <c r="I85" i="14"/>
  <c r="L85" i="14"/>
  <c r="F86" i="14"/>
  <c r="X85" i="14"/>
  <c r="AA88" i="14"/>
  <c r="C83" i="14"/>
  <c r="C88" i="11"/>
  <c r="F84" i="11"/>
  <c r="AO83" i="4"/>
  <c r="AO83" i="2" s="1"/>
  <c r="AN82" i="2" l="1"/>
  <c r="AN83" i="4"/>
  <c r="AM81" i="15"/>
  <c r="AC81" i="17"/>
  <c r="AC81" i="16"/>
  <c r="AH83" i="4"/>
  <c r="AF81" i="17"/>
  <c r="AP81" i="15"/>
  <c r="AF81" i="16"/>
  <c r="AE83" i="4"/>
  <c r="AC83" i="4"/>
  <c r="AL83" i="4"/>
  <c r="AB83" i="4"/>
  <c r="AP82" i="2"/>
  <c r="AP83" i="4"/>
  <c r="AM82" i="2"/>
  <c r="AM83" i="4"/>
  <c r="AF85" i="4"/>
  <c r="AQ82" i="2"/>
  <c r="AQ83" i="4"/>
  <c r="AD83" i="4"/>
  <c r="AE81" i="17"/>
  <c r="AO81" i="15"/>
  <c r="AE81" i="16"/>
  <c r="AJ83" i="4"/>
  <c r="AB81" i="17"/>
  <c r="AB81" i="16"/>
  <c r="AL81" i="15"/>
  <c r="AD83" i="16"/>
  <c r="AD83" i="17"/>
  <c r="AN83" i="15"/>
  <c r="AS83" i="4"/>
  <c r="AI83" i="4"/>
  <c r="AG84" i="4"/>
  <c r="U85" i="14"/>
  <c r="R121" i="14"/>
  <c r="O87" i="14"/>
  <c r="B85" i="15"/>
  <c r="I86" i="14"/>
  <c r="L86" i="14"/>
  <c r="F87" i="14"/>
  <c r="X86" i="14"/>
  <c r="AA89" i="14"/>
  <c r="C84" i="14"/>
  <c r="C89" i="11"/>
  <c r="F85" i="11"/>
  <c r="AO84" i="4"/>
  <c r="AO84" i="2" s="1"/>
  <c r="AN83" i="2" l="1"/>
  <c r="AN84" i="4"/>
  <c r="AC82" i="17"/>
  <c r="AC82" i="16"/>
  <c r="AM82" i="15"/>
  <c r="AI84" i="4"/>
  <c r="AB82" i="17"/>
  <c r="AL82" i="15"/>
  <c r="AB82" i="16"/>
  <c r="AE82" i="16"/>
  <c r="AO82" i="15"/>
  <c r="AE82" i="17"/>
  <c r="AC84" i="4"/>
  <c r="AN84" i="15"/>
  <c r="AD84" i="17"/>
  <c r="AD84" i="16"/>
  <c r="AS84" i="4"/>
  <c r="AQ83" i="2"/>
  <c r="AQ84" i="4"/>
  <c r="AP83" i="2"/>
  <c r="AP84" i="4"/>
  <c r="AD84" i="4"/>
  <c r="AF82" i="17"/>
  <c r="AF82" i="16"/>
  <c r="AP82" i="15"/>
  <c r="AG85" i="4"/>
  <c r="AJ84" i="4"/>
  <c r="AF86" i="4"/>
  <c r="AB84" i="4"/>
  <c r="AE84" i="4"/>
  <c r="AM83" i="2"/>
  <c r="AM84" i="4"/>
  <c r="AL84" i="4"/>
  <c r="AH84" i="4"/>
  <c r="U86" i="14"/>
  <c r="R122" i="14"/>
  <c r="O88" i="14"/>
  <c r="B86" i="15"/>
  <c r="I87" i="14"/>
  <c r="L87" i="14"/>
  <c r="F88" i="14"/>
  <c r="AA90" i="14"/>
  <c r="X87" i="14"/>
  <c r="C85" i="14"/>
  <c r="C90" i="11"/>
  <c r="F86" i="11"/>
  <c r="AO85" i="4"/>
  <c r="AO85" i="2" s="1"/>
  <c r="AN85" i="4" l="1"/>
  <c r="AN84" i="2"/>
  <c r="AC83" i="17"/>
  <c r="AM83" i="15"/>
  <c r="AC83" i="16"/>
  <c r="AJ85" i="4"/>
  <c r="AP84" i="2"/>
  <c r="AP85" i="4"/>
  <c r="AS85" i="4"/>
  <c r="AB85" i="4"/>
  <c r="AG86" i="4"/>
  <c r="AE83" i="17"/>
  <c r="AO83" i="15"/>
  <c r="AE83" i="16"/>
  <c r="AC85" i="4"/>
  <c r="AB83" i="16"/>
  <c r="AL83" i="15"/>
  <c r="AB83" i="17"/>
  <c r="AD85" i="17"/>
  <c r="AD85" i="16"/>
  <c r="AN85" i="15"/>
  <c r="AH85" i="4"/>
  <c r="AE85" i="4"/>
  <c r="AD85" i="4"/>
  <c r="AQ84" i="2"/>
  <c r="AQ85" i="4"/>
  <c r="AM84" i="2"/>
  <c r="AM85" i="4"/>
  <c r="AL85" i="4"/>
  <c r="AF87" i="4"/>
  <c r="AF83" i="17"/>
  <c r="AP83" i="15"/>
  <c r="AF83" i="16"/>
  <c r="AI85" i="4"/>
  <c r="U87" i="14"/>
  <c r="O89" i="14"/>
  <c r="B87" i="15"/>
  <c r="I88" i="14"/>
  <c r="L88" i="14"/>
  <c r="F89" i="14"/>
  <c r="X88" i="14"/>
  <c r="AA91" i="14"/>
  <c r="C86" i="14"/>
  <c r="F87" i="11"/>
  <c r="C91" i="11"/>
  <c r="AO86" i="4"/>
  <c r="AO86" i="2" s="1"/>
  <c r="AM84" i="15" l="1"/>
  <c r="AC84" i="17"/>
  <c r="AC84" i="16"/>
  <c r="AN86" i="4"/>
  <c r="AN85" i="2"/>
  <c r="AD86" i="16"/>
  <c r="AN86" i="15"/>
  <c r="AD86" i="17"/>
  <c r="AE86" i="4"/>
  <c r="AG87" i="4"/>
  <c r="AQ85" i="2"/>
  <c r="AQ86" i="4"/>
  <c r="AF84" i="16"/>
  <c r="AF84" i="17"/>
  <c r="AP84" i="15"/>
  <c r="AF88" i="4"/>
  <c r="AS86" i="4"/>
  <c r="AE84" i="16"/>
  <c r="AE84" i="17"/>
  <c r="AO84" i="15"/>
  <c r="AP85" i="2"/>
  <c r="AP86" i="4"/>
  <c r="AI86" i="4"/>
  <c r="AL86" i="4"/>
  <c r="AD86" i="4"/>
  <c r="AB84" i="17"/>
  <c r="AB84" i="16"/>
  <c r="AL84" i="15"/>
  <c r="AC86" i="4"/>
  <c r="AH86" i="4"/>
  <c r="AB86" i="4"/>
  <c r="AM85" i="2"/>
  <c r="AM86" i="4"/>
  <c r="AJ86" i="4"/>
  <c r="U88" i="14"/>
  <c r="O90" i="14"/>
  <c r="B88" i="15"/>
  <c r="I89" i="14"/>
  <c r="L89" i="14"/>
  <c r="F90" i="14"/>
  <c r="AA92" i="14"/>
  <c r="X89" i="14"/>
  <c r="C87" i="14"/>
  <c r="C92" i="11"/>
  <c r="F88" i="11"/>
  <c r="AO87" i="4"/>
  <c r="AO87" i="2" s="1"/>
  <c r="AC85" i="17" l="1"/>
  <c r="AC85" i="16"/>
  <c r="AM85" i="15"/>
  <c r="AN86" i="2"/>
  <c r="AN87" i="4"/>
  <c r="AL85" i="15"/>
  <c r="AB85" i="17"/>
  <c r="AB85" i="16"/>
  <c r="AS87" i="4"/>
  <c r="AG88" i="4"/>
  <c r="AI87" i="4"/>
  <c r="AH87" i="4"/>
  <c r="AP86" i="2"/>
  <c r="AP87" i="4"/>
  <c r="AE85" i="16"/>
  <c r="AE85" i="17"/>
  <c r="AO85" i="15"/>
  <c r="AE87" i="4"/>
  <c r="AC87" i="4"/>
  <c r="AL87" i="4"/>
  <c r="AQ86" i="2"/>
  <c r="AQ87" i="4"/>
  <c r="AJ87" i="4"/>
  <c r="AF85" i="17"/>
  <c r="AF85" i="16"/>
  <c r="AP85" i="15"/>
  <c r="AN87" i="15"/>
  <c r="AD87" i="17"/>
  <c r="AD87" i="16"/>
  <c r="AM87" i="4"/>
  <c r="AM86" i="2"/>
  <c r="AB87" i="4"/>
  <c r="AD87" i="4"/>
  <c r="AF89" i="4"/>
  <c r="U89" i="14"/>
  <c r="O91" i="14"/>
  <c r="B89" i="15"/>
  <c r="I90" i="14"/>
  <c r="L90" i="14"/>
  <c r="F91" i="14"/>
  <c r="X90" i="14"/>
  <c r="AA93" i="14"/>
  <c r="C88" i="14"/>
  <c r="C93" i="11"/>
  <c r="F89" i="11"/>
  <c r="AO88" i="4"/>
  <c r="AO88" i="2" s="1"/>
  <c r="AN88" i="4" l="1"/>
  <c r="AN87" i="2"/>
  <c r="AC86" i="17"/>
  <c r="AM86" i="15"/>
  <c r="AC86" i="16"/>
  <c r="AE86" i="17"/>
  <c r="AO86" i="15"/>
  <c r="AE86" i="16"/>
  <c r="AS88" i="4"/>
  <c r="AE88" i="4"/>
  <c r="AB86" i="16"/>
  <c r="AL86" i="15"/>
  <c r="AB86" i="17"/>
  <c r="AJ88" i="4"/>
  <c r="AL88" i="4"/>
  <c r="AB88" i="4"/>
  <c r="AH88" i="4"/>
  <c r="AF90" i="4"/>
  <c r="AM87" i="2"/>
  <c r="AM88" i="4"/>
  <c r="AQ87" i="2"/>
  <c r="AQ88" i="4"/>
  <c r="AI88" i="4"/>
  <c r="AN88" i="15"/>
  <c r="AD88" i="16"/>
  <c r="AD88" i="17"/>
  <c r="AD88" i="4"/>
  <c r="AC88" i="4"/>
  <c r="AG89" i="4"/>
  <c r="AF86" i="17"/>
  <c r="AP86" i="15"/>
  <c r="AF86" i="16"/>
  <c r="AP87" i="2"/>
  <c r="AP88" i="4"/>
  <c r="U90" i="14"/>
  <c r="O92" i="14"/>
  <c r="B90" i="15"/>
  <c r="I91" i="14"/>
  <c r="L91" i="14"/>
  <c r="F92" i="14"/>
  <c r="AA94" i="14"/>
  <c r="X91" i="14"/>
  <c r="C89" i="14"/>
  <c r="C94" i="11"/>
  <c r="F90" i="11"/>
  <c r="AO89" i="4"/>
  <c r="AO89" i="2" s="1"/>
  <c r="AC87" i="17" l="1"/>
  <c r="AM87" i="15"/>
  <c r="AC87" i="16"/>
  <c r="AN89" i="4"/>
  <c r="AN88" i="2"/>
  <c r="AF91" i="4"/>
  <c r="AD89" i="4"/>
  <c r="AQ88" i="2"/>
  <c r="AQ89" i="4"/>
  <c r="AL89" i="4"/>
  <c r="AS89" i="4"/>
  <c r="AI89" i="4"/>
  <c r="AF87" i="16"/>
  <c r="AP87" i="15"/>
  <c r="AF87" i="17"/>
  <c r="AH89" i="4"/>
  <c r="AD89" i="17"/>
  <c r="AD89" i="16"/>
  <c r="AN89" i="15"/>
  <c r="AP88" i="2"/>
  <c r="AP89" i="4"/>
  <c r="AG90" i="4"/>
  <c r="AM89" i="4"/>
  <c r="AM88" i="2"/>
  <c r="AB87" i="17"/>
  <c r="AL87" i="15"/>
  <c r="AB87" i="16"/>
  <c r="AB89" i="4"/>
  <c r="AJ89" i="4"/>
  <c r="AE89" i="4"/>
  <c r="AE87" i="17"/>
  <c r="AE87" i="16"/>
  <c r="AO87" i="15"/>
  <c r="AC89" i="4"/>
  <c r="U91" i="14"/>
  <c r="O93" i="14"/>
  <c r="B91" i="15"/>
  <c r="I92" i="14"/>
  <c r="L92" i="14"/>
  <c r="F93" i="14"/>
  <c r="X92" i="14"/>
  <c r="AA95" i="14"/>
  <c r="C90" i="14"/>
  <c r="F91" i="11"/>
  <c r="C95" i="11"/>
  <c r="AO90" i="4"/>
  <c r="AO90" i="2" s="1"/>
  <c r="AC88" i="17" l="1"/>
  <c r="AM88" i="15"/>
  <c r="AC88" i="16"/>
  <c r="AN89" i="2"/>
  <c r="AN90" i="4"/>
  <c r="AC90" i="4"/>
  <c r="AE88" i="17"/>
  <c r="AE88" i="16"/>
  <c r="AO88" i="15"/>
  <c r="AQ89" i="2"/>
  <c r="AQ90" i="4"/>
  <c r="AJ90" i="4"/>
  <c r="AB88" i="16"/>
  <c r="AL88" i="15"/>
  <c r="AB88" i="17"/>
  <c r="AI90" i="4"/>
  <c r="AF88" i="16"/>
  <c r="AP88" i="15"/>
  <c r="AF88" i="17"/>
  <c r="AB90" i="4"/>
  <c r="AS90" i="4"/>
  <c r="AG91" i="4"/>
  <c r="AL90" i="4"/>
  <c r="AM89" i="2"/>
  <c r="AM90" i="4"/>
  <c r="AD90" i="4"/>
  <c r="AD90" i="17"/>
  <c r="AN90" i="15"/>
  <c r="AD90" i="16"/>
  <c r="AE90" i="4"/>
  <c r="AP89" i="2"/>
  <c r="AP90" i="4"/>
  <c r="AH90" i="4"/>
  <c r="AF92" i="4"/>
  <c r="U92" i="14"/>
  <c r="O94" i="14"/>
  <c r="B92" i="15"/>
  <c r="I93" i="14"/>
  <c r="L93" i="14"/>
  <c r="F94" i="14"/>
  <c r="X93" i="14"/>
  <c r="AA96" i="14"/>
  <c r="C91" i="14"/>
  <c r="F92" i="11"/>
  <c r="C96" i="11"/>
  <c r="AO91" i="4"/>
  <c r="AO91" i="2" s="1"/>
  <c r="AN90" i="2" l="1"/>
  <c r="AN91" i="4"/>
  <c r="AC89" i="17"/>
  <c r="AC89" i="16"/>
  <c r="AM89" i="15"/>
  <c r="AD91" i="16"/>
  <c r="AD91" i="17"/>
  <c r="AN91" i="15"/>
  <c r="AG92" i="4"/>
  <c r="AB91" i="4"/>
  <c r="AP89" i="15"/>
  <c r="AF89" i="16"/>
  <c r="AF89" i="17"/>
  <c r="AE91" i="4"/>
  <c r="AM90" i="2"/>
  <c r="AM91" i="4"/>
  <c r="AH91" i="4"/>
  <c r="AD91" i="4"/>
  <c r="AL91" i="4"/>
  <c r="AS91" i="4"/>
  <c r="AP90" i="2"/>
  <c r="AP91" i="4"/>
  <c r="AJ91" i="4"/>
  <c r="AB89" i="16"/>
  <c r="AL89" i="15"/>
  <c r="AB89" i="17"/>
  <c r="AF93" i="4"/>
  <c r="AE89" i="17"/>
  <c r="AO89" i="15"/>
  <c r="AE89" i="16"/>
  <c r="AI91" i="4"/>
  <c r="AQ90" i="2"/>
  <c r="AQ91" i="4"/>
  <c r="AC91" i="4"/>
  <c r="U93" i="14"/>
  <c r="O95" i="14"/>
  <c r="B93" i="15"/>
  <c r="I94" i="14"/>
  <c r="L94" i="14"/>
  <c r="F95" i="14"/>
  <c r="AA97" i="14"/>
  <c r="X94" i="14"/>
  <c r="C92" i="14"/>
  <c r="C97" i="11"/>
  <c r="F93" i="11"/>
  <c r="AO92" i="4"/>
  <c r="AO92" i="2" s="1"/>
  <c r="AN91" i="2" l="1"/>
  <c r="AN92" i="4"/>
  <c r="AC90" i="17"/>
  <c r="AC90" i="16"/>
  <c r="AM90" i="15"/>
  <c r="AI92" i="4"/>
  <c r="AP90" i="15"/>
  <c r="AF90" i="16"/>
  <c r="AF90" i="17"/>
  <c r="AJ92" i="4"/>
  <c r="AB92" i="4"/>
  <c r="AF94" i="4"/>
  <c r="AP91" i="2"/>
  <c r="AP92" i="4"/>
  <c r="AE92" i="4"/>
  <c r="AE90" i="17"/>
  <c r="AE90" i="16"/>
  <c r="AO90" i="15"/>
  <c r="AS92" i="4"/>
  <c r="AD92" i="4"/>
  <c r="AG93" i="4"/>
  <c r="AD92" i="17"/>
  <c r="AN92" i="15"/>
  <c r="AD92" i="16"/>
  <c r="AC92" i="4"/>
  <c r="AH92" i="4"/>
  <c r="AM91" i="2"/>
  <c r="AM92" i="4"/>
  <c r="AQ91" i="2"/>
  <c r="AQ92" i="4"/>
  <c r="AL92" i="4"/>
  <c r="AB90" i="16"/>
  <c r="AB90" i="17"/>
  <c r="AL90" i="15"/>
  <c r="U94" i="14"/>
  <c r="O96" i="14"/>
  <c r="B94" i="15"/>
  <c r="I95" i="14"/>
  <c r="L95" i="14"/>
  <c r="F96" i="14"/>
  <c r="X95" i="14"/>
  <c r="AA98" i="14"/>
  <c r="C93" i="14"/>
  <c r="F94" i="11"/>
  <c r="C98" i="11"/>
  <c r="AO93" i="4"/>
  <c r="AO93" i="2" s="1"/>
  <c r="AN93" i="4" l="1"/>
  <c r="AN92" i="2"/>
  <c r="AC91" i="17"/>
  <c r="AM91" i="15"/>
  <c r="AC91" i="16"/>
  <c r="AD93" i="4"/>
  <c r="AH93" i="4"/>
  <c r="AS93" i="4"/>
  <c r="AE93" i="4"/>
  <c r="AB93" i="4"/>
  <c r="AN93" i="15"/>
  <c r="AD93" i="16"/>
  <c r="AD93" i="17"/>
  <c r="AC93" i="4"/>
  <c r="AQ92" i="2"/>
  <c r="AQ93" i="4"/>
  <c r="AG94" i="4"/>
  <c r="AP92" i="2"/>
  <c r="AP93" i="4"/>
  <c r="AL93" i="4"/>
  <c r="AJ93" i="4"/>
  <c r="AP91" i="15"/>
  <c r="AF91" i="16"/>
  <c r="AF91" i="17"/>
  <c r="AE91" i="17"/>
  <c r="AE91" i="16"/>
  <c r="AO91" i="15"/>
  <c r="AL91" i="15"/>
  <c r="AB91" i="17"/>
  <c r="AB91" i="16"/>
  <c r="AM92" i="2"/>
  <c r="AM93" i="4"/>
  <c r="AF95" i="4"/>
  <c r="AI93" i="4"/>
  <c r="U95" i="14"/>
  <c r="O97" i="14"/>
  <c r="B95" i="15"/>
  <c r="I96" i="14"/>
  <c r="L96" i="14"/>
  <c r="F97" i="14"/>
  <c r="AA99" i="14"/>
  <c r="X96" i="14"/>
  <c r="C94" i="14"/>
  <c r="F95" i="11"/>
  <c r="C99" i="11"/>
  <c r="AO94" i="4"/>
  <c r="AO94" i="2" s="1"/>
  <c r="AC92" i="17" l="1"/>
  <c r="AC92" i="16"/>
  <c r="AM92" i="15"/>
  <c r="AN93" i="2"/>
  <c r="AN94" i="4"/>
  <c r="AH94" i="4"/>
  <c r="AL94" i="4"/>
  <c r="AC94" i="4"/>
  <c r="AP93" i="2"/>
  <c r="AP94" i="4"/>
  <c r="AG95" i="4"/>
  <c r="AS94" i="4"/>
  <c r="AI94" i="4"/>
  <c r="AM93" i="2"/>
  <c r="AM94" i="4"/>
  <c r="AE92" i="17"/>
  <c r="AO92" i="15"/>
  <c r="AE92" i="16"/>
  <c r="AQ93" i="2"/>
  <c r="AQ94" i="4"/>
  <c r="AF96" i="4"/>
  <c r="AJ94" i="4"/>
  <c r="AB94" i="4"/>
  <c r="AE94" i="4"/>
  <c r="AD94" i="16"/>
  <c r="AN94" i="15"/>
  <c r="AD94" i="17"/>
  <c r="AB92" i="17"/>
  <c r="AB92" i="16"/>
  <c r="AL92" i="15"/>
  <c r="AP92" i="15"/>
  <c r="AF92" i="16"/>
  <c r="AF92" i="17"/>
  <c r="AD94" i="4"/>
  <c r="U96" i="14"/>
  <c r="O98" i="14"/>
  <c r="B96" i="15"/>
  <c r="I97" i="14"/>
  <c r="L97" i="14"/>
  <c r="F98" i="14"/>
  <c r="X97" i="14"/>
  <c r="AA100" i="14"/>
  <c r="C95" i="14"/>
  <c r="C100" i="11"/>
  <c r="F96" i="11"/>
  <c r="AO95" i="4"/>
  <c r="AO95" i="2" s="1"/>
  <c r="AN94" i="2" l="1"/>
  <c r="AN95" i="4"/>
  <c r="AM93" i="15"/>
  <c r="AC93" i="16"/>
  <c r="AC93" i="17"/>
  <c r="AG96" i="4"/>
  <c r="AQ94" i="2"/>
  <c r="AQ95" i="4"/>
  <c r="AB93" i="16"/>
  <c r="AL93" i="15"/>
  <c r="AB93" i="17"/>
  <c r="AP93" i="15"/>
  <c r="AF93" i="16"/>
  <c r="AF93" i="17"/>
  <c r="AC95" i="4"/>
  <c r="AB95" i="4"/>
  <c r="AI95" i="4"/>
  <c r="AE93" i="17"/>
  <c r="AE93" i="16"/>
  <c r="AO93" i="15"/>
  <c r="AE95" i="4"/>
  <c r="AS95" i="4"/>
  <c r="AL95" i="4"/>
  <c r="AP95" i="4"/>
  <c r="AP94" i="2"/>
  <c r="AF97" i="4"/>
  <c r="AD95" i="4"/>
  <c r="AJ95" i="4"/>
  <c r="AD95" i="17"/>
  <c r="AD95" i="16"/>
  <c r="AN95" i="15"/>
  <c r="AM94" i="2"/>
  <c r="AM95" i="4"/>
  <c r="AH95" i="4"/>
  <c r="U97" i="14"/>
  <c r="O99" i="14"/>
  <c r="B97" i="15"/>
  <c r="I98" i="14"/>
  <c r="L98" i="14"/>
  <c r="F99" i="14"/>
  <c r="AA101" i="14"/>
  <c r="X98" i="14"/>
  <c r="C96" i="14"/>
  <c r="F97" i="11"/>
  <c r="C101" i="11"/>
  <c r="AO96" i="4"/>
  <c r="AO96" i="2" s="1"/>
  <c r="AN95" i="2" l="1"/>
  <c r="AN96" i="4"/>
  <c r="AC94" i="17"/>
  <c r="AM94" i="15"/>
  <c r="AC94" i="16"/>
  <c r="AD96" i="17"/>
  <c r="AN96" i="15"/>
  <c r="AD96" i="16"/>
  <c r="AB94" i="16"/>
  <c r="AL94" i="15"/>
  <c r="AB94" i="17"/>
  <c r="AD96" i="4"/>
  <c r="AE94" i="17"/>
  <c r="AE94" i="16"/>
  <c r="AO94" i="15"/>
  <c r="AI96" i="4"/>
  <c r="AP94" i="15"/>
  <c r="AF94" i="16"/>
  <c r="AF94" i="17"/>
  <c r="AL96" i="4"/>
  <c r="AB96" i="4"/>
  <c r="AG97" i="4"/>
  <c r="AP95" i="2"/>
  <c r="AP96" i="4"/>
  <c r="AE96" i="4"/>
  <c r="AH96" i="4"/>
  <c r="AJ96" i="4"/>
  <c r="AS96" i="4"/>
  <c r="AC96" i="4"/>
  <c r="AM95" i="2"/>
  <c r="AM96" i="4"/>
  <c r="AF98" i="4"/>
  <c r="AQ95" i="2"/>
  <c r="AQ96" i="4"/>
  <c r="U98" i="14"/>
  <c r="O100" i="14"/>
  <c r="B98" i="15"/>
  <c r="I99" i="14"/>
  <c r="L99" i="14"/>
  <c r="F100" i="14"/>
  <c r="X99" i="14"/>
  <c r="AA102" i="14"/>
  <c r="C97" i="14"/>
  <c r="C102" i="11"/>
  <c r="F98" i="11"/>
  <c r="AO97" i="4"/>
  <c r="AO97" i="2" s="1"/>
  <c r="AN97" i="4" l="1"/>
  <c r="AN96" i="2"/>
  <c r="AC95" i="17"/>
  <c r="AM95" i="15"/>
  <c r="AC95" i="16"/>
  <c r="AG98" i="4"/>
  <c r="AI97" i="4"/>
  <c r="AQ96" i="2"/>
  <c r="AQ97" i="4"/>
  <c r="AE97" i="4"/>
  <c r="AC97" i="4"/>
  <c r="AH97" i="4"/>
  <c r="AF99" i="4"/>
  <c r="AL97" i="4"/>
  <c r="AN97" i="15"/>
  <c r="AD97" i="17"/>
  <c r="AD97" i="16"/>
  <c r="AP95" i="15"/>
  <c r="AF95" i="16"/>
  <c r="AF95" i="17"/>
  <c r="AM96" i="2"/>
  <c r="AM97" i="4"/>
  <c r="AP96" i="2"/>
  <c r="AP97" i="4"/>
  <c r="AS97" i="4"/>
  <c r="AB97" i="4"/>
  <c r="AB95" i="16"/>
  <c r="AL95" i="15"/>
  <c r="AB95" i="17"/>
  <c r="AJ97" i="4"/>
  <c r="AE95" i="17"/>
  <c r="AO95" i="15"/>
  <c r="AE95" i="16"/>
  <c r="AD97" i="4"/>
  <c r="U99" i="14"/>
  <c r="O101" i="14"/>
  <c r="B99" i="15"/>
  <c r="I100" i="14"/>
  <c r="L100" i="14"/>
  <c r="F101" i="14"/>
  <c r="X100" i="14"/>
  <c r="AA103" i="14"/>
  <c r="C98" i="14"/>
  <c r="F99" i="11"/>
  <c r="C103" i="11"/>
  <c r="AO98" i="4"/>
  <c r="AO98" i="2" s="1"/>
  <c r="AM96" i="15" l="1"/>
  <c r="AC96" i="17"/>
  <c r="AC96" i="16"/>
  <c r="AN97" i="2"/>
  <c r="AN98" i="4"/>
  <c r="AS98" i="4"/>
  <c r="AE96" i="17"/>
  <c r="AE96" i="16"/>
  <c r="AO96" i="15"/>
  <c r="AF100" i="4"/>
  <c r="AM97" i="2"/>
  <c r="AM98" i="4"/>
  <c r="AC98" i="4"/>
  <c r="AI98" i="4"/>
  <c r="AL98" i="4"/>
  <c r="AE98" i="4"/>
  <c r="AG99" i="4"/>
  <c r="AB96" i="16"/>
  <c r="AL96" i="15"/>
  <c r="AB96" i="17"/>
  <c r="AJ98" i="4"/>
  <c r="AD98" i="4"/>
  <c r="AQ97" i="2"/>
  <c r="AQ98" i="4"/>
  <c r="AD98" i="17"/>
  <c r="AD98" i="16"/>
  <c r="AN98" i="15"/>
  <c r="AB98" i="4"/>
  <c r="AP97" i="2"/>
  <c r="AP98" i="4"/>
  <c r="AH98" i="4"/>
  <c r="AP96" i="15"/>
  <c r="AF96" i="16"/>
  <c r="AF96" i="17"/>
  <c r="U100" i="14"/>
  <c r="O102" i="14"/>
  <c r="B100" i="15"/>
  <c r="I101" i="14"/>
  <c r="L101" i="14"/>
  <c r="F102" i="14"/>
  <c r="AA104" i="14"/>
  <c r="X101" i="14"/>
  <c r="C99" i="14"/>
  <c r="F100" i="11"/>
  <c r="C104" i="11"/>
  <c r="AO99" i="4"/>
  <c r="AO99" i="2" s="1"/>
  <c r="AN99" i="4" l="1"/>
  <c r="AN98" i="2"/>
  <c r="AC97" i="16"/>
  <c r="AM97" i="15"/>
  <c r="AC97" i="17"/>
  <c r="AL97" i="15"/>
  <c r="AB97" i="17"/>
  <c r="AB97" i="16"/>
  <c r="AL99" i="4"/>
  <c r="AB99" i="4"/>
  <c r="AQ98" i="2"/>
  <c r="AQ99" i="4"/>
  <c r="AD99" i="4"/>
  <c r="AM98" i="2"/>
  <c r="AM99" i="4"/>
  <c r="AP97" i="15"/>
  <c r="AF97" i="16"/>
  <c r="AF97" i="17"/>
  <c r="AG100" i="4"/>
  <c r="AI99" i="4"/>
  <c r="AE97" i="17"/>
  <c r="AE97" i="16"/>
  <c r="AO97" i="15"/>
  <c r="AF101" i="4"/>
  <c r="AH99" i="4"/>
  <c r="AJ99" i="4"/>
  <c r="AS99" i="4"/>
  <c r="AN99" i="15"/>
  <c r="AD99" i="17"/>
  <c r="AD99" i="16"/>
  <c r="AP98" i="2"/>
  <c r="AP99" i="4"/>
  <c r="AE99" i="4"/>
  <c r="AC99" i="4"/>
  <c r="U101" i="14"/>
  <c r="O103" i="14"/>
  <c r="B101" i="15"/>
  <c r="I102" i="14"/>
  <c r="L102" i="14"/>
  <c r="F103" i="14"/>
  <c r="X102" i="14"/>
  <c r="AA105" i="14"/>
  <c r="C100" i="14"/>
  <c r="C105" i="11"/>
  <c r="F101" i="11"/>
  <c r="AO100" i="4"/>
  <c r="AO100" i="2" s="1"/>
  <c r="AC98" i="17" l="1"/>
  <c r="AM98" i="15"/>
  <c r="AC98" i="16"/>
  <c r="AN99" i="2"/>
  <c r="AN100" i="4"/>
  <c r="AB100" i="4"/>
  <c r="AD100" i="4"/>
  <c r="AJ100" i="4"/>
  <c r="AC100" i="4"/>
  <c r="AM99" i="2"/>
  <c r="AM100" i="4"/>
  <c r="AH100" i="4"/>
  <c r="AE100" i="4"/>
  <c r="AS100" i="4"/>
  <c r="AI100" i="4"/>
  <c r="AP99" i="2"/>
  <c r="AP100" i="4"/>
  <c r="AF102" i="4"/>
  <c r="AB98" i="17"/>
  <c r="AL98" i="15"/>
  <c r="AB98" i="16"/>
  <c r="AP98" i="15"/>
  <c r="AF98" i="16"/>
  <c r="AF98" i="17"/>
  <c r="AL100" i="4"/>
  <c r="AQ99" i="2"/>
  <c r="AQ100" i="4"/>
  <c r="AN100" i="15"/>
  <c r="AD100" i="16"/>
  <c r="AD100" i="17"/>
  <c r="AE98" i="17"/>
  <c r="AO98" i="15"/>
  <c r="AE98" i="16"/>
  <c r="AG101" i="4"/>
  <c r="U102" i="14"/>
  <c r="O104" i="14"/>
  <c r="B102" i="15"/>
  <c r="I103" i="14"/>
  <c r="L103" i="14"/>
  <c r="F104" i="14"/>
  <c r="AA106" i="14"/>
  <c r="X103" i="14"/>
  <c r="C101" i="14"/>
  <c r="C106" i="11"/>
  <c r="F102" i="11"/>
  <c r="AO101" i="4"/>
  <c r="AO101" i="2" s="1"/>
  <c r="AN100" i="2" l="1"/>
  <c r="AN101" i="4"/>
  <c r="AC99" i="17"/>
  <c r="AC99" i="16"/>
  <c r="AM99" i="15"/>
  <c r="AE99" i="17"/>
  <c r="AE99" i="16"/>
  <c r="AO99" i="15"/>
  <c r="AE101" i="4"/>
  <c r="AC101" i="4"/>
  <c r="AB101" i="4"/>
  <c r="AL101" i="4"/>
  <c r="AD101" i="4"/>
  <c r="AP101" i="4"/>
  <c r="AP100" i="2"/>
  <c r="AG102" i="4"/>
  <c r="AF103" i="4"/>
  <c r="AQ100" i="2"/>
  <c r="AQ101" i="4"/>
  <c r="AI101" i="4"/>
  <c r="AH101" i="4"/>
  <c r="AJ101" i="4"/>
  <c r="AD101" i="17"/>
  <c r="AD101" i="16"/>
  <c r="AN101" i="15"/>
  <c r="AB99" i="16"/>
  <c r="AB99" i="17"/>
  <c r="AL99" i="15"/>
  <c r="AP99" i="15"/>
  <c r="AF99" i="16"/>
  <c r="AF99" i="17"/>
  <c r="AS101" i="4"/>
  <c r="AM100" i="2"/>
  <c r="AM101" i="4"/>
  <c r="U103" i="14"/>
  <c r="O105" i="14"/>
  <c r="B103" i="15"/>
  <c r="I104" i="14"/>
  <c r="L104" i="14"/>
  <c r="F105" i="14"/>
  <c r="AA107" i="14"/>
  <c r="X104" i="14"/>
  <c r="C102" i="14"/>
  <c r="F103" i="11"/>
  <c r="C107" i="11"/>
  <c r="AO102" i="4"/>
  <c r="AO102" i="2" s="1"/>
  <c r="AN101" i="2" l="1"/>
  <c r="AN102" i="4"/>
  <c r="AM100" i="15"/>
  <c r="AC100" i="16"/>
  <c r="AC100" i="17"/>
  <c r="AD102" i="4"/>
  <c r="AE102" i="4"/>
  <c r="AC102" i="4"/>
  <c r="AH102" i="4"/>
  <c r="AM101" i="2"/>
  <c r="AM102" i="4"/>
  <c r="AI102" i="4"/>
  <c r="AG103" i="4"/>
  <c r="AD102" i="17"/>
  <c r="AN102" i="15"/>
  <c r="AD102" i="16"/>
  <c r="AF104" i="4"/>
  <c r="AB100" i="17"/>
  <c r="AB100" i="16"/>
  <c r="AL100" i="15"/>
  <c r="AQ101" i="2"/>
  <c r="AQ102" i="4"/>
  <c r="AE100" i="17"/>
  <c r="AO100" i="15"/>
  <c r="AE100" i="16"/>
  <c r="AB102" i="4"/>
  <c r="AS102" i="4"/>
  <c r="AJ102" i="4"/>
  <c r="AP100" i="15"/>
  <c r="AF100" i="16"/>
  <c r="AF100" i="17"/>
  <c r="AP101" i="2"/>
  <c r="AP102" i="4"/>
  <c r="AL102" i="4"/>
  <c r="U104" i="14"/>
  <c r="O106" i="14"/>
  <c r="B104" i="15"/>
  <c r="I105" i="14"/>
  <c r="L105" i="14"/>
  <c r="F106" i="14"/>
  <c r="X105" i="14"/>
  <c r="AA108" i="14"/>
  <c r="C103" i="14"/>
  <c r="F104" i="11"/>
  <c r="C108" i="11"/>
  <c r="AO103" i="4"/>
  <c r="AO103" i="2" s="1"/>
  <c r="AN103" i="4" l="1"/>
  <c r="AN102" i="2"/>
  <c r="AC101" i="16"/>
  <c r="AM101" i="15"/>
  <c r="AC101" i="17"/>
  <c r="AS103" i="4"/>
  <c r="AE103" i="4"/>
  <c r="AQ102" i="2"/>
  <c r="AQ103" i="4"/>
  <c r="AI103" i="4"/>
  <c r="AP101" i="15"/>
  <c r="AF101" i="16"/>
  <c r="AF101" i="17"/>
  <c r="AM102" i="2"/>
  <c r="AM103" i="4"/>
  <c r="AB103" i="4"/>
  <c r="AF105" i="4"/>
  <c r="AL101" i="15"/>
  <c r="AB101" i="17"/>
  <c r="AB101" i="16"/>
  <c r="AE101" i="17"/>
  <c r="AO101" i="15"/>
  <c r="AE101" i="16"/>
  <c r="AC103" i="4"/>
  <c r="AL103" i="4"/>
  <c r="AD103" i="4"/>
  <c r="AN103" i="15"/>
  <c r="AD103" i="17"/>
  <c r="AD103" i="16"/>
  <c r="AP102" i="2"/>
  <c r="AP103" i="4"/>
  <c r="AJ103" i="4"/>
  <c r="AG104" i="4"/>
  <c r="AH103" i="4"/>
  <c r="U105" i="14"/>
  <c r="O107" i="14"/>
  <c r="B105" i="15"/>
  <c r="I106" i="14"/>
  <c r="L106" i="14"/>
  <c r="F107" i="14"/>
  <c r="AA109" i="14"/>
  <c r="X106" i="14"/>
  <c r="C104" i="14"/>
  <c r="C109" i="11"/>
  <c r="F105" i="11"/>
  <c r="AO104" i="4"/>
  <c r="AO104" i="2" s="1"/>
  <c r="AM102" i="15" l="1"/>
  <c r="AC102" i="17"/>
  <c r="AC102" i="16"/>
  <c r="AN104" i="4"/>
  <c r="AN103" i="2"/>
  <c r="AF106" i="4"/>
  <c r="AM103" i="2"/>
  <c r="AM104" i="4"/>
  <c r="AD104" i="4"/>
  <c r="AB102" i="16"/>
  <c r="AB102" i="17"/>
  <c r="AL102" i="15"/>
  <c r="AQ103" i="2"/>
  <c r="AQ104" i="4"/>
  <c r="AG105" i="4"/>
  <c r="AD104" i="17"/>
  <c r="AN104" i="15"/>
  <c r="AD104" i="16"/>
  <c r="AJ104" i="4"/>
  <c r="AI104" i="4"/>
  <c r="AC104" i="4"/>
  <c r="AH104" i="4"/>
  <c r="AE102" i="17"/>
  <c r="AE102" i="16"/>
  <c r="AO102" i="15"/>
  <c r="AL104" i="4"/>
  <c r="AB104" i="4"/>
  <c r="AP102" i="15"/>
  <c r="AF102" i="16"/>
  <c r="AF102" i="17"/>
  <c r="AS104" i="4"/>
  <c r="AP103" i="2"/>
  <c r="AP104" i="4"/>
  <c r="AE104" i="4"/>
  <c r="U106" i="14"/>
  <c r="O108" i="14"/>
  <c r="B106" i="15"/>
  <c r="I107" i="14"/>
  <c r="L107" i="14"/>
  <c r="F108" i="14"/>
  <c r="X107" i="14"/>
  <c r="AA110" i="14"/>
  <c r="C105" i="14"/>
  <c r="F106" i="11"/>
  <c r="C110" i="11"/>
  <c r="AO105" i="4"/>
  <c r="AO105" i="2" s="1"/>
  <c r="AM103" i="15" l="1"/>
  <c r="AC103" i="17"/>
  <c r="AC103" i="16"/>
  <c r="AN105" i="4"/>
  <c r="AN104" i="2"/>
  <c r="AE105" i="4"/>
  <c r="AP105" i="4"/>
  <c r="AP104" i="2"/>
  <c r="AQ105" i="4"/>
  <c r="AQ104" i="2"/>
  <c r="AD105" i="4"/>
  <c r="AG106" i="4"/>
  <c r="AI105" i="4"/>
  <c r="AP103" i="15"/>
  <c r="AF103" i="16"/>
  <c r="AF103" i="17"/>
  <c r="AM104" i="2"/>
  <c r="AM105" i="4"/>
  <c r="AC105" i="4"/>
  <c r="AS105" i="4"/>
  <c r="AB105" i="4"/>
  <c r="AL103" i="15"/>
  <c r="AB103" i="17"/>
  <c r="AB103" i="16"/>
  <c r="AN105" i="15"/>
  <c r="AD105" i="16"/>
  <c r="AD105" i="17"/>
  <c r="AE103" i="17"/>
  <c r="AO103" i="15"/>
  <c r="AE103" i="16"/>
  <c r="AL105" i="4"/>
  <c r="AH105" i="4"/>
  <c r="AJ105" i="4"/>
  <c r="AF107" i="4"/>
  <c r="U107" i="14"/>
  <c r="O109" i="14"/>
  <c r="B107" i="15"/>
  <c r="I108" i="14"/>
  <c r="L108" i="14"/>
  <c r="F109" i="14"/>
  <c r="AA111" i="14"/>
  <c r="X108" i="14"/>
  <c r="C106" i="14"/>
  <c r="C111" i="11"/>
  <c r="F107" i="11"/>
  <c r="AO106" i="4"/>
  <c r="AO106" i="2" s="1"/>
  <c r="AC104" i="16" l="1"/>
  <c r="AM104" i="15"/>
  <c r="AC104" i="17"/>
  <c r="AN105" i="2"/>
  <c r="AN106" i="4"/>
  <c r="AP105" i="2"/>
  <c r="AP106" i="4"/>
  <c r="AC106" i="4"/>
  <c r="AM106" i="4"/>
  <c r="AM105" i="2"/>
  <c r="AI106" i="4"/>
  <c r="AJ106" i="4"/>
  <c r="AB106" i="4"/>
  <c r="AB104" i="17"/>
  <c r="AB104" i="16"/>
  <c r="AL104" i="15"/>
  <c r="AP104" i="15"/>
  <c r="AF104" i="16"/>
  <c r="AF104" i="17"/>
  <c r="AD106" i="4"/>
  <c r="AN106" i="15"/>
  <c r="AD106" i="16"/>
  <c r="AD106" i="17"/>
  <c r="AF108" i="4"/>
  <c r="AS106" i="4"/>
  <c r="AG107" i="4"/>
  <c r="AQ105" i="2"/>
  <c r="AQ106" i="4"/>
  <c r="AL106" i="4"/>
  <c r="AH106" i="4"/>
  <c r="AE104" i="17"/>
  <c r="AO104" i="15"/>
  <c r="AE104" i="16"/>
  <c r="AE106" i="4"/>
  <c r="U108" i="14"/>
  <c r="O110" i="14"/>
  <c r="B108" i="15"/>
  <c r="I109" i="14"/>
  <c r="L109" i="14"/>
  <c r="F110" i="14"/>
  <c r="X109" i="14"/>
  <c r="AA112" i="14"/>
  <c r="C107" i="14"/>
  <c r="F108" i="11"/>
  <c r="C112" i="11"/>
  <c r="AO107" i="4"/>
  <c r="AO107" i="2" s="1"/>
  <c r="AN106" i="2" l="1"/>
  <c r="AN107" i="4"/>
  <c r="AC105" i="16"/>
  <c r="AM105" i="15"/>
  <c r="AC105" i="17"/>
  <c r="AF109" i="4"/>
  <c r="AB107" i="4"/>
  <c r="AH107" i="4"/>
  <c r="AG108" i="4"/>
  <c r="AE105" i="17"/>
  <c r="AE105" i="16"/>
  <c r="AO105" i="15"/>
  <c r="AL107" i="4"/>
  <c r="AS107" i="4"/>
  <c r="AJ107" i="4"/>
  <c r="AC107" i="4"/>
  <c r="AP105" i="15"/>
  <c r="AF105" i="16"/>
  <c r="AF105" i="17"/>
  <c r="AP106" i="2"/>
  <c r="AP107" i="4"/>
  <c r="AE107" i="4"/>
  <c r="AD107" i="4"/>
  <c r="AB105" i="16"/>
  <c r="AB105" i="17"/>
  <c r="AL105" i="15"/>
  <c r="AM106" i="2"/>
  <c r="AM107" i="4"/>
  <c r="AD107" i="17"/>
  <c r="AD107" i="16"/>
  <c r="AN107" i="15"/>
  <c r="AQ106" i="2"/>
  <c r="AQ107" i="4"/>
  <c r="AI107" i="4"/>
  <c r="U109" i="14"/>
  <c r="O111" i="14"/>
  <c r="B109" i="15"/>
  <c r="I110" i="14"/>
  <c r="L110" i="14"/>
  <c r="F111" i="14"/>
  <c r="AA113" i="14"/>
  <c r="X110" i="14"/>
  <c r="C108" i="14"/>
  <c r="C113" i="11"/>
  <c r="F109" i="11"/>
  <c r="AO108" i="4"/>
  <c r="AO108" i="2" s="1"/>
  <c r="AN107" i="2" l="1"/>
  <c r="AN108" i="4"/>
  <c r="AM106" i="15"/>
  <c r="AC106" i="17"/>
  <c r="AC106" i="16"/>
  <c r="AG109" i="4"/>
  <c r="AP106" i="15"/>
  <c r="AF106" i="16"/>
  <c r="AF106" i="17"/>
  <c r="AE108" i="4"/>
  <c r="AL108" i="4"/>
  <c r="AP108" i="4"/>
  <c r="AP107" i="2"/>
  <c r="AC108" i="4"/>
  <c r="AI108" i="4"/>
  <c r="AD108" i="4"/>
  <c r="AS108" i="4"/>
  <c r="AE106" i="17"/>
  <c r="AE106" i="16"/>
  <c r="AO106" i="15"/>
  <c r="AJ108" i="4"/>
  <c r="AB108" i="4"/>
  <c r="AM107" i="2"/>
  <c r="AM108" i="4"/>
  <c r="AD108" i="17"/>
  <c r="AN108" i="15"/>
  <c r="AD108" i="16"/>
  <c r="AQ108" i="4"/>
  <c r="AQ107" i="2"/>
  <c r="AL106" i="15"/>
  <c r="AB106" i="17"/>
  <c r="AB106" i="16"/>
  <c r="AH108" i="4"/>
  <c r="AF110" i="4"/>
  <c r="U110" i="14"/>
  <c r="O112" i="14"/>
  <c r="B110" i="15"/>
  <c r="I111" i="14"/>
  <c r="L111" i="14"/>
  <c r="F112" i="14"/>
  <c r="X111" i="14"/>
  <c r="AA114" i="14"/>
  <c r="C109" i="14"/>
  <c r="F110" i="11"/>
  <c r="C114" i="11"/>
  <c r="AO109" i="4"/>
  <c r="AO109" i="2" s="1"/>
  <c r="AN108" i="2" l="1"/>
  <c r="AN109" i="4"/>
  <c r="AC107" i="17"/>
  <c r="AM107" i="15"/>
  <c r="AC107" i="16"/>
  <c r="AD109" i="4"/>
  <c r="AP107" i="15"/>
  <c r="AF107" i="16"/>
  <c r="AF107" i="17"/>
  <c r="AB107" i="17"/>
  <c r="AB107" i="16"/>
  <c r="AL107" i="15"/>
  <c r="AN109" i="15"/>
  <c r="AD109" i="17"/>
  <c r="AD109" i="16"/>
  <c r="AM108" i="2"/>
  <c r="AM109" i="4"/>
  <c r="AE109" i="4"/>
  <c r="AQ108" i="2"/>
  <c r="AQ109" i="4"/>
  <c r="AI109" i="4"/>
  <c r="AB109" i="4"/>
  <c r="AS109" i="4"/>
  <c r="AH109" i="4"/>
  <c r="AP108" i="2"/>
  <c r="AP109" i="4"/>
  <c r="AF111" i="4"/>
  <c r="AC109" i="4"/>
  <c r="AL109" i="4"/>
  <c r="AJ109" i="4"/>
  <c r="AE107" i="17"/>
  <c r="AO107" i="15"/>
  <c r="AE107" i="16"/>
  <c r="AG110" i="4"/>
  <c r="U111" i="14"/>
  <c r="O113" i="14"/>
  <c r="B111" i="15"/>
  <c r="I112" i="14"/>
  <c r="L112" i="14"/>
  <c r="F113" i="14"/>
  <c r="X112" i="14"/>
  <c r="AA115" i="14"/>
  <c r="C110" i="14"/>
  <c r="C115" i="11"/>
  <c r="F111" i="11"/>
  <c r="AO110" i="4"/>
  <c r="AO110" i="2" s="1"/>
  <c r="AN110" i="4" l="1"/>
  <c r="AN109" i="2"/>
  <c r="AC108" i="16"/>
  <c r="AC108" i="17"/>
  <c r="AM108" i="15"/>
  <c r="AC110" i="4"/>
  <c r="AS110" i="4"/>
  <c r="AE110" i="4"/>
  <c r="AJ110" i="4"/>
  <c r="AD110" i="17"/>
  <c r="AD110" i="16"/>
  <c r="AN110" i="15"/>
  <c r="AG111" i="4"/>
  <c r="AL110" i="4"/>
  <c r="AH110" i="4"/>
  <c r="AI110" i="4"/>
  <c r="AB108" i="16"/>
  <c r="AL108" i="15"/>
  <c r="AB108" i="17"/>
  <c r="AF112" i="4"/>
  <c r="AP108" i="15"/>
  <c r="AF108" i="16"/>
  <c r="AF108" i="17"/>
  <c r="AP109" i="2"/>
  <c r="AP110" i="4"/>
  <c r="AE108" i="17"/>
  <c r="AE108" i="16"/>
  <c r="AO108" i="15"/>
  <c r="AM109" i="2"/>
  <c r="AM110" i="4"/>
  <c r="AB110" i="4"/>
  <c r="AQ109" i="2"/>
  <c r="AQ110" i="4"/>
  <c r="AD110" i="4"/>
  <c r="U112" i="14"/>
  <c r="O114" i="14"/>
  <c r="B112" i="15"/>
  <c r="I113" i="14"/>
  <c r="L113" i="14"/>
  <c r="F114" i="14"/>
  <c r="X113" i="14"/>
  <c r="AA116" i="14"/>
  <c r="C111" i="14"/>
  <c r="F112" i="11"/>
  <c r="C116" i="11"/>
  <c r="AO111" i="4"/>
  <c r="AO111" i="2" s="1"/>
  <c r="AC109" i="16" l="1"/>
  <c r="AM109" i="15"/>
  <c r="AC109" i="17"/>
  <c r="AN110" i="2"/>
  <c r="AN111" i="4"/>
  <c r="AE109" i="17"/>
  <c r="AE109" i="16"/>
  <c r="AO109" i="15"/>
  <c r="AH111" i="4"/>
  <c r="AP109" i="15"/>
  <c r="AF109" i="16"/>
  <c r="AF109" i="17"/>
  <c r="AM110" i="2"/>
  <c r="AM111" i="4"/>
  <c r="AI111" i="4"/>
  <c r="AG112" i="4"/>
  <c r="AL109" i="15"/>
  <c r="AB109" i="17"/>
  <c r="AB109" i="16"/>
  <c r="AP110" i="2"/>
  <c r="AP111" i="4"/>
  <c r="AF113" i="4"/>
  <c r="AE111" i="4"/>
  <c r="AB111" i="4"/>
  <c r="AS111" i="4"/>
  <c r="AD111" i="4"/>
  <c r="AL111" i="4"/>
  <c r="AN111" i="15"/>
  <c r="AD111" i="17"/>
  <c r="AD111" i="16"/>
  <c r="AQ110" i="2"/>
  <c r="AQ111" i="4"/>
  <c r="AJ111" i="4"/>
  <c r="AC111" i="4"/>
  <c r="U113" i="14"/>
  <c r="O115" i="14"/>
  <c r="B113" i="15"/>
  <c r="I114" i="14"/>
  <c r="L114" i="14"/>
  <c r="F115" i="14"/>
  <c r="X114" i="14"/>
  <c r="AA117" i="14"/>
  <c r="C112" i="14"/>
  <c r="C117" i="11"/>
  <c r="F113" i="11"/>
  <c r="AO112" i="4"/>
  <c r="AO112" i="2" s="1"/>
  <c r="AN111" i="2" l="1"/>
  <c r="AN112" i="4"/>
  <c r="AM110" i="15"/>
  <c r="AC110" i="17"/>
  <c r="AC110" i="16"/>
  <c r="AP110" i="15"/>
  <c r="AF110" i="16"/>
  <c r="AF110" i="17"/>
  <c r="AN112" i="15"/>
  <c r="AD112" i="16"/>
  <c r="AD112" i="17"/>
  <c r="AJ112" i="4"/>
  <c r="AL112" i="4"/>
  <c r="AE110" i="17"/>
  <c r="AO110" i="15"/>
  <c r="AE110" i="16"/>
  <c r="AQ112" i="4"/>
  <c r="AQ111" i="2"/>
  <c r="AB112" i="4"/>
  <c r="AI112" i="4"/>
  <c r="AE112" i="4"/>
  <c r="AM111" i="2"/>
  <c r="AM112" i="4"/>
  <c r="AH112" i="4"/>
  <c r="AD112" i="4"/>
  <c r="AB110" i="16"/>
  <c r="AL110" i="15"/>
  <c r="AB110" i="17"/>
  <c r="AC112" i="4"/>
  <c r="AS112" i="4"/>
  <c r="AF114" i="4"/>
  <c r="AP112" i="4"/>
  <c r="AP111" i="2"/>
  <c r="AG113" i="4"/>
  <c r="U114" i="14"/>
  <c r="O116" i="14"/>
  <c r="B114" i="15"/>
  <c r="I115" i="14"/>
  <c r="L115" i="14"/>
  <c r="F116" i="14"/>
  <c r="AA118" i="14"/>
  <c r="X115" i="14"/>
  <c r="C113" i="14"/>
  <c r="F114" i="11"/>
  <c r="C118" i="11"/>
  <c r="AO113" i="4"/>
  <c r="AO113" i="2" s="1"/>
  <c r="AN113" i="4" l="1"/>
  <c r="AN112" i="2"/>
  <c r="AC111" i="17"/>
  <c r="AM111" i="15"/>
  <c r="AC111" i="16"/>
  <c r="AF115" i="4"/>
  <c r="AM113" i="4"/>
  <c r="AM112" i="2"/>
  <c r="AQ112" i="2"/>
  <c r="AQ113" i="4"/>
  <c r="AL113" i="4"/>
  <c r="AP111" i="15"/>
  <c r="AF111" i="16"/>
  <c r="AF111" i="17"/>
  <c r="AB111" i="16"/>
  <c r="AL111" i="15"/>
  <c r="AB111" i="17"/>
  <c r="AB113" i="4"/>
  <c r="AG114" i="4"/>
  <c r="AD113" i="4"/>
  <c r="AE113" i="4"/>
  <c r="AP112" i="2"/>
  <c r="AP113" i="4"/>
  <c r="AH113" i="4"/>
  <c r="AI113" i="4"/>
  <c r="AD113" i="17"/>
  <c r="AD113" i="16"/>
  <c r="AN113" i="15"/>
  <c r="AS113" i="4"/>
  <c r="AE111" i="17"/>
  <c r="AE111" i="16"/>
  <c r="AO111" i="15"/>
  <c r="AC113" i="4"/>
  <c r="AJ113" i="4"/>
  <c r="U115" i="14"/>
  <c r="O117" i="14"/>
  <c r="B115" i="15"/>
  <c r="I116" i="14"/>
  <c r="L116" i="14"/>
  <c r="F117" i="14"/>
  <c r="X116" i="14"/>
  <c r="AA119" i="14"/>
  <c r="C114" i="14"/>
  <c r="F115" i="11"/>
  <c r="C119" i="11"/>
  <c r="AO114" i="4"/>
  <c r="AO114" i="2" s="1"/>
  <c r="AC112" i="17" l="1"/>
  <c r="AC112" i="16"/>
  <c r="AM112" i="15"/>
  <c r="AN113" i="2"/>
  <c r="AN114" i="4"/>
  <c r="AP112" i="15"/>
  <c r="AF112" i="16"/>
  <c r="AF112" i="17"/>
  <c r="AE114" i="4"/>
  <c r="AD114" i="17"/>
  <c r="AN114" i="15"/>
  <c r="AD114" i="16"/>
  <c r="AC114" i="4"/>
  <c r="AI114" i="4"/>
  <c r="AB114" i="4"/>
  <c r="AQ113" i="2"/>
  <c r="AQ114" i="4"/>
  <c r="AD114" i="4"/>
  <c r="AB112" i="17"/>
  <c r="AB112" i="16"/>
  <c r="AL112" i="15"/>
  <c r="AP113" i="2"/>
  <c r="AP114" i="4"/>
  <c r="AJ114" i="4"/>
  <c r="AS114" i="4"/>
  <c r="AE112" i="17"/>
  <c r="AO112" i="15"/>
  <c r="AE112" i="16"/>
  <c r="AG115" i="4"/>
  <c r="AH114" i="4"/>
  <c r="AM113" i="2"/>
  <c r="AM114" i="4"/>
  <c r="AL114" i="4"/>
  <c r="AF116" i="4"/>
  <c r="U116" i="14"/>
  <c r="O118" i="14"/>
  <c r="B116" i="15"/>
  <c r="I117" i="14"/>
  <c r="L117" i="14"/>
  <c r="F118" i="14"/>
  <c r="AA120" i="14"/>
  <c r="X117" i="14"/>
  <c r="C115" i="14"/>
  <c r="C120" i="11"/>
  <c r="F116" i="11"/>
  <c r="AO115" i="4"/>
  <c r="AO115" i="2" s="1"/>
  <c r="AN114" i="2" l="1"/>
  <c r="AN115" i="4"/>
  <c r="AC113" i="17"/>
  <c r="AM113" i="15"/>
  <c r="AC113" i="16"/>
  <c r="AN115" i="15"/>
  <c r="AD115" i="17"/>
  <c r="AD115" i="16"/>
  <c r="AG116" i="4"/>
  <c r="AE113" i="17"/>
  <c r="AO113" i="15"/>
  <c r="AE113" i="16"/>
  <c r="AH115" i="4"/>
  <c r="AS115" i="4"/>
  <c r="AD115" i="4"/>
  <c r="AI115" i="4"/>
  <c r="AP113" i="15"/>
  <c r="AF113" i="16"/>
  <c r="AF113" i="17"/>
  <c r="AC115" i="4"/>
  <c r="AF117" i="4"/>
  <c r="AM114" i="2"/>
  <c r="AM115" i="4"/>
  <c r="AJ115" i="4"/>
  <c r="AQ115" i="4"/>
  <c r="AQ114" i="2"/>
  <c r="AE115" i="4"/>
  <c r="AL115" i="4"/>
  <c r="AL113" i="15"/>
  <c r="AB113" i="17"/>
  <c r="AB113" i="16"/>
  <c r="AP114" i="2"/>
  <c r="AP115" i="4"/>
  <c r="AB115" i="4"/>
  <c r="U117" i="14"/>
  <c r="O119" i="14"/>
  <c r="B117" i="15"/>
  <c r="I118" i="14"/>
  <c r="L118" i="14"/>
  <c r="F119" i="14"/>
  <c r="AA121" i="14"/>
  <c r="X118" i="14"/>
  <c r="C116" i="14"/>
  <c r="F117" i="11"/>
  <c r="C121" i="11"/>
  <c r="AO116" i="4"/>
  <c r="AO116" i="2" s="1"/>
  <c r="AN115" i="2" l="1"/>
  <c r="AN116" i="4"/>
  <c r="AM114" i="15"/>
  <c r="AC114" i="16"/>
  <c r="AC114" i="17"/>
  <c r="AF118" i="4"/>
  <c r="AE116" i="4"/>
  <c r="AE114" i="17"/>
  <c r="AE114" i="16"/>
  <c r="AO114" i="15"/>
  <c r="AF114" i="16"/>
  <c r="AP114" i="15"/>
  <c r="AF114" i="17"/>
  <c r="AC116" i="4"/>
  <c r="AD116" i="4"/>
  <c r="AJ116" i="4"/>
  <c r="AQ115" i="2"/>
  <c r="AQ116" i="4"/>
  <c r="AM115" i="2"/>
  <c r="AM116" i="4"/>
  <c r="AS116" i="4"/>
  <c r="AB116" i="4"/>
  <c r="AB114" i="17"/>
  <c r="AB114" i="16"/>
  <c r="AL114" i="15"/>
  <c r="AI116" i="4"/>
  <c r="AD116" i="17"/>
  <c r="AN116" i="15"/>
  <c r="AD116" i="16"/>
  <c r="AH116" i="4"/>
  <c r="AL116" i="4"/>
  <c r="AP116" i="4"/>
  <c r="AP115" i="2"/>
  <c r="AG117" i="4"/>
  <c r="U118" i="14"/>
  <c r="O120" i="14"/>
  <c r="B118" i="15"/>
  <c r="I119" i="14"/>
  <c r="L119" i="14"/>
  <c r="F120" i="14"/>
  <c r="X119" i="14"/>
  <c r="AA122" i="14"/>
  <c r="C117" i="14"/>
  <c r="F118" i="11"/>
  <c r="C122" i="11"/>
  <c r="AO117" i="4"/>
  <c r="AO117" i="2" s="1"/>
  <c r="AN116" i="2" l="1"/>
  <c r="AN117" i="4"/>
  <c r="AC115" i="17"/>
  <c r="AM115" i="15"/>
  <c r="AC115" i="16"/>
  <c r="AQ116" i="2"/>
  <c r="AQ117" i="4"/>
  <c r="AB115" i="16"/>
  <c r="AL115" i="15"/>
  <c r="AB115" i="17"/>
  <c r="AN117" i="15"/>
  <c r="AD117" i="16"/>
  <c r="AD117" i="17"/>
  <c r="AD117" i="4"/>
  <c r="AH117" i="4"/>
  <c r="AE115" i="17"/>
  <c r="AE115" i="16"/>
  <c r="AO115" i="15"/>
  <c r="AB117" i="4"/>
  <c r="AP115" i="15"/>
  <c r="AF115" i="16"/>
  <c r="AF115" i="17"/>
  <c r="AP116" i="2"/>
  <c r="AP117" i="4"/>
  <c r="AI117" i="4"/>
  <c r="AS117" i="4"/>
  <c r="AE117" i="4"/>
  <c r="AG118" i="4"/>
  <c r="AL117" i="4"/>
  <c r="AJ117" i="4"/>
  <c r="AM117" i="4"/>
  <c r="AM116" i="2"/>
  <c r="AC117" i="4"/>
  <c r="AF119" i="4"/>
  <c r="U119" i="14"/>
  <c r="O121" i="14"/>
  <c r="B119" i="15"/>
  <c r="I120" i="14"/>
  <c r="L120" i="14"/>
  <c r="F121" i="14"/>
  <c r="X120" i="14"/>
  <c r="C118" i="14"/>
  <c r="F119" i="11"/>
  <c r="AO118" i="4"/>
  <c r="AO118" i="2" s="1"/>
  <c r="AN117" i="2" l="1"/>
  <c r="AN118" i="4"/>
  <c r="AC116" i="16"/>
  <c r="AC116" i="17"/>
  <c r="AM116" i="15"/>
  <c r="AN118" i="15"/>
  <c r="AD118" i="16"/>
  <c r="AD118" i="17"/>
  <c r="AB116" i="16"/>
  <c r="AL116" i="15"/>
  <c r="AB116" i="17"/>
  <c r="AJ118" i="4"/>
  <c r="AS118" i="4"/>
  <c r="AM117" i="2"/>
  <c r="AM118" i="4"/>
  <c r="AG119" i="4"/>
  <c r="AI118" i="4"/>
  <c r="AH118" i="4"/>
  <c r="AP117" i="2"/>
  <c r="AP118" i="4"/>
  <c r="AB118" i="4"/>
  <c r="AC118" i="4"/>
  <c r="AL118" i="4"/>
  <c r="AF120" i="4"/>
  <c r="AE118" i="4"/>
  <c r="AE116" i="17"/>
  <c r="AO116" i="15"/>
  <c r="AE116" i="16"/>
  <c r="AD118" i="4"/>
  <c r="AQ117" i="2"/>
  <c r="AQ118" i="4"/>
  <c r="AP116" i="15"/>
  <c r="AF116" i="16"/>
  <c r="AF116" i="17"/>
  <c r="U120" i="14"/>
  <c r="O122" i="14"/>
  <c r="B120" i="15"/>
  <c r="I121" i="14"/>
  <c r="L121" i="14"/>
  <c r="F122" i="14"/>
  <c r="X121" i="14"/>
  <c r="C119" i="14"/>
  <c r="F120" i="11"/>
  <c r="AO119" i="4"/>
  <c r="AO119" i="2" s="1"/>
  <c r="AN118" i="2" l="1"/>
  <c r="AN119" i="4"/>
  <c r="AC117" i="17"/>
  <c r="AM117" i="15"/>
  <c r="AC117" i="16"/>
  <c r="AM118" i="2"/>
  <c r="AM119" i="4"/>
  <c r="AQ118" i="2"/>
  <c r="AQ119" i="4"/>
  <c r="AE117" i="17"/>
  <c r="AE117" i="16"/>
  <c r="AO117" i="15"/>
  <c r="AI119" i="4"/>
  <c r="AP117" i="15"/>
  <c r="AF117" i="16"/>
  <c r="AF117" i="17"/>
  <c r="AE119" i="4"/>
  <c r="AC119" i="4"/>
  <c r="AG120" i="4"/>
  <c r="AS119" i="4"/>
  <c r="AD119" i="17"/>
  <c r="AD119" i="16"/>
  <c r="AN119" i="15"/>
  <c r="AD119" i="4"/>
  <c r="AF121" i="4"/>
  <c r="AB119" i="4"/>
  <c r="AH119" i="4"/>
  <c r="AB117" i="17"/>
  <c r="AB117" i="16"/>
  <c r="AL117" i="15"/>
  <c r="AL119" i="4"/>
  <c r="AP119" i="4"/>
  <c r="AP118" i="2"/>
  <c r="AJ119" i="4"/>
  <c r="U121" i="14"/>
  <c r="B121" i="15"/>
  <c r="I122" i="14"/>
  <c r="L122" i="14"/>
  <c r="X122" i="14"/>
  <c r="C120" i="14"/>
  <c r="F121" i="11"/>
  <c r="AO120" i="4"/>
  <c r="AO120" i="2" s="1"/>
  <c r="AN119" i="2" l="1"/>
  <c r="AN120" i="4"/>
  <c r="AM118" i="15"/>
  <c r="AC118" i="16"/>
  <c r="AC118" i="17"/>
  <c r="AD120" i="17"/>
  <c r="AN120" i="15"/>
  <c r="AD120" i="16"/>
  <c r="AL120" i="4"/>
  <c r="AH120" i="4"/>
  <c r="AD120" i="4"/>
  <c r="AC120" i="4"/>
  <c r="AP119" i="2"/>
  <c r="AP120" i="4"/>
  <c r="AG121" i="4"/>
  <c r="AJ120" i="4"/>
  <c r="AI120" i="4"/>
  <c r="AB120" i="4"/>
  <c r="AE120" i="4"/>
  <c r="AE118" i="17"/>
  <c r="AE118" i="16"/>
  <c r="AO118" i="15"/>
  <c r="AF122" i="4"/>
  <c r="AS120" i="4"/>
  <c r="AQ119" i="2"/>
  <c r="AQ120" i="4"/>
  <c r="AM120" i="4"/>
  <c r="AM119" i="2"/>
  <c r="AP118" i="15"/>
  <c r="AF118" i="16"/>
  <c r="AF118" i="17"/>
  <c r="AB118" i="16"/>
  <c r="AL118" i="15"/>
  <c r="AB118" i="17"/>
  <c r="U122" i="14"/>
  <c r="B122" i="15"/>
  <c r="C121" i="14"/>
  <c r="F122" i="11"/>
  <c r="AO121" i="4"/>
  <c r="AO121" i="2" s="1"/>
  <c r="AN121" i="4" l="1"/>
  <c r="AN120" i="2"/>
  <c r="AC119" i="17"/>
  <c r="AC119" i="16"/>
  <c r="AM119" i="15"/>
  <c r="AL119" i="15"/>
  <c r="AB119" i="17"/>
  <c r="AB119" i="16"/>
  <c r="AJ121" i="4"/>
  <c r="AM120" i="2"/>
  <c r="AM121" i="4"/>
  <c r="AH121" i="4"/>
  <c r="AQ120" i="2"/>
  <c r="AQ121" i="4"/>
  <c r="AI121" i="4"/>
  <c r="AG122" i="4"/>
  <c r="AL121" i="4"/>
  <c r="AP120" i="2"/>
  <c r="AP121" i="4"/>
  <c r="AS121" i="4"/>
  <c r="AE119" i="17"/>
  <c r="AO119" i="15"/>
  <c r="AE119" i="16"/>
  <c r="AN121" i="15"/>
  <c r="AD121" i="17"/>
  <c r="AD121" i="16"/>
  <c r="AD121" i="4"/>
  <c r="AB121" i="4"/>
  <c r="AP119" i="15"/>
  <c r="AF119" i="16"/>
  <c r="AF119" i="17"/>
  <c r="AC121" i="4"/>
  <c r="AE121" i="4"/>
  <c r="C122" i="14"/>
  <c r="AO122" i="4"/>
  <c r="AO122" i="2" s="1"/>
  <c r="AC120" i="16" l="1"/>
  <c r="AC120" i="17"/>
  <c r="AM120" i="15"/>
  <c r="AN122" i="4"/>
  <c r="AN122" i="2" s="1"/>
  <c r="AN121" i="2"/>
  <c r="AQ121" i="2"/>
  <c r="AQ122" i="4"/>
  <c r="AQ122" i="2" s="1"/>
  <c r="AD122" i="4"/>
  <c r="AP121" i="2"/>
  <c r="AP122" i="4"/>
  <c r="AP122" i="2" s="1"/>
  <c r="AP120" i="15"/>
  <c r="AF120" i="16"/>
  <c r="AF120" i="17"/>
  <c r="AJ122" i="4"/>
  <c r="AI122" i="4"/>
  <c r="AB120" i="17"/>
  <c r="AB120" i="16"/>
  <c r="AL120" i="15"/>
  <c r="AE122" i="4"/>
  <c r="AD122" i="17"/>
  <c r="AD122" i="16"/>
  <c r="AN122" i="15"/>
  <c r="AE120" i="17"/>
  <c r="AE120" i="16"/>
  <c r="AO120" i="15"/>
  <c r="AC122" i="4"/>
  <c r="AH122" i="4"/>
  <c r="AB122" i="4"/>
  <c r="AS122" i="4"/>
  <c r="AL122" i="4"/>
  <c r="AM121" i="2"/>
  <c r="AM122" i="4"/>
  <c r="AM122" i="2" s="1"/>
  <c r="C4" i="4"/>
  <c r="D4" i="4"/>
  <c r="E4" i="4"/>
  <c r="F4" i="4"/>
  <c r="G4" i="4"/>
  <c r="H4" i="4"/>
  <c r="I4" i="4"/>
  <c r="J4" i="4"/>
  <c r="K4" i="4"/>
  <c r="O4" i="4"/>
  <c r="AC121" i="17" l="1"/>
  <c r="AC121" i="16"/>
  <c r="AM121" i="15"/>
  <c r="AC122" i="16"/>
  <c r="AC122" i="17"/>
  <c r="AM122" i="15"/>
  <c r="O5" i="4"/>
  <c r="E5" i="4"/>
  <c r="J5" i="4"/>
  <c r="AB122" i="17"/>
  <c r="AL122" i="15"/>
  <c r="AB122" i="16"/>
  <c r="AE122" i="17"/>
  <c r="AO122" i="15"/>
  <c r="AE122" i="16"/>
  <c r="F5" i="4"/>
  <c r="K5" i="4"/>
  <c r="D5" i="4"/>
  <c r="I5" i="4"/>
  <c r="C5" i="4"/>
  <c r="AB121" i="16"/>
  <c r="AL121" i="15"/>
  <c r="AB121" i="17"/>
  <c r="AE121" i="17"/>
  <c r="AO121" i="15"/>
  <c r="AE121" i="16"/>
  <c r="H5" i="4"/>
  <c r="G5" i="4"/>
  <c r="AP122" i="15"/>
  <c r="AF122" i="16"/>
  <c r="AF122" i="17"/>
  <c r="AP121" i="15"/>
  <c r="AF121" i="16"/>
  <c r="AF121" i="17"/>
  <c r="C4" i="2"/>
  <c r="B5" i="2"/>
  <c r="J6" i="4" l="1"/>
  <c r="G6" i="4"/>
  <c r="D6" i="4"/>
  <c r="K6" i="4"/>
  <c r="H6" i="4"/>
  <c r="C6" i="4"/>
  <c r="I6" i="4"/>
  <c r="F6" i="4"/>
  <c r="O6" i="4"/>
  <c r="E6" i="4"/>
  <c r="C5" i="2"/>
  <c r="N3" i="2"/>
  <c r="K3" i="2"/>
  <c r="L3" i="2"/>
  <c r="J3" i="2"/>
  <c r="M3" i="2"/>
  <c r="I3" i="2"/>
  <c r="E3" i="2"/>
  <c r="F3" i="2"/>
  <c r="G3" i="2"/>
  <c r="H3" i="2"/>
  <c r="D4" i="2"/>
  <c r="B6" i="2"/>
  <c r="B4" i="17" l="1"/>
  <c r="B4" i="16"/>
  <c r="B4" i="11"/>
  <c r="C4" i="15"/>
  <c r="AK4" i="2"/>
  <c r="AJ4" i="15" s="1"/>
  <c r="AF4" i="2"/>
  <c r="AE4" i="15" s="1"/>
  <c r="AG4" i="2"/>
  <c r="AF4" i="15" s="1"/>
  <c r="AH4" i="2"/>
  <c r="AG4" i="15" s="1"/>
  <c r="AJ4" i="2"/>
  <c r="AI4" i="15" s="1"/>
  <c r="AL4" i="2"/>
  <c r="AR4" i="2"/>
  <c r="AC4" i="2"/>
  <c r="AB4" i="15" s="1"/>
  <c r="AE4" i="2"/>
  <c r="AD4" i="15" s="1"/>
  <c r="AI4" i="2"/>
  <c r="AH4" i="15" s="1"/>
  <c r="AD4" i="2"/>
  <c r="AC4" i="15" s="1"/>
  <c r="J4" i="2"/>
  <c r="L4" i="2"/>
  <c r="M4" i="2"/>
  <c r="G4" i="2"/>
  <c r="K4" i="2"/>
  <c r="Q4" i="2"/>
  <c r="I4" i="2"/>
  <c r="H4" i="2"/>
  <c r="N4" i="2"/>
  <c r="F4" i="2"/>
  <c r="C7" i="4"/>
  <c r="E7" i="4"/>
  <c r="I7" i="4"/>
  <c r="O7" i="4"/>
  <c r="G7" i="4"/>
  <c r="H7" i="4"/>
  <c r="K7" i="4"/>
  <c r="D7" i="4"/>
  <c r="F7" i="4"/>
  <c r="J7" i="4"/>
  <c r="F3" i="17"/>
  <c r="G3" i="15"/>
  <c r="F3" i="16"/>
  <c r="E3" i="17"/>
  <c r="E3" i="16"/>
  <c r="F3" i="15"/>
  <c r="D3" i="17"/>
  <c r="D3" i="16"/>
  <c r="E3" i="15"/>
  <c r="I3" i="17"/>
  <c r="I3" i="16"/>
  <c r="J3" i="15"/>
  <c r="H3" i="17"/>
  <c r="H3" i="16"/>
  <c r="I3" i="15"/>
  <c r="C3" i="17"/>
  <c r="C3" i="16"/>
  <c r="D3" i="15"/>
  <c r="L3" i="17"/>
  <c r="M3" i="15"/>
  <c r="L3" i="16"/>
  <c r="K3" i="17"/>
  <c r="K3" i="16"/>
  <c r="L3" i="15"/>
  <c r="J3" i="17"/>
  <c r="J3" i="16"/>
  <c r="K3" i="15"/>
  <c r="G3" i="17"/>
  <c r="G3" i="16"/>
  <c r="H3" i="15"/>
  <c r="AT3" i="2"/>
  <c r="D5" i="2"/>
  <c r="D6" i="2"/>
  <c r="B7" i="2"/>
  <c r="C6" i="2"/>
  <c r="Q6" i="2" l="1"/>
  <c r="N6" i="2"/>
  <c r="M6" i="15" s="1"/>
  <c r="F6" i="2"/>
  <c r="D6" i="16" s="1"/>
  <c r="M4" i="15"/>
  <c r="L4" i="16"/>
  <c r="L4" i="17"/>
  <c r="K4" i="16"/>
  <c r="K4" i="17"/>
  <c r="L4" i="15"/>
  <c r="J6" i="2"/>
  <c r="I6" i="15" s="1"/>
  <c r="F4" i="16"/>
  <c r="F4" i="17"/>
  <c r="G4" i="15"/>
  <c r="J4" i="17"/>
  <c r="J4" i="16"/>
  <c r="K4" i="15"/>
  <c r="AG4" i="16"/>
  <c r="AG4" i="17"/>
  <c r="AQ4" i="15"/>
  <c r="K6" i="2"/>
  <c r="I6" i="16" s="1"/>
  <c r="H6" i="2"/>
  <c r="G6" i="15" s="1"/>
  <c r="H4" i="15"/>
  <c r="G4" i="17"/>
  <c r="G4" i="16"/>
  <c r="H4" i="17"/>
  <c r="H4" i="16"/>
  <c r="I4" i="15"/>
  <c r="AA4" i="16"/>
  <c r="AA4" i="17"/>
  <c r="AK4" i="15"/>
  <c r="O4" i="16"/>
  <c r="O4" i="17"/>
  <c r="P4" i="15"/>
  <c r="G4" i="11"/>
  <c r="D4" i="11"/>
  <c r="Z4" i="14"/>
  <c r="AB4" i="14" s="1"/>
  <c r="B6" i="17"/>
  <c r="B6" i="16"/>
  <c r="B6" i="11"/>
  <c r="AG6" i="2"/>
  <c r="AF6" i="15" s="1"/>
  <c r="C6" i="15"/>
  <c r="AH6" i="2"/>
  <c r="AG6" i="15" s="1"/>
  <c r="AE6" i="2"/>
  <c r="AD6" i="15" s="1"/>
  <c r="AJ6" i="2"/>
  <c r="AI6" i="15" s="1"/>
  <c r="AK6" i="2"/>
  <c r="AJ6" i="15" s="1"/>
  <c r="AC6" i="2"/>
  <c r="AB6" i="15" s="1"/>
  <c r="AI6" i="2"/>
  <c r="AH6" i="15" s="1"/>
  <c r="AR6" i="2"/>
  <c r="AF6" i="2"/>
  <c r="AE6" i="15" s="1"/>
  <c r="AL6" i="2"/>
  <c r="AD6" i="2"/>
  <c r="AC6" i="15" s="1"/>
  <c r="M6" i="2"/>
  <c r="K6" i="16" s="1"/>
  <c r="G6" i="2"/>
  <c r="F6" i="15" s="1"/>
  <c r="I4" i="16"/>
  <c r="J4" i="15"/>
  <c r="I4" i="17"/>
  <c r="B5" i="17"/>
  <c r="B5" i="11"/>
  <c r="B5" i="16"/>
  <c r="C5" i="15"/>
  <c r="AH5" i="2"/>
  <c r="AG5" i="15" s="1"/>
  <c r="AG5" i="2"/>
  <c r="AF5" i="15" s="1"/>
  <c r="AD5" i="2"/>
  <c r="AC5" i="15" s="1"/>
  <c r="AE5" i="2"/>
  <c r="AD5" i="15" s="1"/>
  <c r="AI5" i="2"/>
  <c r="AH5" i="15" s="1"/>
  <c r="AK5" i="2"/>
  <c r="AJ5" i="15" s="1"/>
  <c r="AJ5" i="2"/>
  <c r="AI5" i="15" s="1"/>
  <c r="AR5" i="2"/>
  <c r="AL5" i="2"/>
  <c r="AF5" i="2"/>
  <c r="AE5" i="15" s="1"/>
  <c r="AC5" i="2"/>
  <c r="AB5" i="15" s="1"/>
  <c r="N5" i="2"/>
  <c r="I5" i="2"/>
  <c r="M5" i="2"/>
  <c r="F5" i="2"/>
  <c r="G5" i="2"/>
  <c r="Q5" i="2"/>
  <c r="J5" i="2"/>
  <c r="L5" i="2"/>
  <c r="H5" i="2"/>
  <c r="K5" i="2"/>
  <c r="I6" i="2"/>
  <c r="G6" i="17" s="1"/>
  <c r="L6" i="2"/>
  <c r="K6" i="15" s="1"/>
  <c r="D4" i="16"/>
  <c r="D4" i="17"/>
  <c r="E4" i="15"/>
  <c r="E4" i="16"/>
  <c r="E4" i="17"/>
  <c r="F4" i="15"/>
  <c r="I8" i="4"/>
  <c r="L6" i="16"/>
  <c r="G8" i="4"/>
  <c r="E8" i="4"/>
  <c r="C8" i="4"/>
  <c r="F8" i="4"/>
  <c r="F9" i="4" s="1"/>
  <c r="F10" i="4" s="1"/>
  <c r="F11" i="4" s="1"/>
  <c r="F12" i="4" s="1"/>
  <c r="K8" i="4"/>
  <c r="D6" i="17"/>
  <c r="J8" i="4"/>
  <c r="H8" i="4"/>
  <c r="O6" i="16"/>
  <c r="O6" i="17"/>
  <c r="P6" i="15"/>
  <c r="O8" i="4"/>
  <c r="D8" i="4"/>
  <c r="C7" i="2"/>
  <c r="D7" i="2"/>
  <c r="B8" i="2"/>
  <c r="C5" i="13"/>
  <c r="C6" i="13" s="1"/>
  <c r="C7" i="13" s="1"/>
  <c r="C8" i="13" s="1"/>
  <c r="C9" i="13" s="1"/>
  <c r="C10" i="13" s="1"/>
  <c r="C11" i="13" s="1"/>
  <c r="C13" i="13" s="1"/>
  <c r="C14" i="13" s="1"/>
  <c r="C15" i="13" s="1"/>
  <c r="C16" i="13" s="1"/>
  <c r="C17" i="13" s="1"/>
  <c r="C18" i="13" s="1"/>
  <c r="C19" i="13" s="1"/>
  <c r="C20" i="13" s="1"/>
  <c r="C21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C35" i="13" s="1"/>
  <c r="C36" i="13" s="1"/>
  <c r="C37" i="13" s="1"/>
  <c r="C38" i="13" s="1"/>
  <c r="C39" i="13" s="1"/>
  <c r="C40" i="13" s="1"/>
  <c r="C41" i="13" s="1"/>
  <c r="C42" i="13" s="1"/>
  <c r="C43" i="13" s="1"/>
  <c r="C44" i="13" s="1"/>
  <c r="C45" i="13" s="1"/>
  <c r="C46" i="13" s="1"/>
  <c r="C47" i="13" s="1"/>
  <c r="C48" i="13" s="1"/>
  <c r="C49" i="13" s="1"/>
  <c r="C50" i="13" s="1"/>
  <c r="C51" i="13" s="1"/>
  <c r="C52" i="13" s="1"/>
  <c r="C53" i="13" s="1"/>
  <c r="C54" i="13" s="1"/>
  <c r="C55" i="13" s="1"/>
  <c r="C56" i="13" s="1"/>
  <c r="C57" i="13" s="1"/>
  <c r="C58" i="13" s="1"/>
  <c r="C59" i="13" s="1"/>
  <c r="C60" i="13" s="1"/>
  <c r="C61" i="13" s="1"/>
  <c r="C62" i="13" s="1"/>
  <c r="C63" i="13" s="1"/>
  <c r="C64" i="13" s="1"/>
  <c r="C65" i="13" s="1"/>
  <c r="C66" i="13" s="1"/>
  <c r="C67" i="13" s="1"/>
  <c r="C68" i="13" s="1"/>
  <c r="C69" i="13" s="1"/>
  <c r="C70" i="13" s="1"/>
  <c r="C71" i="13" s="1"/>
  <c r="C72" i="13" s="1"/>
  <c r="C73" i="13" s="1"/>
  <c r="C74" i="13" s="1"/>
  <c r="C75" i="13" s="1"/>
  <c r="C76" i="13" s="1"/>
  <c r="C77" i="13" s="1"/>
  <c r="C78" i="13" s="1"/>
  <c r="C79" i="13" s="1"/>
  <c r="C80" i="13" s="1"/>
  <c r="C81" i="13" s="1"/>
  <c r="C82" i="13" s="1"/>
  <c r="C83" i="13" s="1"/>
  <c r="C84" i="13" s="1"/>
  <c r="C85" i="13" s="1"/>
  <c r="C86" i="13" s="1"/>
  <c r="C87" i="13" s="1"/>
  <c r="C88" i="13" s="1"/>
  <c r="C89" i="13" s="1"/>
  <c r="C90" i="13" s="1"/>
  <c r="C91" i="13" s="1"/>
  <c r="C92" i="13" s="1"/>
  <c r="C93" i="13" s="1"/>
  <c r="C94" i="13" s="1"/>
  <c r="C95" i="13" s="1"/>
  <c r="C96" i="13" s="1"/>
  <c r="C97" i="13" s="1"/>
  <c r="C98" i="13" s="1"/>
  <c r="C99" i="13" s="1"/>
  <c r="C100" i="13" s="1"/>
  <c r="C101" i="13" s="1"/>
  <c r="C102" i="13" s="1"/>
  <c r="C103" i="13" s="1"/>
  <c r="C104" i="13" s="1"/>
  <c r="C105" i="13" s="1"/>
  <c r="C106" i="13" s="1"/>
  <c r="C107" i="13" s="1"/>
  <c r="C108" i="13" s="1"/>
  <c r="C109" i="13" s="1"/>
  <c r="C110" i="13" s="1"/>
  <c r="C111" i="13" s="1"/>
  <c r="C112" i="13" s="1"/>
  <c r="C113" i="13" s="1"/>
  <c r="C114" i="13" s="1"/>
  <c r="C115" i="13" s="1"/>
  <c r="C116" i="13" s="1"/>
  <c r="C117" i="13" s="1"/>
  <c r="C118" i="13" s="1"/>
  <c r="C119" i="13" s="1"/>
  <c r="C120" i="13" s="1"/>
  <c r="C121" i="13" s="1"/>
  <c r="C122" i="13" s="1"/>
  <c r="H6" i="17" l="1"/>
  <c r="K6" i="17"/>
  <c r="G7" i="2"/>
  <c r="E7" i="16" s="1"/>
  <c r="F6" i="16"/>
  <c r="F6" i="17"/>
  <c r="E6" i="15"/>
  <c r="L6" i="15"/>
  <c r="L6" i="17"/>
  <c r="H6" i="16"/>
  <c r="D8" i="2"/>
  <c r="AG8" i="2" s="1"/>
  <c r="AF8" i="15" s="1"/>
  <c r="L7" i="2"/>
  <c r="K7" i="15" s="1"/>
  <c r="K7" i="2"/>
  <c r="I7" i="17" s="1"/>
  <c r="I7" i="2"/>
  <c r="G7" i="17" s="1"/>
  <c r="J6" i="15"/>
  <c r="I6" i="17"/>
  <c r="E6" i="16"/>
  <c r="G6" i="16"/>
  <c r="H6" i="15"/>
  <c r="F7" i="2"/>
  <c r="E7" i="15" s="1"/>
  <c r="M7" i="2"/>
  <c r="L7" i="15" s="1"/>
  <c r="J7" i="2"/>
  <c r="H7" i="17" s="1"/>
  <c r="E6" i="17"/>
  <c r="J6" i="16"/>
  <c r="J6" i="17"/>
  <c r="J5" i="17"/>
  <c r="K5" i="15"/>
  <c r="J5" i="16"/>
  <c r="G5" i="16"/>
  <c r="G5" i="17"/>
  <c r="H5" i="15"/>
  <c r="H5" i="16"/>
  <c r="H5" i="17"/>
  <c r="I5" i="15"/>
  <c r="L5" i="16"/>
  <c r="M5" i="15"/>
  <c r="L5" i="17"/>
  <c r="AG6" i="17"/>
  <c r="AG6" i="16"/>
  <c r="AQ6" i="15"/>
  <c r="O5" i="17"/>
  <c r="P5" i="15"/>
  <c r="O5" i="16"/>
  <c r="F5" i="15"/>
  <c r="E5" i="17"/>
  <c r="E5" i="16"/>
  <c r="D5" i="11"/>
  <c r="Z5" i="14"/>
  <c r="AB5" i="14" s="1"/>
  <c r="G5" i="11"/>
  <c r="W4" i="14"/>
  <c r="Y4" i="14" s="1"/>
  <c r="H4" i="11"/>
  <c r="J4" i="11" s="1"/>
  <c r="I5" i="17"/>
  <c r="I5" i="16"/>
  <c r="J5" i="15"/>
  <c r="D5" i="16"/>
  <c r="D5" i="17"/>
  <c r="E5" i="15"/>
  <c r="AK5" i="15"/>
  <c r="AA5" i="17"/>
  <c r="AA5" i="16"/>
  <c r="Z6" i="14"/>
  <c r="AB6" i="14" s="1"/>
  <c r="D6" i="11"/>
  <c r="G6" i="11"/>
  <c r="B8" i="17"/>
  <c r="AJ8" i="2"/>
  <c r="AI8" i="15" s="1"/>
  <c r="AE8" i="2"/>
  <c r="AD8" i="15" s="1"/>
  <c r="B7" i="11"/>
  <c r="B7" i="16"/>
  <c r="B7" i="17"/>
  <c r="AG7" i="2"/>
  <c r="AF7" i="15" s="1"/>
  <c r="C7" i="15"/>
  <c r="AH7" i="2"/>
  <c r="AG7" i="15" s="1"/>
  <c r="AI7" i="2"/>
  <c r="AH7" i="15" s="1"/>
  <c r="AD7" i="2"/>
  <c r="AC7" i="15" s="1"/>
  <c r="AR7" i="2"/>
  <c r="AE7" i="2"/>
  <c r="AD7" i="15" s="1"/>
  <c r="AK7" i="2"/>
  <c r="AJ7" i="15" s="1"/>
  <c r="AF7" i="2"/>
  <c r="AE7" i="15" s="1"/>
  <c r="AC7" i="2"/>
  <c r="AB7" i="15" s="1"/>
  <c r="AL7" i="2"/>
  <c r="AJ7" i="2"/>
  <c r="AI7" i="15" s="1"/>
  <c r="Q7" i="2"/>
  <c r="O7" i="16" s="1"/>
  <c r="N7" i="2"/>
  <c r="L7" i="17" s="1"/>
  <c r="H7" i="2"/>
  <c r="G7" i="15" s="1"/>
  <c r="G5" i="15"/>
  <c r="F5" i="16"/>
  <c r="F5" i="17"/>
  <c r="L5" i="15"/>
  <c r="K5" i="17"/>
  <c r="K5" i="16"/>
  <c r="AG5" i="16"/>
  <c r="AG5" i="17"/>
  <c r="AQ5" i="15"/>
  <c r="AA6" i="17"/>
  <c r="AK6" i="15"/>
  <c r="AA6" i="16"/>
  <c r="O9" i="4"/>
  <c r="J9" i="4"/>
  <c r="M8" i="2"/>
  <c r="C9" i="4"/>
  <c r="F8" i="2"/>
  <c r="I9" i="4"/>
  <c r="E7" i="17"/>
  <c r="H9" i="4"/>
  <c r="K8" i="2"/>
  <c r="G9" i="4"/>
  <c r="J8" i="2"/>
  <c r="D9" i="4"/>
  <c r="K9" i="4"/>
  <c r="N8" i="2"/>
  <c r="H8" i="2"/>
  <c r="E9" i="4"/>
  <c r="F13" i="4"/>
  <c r="F14" i="4" s="1"/>
  <c r="F15" i="4" s="1"/>
  <c r="F16" i="4" s="1"/>
  <c r="F17" i="4" s="1"/>
  <c r="B9" i="2"/>
  <c r="D9" i="2" s="1"/>
  <c r="C8" i="2"/>
  <c r="AK8" i="2" l="1"/>
  <c r="AJ8" i="15" s="1"/>
  <c r="C8" i="15"/>
  <c r="AF8" i="2"/>
  <c r="AE8" i="15" s="1"/>
  <c r="AI8" i="2"/>
  <c r="AH8" i="15" s="1"/>
  <c r="B8" i="11"/>
  <c r="G8" i="11" s="1"/>
  <c r="AR8" i="2"/>
  <c r="AQ8" i="15" s="1"/>
  <c r="AL8" i="2"/>
  <c r="AK8" i="15" s="1"/>
  <c r="B8" i="16"/>
  <c r="G8" i="2"/>
  <c r="AD8" i="2"/>
  <c r="AC8" i="15" s="1"/>
  <c r="AH8" i="2"/>
  <c r="AG8" i="15" s="1"/>
  <c r="L8" i="2"/>
  <c r="J8" i="16" s="1"/>
  <c r="Q8" i="2"/>
  <c r="AC8" i="2"/>
  <c r="AB8" i="15" s="1"/>
  <c r="M7" i="15"/>
  <c r="H7" i="16"/>
  <c r="F7" i="15"/>
  <c r="J7" i="16"/>
  <c r="J7" i="17"/>
  <c r="C9" i="2"/>
  <c r="K7" i="16"/>
  <c r="J7" i="15"/>
  <c r="I7" i="16"/>
  <c r="G7" i="16"/>
  <c r="K7" i="17"/>
  <c r="I8" i="2"/>
  <c r="I9" i="2" s="1"/>
  <c r="H7" i="15"/>
  <c r="D7" i="16"/>
  <c r="F7" i="16"/>
  <c r="F7" i="17"/>
  <c r="I7" i="15"/>
  <c r="D7" i="17"/>
  <c r="P7" i="15"/>
  <c r="O7" i="17"/>
  <c r="Z8" i="14"/>
  <c r="AB8" i="14" s="1"/>
  <c r="D8" i="11"/>
  <c r="AA8" i="16"/>
  <c r="AG7" i="17"/>
  <c r="AG7" i="16"/>
  <c r="AQ7" i="15"/>
  <c r="W6" i="14"/>
  <c r="Y6" i="14" s="1"/>
  <c r="H6" i="11"/>
  <c r="J6" i="11" s="1"/>
  <c r="B9" i="11"/>
  <c r="B9" i="17"/>
  <c r="B9" i="16"/>
  <c r="C9" i="15"/>
  <c r="AG9" i="2"/>
  <c r="AF9" i="15" s="1"/>
  <c r="AH9" i="2"/>
  <c r="AG9" i="15" s="1"/>
  <c r="AL9" i="2"/>
  <c r="AI9" i="2"/>
  <c r="AH9" i="15" s="1"/>
  <c r="AJ9" i="2"/>
  <c r="AI9" i="15" s="1"/>
  <c r="AE9" i="2"/>
  <c r="AD9" i="15" s="1"/>
  <c r="AC9" i="2"/>
  <c r="AB9" i="15" s="1"/>
  <c r="AR9" i="2"/>
  <c r="AF9" i="2"/>
  <c r="AE9" i="15" s="1"/>
  <c r="AK9" i="2"/>
  <c r="AJ9" i="15" s="1"/>
  <c r="AD9" i="2"/>
  <c r="AC9" i="15" s="1"/>
  <c r="L7" i="16"/>
  <c r="AA7" i="16"/>
  <c r="AK7" i="15"/>
  <c r="AA7" i="17"/>
  <c r="Z7" i="14"/>
  <c r="AB7" i="14" s="1"/>
  <c r="D7" i="11"/>
  <c r="G7" i="11"/>
  <c r="W5" i="14"/>
  <c r="Y5" i="14" s="1"/>
  <c r="H5" i="11"/>
  <c r="J5" i="11" s="1"/>
  <c r="F18" i="4"/>
  <c r="F19" i="4" s="1"/>
  <c r="F20" i="4" s="1"/>
  <c r="F21" i="4" s="1"/>
  <c r="F22" i="4" s="1"/>
  <c r="L8" i="17"/>
  <c r="L8" i="16"/>
  <c r="M8" i="15"/>
  <c r="C10" i="4"/>
  <c r="F9" i="2"/>
  <c r="K10" i="4"/>
  <c r="N9" i="2"/>
  <c r="H8" i="16"/>
  <c r="H8" i="17"/>
  <c r="I8" i="15"/>
  <c r="K8" i="17"/>
  <c r="K8" i="16"/>
  <c r="L8" i="15"/>
  <c r="E8" i="17"/>
  <c r="E8" i="16"/>
  <c r="F8" i="15"/>
  <c r="G10" i="4"/>
  <c r="J9" i="2"/>
  <c r="J10" i="4"/>
  <c r="M9" i="2"/>
  <c r="G9" i="2"/>
  <c r="D10" i="4"/>
  <c r="I8" i="16"/>
  <c r="I8" i="17"/>
  <c r="J8" i="15"/>
  <c r="J8" i="17"/>
  <c r="E10" i="4"/>
  <c r="H9" i="2"/>
  <c r="H10" i="4"/>
  <c r="K9" i="2"/>
  <c r="I10" i="4"/>
  <c r="L9" i="2"/>
  <c r="O8" i="17"/>
  <c r="O8" i="16"/>
  <c r="P8" i="15"/>
  <c r="F8" i="17"/>
  <c r="F8" i="16"/>
  <c r="G8" i="15"/>
  <c r="D8" i="16"/>
  <c r="D8" i="17"/>
  <c r="E8" i="15"/>
  <c r="O10" i="4"/>
  <c r="Q9" i="2"/>
  <c r="B10" i="2"/>
  <c r="D10" i="2" s="1"/>
  <c r="D3" i="13"/>
  <c r="H3" i="13" s="1"/>
  <c r="G4" i="13"/>
  <c r="G5" i="13" s="1"/>
  <c r="G6" i="13" s="1"/>
  <c r="G7" i="13" s="1"/>
  <c r="G8" i="13" s="1"/>
  <c r="B4" i="13"/>
  <c r="B5" i="13" s="1"/>
  <c r="B6" i="13" s="1"/>
  <c r="B7" i="13" s="1"/>
  <c r="B8" i="13" s="1"/>
  <c r="AA8" i="17" l="1"/>
  <c r="K8" i="15"/>
  <c r="AG8" i="17"/>
  <c r="AG8" i="16"/>
  <c r="G8" i="17"/>
  <c r="G8" i="16"/>
  <c r="H8" i="15"/>
  <c r="B10" i="17"/>
  <c r="B10" i="16"/>
  <c r="B10" i="11"/>
  <c r="AG10" i="2"/>
  <c r="AF10" i="15" s="1"/>
  <c r="C10" i="15"/>
  <c r="AH10" i="2"/>
  <c r="AG10" i="15" s="1"/>
  <c r="AR10" i="2"/>
  <c r="AJ10" i="2"/>
  <c r="AI10" i="15" s="1"/>
  <c r="AE10" i="2"/>
  <c r="AD10" i="15" s="1"/>
  <c r="AI10" i="2"/>
  <c r="AH10" i="15" s="1"/>
  <c r="AK10" i="2"/>
  <c r="AJ10" i="15" s="1"/>
  <c r="AF10" i="2"/>
  <c r="AE10" i="15" s="1"/>
  <c r="AD10" i="2"/>
  <c r="AC10" i="15" s="1"/>
  <c r="AL10" i="2"/>
  <c r="AC10" i="2"/>
  <c r="AB10" i="15" s="1"/>
  <c r="AA9" i="17"/>
  <c r="AA9" i="16"/>
  <c r="AK9" i="15"/>
  <c r="Z9" i="14"/>
  <c r="AB9" i="14" s="1"/>
  <c r="D9" i="11"/>
  <c r="G9" i="11"/>
  <c r="AG9" i="17"/>
  <c r="AG9" i="16"/>
  <c r="AQ9" i="15"/>
  <c r="W8" i="14"/>
  <c r="Y8" i="14" s="1"/>
  <c r="H8" i="11"/>
  <c r="J8" i="11" s="1"/>
  <c r="W7" i="14"/>
  <c r="Y7" i="14" s="1"/>
  <c r="H7" i="11"/>
  <c r="L7" i="11" s="1"/>
  <c r="O11" i="4"/>
  <c r="Q10" i="2"/>
  <c r="G11" i="4"/>
  <c r="J10" i="2"/>
  <c r="F9" i="17"/>
  <c r="F9" i="16"/>
  <c r="G9" i="15"/>
  <c r="E11" i="4"/>
  <c r="H10" i="2"/>
  <c r="J9" i="16"/>
  <c r="J9" i="17"/>
  <c r="K9" i="15"/>
  <c r="D11" i="4"/>
  <c r="G10" i="2"/>
  <c r="K9" i="16"/>
  <c r="K9" i="17"/>
  <c r="L9" i="15"/>
  <c r="H11" i="4"/>
  <c r="K10" i="2"/>
  <c r="G9" i="16"/>
  <c r="G9" i="17"/>
  <c r="I10" i="2"/>
  <c r="H9" i="15"/>
  <c r="D9" i="17"/>
  <c r="D9" i="16"/>
  <c r="E9" i="15"/>
  <c r="C11" i="4"/>
  <c r="F10" i="2"/>
  <c r="I11" i="4"/>
  <c r="L10" i="2"/>
  <c r="E9" i="16"/>
  <c r="E9" i="17"/>
  <c r="F9" i="15"/>
  <c r="J11" i="4"/>
  <c r="M10" i="2"/>
  <c r="L9" i="16"/>
  <c r="L9" i="17"/>
  <c r="M9" i="15"/>
  <c r="O9" i="17"/>
  <c r="O9" i="16"/>
  <c r="P9" i="15"/>
  <c r="I9" i="17"/>
  <c r="I9" i="16"/>
  <c r="J9" i="15"/>
  <c r="H9" i="16"/>
  <c r="H9" i="17"/>
  <c r="I9" i="15"/>
  <c r="K11" i="4"/>
  <c r="N10" i="2"/>
  <c r="F23" i="4"/>
  <c r="F24" i="4" s="1"/>
  <c r="F25" i="4" s="1"/>
  <c r="F26" i="4" s="1"/>
  <c r="F27" i="4" s="1"/>
  <c r="B11" i="2"/>
  <c r="D11" i="2" s="1"/>
  <c r="C10" i="2"/>
  <c r="D4" i="13"/>
  <c r="I3" i="13"/>
  <c r="B9" i="13"/>
  <c r="B10" i="13" s="1"/>
  <c r="G9" i="13"/>
  <c r="G10" i="13" s="1"/>
  <c r="E3" i="13"/>
  <c r="M3" i="13" s="1"/>
  <c r="F4" i="12"/>
  <c r="F5" i="12" s="1"/>
  <c r="F6" i="12" s="1"/>
  <c r="C4" i="12"/>
  <c r="J7" i="11" l="1"/>
  <c r="K7" i="11"/>
  <c r="W9" i="14"/>
  <c r="Y9" i="14" s="1"/>
  <c r="H9" i="11"/>
  <c r="J9" i="11" s="1"/>
  <c r="Z10" i="14"/>
  <c r="AB10" i="14" s="1"/>
  <c r="D10" i="11"/>
  <c r="G10" i="11"/>
  <c r="AA10" i="16"/>
  <c r="AA10" i="17"/>
  <c r="AK10" i="15"/>
  <c r="B11" i="11"/>
  <c r="B11" i="17"/>
  <c r="B11" i="16"/>
  <c r="AG11" i="2"/>
  <c r="AF11" i="15" s="1"/>
  <c r="C11" i="15"/>
  <c r="AH11" i="2"/>
  <c r="AG11" i="15" s="1"/>
  <c r="AF11" i="2"/>
  <c r="AE11" i="15" s="1"/>
  <c r="AC11" i="2"/>
  <c r="AB11" i="15" s="1"/>
  <c r="AJ11" i="2"/>
  <c r="AI11" i="15" s="1"/>
  <c r="AK11" i="2"/>
  <c r="AJ11" i="15" s="1"/>
  <c r="AR11" i="2"/>
  <c r="AE11" i="2"/>
  <c r="AD11" i="15" s="1"/>
  <c r="AD11" i="2"/>
  <c r="AC11" i="15" s="1"/>
  <c r="AL11" i="2"/>
  <c r="AI11" i="2"/>
  <c r="AH11" i="15" s="1"/>
  <c r="AG10" i="17"/>
  <c r="AQ10" i="15"/>
  <c r="AG10" i="16"/>
  <c r="E10" i="16"/>
  <c r="E10" i="17"/>
  <c r="F10" i="15"/>
  <c r="D12" i="4"/>
  <c r="G11" i="2"/>
  <c r="F28" i="4"/>
  <c r="F29" i="4" s="1"/>
  <c r="F30" i="4" s="1"/>
  <c r="F31" i="4" s="1"/>
  <c r="F32" i="4" s="1"/>
  <c r="L10" i="17"/>
  <c r="L10" i="16"/>
  <c r="M10" i="15"/>
  <c r="K10" i="16"/>
  <c r="K10" i="17"/>
  <c r="L10" i="15"/>
  <c r="I12" i="4"/>
  <c r="L11" i="2"/>
  <c r="H10" i="16"/>
  <c r="H10" i="17"/>
  <c r="I10" i="15"/>
  <c r="E12" i="4"/>
  <c r="H11" i="2"/>
  <c r="K12" i="4"/>
  <c r="N11" i="2"/>
  <c r="J12" i="4"/>
  <c r="M11" i="2"/>
  <c r="D10" i="17"/>
  <c r="D10" i="16"/>
  <c r="E10" i="15"/>
  <c r="G10" i="17"/>
  <c r="G10" i="16"/>
  <c r="I11" i="2"/>
  <c r="H10" i="15"/>
  <c r="C12" i="4"/>
  <c r="F11" i="2"/>
  <c r="G12" i="4"/>
  <c r="J11" i="2"/>
  <c r="F10" i="16"/>
  <c r="F10" i="17"/>
  <c r="G10" i="15"/>
  <c r="I10" i="16"/>
  <c r="I10" i="17"/>
  <c r="J10" i="15"/>
  <c r="O10" i="16"/>
  <c r="O10" i="17"/>
  <c r="P10" i="15"/>
  <c r="J10" i="16"/>
  <c r="J10" i="17"/>
  <c r="K10" i="15"/>
  <c r="K11" i="2"/>
  <c r="H12" i="4"/>
  <c r="O12" i="4"/>
  <c r="Q11" i="2"/>
  <c r="C11" i="2"/>
  <c r="B12" i="2"/>
  <c r="D12" i="2" s="1"/>
  <c r="H4" i="13"/>
  <c r="I4" i="13" s="1"/>
  <c r="D5" i="13"/>
  <c r="D6" i="13" s="1"/>
  <c r="D7" i="13" s="1"/>
  <c r="D8" i="13" s="1"/>
  <c r="D9" i="13" s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D63" i="13" s="1"/>
  <c r="D64" i="13" s="1"/>
  <c r="D65" i="13" s="1"/>
  <c r="D66" i="13" s="1"/>
  <c r="D67" i="13" s="1"/>
  <c r="D68" i="13" s="1"/>
  <c r="D69" i="13" s="1"/>
  <c r="D70" i="13" s="1"/>
  <c r="D71" i="13" s="1"/>
  <c r="D72" i="13" s="1"/>
  <c r="D73" i="13" s="1"/>
  <c r="D74" i="13" s="1"/>
  <c r="D75" i="13" s="1"/>
  <c r="D76" i="13" s="1"/>
  <c r="D77" i="13" s="1"/>
  <c r="D78" i="13" s="1"/>
  <c r="D79" i="13" s="1"/>
  <c r="D80" i="13" s="1"/>
  <c r="D81" i="13" s="1"/>
  <c r="D82" i="13" s="1"/>
  <c r="D83" i="13" s="1"/>
  <c r="D84" i="13" s="1"/>
  <c r="D85" i="13" s="1"/>
  <c r="D86" i="13" s="1"/>
  <c r="D87" i="13" s="1"/>
  <c r="D88" i="13" s="1"/>
  <c r="D89" i="13" s="1"/>
  <c r="D90" i="13" s="1"/>
  <c r="D91" i="13" s="1"/>
  <c r="D92" i="13" s="1"/>
  <c r="D93" i="13" s="1"/>
  <c r="D94" i="13" s="1"/>
  <c r="D95" i="13" s="1"/>
  <c r="D96" i="13" s="1"/>
  <c r="D97" i="13" s="1"/>
  <c r="D98" i="13" s="1"/>
  <c r="D99" i="13" s="1"/>
  <c r="D100" i="13" s="1"/>
  <c r="D101" i="13" s="1"/>
  <c r="D102" i="13" s="1"/>
  <c r="D103" i="13" s="1"/>
  <c r="D104" i="13" s="1"/>
  <c r="D105" i="13" s="1"/>
  <c r="D106" i="13" s="1"/>
  <c r="D107" i="13" s="1"/>
  <c r="D108" i="13" s="1"/>
  <c r="D109" i="13" s="1"/>
  <c r="D110" i="13" s="1"/>
  <c r="D111" i="13" s="1"/>
  <c r="D112" i="13" s="1"/>
  <c r="D113" i="13" s="1"/>
  <c r="D114" i="13" s="1"/>
  <c r="D115" i="13" s="1"/>
  <c r="D116" i="13" s="1"/>
  <c r="D117" i="13" s="1"/>
  <c r="D118" i="13" s="1"/>
  <c r="D119" i="13" s="1"/>
  <c r="D120" i="13" s="1"/>
  <c r="D121" i="13" s="1"/>
  <c r="D122" i="13" s="1"/>
  <c r="K3" i="13"/>
  <c r="L4" i="13"/>
  <c r="E4" i="13"/>
  <c r="G11" i="13"/>
  <c r="L3" i="13"/>
  <c r="B11" i="13"/>
  <c r="C5" i="12"/>
  <c r="C6" i="12" s="1"/>
  <c r="C7" i="12" s="1"/>
  <c r="C8" i="12" s="1"/>
  <c r="F7" i="12"/>
  <c r="W10" i="14" l="1"/>
  <c r="Y10" i="14" s="1"/>
  <c r="H10" i="11"/>
  <c r="J10" i="11" s="1"/>
  <c r="AK11" i="15"/>
  <c r="AA11" i="16"/>
  <c r="AA11" i="17"/>
  <c r="Z11" i="14"/>
  <c r="AB11" i="14" s="1"/>
  <c r="D11" i="11"/>
  <c r="G11" i="11"/>
  <c r="B12" i="17"/>
  <c r="B12" i="16"/>
  <c r="B12" i="11"/>
  <c r="AG12" i="2"/>
  <c r="AF12" i="15" s="1"/>
  <c r="C12" i="15"/>
  <c r="AH12" i="2"/>
  <c r="AG12" i="15" s="1"/>
  <c r="AK12" i="2"/>
  <c r="AJ12" i="15" s="1"/>
  <c r="AI12" i="2"/>
  <c r="AH12" i="15" s="1"/>
  <c r="AL12" i="2"/>
  <c r="AD12" i="2"/>
  <c r="AC12" i="15" s="1"/>
  <c r="AR12" i="2"/>
  <c r="AE12" i="2"/>
  <c r="AD12" i="15" s="1"/>
  <c r="AF12" i="2"/>
  <c r="AE12" i="15" s="1"/>
  <c r="AC12" i="2"/>
  <c r="AB12" i="15" s="1"/>
  <c r="AJ12" i="2"/>
  <c r="AI12" i="15" s="1"/>
  <c r="I12" i="2"/>
  <c r="AG11" i="17"/>
  <c r="AG11" i="16"/>
  <c r="AQ11" i="15"/>
  <c r="D11" i="17"/>
  <c r="D11" i="16"/>
  <c r="E11" i="15"/>
  <c r="O13" i="4"/>
  <c r="Q12" i="2"/>
  <c r="H13" i="4"/>
  <c r="K12" i="2"/>
  <c r="E11" i="17"/>
  <c r="E11" i="16"/>
  <c r="F11" i="15"/>
  <c r="K13" i="4"/>
  <c r="N12" i="2"/>
  <c r="F33" i="4"/>
  <c r="F34" i="4" s="1"/>
  <c r="F35" i="4" s="1"/>
  <c r="F36" i="4" s="1"/>
  <c r="F37" i="4" s="1"/>
  <c r="I11" i="16"/>
  <c r="I11" i="17"/>
  <c r="J11" i="15"/>
  <c r="G11" i="17"/>
  <c r="G11" i="16"/>
  <c r="H11" i="15"/>
  <c r="K11" i="17"/>
  <c r="K11" i="16"/>
  <c r="L11" i="15"/>
  <c r="D13" i="4"/>
  <c r="G12" i="2"/>
  <c r="C13" i="4"/>
  <c r="F12" i="2"/>
  <c r="H11" i="16"/>
  <c r="H11" i="17"/>
  <c r="I11" i="15"/>
  <c r="J13" i="4"/>
  <c r="M12" i="2"/>
  <c r="J11" i="16"/>
  <c r="J11" i="17"/>
  <c r="K11" i="15"/>
  <c r="O11" i="16"/>
  <c r="O11" i="17"/>
  <c r="P11" i="15"/>
  <c r="E13" i="4"/>
  <c r="H12" i="2"/>
  <c r="G13" i="4"/>
  <c r="J12" i="2"/>
  <c r="L11" i="16"/>
  <c r="L11" i="17"/>
  <c r="M11" i="15"/>
  <c r="F11" i="17"/>
  <c r="F11" i="16"/>
  <c r="G11" i="15"/>
  <c r="I13" i="4"/>
  <c r="L12" i="2"/>
  <c r="B13" i="2"/>
  <c r="D13" i="2" s="1"/>
  <c r="C12" i="2"/>
  <c r="M4" i="13"/>
  <c r="H5" i="13"/>
  <c r="E5" i="13"/>
  <c r="K4" i="13"/>
  <c r="B12" i="13"/>
  <c r="G12" i="13"/>
  <c r="C9" i="12"/>
  <c r="C10" i="12" s="1"/>
  <c r="C11" i="12" s="1"/>
  <c r="F8" i="12"/>
  <c r="G12" i="17" l="1"/>
  <c r="I13" i="2"/>
  <c r="H12" i="15"/>
  <c r="G12" i="16"/>
  <c r="AA12" i="17"/>
  <c r="AA12" i="16"/>
  <c r="AK12" i="15"/>
  <c r="Z12" i="14"/>
  <c r="AB12" i="14" s="1"/>
  <c r="D12" i="11"/>
  <c r="G12" i="11"/>
  <c r="B13" i="16"/>
  <c r="B13" i="11"/>
  <c r="B13" i="17"/>
  <c r="AG13" i="2"/>
  <c r="AF13" i="15" s="1"/>
  <c r="C13" i="15"/>
  <c r="AH13" i="2"/>
  <c r="AG13" i="15" s="1"/>
  <c r="AD13" i="2"/>
  <c r="AC13" i="15" s="1"/>
  <c r="AL13" i="2"/>
  <c r="AF13" i="2"/>
  <c r="AE13" i="15" s="1"/>
  <c r="AJ13" i="2"/>
  <c r="AI13" i="15" s="1"/>
  <c r="AI13" i="2"/>
  <c r="AH13" i="15" s="1"/>
  <c r="AC13" i="2"/>
  <c r="AB13" i="15" s="1"/>
  <c r="AR13" i="2"/>
  <c r="AE13" i="2"/>
  <c r="AD13" i="15" s="1"/>
  <c r="AK13" i="2"/>
  <c r="AJ13" i="15" s="1"/>
  <c r="W11" i="14"/>
  <c r="Y11" i="14" s="1"/>
  <c r="H11" i="11"/>
  <c r="J11" i="11" s="1"/>
  <c r="AG12" i="17"/>
  <c r="AQ12" i="15"/>
  <c r="AG12" i="16"/>
  <c r="H12" i="17"/>
  <c r="H12" i="16"/>
  <c r="I12" i="15"/>
  <c r="I14" i="4"/>
  <c r="L13" i="2"/>
  <c r="K12" i="17"/>
  <c r="K12" i="16"/>
  <c r="L12" i="15"/>
  <c r="H14" i="4"/>
  <c r="K13" i="2"/>
  <c r="F38" i="4"/>
  <c r="F39" i="4" s="1"/>
  <c r="F40" i="4" s="1"/>
  <c r="F41" i="4" s="1"/>
  <c r="F42" i="4" s="1"/>
  <c r="O12" i="17"/>
  <c r="O12" i="16"/>
  <c r="P12" i="15"/>
  <c r="L12" i="17"/>
  <c r="L12" i="16"/>
  <c r="M12" i="15"/>
  <c r="D12" i="17"/>
  <c r="D12" i="16"/>
  <c r="E12" i="15"/>
  <c r="K14" i="4"/>
  <c r="N13" i="2"/>
  <c r="F12" i="16"/>
  <c r="F12" i="17"/>
  <c r="G12" i="15"/>
  <c r="C14" i="4"/>
  <c r="F13" i="2"/>
  <c r="D14" i="4"/>
  <c r="G13" i="2"/>
  <c r="J14" i="4"/>
  <c r="M13" i="2"/>
  <c r="O14" i="4"/>
  <c r="Q13" i="2"/>
  <c r="G14" i="4"/>
  <c r="J13" i="2"/>
  <c r="E12" i="16"/>
  <c r="E12" i="17"/>
  <c r="F12" i="15"/>
  <c r="J12" i="17"/>
  <c r="J12" i="16"/>
  <c r="K12" i="15"/>
  <c r="E14" i="4"/>
  <c r="H13" i="2"/>
  <c r="I12" i="17"/>
  <c r="I12" i="16"/>
  <c r="J12" i="15"/>
  <c r="C13" i="2"/>
  <c r="C14" i="2" s="1"/>
  <c r="B14" i="2"/>
  <c r="D14" i="2" s="1"/>
  <c r="C12" i="12"/>
  <c r="I5" i="13"/>
  <c r="M5" i="13"/>
  <c r="E6" i="13"/>
  <c r="H6" i="13"/>
  <c r="G13" i="13"/>
  <c r="B13" i="13"/>
  <c r="F9" i="12"/>
  <c r="C13" i="12"/>
  <c r="B4" i="7"/>
  <c r="AA13" i="16" l="1"/>
  <c r="AA13" i="17"/>
  <c r="AK13" i="15"/>
  <c r="Z13" i="14"/>
  <c r="AB13" i="14" s="1"/>
  <c r="D13" i="11"/>
  <c r="G13" i="11"/>
  <c r="AG13" i="16"/>
  <c r="AG13" i="17"/>
  <c r="AQ13" i="15"/>
  <c r="W12" i="14"/>
  <c r="Y12" i="14" s="1"/>
  <c r="H12" i="11"/>
  <c r="N12" i="11" s="1"/>
  <c r="B14" i="16"/>
  <c r="B14" i="17"/>
  <c r="B14" i="11"/>
  <c r="AG14" i="2"/>
  <c r="AF14" i="15" s="1"/>
  <c r="C14" i="15"/>
  <c r="AH14" i="2"/>
  <c r="AG14" i="15" s="1"/>
  <c r="AD14" i="2"/>
  <c r="AC14" i="15" s="1"/>
  <c r="AC14" i="2"/>
  <c r="AB14" i="15" s="1"/>
  <c r="AJ14" i="2"/>
  <c r="AI14" i="15" s="1"/>
  <c r="AR14" i="2"/>
  <c r="AF14" i="2"/>
  <c r="AE14" i="15" s="1"/>
  <c r="AI14" i="2"/>
  <c r="AH14" i="15" s="1"/>
  <c r="AL14" i="2"/>
  <c r="AK14" i="2"/>
  <c r="AJ14" i="15" s="1"/>
  <c r="AE14" i="2"/>
  <c r="AD14" i="15" s="1"/>
  <c r="G13" i="16"/>
  <c r="I14" i="2"/>
  <c r="H13" i="15"/>
  <c r="G13" i="17"/>
  <c r="E13" i="16"/>
  <c r="E13" i="17"/>
  <c r="F13" i="15"/>
  <c r="H13" i="17"/>
  <c r="H13" i="16"/>
  <c r="I13" i="15"/>
  <c r="D13" i="16"/>
  <c r="D13" i="17"/>
  <c r="E13" i="15"/>
  <c r="L13" i="17"/>
  <c r="L13" i="16"/>
  <c r="M13" i="15"/>
  <c r="F43" i="4"/>
  <c r="F44" i="4" s="1"/>
  <c r="F45" i="4" s="1"/>
  <c r="F46" i="4" s="1"/>
  <c r="F47" i="4" s="1"/>
  <c r="F13" i="16"/>
  <c r="F13" i="17"/>
  <c r="G13" i="15"/>
  <c r="G15" i="4"/>
  <c r="J14" i="2"/>
  <c r="C15" i="4"/>
  <c r="F14" i="2"/>
  <c r="K15" i="4"/>
  <c r="N14" i="2"/>
  <c r="I13" i="16"/>
  <c r="I13" i="17"/>
  <c r="J13" i="15"/>
  <c r="E15" i="4"/>
  <c r="H14" i="2"/>
  <c r="D15" i="4"/>
  <c r="G14" i="2"/>
  <c r="O13" i="16"/>
  <c r="O13" i="17"/>
  <c r="P13" i="15"/>
  <c r="H15" i="4"/>
  <c r="K14" i="2"/>
  <c r="J13" i="17"/>
  <c r="J13" i="16"/>
  <c r="K13" i="15"/>
  <c r="K13" i="17"/>
  <c r="K13" i="16"/>
  <c r="L13" i="15"/>
  <c r="O15" i="4"/>
  <c r="Q14" i="2"/>
  <c r="J15" i="4"/>
  <c r="M14" i="2"/>
  <c r="I15" i="4"/>
  <c r="L14" i="2"/>
  <c r="B15" i="2"/>
  <c r="M6" i="13"/>
  <c r="I6" i="13"/>
  <c r="K6" i="13" s="1"/>
  <c r="H7" i="13"/>
  <c r="E7" i="13"/>
  <c r="N7" i="13" s="1"/>
  <c r="L5" i="13"/>
  <c r="K5" i="13"/>
  <c r="B14" i="13"/>
  <c r="G14" i="13"/>
  <c r="C14" i="12"/>
  <c r="F10" i="12"/>
  <c r="Z14" i="14" l="1"/>
  <c r="AB14" i="14" s="1"/>
  <c r="D14" i="11"/>
  <c r="G14" i="11"/>
  <c r="K12" i="11"/>
  <c r="W13" i="14"/>
  <c r="Y13" i="14" s="1"/>
  <c r="H13" i="11"/>
  <c r="J13" i="11" s="1"/>
  <c r="AA14" i="16"/>
  <c r="AK14" i="15"/>
  <c r="AA14" i="17"/>
  <c r="M12" i="11"/>
  <c r="I15" i="2"/>
  <c r="G14" i="16"/>
  <c r="G14" i="17"/>
  <c r="H14" i="15"/>
  <c r="L12" i="11"/>
  <c r="AG14" i="16"/>
  <c r="AQ14" i="15"/>
  <c r="AG14" i="17"/>
  <c r="J12" i="11"/>
  <c r="H14" i="16"/>
  <c r="H14" i="17"/>
  <c r="I14" i="15"/>
  <c r="I16" i="4"/>
  <c r="J16" i="4"/>
  <c r="C16" i="4"/>
  <c r="F48" i="4"/>
  <c r="F49" i="4" s="1"/>
  <c r="F50" i="4" s="1"/>
  <c r="F51" i="4" s="1"/>
  <c r="F52" i="4" s="1"/>
  <c r="O14" i="17"/>
  <c r="O14" i="16"/>
  <c r="P14" i="15"/>
  <c r="E14" i="17"/>
  <c r="E14" i="16"/>
  <c r="F14" i="15"/>
  <c r="G16" i="4"/>
  <c r="I14" i="17"/>
  <c r="I14" i="16"/>
  <c r="J14" i="15"/>
  <c r="D16" i="4"/>
  <c r="L14" i="17"/>
  <c r="L14" i="16"/>
  <c r="M14" i="15"/>
  <c r="H16" i="4"/>
  <c r="O16" i="4"/>
  <c r="F14" i="16"/>
  <c r="F14" i="17"/>
  <c r="G14" i="15"/>
  <c r="K16" i="4"/>
  <c r="J14" i="16"/>
  <c r="J14" i="17"/>
  <c r="K14" i="15"/>
  <c r="K14" i="16"/>
  <c r="K14" i="17"/>
  <c r="L14" i="15"/>
  <c r="E16" i="4"/>
  <c r="D14" i="16"/>
  <c r="D14" i="17"/>
  <c r="E14" i="15"/>
  <c r="C15" i="2"/>
  <c r="D15" i="2"/>
  <c r="B16" i="2"/>
  <c r="L6" i="13"/>
  <c r="I7" i="13"/>
  <c r="K7" i="13" s="1"/>
  <c r="M7" i="13"/>
  <c r="E8" i="13"/>
  <c r="H8" i="13"/>
  <c r="O7" i="13"/>
  <c r="B15" i="13"/>
  <c r="G15" i="13"/>
  <c r="F11" i="12"/>
  <c r="C15" i="12"/>
  <c r="B5" i="7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M15" i="2" l="1"/>
  <c r="N15" i="2"/>
  <c r="Q15" i="2"/>
  <c r="O15" i="17" s="1"/>
  <c r="G15" i="17"/>
  <c r="I16" i="2"/>
  <c r="G15" i="16"/>
  <c r="H15" i="15"/>
  <c r="F15" i="2"/>
  <c r="E15" i="15" s="1"/>
  <c r="K15" i="2"/>
  <c r="I15" i="16" s="1"/>
  <c r="G15" i="2"/>
  <c r="E15" i="16" s="1"/>
  <c r="W14" i="14"/>
  <c r="Y14" i="14" s="1"/>
  <c r="H14" i="11"/>
  <c r="J14" i="11" s="1"/>
  <c r="B15" i="11"/>
  <c r="B15" i="17"/>
  <c r="B15" i="16"/>
  <c r="AG15" i="2"/>
  <c r="AF15" i="15" s="1"/>
  <c r="C15" i="15"/>
  <c r="AH15" i="2"/>
  <c r="AG15" i="15" s="1"/>
  <c r="AD15" i="2"/>
  <c r="AC15" i="15" s="1"/>
  <c r="AK15" i="2"/>
  <c r="AJ15" i="15" s="1"/>
  <c r="AR15" i="2"/>
  <c r="AF15" i="2"/>
  <c r="AE15" i="15" s="1"/>
  <c r="AL15" i="2"/>
  <c r="AJ15" i="2"/>
  <c r="AI15" i="15" s="1"/>
  <c r="AC15" i="2"/>
  <c r="AB15" i="15" s="1"/>
  <c r="AE15" i="2"/>
  <c r="AD15" i="15" s="1"/>
  <c r="AI15" i="2"/>
  <c r="AH15" i="15" s="1"/>
  <c r="H15" i="2"/>
  <c r="F15" i="17" s="1"/>
  <c r="J15" i="2"/>
  <c r="H15" i="16" s="1"/>
  <c r="L15" i="2"/>
  <c r="J15" i="17" s="1"/>
  <c r="E17" i="4"/>
  <c r="J17" i="4"/>
  <c r="D17" i="4"/>
  <c r="L15" i="17"/>
  <c r="L15" i="16"/>
  <c r="M15" i="15"/>
  <c r="G17" i="4"/>
  <c r="I17" i="4"/>
  <c r="K17" i="4"/>
  <c r="O17" i="4"/>
  <c r="D15" i="17"/>
  <c r="D15" i="16"/>
  <c r="H17" i="4"/>
  <c r="F53" i="4"/>
  <c r="F54" i="4" s="1"/>
  <c r="F55" i="4" s="1"/>
  <c r="F56" i="4" s="1"/>
  <c r="F57" i="4" s="1"/>
  <c r="C17" i="4"/>
  <c r="K15" i="17"/>
  <c r="K15" i="16"/>
  <c r="L15" i="15"/>
  <c r="D16" i="2"/>
  <c r="B17" i="2"/>
  <c r="C16" i="2"/>
  <c r="L7" i="13"/>
  <c r="M8" i="13"/>
  <c r="I8" i="13"/>
  <c r="K8" i="13" s="1"/>
  <c r="E9" i="13"/>
  <c r="H9" i="13"/>
  <c r="G16" i="13"/>
  <c r="B16" i="13"/>
  <c r="C16" i="12"/>
  <c r="F12" i="12"/>
  <c r="J15" i="15" l="1"/>
  <c r="P15" i="15"/>
  <c r="I15" i="17"/>
  <c r="O15" i="16"/>
  <c r="F15" i="15"/>
  <c r="E15" i="17"/>
  <c r="J15" i="16"/>
  <c r="G15" i="15"/>
  <c r="I15" i="15"/>
  <c r="F15" i="16"/>
  <c r="K15" i="15"/>
  <c r="B16" i="17"/>
  <c r="B16" i="16"/>
  <c r="B16" i="11"/>
  <c r="C16" i="15"/>
  <c r="AG16" i="2"/>
  <c r="AF16" i="15" s="1"/>
  <c r="AH16" i="2"/>
  <c r="AG16" i="15" s="1"/>
  <c r="AC16" i="2"/>
  <c r="AB16" i="15" s="1"/>
  <c r="AJ16" i="2"/>
  <c r="AI16" i="15" s="1"/>
  <c r="AE16" i="2"/>
  <c r="AD16" i="15" s="1"/>
  <c r="AF16" i="2"/>
  <c r="AE16" i="15" s="1"/>
  <c r="AK16" i="2"/>
  <c r="AJ16" i="15" s="1"/>
  <c r="AI16" i="2"/>
  <c r="AH16" i="15" s="1"/>
  <c r="AL16" i="2"/>
  <c r="AR16" i="2"/>
  <c r="AD16" i="2"/>
  <c r="AC16" i="15" s="1"/>
  <c r="K16" i="2"/>
  <c r="I16" i="17" s="1"/>
  <c r="G16" i="2"/>
  <c r="F16" i="15" s="1"/>
  <c r="Z15" i="14"/>
  <c r="AB15" i="14" s="1"/>
  <c r="D15" i="11"/>
  <c r="G15" i="11"/>
  <c r="Q16" i="2"/>
  <c r="P16" i="15" s="1"/>
  <c r="H16" i="2"/>
  <c r="F16" i="17" s="1"/>
  <c r="N16" i="2"/>
  <c r="L16" i="16" s="1"/>
  <c r="AA15" i="17"/>
  <c r="AK15" i="15"/>
  <c r="AA15" i="16"/>
  <c r="G16" i="17"/>
  <c r="G16" i="16"/>
  <c r="H16" i="15"/>
  <c r="F16" i="2"/>
  <c r="E16" i="15" s="1"/>
  <c r="L16" i="2"/>
  <c r="J16" i="16" s="1"/>
  <c r="J16" i="2"/>
  <c r="H16" i="17" s="1"/>
  <c r="H15" i="17"/>
  <c r="AG15" i="17"/>
  <c r="AG15" i="16"/>
  <c r="AQ15" i="15"/>
  <c r="D17" i="2"/>
  <c r="M17" i="2" s="1"/>
  <c r="M16" i="2"/>
  <c r="K16" i="17" s="1"/>
  <c r="K18" i="4"/>
  <c r="E18" i="4"/>
  <c r="C18" i="4"/>
  <c r="F17" i="2"/>
  <c r="I18" i="4"/>
  <c r="G18" i="4"/>
  <c r="O18" i="4"/>
  <c r="F58" i="4"/>
  <c r="F59" i="4" s="1"/>
  <c r="F60" i="4" s="1"/>
  <c r="F61" i="4" s="1"/>
  <c r="F62" i="4" s="1"/>
  <c r="K17" i="2"/>
  <c r="H18" i="4"/>
  <c r="D18" i="4"/>
  <c r="J18" i="4"/>
  <c r="C17" i="2"/>
  <c r="B18" i="2"/>
  <c r="AD3" i="10"/>
  <c r="AD3" i="9"/>
  <c r="AN3" i="7"/>
  <c r="V3" i="10"/>
  <c r="V3" i="9"/>
  <c r="W3" i="7"/>
  <c r="AC3" i="10"/>
  <c r="AC3" i="9"/>
  <c r="AM3" i="7"/>
  <c r="Z3" i="10"/>
  <c r="Z3" i="9"/>
  <c r="AA3" i="7"/>
  <c r="Y3" i="10"/>
  <c r="Y3" i="9"/>
  <c r="Z3" i="7"/>
  <c r="AF3" i="10"/>
  <c r="AF3" i="9"/>
  <c r="AP3" i="7"/>
  <c r="X3" i="10"/>
  <c r="X3" i="9"/>
  <c r="Y3" i="7"/>
  <c r="AE3" i="10"/>
  <c r="AE3" i="9"/>
  <c r="AO3" i="7"/>
  <c r="W3" i="10"/>
  <c r="W3" i="9"/>
  <c r="X3" i="7"/>
  <c r="L8" i="13"/>
  <c r="H10" i="13"/>
  <c r="E10" i="13"/>
  <c r="M9" i="13"/>
  <c r="I9" i="13"/>
  <c r="K9" i="13" s="1"/>
  <c r="B17" i="13"/>
  <c r="G17" i="13"/>
  <c r="F13" i="12"/>
  <c r="C17" i="12"/>
  <c r="L17" i="2" l="1"/>
  <c r="G17" i="2"/>
  <c r="J17" i="2"/>
  <c r="H17" i="16" s="1"/>
  <c r="N17" i="2"/>
  <c r="L17" i="16" s="1"/>
  <c r="D18" i="2"/>
  <c r="AE18" i="2" s="1"/>
  <c r="AD18" i="15" s="1"/>
  <c r="G16" i="15"/>
  <c r="J16" i="15"/>
  <c r="L16" i="17"/>
  <c r="O16" i="16"/>
  <c r="O16" i="17"/>
  <c r="F16" i="16"/>
  <c r="I16" i="16"/>
  <c r="E16" i="16"/>
  <c r="M16" i="15"/>
  <c r="J16" i="17"/>
  <c r="E16" i="17"/>
  <c r="K16" i="16"/>
  <c r="I16" i="15"/>
  <c r="K16" i="15"/>
  <c r="Q17" i="2"/>
  <c r="P17" i="15" s="1"/>
  <c r="H17" i="2"/>
  <c r="F17" i="16" s="1"/>
  <c r="D16" i="16"/>
  <c r="D16" i="17"/>
  <c r="L16" i="15"/>
  <c r="H16" i="16"/>
  <c r="B18" i="17"/>
  <c r="B18" i="16"/>
  <c r="B18" i="11"/>
  <c r="C18" i="15"/>
  <c r="AL18" i="2"/>
  <c r="AF18" i="2"/>
  <c r="AE18" i="15" s="1"/>
  <c r="AI18" i="2"/>
  <c r="AH18" i="15" s="1"/>
  <c r="AK18" i="2"/>
  <c r="AJ18" i="15" s="1"/>
  <c r="AJ18" i="2"/>
  <c r="AI18" i="15" s="1"/>
  <c r="AC18" i="2"/>
  <c r="AB18" i="15" s="1"/>
  <c r="AR18" i="2"/>
  <c r="AD18" i="2"/>
  <c r="AC18" i="15" s="1"/>
  <c r="Z16" i="14"/>
  <c r="AB16" i="14" s="1"/>
  <c r="D16" i="11"/>
  <c r="G16" i="11"/>
  <c r="W15" i="14"/>
  <c r="Y15" i="14" s="1"/>
  <c r="H15" i="11"/>
  <c r="J15" i="11" s="1"/>
  <c r="AG16" i="17"/>
  <c r="AG16" i="16"/>
  <c r="AQ16" i="15"/>
  <c r="B17" i="11"/>
  <c r="B17" i="17"/>
  <c r="B17" i="16"/>
  <c r="C17" i="15"/>
  <c r="AG17" i="2"/>
  <c r="AF17" i="15" s="1"/>
  <c r="AH17" i="2"/>
  <c r="AG17" i="15" s="1"/>
  <c r="AE17" i="2"/>
  <c r="AD17" i="15" s="1"/>
  <c r="AJ17" i="2"/>
  <c r="AI17" i="15" s="1"/>
  <c r="AR17" i="2"/>
  <c r="AK17" i="2"/>
  <c r="AJ17" i="15" s="1"/>
  <c r="AD17" i="2"/>
  <c r="AC17" i="15" s="1"/>
  <c r="AI17" i="2"/>
  <c r="AH17" i="15" s="1"/>
  <c r="AF17" i="2"/>
  <c r="AE17" i="15" s="1"/>
  <c r="AL17" i="2"/>
  <c r="AC17" i="2"/>
  <c r="AB17" i="15" s="1"/>
  <c r="I17" i="2"/>
  <c r="AA16" i="16"/>
  <c r="AA16" i="17"/>
  <c r="AK16" i="15"/>
  <c r="O19" i="4"/>
  <c r="Q18" i="2"/>
  <c r="G19" i="4"/>
  <c r="J18" i="2"/>
  <c r="K19" i="4"/>
  <c r="N18" i="2"/>
  <c r="E17" i="17"/>
  <c r="E17" i="16"/>
  <c r="F17" i="15"/>
  <c r="D19" i="4"/>
  <c r="G18" i="2"/>
  <c r="F63" i="4"/>
  <c r="F64" i="4" s="1"/>
  <c r="F65" i="4" s="1"/>
  <c r="F66" i="4" s="1"/>
  <c r="F67" i="4" s="1"/>
  <c r="J17" i="17"/>
  <c r="J17" i="16"/>
  <c r="K17" i="15"/>
  <c r="I19" i="4"/>
  <c r="L18" i="2"/>
  <c r="D17" i="16"/>
  <c r="D17" i="17"/>
  <c r="E17" i="15"/>
  <c r="C19" i="4"/>
  <c r="F18" i="2"/>
  <c r="E19" i="4"/>
  <c r="H18" i="2"/>
  <c r="K17" i="17"/>
  <c r="K17" i="16"/>
  <c r="L17" i="15"/>
  <c r="H19" i="4"/>
  <c r="K18" i="2"/>
  <c r="J19" i="4"/>
  <c r="M18" i="2"/>
  <c r="I17" i="16"/>
  <c r="I17" i="17"/>
  <c r="J17" i="15"/>
  <c r="L17" i="17"/>
  <c r="M17" i="15"/>
  <c r="B19" i="2"/>
  <c r="D19" i="2" s="1"/>
  <c r="C18" i="2"/>
  <c r="L9" i="13"/>
  <c r="M10" i="13"/>
  <c r="I10" i="13"/>
  <c r="K10" i="13" s="1"/>
  <c r="E11" i="13"/>
  <c r="H11" i="13"/>
  <c r="G18" i="13"/>
  <c r="B18" i="13"/>
  <c r="C18" i="12"/>
  <c r="F14" i="12"/>
  <c r="M4" i="4"/>
  <c r="N4" i="4"/>
  <c r="P4" i="4"/>
  <c r="Q4" i="4"/>
  <c r="R4" i="4"/>
  <c r="S4" i="4"/>
  <c r="U4" i="2" s="1"/>
  <c r="T4" i="4"/>
  <c r="U4" i="4"/>
  <c r="V4" i="4"/>
  <c r="W4" i="4"/>
  <c r="X4" i="4"/>
  <c r="Y4" i="4"/>
  <c r="Z4" i="4"/>
  <c r="I17" i="15" l="1"/>
  <c r="H17" i="17"/>
  <c r="AH18" i="2"/>
  <c r="AG18" i="15" s="1"/>
  <c r="AG18" i="2"/>
  <c r="AF18" i="15" s="1"/>
  <c r="F17" i="17"/>
  <c r="O17" i="16"/>
  <c r="O17" i="17"/>
  <c r="G17" i="15"/>
  <c r="Z17" i="14"/>
  <c r="AB17" i="14" s="1"/>
  <c r="D17" i="11"/>
  <c r="G17" i="11"/>
  <c r="W16" i="14"/>
  <c r="Y16" i="14" s="1"/>
  <c r="H16" i="11"/>
  <c r="J16" i="11" s="1"/>
  <c r="G17" i="17"/>
  <c r="H17" i="15"/>
  <c r="I18" i="2"/>
  <c r="G17" i="16"/>
  <c r="Z18" i="14"/>
  <c r="AB18" i="14" s="1"/>
  <c r="D18" i="11"/>
  <c r="G18" i="11"/>
  <c r="AG17" i="17"/>
  <c r="AG17" i="16"/>
  <c r="AQ17" i="15"/>
  <c r="AQ18" i="15"/>
  <c r="AG18" i="17"/>
  <c r="AG18" i="16"/>
  <c r="B19" i="16"/>
  <c r="B19" i="11"/>
  <c r="B19" i="17"/>
  <c r="C19" i="15"/>
  <c r="AG19" i="2"/>
  <c r="AF19" i="15" s="1"/>
  <c r="AH19" i="2"/>
  <c r="AG19" i="15" s="1"/>
  <c r="AI19" i="2"/>
  <c r="AH19" i="15" s="1"/>
  <c r="AJ19" i="2"/>
  <c r="AI19" i="15" s="1"/>
  <c r="AL19" i="2"/>
  <c r="AF19" i="2"/>
  <c r="AE19" i="15" s="1"/>
  <c r="AE19" i="2"/>
  <c r="AD19" i="15" s="1"/>
  <c r="AC19" i="2"/>
  <c r="AB19" i="15" s="1"/>
  <c r="AR19" i="2"/>
  <c r="AD19" i="2"/>
  <c r="AC19" i="15" s="1"/>
  <c r="AK19" i="2"/>
  <c r="AJ19" i="15" s="1"/>
  <c r="AA17" i="16"/>
  <c r="AK17" i="15"/>
  <c r="AA17" i="17"/>
  <c r="AA18" i="17"/>
  <c r="AA18" i="16"/>
  <c r="AK18" i="15"/>
  <c r="S5" i="4"/>
  <c r="U5" i="2" s="1"/>
  <c r="J20" i="4"/>
  <c r="M19" i="2"/>
  <c r="C20" i="4"/>
  <c r="F19" i="2"/>
  <c r="J18" i="16"/>
  <c r="J18" i="17"/>
  <c r="K18" i="15"/>
  <c r="D20" i="4"/>
  <c r="G19" i="2"/>
  <c r="H18" i="16"/>
  <c r="H18" i="17"/>
  <c r="I18" i="15"/>
  <c r="Z4" i="2"/>
  <c r="X5" i="4"/>
  <c r="E20" i="4"/>
  <c r="H19" i="2"/>
  <c r="S4" i="2"/>
  <c r="Q5" i="4"/>
  <c r="H20" i="4"/>
  <c r="K19" i="2"/>
  <c r="AA4" i="2"/>
  <c r="Y5" i="4"/>
  <c r="F18" i="17"/>
  <c r="F18" i="16"/>
  <c r="G18" i="15"/>
  <c r="O18" i="17"/>
  <c r="O18" i="16"/>
  <c r="P18" i="15"/>
  <c r="T4" i="2"/>
  <c r="R5" i="4"/>
  <c r="I18" i="17"/>
  <c r="I18" i="16"/>
  <c r="J18" i="15"/>
  <c r="I20" i="4"/>
  <c r="L19" i="2"/>
  <c r="G20" i="4"/>
  <c r="J19" i="2"/>
  <c r="Y4" i="2"/>
  <c r="W4" i="10" s="1"/>
  <c r="W5" i="4"/>
  <c r="R4" i="2"/>
  <c r="P5" i="4"/>
  <c r="W4" i="2"/>
  <c r="U5" i="4"/>
  <c r="F68" i="4"/>
  <c r="F69" i="4" s="1"/>
  <c r="F70" i="4" s="1"/>
  <c r="F71" i="4" s="1"/>
  <c r="F72" i="4" s="1"/>
  <c r="L18" i="16"/>
  <c r="L18" i="17"/>
  <c r="M18" i="15"/>
  <c r="Q19" i="2"/>
  <c r="O20" i="4"/>
  <c r="X4" i="2"/>
  <c r="V5" i="4"/>
  <c r="P4" i="2"/>
  <c r="N5" i="4"/>
  <c r="AB4" i="2"/>
  <c r="Z4" i="9" s="1"/>
  <c r="Z5" i="4"/>
  <c r="V4" i="2"/>
  <c r="T5" i="4"/>
  <c r="O4" i="2"/>
  <c r="M5" i="4"/>
  <c r="K18" i="16"/>
  <c r="K18" i="17"/>
  <c r="L18" i="15"/>
  <c r="D18" i="16"/>
  <c r="D18" i="17"/>
  <c r="E18" i="15"/>
  <c r="E18" i="17"/>
  <c r="E18" i="16"/>
  <c r="F18" i="15"/>
  <c r="K20" i="4"/>
  <c r="N19" i="2"/>
  <c r="C19" i="2"/>
  <c r="B20" i="2"/>
  <c r="I11" i="13"/>
  <c r="L11" i="13" s="1"/>
  <c r="M11" i="13"/>
  <c r="E12" i="13"/>
  <c r="H12" i="13"/>
  <c r="L10" i="13"/>
  <c r="G19" i="13"/>
  <c r="B19" i="13"/>
  <c r="F15" i="12"/>
  <c r="C19" i="12"/>
  <c r="W4" i="9" l="1"/>
  <c r="Z4" i="10"/>
  <c r="AA4" i="7"/>
  <c r="W18" i="14"/>
  <c r="Y18" i="14" s="1"/>
  <c r="H18" i="11"/>
  <c r="J18" i="11" s="1"/>
  <c r="AA19" i="17"/>
  <c r="AK19" i="15"/>
  <c r="AA19" i="16"/>
  <c r="W17" i="14"/>
  <c r="Y17" i="14" s="1"/>
  <c r="H17" i="11"/>
  <c r="L17" i="11" s="1"/>
  <c r="Z19" i="14"/>
  <c r="AB19" i="14" s="1"/>
  <c r="D19" i="11"/>
  <c r="G19" i="11"/>
  <c r="H18" i="15"/>
  <c r="G18" i="16"/>
  <c r="G18" i="17"/>
  <c r="I19" i="2"/>
  <c r="AG19" i="16"/>
  <c r="AG19" i="17"/>
  <c r="AQ19" i="15"/>
  <c r="K21" i="4"/>
  <c r="V5" i="2"/>
  <c r="T6" i="4"/>
  <c r="V4" i="15"/>
  <c r="U4" i="16"/>
  <c r="U4" i="17"/>
  <c r="R6" i="4"/>
  <c r="T5" i="2"/>
  <c r="F19" i="16"/>
  <c r="F19" i="17"/>
  <c r="G19" i="15"/>
  <c r="T4" i="16"/>
  <c r="T4" i="17"/>
  <c r="U4" i="15"/>
  <c r="O21" i="4"/>
  <c r="F73" i="4"/>
  <c r="F74" i="4" s="1"/>
  <c r="F75" i="4" s="1"/>
  <c r="F76" i="4" s="1"/>
  <c r="F77" i="4" s="1"/>
  <c r="R5" i="2"/>
  <c r="P6" i="4"/>
  <c r="J19" i="16"/>
  <c r="J19" i="17"/>
  <c r="K19" i="15"/>
  <c r="R4" i="16"/>
  <c r="R4" i="17"/>
  <c r="S4" i="15"/>
  <c r="E21" i="4"/>
  <c r="E19" i="16"/>
  <c r="E19" i="17"/>
  <c r="F19" i="15"/>
  <c r="C21" i="4"/>
  <c r="O19" i="16"/>
  <c r="O19" i="17"/>
  <c r="P19" i="15"/>
  <c r="I21" i="4"/>
  <c r="I19" i="16"/>
  <c r="I19" i="17"/>
  <c r="J19" i="15"/>
  <c r="Z5" i="2"/>
  <c r="X6" i="4"/>
  <c r="D21" i="4"/>
  <c r="K19" i="17"/>
  <c r="K19" i="16"/>
  <c r="L19" i="15"/>
  <c r="W4" i="15"/>
  <c r="V4" i="17"/>
  <c r="V4" i="16"/>
  <c r="G21" i="4"/>
  <c r="D19" i="17"/>
  <c r="D19" i="16"/>
  <c r="E19" i="15"/>
  <c r="W4" i="7"/>
  <c r="AB5" i="2"/>
  <c r="Z6" i="4"/>
  <c r="Q4" i="15"/>
  <c r="P4" i="17"/>
  <c r="P4" i="16"/>
  <c r="V4" i="10"/>
  <c r="Z4" i="17"/>
  <c r="Z4" i="16"/>
  <c r="AA4" i="15"/>
  <c r="W6" i="4"/>
  <c r="Y5" i="2"/>
  <c r="H21" i="4"/>
  <c r="X4" i="17"/>
  <c r="X4" i="16"/>
  <c r="Y4" i="15"/>
  <c r="J21" i="4"/>
  <c r="V4" i="9"/>
  <c r="AA5" i="2"/>
  <c r="Y6" i="4"/>
  <c r="S5" i="2"/>
  <c r="Q6" i="4"/>
  <c r="S6" i="4"/>
  <c r="U6" i="2" s="1"/>
  <c r="O5" i="2"/>
  <c r="M6" i="4"/>
  <c r="P5" i="2"/>
  <c r="N6" i="4"/>
  <c r="W4" i="16"/>
  <c r="W4" i="17"/>
  <c r="X4" i="15"/>
  <c r="X4" i="7"/>
  <c r="L19" i="17"/>
  <c r="L19" i="16"/>
  <c r="M19" i="15"/>
  <c r="M4" i="16"/>
  <c r="AH4" i="16" s="1"/>
  <c r="K4" i="14" s="1"/>
  <c r="M4" i="14" s="1"/>
  <c r="M4" i="17"/>
  <c r="AH4" i="17" s="1"/>
  <c r="N4" i="14" s="1"/>
  <c r="P4" i="14" s="1"/>
  <c r="N4" i="15"/>
  <c r="AR4" i="15" s="1"/>
  <c r="E4" i="14" s="1"/>
  <c r="G4" i="14" s="1"/>
  <c r="AS4" i="2"/>
  <c r="N4" i="17"/>
  <c r="N4" i="16"/>
  <c r="O4" i="15"/>
  <c r="X5" i="2"/>
  <c r="W5" i="7" s="1"/>
  <c r="V6" i="4"/>
  <c r="U6" i="4"/>
  <c r="W5" i="2"/>
  <c r="H19" i="16"/>
  <c r="H19" i="17"/>
  <c r="I19" i="15"/>
  <c r="Y4" i="17"/>
  <c r="Y4" i="16"/>
  <c r="Z4" i="15"/>
  <c r="Q4" i="17"/>
  <c r="Q4" i="16"/>
  <c r="R4" i="15"/>
  <c r="AT4" i="2"/>
  <c r="S4" i="17"/>
  <c r="T4" i="15"/>
  <c r="S4" i="16"/>
  <c r="B21" i="2"/>
  <c r="D20" i="2"/>
  <c r="C20" i="2"/>
  <c r="C21" i="2" s="1"/>
  <c r="B22" i="2"/>
  <c r="B3" i="10"/>
  <c r="B3" i="9"/>
  <c r="C3" i="7"/>
  <c r="AZ3" i="2"/>
  <c r="AG3" i="7"/>
  <c r="AH3" i="7"/>
  <c r="AC3" i="7"/>
  <c r="AI3" i="7"/>
  <c r="AD3" i="7"/>
  <c r="AJ3" i="7"/>
  <c r="AE3" i="7"/>
  <c r="AB3" i="7"/>
  <c r="Y4" i="10"/>
  <c r="Y4" i="9"/>
  <c r="Z4" i="7"/>
  <c r="V5" i="9"/>
  <c r="X4" i="9"/>
  <c r="X4" i="10"/>
  <c r="Y4" i="7"/>
  <c r="K11" i="13"/>
  <c r="M12" i="13"/>
  <c r="I12" i="13"/>
  <c r="K12" i="13" s="1"/>
  <c r="P12" i="13"/>
  <c r="Q12" i="13"/>
  <c r="N12" i="13"/>
  <c r="H13" i="13"/>
  <c r="E13" i="13"/>
  <c r="O12" i="13"/>
  <c r="B20" i="13"/>
  <c r="G20" i="13"/>
  <c r="F16" i="12"/>
  <c r="C20" i="12"/>
  <c r="L3" i="4"/>
  <c r="AT3" i="4" s="1"/>
  <c r="N20" i="2" l="1"/>
  <c r="J17" i="11"/>
  <c r="L20" i="2"/>
  <c r="J20" i="17" s="1"/>
  <c r="G19" i="17"/>
  <c r="G19" i="16"/>
  <c r="I20" i="2"/>
  <c r="H19" i="15"/>
  <c r="K20" i="2"/>
  <c r="J20" i="15" s="1"/>
  <c r="Q20" i="2"/>
  <c r="P20" i="15" s="1"/>
  <c r="B20" i="16"/>
  <c r="B20" i="17"/>
  <c r="B20" i="11"/>
  <c r="AG20" i="2"/>
  <c r="AF20" i="15" s="1"/>
  <c r="C20" i="15"/>
  <c r="AH20" i="2"/>
  <c r="AG20" i="15" s="1"/>
  <c r="AK20" i="2"/>
  <c r="AJ20" i="15" s="1"/>
  <c r="AI20" i="2"/>
  <c r="AH20" i="15" s="1"/>
  <c r="AF20" i="2"/>
  <c r="AE20" i="15" s="1"/>
  <c r="AE20" i="2"/>
  <c r="AD20" i="15" s="1"/>
  <c r="AD20" i="2"/>
  <c r="AC20" i="15" s="1"/>
  <c r="AC20" i="2"/>
  <c r="AB20" i="15" s="1"/>
  <c r="AL20" i="2"/>
  <c r="AJ20" i="2"/>
  <c r="AI20" i="15" s="1"/>
  <c r="AR20" i="2"/>
  <c r="M20" i="2"/>
  <c r="K20" i="17" s="1"/>
  <c r="J20" i="2"/>
  <c r="I20" i="15" s="1"/>
  <c r="H20" i="2"/>
  <c r="G20" i="15" s="1"/>
  <c r="K17" i="11"/>
  <c r="G20" i="2"/>
  <c r="F20" i="15" s="1"/>
  <c r="F20" i="2"/>
  <c r="D20" i="17" s="1"/>
  <c r="W19" i="14"/>
  <c r="Y19" i="14" s="1"/>
  <c r="H19" i="11"/>
  <c r="J19" i="11" s="1"/>
  <c r="U7" i="4"/>
  <c r="W6" i="2"/>
  <c r="H4" i="14"/>
  <c r="J4" i="14" s="1"/>
  <c r="B4" i="14"/>
  <c r="D4" i="14" s="1"/>
  <c r="O5" i="15"/>
  <c r="N5" i="17"/>
  <c r="N5" i="16"/>
  <c r="Y5" i="16"/>
  <c r="Y5" i="17"/>
  <c r="Z5" i="15"/>
  <c r="Z6" i="2"/>
  <c r="X7" i="4"/>
  <c r="I22" i="4"/>
  <c r="F78" i="4"/>
  <c r="F79" i="4" s="1"/>
  <c r="F80" i="4" s="1"/>
  <c r="F81" i="4" s="1"/>
  <c r="F82" i="4" s="1"/>
  <c r="U5" i="16"/>
  <c r="U5" i="17"/>
  <c r="V5" i="15"/>
  <c r="P6" i="2"/>
  <c r="N7" i="4"/>
  <c r="Y7" i="4"/>
  <c r="AA6" i="2"/>
  <c r="J20" i="16"/>
  <c r="C22" i="4"/>
  <c r="V7" i="4"/>
  <c r="X6" i="2"/>
  <c r="V6" i="10" s="1"/>
  <c r="M7" i="4"/>
  <c r="O6" i="2"/>
  <c r="S7" i="4"/>
  <c r="U7" i="2" s="1"/>
  <c r="W5" i="17"/>
  <c r="W5" i="16"/>
  <c r="X5" i="15"/>
  <c r="Y5" i="15"/>
  <c r="X5" i="17"/>
  <c r="X5" i="16"/>
  <c r="O20" i="16"/>
  <c r="O20" i="17"/>
  <c r="S5" i="15"/>
  <c r="R5" i="17"/>
  <c r="R5" i="16"/>
  <c r="T7" i="4"/>
  <c r="V6" i="2"/>
  <c r="D22" i="4"/>
  <c r="V5" i="16"/>
  <c r="V5" i="17"/>
  <c r="W5" i="15"/>
  <c r="M5" i="17"/>
  <c r="AH5" i="17" s="1"/>
  <c r="N5" i="14" s="1"/>
  <c r="P5" i="14" s="1"/>
  <c r="M5" i="16"/>
  <c r="AH5" i="16" s="1"/>
  <c r="K5" i="14" s="1"/>
  <c r="M5" i="14" s="1"/>
  <c r="AS5" i="2"/>
  <c r="N5" i="15"/>
  <c r="AR5" i="15" s="1"/>
  <c r="E5" i="14" s="1"/>
  <c r="G5" i="14" s="1"/>
  <c r="S5" i="17"/>
  <c r="S5" i="16"/>
  <c r="T5" i="15"/>
  <c r="H22" i="4"/>
  <c r="W7" i="4"/>
  <c r="Y6" i="2"/>
  <c r="Z7" i="4"/>
  <c r="AB6" i="2"/>
  <c r="O22" i="4"/>
  <c r="T5" i="17"/>
  <c r="T5" i="16"/>
  <c r="U5" i="15"/>
  <c r="S6" i="2"/>
  <c r="Q7" i="4"/>
  <c r="J22" i="4"/>
  <c r="Z5" i="17"/>
  <c r="Z5" i="16"/>
  <c r="AA5" i="15"/>
  <c r="Z5" i="10"/>
  <c r="Z5" i="9"/>
  <c r="AA5" i="7"/>
  <c r="G22" i="4"/>
  <c r="F20" i="16"/>
  <c r="P7" i="4"/>
  <c r="R6" i="2"/>
  <c r="R7" i="4"/>
  <c r="T6" i="2"/>
  <c r="L20" i="16"/>
  <c r="L20" i="17"/>
  <c r="M20" i="15"/>
  <c r="V5" i="10"/>
  <c r="R5" i="15"/>
  <c r="Q5" i="17"/>
  <c r="Q5" i="16"/>
  <c r="AT5" i="2"/>
  <c r="E22" i="4"/>
  <c r="P5" i="17"/>
  <c r="P5" i="16"/>
  <c r="Q5" i="15"/>
  <c r="K22" i="4"/>
  <c r="C22" i="2"/>
  <c r="D21" i="2"/>
  <c r="AX3" i="2"/>
  <c r="BB3" i="2"/>
  <c r="B23" i="2"/>
  <c r="BA3" i="2"/>
  <c r="AW3" i="2"/>
  <c r="AF3" i="7"/>
  <c r="AY3" i="2"/>
  <c r="R3" i="10"/>
  <c r="R3" i="9"/>
  <c r="S3" i="7"/>
  <c r="C3" i="10"/>
  <c r="C3" i="9"/>
  <c r="D3" i="7"/>
  <c r="E3" i="10"/>
  <c r="E3" i="9"/>
  <c r="F3" i="7"/>
  <c r="G3" i="12"/>
  <c r="Q3" i="14" s="1"/>
  <c r="S3" i="14" s="1"/>
  <c r="D3" i="12"/>
  <c r="B4" i="12"/>
  <c r="T4" i="14" s="1"/>
  <c r="V4" i="14" s="1"/>
  <c r="B4" i="9"/>
  <c r="B4" i="10"/>
  <c r="C4" i="7"/>
  <c r="F3" i="10"/>
  <c r="F3" i="9"/>
  <c r="G3" i="7"/>
  <c r="K3" i="10"/>
  <c r="K3" i="9"/>
  <c r="L3" i="7"/>
  <c r="X5" i="10"/>
  <c r="X5" i="9"/>
  <c r="Y5" i="7"/>
  <c r="L3" i="10"/>
  <c r="L3" i="9"/>
  <c r="M3" i="7"/>
  <c r="W5" i="10"/>
  <c r="W5" i="9"/>
  <c r="X5" i="7"/>
  <c r="D3" i="10"/>
  <c r="D3" i="9"/>
  <c r="E3" i="7"/>
  <c r="I3" i="10"/>
  <c r="I3" i="9"/>
  <c r="J3" i="7"/>
  <c r="H3" i="10"/>
  <c r="H3" i="9"/>
  <c r="I3" i="7"/>
  <c r="U3" i="10"/>
  <c r="U3" i="9"/>
  <c r="V3" i="7"/>
  <c r="S3" i="10"/>
  <c r="S3" i="9"/>
  <c r="T3" i="7"/>
  <c r="G3" i="10"/>
  <c r="G3" i="9"/>
  <c r="H3" i="7"/>
  <c r="J3" i="10"/>
  <c r="J3" i="9"/>
  <c r="K3" i="7"/>
  <c r="M3" i="10"/>
  <c r="M3" i="9"/>
  <c r="N3" i="7"/>
  <c r="O3" i="10"/>
  <c r="O3" i="9"/>
  <c r="P3" i="7"/>
  <c r="T3" i="10"/>
  <c r="T3" i="9"/>
  <c r="U3" i="7"/>
  <c r="AG3" i="10"/>
  <c r="AG3" i="9"/>
  <c r="AQ3" i="7"/>
  <c r="Y5" i="10"/>
  <c r="Y5" i="9"/>
  <c r="Z5" i="7"/>
  <c r="Q3" i="10"/>
  <c r="Q3" i="9"/>
  <c r="R3" i="7"/>
  <c r="P3" i="10"/>
  <c r="P3" i="9"/>
  <c r="Q3" i="7"/>
  <c r="N3" i="10"/>
  <c r="N3" i="9"/>
  <c r="O3" i="7"/>
  <c r="AA3" i="10"/>
  <c r="AA3" i="9"/>
  <c r="AK3" i="7"/>
  <c r="L12" i="13"/>
  <c r="I13" i="13"/>
  <c r="K13" i="13" s="1"/>
  <c r="M13" i="13"/>
  <c r="H14" i="13"/>
  <c r="E14" i="13"/>
  <c r="G21" i="13"/>
  <c r="B21" i="13"/>
  <c r="F17" i="12"/>
  <c r="C21" i="12"/>
  <c r="F20" i="17" l="1"/>
  <c r="K20" i="15"/>
  <c r="L21" i="2"/>
  <c r="J21" i="17" s="1"/>
  <c r="E20" i="15"/>
  <c r="L20" i="15"/>
  <c r="E20" i="16"/>
  <c r="K20" i="16"/>
  <c r="H20" i="16"/>
  <c r="I20" i="17"/>
  <c r="H20" i="17"/>
  <c r="I20" i="16"/>
  <c r="E20" i="17"/>
  <c r="W6" i="7"/>
  <c r="D20" i="16"/>
  <c r="V6" i="9"/>
  <c r="J21" i="2"/>
  <c r="I21" i="15" s="1"/>
  <c r="B21" i="11"/>
  <c r="B21" i="17"/>
  <c r="B21" i="16"/>
  <c r="C21" i="15"/>
  <c r="AG21" i="2"/>
  <c r="AF21" i="15" s="1"/>
  <c r="AH21" i="2"/>
  <c r="AG21" i="15" s="1"/>
  <c r="AR21" i="2"/>
  <c r="AJ21" i="2"/>
  <c r="AI21" i="15" s="1"/>
  <c r="AE21" i="2"/>
  <c r="AD21" i="15" s="1"/>
  <c r="AI21" i="2"/>
  <c r="AH21" i="15" s="1"/>
  <c r="AC21" i="2"/>
  <c r="AB21" i="15" s="1"/>
  <c r="AF21" i="2"/>
  <c r="AE21" i="15" s="1"/>
  <c r="AD21" i="2"/>
  <c r="AC21" i="15" s="1"/>
  <c r="AL21" i="2"/>
  <c r="AK21" i="2"/>
  <c r="AJ21" i="15" s="1"/>
  <c r="M21" i="2"/>
  <c r="L21" i="15" s="1"/>
  <c r="G21" i="2"/>
  <c r="E21" i="17" s="1"/>
  <c r="AG20" i="17"/>
  <c r="AG20" i="16"/>
  <c r="AQ20" i="15"/>
  <c r="Z20" i="14"/>
  <c r="AB20" i="14" s="1"/>
  <c r="D20" i="11"/>
  <c r="G20" i="11"/>
  <c r="G20" i="16"/>
  <c r="G20" i="17"/>
  <c r="H20" i="15"/>
  <c r="I21" i="2"/>
  <c r="H21" i="2"/>
  <c r="G21" i="15" s="1"/>
  <c r="Q21" i="2"/>
  <c r="P21" i="15" s="1"/>
  <c r="N21" i="2"/>
  <c r="L21" i="16" s="1"/>
  <c r="K21" i="2"/>
  <c r="I21" i="17" s="1"/>
  <c r="F21" i="2"/>
  <c r="D21" i="16" s="1"/>
  <c r="AK20" i="15"/>
  <c r="AA20" i="17"/>
  <c r="AA20" i="16"/>
  <c r="F83" i="4"/>
  <c r="F84" i="4" s="1"/>
  <c r="F85" i="4" s="1"/>
  <c r="F86" i="4" s="1"/>
  <c r="F87" i="4" s="1"/>
  <c r="E23" i="4"/>
  <c r="P8" i="4"/>
  <c r="R7" i="2"/>
  <c r="G23" i="4"/>
  <c r="Z8" i="4"/>
  <c r="AB7" i="2"/>
  <c r="H5" i="14"/>
  <c r="J5" i="14" s="1"/>
  <c r="B5" i="14"/>
  <c r="D5" i="14" s="1"/>
  <c r="D23" i="4"/>
  <c r="S8" i="4"/>
  <c r="U8" i="2" s="1"/>
  <c r="I23" i="4"/>
  <c r="Z7" i="2"/>
  <c r="X8" i="4"/>
  <c r="R8" i="4"/>
  <c r="T7" i="2"/>
  <c r="Q6" i="17"/>
  <c r="Q6" i="16"/>
  <c r="R6" i="15"/>
  <c r="AT6" i="2"/>
  <c r="H23" i="4"/>
  <c r="X7" i="2"/>
  <c r="V7" i="10" s="1"/>
  <c r="V8" i="4"/>
  <c r="C23" i="4"/>
  <c r="N8" i="4"/>
  <c r="P7" i="2"/>
  <c r="T6" i="15"/>
  <c r="S6" i="17"/>
  <c r="S6" i="16"/>
  <c r="N6" i="16"/>
  <c r="O6" i="15"/>
  <c r="N6" i="17"/>
  <c r="K23" i="4"/>
  <c r="W6" i="16"/>
  <c r="W6" i="17"/>
  <c r="X6" i="15"/>
  <c r="AS6" i="2"/>
  <c r="M6" i="16"/>
  <c r="AH6" i="16" s="1"/>
  <c r="K6" i="14" s="1"/>
  <c r="M6" i="14" s="1"/>
  <c r="M6" i="17"/>
  <c r="AH6" i="17" s="1"/>
  <c r="N6" i="14" s="1"/>
  <c r="P6" i="14" s="1"/>
  <c r="N6" i="15"/>
  <c r="AR6" i="15" s="1"/>
  <c r="E6" i="14" s="1"/>
  <c r="G6" i="14" s="1"/>
  <c r="R6" i="16"/>
  <c r="R6" i="17"/>
  <c r="S6" i="15"/>
  <c r="J23" i="4"/>
  <c r="W8" i="4"/>
  <c r="Y7" i="2"/>
  <c r="T6" i="17"/>
  <c r="T6" i="16"/>
  <c r="U6" i="15"/>
  <c r="M8" i="4"/>
  <c r="O7" i="2"/>
  <c r="Y6" i="16"/>
  <c r="Y6" i="17"/>
  <c r="Z6" i="15"/>
  <c r="X6" i="17"/>
  <c r="X6" i="16"/>
  <c r="Y6" i="15"/>
  <c r="U6" i="17"/>
  <c r="U6" i="16"/>
  <c r="V6" i="15"/>
  <c r="P6" i="16"/>
  <c r="P6" i="17"/>
  <c r="Q6" i="15"/>
  <c r="Z6" i="17"/>
  <c r="Z6" i="16"/>
  <c r="AA6" i="15"/>
  <c r="Z6" i="9"/>
  <c r="AA6" i="7"/>
  <c r="Z6" i="10"/>
  <c r="K21" i="15"/>
  <c r="Q8" i="4"/>
  <c r="S7" i="2"/>
  <c r="O23" i="4"/>
  <c r="T8" i="4"/>
  <c r="V7" i="2"/>
  <c r="W6" i="15"/>
  <c r="V6" i="17"/>
  <c r="V6" i="16"/>
  <c r="Y8" i="4"/>
  <c r="AA7" i="2"/>
  <c r="U8" i="4"/>
  <c r="W7" i="2"/>
  <c r="D22" i="2"/>
  <c r="B24" i="2"/>
  <c r="C23" i="2"/>
  <c r="AX4" i="2"/>
  <c r="AR3" i="7"/>
  <c r="AH3" i="10"/>
  <c r="AH3" i="9"/>
  <c r="K3" i="12"/>
  <c r="F4" i="9"/>
  <c r="F4" i="10"/>
  <c r="G4" i="7"/>
  <c r="D4" i="12"/>
  <c r="G4" i="12"/>
  <c r="Q4" i="14" s="1"/>
  <c r="S4" i="14" s="1"/>
  <c r="Q4" i="10"/>
  <c r="Q4" i="9"/>
  <c r="R4" i="7"/>
  <c r="U4" i="10"/>
  <c r="U4" i="9"/>
  <c r="V4" i="7"/>
  <c r="O4" i="10"/>
  <c r="O4" i="9"/>
  <c r="P4" i="7"/>
  <c r="S4" i="10"/>
  <c r="S4" i="9"/>
  <c r="T4" i="7"/>
  <c r="Y6" i="10"/>
  <c r="Y6" i="9"/>
  <c r="Z6" i="7"/>
  <c r="M4" i="10"/>
  <c r="M4" i="9"/>
  <c r="N4" i="7"/>
  <c r="X6" i="9"/>
  <c r="X6" i="10"/>
  <c r="Y6" i="7"/>
  <c r="R4" i="9"/>
  <c r="R4" i="10"/>
  <c r="S4" i="7"/>
  <c r="T4" i="9"/>
  <c r="T4" i="10"/>
  <c r="U4" i="7"/>
  <c r="H3" i="12"/>
  <c r="J3" i="12" s="1"/>
  <c r="W6" i="10"/>
  <c r="W6" i="9"/>
  <c r="X6" i="7"/>
  <c r="B5" i="12"/>
  <c r="T5" i="14" s="1"/>
  <c r="V5" i="14" s="1"/>
  <c r="B5" i="9"/>
  <c r="B5" i="10"/>
  <c r="C5" i="7"/>
  <c r="P4" i="9"/>
  <c r="P4" i="10"/>
  <c r="Q4" i="7"/>
  <c r="N4" i="9"/>
  <c r="N4" i="10"/>
  <c r="O4" i="7"/>
  <c r="L13" i="13"/>
  <c r="M14" i="13"/>
  <c r="I14" i="13"/>
  <c r="L14" i="13" s="1"/>
  <c r="H15" i="13"/>
  <c r="E15" i="13"/>
  <c r="G22" i="13"/>
  <c r="B22" i="13"/>
  <c r="F18" i="12"/>
  <c r="C22" i="12"/>
  <c r="J21" i="16" l="1"/>
  <c r="M22" i="2"/>
  <c r="K21" i="17"/>
  <c r="K21" i="16"/>
  <c r="F21" i="17"/>
  <c r="Q22" i="2"/>
  <c r="P22" i="15" s="1"/>
  <c r="H21" i="17"/>
  <c r="H21" i="16"/>
  <c r="L21" i="17"/>
  <c r="V7" i="9"/>
  <c r="E21" i="15"/>
  <c r="D21" i="17"/>
  <c r="J21" i="15"/>
  <c r="I21" i="16"/>
  <c r="W7" i="7"/>
  <c r="O21" i="17"/>
  <c r="E21" i="16"/>
  <c r="O21" i="16"/>
  <c r="F21" i="16"/>
  <c r="F21" i="15"/>
  <c r="M21" i="15"/>
  <c r="F22" i="2"/>
  <c r="D22" i="16" s="1"/>
  <c r="W20" i="14"/>
  <c r="Y20" i="14" s="1"/>
  <c r="H20" i="11"/>
  <c r="J20" i="11" s="1"/>
  <c r="K22" i="2"/>
  <c r="I22" i="16" s="1"/>
  <c r="J22" i="2"/>
  <c r="H22" i="17" s="1"/>
  <c r="G21" i="16"/>
  <c r="G21" i="17"/>
  <c r="H21" i="15"/>
  <c r="G22" i="2"/>
  <c r="E22" i="17" s="1"/>
  <c r="AA21" i="17"/>
  <c r="AK21" i="15"/>
  <c r="AA21" i="16"/>
  <c r="AG21" i="17"/>
  <c r="AG21" i="16"/>
  <c r="AQ21" i="15"/>
  <c r="Z21" i="14"/>
  <c r="AB21" i="14" s="1"/>
  <c r="D21" i="11"/>
  <c r="G21" i="11"/>
  <c r="B22" i="17"/>
  <c r="B22" i="16"/>
  <c r="B22" i="11"/>
  <c r="C22" i="15"/>
  <c r="AG22" i="2"/>
  <c r="AF22" i="15" s="1"/>
  <c r="AH22" i="2"/>
  <c r="AG22" i="15" s="1"/>
  <c r="AD22" i="2"/>
  <c r="AC22" i="15" s="1"/>
  <c r="AR22" i="2"/>
  <c r="AF22" i="2"/>
  <c r="AE22" i="15" s="1"/>
  <c r="AC22" i="2"/>
  <c r="AB22" i="15" s="1"/>
  <c r="AK22" i="2"/>
  <c r="AJ22" i="15" s="1"/>
  <c r="AL22" i="2"/>
  <c r="AI22" i="2"/>
  <c r="AH22" i="15" s="1"/>
  <c r="AE22" i="2"/>
  <c r="AD22" i="15" s="1"/>
  <c r="AJ22" i="2"/>
  <c r="AI22" i="15" s="1"/>
  <c r="I22" i="2"/>
  <c r="N22" i="2"/>
  <c r="M22" i="15" s="1"/>
  <c r="L22" i="2"/>
  <c r="J22" i="17" s="1"/>
  <c r="H22" i="2"/>
  <c r="G22" i="15" s="1"/>
  <c r="R7" i="16"/>
  <c r="R7" i="17"/>
  <c r="S7" i="15"/>
  <c r="I24" i="4"/>
  <c r="E24" i="4"/>
  <c r="U9" i="4"/>
  <c r="W8" i="2"/>
  <c r="V9" i="4"/>
  <c r="X8" i="2"/>
  <c r="V8" i="9" s="1"/>
  <c r="H24" i="4"/>
  <c r="S7" i="16"/>
  <c r="S7" i="17"/>
  <c r="T7" i="15"/>
  <c r="Z7" i="17"/>
  <c r="Z7" i="16"/>
  <c r="AA7" i="15"/>
  <c r="AA7" i="7"/>
  <c r="Z7" i="10"/>
  <c r="Z7" i="9"/>
  <c r="O24" i="4"/>
  <c r="W7" i="16"/>
  <c r="W7" i="17"/>
  <c r="X7" i="15"/>
  <c r="J24" i="4"/>
  <c r="N7" i="16"/>
  <c r="N7" i="17"/>
  <c r="O7" i="15"/>
  <c r="Z8" i="2"/>
  <c r="X9" i="4"/>
  <c r="P7" i="16"/>
  <c r="P7" i="17"/>
  <c r="Q7" i="15"/>
  <c r="Y9" i="4"/>
  <c r="AA8" i="2"/>
  <c r="M9" i="4"/>
  <c r="O8" i="2"/>
  <c r="T7" i="17"/>
  <c r="T7" i="16"/>
  <c r="U7" i="15"/>
  <c r="C24" i="4"/>
  <c r="T9" i="4"/>
  <c r="V8" i="2"/>
  <c r="Q7" i="16"/>
  <c r="Q7" i="17"/>
  <c r="R7" i="15"/>
  <c r="AT7" i="2"/>
  <c r="Q9" i="4"/>
  <c r="S8" i="2"/>
  <c r="K22" i="16"/>
  <c r="K22" i="17"/>
  <c r="L22" i="15"/>
  <c r="H6" i="14"/>
  <c r="J6" i="14" s="1"/>
  <c r="B6" i="14"/>
  <c r="D6" i="14" s="1"/>
  <c r="V7" i="16"/>
  <c r="W7" i="15"/>
  <c r="V7" i="17"/>
  <c r="R9" i="4"/>
  <c r="T8" i="2"/>
  <c r="S9" i="4"/>
  <c r="U9" i="2" s="1"/>
  <c r="Z9" i="4"/>
  <c r="AB8" i="2"/>
  <c r="G24" i="4"/>
  <c r="U7" i="16"/>
  <c r="U7" i="17"/>
  <c r="V7" i="15"/>
  <c r="Y7" i="17"/>
  <c r="Y7" i="16"/>
  <c r="Z7" i="15"/>
  <c r="AS7" i="2"/>
  <c r="M7" i="17"/>
  <c r="AH7" i="17" s="1"/>
  <c r="N7" i="14" s="1"/>
  <c r="P7" i="14" s="1"/>
  <c r="M7" i="16"/>
  <c r="AH7" i="16" s="1"/>
  <c r="K7" i="14" s="1"/>
  <c r="M7" i="14" s="1"/>
  <c r="N7" i="15"/>
  <c r="AR7" i="15" s="1"/>
  <c r="E7" i="14" s="1"/>
  <c r="G7" i="14" s="1"/>
  <c r="W9" i="4"/>
  <c r="Y8" i="2"/>
  <c r="K24" i="4"/>
  <c r="N9" i="4"/>
  <c r="P8" i="2"/>
  <c r="X7" i="17"/>
  <c r="X7" i="16"/>
  <c r="Y7" i="15"/>
  <c r="D24" i="4"/>
  <c r="P9" i="4"/>
  <c r="R8" i="2"/>
  <c r="F88" i="4"/>
  <c r="F89" i="4" s="1"/>
  <c r="F90" i="4" s="1"/>
  <c r="F91" i="4" s="1"/>
  <c r="F92" i="4" s="1"/>
  <c r="D23" i="2"/>
  <c r="C24" i="2"/>
  <c r="B25" i="2"/>
  <c r="AW4" i="2"/>
  <c r="AX5" i="2"/>
  <c r="AW5" i="2"/>
  <c r="G5" i="10"/>
  <c r="G5" i="9"/>
  <c r="H5" i="7"/>
  <c r="N5" i="9"/>
  <c r="N5" i="10"/>
  <c r="O5" i="7"/>
  <c r="D5" i="9"/>
  <c r="D5" i="10"/>
  <c r="E5" i="7"/>
  <c r="P5" i="9"/>
  <c r="P5" i="10"/>
  <c r="Q5" i="7"/>
  <c r="E4" i="10"/>
  <c r="E4" i="9"/>
  <c r="F4" i="7"/>
  <c r="D4" i="9"/>
  <c r="D4" i="10"/>
  <c r="E4" i="7"/>
  <c r="J4" i="9"/>
  <c r="J4" i="10"/>
  <c r="K4" i="7"/>
  <c r="U5" i="10"/>
  <c r="U5" i="9"/>
  <c r="V5" i="7"/>
  <c r="K5" i="10"/>
  <c r="K5" i="9"/>
  <c r="L5" i="7"/>
  <c r="R5" i="9"/>
  <c r="R5" i="10"/>
  <c r="S5" i="7"/>
  <c r="K4" i="10"/>
  <c r="K4" i="9"/>
  <c r="L4" i="7"/>
  <c r="K4" i="12"/>
  <c r="H4" i="12"/>
  <c r="J4" i="12" s="1"/>
  <c r="W7" i="10"/>
  <c r="W7" i="9"/>
  <c r="X7" i="7"/>
  <c r="B6" i="12"/>
  <c r="T6" i="14" s="1"/>
  <c r="V6" i="14" s="1"/>
  <c r="B6" i="10"/>
  <c r="B6" i="9"/>
  <c r="C6" i="7"/>
  <c r="O5" i="10"/>
  <c r="O5" i="9"/>
  <c r="P5" i="7"/>
  <c r="E5" i="10"/>
  <c r="E5" i="9"/>
  <c r="F5" i="7"/>
  <c r="I5" i="10"/>
  <c r="I5" i="9"/>
  <c r="J5" i="7"/>
  <c r="L5" i="9"/>
  <c r="L5" i="10"/>
  <c r="M5" i="7"/>
  <c r="S5" i="10"/>
  <c r="S5" i="9"/>
  <c r="T5" i="7"/>
  <c r="G5" i="12"/>
  <c r="Q5" i="14" s="1"/>
  <c r="S5" i="14" s="1"/>
  <c r="D5" i="12"/>
  <c r="F5" i="9"/>
  <c r="F5" i="10"/>
  <c r="G5" i="7"/>
  <c r="M5" i="10"/>
  <c r="M5" i="9"/>
  <c r="N5" i="7"/>
  <c r="Q5" i="10"/>
  <c r="Q5" i="9"/>
  <c r="R5" i="7"/>
  <c r="Y7" i="10"/>
  <c r="Y7" i="9"/>
  <c r="Z7" i="7"/>
  <c r="G4" i="10"/>
  <c r="G4" i="9"/>
  <c r="H4" i="7"/>
  <c r="L4" i="9"/>
  <c r="L4" i="10"/>
  <c r="M4" i="7"/>
  <c r="T5" i="9"/>
  <c r="T5" i="10"/>
  <c r="U5" i="7"/>
  <c r="J5" i="9"/>
  <c r="J5" i="10"/>
  <c r="K5" i="7"/>
  <c r="H5" i="9"/>
  <c r="H5" i="10"/>
  <c r="I5" i="7"/>
  <c r="X7" i="10"/>
  <c r="X7" i="9"/>
  <c r="Y7" i="7"/>
  <c r="I4" i="10"/>
  <c r="I4" i="9"/>
  <c r="J4" i="7"/>
  <c r="H4" i="9"/>
  <c r="H4" i="10"/>
  <c r="I4" i="7"/>
  <c r="K14" i="13"/>
  <c r="I15" i="13"/>
  <c r="L15" i="13" s="1"/>
  <c r="M15" i="13"/>
  <c r="E16" i="13"/>
  <c r="H16" i="13"/>
  <c r="B23" i="13"/>
  <c r="G23" i="13"/>
  <c r="F19" i="12"/>
  <c r="C23" i="12"/>
  <c r="M23" i="2" l="1"/>
  <c r="L22" i="16"/>
  <c r="H22" i="16"/>
  <c r="O22" i="16"/>
  <c r="I22" i="15"/>
  <c r="O22" i="17"/>
  <c r="E22" i="16"/>
  <c r="V8" i="10"/>
  <c r="E22" i="15"/>
  <c r="F22" i="16"/>
  <c r="F22" i="17"/>
  <c r="L22" i="17"/>
  <c r="W8" i="7"/>
  <c r="I22" i="17"/>
  <c r="D22" i="17"/>
  <c r="K22" i="15"/>
  <c r="J23" i="2"/>
  <c r="H23" i="16" s="1"/>
  <c r="F22" i="15"/>
  <c r="J22" i="15"/>
  <c r="F23" i="2"/>
  <c r="E23" i="15" s="1"/>
  <c r="L23" i="2"/>
  <c r="J23" i="17" s="1"/>
  <c r="AK22" i="15"/>
  <c r="AA22" i="17"/>
  <c r="AA22" i="16"/>
  <c r="W21" i="14"/>
  <c r="Y21" i="14" s="1"/>
  <c r="H21" i="11"/>
  <c r="J21" i="11" s="1"/>
  <c r="H23" i="2"/>
  <c r="F23" i="17" s="1"/>
  <c r="H22" i="15"/>
  <c r="G22" i="17"/>
  <c r="I23" i="2"/>
  <c r="G22" i="16"/>
  <c r="J22" i="16"/>
  <c r="Z22" i="14"/>
  <c r="AB22" i="14" s="1"/>
  <c r="D22" i="11"/>
  <c r="G22" i="11"/>
  <c r="B23" i="11"/>
  <c r="B23" i="17"/>
  <c r="B23" i="16"/>
  <c r="C23" i="15"/>
  <c r="AG23" i="2"/>
  <c r="AF23" i="15" s="1"/>
  <c r="AH23" i="2"/>
  <c r="AG23" i="15" s="1"/>
  <c r="AR23" i="2"/>
  <c r="AL23" i="2"/>
  <c r="AI23" i="2"/>
  <c r="AH23" i="15" s="1"/>
  <c r="AK23" i="2"/>
  <c r="AJ23" i="15" s="1"/>
  <c r="AF23" i="2"/>
  <c r="AE23" i="15" s="1"/>
  <c r="AD23" i="2"/>
  <c r="AC23" i="15" s="1"/>
  <c r="AE23" i="2"/>
  <c r="AD23" i="15" s="1"/>
  <c r="AJ23" i="2"/>
  <c r="AI23" i="15" s="1"/>
  <c r="AC23" i="2"/>
  <c r="AB23" i="15" s="1"/>
  <c r="G23" i="2"/>
  <c r="F23" i="15" s="1"/>
  <c r="AG22" i="16"/>
  <c r="AG22" i="17"/>
  <c r="AQ22" i="15"/>
  <c r="N23" i="2"/>
  <c r="M23" i="15" s="1"/>
  <c r="Q23" i="2"/>
  <c r="P23" i="15" s="1"/>
  <c r="K23" i="2"/>
  <c r="I23" i="17" s="1"/>
  <c r="U8" i="16"/>
  <c r="U8" i="17"/>
  <c r="V8" i="15"/>
  <c r="R8" i="16"/>
  <c r="R8" i="17"/>
  <c r="S8" i="15"/>
  <c r="P8" i="16"/>
  <c r="P8" i="17"/>
  <c r="Q8" i="15"/>
  <c r="W10" i="4"/>
  <c r="Y9" i="2"/>
  <c r="G25" i="4"/>
  <c r="Z9" i="2"/>
  <c r="X10" i="4"/>
  <c r="O25" i="4"/>
  <c r="V8" i="16"/>
  <c r="V8" i="17"/>
  <c r="W8" i="15"/>
  <c r="U10" i="4"/>
  <c r="W9" i="2"/>
  <c r="W8" i="17"/>
  <c r="W8" i="16"/>
  <c r="X8" i="15"/>
  <c r="Y10" i="4"/>
  <c r="AA9" i="2"/>
  <c r="P10" i="4"/>
  <c r="R9" i="2"/>
  <c r="N8" i="16"/>
  <c r="N8" i="17"/>
  <c r="O8" i="15"/>
  <c r="Z8" i="17"/>
  <c r="AA8" i="15"/>
  <c r="Z8" i="16"/>
  <c r="Z8" i="9"/>
  <c r="Z8" i="10"/>
  <c r="AA8" i="7"/>
  <c r="R10" i="4"/>
  <c r="T9" i="2"/>
  <c r="T8" i="16"/>
  <c r="T8" i="17"/>
  <c r="U8" i="15"/>
  <c r="C25" i="4"/>
  <c r="X8" i="16"/>
  <c r="Y8" i="15"/>
  <c r="X8" i="17"/>
  <c r="V10" i="4"/>
  <c r="X9" i="2"/>
  <c r="W9" i="7" s="1"/>
  <c r="I25" i="4"/>
  <c r="N10" i="4"/>
  <c r="P9" i="2"/>
  <c r="AB9" i="2"/>
  <c r="Z10" i="4"/>
  <c r="Q8" i="16"/>
  <c r="Q8" i="17"/>
  <c r="R8" i="15"/>
  <c r="AT8" i="2"/>
  <c r="T10" i="4"/>
  <c r="V9" i="2"/>
  <c r="M8" i="16"/>
  <c r="AH8" i="16" s="1"/>
  <c r="K8" i="14" s="1"/>
  <c r="M8" i="14" s="1"/>
  <c r="M8" i="17"/>
  <c r="AH8" i="17" s="1"/>
  <c r="N8" i="14" s="1"/>
  <c r="P8" i="14" s="1"/>
  <c r="AS8" i="2"/>
  <c r="N8" i="15"/>
  <c r="AR8" i="15" s="1"/>
  <c r="E8" i="14" s="1"/>
  <c r="G8" i="14" s="1"/>
  <c r="K23" i="17"/>
  <c r="K23" i="16"/>
  <c r="L23" i="15"/>
  <c r="E25" i="4"/>
  <c r="F93" i="4"/>
  <c r="F94" i="4" s="1"/>
  <c r="F95" i="4" s="1"/>
  <c r="F96" i="4" s="1"/>
  <c r="F97" i="4" s="1"/>
  <c r="D25" i="4"/>
  <c r="S8" i="16"/>
  <c r="S8" i="17"/>
  <c r="T8" i="15"/>
  <c r="Q10" i="4"/>
  <c r="S9" i="2"/>
  <c r="M10" i="4"/>
  <c r="O9" i="2"/>
  <c r="J25" i="4"/>
  <c r="K25" i="4"/>
  <c r="H7" i="14"/>
  <c r="J7" i="14" s="1"/>
  <c r="B7" i="14"/>
  <c r="D7" i="14" s="1"/>
  <c r="S10" i="4"/>
  <c r="U10" i="2" s="1"/>
  <c r="Y8" i="17"/>
  <c r="Y8" i="16"/>
  <c r="Z8" i="15"/>
  <c r="H25" i="4"/>
  <c r="D24" i="2"/>
  <c r="B26" i="2"/>
  <c r="C25" i="2"/>
  <c r="AW6" i="2"/>
  <c r="AX6" i="2"/>
  <c r="U6" i="10"/>
  <c r="U6" i="9"/>
  <c r="V6" i="7"/>
  <c r="AB4" i="7"/>
  <c r="Y8" i="10"/>
  <c r="Y8" i="9"/>
  <c r="Z8" i="7"/>
  <c r="AB3" i="10"/>
  <c r="AB3" i="9"/>
  <c r="AL3" i="7"/>
  <c r="K5" i="12"/>
  <c r="H5" i="12"/>
  <c r="J5" i="12" s="1"/>
  <c r="L6" i="10"/>
  <c r="L6" i="9"/>
  <c r="M6" i="7"/>
  <c r="T6" i="10"/>
  <c r="T6" i="9"/>
  <c r="U6" i="7"/>
  <c r="R6" i="10"/>
  <c r="R6" i="9"/>
  <c r="S6" i="7"/>
  <c r="F6" i="10"/>
  <c r="F6" i="9"/>
  <c r="G6" i="7"/>
  <c r="N6" i="10"/>
  <c r="N6" i="9"/>
  <c r="O6" i="7"/>
  <c r="Q6" i="10"/>
  <c r="Q6" i="9"/>
  <c r="R6" i="7"/>
  <c r="O6" i="10"/>
  <c r="O6" i="9"/>
  <c r="P6" i="7"/>
  <c r="D6" i="10"/>
  <c r="D6" i="9"/>
  <c r="E6" i="7"/>
  <c r="X8" i="10"/>
  <c r="X8" i="9"/>
  <c r="Y8" i="7"/>
  <c r="W8" i="10"/>
  <c r="W8" i="9"/>
  <c r="X8" i="7"/>
  <c r="J6" i="10"/>
  <c r="J6" i="9"/>
  <c r="K6" i="7"/>
  <c r="B7" i="12"/>
  <c r="T7" i="14" s="1"/>
  <c r="V7" i="14" s="1"/>
  <c r="B7" i="10"/>
  <c r="B7" i="9"/>
  <c r="C7" i="7"/>
  <c r="G6" i="10"/>
  <c r="G6" i="9"/>
  <c r="H6" i="7"/>
  <c r="K6" i="10"/>
  <c r="K6" i="9"/>
  <c r="L6" i="7"/>
  <c r="S6" i="10"/>
  <c r="S6" i="9"/>
  <c r="T6" i="7"/>
  <c r="H6" i="10"/>
  <c r="H6" i="9"/>
  <c r="I6" i="7"/>
  <c r="G6" i="12"/>
  <c r="Q6" i="14" s="1"/>
  <c r="S6" i="14" s="1"/>
  <c r="D6" i="12"/>
  <c r="AH4" i="7"/>
  <c r="AI4" i="7"/>
  <c r="AJ4" i="7"/>
  <c r="I6" i="10"/>
  <c r="I6" i="9"/>
  <c r="J6" i="7"/>
  <c r="P6" i="10"/>
  <c r="P6" i="9"/>
  <c r="Q6" i="7"/>
  <c r="E6" i="10"/>
  <c r="E6" i="9"/>
  <c r="F6" i="7"/>
  <c r="M6" i="10"/>
  <c r="M6" i="9"/>
  <c r="N6" i="7"/>
  <c r="K15" i="13"/>
  <c r="M16" i="13"/>
  <c r="I16" i="13"/>
  <c r="L16" i="13" s="1"/>
  <c r="H17" i="13"/>
  <c r="E17" i="13"/>
  <c r="N17" i="13" s="1"/>
  <c r="G24" i="13"/>
  <c r="B24" i="13"/>
  <c r="C24" i="12"/>
  <c r="F20" i="12"/>
  <c r="J24" i="2" l="1"/>
  <c r="I24" i="15" s="1"/>
  <c r="C26" i="2"/>
  <c r="H23" i="17"/>
  <c r="I23" i="15"/>
  <c r="L23" i="16"/>
  <c r="K24" i="2"/>
  <c r="J24" i="15" s="1"/>
  <c r="J23" i="16"/>
  <c r="G24" i="2"/>
  <c r="E24" i="16" s="1"/>
  <c r="F23" i="16"/>
  <c r="M24" i="2"/>
  <c r="K24" i="16" s="1"/>
  <c r="J23" i="15"/>
  <c r="V9" i="9"/>
  <c r="E23" i="16"/>
  <c r="G23" i="15"/>
  <c r="K23" i="15"/>
  <c r="D23" i="17"/>
  <c r="O23" i="17"/>
  <c r="V9" i="10"/>
  <c r="L23" i="17"/>
  <c r="E23" i="17"/>
  <c r="D23" i="16"/>
  <c r="O23" i="16"/>
  <c r="I23" i="16"/>
  <c r="Q24" i="2"/>
  <c r="O24" i="16" s="1"/>
  <c r="AK23" i="15"/>
  <c r="AA23" i="16"/>
  <c r="AA23" i="17"/>
  <c r="L24" i="2"/>
  <c r="J24" i="16" s="1"/>
  <c r="AG23" i="16"/>
  <c r="AG23" i="17"/>
  <c r="AQ23" i="15"/>
  <c r="Z23" i="14"/>
  <c r="AB23" i="14" s="1"/>
  <c r="D23" i="11"/>
  <c r="G23" i="11"/>
  <c r="G23" i="16"/>
  <c r="G23" i="17"/>
  <c r="I24" i="2"/>
  <c r="H23" i="15"/>
  <c r="W22" i="14"/>
  <c r="Y22" i="14" s="1"/>
  <c r="H22" i="11"/>
  <c r="N22" i="11" s="1"/>
  <c r="B24" i="17"/>
  <c r="B24" i="16"/>
  <c r="B24" i="11"/>
  <c r="AG24" i="2"/>
  <c r="AF24" i="15" s="1"/>
  <c r="C24" i="15"/>
  <c r="AH24" i="2"/>
  <c r="AG24" i="15" s="1"/>
  <c r="AD24" i="2"/>
  <c r="AC24" i="15" s="1"/>
  <c r="AF24" i="2"/>
  <c r="AE24" i="15" s="1"/>
  <c r="AJ24" i="2"/>
  <c r="AI24" i="15" s="1"/>
  <c r="AL24" i="2"/>
  <c r="AC24" i="2"/>
  <c r="AB24" i="15" s="1"/>
  <c r="AR24" i="2"/>
  <c r="AI24" i="2"/>
  <c r="AH24" i="15" s="1"/>
  <c r="AE24" i="2"/>
  <c r="AD24" i="15" s="1"/>
  <c r="AK24" i="2"/>
  <c r="AJ24" i="15" s="1"/>
  <c r="N24" i="2"/>
  <c r="L24" i="17" s="1"/>
  <c r="H24" i="2"/>
  <c r="G24" i="15" s="1"/>
  <c r="F24" i="2"/>
  <c r="D24" i="16" s="1"/>
  <c r="Q9" i="17"/>
  <c r="Q9" i="16"/>
  <c r="R9" i="15"/>
  <c r="AT9" i="2"/>
  <c r="F24" i="16"/>
  <c r="K26" i="4"/>
  <c r="Q11" i="4"/>
  <c r="S10" i="2"/>
  <c r="E26" i="4"/>
  <c r="Z9" i="16"/>
  <c r="Z9" i="17"/>
  <c r="AA9" i="15"/>
  <c r="Z9" i="10"/>
  <c r="Z9" i="9"/>
  <c r="AA9" i="7"/>
  <c r="R10" i="2"/>
  <c r="P11" i="4"/>
  <c r="W11" i="4"/>
  <c r="Y10" i="2"/>
  <c r="H26" i="4"/>
  <c r="H8" i="14"/>
  <c r="J8" i="14" s="1"/>
  <c r="B8" i="14"/>
  <c r="D8" i="14" s="1"/>
  <c r="S9" i="16"/>
  <c r="S9" i="17"/>
  <c r="T9" i="15"/>
  <c r="N9" i="17"/>
  <c r="N9" i="16"/>
  <c r="O9" i="15"/>
  <c r="V9" i="17"/>
  <c r="V9" i="16"/>
  <c r="W9" i="15"/>
  <c r="C26" i="4"/>
  <c r="R11" i="4"/>
  <c r="T10" i="2"/>
  <c r="Z9" i="15"/>
  <c r="Y9" i="17"/>
  <c r="Y9" i="16"/>
  <c r="J26" i="4"/>
  <c r="T9" i="16"/>
  <c r="T9" i="17"/>
  <c r="U9" i="15"/>
  <c r="N11" i="4"/>
  <c r="P10" i="2"/>
  <c r="I26" i="4"/>
  <c r="AS9" i="2"/>
  <c r="M9" i="16"/>
  <c r="AH9" i="16" s="1"/>
  <c r="K9" i="14" s="1"/>
  <c r="M9" i="14" s="1"/>
  <c r="M9" i="17"/>
  <c r="AH9" i="17" s="1"/>
  <c r="N9" i="14" s="1"/>
  <c r="P9" i="14" s="1"/>
  <c r="N9" i="15"/>
  <c r="AR9" i="15" s="1"/>
  <c r="E9" i="14" s="1"/>
  <c r="G9" i="14" s="1"/>
  <c r="T11" i="4"/>
  <c r="V10" i="2"/>
  <c r="U9" i="17"/>
  <c r="U9" i="16"/>
  <c r="V9" i="15"/>
  <c r="O26" i="4"/>
  <c r="H24" i="17"/>
  <c r="S11" i="4"/>
  <c r="U11" i="2" s="1"/>
  <c r="D26" i="4"/>
  <c r="V11" i="4"/>
  <c r="X10" i="2"/>
  <c r="V10" i="9" s="1"/>
  <c r="Y11" i="4"/>
  <c r="AA10" i="2"/>
  <c r="M11" i="4"/>
  <c r="O10" i="2"/>
  <c r="F98" i="4"/>
  <c r="F99" i="4" s="1"/>
  <c r="F100" i="4" s="1"/>
  <c r="F101" i="4" s="1"/>
  <c r="F102" i="4" s="1"/>
  <c r="U11" i="4"/>
  <c r="W10" i="2"/>
  <c r="Z10" i="2"/>
  <c r="X11" i="4"/>
  <c r="G26" i="4"/>
  <c r="Z11" i="4"/>
  <c r="AB10" i="2"/>
  <c r="R9" i="17"/>
  <c r="R9" i="16"/>
  <c r="S9" i="15"/>
  <c r="P9" i="17"/>
  <c r="P9" i="16"/>
  <c r="Q9" i="15"/>
  <c r="X9" i="17"/>
  <c r="X9" i="16"/>
  <c r="Y9" i="15"/>
  <c r="W9" i="16"/>
  <c r="W9" i="17"/>
  <c r="X9" i="15"/>
  <c r="D25" i="2"/>
  <c r="B27" i="2"/>
  <c r="AW7" i="2"/>
  <c r="AX7" i="2"/>
  <c r="AE4" i="10"/>
  <c r="AE4" i="9"/>
  <c r="AO4" i="7"/>
  <c r="K6" i="12"/>
  <c r="H6" i="12"/>
  <c r="J6" i="12" s="1"/>
  <c r="J7" i="10"/>
  <c r="J7" i="9"/>
  <c r="K7" i="7"/>
  <c r="S7" i="10"/>
  <c r="S7" i="9"/>
  <c r="T7" i="7"/>
  <c r="L7" i="10"/>
  <c r="L7" i="9"/>
  <c r="M7" i="7"/>
  <c r="AF4" i="9"/>
  <c r="AF4" i="10"/>
  <c r="AP4" i="7"/>
  <c r="D7" i="10"/>
  <c r="D7" i="9"/>
  <c r="E7" i="7"/>
  <c r="M7" i="10"/>
  <c r="M7" i="9"/>
  <c r="N7" i="7"/>
  <c r="F7" i="10"/>
  <c r="F7" i="9"/>
  <c r="G7" i="7"/>
  <c r="AC4" i="10"/>
  <c r="AC4" i="9"/>
  <c r="AM4" i="7"/>
  <c r="AI5" i="7"/>
  <c r="AJ5" i="7"/>
  <c r="K7" i="10"/>
  <c r="K7" i="9"/>
  <c r="L7" i="7"/>
  <c r="T7" i="10"/>
  <c r="T7" i="9"/>
  <c r="U7" i="7"/>
  <c r="H7" i="10"/>
  <c r="H7" i="9"/>
  <c r="I7" i="7"/>
  <c r="P7" i="10"/>
  <c r="P7" i="9"/>
  <c r="Q7" i="7"/>
  <c r="E7" i="10"/>
  <c r="E7" i="9"/>
  <c r="F7" i="7"/>
  <c r="N7" i="10"/>
  <c r="N7" i="9"/>
  <c r="O7" i="7"/>
  <c r="R7" i="10"/>
  <c r="R7" i="9"/>
  <c r="S7" i="7"/>
  <c r="Y9" i="10"/>
  <c r="Y9" i="9"/>
  <c r="Z9" i="7"/>
  <c r="AH5" i="7"/>
  <c r="B8" i="12"/>
  <c r="T8" i="14" s="1"/>
  <c r="V8" i="14" s="1"/>
  <c r="B8" i="10"/>
  <c r="B8" i="9"/>
  <c r="C8" i="7"/>
  <c r="U7" i="10"/>
  <c r="U7" i="9"/>
  <c r="V7" i="7"/>
  <c r="I7" i="10"/>
  <c r="I7" i="9"/>
  <c r="J7" i="7"/>
  <c r="G7" i="10"/>
  <c r="G7" i="9"/>
  <c r="H7" i="7"/>
  <c r="W9" i="10"/>
  <c r="W9" i="9"/>
  <c r="X9" i="7"/>
  <c r="AD4" i="9"/>
  <c r="AD4" i="10"/>
  <c r="AN4" i="7"/>
  <c r="X9" i="10"/>
  <c r="X9" i="9"/>
  <c r="Y9" i="7"/>
  <c r="O7" i="10"/>
  <c r="O7" i="9"/>
  <c r="P7" i="7"/>
  <c r="Q7" i="10"/>
  <c r="Q7" i="9"/>
  <c r="R7" i="7"/>
  <c r="D7" i="12"/>
  <c r="M7" i="12" s="1"/>
  <c r="G7" i="12"/>
  <c r="Q7" i="14" s="1"/>
  <c r="S7" i="14" s="1"/>
  <c r="AB5" i="7"/>
  <c r="O17" i="13"/>
  <c r="I17" i="13"/>
  <c r="K17" i="13" s="1"/>
  <c r="M17" i="13"/>
  <c r="E18" i="13"/>
  <c r="H18" i="13"/>
  <c r="K16" i="13"/>
  <c r="G25" i="13"/>
  <c r="B25" i="13"/>
  <c r="C25" i="12"/>
  <c r="F21" i="12"/>
  <c r="H24" i="16" l="1"/>
  <c r="L25" i="2"/>
  <c r="E24" i="17"/>
  <c r="I24" i="17"/>
  <c r="I24" i="16"/>
  <c r="P24" i="15"/>
  <c r="O24" i="17"/>
  <c r="M24" i="15"/>
  <c r="F24" i="17"/>
  <c r="K24" i="17"/>
  <c r="V10" i="10"/>
  <c r="L24" i="15"/>
  <c r="F24" i="15"/>
  <c r="D24" i="17"/>
  <c r="K24" i="15"/>
  <c r="J24" i="17"/>
  <c r="K22" i="11"/>
  <c r="L24" i="16"/>
  <c r="E24" i="15"/>
  <c r="N25" i="2"/>
  <c r="L25" i="17" s="1"/>
  <c r="Z24" i="14"/>
  <c r="AB24" i="14" s="1"/>
  <c r="D24" i="11"/>
  <c r="G24" i="11"/>
  <c r="G25" i="2"/>
  <c r="F25" i="15" s="1"/>
  <c r="Q25" i="2"/>
  <c r="P25" i="15" s="1"/>
  <c r="W23" i="14"/>
  <c r="Y23" i="14" s="1"/>
  <c r="H23" i="11"/>
  <c r="J23" i="11" s="1"/>
  <c r="B25" i="16"/>
  <c r="B25" i="11"/>
  <c r="B25" i="17"/>
  <c r="C25" i="15"/>
  <c r="AG25" i="2"/>
  <c r="AF25" i="15" s="1"/>
  <c r="AH25" i="2"/>
  <c r="AG25" i="15" s="1"/>
  <c r="AK25" i="2"/>
  <c r="AJ25" i="15" s="1"/>
  <c r="AR25" i="2"/>
  <c r="AC25" i="2"/>
  <c r="AB25" i="15" s="1"/>
  <c r="AD25" i="2"/>
  <c r="AC25" i="15" s="1"/>
  <c r="AE25" i="2"/>
  <c r="AD25" i="15" s="1"/>
  <c r="AL25" i="2"/>
  <c r="AJ25" i="2"/>
  <c r="AI25" i="15" s="1"/>
  <c r="AF25" i="2"/>
  <c r="AE25" i="15" s="1"/>
  <c r="AI25" i="2"/>
  <c r="AH25" i="15" s="1"/>
  <c r="M25" i="2"/>
  <c r="L25" i="15" s="1"/>
  <c r="K25" i="2"/>
  <c r="J25" i="15" s="1"/>
  <c r="H25" i="2"/>
  <c r="F25" i="17" s="1"/>
  <c r="F25" i="2"/>
  <c r="D25" i="17" s="1"/>
  <c r="AG24" i="16"/>
  <c r="AQ24" i="15"/>
  <c r="AG24" i="17"/>
  <c r="J22" i="11"/>
  <c r="L22" i="11"/>
  <c r="G24" i="17"/>
  <c r="I25" i="2"/>
  <c r="G24" i="16"/>
  <c r="H24" i="15"/>
  <c r="J25" i="2"/>
  <c r="H25" i="17" s="1"/>
  <c r="AA24" i="17"/>
  <c r="AA24" i="16"/>
  <c r="AK24" i="15"/>
  <c r="M22" i="11"/>
  <c r="AA10" i="15"/>
  <c r="Z10" i="17"/>
  <c r="Z10" i="16"/>
  <c r="Z10" i="10"/>
  <c r="Z10" i="9"/>
  <c r="AA10" i="7"/>
  <c r="Z11" i="2"/>
  <c r="X12" i="4"/>
  <c r="AS10" i="2"/>
  <c r="M10" i="17"/>
  <c r="AH10" i="17" s="1"/>
  <c r="N10" i="14" s="1"/>
  <c r="P10" i="14" s="1"/>
  <c r="M10" i="16"/>
  <c r="AH10" i="16" s="1"/>
  <c r="K10" i="14" s="1"/>
  <c r="M10" i="14" s="1"/>
  <c r="N10" i="15"/>
  <c r="AR10" i="15" s="1"/>
  <c r="E10" i="14" s="1"/>
  <c r="G10" i="14" s="1"/>
  <c r="O27" i="4"/>
  <c r="H9" i="14"/>
  <c r="J9" i="14" s="1"/>
  <c r="B9" i="14"/>
  <c r="D9" i="14" s="1"/>
  <c r="P10" i="17"/>
  <c r="P10" i="16"/>
  <c r="Q10" i="15"/>
  <c r="Q10" i="17"/>
  <c r="Q10" i="16"/>
  <c r="R10" i="15"/>
  <c r="AT10" i="2"/>
  <c r="Z10" i="15"/>
  <c r="Y10" i="16"/>
  <c r="Y10" i="17"/>
  <c r="S10" i="17"/>
  <c r="S10" i="16"/>
  <c r="T10" i="15"/>
  <c r="I27" i="4"/>
  <c r="X10" i="17"/>
  <c r="X10" i="16"/>
  <c r="Y10" i="15"/>
  <c r="M12" i="4"/>
  <c r="O11" i="2"/>
  <c r="D27" i="4"/>
  <c r="J25" i="17"/>
  <c r="J25" i="16"/>
  <c r="K25" i="15"/>
  <c r="R10" i="16"/>
  <c r="R10" i="17"/>
  <c r="S10" i="15"/>
  <c r="Q12" i="4"/>
  <c r="S11" i="2"/>
  <c r="U10" i="17"/>
  <c r="U10" i="16"/>
  <c r="V10" i="15"/>
  <c r="U12" i="4"/>
  <c r="W11" i="2"/>
  <c r="Y12" i="4"/>
  <c r="AA11" i="2"/>
  <c r="S12" i="4"/>
  <c r="U12" i="2" s="1"/>
  <c r="N10" i="17"/>
  <c r="N10" i="16"/>
  <c r="O10" i="15"/>
  <c r="J27" i="4"/>
  <c r="R12" i="4"/>
  <c r="T11" i="2"/>
  <c r="W10" i="16"/>
  <c r="X10" i="15"/>
  <c r="W10" i="17"/>
  <c r="K27" i="4"/>
  <c r="W12" i="4"/>
  <c r="Y11" i="2"/>
  <c r="Z12" i="4"/>
  <c r="AB11" i="2"/>
  <c r="T10" i="17"/>
  <c r="T10" i="16"/>
  <c r="U10" i="15"/>
  <c r="V10" i="17"/>
  <c r="V10" i="16"/>
  <c r="W10" i="15"/>
  <c r="T12" i="4"/>
  <c r="V11" i="2"/>
  <c r="N12" i="4"/>
  <c r="P11" i="2"/>
  <c r="W10" i="7"/>
  <c r="G27" i="4"/>
  <c r="F103" i="4"/>
  <c r="F104" i="4" s="1"/>
  <c r="F105" i="4" s="1"/>
  <c r="F106" i="4" s="1"/>
  <c r="F107" i="4" s="1"/>
  <c r="V12" i="4"/>
  <c r="X11" i="2"/>
  <c r="V11" i="10" s="1"/>
  <c r="C27" i="4"/>
  <c r="H27" i="4"/>
  <c r="P12" i="4"/>
  <c r="R11" i="2"/>
  <c r="E27" i="4"/>
  <c r="D26" i="2"/>
  <c r="B28" i="2"/>
  <c r="C27" i="2"/>
  <c r="AX8" i="2"/>
  <c r="AW8" i="2"/>
  <c r="L7" i="12"/>
  <c r="G8" i="10"/>
  <c r="G8" i="9"/>
  <c r="H8" i="7"/>
  <c r="E8" i="10"/>
  <c r="E8" i="9"/>
  <c r="F8" i="7"/>
  <c r="I8" i="10"/>
  <c r="I8" i="9"/>
  <c r="J8" i="7"/>
  <c r="M8" i="10"/>
  <c r="M8" i="9"/>
  <c r="N8" i="7"/>
  <c r="AH6" i="7"/>
  <c r="X10" i="10"/>
  <c r="X10" i="9"/>
  <c r="Y10" i="7"/>
  <c r="AE5" i="10"/>
  <c r="AE5" i="9"/>
  <c r="AO5" i="7"/>
  <c r="Y10" i="10"/>
  <c r="Y10" i="9"/>
  <c r="Z10" i="7"/>
  <c r="R8" i="10"/>
  <c r="R8" i="9"/>
  <c r="S8" i="7"/>
  <c r="P8" i="10"/>
  <c r="P8" i="9"/>
  <c r="Q8" i="7"/>
  <c r="AI6" i="7"/>
  <c r="AJ6" i="7"/>
  <c r="AC5" i="10"/>
  <c r="AC5" i="9"/>
  <c r="AM5" i="7"/>
  <c r="L8" i="10"/>
  <c r="L8" i="9"/>
  <c r="M8" i="7"/>
  <c r="J8" i="10"/>
  <c r="J8" i="9"/>
  <c r="K8" i="7"/>
  <c r="T8" i="10"/>
  <c r="T8" i="9"/>
  <c r="U8" i="7"/>
  <c r="AE6" i="10"/>
  <c r="AE6" i="9"/>
  <c r="AO6" i="7"/>
  <c r="K7" i="12"/>
  <c r="H7" i="12"/>
  <c r="J7" i="12" s="1"/>
  <c r="F8" i="10"/>
  <c r="F8" i="9"/>
  <c r="G8" i="7"/>
  <c r="D8" i="10"/>
  <c r="D8" i="9"/>
  <c r="E8" i="7"/>
  <c r="N8" i="10"/>
  <c r="N8" i="9"/>
  <c r="O8" i="7"/>
  <c r="D8" i="12"/>
  <c r="G8" i="12"/>
  <c r="Q8" i="14" s="1"/>
  <c r="S8" i="14" s="1"/>
  <c r="AD5" i="10"/>
  <c r="AD5" i="9"/>
  <c r="AN5" i="7"/>
  <c r="B9" i="12"/>
  <c r="T9" i="14" s="1"/>
  <c r="V9" i="14" s="1"/>
  <c r="B9" i="10"/>
  <c r="B9" i="9"/>
  <c r="C9" i="7"/>
  <c r="Q8" i="10"/>
  <c r="Q8" i="9"/>
  <c r="R8" i="7"/>
  <c r="U8" i="10"/>
  <c r="U8" i="9"/>
  <c r="V8" i="7"/>
  <c r="H8" i="10"/>
  <c r="H8" i="9"/>
  <c r="I8" i="7"/>
  <c r="AF5" i="10"/>
  <c r="AF5" i="9"/>
  <c r="AP5" i="7"/>
  <c r="W10" i="10"/>
  <c r="W10" i="9"/>
  <c r="X10" i="7"/>
  <c r="AF6" i="10"/>
  <c r="AF6" i="9"/>
  <c r="AP6" i="7"/>
  <c r="AB6" i="7"/>
  <c r="K8" i="10"/>
  <c r="K8" i="9"/>
  <c r="L8" i="7"/>
  <c r="O8" i="10"/>
  <c r="O8" i="9"/>
  <c r="P8" i="7"/>
  <c r="S8" i="10"/>
  <c r="S8" i="9"/>
  <c r="T8" i="7"/>
  <c r="M18" i="13"/>
  <c r="I18" i="13"/>
  <c r="K18" i="13" s="1"/>
  <c r="H19" i="13"/>
  <c r="E19" i="13"/>
  <c r="L17" i="13"/>
  <c r="B26" i="13"/>
  <c r="G26" i="13"/>
  <c r="C26" i="12"/>
  <c r="F22" i="12"/>
  <c r="G26" i="2" l="1"/>
  <c r="E26" i="16" s="1"/>
  <c r="E25" i="16"/>
  <c r="C28" i="2"/>
  <c r="I25" i="17"/>
  <c r="E25" i="15"/>
  <c r="E25" i="17"/>
  <c r="I25" i="15"/>
  <c r="K25" i="16"/>
  <c r="I25" i="16"/>
  <c r="K25" i="17"/>
  <c r="O25" i="16"/>
  <c r="H25" i="16"/>
  <c r="W11" i="7"/>
  <c r="H26" i="2"/>
  <c r="F26" i="17" s="1"/>
  <c r="D25" i="16"/>
  <c r="O25" i="17"/>
  <c r="V11" i="9"/>
  <c r="M25" i="15"/>
  <c r="G25" i="15"/>
  <c r="L25" i="16"/>
  <c r="F25" i="16"/>
  <c r="F26" i="2"/>
  <c r="D26" i="16" s="1"/>
  <c r="M26" i="2"/>
  <c r="L26" i="15" s="1"/>
  <c r="Q26" i="2"/>
  <c r="P26" i="15" s="1"/>
  <c r="I26" i="2"/>
  <c r="H25" i="15"/>
  <c r="G25" i="17"/>
  <c r="G25" i="16"/>
  <c r="AG25" i="16"/>
  <c r="AG25" i="17"/>
  <c r="AQ25" i="15"/>
  <c r="Z25" i="14"/>
  <c r="AB25" i="14" s="1"/>
  <c r="D25" i="11"/>
  <c r="G25" i="11"/>
  <c r="W24" i="14"/>
  <c r="Y24" i="14" s="1"/>
  <c r="H24" i="11"/>
  <c r="J24" i="11" s="1"/>
  <c r="K26" i="2"/>
  <c r="I26" i="16" s="1"/>
  <c r="J26" i="2"/>
  <c r="H26" i="17" s="1"/>
  <c r="AK25" i="15"/>
  <c r="AA25" i="16"/>
  <c r="AA25" i="17"/>
  <c r="B26" i="16"/>
  <c r="B26" i="17"/>
  <c r="B26" i="11"/>
  <c r="C26" i="15"/>
  <c r="AG26" i="2"/>
  <c r="AF26" i="15" s="1"/>
  <c r="AH26" i="2"/>
  <c r="AG26" i="15" s="1"/>
  <c r="AF26" i="2"/>
  <c r="AE26" i="15" s="1"/>
  <c r="AK26" i="2"/>
  <c r="AJ26" i="15" s="1"/>
  <c r="AD26" i="2"/>
  <c r="AC26" i="15" s="1"/>
  <c r="AI26" i="2"/>
  <c r="AH26" i="15" s="1"/>
  <c r="AJ26" i="2"/>
  <c r="AI26" i="15" s="1"/>
  <c r="AE26" i="2"/>
  <c r="AD26" i="15" s="1"/>
  <c r="AL26" i="2"/>
  <c r="AC26" i="2"/>
  <c r="AB26" i="15" s="1"/>
  <c r="AR26" i="2"/>
  <c r="N26" i="2"/>
  <c r="L26" i="16" s="1"/>
  <c r="L26" i="2"/>
  <c r="J26" i="17" s="1"/>
  <c r="P11" i="16"/>
  <c r="P11" i="17"/>
  <c r="Q11" i="15"/>
  <c r="P13" i="4"/>
  <c r="R12" i="2"/>
  <c r="F108" i="4"/>
  <c r="F109" i="4" s="1"/>
  <c r="F110" i="4" s="1"/>
  <c r="F111" i="4" s="1"/>
  <c r="F112" i="4" s="1"/>
  <c r="T11" i="16"/>
  <c r="T11" i="17"/>
  <c r="U11" i="15"/>
  <c r="J28" i="4"/>
  <c r="Z11" i="15"/>
  <c r="Y11" i="16"/>
  <c r="Y11" i="17"/>
  <c r="M13" i="4"/>
  <c r="O12" i="2"/>
  <c r="N13" i="4"/>
  <c r="P12" i="2"/>
  <c r="T13" i="4"/>
  <c r="V12" i="2"/>
  <c r="W11" i="16"/>
  <c r="X11" i="15"/>
  <c r="W11" i="17"/>
  <c r="Y13" i="4"/>
  <c r="AA12" i="2"/>
  <c r="Q11" i="17"/>
  <c r="Q11" i="16"/>
  <c r="R11" i="15"/>
  <c r="AT11" i="2"/>
  <c r="W13" i="4"/>
  <c r="Y12" i="2"/>
  <c r="R11" i="17"/>
  <c r="R11" i="16"/>
  <c r="S11" i="15"/>
  <c r="U11" i="17"/>
  <c r="U11" i="16"/>
  <c r="V11" i="15"/>
  <c r="Q13" i="4"/>
  <c r="S12" i="2"/>
  <c r="O28" i="4"/>
  <c r="W11" i="15"/>
  <c r="V11" i="16"/>
  <c r="V11" i="17"/>
  <c r="Z11" i="17"/>
  <c r="Z11" i="16"/>
  <c r="AA11" i="15"/>
  <c r="Z11" i="9"/>
  <c r="AA11" i="7"/>
  <c r="Z11" i="10"/>
  <c r="U13" i="4"/>
  <c r="W12" i="2"/>
  <c r="E26" i="17"/>
  <c r="H10" i="14"/>
  <c r="J10" i="14" s="1"/>
  <c r="B10" i="14"/>
  <c r="D10" i="14" s="1"/>
  <c r="H28" i="4"/>
  <c r="G28" i="4"/>
  <c r="E28" i="4"/>
  <c r="C28" i="4"/>
  <c r="V13" i="4"/>
  <c r="X12" i="2"/>
  <c r="N11" i="16"/>
  <c r="N11" i="17"/>
  <c r="O11" i="15"/>
  <c r="Z13" i="4"/>
  <c r="AB12" i="2"/>
  <c r="K28" i="4"/>
  <c r="R13" i="4"/>
  <c r="T12" i="2"/>
  <c r="S11" i="16"/>
  <c r="S11" i="17"/>
  <c r="T11" i="15"/>
  <c r="D28" i="4"/>
  <c r="Z12" i="2"/>
  <c r="X13" i="4"/>
  <c r="S13" i="4"/>
  <c r="U13" i="2" s="1"/>
  <c r="M11" i="16"/>
  <c r="AH11" i="16" s="1"/>
  <c r="K11" i="14" s="1"/>
  <c r="M11" i="14" s="1"/>
  <c r="AS11" i="2"/>
  <c r="M11" i="17"/>
  <c r="AH11" i="17" s="1"/>
  <c r="N11" i="14" s="1"/>
  <c r="P11" i="14" s="1"/>
  <c r="N11" i="15"/>
  <c r="AR11" i="15" s="1"/>
  <c r="E11" i="14" s="1"/>
  <c r="G11" i="14" s="1"/>
  <c r="I28" i="4"/>
  <c r="X11" i="17"/>
  <c r="X11" i="16"/>
  <c r="Y11" i="15"/>
  <c r="D27" i="2"/>
  <c r="B29" i="2"/>
  <c r="AX9" i="2"/>
  <c r="AW9" i="2"/>
  <c r="T9" i="10"/>
  <c r="T9" i="9"/>
  <c r="U9" i="7"/>
  <c r="F9" i="10"/>
  <c r="F9" i="9"/>
  <c r="G9" i="7"/>
  <c r="D9" i="10"/>
  <c r="D9" i="9"/>
  <c r="E9" i="7"/>
  <c r="K8" i="12"/>
  <c r="H8" i="12"/>
  <c r="J8" i="12" s="1"/>
  <c r="AD6" i="10"/>
  <c r="AD6" i="9"/>
  <c r="AN6" i="7"/>
  <c r="I9" i="10"/>
  <c r="I9" i="9"/>
  <c r="J9" i="7"/>
  <c r="N9" i="10"/>
  <c r="N9" i="9"/>
  <c r="O9" i="7"/>
  <c r="R9" i="10"/>
  <c r="R9" i="9"/>
  <c r="S9" i="7"/>
  <c r="P9" i="10"/>
  <c r="P9" i="9"/>
  <c r="Q9" i="7"/>
  <c r="X11" i="10"/>
  <c r="X11" i="9"/>
  <c r="Y11" i="7"/>
  <c r="G9" i="10"/>
  <c r="G9" i="9"/>
  <c r="H9" i="7"/>
  <c r="AH7" i="7"/>
  <c r="AE7" i="10"/>
  <c r="AE7" i="9"/>
  <c r="AO7" i="7"/>
  <c r="U9" i="10"/>
  <c r="U9" i="9"/>
  <c r="V9" i="7"/>
  <c r="S9" i="10"/>
  <c r="S9" i="9"/>
  <c r="T9" i="7"/>
  <c r="E9" i="10"/>
  <c r="E9" i="9"/>
  <c r="F9" i="7"/>
  <c r="K9" i="10"/>
  <c r="K9" i="9"/>
  <c r="L9" i="7"/>
  <c r="Y11" i="10"/>
  <c r="Y11" i="9"/>
  <c r="Z11" i="7"/>
  <c r="B10" i="12"/>
  <c r="T10" i="14" s="1"/>
  <c r="V10" i="14" s="1"/>
  <c r="B10" i="10"/>
  <c r="B10" i="9"/>
  <c r="C10" i="7"/>
  <c r="O9" i="10"/>
  <c r="O9" i="9"/>
  <c r="P9" i="7"/>
  <c r="M9" i="10"/>
  <c r="M9" i="9"/>
  <c r="N9" i="7"/>
  <c r="Q9" i="10"/>
  <c r="Q9" i="9"/>
  <c r="R9" i="7"/>
  <c r="D9" i="12"/>
  <c r="G9" i="12"/>
  <c r="Q9" i="14" s="1"/>
  <c r="S9" i="14" s="1"/>
  <c r="W11" i="10"/>
  <c r="W11" i="9"/>
  <c r="X11" i="7"/>
  <c r="AC6" i="10"/>
  <c r="AC6" i="9"/>
  <c r="AM6" i="7"/>
  <c r="AF7" i="10"/>
  <c r="AF7" i="9"/>
  <c r="AP7" i="7"/>
  <c r="AB7" i="7"/>
  <c r="H9" i="10"/>
  <c r="H9" i="9"/>
  <c r="I9" i="7"/>
  <c r="L9" i="10"/>
  <c r="L9" i="9"/>
  <c r="M9" i="7"/>
  <c r="J9" i="10"/>
  <c r="J9" i="9"/>
  <c r="K9" i="7"/>
  <c r="AI7" i="7"/>
  <c r="AJ7" i="7"/>
  <c r="L18" i="13"/>
  <c r="M19" i="13"/>
  <c r="I19" i="13"/>
  <c r="L19" i="13" s="1"/>
  <c r="H20" i="13"/>
  <c r="E20" i="13"/>
  <c r="G27" i="13"/>
  <c r="B27" i="13"/>
  <c r="C27" i="12"/>
  <c r="F23" i="12"/>
  <c r="AC4" i="7"/>
  <c r="AD4" i="7"/>
  <c r="AE4" i="7"/>
  <c r="F26" i="15" l="1"/>
  <c r="Q27" i="2"/>
  <c r="D26" i="17"/>
  <c r="L26" i="17"/>
  <c r="E26" i="15"/>
  <c r="M26" i="15"/>
  <c r="G26" i="15"/>
  <c r="H26" i="16"/>
  <c r="K26" i="16"/>
  <c r="J26" i="16"/>
  <c r="F26" i="16"/>
  <c r="I26" i="15"/>
  <c r="K26" i="17"/>
  <c r="L27" i="2"/>
  <c r="K27" i="15" s="1"/>
  <c r="K26" i="15"/>
  <c r="O26" i="16"/>
  <c r="J26" i="15"/>
  <c r="O26" i="17"/>
  <c r="I26" i="17"/>
  <c r="N27" i="2"/>
  <c r="L27" i="16" s="1"/>
  <c r="AG26" i="17"/>
  <c r="AG26" i="16"/>
  <c r="AQ26" i="15"/>
  <c r="Z26" i="14"/>
  <c r="AB26" i="14" s="1"/>
  <c r="D26" i="11"/>
  <c r="G26" i="11"/>
  <c r="J27" i="2"/>
  <c r="H27" i="17" s="1"/>
  <c r="AA26" i="17"/>
  <c r="AA26" i="16"/>
  <c r="AK26" i="15"/>
  <c r="G26" i="16"/>
  <c r="H26" i="15"/>
  <c r="G26" i="17"/>
  <c r="B27" i="11"/>
  <c r="B27" i="17"/>
  <c r="B27" i="16"/>
  <c r="C27" i="15"/>
  <c r="AG27" i="2"/>
  <c r="AF27" i="15" s="1"/>
  <c r="AH27" i="2"/>
  <c r="AG27" i="15" s="1"/>
  <c r="AD27" i="2"/>
  <c r="AC27" i="15" s="1"/>
  <c r="AE27" i="2"/>
  <c r="AD27" i="15" s="1"/>
  <c r="AI27" i="2"/>
  <c r="AH27" i="15" s="1"/>
  <c r="AR27" i="2"/>
  <c r="AF27" i="2"/>
  <c r="AE27" i="15" s="1"/>
  <c r="AC27" i="2"/>
  <c r="AB27" i="15" s="1"/>
  <c r="AL27" i="2"/>
  <c r="AK27" i="2"/>
  <c r="AJ27" i="15" s="1"/>
  <c r="AJ27" i="2"/>
  <c r="AI27" i="15" s="1"/>
  <c r="I27" i="2"/>
  <c r="F27" i="2"/>
  <c r="D27" i="16" s="1"/>
  <c r="K27" i="2"/>
  <c r="I27" i="17" s="1"/>
  <c r="M27" i="2"/>
  <c r="K27" i="17" s="1"/>
  <c r="G27" i="2"/>
  <c r="F27" i="15" s="1"/>
  <c r="H27" i="2"/>
  <c r="G27" i="15" s="1"/>
  <c r="W25" i="14"/>
  <c r="Y25" i="14" s="1"/>
  <c r="H25" i="11"/>
  <c r="J25" i="11" s="1"/>
  <c r="Q12" i="17"/>
  <c r="Q12" i="16"/>
  <c r="R12" i="15"/>
  <c r="AT12" i="2"/>
  <c r="F113" i="4"/>
  <c r="F114" i="4" s="1"/>
  <c r="F115" i="4" s="1"/>
  <c r="F116" i="4" s="1"/>
  <c r="F117" i="4" s="1"/>
  <c r="I29" i="4"/>
  <c r="Z13" i="2"/>
  <c r="X14" i="4"/>
  <c r="D29" i="4"/>
  <c r="R14" i="4"/>
  <c r="T13" i="2"/>
  <c r="H29" i="4"/>
  <c r="S12" i="16"/>
  <c r="S12" i="17"/>
  <c r="T12" i="15"/>
  <c r="Y12" i="15"/>
  <c r="X12" i="17"/>
  <c r="X12" i="16"/>
  <c r="E29" i="4"/>
  <c r="Q14" i="4"/>
  <c r="S13" i="2"/>
  <c r="N12" i="16"/>
  <c r="N12" i="17"/>
  <c r="O12" i="15"/>
  <c r="AS12" i="2"/>
  <c r="M12" i="16"/>
  <c r="AH12" i="16" s="1"/>
  <c r="K12" i="14" s="1"/>
  <c r="M12" i="14" s="1"/>
  <c r="M12" i="17"/>
  <c r="AH12" i="17" s="1"/>
  <c r="N12" i="14" s="1"/>
  <c r="P12" i="14" s="1"/>
  <c r="N12" i="15"/>
  <c r="AR12" i="15" s="1"/>
  <c r="E12" i="14" s="1"/>
  <c r="G12" i="14" s="1"/>
  <c r="J29" i="4"/>
  <c r="P12" i="16"/>
  <c r="P12" i="17"/>
  <c r="Q12" i="15"/>
  <c r="S14" i="4"/>
  <c r="U14" i="2" s="1"/>
  <c r="K29" i="4"/>
  <c r="V12" i="17"/>
  <c r="V12" i="16"/>
  <c r="W12" i="15"/>
  <c r="W12" i="17"/>
  <c r="X12" i="15"/>
  <c r="W12" i="16"/>
  <c r="T12" i="16"/>
  <c r="T12" i="17"/>
  <c r="U12" i="15"/>
  <c r="N14" i="4"/>
  <c r="P13" i="2"/>
  <c r="M14" i="4"/>
  <c r="O13" i="2"/>
  <c r="P14" i="4"/>
  <c r="R13" i="2"/>
  <c r="W12" i="7"/>
  <c r="AA12" i="15"/>
  <c r="Z12" i="16"/>
  <c r="Z12" i="17"/>
  <c r="Z12" i="10"/>
  <c r="Z12" i="9"/>
  <c r="AA12" i="7"/>
  <c r="X13" i="2"/>
  <c r="V13" i="9" s="1"/>
  <c r="V14" i="4"/>
  <c r="W14" i="4"/>
  <c r="Y13" i="2"/>
  <c r="Y12" i="17"/>
  <c r="Z12" i="15"/>
  <c r="Y12" i="16"/>
  <c r="T14" i="4"/>
  <c r="V13" i="2"/>
  <c r="O27" i="17"/>
  <c r="O27" i="16"/>
  <c r="P27" i="15"/>
  <c r="Y14" i="4"/>
  <c r="AA13" i="2"/>
  <c r="V12" i="9"/>
  <c r="R12" i="17"/>
  <c r="R12" i="16"/>
  <c r="S12" i="15"/>
  <c r="Z14" i="4"/>
  <c r="AB13" i="2"/>
  <c r="G29" i="4"/>
  <c r="U12" i="16"/>
  <c r="U12" i="17"/>
  <c r="V12" i="15"/>
  <c r="V12" i="10"/>
  <c r="H11" i="14"/>
  <c r="J11" i="14" s="1"/>
  <c r="B11" i="14"/>
  <c r="D11" i="14" s="1"/>
  <c r="C29" i="4"/>
  <c r="U14" i="4"/>
  <c r="W13" i="2"/>
  <c r="O29" i="4"/>
  <c r="D28" i="2"/>
  <c r="B30" i="2"/>
  <c r="C29" i="2"/>
  <c r="AW10" i="2"/>
  <c r="AX10" i="2"/>
  <c r="AF4" i="7"/>
  <c r="AB8" i="7"/>
  <c r="AD7" i="10"/>
  <c r="AD7" i="9"/>
  <c r="AN7" i="7"/>
  <c r="AI8" i="7"/>
  <c r="AJ8" i="7"/>
  <c r="K10" i="10"/>
  <c r="K10" i="9"/>
  <c r="L10" i="7"/>
  <c r="I10" i="10"/>
  <c r="I10" i="9"/>
  <c r="J10" i="7"/>
  <c r="G10" i="10"/>
  <c r="G10" i="9"/>
  <c r="H10" i="7"/>
  <c r="M10" i="10"/>
  <c r="M10" i="9"/>
  <c r="N10" i="7"/>
  <c r="Y12" i="10"/>
  <c r="Y12" i="9"/>
  <c r="Z12" i="7"/>
  <c r="AH8" i="7"/>
  <c r="T10" i="10"/>
  <c r="T10" i="9"/>
  <c r="U10" i="7"/>
  <c r="R10" i="10"/>
  <c r="R10" i="9"/>
  <c r="S10" i="7"/>
  <c r="N10" i="10"/>
  <c r="N10" i="9"/>
  <c r="O10" i="7"/>
  <c r="J10" i="10"/>
  <c r="J10" i="9"/>
  <c r="K10" i="7"/>
  <c r="H10" i="10"/>
  <c r="H10" i="9"/>
  <c r="I10" i="7"/>
  <c r="L10" i="10"/>
  <c r="L10" i="9"/>
  <c r="M10" i="7"/>
  <c r="D10" i="12"/>
  <c r="G10" i="12"/>
  <c r="Q10" i="14" s="1"/>
  <c r="S10" i="14" s="1"/>
  <c r="K9" i="12"/>
  <c r="H9" i="12"/>
  <c r="J9" i="12" s="1"/>
  <c r="E10" i="10"/>
  <c r="E10" i="9"/>
  <c r="F10" i="7"/>
  <c r="X12" i="10"/>
  <c r="X12" i="9"/>
  <c r="Y12" i="7"/>
  <c r="AE8" i="10"/>
  <c r="AE8" i="9"/>
  <c r="AO8" i="7"/>
  <c r="W12" i="10"/>
  <c r="W12" i="9"/>
  <c r="X12" i="7"/>
  <c r="P10" i="10"/>
  <c r="P10" i="9"/>
  <c r="Q10" i="7"/>
  <c r="AC7" i="10"/>
  <c r="AC7" i="9"/>
  <c r="AM7" i="7"/>
  <c r="B11" i="12"/>
  <c r="T11" i="14" s="1"/>
  <c r="V11" i="14" s="1"/>
  <c r="B11" i="10"/>
  <c r="B11" i="9"/>
  <c r="C11" i="7"/>
  <c r="D10" i="9"/>
  <c r="D10" i="10"/>
  <c r="E10" i="7"/>
  <c r="U10" i="10"/>
  <c r="U10" i="9"/>
  <c r="V10" i="7"/>
  <c r="F10" i="10"/>
  <c r="F10" i="9"/>
  <c r="G10" i="7"/>
  <c r="AF8" i="9"/>
  <c r="AF8" i="10"/>
  <c r="AP8" i="7"/>
  <c r="Q10" i="10"/>
  <c r="Q10" i="9"/>
  <c r="R10" i="7"/>
  <c r="O10" i="10"/>
  <c r="O10" i="9"/>
  <c r="P10" i="7"/>
  <c r="S10" i="10"/>
  <c r="S10" i="9"/>
  <c r="T10" i="7"/>
  <c r="K19" i="13"/>
  <c r="M20" i="13"/>
  <c r="I20" i="13"/>
  <c r="L20" i="13" s="1"/>
  <c r="E21" i="13"/>
  <c r="H21" i="13"/>
  <c r="G28" i="13"/>
  <c r="B28" i="13"/>
  <c r="C28" i="12"/>
  <c r="F24" i="12"/>
  <c r="AE5" i="7"/>
  <c r="AD5" i="7"/>
  <c r="AG4" i="7"/>
  <c r="B4" i="4"/>
  <c r="N28" i="2" l="1"/>
  <c r="I27" i="15"/>
  <c r="H27" i="16"/>
  <c r="J27" i="15"/>
  <c r="I27" i="16"/>
  <c r="M27" i="15"/>
  <c r="D27" i="17"/>
  <c r="J27" i="17"/>
  <c r="J27" i="16"/>
  <c r="L27" i="17"/>
  <c r="E27" i="15"/>
  <c r="L27" i="15"/>
  <c r="V13" i="10"/>
  <c r="F27" i="16"/>
  <c r="K27" i="16"/>
  <c r="E27" i="17"/>
  <c r="E27" i="16"/>
  <c r="F27" i="17"/>
  <c r="J28" i="2"/>
  <c r="H28" i="17" s="1"/>
  <c r="I28" i="2"/>
  <c r="G27" i="17"/>
  <c r="G27" i="16"/>
  <c r="H27" i="15"/>
  <c r="AQ27" i="15"/>
  <c r="AG27" i="17"/>
  <c r="AG27" i="16"/>
  <c r="B28" i="17"/>
  <c r="B28" i="16"/>
  <c r="B28" i="11"/>
  <c r="C28" i="15"/>
  <c r="AG28" i="2"/>
  <c r="AF28" i="15" s="1"/>
  <c r="AH28" i="2"/>
  <c r="AG28" i="15" s="1"/>
  <c r="AD28" i="2"/>
  <c r="AC28" i="15" s="1"/>
  <c r="AJ28" i="2"/>
  <c r="AI28" i="15" s="1"/>
  <c r="AF28" i="2"/>
  <c r="AE28" i="15" s="1"/>
  <c r="AL28" i="2"/>
  <c r="AC28" i="2"/>
  <c r="AB28" i="15" s="1"/>
  <c r="AI28" i="2"/>
  <c r="AH28" i="15" s="1"/>
  <c r="AE28" i="2"/>
  <c r="AD28" i="15" s="1"/>
  <c r="AK28" i="2"/>
  <c r="AJ28" i="15" s="1"/>
  <c r="AR28" i="2"/>
  <c r="Q28" i="2"/>
  <c r="O28" i="17" s="1"/>
  <c r="F28" i="2"/>
  <c r="D28" i="17" s="1"/>
  <c r="M28" i="2"/>
  <c r="K28" i="17" s="1"/>
  <c r="L28" i="2"/>
  <c r="J28" i="17" s="1"/>
  <c r="K28" i="2"/>
  <c r="I28" i="17" s="1"/>
  <c r="AA27" i="16"/>
  <c r="AA27" i="17"/>
  <c r="AK27" i="15"/>
  <c r="Z27" i="14"/>
  <c r="AB27" i="14" s="1"/>
  <c r="D27" i="11"/>
  <c r="G27" i="11"/>
  <c r="H28" i="2"/>
  <c r="F28" i="16" s="1"/>
  <c r="G28" i="2"/>
  <c r="E28" i="16" s="1"/>
  <c r="W26" i="14"/>
  <c r="Y26" i="14" s="1"/>
  <c r="H26" i="11"/>
  <c r="J26" i="11" s="1"/>
  <c r="F118" i="4"/>
  <c r="F119" i="4" s="1"/>
  <c r="F120" i="4" s="1"/>
  <c r="F121" i="4" s="1"/>
  <c r="F122" i="4" s="1"/>
  <c r="U13" i="16"/>
  <c r="U13" i="17"/>
  <c r="V13" i="15"/>
  <c r="C30" i="4"/>
  <c r="T13" i="16"/>
  <c r="T13" i="17"/>
  <c r="U13" i="15"/>
  <c r="W15" i="4"/>
  <c r="Y14" i="2"/>
  <c r="N15" i="4"/>
  <c r="P14" i="2"/>
  <c r="S13" i="16"/>
  <c r="S13" i="17"/>
  <c r="T13" i="15"/>
  <c r="J30" i="4"/>
  <c r="Q13" i="16"/>
  <c r="Q13" i="17"/>
  <c r="R13" i="15"/>
  <c r="AT13" i="2"/>
  <c r="BB13" i="2" s="1"/>
  <c r="Z14" i="2"/>
  <c r="X15" i="4"/>
  <c r="U15" i="4"/>
  <c r="W14" i="2"/>
  <c r="Y13" i="16"/>
  <c r="Z13" i="15"/>
  <c r="Y13" i="17"/>
  <c r="T15" i="4"/>
  <c r="V14" i="2"/>
  <c r="P13" i="17"/>
  <c r="P13" i="16"/>
  <c r="Q13" i="15"/>
  <c r="S15" i="4"/>
  <c r="U15" i="2" s="1"/>
  <c r="Q15" i="4"/>
  <c r="S14" i="2"/>
  <c r="R13" i="17"/>
  <c r="R13" i="16"/>
  <c r="S13" i="15"/>
  <c r="X13" i="17"/>
  <c r="X13" i="16"/>
  <c r="Y13" i="15"/>
  <c r="G30" i="4"/>
  <c r="W13" i="17"/>
  <c r="X13" i="15"/>
  <c r="W13" i="16"/>
  <c r="W13" i="15"/>
  <c r="V13" i="17"/>
  <c r="V13" i="16"/>
  <c r="N13" i="17"/>
  <c r="N13" i="16"/>
  <c r="O13" i="15"/>
  <c r="K30" i="4"/>
  <c r="D30" i="4"/>
  <c r="E4" i="2"/>
  <c r="C4" i="10" s="1"/>
  <c r="B5" i="4"/>
  <c r="W13" i="7"/>
  <c r="Y15" i="4"/>
  <c r="AA14" i="2"/>
  <c r="P15" i="4"/>
  <c r="R14" i="2"/>
  <c r="H30" i="4"/>
  <c r="Z13" i="17"/>
  <c r="Z13" i="16"/>
  <c r="AA13" i="15"/>
  <c r="Z13" i="10"/>
  <c r="Z13" i="9"/>
  <c r="AA13" i="7"/>
  <c r="AS13" i="2"/>
  <c r="M13" i="16"/>
  <c r="AH13" i="16" s="1"/>
  <c r="K13" i="14" s="1"/>
  <c r="M13" i="14" s="1"/>
  <c r="M13" i="17"/>
  <c r="AH13" i="17" s="1"/>
  <c r="N13" i="14" s="1"/>
  <c r="P13" i="14" s="1"/>
  <c r="N13" i="15"/>
  <c r="AR13" i="15" s="1"/>
  <c r="E13" i="14" s="1"/>
  <c r="G13" i="14" s="1"/>
  <c r="E30" i="4"/>
  <c r="R15" i="4"/>
  <c r="T14" i="2"/>
  <c r="I30" i="4"/>
  <c r="O30" i="4"/>
  <c r="Z15" i="4"/>
  <c r="AB14" i="2"/>
  <c r="V15" i="4"/>
  <c r="X14" i="2"/>
  <c r="V14" i="9" s="1"/>
  <c r="M15" i="4"/>
  <c r="O14" i="2"/>
  <c r="L28" i="16"/>
  <c r="L28" i="17"/>
  <c r="M28" i="15"/>
  <c r="H12" i="14"/>
  <c r="J12" i="14" s="1"/>
  <c r="B12" i="14"/>
  <c r="D12" i="14" s="1"/>
  <c r="C30" i="2"/>
  <c r="D29" i="2"/>
  <c r="B31" i="2"/>
  <c r="AC5" i="7"/>
  <c r="AX11" i="2"/>
  <c r="AW11" i="2"/>
  <c r="AY4" i="2"/>
  <c r="AF5" i="7"/>
  <c r="H11" i="9"/>
  <c r="H11" i="10"/>
  <c r="I11" i="7"/>
  <c r="B12" i="12"/>
  <c r="T12" i="14" s="1"/>
  <c r="V12" i="14" s="1"/>
  <c r="B12" i="10"/>
  <c r="B12" i="9"/>
  <c r="C12" i="7"/>
  <c r="T11" i="10"/>
  <c r="T11" i="9"/>
  <c r="U11" i="7"/>
  <c r="J11" i="10"/>
  <c r="J11" i="9"/>
  <c r="K11" i="7"/>
  <c r="AB4" i="9"/>
  <c r="AB4" i="10"/>
  <c r="AL4" i="7"/>
  <c r="G11" i="10"/>
  <c r="G11" i="9"/>
  <c r="H11" i="7"/>
  <c r="N11" i="10"/>
  <c r="N11" i="9"/>
  <c r="O11" i="7"/>
  <c r="D11" i="10"/>
  <c r="D11" i="9"/>
  <c r="E11" i="7"/>
  <c r="P11" i="10"/>
  <c r="P11" i="9"/>
  <c r="Q11" i="7"/>
  <c r="U11" i="10"/>
  <c r="U11" i="9"/>
  <c r="V11" i="7"/>
  <c r="R11" i="10"/>
  <c r="R11" i="9"/>
  <c r="S11" i="7"/>
  <c r="AH9" i="7"/>
  <c r="AB9" i="7"/>
  <c r="AC8" i="10"/>
  <c r="AC8" i="9"/>
  <c r="AM8" i="7"/>
  <c r="O11" i="10"/>
  <c r="O11" i="9"/>
  <c r="P11" i="7"/>
  <c r="E11" i="10"/>
  <c r="E11" i="9"/>
  <c r="F11" i="7"/>
  <c r="I11" i="10"/>
  <c r="I11" i="9"/>
  <c r="J11" i="7"/>
  <c r="X13" i="10"/>
  <c r="X13" i="9"/>
  <c r="Y13" i="7"/>
  <c r="AI9" i="7"/>
  <c r="AJ9" i="7"/>
  <c r="AF9" i="10"/>
  <c r="AF9" i="9"/>
  <c r="AP9" i="7"/>
  <c r="L11" i="10"/>
  <c r="L11" i="9"/>
  <c r="M11" i="7"/>
  <c r="S11" i="10"/>
  <c r="S11" i="9"/>
  <c r="T11" i="7"/>
  <c r="D11" i="12"/>
  <c r="G11" i="12"/>
  <c r="Q11" i="14" s="1"/>
  <c r="S11" i="14" s="1"/>
  <c r="K10" i="12"/>
  <c r="H10" i="12"/>
  <c r="J10" i="12" s="1"/>
  <c r="K11" i="10"/>
  <c r="K11" i="9"/>
  <c r="L11" i="7"/>
  <c r="AE9" i="10"/>
  <c r="AE9" i="9"/>
  <c r="AO9" i="7"/>
  <c r="AD8" i="10"/>
  <c r="AD8" i="9"/>
  <c r="AN8" i="7"/>
  <c r="F11" i="10"/>
  <c r="F11" i="9"/>
  <c r="G11" i="7"/>
  <c r="M11" i="10"/>
  <c r="M11" i="9"/>
  <c r="N11" i="7"/>
  <c r="Q11" i="10"/>
  <c r="Q11" i="9"/>
  <c r="R11" i="7"/>
  <c r="Y13" i="10"/>
  <c r="Y13" i="9"/>
  <c r="Z13" i="7"/>
  <c r="W13" i="10"/>
  <c r="W13" i="9"/>
  <c r="X13" i="7"/>
  <c r="K20" i="13"/>
  <c r="I21" i="13"/>
  <c r="L21" i="13" s="1"/>
  <c r="M21" i="13"/>
  <c r="E22" i="13"/>
  <c r="O22" i="13" s="1"/>
  <c r="H22" i="13"/>
  <c r="B29" i="13"/>
  <c r="G29" i="13"/>
  <c r="F25" i="12"/>
  <c r="C29" i="12"/>
  <c r="AZ4" i="2"/>
  <c r="BA4" i="2"/>
  <c r="AE6" i="7"/>
  <c r="AD6" i="7"/>
  <c r="AG5" i="7"/>
  <c r="D3" i="3"/>
  <c r="C3" i="3"/>
  <c r="J5" i="3"/>
  <c r="J6" i="3" s="1"/>
  <c r="J3" i="3"/>
  <c r="J4" i="3" s="1"/>
  <c r="F2" i="3"/>
  <c r="B2" i="3"/>
  <c r="L28" i="15" l="1"/>
  <c r="H29" i="2"/>
  <c r="J28" i="16"/>
  <c r="I28" i="16"/>
  <c r="F28" i="17"/>
  <c r="D4" i="7"/>
  <c r="C4" i="9"/>
  <c r="F28" i="15"/>
  <c r="G28" i="15"/>
  <c r="E28" i="17"/>
  <c r="J28" i="15"/>
  <c r="H28" i="16"/>
  <c r="P28" i="15"/>
  <c r="K28" i="16"/>
  <c r="I28" i="15"/>
  <c r="K28" i="15"/>
  <c r="D28" i="16"/>
  <c r="O28" i="16"/>
  <c r="E28" i="15"/>
  <c r="V14" i="10"/>
  <c r="J29" i="2"/>
  <c r="H29" i="17" s="1"/>
  <c r="AA28" i="17"/>
  <c r="AA28" i="16"/>
  <c r="AK28" i="15"/>
  <c r="N29" i="2"/>
  <c r="L29" i="17" s="1"/>
  <c r="AQ28" i="15"/>
  <c r="AG28" i="17"/>
  <c r="AG28" i="16"/>
  <c r="Z28" i="14"/>
  <c r="AB28" i="14" s="1"/>
  <c r="D28" i="11"/>
  <c r="G28" i="11"/>
  <c r="M29" i="2"/>
  <c r="L29" i="15" s="1"/>
  <c r="W27" i="14"/>
  <c r="Y27" i="14" s="1"/>
  <c r="H27" i="11"/>
  <c r="L27" i="11" s="1"/>
  <c r="Q29" i="2"/>
  <c r="P29" i="15" s="1"/>
  <c r="B29" i="11"/>
  <c r="B29" i="17"/>
  <c r="B29" i="16"/>
  <c r="C29" i="15"/>
  <c r="AG29" i="2"/>
  <c r="AF29" i="15" s="1"/>
  <c r="AH29" i="2"/>
  <c r="AG29" i="15" s="1"/>
  <c r="AI29" i="2"/>
  <c r="AH29" i="15" s="1"/>
  <c r="AJ29" i="2"/>
  <c r="AI29" i="15" s="1"/>
  <c r="AL29" i="2"/>
  <c r="AF29" i="2"/>
  <c r="AE29" i="15" s="1"/>
  <c r="AK29" i="2"/>
  <c r="AJ29" i="15" s="1"/>
  <c r="AD29" i="2"/>
  <c r="AC29" i="15" s="1"/>
  <c r="AC29" i="2"/>
  <c r="AB29" i="15" s="1"/>
  <c r="AR29" i="2"/>
  <c r="AE29" i="2"/>
  <c r="AD29" i="15" s="1"/>
  <c r="K29" i="2"/>
  <c r="I29" i="17" s="1"/>
  <c r="G29" i="2"/>
  <c r="E29" i="16" s="1"/>
  <c r="G28" i="16"/>
  <c r="I29" i="2"/>
  <c r="G28" i="17"/>
  <c r="H28" i="15"/>
  <c r="L29" i="2"/>
  <c r="J29" i="17" s="1"/>
  <c r="F29" i="2"/>
  <c r="D29" i="17" s="1"/>
  <c r="Z16" i="4"/>
  <c r="AB15" i="2"/>
  <c r="E31" i="4"/>
  <c r="P14" i="17"/>
  <c r="P14" i="16"/>
  <c r="Q14" i="15"/>
  <c r="C4" i="16"/>
  <c r="C4" i="17"/>
  <c r="D4" i="15"/>
  <c r="Q16" i="4"/>
  <c r="S15" i="2"/>
  <c r="T14" i="16"/>
  <c r="T14" i="17"/>
  <c r="U14" i="15"/>
  <c r="U16" i="4"/>
  <c r="W15" i="2"/>
  <c r="Y14" i="15"/>
  <c r="X14" i="17"/>
  <c r="X14" i="16"/>
  <c r="J31" i="4"/>
  <c r="W14" i="17"/>
  <c r="W14" i="16"/>
  <c r="X14" i="15"/>
  <c r="H31" i="4"/>
  <c r="P16" i="4"/>
  <c r="R15" i="2"/>
  <c r="S14" i="16"/>
  <c r="S14" i="17"/>
  <c r="T14" i="15"/>
  <c r="T16" i="4"/>
  <c r="V15" i="2"/>
  <c r="W16" i="4"/>
  <c r="Y15" i="2"/>
  <c r="R14" i="17"/>
  <c r="R14" i="16"/>
  <c r="S14" i="15"/>
  <c r="Y14" i="16"/>
  <c r="Y14" i="17"/>
  <c r="Z14" i="15"/>
  <c r="Y16" i="4"/>
  <c r="AA15" i="2"/>
  <c r="C31" i="4"/>
  <c r="M14" i="17"/>
  <c r="AH14" i="17" s="1"/>
  <c r="N14" i="14" s="1"/>
  <c r="P14" i="14" s="1"/>
  <c r="M14" i="16"/>
  <c r="AH14" i="16" s="1"/>
  <c r="K14" i="14" s="1"/>
  <c r="M14" i="14" s="1"/>
  <c r="AS14" i="2"/>
  <c r="N14" i="15"/>
  <c r="AR14" i="15" s="1"/>
  <c r="E14" i="14" s="1"/>
  <c r="G14" i="14" s="1"/>
  <c r="I31" i="4"/>
  <c r="M16" i="4"/>
  <c r="O15" i="2"/>
  <c r="D31" i="4"/>
  <c r="S16" i="4"/>
  <c r="U16" i="2" s="1"/>
  <c r="V14" i="16"/>
  <c r="V14" i="17"/>
  <c r="W14" i="15"/>
  <c r="V16" i="4"/>
  <c r="X15" i="2"/>
  <c r="V15" i="10" s="1"/>
  <c r="B13" i="14"/>
  <c r="D13" i="14" s="1"/>
  <c r="H13" i="14"/>
  <c r="J13" i="14" s="1"/>
  <c r="G31" i="4"/>
  <c r="N14" i="17"/>
  <c r="N14" i="16"/>
  <c r="O14" i="15"/>
  <c r="R16" i="4"/>
  <c r="T15" i="2"/>
  <c r="W14" i="7"/>
  <c r="Z14" i="17"/>
  <c r="Z14" i="16"/>
  <c r="AA14" i="15"/>
  <c r="Z14" i="10"/>
  <c r="Z14" i="9"/>
  <c r="AA14" i="7"/>
  <c r="O31" i="4"/>
  <c r="F29" i="17"/>
  <c r="F29" i="16"/>
  <c r="G29" i="15"/>
  <c r="E5" i="2"/>
  <c r="C5" i="10" s="1"/>
  <c r="B6" i="4"/>
  <c r="K31" i="4"/>
  <c r="Q14" i="17"/>
  <c r="Q14" i="16"/>
  <c r="R14" i="15"/>
  <c r="AT14" i="2"/>
  <c r="U14" i="16"/>
  <c r="U14" i="17"/>
  <c r="V14" i="15"/>
  <c r="Z15" i="2"/>
  <c r="X16" i="4"/>
  <c r="N16" i="4"/>
  <c r="P15" i="2"/>
  <c r="D30" i="2"/>
  <c r="B32" i="2"/>
  <c r="C31" i="2"/>
  <c r="AC6" i="7"/>
  <c r="BB4" i="2"/>
  <c r="AX12" i="2"/>
  <c r="AY5" i="2"/>
  <c r="AW12" i="2"/>
  <c r="AF6" i="7"/>
  <c r="F12" i="10"/>
  <c r="F12" i="9"/>
  <c r="G12" i="7"/>
  <c r="AF10" i="10"/>
  <c r="AF10" i="9"/>
  <c r="AP10" i="7"/>
  <c r="X14" i="10"/>
  <c r="X14" i="9"/>
  <c r="Y14" i="7"/>
  <c r="I12" i="10"/>
  <c r="I12" i="9"/>
  <c r="J12" i="7"/>
  <c r="P12" i="10"/>
  <c r="P12" i="9"/>
  <c r="Q12" i="7"/>
  <c r="E12" i="10"/>
  <c r="E12" i="9"/>
  <c r="F12" i="7"/>
  <c r="M12" i="10"/>
  <c r="M12" i="9"/>
  <c r="N12" i="7"/>
  <c r="AD9" i="10"/>
  <c r="AD9" i="9"/>
  <c r="AN9" i="7"/>
  <c r="AE10" i="10"/>
  <c r="AE10" i="9"/>
  <c r="AO10" i="7"/>
  <c r="AB5" i="10"/>
  <c r="AB5" i="9"/>
  <c r="AL5" i="7"/>
  <c r="AB10" i="7"/>
  <c r="Y14" i="10"/>
  <c r="Y14" i="9"/>
  <c r="Z14" i="7"/>
  <c r="L12" i="9"/>
  <c r="L12" i="10"/>
  <c r="M12" i="7"/>
  <c r="T12" i="10"/>
  <c r="T12" i="9"/>
  <c r="U12" i="7"/>
  <c r="K11" i="12"/>
  <c r="H11" i="12"/>
  <c r="J11" i="12" s="1"/>
  <c r="D5" i="7"/>
  <c r="AH10" i="7"/>
  <c r="H12" i="10"/>
  <c r="H12" i="9"/>
  <c r="I12" i="7"/>
  <c r="U12" i="10"/>
  <c r="U12" i="9"/>
  <c r="V12" i="7"/>
  <c r="J12" i="10"/>
  <c r="J12" i="9"/>
  <c r="K12" i="7"/>
  <c r="D12" i="12"/>
  <c r="L12" i="12" s="1"/>
  <c r="G12" i="12"/>
  <c r="Q12" i="14" s="1"/>
  <c r="S12" i="14" s="1"/>
  <c r="AA4" i="10"/>
  <c r="AA4" i="9"/>
  <c r="AK4" i="7"/>
  <c r="AG4" i="10"/>
  <c r="AG4" i="9"/>
  <c r="AQ4" i="7"/>
  <c r="Q12" i="10"/>
  <c r="Q12" i="9"/>
  <c r="R12" i="7"/>
  <c r="O12" i="10"/>
  <c r="O12" i="9"/>
  <c r="P12" i="7"/>
  <c r="D12" i="10"/>
  <c r="D12" i="9"/>
  <c r="E12" i="7"/>
  <c r="R12" i="10"/>
  <c r="R12" i="9"/>
  <c r="S12" i="7"/>
  <c r="N12" i="10"/>
  <c r="N12" i="9"/>
  <c r="O12" i="7"/>
  <c r="AC9" i="10"/>
  <c r="AC9" i="9"/>
  <c r="AM9" i="7"/>
  <c r="AI10" i="7"/>
  <c r="AJ10" i="7"/>
  <c r="W14" i="10"/>
  <c r="W14" i="9"/>
  <c r="X14" i="7"/>
  <c r="B13" i="12"/>
  <c r="T13" i="14" s="1"/>
  <c r="V13" i="14" s="1"/>
  <c r="B13" i="10"/>
  <c r="B13" i="9"/>
  <c r="C13" i="7"/>
  <c r="G12" i="10"/>
  <c r="G12" i="9"/>
  <c r="H12" i="7"/>
  <c r="K12" i="10"/>
  <c r="K12" i="9"/>
  <c r="L12" i="7"/>
  <c r="S12" i="10"/>
  <c r="S12" i="9"/>
  <c r="T12" i="7"/>
  <c r="K21" i="13"/>
  <c r="M22" i="13"/>
  <c r="I22" i="13"/>
  <c r="K22" i="13" s="1"/>
  <c r="P22" i="13"/>
  <c r="Q22" i="13"/>
  <c r="N22" i="13"/>
  <c r="H23" i="13"/>
  <c r="E23" i="13"/>
  <c r="B30" i="13"/>
  <c r="G30" i="13"/>
  <c r="F26" i="12"/>
  <c r="C30" i="12"/>
  <c r="AZ5" i="2"/>
  <c r="BA5" i="2"/>
  <c r="AE7" i="7"/>
  <c r="AD7" i="7"/>
  <c r="AG6" i="7"/>
  <c r="C4" i="3"/>
  <c r="D4" i="3"/>
  <c r="D5" i="3" s="1"/>
  <c r="D6" i="3" s="1"/>
  <c r="D7" i="3" s="1"/>
  <c r="D8" i="3" s="1"/>
  <c r="D9" i="3" s="1"/>
  <c r="D10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D100" i="3" s="1"/>
  <c r="D101" i="3" s="1"/>
  <c r="D102" i="3" s="1"/>
  <c r="D103" i="3" s="1"/>
  <c r="D104" i="3" s="1"/>
  <c r="D105" i="3" s="1"/>
  <c r="D106" i="3" s="1"/>
  <c r="D107" i="3" s="1"/>
  <c r="D108" i="3" s="1"/>
  <c r="D109" i="3" s="1"/>
  <c r="D110" i="3" s="1"/>
  <c r="D111" i="3" s="1"/>
  <c r="D112" i="3" s="1"/>
  <c r="D113" i="3" s="1"/>
  <c r="D114" i="3" s="1"/>
  <c r="D115" i="3" s="1"/>
  <c r="D116" i="3" s="1"/>
  <c r="D117" i="3" s="1"/>
  <c r="D118" i="3" s="1"/>
  <c r="D119" i="3" s="1"/>
  <c r="D120" i="3" s="1"/>
  <c r="D121" i="3" s="1"/>
  <c r="E3" i="3"/>
  <c r="F3" i="3" s="1"/>
  <c r="J7" i="3"/>
  <c r="J8" i="3" s="1"/>
  <c r="J9" i="3" s="1"/>
  <c r="J10" i="3" s="1"/>
  <c r="J11" i="3" s="1"/>
  <c r="B4" i="3"/>
  <c r="B3" i="3"/>
  <c r="J30" i="2" l="1"/>
  <c r="H29" i="16"/>
  <c r="C5" i="9"/>
  <c r="Q30" i="2"/>
  <c r="O30" i="16" s="1"/>
  <c r="M29" i="15"/>
  <c r="O29" i="16"/>
  <c r="F29" i="15"/>
  <c r="K29" i="17"/>
  <c r="K29" i="16"/>
  <c r="J27" i="11"/>
  <c r="N30" i="2"/>
  <c r="L30" i="17" s="1"/>
  <c r="I29" i="15"/>
  <c r="J29" i="15"/>
  <c r="K27" i="11"/>
  <c r="L29" i="16"/>
  <c r="K29" i="15"/>
  <c r="J29" i="16"/>
  <c r="O29" i="17"/>
  <c r="D29" i="16"/>
  <c r="G30" i="2"/>
  <c r="F30" i="15" s="1"/>
  <c r="E29" i="15"/>
  <c r="M30" i="2"/>
  <c r="K30" i="17" s="1"/>
  <c r="H30" i="2"/>
  <c r="F30" i="16" s="1"/>
  <c r="I30" i="2"/>
  <c r="G29" i="17"/>
  <c r="H29" i="15"/>
  <c r="G29" i="16"/>
  <c r="Z29" i="14"/>
  <c r="AB29" i="14" s="1"/>
  <c r="D29" i="11"/>
  <c r="G29" i="11"/>
  <c r="K30" i="2"/>
  <c r="I30" i="16" s="1"/>
  <c r="W28" i="14"/>
  <c r="Y28" i="14" s="1"/>
  <c r="H28" i="11"/>
  <c r="J28" i="11" s="1"/>
  <c r="V15" i="9"/>
  <c r="E29" i="17"/>
  <c r="B30" i="17"/>
  <c r="B30" i="16"/>
  <c r="B30" i="11"/>
  <c r="AG30" i="2"/>
  <c r="AF30" i="15" s="1"/>
  <c r="C30" i="15"/>
  <c r="AH30" i="2"/>
  <c r="AG30" i="15" s="1"/>
  <c r="AI30" i="2"/>
  <c r="AH30" i="15" s="1"/>
  <c r="AD30" i="2"/>
  <c r="AC30" i="15" s="1"/>
  <c r="AF30" i="2"/>
  <c r="AE30" i="15" s="1"/>
  <c r="AL30" i="2"/>
  <c r="AE30" i="2"/>
  <c r="AD30" i="15" s="1"/>
  <c r="AC30" i="2"/>
  <c r="AB30" i="15" s="1"/>
  <c r="AJ30" i="2"/>
  <c r="AI30" i="15" s="1"/>
  <c r="AK30" i="2"/>
  <c r="AJ30" i="15" s="1"/>
  <c r="AR30" i="2"/>
  <c r="L30" i="2"/>
  <c r="J30" i="16" s="1"/>
  <c r="F30" i="2"/>
  <c r="D30" i="16" s="1"/>
  <c r="I29" i="16"/>
  <c r="AA29" i="16"/>
  <c r="AK29" i="15"/>
  <c r="AA29" i="17"/>
  <c r="D31" i="2"/>
  <c r="K31" i="2" s="1"/>
  <c r="AQ29" i="15"/>
  <c r="AG29" i="16"/>
  <c r="AG29" i="17"/>
  <c r="N17" i="4"/>
  <c r="P16" i="2"/>
  <c r="U15" i="17"/>
  <c r="U15" i="16"/>
  <c r="V15" i="15"/>
  <c r="K32" i="4"/>
  <c r="V15" i="16"/>
  <c r="W15" i="15"/>
  <c r="V15" i="17"/>
  <c r="D32" i="4"/>
  <c r="H14" i="14"/>
  <c r="J14" i="14" s="1"/>
  <c r="B14" i="14"/>
  <c r="D14" i="14" s="1"/>
  <c r="W15" i="16"/>
  <c r="W15" i="17"/>
  <c r="X15" i="15"/>
  <c r="J32" i="4"/>
  <c r="E32" i="4"/>
  <c r="S17" i="4"/>
  <c r="U17" i="2" s="1"/>
  <c r="P15" i="16"/>
  <c r="P15" i="17"/>
  <c r="Q15" i="15"/>
  <c r="B7" i="4"/>
  <c r="E6" i="2"/>
  <c r="C6" i="10" s="1"/>
  <c r="R15" i="16"/>
  <c r="R15" i="17"/>
  <c r="S15" i="15"/>
  <c r="X16" i="2"/>
  <c r="V16" i="9" s="1"/>
  <c r="V17" i="4"/>
  <c r="AS15" i="2"/>
  <c r="M15" i="16"/>
  <c r="AH15" i="16" s="1"/>
  <c r="K15" i="14" s="1"/>
  <c r="M15" i="14" s="1"/>
  <c r="M15" i="17"/>
  <c r="AH15" i="17" s="1"/>
  <c r="N15" i="14" s="1"/>
  <c r="P15" i="14" s="1"/>
  <c r="N15" i="15"/>
  <c r="AR15" i="15" s="1"/>
  <c r="E15" i="14" s="1"/>
  <c r="G15" i="14" s="1"/>
  <c r="W17" i="4"/>
  <c r="Y16" i="2"/>
  <c r="H32" i="4"/>
  <c r="Q17" i="4"/>
  <c r="S16" i="2"/>
  <c r="Z16" i="2"/>
  <c r="X17" i="4"/>
  <c r="C5" i="16"/>
  <c r="D5" i="15"/>
  <c r="C5" i="17"/>
  <c r="O32" i="4"/>
  <c r="Q31" i="2"/>
  <c r="H30" i="16"/>
  <c r="H30" i="17"/>
  <c r="I30" i="15"/>
  <c r="M17" i="4"/>
  <c r="O16" i="2"/>
  <c r="Y15" i="16"/>
  <c r="Y15" i="17"/>
  <c r="Z15" i="15"/>
  <c r="T15" i="17"/>
  <c r="T15" i="16"/>
  <c r="U15" i="15"/>
  <c r="N15" i="16"/>
  <c r="N15" i="17"/>
  <c r="O15" i="15"/>
  <c r="X15" i="17"/>
  <c r="X15" i="16"/>
  <c r="Y15" i="15"/>
  <c r="R17" i="4"/>
  <c r="T16" i="2"/>
  <c r="G32" i="4"/>
  <c r="J31" i="2"/>
  <c r="S15" i="17"/>
  <c r="S15" i="16"/>
  <c r="T15" i="15"/>
  <c r="Y17" i="4"/>
  <c r="AA16" i="2"/>
  <c r="T17" i="4"/>
  <c r="V16" i="2"/>
  <c r="Q15" i="16"/>
  <c r="Q15" i="17"/>
  <c r="R15" i="15"/>
  <c r="AT15" i="2"/>
  <c r="I32" i="4"/>
  <c r="L31" i="2"/>
  <c r="C32" i="4"/>
  <c r="F31" i="2"/>
  <c r="Z15" i="17"/>
  <c r="Z15" i="16"/>
  <c r="AA15" i="15"/>
  <c r="Z15" i="9"/>
  <c r="AA15" i="7"/>
  <c r="Z15" i="10"/>
  <c r="W15" i="7"/>
  <c r="P17" i="4"/>
  <c r="R16" i="2"/>
  <c r="W16" i="2"/>
  <c r="U17" i="4"/>
  <c r="Z17" i="4"/>
  <c r="AB16" i="2"/>
  <c r="D32" i="2"/>
  <c r="C32" i="2"/>
  <c r="B33" i="2"/>
  <c r="AC7" i="7"/>
  <c r="BB5" i="2"/>
  <c r="AX13" i="2"/>
  <c r="AW13" i="2"/>
  <c r="AY6" i="2"/>
  <c r="AF7" i="7"/>
  <c r="AH4" i="10"/>
  <c r="AH4" i="9"/>
  <c r="AD10" i="10"/>
  <c r="AD10" i="9"/>
  <c r="AN10" i="7"/>
  <c r="AE11" i="10"/>
  <c r="AE11" i="9"/>
  <c r="AO11" i="7"/>
  <c r="B14" i="12"/>
  <c r="T14" i="14" s="1"/>
  <c r="V14" i="14" s="1"/>
  <c r="B14" i="10"/>
  <c r="B14" i="9"/>
  <c r="C14" i="7"/>
  <c r="D13" i="10"/>
  <c r="D13" i="9"/>
  <c r="E13" i="7"/>
  <c r="M13" i="10"/>
  <c r="M13" i="9"/>
  <c r="N13" i="7"/>
  <c r="F13" i="10"/>
  <c r="F13" i="9"/>
  <c r="G13" i="7"/>
  <c r="AI11" i="7"/>
  <c r="AJ11" i="7"/>
  <c r="X15" i="9"/>
  <c r="X15" i="10"/>
  <c r="Y15" i="7"/>
  <c r="AC10" i="10"/>
  <c r="AC10" i="9"/>
  <c r="AM10" i="7"/>
  <c r="K13" i="10"/>
  <c r="K13" i="9"/>
  <c r="L13" i="7"/>
  <c r="T13" i="10"/>
  <c r="T13" i="9"/>
  <c r="U13" i="7"/>
  <c r="H13" i="10"/>
  <c r="H13" i="9"/>
  <c r="I13" i="7"/>
  <c r="P13" i="9"/>
  <c r="P13" i="10"/>
  <c r="Q13" i="7"/>
  <c r="N13" i="10"/>
  <c r="N13" i="9"/>
  <c r="O13" i="7"/>
  <c r="Y15" i="10"/>
  <c r="Y15" i="9"/>
  <c r="Z15" i="7"/>
  <c r="AA5" i="10"/>
  <c r="AA5" i="9"/>
  <c r="AK5" i="7"/>
  <c r="U13" i="10"/>
  <c r="U13" i="9"/>
  <c r="V13" i="7"/>
  <c r="I13" i="10"/>
  <c r="I13" i="9"/>
  <c r="J13" i="7"/>
  <c r="G13" i="10"/>
  <c r="G13" i="9"/>
  <c r="H13" i="7"/>
  <c r="K12" i="12"/>
  <c r="H12" i="12"/>
  <c r="J12" i="12" s="1"/>
  <c r="E13" i="10"/>
  <c r="E13" i="9"/>
  <c r="F13" i="7"/>
  <c r="R13" i="10"/>
  <c r="R13" i="9"/>
  <c r="S13" i="7"/>
  <c r="AB6" i="10"/>
  <c r="AB6" i="9"/>
  <c r="AL6" i="7"/>
  <c r="O13" i="10"/>
  <c r="O13" i="9"/>
  <c r="P13" i="7"/>
  <c r="Q13" i="10"/>
  <c r="Q13" i="9"/>
  <c r="R13" i="7"/>
  <c r="D13" i="12"/>
  <c r="G13" i="12"/>
  <c r="Q13" i="14" s="1"/>
  <c r="S13" i="14" s="1"/>
  <c r="N12" i="12"/>
  <c r="O12" i="12"/>
  <c r="M12" i="12"/>
  <c r="AH11" i="7"/>
  <c r="AG5" i="10"/>
  <c r="AG5" i="9"/>
  <c r="AQ5" i="7"/>
  <c r="AF11" i="10"/>
  <c r="AF11" i="9"/>
  <c r="AP11" i="7"/>
  <c r="J13" i="10"/>
  <c r="J13" i="9"/>
  <c r="K13" i="7"/>
  <c r="S13" i="10"/>
  <c r="S13" i="9"/>
  <c r="T13" i="7"/>
  <c r="L13" i="10"/>
  <c r="L13" i="9"/>
  <c r="M13" i="7"/>
  <c r="AR4" i="7"/>
  <c r="AB11" i="7"/>
  <c r="W15" i="10"/>
  <c r="W15" i="9"/>
  <c r="X15" i="7"/>
  <c r="L22" i="13"/>
  <c r="M23" i="13"/>
  <c r="I23" i="13"/>
  <c r="K23" i="13" s="1"/>
  <c r="H24" i="13"/>
  <c r="E24" i="13"/>
  <c r="G31" i="13"/>
  <c r="B31" i="13"/>
  <c r="C31" i="12"/>
  <c r="F27" i="12"/>
  <c r="AZ6" i="2"/>
  <c r="BA6" i="2"/>
  <c r="AE8" i="7"/>
  <c r="AD8" i="7"/>
  <c r="AG7" i="7"/>
  <c r="C5" i="3"/>
  <c r="C6" i="3" s="1"/>
  <c r="E4" i="3"/>
  <c r="F4" i="3" s="1"/>
  <c r="J12" i="3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E2" i="1"/>
  <c r="G2" i="1" s="1"/>
  <c r="D2" i="1"/>
  <c r="B3" i="1"/>
  <c r="B4" i="1" s="1"/>
  <c r="O30" i="17" l="1"/>
  <c r="E30" i="15"/>
  <c r="V16" i="10"/>
  <c r="L30" i="15"/>
  <c r="P30" i="15"/>
  <c r="J30" i="17"/>
  <c r="H31" i="2"/>
  <c r="G31" i="15" s="1"/>
  <c r="N31" i="2"/>
  <c r="L31" i="16" s="1"/>
  <c r="M31" i="2"/>
  <c r="K30" i="16"/>
  <c r="J30" i="15"/>
  <c r="L30" i="16"/>
  <c r="D30" i="17"/>
  <c r="F30" i="17"/>
  <c r="K30" i="15"/>
  <c r="M30" i="15"/>
  <c r="G30" i="15"/>
  <c r="E30" i="16"/>
  <c r="I30" i="17"/>
  <c r="G31" i="2"/>
  <c r="E31" i="17" s="1"/>
  <c r="D6" i="7"/>
  <c r="E30" i="17"/>
  <c r="W16" i="7"/>
  <c r="C6" i="9"/>
  <c r="B32" i="16"/>
  <c r="B32" i="17"/>
  <c r="B32" i="11"/>
  <c r="AG32" i="2"/>
  <c r="AF32" i="15" s="1"/>
  <c r="C32" i="15"/>
  <c r="AH32" i="2"/>
  <c r="AG32" i="15" s="1"/>
  <c r="AD32" i="2"/>
  <c r="AC32" i="15" s="1"/>
  <c r="AC32" i="2"/>
  <c r="AB32" i="15" s="1"/>
  <c r="AL32" i="2"/>
  <c r="AJ32" i="2"/>
  <c r="AI32" i="15" s="1"/>
  <c r="AE32" i="2"/>
  <c r="AD32" i="15" s="1"/>
  <c r="AF32" i="2"/>
  <c r="AE32" i="15" s="1"/>
  <c r="AI32" i="2"/>
  <c r="AH32" i="15" s="1"/>
  <c r="AR32" i="2"/>
  <c r="AK32" i="2"/>
  <c r="AJ32" i="15" s="1"/>
  <c r="I32" i="2"/>
  <c r="W29" i="14"/>
  <c r="Y29" i="14" s="1"/>
  <c r="H29" i="11"/>
  <c r="J29" i="11" s="1"/>
  <c r="G30" i="17"/>
  <c r="G30" i="16"/>
  <c r="I31" i="2"/>
  <c r="H30" i="15"/>
  <c r="D33" i="2"/>
  <c r="B31" i="16"/>
  <c r="B31" i="11"/>
  <c r="B31" i="17"/>
  <c r="AG31" i="2"/>
  <c r="AF31" i="15" s="1"/>
  <c r="C31" i="15"/>
  <c r="AH31" i="2"/>
  <c r="AG31" i="15" s="1"/>
  <c r="AD31" i="2"/>
  <c r="AC31" i="15" s="1"/>
  <c r="AK31" i="2"/>
  <c r="AJ31" i="15" s="1"/>
  <c r="AJ31" i="2"/>
  <c r="AI31" i="15" s="1"/>
  <c r="AL31" i="2"/>
  <c r="AC31" i="2"/>
  <c r="AB31" i="15" s="1"/>
  <c r="AR31" i="2"/>
  <c r="AE31" i="2"/>
  <c r="AD31" i="15" s="1"/>
  <c r="AF31" i="2"/>
  <c r="AE31" i="15" s="1"/>
  <c r="AI31" i="2"/>
  <c r="AH31" i="15" s="1"/>
  <c r="AA30" i="17"/>
  <c r="AK30" i="15"/>
  <c r="AA30" i="16"/>
  <c r="AQ30" i="15"/>
  <c r="AG30" i="17"/>
  <c r="AG30" i="16"/>
  <c r="Z30" i="14"/>
  <c r="AB30" i="14" s="1"/>
  <c r="D30" i="11"/>
  <c r="G30" i="11"/>
  <c r="D31" i="16"/>
  <c r="D31" i="17"/>
  <c r="E31" i="15"/>
  <c r="Z17" i="2"/>
  <c r="X18" i="4"/>
  <c r="W16" i="16"/>
  <c r="W16" i="17"/>
  <c r="X16" i="15"/>
  <c r="X17" i="2"/>
  <c r="V17" i="10" s="1"/>
  <c r="V18" i="4"/>
  <c r="B8" i="4"/>
  <c r="E7" i="2"/>
  <c r="C7" i="10" s="1"/>
  <c r="F31" i="17"/>
  <c r="K33" i="4"/>
  <c r="N32" i="2"/>
  <c r="C33" i="4"/>
  <c r="F32" i="2"/>
  <c r="R18" i="4"/>
  <c r="T17" i="2"/>
  <c r="O31" i="16"/>
  <c r="O31" i="17"/>
  <c r="P31" i="15"/>
  <c r="X16" i="17"/>
  <c r="X16" i="16"/>
  <c r="Y16" i="15"/>
  <c r="W18" i="4"/>
  <c r="Y17" i="2"/>
  <c r="V16" i="16"/>
  <c r="V16" i="17"/>
  <c r="W16" i="15"/>
  <c r="E33" i="4"/>
  <c r="H32" i="2"/>
  <c r="D33" i="4"/>
  <c r="G32" i="2"/>
  <c r="K31" i="16"/>
  <c r="K31" i="17"/>
  <c r="L31" i="15"/>
  <c r="J31" i="17"/>
  <c r="J31" i="16"/>
  <c r="K31" i="15"/>
  <c r="M16" i="17"/>
  <c r="AH16" i="17" s="1"/>
  <c r="N16" i="14" s="1"/>
  <c r="P16" i="14" s="1"/>
  <c r="M16" i="16"/>
  <c r="AH16" i="16" s="1"/>
  <c r="K16" i="14" s="1"/>
  <c r="M16" i="14" s="1"/>
  <c r="AS16" i="2"/>
  <c r="N16" i="15"/>
  <c r="AR16" i="15" s="1"/>
  <c r="E16" i="14" s="1"/>
  <c r="G16" i="14" s="1"/>
  <c r="O33" i="4"/>
  <c r="Q32" i="2"/>
  <c r="Q16" i="17"/>
  <c r="Q16" i="16"/>
  <c r="R16" i="15"/>
  <c r="AT16" i="2"/>
  <c r="P16" i="16"/>
  <c r="P16" i="17"/>
  <c r="Q16" i="15"/>
  <c r="I33" i="4"/>
  <c r="L32" i="2"/>
  <c r="T18" i="4"/>
  <c r="V17" i="2"/>
  <c r="H31" i="17"/>
  <c r="H31" i="16"/>
  <c r="I31" i="15"/>
  <c r="O17" i="2"/>
  <c r="M18" i="4"/>
  <c r="Q18" i="4"/>
  <c r="S17" i="2"/>
  <c r="J33" i="4"/>
  <c r="M32" i="2"/>
  <c r="T16" i="17"/>
  <c r="T16" i="16"/>
  <c r="U16" i="15"/>
  <c r="Z16" i="17"/>
  <c r="Z16" i="16"/>
  <c r="AA16" i="15"/>
  <c r="Z16" i="10"/>
  <c r="Z16" i="9"/>
  <c r="AA16" i="7"/>
  <c r="U18" i="4"/>
  <c r="W17" i="2"/>
  <c r="P18" i="4"/>
  <c r="R17" i="2"/>
  <c r="Y16" i="16"/>
  <c r="Y16" i="17"/>
  <c r="Z16" i="15"/>
  <c r="G33" i="4"/>
  <c r="J32" i="2"/>
  <c r="I31" i="17"/>
  <c r="I31" i="16"/>
  <c r="J31" i="15"/>
  <c r="S16" i="16"/>
  <c r="S16" i="17"/>
  <c r="T16" i="15"/>
  <c r="N16" i="16"/>
  <c r="N16" i="17"/>
  <c r="O16" i="15"/>
  <c r="Z18" i="4"/>
  <c r="AB17" i="2"/>
  <c r="U16" i="16"/>
  <c r="U16" i="17"/>
  <c r="V16" i="15"/>
  <c r="AA17" i="2"/>
  <c r="Y18" i="4"/>
  <c r="R16" i="16"/>
  <c r="R16" i="17"/>
  <c r="S16" i="15"/>
  <c r="H33" i="4"/>
  <c r="K32" i="2"/>
  <c r="H15" i="14"/>
  <c r="J15" i="14" s="1"/>
  <c r="B15" i="14"/>
  <c r="D15" i="14" s="1"/>
  <c r="C6" i="17"/>
  <c r="C6" i="16"/>
  <c r="D6" i="15"/>
  <c r="S18" i="4"/>
  <c r="U18" i="2" s="1"/>
  <c r="N18" i="4"/>
  <c r="P17" i="2"/>
  <c r="B34" i="2"/>
  <c r="D34" i="2" s="1"/>
  <c r="C33" i="2"/>
  <c r="AC8" i="7"/>
  <c r="BB6" i="2"/>
  <c r="AX14" i="2"/>
  <c r="AW14" i="2"/>
  <c r="AY7" i="2"/>
  <c r="AF8" i="7"/>
  <c r="AD11" i="10"/>
  <c r="AD11" i="9"/>
  <c r="AN11" i="7"/>
  <c r="AG6" i="10"/>
  <c r="AG6" i="9"/>
  <c r="AQ6" i="7"/>
  <c r="AH12" i="7"/>
  <c r="AH5" i="9"/>
  <c r="F14" i="10"/>
  <c r="F14" i="9"/>
  <c r="G14" i="7"/>
  <c r="D14" i="10"/>
  <c r="D14" i="9"/>
  <c r="E14" i="7"/>
  <c r="N14" i="10"/>
  <c r="N14" i="9"/>
  <c r="O14" i="7"/>
  <c r="D14" i="12"/>
  <c r="G14" i="12"/>
  <c r="Q14" i="14" s="1"/>
  <c r="S14" i="14" s="1"/>
  <c r="AB12" i="7"/>
  <c r="K13" i="12"/>
  <c r="H13" i="12"/>
  <c r="Y16" i="10"/>
  <c r="Y16" i="9"/>
  <c r="Z16" i="7"/>
  <c r="AH5" i="10"/>
  <c r="Q14" i="10"/>
  <c r="Q14" i="9"/>
  <c r="R14" i="7"/>
  <c r="U14" i="10"/>
  <c r="U14" i="9"/>
  <c r="V14" i="7"/>
  <c r="H14" i="10"/>
  <c r="H14" i="9"/>
  <c r="I14" i="7"/>
  <c r="AC11" i="10"/>
  <c r="AC11" i="9"/>
  <c r="AM11" i="7"/>
  <c r="X16" i="10"/>
  <c r="X16" i="9"/>
  <c r="Y16" i="7"/>
  <c r="B15" i="12"/>
  <c r="T15" i="14" s="1"/>
  <c r="V15" i="14" s="1"/>
  <c r="B15" i="10"/>
  <c r="B15" i="9"/>
  <c r="C15" i="7"/>
  <c r="K14" i="10"/>
  <c r="K14" i="9"/>
  <c r="L14" i="7"/>
  <c r="O14" i="10"/>
  <c r="O14" i="9"/>
  <c r="P14" i="7"/>
  <c r="S14" i="10"/>
  <c r="S14" i="9"/>
  <c r="T14" i="7"/>
  <c r="AF12" i="10"/>
  <c r="AF12" i="9"/>
  <c r="AP12" i="7"/>
  <c r="G14" i="10"/>
  <c r="G14" i="9"/>
  <c r="H14" i="7"/>
  <c r="E14" i="10"/>
  <c r="E14" i="9"/>
  <c r="F14" i="7"/>
  <c r="I14" i="10"/>
  <c r="I14" i="9"/>
  <c r="J14" i="7"/>
  <c r="M14" i="10"/>
  <c r="M14" i="9"/>
  <c r="N14" i="7"/>
  <c r="AE12" i="10"/>
  <c r="AE12" i="9"/>
  <c r="AO12" i="7"/>
  <c r="AA6" i="10"/>
  <c r="AA6" i="9"/>
  <c r="AK6" i="7"/>
  <c r="W16" i="10"/>
  <c r="W16" i="9"/>
  <c r="X16" i="7"/>
  <c r="R14" i="10"/>
  <c r="R14" i="9"/>
  <c r="S14" i="7"/>
  <c r="P14" i="10"/>
  <c r="P14" i="9"/>
  <c r="Q14" i="7"/>
  <c r="AB7" i="9"/>
  <c r="AB7" i="10"/>
  <c r="AL7" i="7"/>
  <c r="AR5" i="7"/>
  <c r="AI12" i="7"/>
  <c r="AJ12" i="7"/>
  <c r="L14" i="10"/>
  <c r="L14" i="9"/>
  <c r="M14" i="7"/>
  <c r="J14" i="10"/>
  <c r="J14" i="9"/>
  <c r="K14" i="7"/>
  <c r="T14" i="9"/>
  <c r="T14" i="10"/>
  <c r="U14" i="7"/>
  <c r="L23" i="13"/>
  <c r="M24" i="13"/>
  <c r="I24" i="13"/>
  <c r="L24" i="13" s="1"/>
  <c r="E25" i="13"/>
  <c r="H25" i="13"/>
  <c r="B32" i="13"/>
  <c r="G32" i="13"/>
  <c r="C32" i="12"/>
  <c r="F28" i="12"/>
  <c r="AZ7" i="2"/>
  <c r="BA7" i="2"/>
  <c r="B5" i="3"/>
  <c r="B5" i="1"/>
  <c r="AE9" i="7"/>
  <c r="AD9" i="7"/>
  <c r="AG8" i="7"/>
  <c r="C7" i="3"/>
  <c r="B6" i="3"/>
  <c r="E5" i="3"/>
  <c r="F5" i="3" s="1"/>
  <c r="E6" i="3"/>
  <c r="J13" i="3"/>
  <c r="E3" i="1"/>
  <c r="E4" i="1" s="1"/>
  <c r="D6" i="1"/>
  <c r="D4" i="1"/>
  <c r="D3" i="1"/>
  <c r="F31" i="16" l="1"/>
  <c r="M31" i="15"/>
  <c r="L31" i="17"/>
  <c r="C34" i="2"/>
  <c r="E31" i="16"/>
  <c r="D7" i="7"/>
  <c r="C7" i="9"/>
  <c r="F31" i="15"/>
  <c r="V17" i="9"/>
  <c r="W30" i="14"/>
  <c r="Y30" i="14" s="1"/>
  <c r="H30" i="11"/>
  <c r="J30" i="11" s="1"/>
  <c r="AG31" i="17"/>
  <c r="AG31" i="16"/>
  <c r="AQ31" i="15"/>
  <c r="B33" i="11"/>
  <c r="B33" i="16"/>
  <c r="B33" i="17"/>
  <c r="C33" i="15"/>
  <c r="AG33" i="2"/>
  <c r="AF33" i="15" s="1"/>
  <c r="AH33" i="2"/>
  <c r="AG33" i="15" s="1"/>
  <c r="AL33" i="2"/>
  <c r="AK33" i="2"/>
  <c r="AJ33" i="15" s="1"/>
  <c r="AE33" i="2"/>
  <c r="AD33" i="15" s="1"/>
  <c r="AJ33" i="2"/>
  <c r="AI33" i="15" s="1"/>
  <c r="AC33" i="2"/>
  <c r="AB33" i="15" s="1"/>
  <c r="AI33" i="2"/>
  <c r="AH33" i="15" s="1"/>
  <c r="AR33" i="2"/>
  <c r="AD33" i="2"/>
  <c r="AC33" i="15" s="1"/>
  <c r="AF33" i="2"/>
  <c r="AE33" i="15" s="1"/>
  <c r="G32" i="17"/>
  <c r="H32" i="15"/>
  <c r="I33" i="2"/>
  <c r="G32" i="16"/>
  <c r="AA31" i="16"/>
  <c r="AA31" i="17"/>
  <c r="AK31" i="15"/>
  <c r="G31" i="16"/>
  <c r="G31" i="17"/>
  <c r="H31" i="15"/>
  <c r="AK32" i="15"/>
  <c r="AA32" i="16"/>
  <c r="AA32" i="17"/>
  <c r="Z32" i="14"/>
  <c r="AB32" i="14" s="1"/>
  <c r="D32" i="11"/>
  <c r="G32" i="11"/>
  <c r="AQ32" i="15"/>
  <c r="AG32" i="16"/>
  <c r="AG32" i="17"/>
  <c r="B34" i="17"/>
  <c r="B34" i="16"/>
  <c r="B34" i="11"/>
  <c r="AG34" i="2"/>
  <c r="AF34" i="15" s="1"/>
  <c r="C34" i="15"/>
  <c r="AH34" i="2"/>
  <c r="AG34" i="15" s="1"/>
  <c r="AK34" i="2"/>
  <c r="AJ34" i="15" s="1"/>
  <c r="AF34" i="2"/>
  <c r="AE34" i="15" s="1"/>
  <c r="AD34" i="2"/>
  <c r="AC34" i="15" s="1"/>
  <c r="AI34" i="2"/>
  <c r="AH34" i="15" s="1"/>
  <c r="AL34" i="2"/>
  <c r="AE34" i="2"/>
  <c r="AD34" i="15" s="1"/>
  <c r="AC34" i="2"/>
  <c r="AB34" i="15" s="1"/>
  <c r="AR34" i="2"/>
  <c r="AJ34" i="2"/>
  <c r="AI34" i="15" s="1"/>
  <c r="Z31" i="14"/>
  <c r="AB31" i="14" s="1"/>
  <c r="D31" i="11"/>
  <c r="G31" i="11"/>
  <c r="S19" i="4"/>
  <c r="U19" i="2" s="1"/>
  <c r="Y19" i="4"/>
  <c r="AA18" i="2"/>
  <c r="M17" i="16"/>
  <c r="AH17" i="16" s="1"/>
  <c r="K17" i="14" s="1"/>
  <c r="M17" i="14" s="1"/>
  <c r="M17" i="17"/>
  <c r="AH17" i="17" s="1"/>
  <c r="N17" i="14" s="1"/>
  <c r="P17" i="14" s="1"/>
  <c r="AS17" i="2"/>
  <c r="N17" i="15"/>
  <c r="AR17" i="15" s="1"/>
  <c r="E17" i="14" s="1"/>
  <c r="G17" i="14" s="1"/>
  <c r="Q19" i="4"/>
  <c r="S18" i="2"/>
  <c r="H16" i="14"/>
  <c r="J16" i="14" s="1"/>
  <c r="B16" i="14"/>
  <c r="D16" i="14" s="1"/>
  <c r="R19" i="4"/>
  <c r="T18" i="2"/>
  <c r="C7" i="16"/>
  <c r="C7" i="17"/>
  <c r="D7" i="15"/>
  <c r="J32" i="17"/>
  <c r="J32" i="16"/>
  <c r="K32" i="15"/>
  <c r="W17" i="17"/>
  <c r="W17" i="16"/>
  <c r="X17" i="15"/>
  <c r="X17" i="16"/>
  <c r="X17" i="17"/>
  <c r="Y17" i="15"/>
  <c r="T17" i="17"/>
  <c r="T17" i="16"/>
  <c r="U17" i="15"/>
  <c r="M19" i="4"/>
  <c r="O18" i="2"/>
  <c r="T19" i="4"/>
  <c r="V18" i="2"/>
  <c r="E32" i="16"/>
  <c r="E32" i="17"/>
  <c r="F32" i="15"/>
  <c r="D32" i="17"/>
  <c r="D32" i="16"/>
  <c r="E32" i="15"/>
  <c r="E8" i="2"/>
  <c r="C8" i="9" s="1"/>
  <c r="B9" i="4"/>
  <c r="Z18" i="2"/>
  <c r="X19" i="4"/>
  <c r="N17" i="16"/>
  <c r="N17" i="17"/>
  <c r="O17" i="15"/>
  <c r="S17" i="17"/>
  <c r="S17" i="16"/>
  <c r="T17" i="15"/>
  <c r="I32" i="17"/>
  <c r="I32" i="16"/>
  <c r="J32" i="15"/>
  <c r="Y17" i="16"/>
  <c r="Z17" i="15"/>
  <c r="Y17" i="17"/>
  <c r="H32" i="17"/>
  <c r="H32" i="16"/>
  <c r="I32" i="15"/>
  <c r="P19" i="4"/>
  <c r="R18" i="2"/>
  <c r="K32" i="17"/>
  <c r="K32" i="16"/>
  <c r="L32" i="15"/>
  <c r="I34" i="4"/>
  <c r="L33" i="2"/>
  <c r="O32" i="16"/>
  <c r="O32" i="17"/>
  <c r="P32" i="15"/>
  <c r="F32" i="16"/>
  <c r="F32" i="17"/>
  <c r="G32" i="15"/>
  <c r="Y18" i="2"/>
  <c r="W19" i="4"/>
  <c r="L32" i="17"/>
  <c r="L32" i="16"/>
  <c r="M32" i="15"/>
  <c r="V17" i="16"/>
  <c r="V17" i="17"/>
  <c r="W17" i="15"/>
  <c r="K34" i="4"/>
  <c r="N33" i="2"/>
  <c r="P17" i="16"/>
  <c r="P17" i="17"/>
  <c r="Q17" i="15"/>
  <c r="D34" i="4"/>
  <c r="G33" i="2"/>
  <c r="C34" i="4"/>
  <c r="F33" i="2"/>
  <c r="X18" i="2"/>
  <c r="V18" i="10" s="1"/>
  <c r="V19" i="4"/>
  <c r="N19" i="4"/>
  <c r="P18" i="2"/>
  <c r="H34" i="4"/>
  <c r="K33" i="2"/>
  <c r="AA17" i="15"/>
  <c r="Z17" i="17"/>
  <c r="Z17" i="16"/>
  <c r="Z17" i="9"/>
  <c r="Z17" i="10"/>
  <c r="AA17" i="7"/>
  <c r="G34" i="4"/>
  <c r="J33" i="2"/>
  <c r="U17" i="16"/>
  <c r="U17" i="17"/>
  <c r="V17" i="15"/>
  <c r="J34" i="4"/>
  <c r="M33" i="2"/>
  <c r="O34" i="4"/>
  <c r="Q33" i="2"/>
  <c r="E34" i="4"/>
  <c r="H33" i="2"/>
  <c r="R17" i="16"/>
  <c r="R17" i="17"/>
  <c r="S17" i="15"/>
  <c r="W17" i="7"/>
  <c r="Z19" i="4"/>
  <c r="AB18" i="2"/>
  <c r="U19" i="4"/>
  <c r="W18" i="2"/>
  <c r="Q17" i="17"/>
  <c r="Q17" i="16"/>
  <c r="R17" i="15"/>
  <c r="AT17" i="2"/>
  <c r="AH6" i="9"/>
  <c r="AR6" i="7"/>
  <c r="B35" i="2"/>
  <c r="D35" i="2" s="1"/>
  <c r="AC9" i="7"/>
  <c r="AH6" i="10"/>
  <c r="BB7" i="2"/>
  <c r="AX15" i="2"/>
  <c r="AW15" i="2"/>
  <c r="AY8" i="2"/>
  <c r="AF9" i="7"/>
  <c r="U15" i="10"/>
  <c r="U15" i="9"/>
  <c r="V15" i="7"/>
  <c r="S15" i="10"/>
  <c r="S15" i="9"/>
  <c r="T15" i="7"/>
  <c r="E15" i="10"/>
  <c r="E15" i="9"/>
  <c r="F15" i="7"/>
  <c r="Y17" i="10"/>
  <c r="Y17" i="9"/>
  <c r="Z17" i="7"/>
  <c r="AB8" i="10"/>
  <c r="AB8" i="9"/>
  <c r="AL8" i="7"/>
  <c r="X17" i="10"/>
  <c r="X17" i="9"/>
  <c r="Y17" i="7"/>
  <c r="B16" i="12"/>
  <c r="T16" i="14" s="1"/>
  <c r="V16" i="14" s="1"/>
  <c r="B16" i="10"/>
  <c r="B16" i="9"/>
  <c r="C16" i="7"/>
  <c r="O15" i="10"/>
  <c r="O15" i="9"/>
  <c r="P15" i="7"/>
  <c r="M15" i="10"/>
  <c r="M15" i="9"/>
  <c r="N15" i="7"/>
  <c r="Q15" i="10"/>
  <c r="Q15" i="9"/>
  <c r="R15" i="7"/>
  <c r="D15" i="12"/>
  <c r="G15" i="12"/>
  <c r="Q15" i="14" s="1"/>
  <c r="S15" i="14" s="1"/>
  <c r="AA7" i="10"/>
  <c r="AA7" i="9"/>
  <c r="AK7" i="7"/>
  <c r="H15" i="10"/>
  <c r="H15" i="9"/>
  <c r="I15" i="7"/>
  <c r="L15" i="10"/>
  <c r="L15" i="9"/>
  <c r="M15" i="7"/>
  <c r="J15" i="10"/>
  <c r="J15" i="9"/>
  <c r="K15" i="7"/>
  <c r="K14" i="12"/>
  <c r="H14" i="12"/>
  <c r="J14" i="12" s="1"/>
  <c r="AE13" i="10"/>
  <c r="AE13" i="9"/>
  <c r="AO13" i="7"/>
  <c r="AF13" i="10"/>
  <c r="AF13" i="9"/>
  <c r="AP13" i="7"/>
  <c r="AI13" i="7"/>
  <c r="AJ13" i="7"/>
  <c r="T15" i="10"/>
  <c r="T15" i="9"/>
  <c r="U15" i="7"/>
  <c r="F15" i="10"/>
  <c r="F15" i="9"/>
  <c r="G15" i="7"/>
  <c r="D15" i="10"/>
  <c r="D15" i="9"/>
  <c r="E15" i="7"/>
  <c r="J13" i="12"/>
  <c r="AC12" i="10"/>
  <c r="AC12" i="9"/>
  <c r="AM12" i="7"/>
  <c r="W17" i="10"/>
  <c r="W17" i="9"/>
  <c r="X17" i="7"/>
  <c r="I15" i="10"/>
  <c r="I15" i="9"/>
  <c r="J15" i="7"/>
  <c r="N15" i="10"/>
  <c r="N15" i="9"/>
  <c r="O15" i="7"/>
  <c r="R15" i="10"/>
  <c r="R15" i="9"/>
  <c r="S15" i="7"/>
  <c r="P15" i="10"/>
  <c r="P15" i="9"/>
  <c r="Q15" i="7"/>
  <c r="AH13" i="7"/>
  <c r="AG7" i="10"/>
  <c r="AG7" i="9"/>
  <c r="AQ7" i="7"/>
  <c r="AD12" i="10"/>
  <c r="AD12" i="9"/>
  <c r="AN12" i="7"/>
  <c r="G15" i="10"/>
  <c r="G15" i="9"/>
  <c r="H15" i="7"/>
  <c r="K15" i="10"/>
  <c r="K15" i="9"/>
  <c r="L15" i="7"/>
  <c r="AB13" i="7"/>
  <c r="K24" i="13"/>
  <c r="I25" i="13"/>
  <c r="K25" i="13" s="1"/>
  <c r="M25" i="13"/>
  <c r="H26" i="13"/>
  <c r="E26" i="13"/>
  <c r="G33" i="13"/>
  <c r="B33" i="13"/>
  <c r="C33" i="12"/>
  <c r="F29" i="12"/>
  <c r="AZ8" i="2"/>
  <c r="BA8" i="2"/>
  <c r="B7" i="1"/>
  <c r="E5" i="1"/>
  <c r="E6" i="1" s="1"/>
  <c r="AE10" i="7"/>
  <c r="AD10" i="7"/>
  <c r="AG9" i="7"/>
  <c r="C8" i="3"/>
  <c r="B7" i="3"/>
  <c r="J14" i="3"/>
  <c r="F6" i="3"/>
  <c r="E7" i="3"/>
  <c r="G3" i="1"/>
  <c r="D5" i="1"/>
  <c r="W18" i="7" l="1"/>
  <c r="D8" i="7"/>
  <c r="V18" i="9"/>
  <c r="AQ34" i="15"/>
  <c r="AG34" i="17"/>
  <c r="AG34" i="16"/>
  <c r="G33" i="16"/>
  <c r="H33" i="15"/>
  <c r="I34" i="2"/>
  <c r="G33" i="17"/>
  <c r="B35" i="11"/>
  <c r="B35" i="17"/>
  <c r="B35" i="16"/>
  <c r="AG35" i="2"/>
  <c r="AF35" i="15" s="1"/>
  <c r="C35" i="15"/>
  <c r="AH35" i="2"/>
  <c r="AG35" i="15" s="1"/>
  <c r="AR35" i="2"/>
  <c r="AL35" i="2"/>
  <c r="AE35" i="2"/>
  <c r="AD35" i="15" s="1"/>
  <c r="AD35" i="2"/>
  <c r="AC35" i="15" s="1"/>
  <c r="AI35" i="2"/>
  <c r="AH35" i="15" s="1"/>
  <c r="AK35" i="2"/>
  <c r="AJ35" i="15" s="1"/>
  <c r="AJ35" i="2"/>
  <c r="AI35" i="15" s="1"/>
  <c r="AC35" i="2"/>
  <c r="AB35" i="15" s="1"/>
  <c r="AF35" i="2"/>
  <c r="AE35" i="15" s="1"/>
  <c r="W31" i="14"/>
  <c r="Y31" i="14" s="1"/>
  <c r="H31" i="11"/>
  <c r="J31" i="11" s="1"/>
  <c r="AA34" i="16"/>
  <c r="AA34" i="17"/>
  <c r="AK34" i="15"/>
  <c r="Z34" i="14"/>
  <c r="AB34" i="14" s="1"/>
  <c r="D34" i="11"/>
  <c r="G34" i="11"/>
  <c r="W32" i="14"/>
  <c r="Y32" i="14" s="1"/>
  <c r="H32" i="11"/>
  <c r="N32" i="11" s="1"/>
  <c r="AG33" i="17"/>
  <c r="AG33" i="16"/>
  <c r="AQ33" i="15"/>
  <c r="AA33" i="17"/>
  <c r="AA33" i="16"/>
  <c r="AK33" i="15"/>
  <c r="Z33" i="14"/>
  <c r="AB33" i="14" s="1"/>
  <c r="D33" i="11"/>
  <c r="G33" i="11"/>
  <c r="Z18" i="16"/>
  <c r="Z18" i="17"/>
  <c r="AA18" i="15"/>
  <c r="Z18" i="10"/>
  <c r="AA18" i="7"/>
  <c r="Z18" i="9"/>
  <c r="H35" i="4"/>
  <c r="K34" i="2"/>
  <c r="L33" i="17"/>
  <c r="L33" i="16"/>
  <c r="M33" i="15"/>
  <c r="O33" i="17"/>
  <c r="O33" i="16"/>
  <c r="P33" i="15"/>
  <c r="W20" i="4"/>
  <c r="Y19" i="2"/>
  <c r="F33" i="17"/>
  <c r="F33" i="16"/>
  <c r="G33" i="15"/>
  <c r="C35" i="4"/>
  <c r="F34" i="2"/>
  <c r="Z20" i="4"/>
  <c r="AB19" i="2"/>
  <c r="E35" i="4"/>
  <c r="H34" i="2"/>
  <c r="N18" i="17"/>
  <c r="N18" i="16"/>
  <c r="O18" i="15"/>
  <c r="E33" i="17"/>
  <c r="E33" i="16"/>
  <c r="F33" i="15"/>
  <c r="K35" i="4"/>
  <c r="N34" i="2"/>
  <c r="Z19" i="2"/>
  <c r="X20" i="4"/>
  <c r="P20" i="4"/>
  <c r="R19" i="2"/>
  <c r="B10" i="4"/>
  <c r="E9" i="2"/>
  <c r="T20" i="4"/>
  <c r="V19" i="2"/>
  <c r="R18" i="17"/>
  <c r="R18" i="16"/>
  <c r="S18" i="15"/>
  <c r="Q20" i="4"/>
  <c r="S19" i="2"/>
  <c r="Y20" i="4"/>
  <c r="AA19" i="2"/>
  <c r="K33" i="17"/>
  <c r="K33" i="16"/>
  <c r="L33" i="15"/>
  <c r="I35" i="4"/>
  <c r="L34" i="2"/>
  <c r="C8" i="17"/>
  <c r="C8" i="16"/>
  <c r="D8" i="15"/>
  <c r="AS18" i="2"/>
  <c r="M18" i="16"/>
  <c r="AH18" i="16" s="1"/>
  <c r="K18" i="14" s="1"/>
  <c r="M18" i="14" s="1"/>
  <c r="M18" i="17"/>
  <c r="AH18" i="17" s="1"/>
  <c r="N18" i="14" s="1"/>
  <c r="P18" i="14" s="1"/>
  <c r="N18" i="15"/>
  <c r="AR18" i="15" s="1"/>
  <c r="E18" i="14" s="1"/>
  <c r="G18" i="14" s="1"/>
  <c r="S18" i="16"/>
  <c r="S18" i="17"/>
  <c r="T18" i="15"/>
  <c r="N20" i="4"/>
  <c r="P19" i="2"/>
  <c r="D35" i="4"/>
  <c r="G34" i="2"/>
  <c r="P18" i="17"/>
  <c r="P18" i="16"/>
  <c r="Q18" i="15"/>
  <c r="X18" i="17"/>
  <c r="X18" i="16"/>
  <c r="Y18" i="15"/>
  <c r="T18" i="16"/>
  <c r="T18" i="17"/>
  <c r="U18" i="15"/>
  <c r="Q18" i="16"/>
  <c r="Q18" i="17"/>
  <c r="R18" i="15"/>
  <c r="AT18" i="2"/>
  <c r="Z18" i="15"/>
  <c r="Y18" i="16"/>
  <c r="Y18" i="17"/>
  <c r="Q34" i="2"/>
  <c r="O35" i="4"/>
  <c r="H33" i="16"/>
  <c r="H33" i="17"/>
  <c r="I33" i="15"/>
  <c r="X19" i="2"/>
  <c r="V19" i="9" s="1"/>
  <c r="V20" i="4"/>
  <c r="X18" i="15"/>
  <c r="W18" i="16"/>
  <c r="W18" i="17"/>
  <c r="J33" i="17"/>
  <c r="J33" i="16"/>
  <c r="K33" i="15"/>
  <c r="U18" i="16"/>
  <c r="U18" i="17"/>
  <c r="V18" i="15"/>
  <c r="G35" i="4"/>
  <c r="J34" i="2"/>
  <c r="V18" i="17"/>
  <c r="W18" i="15"/>
  <c r="V18" i="16"/>
  <c r="C8" i="10"/>
  <c r="U20" i="4"/>
  <c r="W19" i="2"/>
  <c r="J35" i="4"/>
  <c r="M34" i="2"/>
  <c r="I33" i="16"/>
  <c r="I33" i="17"/>
  <c r="J33" i="15"/>
  <c r="D33" i="16"/>
  <c r="D33" i="17"/>
  <c r="E33" i="15"/>
  <c r="M20" i="4"/>
  <c r="R20" i="4"/>
  <c r="T19" i="2"/>
  <c r="B17" i="14"/>
  <c r="D17" i="14" s="1"/>
  <c r="H17" i="14"/>
  <c r="J17" i="14" s="1"/>
  <c r="S20" i="4"/>
  <c r="U20" i="2" s="1"/>
  <c r="B36" i="2"/>
  <c r="D36" i="2" s="1"/>
  <c r="C35" i="2"/>
  <c r="AC10" i="7"/>
  <c r="BB8" i="2"/>
  <c r="AY9" i="2"/>
  <c r="AW16" i="2"/>
  <c r="AX16" i="2"/>
  <c r="AF10" i="7"/>
  <c r="AF14" i="10"/>
  <c r="AF14" i="9"/>
  <c r="AP14" i="7"/>
  <c r="Y18" i="10"/>
  <c r="Y18" i="9"/>
  <c r="Z18" i="7"/>
  <c r="O16" i="10"/>
  <c r="O16" i="9"/>
  <c r="P16" i="7"/>
  <c r="AB9" i="10"/>
  <c r="AB9" i="9"/>
  <c r="AL9" i="7"/>
  <c r="AH14" i="7"/>
  <c r="X18" i="10"/>
  <c r="X18" i="9"/>
  <c r="Y18" i="7"/>
  <c r="K16" i="10"/>
  <c r="K16" i="9"/>
  <c r="L16" i="7"/>
  <c r="I16" i="10"/>
  <c r="I16" i="9"/>
  <c r="J16" i="7"/>
  <c r="G16" i="10"/>
  <c r="G16" i="9"/>
  <c r="H16" i="7"/>
  <c r="M16" i="10"/>
  <c r="M16" i="9"/>
  <c r="N16" i="7"/>
  <c r="AD13" i="10"/>
  <c r="AD13" i="9"/>
  <c r="AN13" i="7"/>
  <c r="AC13" i="10"/>
  <c r="AC13" i="9"/>
  <c r="AM13" i="7"/>
  <c r="AA8" i="10"/>
  <c r="AA8" i="9"/>
  <c r="AK8" i="7"/>
  <c r="W18" i="10"/>
  <c r="W18" i="9"/>
  <c r="X18" i="7"/>
  <c r="K15" i="12"/>
  <c r="H15" i="12"/>
  <c r="J15" i="12" s="1"/>
  <c r="E16" i="10"/>
  <c r="E16" i="9"/>
  <c r="F16" i="7"/>
  <c r="T16" i="10"/>
  <c r="T16" i="9"/>
  <c r="U16" i="7"/>
  <c r="AI14" i="7"/>
  <c r="AJ14" i="7"/>
  <c r="S16" i="10"/>
  <c r="S16" i="9"/>
  <c r="T16" i="7"/>
  <c r="AG8" i="10"/>
  <c r="AG8" i="9"/>
  <c r="AQ8" i="7"/>
  <c r="AR7" i="7"/>
  <c r="R16" i="10"/>
  <c r="R16" i="9"/>
  <c r="S16" i="7"/>
  <c r="P16" i="10"/>
  <c r="P16" i="9"/>
  <c r="Q16" i="7"/>
  <c r="N16" i="10"/>
  <c r="N16" i="9"/>
  <c r="O16" i="7"/>
  <c r="Q16" i="10"/>
  <c r="Q16" i="9"/>
  <c r="R16" i="7"/>
  <c r="AH7" i="9"/>
  <c r="B17" i="12"/>
  <c r="T17" i="14" s="1"/>
  <c r="V17" i="14" s="1"/>
  <c r="B17" i="10"/>
  <c r="B17" i="9"/>
  <c r="C17" i="7"/>
  <c r="J16" i="10"/>
  <c r="J16" i="9"/>
  <c r="K16" i="7"/>
  <c r="H16" i="10"/>
  <c r="H16" i="9"/>
  <c r="I16" i="7"/>
  <c r="L16" i="10"/>
  <c r="L16" i="9"/>
  <c r="M16" i="7"/>
  <c r="D16" i="12"/>
  <c r="G16" i="12"/>
  <c r="Q16" i="14" s="1"/>
  <c r="S16" i="14" s="1"/>
  <c r="AB14" i="7"/>
  <c r="AE14" i="10"/>
  <c r="AE14" i="9"/>
  <c r="AO14" i="7"/>
  <c r="AH7" i="10"/>
  <c r="D16" i="10"/>
  <c r="D16" i="9"/>
  <c r="E16" i="7"/>
  <c r="U16" i="10"/>
  <c r="U16" i="9"/>
  <c r="V16" i="7"/>
  <c r="F16" i="10"/>
  <c r="F16" i="9"/>
  <c r="G16" i="7"/>
  <c r="L25" i="13"/>
  <c r="M26" i="13"/>
  <c r="I26" i="13"/>
  <c r="K26" i="13" s="1"/>
  <c r="E27" i="13"/>
  <c r="N27" i="13" s="1"/>
  <c r="H27" i="13"/>
  <c r="G34" i="13"/>
  <c r="B34" i="13"/>
  <c r="C34" i="12"/>
  <c r="F30" i="12"/>
  <c r="AZ9" i="2"/>
  <c r="BA9" i="2"/>
  <c r="B8" i="1"/>
  <c r="B9" i="1" s="1"/>
  <c r="B10" i="1" s="1"/>
  <c r="B12" i="1" s="1"/>
  <c r="E7" i="1"/>
  <c r="E8" i="1" s="1"/>
  <c r="E9" i="1" s="1"/>
  <c r="E10" i="1" s="1"/>
  <c r="E11" i="1" s="1"/>
  <c r="E12" i="1" s="1"/>
  <c r="AE11" i="7"/>
  <c r="AD11" i="7"/>
  <c r="AG10" i="7"/>
  <c r="C9" i="3"/>
  <c r="B8" i="3"/>
  <c r="F7" i="3"/>
  <c r="E8" i="3"/>
  <c r="J15" i="3"/>
  <c r="G4" i="1"/>
  <c r="D7" i="1"/>
  <c r="K32" i="11" l="1"/>
  <c r="V19" i="10"/>
  <c r="W19" i="7"/>
  <c r="J32" i="11"/>
  <c r="M32" i="11"/>
  <c r="L32" i="11"/>
  <c r="W34" i="14"/>
  <c r="Y34" i="14" s="1"/>
  <c r="H34" i="11"/>
  <c r="J34" i="11" s="1"/>
  <c r="G34" i="17"/>
  <c r="H34" i="15"/>
  <c r="G34" i="16"/>
  <c r="I35" i="2"/>
  <c r="B36" i="17"/>
  <c r="B36" i="16"/>
  <c r="B36" i="11"/>
  <c r="AG36" i="2"/>
  <c r="AF36" i="15" s="1"/>
  <c r="C36" i="15"/>
  <c r="AH36" i="2"/>
  <c r="AG36" i="15" s="1"/>
  <c r="AL36" i="2"/>
  <c r="AJ36" i="2"/>
  <c r="AI36" i="15" s="1"/>
  <c r="AE36" i="2"/>
  <c r="AD36" i="15" s="1"/>
  <c r="AD36" i="2"/>
  <c r="AC36" i="15" s="1"/>
  <c r="AI36" i="2"/>
  <c r="AH36" i="15" s="1"/>
  <c r="AF36" i="2"/>
  <c r="AE36" i="15" s="1"/>
  <c r="AK36" i="2"/>
  <c r="AJ36" i="15" s="1"/>
  <c r="AR36" i="2"/>
  <c r="AC36" i="2"/>
  <c r="AB36" i="15" s="1"/>
  <c r="W33" i="14"/>
  <c r="Y33" i="14" s="1"/>
  <c r="H33" i="11"/>
  <c r="J33" i="11" s="1"/>
  <c r="AA35" i="17"/>
  <c r="AA35" i="16"/>
  <c r="AK35" i="15"/>
  <c r="AQ35" i="15"/>
  <c r="AG35" i="17"/>
  <c r="AG35" i="16"/>
  <c r="Z35" i="14"/>
  <c r="AB35" i="14" s="1"/>
  <c r="D35" i="11"/>
  <c r="G35" i="11"/>
  <c r="C9" i="16"/>
  <c r="C9" i="17"/>
  <c r="D9" i="15"/>
  <c r="D9" i="7"/>
  <c r="W21" i="4"/>
  <c r="Y20" i="2"/>
  <c r="O20" i="2"/>
  <c r="M21" i="4"/>
  <c r="U19" i="17"/>
  <c r="U19" i="16"/>
  <c r="V19" i="15"/>
  <c r="H34" i="17"/>
  <c r="H34" i="16"/>
  <c r="I34" i="15"/>
  <c r="V19" i="17"/>
  <c r="V19" i="16"/>
  <c r="W19" i="15"/>
  <c r="N19" i="17"/>
  <c r="N19" i="16"/>
  <c r="O19" i="15"/>
  <c r="J34" i="17"/>
  <c r="J34" i="16"/>
  <c r="K34" i="15"/>
  <c r="Y21" i="4"/>
  <c r="AA20" i="2"/>
  <c r="T19" i="17"/>
  <c r="T19" i="16"/>
  <c r="U19" i="15"/>
  <c r="Z20" i="2"/>
  <c r="X21" i="4"/>
  <c r="AA19" i="15"/>
  <c r="Z19" i="17"/>
  <c r="Z19" i="16"/>
  <c r="AA19" i="7"/>
  <c r="Z19" i="10"/>
  <c r="Z19" i="9"/>
  <c r="R19" i="17"/>
  <c r="R19" i="16"/>
  <c r="S19" i="15"/>
  <c r="H18" i="14"/>
  <c r="J18" i="14" s="1"/>
  <c r="B18" i="14"/>
  <c r="D18" i="14" s="1"/>
  <c r="Q21" i="4"/>
  <c r="S20" i="2"/>
  <c r="D34" i="17"/>
  <c r="D34" i="16"/>
  <c r="E34" i="15"/>
  <c r="C36" i="4"/>
  <c r="F35" i="2"/>
  <c r="U21" i="4"/>
  <c r="W20" i="2"/>
  <c r="G36" i="4"/>
  <c r="J35" i="2"/>
  <c r="N21" i="4"/>
  <c r="P20" i="2"/>
  <c r="I36" i="4"/>
  <c r="L35" i="2"/>
  <c r="Q19" i="17"/>
  <c r="Q19" i="16"/>
  <c r="R19" i="15"/>
  <c r="AT19" i="2"/>
  <c r="T21" i="4"/>
  <c r="V20" i="2"/>
  <c r="X19" i="17"/>
  <c r="X19" i="16"/>
  <c r="Y19" i="15"/>
  <c r="Z21" i="4"/>
  <c r="AB20" i="2"/>
  <c r="C9" i="9"/>
  <c r="S19" i="17"/>
  <c r="S19" i="16"/>
  <c r="T19" i="15"/>
  <c r="R21" i="4"/>
  <c r="T20" i="2"/>
  <c r="K34" i="16"/>
  <c r="K34" i="17"/>
  <c r="L34" i="15"/>
  <c r="O36" i="4"/>
  <c r="Q35" i="2"/>
  <c r="E34" i="17"/>
  <c r="E34" i="16"/>
  <c r="F34" i="15"/>
  <c r="P19" i="17"/>
  <c r="P19" i="16"/>
  <c r="Q19" i="15"/>
  <c r="F34" i="16"/>
  <c r="F34" i="17"/>
  <c r="G34" i="15"/>
  <c r="I34" i="17"/>
  <c r="I34" i="16"/>
  <c r="J34" i="15"/>
  <c r="L34" i="17"/>
  <c r="L34" i="16"/>
  <c r="M34" i="15"/>
  <c r="W19" i="16"/>
  <c r="W19" i="17"/>
  <c r="X19" i="15"/>
  <c r="B11" i="4"/>
  <c r="E10" i="2"/>
  <c r="C10" i="9" s="1"/>
  <c r="K36" i="4"/>
  <c r="N35" i="2"/>
  <c r="C9" i="10"/>
  <c r="S21" i="4"/>
  <c r="U21" i="2" s="1"/>
  <c r="AS19" i="2"/>
  <c r="M19" i="16"/>
  <c r="AH19" i="16" s="1"/>
  <c r="K19" i="14" s="1"/>
  <c r="M19" i="14" s="1"/>
  <c r="M19" i="17"/>
  <c r="AH19" i="17" s="1"/>
  <c r="N19" i="14" s="1"/>
  <c r="P19" i="14" s="1"/>
  <c r="N19" i="15"/>
  <c r="AR19" i="15" s="1"/>
  <c r="E19" i="14" s="1"/>
  <c r="G19" i="14" s="1"/>
  <c r="J36" i="4"/>
  <c r="M35" i="2"/>
  <c r="X20" i="2"/>
  <c r="V20" i="10" s="1"/>
  <c r="V21" i="4"/>
  <c r="O34" i="17"/>
  <c r="O34" i="16"/>
  <c r="P34" i="15"/>
  <c r="D36" i="4"/>
  <c r="G35" i="2"/>
  <c r="Y19" i="16"/>
  <c r="Z19" i="15"/>
  <c r="Y19" i="17"/>
  <c r="P21" i="4"/>
  <c r="R20" i="2"/>
  <c r="E36" i="4"/>
  <c r="H35" i="2"/>
  <c r="H36" i="4"/>
  <c r="K35" i="2"/>
  <c r="C36" i="2"/>
  <c r="B37" i="2"/>
  <c r="D37" i="2" s="1"/>
  <c r="AC11" i="7"/>
  <c r="BB9" i="2"/>
  <c r="AX17" i="2"/>
  <c r="AW17" i="2"/>
  <c r="AY10" i="2"/>
  <c r="AF11" i="7"/>
  <c r="AH8" i="9"/>
  <c r="S17" i="10"/>
  <c r="S17" i="9"/>
  <c r="T17" i="7"/>
  <c r="I11" i="1"/>
  <c r="F17" i="10"/>
  <c r="F17" i="9"/>
  <c r="G17" i="7"/>
  <c r="M17" i="10"/>
  <c r="M17" i="9"/>
  <c r="N17" i="7"/>
  <c r="Q17" i="10"/>
  <c r="Q17" i="9"/>
  <c r="R17" i="7"/>
  <c r="X19" i="10"/>
  <c r="X19" i="9"/>
  <c r="Y19" i="7"/>
  <c r="AH8" i="10"/>
  <c r="AA9" i="10"/>
  <c r="AA9" i="9"/>
  <c r="AK9" i="7"/>
  <c r="T17" i="10"/>
  <c r="T17" i="9"/>
  <c r="U17" i="7"/>
  <c r="J17" i="10"/>
  <c r="J17" i="9"/>
  <c r="K17" i="7"/>
  <c r="H17" i="10"/>
  <c r="H17" i="9"/>
  <c r="I17" i="7"/>
  <c r="D17" i="12"/>
  <c r="M17" i="12" s="1"/>
  <c r="G17" i="12"/>
  <c r="Q17" i="14" s="1"/>
  <c r="S17" i="14" s="1"/>
  <c r="AI15" i="7"/>
  <c r="AJ15" i="7"/>
  <c r="AF15" i="10"/>
  <c r="AF15" i="9"/>
  <c r="AP15" i="7"/>
  <c r="AB15" i="7"/>
  <c r="G17" i="10"/>
  <c r="G17" i="9"/>
  <c r="H17" i="7"/>
  <c r="N17" i="10"/>
  <c r="N17" i="9"/>
  <c r="O17" i="7"/>
  <c r="D17" i="10"/>
  <c r="D17" i="9"/>
  <c r="E17" i="7"/>
  <c r="P17" i="10"/>
  <c r="P17" i="9"/>
  <c r="Q17" i="7"/>
  <c r="W19" i="10"/>
  <c r="W19" i="9"/>
  <c r="X19" i="7"/>
  <c r="AE15" i="10"/>
  <c r="AE15" i="9"/>
  <c r="AO15" i="7"/>
  <c r="B18" i="12"/>
  <c r="T18" i="14" s="1"/>
  <c r="V18" i="14" s="1"/>
  <c r="B18" i="10"/>
  <c r="B18" i="9"/>
  <c r="C18" i="7"/>
  <c r="AD14" i="10"/>
  <c r="AD14" i="9"/>
  <c r="AN14" i="7"/>
  <c r="AG9" i="10"/>
  <c r="AG9" i="9"/>
  <c r="AQ9" i="7"/>
  <c r="AB10" i="10"/>
  <c r="AB10" i="9"/>
  <c r="AL10" i="7"/>
  <c r="K16" i="12"/>
  <c r="H16" i="12"/>
  <c r="J16" i="12" s="1"/>
  <c r="U17" i="10"/>
  <c r="U17" i="9"/>
  <c r="V17" i="7"/>
  <c r="K17" i="10"/>
  <c r="K17" i="9"/>
  <c r="L17" i="7"/>
  <c r="R17" i="10"/>
  <c r="R17" i="9"/>
  <c r="S17" i="7"/>
  <c r="Y19" i="10"/>
  <c r="Y19" i="9"/>
  <c r="Z19" i="7"/>
  <c r="L17" i="10"/>
  <c r="L17" i="9"/>
  <c r="M17" i="7"/>
  <c r="AC14" i="10"/>
  <c r="AC14" i="9"/>
  <c r="AM14" i="7"/>
  <c r="O17" i="10"/>
  <c r="O17" i="9"/>
  <c r="P17" i="7"/>
  <c r="E17" i="10"/>
  <c r="E17" i="9"/>
  <c r="F17" i="7"/>
  <c r="I17" i="10"/>
  <c r="I17" i="9"/>
  <c r="J17" i="7"/>
  <c r="AR8" i="7"/>
  <c r="AH15" i="7"/>
  <c r="L26" i="13"/>
  <c r="O27" i="13"/>
  <c r="E28" i="13"/>
  <c r="H28" i="13"/>
  <c r="I27" i="13"/>
  <c r="K27" i="13" s="1"/>
  <c r="M27" i="13"/>
  <c r="G35" i="13"/>
  <c r="B35" i="13"/>
  <c r="F31" i="12"/>
  <c r="C35" i="12"/>
  <c r="AZ10" i="2"/>
  <c r="BA10" i="2"/>
  <c r="B13" i="1"/>
  <c r="B14" i="1" s="1"/>
  <c r="B15" i="1" s="1"/>
  <c r="B17" i="1" s="1"/>
  <c r="B18" i="1" s="1"/>
  <c r="B19" i="1" s="1"/>
  <c r="B20" i="1" s="1"/>
  <c r="B22" i="1" s="1"/>
  <c r="I21" i="1"/>
  <c r="AE12" i="7"/>
  <c r="AD12" i="7"/>
  <c r="AG11" i="7"/>
  <c r="C10" i="3"/>
  <c r="B9" i="3"/>
  <c r="J16" i="3"/>
  <c r="F8" i="3"/>
  <c r="E9" i="3"/>
  <c r="G5" i="1"/>
  <c r="D8" i="1"/>
  <c r="D10" i="7" l="1"/>
  <c r="G35" i="17"/>
  <c r="I36" i="2"/>
  <c r="H35" i="15"/>
  <c r="G35" i="16"/>
  <c r="B37" i="16"/>
  <c r="B37" i="11"/>
  <c r="B37" i="17"/>
  <c r="C37" i="15"/>
  <c r="AG37" i="2"/>
  <c r="AF37" i="15" s="1"/>
  <c r="AH37" i="2"/>
  <c r="AG37" i="15" s="1"/>
  <c r="AF37" i="2"/>
  <c r="AE37" i="15" s="1"/>
  <c r="AL37" i="2"/>
  <c r="AJ37" i="2"/>
  <c r="AI37" i="15" s="1"/>
  <c r="AK37" i="2"/>
  <c r="AJ37" i="15" s="1"/>
  <c r="AR37" i="2"/>
  <c r="AD37" i="2"/>
  <c r="AC37" i="15" s="1"/>
  <c r="AE37" i="2"/>
  <c r="AD37" i="15" s="1"/>
  <c r="AI37" i="2"/>
  <c r="AH37" i="15" s="1"/>
  <c r="AC37" i="2"/>
  <c r="AB37" i="15" s="1"/>
  <c r="I37" i="2"/>
  <c r="W35" i="14"/>
  <c r="Y35" i="14" s="1"/>
  <c r="H35" i="11"/>
  <c r="J35" i="11" s="1"/>
  <c r="Z36" i="14"/>
  <c r="AB36" i="14" s="1"/>
  <c r="D36" i="11"/>
  <c r="G36" i="11"/>
  <c r="AG36" i="17"/>
  <c r="AG36" i="16"/>
  <c r="AQ36" i="15"/>
  <c r="AA36" i="17"/>
  <c r="AA36" i="16"/>
  <c r="AK36" i="15"/>
  <c r="H37" i="4"/>
  <c r="K36" i="2"/>
  <c r="D35" i="17"/>
  <c r="D35" i="16"/>
  <c r="E35" i="15"/>
  <c r="Z21" i="2"/>
  <c r="X22" i="4"/>
  <c r="W20" i="16"/>
  <c r="X20" i="15"/>
  <c r="W20" i="17"/>
  <c r="F35" i="17"/>
  <c r="F35" i="16"/>
  <c r="G35" i="15"/>
  <c r="X21" i="2"/>
  <c r="V21" i="10" s="1"/>
  <c r="V22" i="4"/>
  <c r="K37" i="4"/>
  <c r="N36" i="2"/>
  <c r="N22" i="4"/>
  <c r="P21" i="2"/>
  <c r="C37" i="4"/>
  <c r="F36" i="2"/>
  <c r="X20" i="17"/>
  <c r="X20" i="16"/>
  <c r="Y20" i="15"/>
  <c r="W22" i="4"/>
  <c r="Y21" i="2"/>
  <c r="L35" i="17"/>
  <c r="L35" i="16"/>
  <c r="M35" i="15"/>
  <c r="O37" i="4"/>
  <c r="Q36" i="2"/>
  <c r="R22" i="4"/>
  <c r="T21" i="2"/>
  <c r="Z22" i="4"/>
  <c r="AB21" i="2"/>
  <c r="N20" i="17"/>
  <c r="N20" i="16"/>
  <c r="O20" i="15"/>
  <c r="S21" i="2"/>
  <c r="Q22" i="4"/>
  <c r="Y22" i="4"/>
  <c r="AA21" i="2"/>
  <c r="E37" i="4"/>
  <c r="H36" i="2"/>
  <c r="E35" i="16"/>
  <c r="E35" i="17"/>
  <c r="F35" i="15"/>
  <c r="W20" i="15"/>
  <c r="V20" i="16"/>
  <c r="V20" i="17"/>
  <c r="H19" i="14"/>
  <c r="J19" i="14" s="1"/>
  <c r="B19" i="14"/>
  <c r="D19" i="14" s="1"/>
  <c r="C10" i="17"/>
  <c r="C10" i="16"/>
  <c r="D10" i="15"/>
  <c r="H35" i="17"/>
  <c r="H35" i="16"/>
  <c r="I35" i="15"/>
  <c r="C10" i="10"/>
  <c r="P20" i="16"/>
  <c r="P20" i="17"/>
  <c r="Q20" i="15"/>
  <c r="D37" i="4"/>
  <c r="G36" i="2"/>
  <c r="K35" i="16"/>
  <c r="K35" i="17"/>
  <c r="L35" i="15"/>
  <c r="S20" i="16"/>
  <c r="S20" i="17"/>
  <c r="T20" i="15"/>
  <c r="B12" i="4"/>
  <c r="E11" i="2"/>
  <c r="C11" i="9" s="1"/>
  <c r="G37" i="4"/>
  <c r="J36" i="2"/>
  <c r="W20" i="7"/>
  <c r="P22" i="4"/>
  <c r="R21" i="2"/>
  <c r="J37" i="4"/>
  <c r="M36" i="2"/>
  <c r="S22" i="4"/>
  <c r="U22" i="2" s="1"/>
  <c r="R20" i="17"/>
  <c r="R20" i="16"/>
  <c r="S20" i="15"/>
  <c r="T20" i="16"/>
  <c r="T20" i="17"/>
  <c r="U20" i="15"/>
  <c r="J35" i="17"/>
  <c r="J35" i="16"/>
  <c r="K35" i="15"/>
  <c r="U20" i="16"/>
  <c r="U20" i="17"/>
  <c r="V20" i="15"/>
  <c r="M22" i="4"/>
  <c r="O21" i="2"/>
  <c r="V20" i="9"/>
  <c r="I35" i="17"/>
  <c r="I35" i="16"/>
  <c r="J35" i="15"/>
  <c r="O35" i="16"/>
  <c r="O35" i="17"/>
  <c r="P35" i="15"/>
  <c r="Z20" i="17"/>
  <c r="Z20" i="16"/>
  <c r="AA20" i="15"/>
  <c r="Z20" i="9"/>
  <c r="Z20" i="10"/>
  <c r="AA20" i="7"/>
  <c r="T22" i="4"/>
  <c r="V21" i="2"/>
  <c r="I37" i="4"/>
  <c r="L36" i="2"/>
  <c r="U22" i="4"/>
  <c r="W21" i="2"/>
  <c r="Q20" i="17"/>
  <c r="Q20" i="16"/>
  <c r="R20" i="15"/>
  <c r="AT20" i="2"/>
  <c r="Z20" i="15"/>
  <c r="Y20" i="17"/>
  <c r="Y20" i="16"/>
  <c r="M20" i="17"/>
  <c r="AH20" i="17" s="1"/>
  <c r="N20" i="14" s="1"/>
  <c r="P20" i="14" s="1"/>
  <c r="AS20" i="2"/>
  <c r="M20" i="16"/>
  <c r="AH20" i="16" s="1"/>
  <c r="K20" i="14" s="1"/>
  <c r="M20" i="14" s="1"/>
  <c r="N20" i="15"/>
  <c r="AR20" i="15" s="1"/>
  <c r="E20" i="14" s="1"/>
  <c r="G20" i="14" s="1"/>
  <c r="B38" i="2"/>
  <c r="D38" i="2" s="1"/>
  <c r="C37" i="2"/>
  <c r="AC12" i="7"/>
  <c r="BB10" i="2"/>
  <c r="AW18" i="2"/>
  <c r="AX18" i="2"/>
  <c r="AY11" i="2"/>
  <c r="AF12" i="7"/>
  <c r="L17" i="12"/>
  <c r="AR9" i="7"/>
  <c r="L18" i="10"/>
  <c r="L18" i="9"/>
  <c r="M18" i="7"/>
  <c r="AC15" i="10"/>
  <c r="AC15" i="9"/>
  <c r="AM15" i="7"/>
  <c r="B19" i="12"/>
  <c r="T19" i="14" s="1"/>
  <c r="V19" i="14" s="1"/>
  <c r="B19" i="10"/>
  <c r="B19" i="9"/>
  <c r="C19" i="7"/>
  <c r="R18" i="10"/>
  <c r="R18" i="9"/>
  <c r="S18" i="7"/>
  <c r="F18" i="10"/>
  <c r="F18" i="9"/>
  <c r="G18" i="7"/>
  <c r="N18" i="10"/>
  <c r="N18" i="9"/>
  <c r="O18" i="7"/>
  <c r="Y20" i="10"/>
  <c r="Y20" i="9"/>
  <c r="Z20" i="7"/>
  <c r="AB16" i="7"/>
  <c r="W20" i="10"/>
  <c r="W20" i="9"/>
  <c r="X20" i="7"/>
  <c r="AH9" i="9"/>
  <c r="AA10" i="10"/>
  <c r="AA10" i="9"/>
  <c r="AK10" i="7"/>
  <c r="H18" i="10"/>
  <c r="H18" i="9"/>
  <c r="I18" i="7"/>
  <c r="U18" i="10"/>
  <c r="U18" i="9"/>
  <c r="V18" i="7"/>
  <c r="J18" i="10"/>
  <c r="J18" i="9"/>
  <c r="K18" i="7"/>
  <c r="D18" i="12"/>
  <c r="G18" i="12"/>
  <c r="Q18" i="14" s="1"/>
  <c r="S18" i="14" s="1"/>
  <c r="K17" i="12"/>
  <c r="H17" i="12"/>
  <c r="J17" i="12" s="1"/>
  <c r="AH9" i="10"/>
  <c r="AE16" i="10"/>
  <c r="AE16" i="9"/>
  <c r="AO16" i="7"/>
  <c r="AD15" i="10"/>
  <c r="AD15" i="9"/>
  <c r="AN15" i="7"/>
  <c r="AB11" i="10"/>
  <c r="AB11" i="9"/>
  <c r="AL11" i="7"/>
  <c r="AH16" i="7"/>
  <c r="X20" i="10"/>
  <c r="X20" i="9"/>
  <c r="Y20" i="7"/>
  <c r="Q18" i="10"/>
  <c r="Q18" i="9"/>
  <c r="R18" i="7"/>
  <c r="O18" i="10"/>
  <c r="O18" i="9"/>
  <c r="P18" i="7"/>
  <c r="D18" i="10"/>
  <c r="D18" i="9"/>
  <c r="E18" i="7"/>
  <c r="AI16" i="7"/>
  <c r="AJ16" i="7"/>
  <c r="T18" i="10"/>
  <c r="T18" i="9"/>
  <c r="U18" i="7"/>
  <c r="G18" i="10"/>
  <c r="G18" i="9"/>
  <c r="H18" i="7"/>
  <c r="K18" i="10"/>
  <c r="K18" i="9"/>
  <c r="L18" i="7"/>
  <c r="S18" i="10"/>
  <c r="S18" i="9"/>
  <c r="T18" i="7"/>
  <c r="AF16" i="10"/>
  <c r="AF16" i="9"/>
  <c r="AP16" i="7"/>
  <c r="AG10" i="10"/>
  <c r="AG10" i="9"/>
  <c r="AQ10" i="7"/>
  <c r="I18" i="10"/>
  <c r="I18" i="9"/>
  <c r="J18" i="7"/>
  <c r="P18" i="10"/>
  <c r="P18" i="9"/>
  <c r="Q18" i="7"/>
  <c r="E18" i="10"/>
  <c r="E18" i="9"/>
  <c r="F18" i="7"/>
  <c r="M18" i="10"/>
  <c r="M18" i="9"/>
  <c r="N18" i="7"/>
  <c r="I28" i="13"/>
  <c r="K28" i="13" s="1"/>
  <c r="M28" i="13"/>
  <c r="H29" i="13"/>
  <c r="E29" i="13"/>
  <c r="L27" i="13"/>
  <c r="B36" i="13"/>
  <c r="G36" i="13"/>
  <c r="F32" i="12"/>
  <c r="C36" i="12"/>
  <c r="AZ11" i="2"/>
  <c r="BA11" i="2"/>
  <c r="B23" i="1"/>
  <c r="B24" i="1" s="1"/>
  <c r="B25" i="1" s="1"/>
  <c r="B26" i="1" s="1"/>
  <c r="B27" i="1" s="1"/>
  <c r="B28" i="1" s="1"/>
  <c r="B29" i="1" s="1"/>
  <c r="B30" i="1" s="1"/>
  <c r="B32" i="1" s="1"/>
  <c r="I31" i="1"/>
  <c r="E13" i="1"/>
  <c r="E14" i="1" s="1"/>
  <c r="E15" i="1" s="1"/>
  <c r="E16" i="1" s="1"/>
  <c r="E17" i="1" s="1"/>
  <c r="E18" i="1" s="1"/>
  <c r="E19" i="1" s="1"/>
  <c r="E20" i="1" s="1"/>
  <c r="E21" i="1" s="1"/>
  <c r="E22" i="1" s="1"/>
  <c r="AE13" i="7"/>
  <c r="AD13" i="7"/>
  <c r="AG12" i="7"/>
  <c r="C11" i="3"/>
  <c r="B10" i="3"/>
  <c r="F9" i="3"/>
  <c r="E10" i="3"/>
  <c r="J17" i="3"/>
  <c r="G6" i="1"/>
  <c r="D9" i="1"/>
  <c r="C11" i="10" l="1"/>
  <c r="D11" i="7"/>
  <c r="W21" i="7"/>
  <c r="V21" i="9"/>
  <c r="AA37" i="17"/>
  <c r="AK37" i="15"/>
  <c r="AA37" i="16"/>
  <c r="Z37" i="14"/>
  <c r="AB37" i="14" s="1"/>
  <c r="D37" i="11"/>
  <c r="G37" i="11"/>
  <c r="AG37" i="16"/>
  <c r="AG37" i="17"/>
  <c r="AQ37" i="15"/>
  <c r="C38" i="2"/>
  <c r="I38" i="2"/>
  <c r="H37" i="15"/>
  <c r="G37" i="16"/>
  <c r="G37" i="17"/>
  <c r="G36" i="17"/>
  <c r="G36" i="16"/>
  <c r="H36" i="15"/>
  <c r="B38" i="17"/>
  <c r="B38" i="11"/>
  <c r="B38" i="16"/>
  <c r="AG38" i="2"/>
  <c r="AF38" i="15" s="1"/>
  <c r="C38" i="15"/>
  <c r="AH38" i="2"/>
  <c r="AG38" i="15" s="1"/>
  <c r="AR38" i="2"/>
  <c r="AE38" i="2"/>
  <c r="AD38" i="15" s="1"/>
  <c r="AL38" i="2"/>
  <c r="AC38" i="2"/>
  <c r="AB38" i="15" s="1"/>
  <c r="AI38" i="2"/>
  <c r="AH38" i="15" s="1"/>
  <c r="AD38" i="2"/>
  <c r="AC38" i="15" s="1"/>
  <c r="AJ38" i="2"/>
  <c r="AI38" i="15" s="1"/>
  <c r="AF38" i="2"/>
  <c r="AE38" i="15" s="1"/>
  <c r="AK38" i="2"/>
  <c r="AJ38" i="15" s="1"/>
  <c r="W36" i="14"/>
  <c r="Y36" i="14" s="1"/>
  <c r="H36" i="11"/>
  <c r="J36" i="11" s="1"/>
  <c r="M23" i="4"/>
  <c r="O22" i="2"/>
  <c r="P23" i="4"/>
  <c r="R22" i="2"/>
  <c r="E36" i="16"/>
  <c r="E36" i="17"/>
  <c r="F36" i="15"/>
  <c r="Q23" i="4"/>
  <c r="S22" i="2"/>
  <c r="Z23" i="4"/>
  <c r="AB22" i="2"/>
  <c r="L36" i="16"/>
  <c r="L36" i="17"/>
  <c r="M36" i="15"/>
  <c r="Y21" i="15"/>
  <c r="X21" i="17"/>
  <c r="X21" i="16"/>
  <c r="B20" i="14"/>
  <c r="D20" i="14" s="1"/>
  <c r="H20" i="14"/>
  <c r="J20" i="14" s="1"/>
  <c r="I38" i="4"/>
  <c r="L37" i="2"/>
  <c r="S21" i="16"/>
  <c r="S21" i="17"/>
  <c r="T21" i="15"/>
  <c r="D38" i="4"/>
  <c r="G37" i="2"/>
  <c r="Q21" i="16"/>
  <c r="Q21" i="17"/>
  <c r="R21" i="15"/>
  <c r="AT21" i="2"/>
  <c r="R21" i="17"/>
  <c r="R21" i="16"/>
  <c r="S21" i="15"/>
  <c r="K38" i="4"/>
  <c r="N37" i="2"/>
  <c r="T21" i="16"/>
  <c r="T21" i="17"/>
  <c r="U21" i="15"/>
  <c r="H36" i="17"/>
  <c r="H36" i="16"/>
  <c r="I36" i="15"/>
  <c r="D36" i="16"/>
  <c r="D36" i="17"/>
  <c r="E36" i="15"/>
  <c r="X22" i="2"/>
  <c r="V22" i="9" s="1"/>
  <c r="V23" i="4"/>
  <c r="T23" i="4"/>
  <c r="V22" i="2"/>
  <c r="K36" i="17"/>
  <c r="K36" i="16"/>
  <c r="L36" i="15"/>
  <c r="G38" i="4"/>
  <c r="J37" i="2"/>
  <c r="E38" i="4"/>
  <c r="H37" i="2"/>
  <c r="R23" i="4"/>
  <c r="T22" i="2"/>
  <c r="W21" i="16"/>
  <c r="W21" i="17"/>
  <c r="X21" i="15"/>
  <c r="C38" i="4"/>
  <c r="F37" i="2"/>
  <c r="V21" i="16"/>
  <c r="W21" i="15"/>
  <c r="V21" i="17"/>
  <c r="I36" i="17"/>
  <c r="I36" i="16"/>
  <c r="J36" i="15"/>
  <c r="J36" i="17"/>
  <c r="J36" i="16"/>
  <c r="K36" i="15"/>
  <c r="S23" i="4"/>
  <c r="U23" i="2" s="1"/>
  <c r="F36" i="17"/>
  <c r="F36" i="16"/>
  <c r="G36" i="15"/>
  <c r="U21" i="16"/>
  <c r="U21" i="17"/>
  <c r="V21" i="15"/>
  <c r="J38" i="4"/>
  <c r="M37" i="2"/>
  <c r="C11" i="17"/>
  <c r="C11" i="16"/>
  <c r="D11" i="15"/>
  <c r="Y21" i="16"/>
  <c r="Y21" i="17"/>
  <c r="Z21" i="15"/>
  <c r="O36" i="17"/>
  <c r="O36" i="16"/>
  <c r="P36" i="15"/>
  <c r="W23" i="4"/>
  <c r="Y22" i="2"/>
  <c r="N21" i="16"/>
  <c r="N21" i="17"/>
  <c r="O21" i="15"/>
  <c r="W22" i="2"/>
  <c r="U23" i="4"/>
  <c r="AS21" i="2"/>
  <c r="M21" i="16"/>
  <c r="AH21" i="16" s="1"/>
  <c r="K21" i="14" s="1"/>
  <c r="M21" i="14" s="1"/>
  <c r="M21" i="17"/>
  <c r="AH21" i="17" s="1"/>
  <c r="N21" i="14" s="1"/>
  <c r="P21" i="14" s="1"/>
  <c r="N21" i="15"/>
  <c r="AR21" i="15" s="1"/>
  <c r="E21" i="14" s="1"/>
  <c r="G21" i="14" s="1"/>
  <c r="P21" i="17"/>
  <c r="P21" i="16"/>
  <c r="Q21" i="15"/>
  <c r="B13" i="4"/>
  <c r="E12" i="2"/>
  <c r="C12" i="10" s="1"/>
  <c r="Y23" i="4"/>
  <c r="AA22" i="2"/>
  <c r="AA21" i="15"/>
  <c r="Z21" i="16"/>
  <c r="Z21" i="17"/>
  <c r="Z21" i="10"/>
  <c r="Z21" i="9"/>
  <c r="AA21" i="7"/>
  <c r="O38" i="4"/>
  <c r="Q37" i="2"/>
  <c r="N23" i="4"/>
  <c r="P22" i="2"/>
  <c r="Z22" i="2"/>
  <c r="X23" i="4"/>
  <c r="H38" i="4"/>
  <c r="K37" i="2"/>
  <c r="B39" i="2"/>
  <c r="D39" i="2" s="1"/>
  <c r="AC13" i="7"/>
  <c r="BB11" i="2"/>
  <c r="AX19" i="2"/>
  <c r="AY12" i="2"/>
  <c r="AF13" i="7"/>
  <c r="AW19" i="2"/>
  <c r="AB12" i="10"/>
  <c r="AB12" i="9"/>
  <c r="AL12" i="7"/>
  <c r="AI17" i="7"/>
  <c r="AJ17" i="7"/>
  <c r="Y21" i="10"/>
  <c r="Y21" i="9"/>
  <c r="Z21" i="7"/>
  <c r="U19" i="10"/>
  <c r="U19" i="9"/>
  <c r="V19" i="7"/>
  <c r="I19" i="10"/>
  <c r="I19" i="9"/>
  <c r="J19" i="7"/>
  <c r="G19" i="10"/>
  <c r="G19" i="9"/>
  <c r="H19" i="7"/>
  <c r="W21" i="10"/>
  <c r="W21" i="9"/>
  <c r="X21" i="7"/>
  <c r="AD16" i="10"/>
  <c r="AD16" i="9"/>
  <c r="AN16" i="7"/>
  <c r="AF17" i="9"/>
  <c r="AF17" i="10"/>
  <c r="AP17" i="7"/>
  <c r="K18" i="12"/>
  <c r="H18" i="12"/>
  <c r="J18" i="12" s="1"/>
  <c r="B20" i="12"/>
  <c r="T20" i="14" s="1"/>
  <c r="V20" i="14" s="1"/>
  <c r="B20" i="10"/>
  <c r="B20" i="9"/>
  <c r="AX20" i="2"/>
  <c r="C20" i="7"/>
  <c r="O19" i="10"/>
  <c r="O19" i="9"/>
  <c r="P19" i="7"/>
  <c r="Q19" i="10"/>
  <c r="Q19" i="9"/>
  <c r="R19" i="7"/>
  <c r="D19" i="12"/>
  <c r="G19" i="12"/>
  <c r="Q19" i="14" s="1"/>
  <c r="S19" i="14" s="1"/>
  <c r="AC16" i="10"/>
  <c r="AC16" i="9"/>
  <c r="AM16" i="7"/>
  <c r="AA11" i="10"/>
  <c r="AA11" i="9"/>
  <c r="AK11" i="7"/>
  <c r="X21" i="10"/>
  <c r="X21" i="9"/>
  <c r="Y21" i="7"/>
  <c r="J19" i="10"/>
  <c r="J19" i="9"/>
  <c r="K19" i="7"/>
  <c r="S19" i="10"/>
  <c r="S19" i="9"/>
  <c r="T19" i="7"/>
  <c r="L19" i="10"/>
  <c r="L19" i="9"/>
  <c r="M19" i="7"/>
  <c r="AR10" i="7"/>
  <c r="D19" i="9"/>
  <c r="D19" i="10"/>
  <c r="E19" i="7"/>
  <c r="M19" i="10"/>
  <c r="M19" i="9"/>
  <c r="N19" i="7"/>
  <c r="F19" i="10"/>
  <c r="F19" i="9"/>
  <c r="G19" i="7"/>
  <c r="AH10" i="9"/>
  <c r="AB17" i="7"/>
  <c r="K19" i="10"/>
  <c r="K19" i="9"/>
  <c r="L19" i="7"/>
  <c r="T19" i="10"/>
  <c r="T19" i="9"/>
  <c r="U19" i="7"/>
  <c r="H19" i="10"/>
  <c r="H19" i="9"/>
  <c r="I19" i="7"/>
  <c r="P19" i="10"/>
  <c r="P19" i="9"/>
  <c r="Q19" i="7"/>
  <c r="AE17" i="10"/>
  <c r="AE17" i="9"/>
  <c r="AO17" i="7"/>
  <c r="E23" i="1"/>
  <c r="E24" i="1" s="1"/>
  <c r="E25" i="1" s="1"/>
  <c r="E26" i="1" s="1"/>
  <c r="E27" i="1" s="1"/>
  <c r="E28" i="1" s="1"/>
  <c r="E29" i="1" s="1"/>
  <c r="E30" i="1" s="1"/>
  <c r="E31" i="1" s="1"/>
  <c r="E32" i="1" s="1"/>
  <c r="AG11" i="10"/>
  <c r="AG11" i="9"/>
  <c r="AQ11" i="7"/>
  <c r="AH17" i="7"/>
  <c r="AH10" i="10"/>
  <c r="E19" i="10"/>
  <c r="E19" i="9"/>
  <c r="F19" i="7"/>
  <c r="N19" i="10"/>
  <c r="N19" i="9"/>
  <c r="O19" i="7"/>
  <c r="R19" i="10"/>
  <c r="R19" i="9"/>
  <c r="S19" i="7"/>
  <c r="L28" i="13"/>
  <c r="I29" i="13"/>
  <c r="K29" i="13" s="1"/>
  <c r="M29" i="13"/>
  <c r="H30" i="13"/>
  <c r="E30" i="13"/>
  <c r="G37" i="13"/>
  <c r="B37" i="13"/>
  <c r="F33" i="12"/>
  <c r="C37" i="12"/>
  <c r="AZ12" i="2"/>
  <c r="BA12" i="2"/>
  <c r="B33" i="1"/>
  <c r="B34" i="1" s="1"/>
  <c r="B35" i="1" s="1"/>
  <c r="B36" i="1" s="1"/>
  <c r="B37" i="1" s="1"/>
  <c r="B38" i="1" s="1"/>
  <c r="B39" i="1" s="1"/>
  <c r="B40" i="1" s="1"/>
  <c r="B42" i="1" s="1"/>
  <c r="I41" i="1"/>
  <c r="AE14" i="7"/>
  <c r="AD14" i="7"/>
  <c r="AG13" i="7"/>
  <c r="C12" i="3"/>
  <c r="B11" i="3"/>
  <c r="G11" i="3"/>
  <c r="J18" i="3"/>
  <c r="F10" i="3"/>
  <c r="E11" i="3"/>
  <c r="G7" i="1"/>
  <c r="D10" i="1"/>
  <c r="V22" i="10" l="1"/>
  <c r="W22" i="7"/>
  <c r="C12" i="9"/>
  <c r="AG38" i="16"/>
  <c r="AG38" i="17"/>
  <c r="AQ38" i="15"/>
  <c r="W37" i="14"/>
  <c r="Y37" i="14" s="1"/>
  <c r="H37" i="11"/>
  <c r="K37" i="11" s="1"/>
  <c r="G38" i="16"/>
  <c r="I39" i="2"/>
  <c r="G38" i="17"/>
  <c r="H38" i="15"/>
  <c r="AA38" i="16"/>
  <c r="AK38" i="15"/>
  <c r="AA38" i="17"/>
  <c r="B39" i="11"/>
  <c r="B39" i="17"/>
  <c r="B39" i="16"/>
  <c r="AG39" i="2"/>
  <c r="AF39" i="15" s="1"/>
  <c r="C39" i="15"/>
  <c r="AH39" i="2"/>
  <c r="AG39" i="15" s="1"/>
  <c r="AC39" i="2"/>
  <c r="AB39" i="15" s="1"/>
  <c r="AE39" i="2"/>
  <c r="AD39" i="15" s="1"/>
  <c r="AK39" i="2"/>
  <c r="AJ39" i="15" s="1"/>
  <c r="AI39" i="2"/>
  <c r="AH39" i="15" s="1"/>
  <c r="AD39" i="2"/>
  <c r="AC39" i="15" s="1"/>
  <c r="AJ39" i="2"/>
  <c r="AI39" i="15" s="1"/>
  <c r="AF39" i="2"/>
  <c r="AE39" i="15" s="1"/>
  <c r="AR39" i="2"/>
  <c r="AL39" i="2"/>
  <c r="Z38" i="14"/>
  <c r="AB38" i="14" s="1"/>
  <c r="D38" i="11"/>
  <c r="G38" i="11"/>
  <c r="N24" i="4"/>
  <c r="P23" i="2"/>
  <c r="B14" i="4"/>
  <c r="E13" i="2"/>
  <c r="D13" i="7" s="1"/>
  <c r="K37" i="17"/>
  <c r="K37" i="16"/>
  <c r="L37" i="15"/>
  <c r="H37" i="16"/>
  <c r="H37" i="17"/>
  <c r="I37" i="15"/>
  <c r="T24" i="4"/>
  <c r="V23" i="2"/>
  <c r="L37" i="16"/>
  <c r="L37" i="17"/>
  <c r="M37" i="15"/>
  <c r="Z22" i="17"/>
  <c r="Z22" i="16"/>
  <c r="AA22" i="15"/>
  <c r="AA22" i="7"/>
  <c r="Z22" i="9"/>
  <c r="Z22" i="10"/>
  <c r="N22" i="17"/>
  <c r="N22" i="16"/>
  <c r="O22" i="15"/>
  <c r="I37" i="16"/>
  <c r="I37" i="17"/>
  <c r="J37" i="15"/>
  <c r="O37" i="17"/>
  <c r="O37" i="16"/>
  <c r="P37" i="15"/>
  <c r="H21" i="14"/>
  <c r="J21" i="14" s="1"/>
  <c r="B21" i="14"/>
  <c r="D21" i="14" s="1"/>
  <c r="W22" i="17"/>
  <c r="W22" i="16"/>
  <c r="X22" i="15"/>
  <c r="J39" i="4"/>
  <c r="M38" i="2"/>
  <c r="R22" i="17"/>
  <c r="R22" i="16"/>
  <c r="S22" i="15"/>
  <c r="G39" i="4"/>
  <c r="J38" i="2"/>
  <c r="X23" i="2"/>
  <c r="V23" i="10" s="1"/>
  <c r="V24" i="4"/>
  <c r="K39" i="4"/>
  <c r="N38" i="2"/>
  <c r="Z24" i="4"/>
  <c r="AB23" i="2"/>
  <c r="P22" i="17"/>
  <c r="P22" i="16"/>
  <c r="Q22" i="15"/>
  <c r="T22" i="16"/>
  <c r="T22" i="17"/>
  <c r="U22" i="15"/>
  <c r="H39" i="4"/>
  <c r="K38" i="2"/>
  <c r="O39" i="4"/>
  <c r="Q38" i="2"/>
  <c r="U24" i="4"/>
  <c r="W23" i="2"/>
  <c r="W24" i="4"/>
  <c r="Y23" i="2"/>
  <c r="D37" i="17"/>
  <c r="D37" i="16"/>
  <c r="E37" i="15"/>
  <c r="W22" i="15"/>
  <c r="V22" i="17"/>
  <c r="V22" i="16"/>
  <c r="J37" i="16"/>
  <c r="J37" i="17"/>
  <c r="K37" i="15"/>
  <c r="Q22" i="16"/>
  <c r="Q22" i="17"/>
  <c r="R22" i="15"/>
  <c r="AT22" i="2"/>
  <c r="P24" i="4"/>
  <c r="R23" i="2"/>
  <c r="C12" i="16"/>
  <c r="C12" i="17"/>
  <c r="D12" i="15"/>
  <c r="E39" i="4"/>
  <c r="H38" i="2"/>
  <c r="Z23" i="2"/>
  <c r="X24" i="4"/>
  <c r="Y22" i="17"/>
  <c r="Y22" i="16"/>
  <c r="Z22" i="15"/>
  <c r="U22" i="16"/>
  <c r="U22" i="17"/>
  <c r="V22" i="15"/>
  <c r="S22" i="17"/>
  <c r="S22" i="16"/>
  <c r="T22" i="15"/>
  <c r="C39" i="4"/>
  <c r="F38" i="2"/>
  <c r="R24" i="4"/>
  <c r="T23" i="2"/>
  <c r="E37" i="17"/>
  <c r="E37" i="16"/>
  <c r="F37" i="15"/>
  <c r="I39" i="4"/>
  <c r="L38" i="2"/>
  <c r="Q24" i="4"/>
  <c r="S23" i="2"/>
  <c r="M22" i="16"/>
  <c r="AH22" i="16" s="1"/>
  <c r="K22" i="14" s="1"/>
  <c r="M22" i="14" s="1"/>
  <c r="M22" i="17"/>
  <c r="AH22" i="17" s="1"/>
  <c r="N22" i="14" s="1"/>
  <c r="P22" i="14" s="1"/>
  <c r="AS22" i="2"/>
  <c r="N22" i="15"/>
  <c r="AR22" i="15" s="1"/>
  <c r="E22" i="14" s="1"/>
  <c r="G22" i="14" s="1"/>
  <c r="D12" i="7"/>
  <c r="X22" i="17"/>
  <c r="Y22" i="15"/>
  <c r="X22" i="16"/>
  <c r="Y24" i="4"/>
  <c r="AA23" i="2"/>
  <c r="S24" i="4"/>
  <c r="U24" i="2" s="1"/>
  <c r="F37" i="17"/>
  <c r="F37" i="16"/>
  <c r="G37" i="15"/>
  <c r="D39" i="4"/>
  <c r="G38" i="2"/>
  <c r="O23" i="2"/>
  <c r="M24" i="4"/>
  <c r="B40" i="2"/>
  <c r="D40" i="2" s="1"/>
  <c r="C39" i="2"/>
  <c r="AC14" i="7"/>
  <c r="BB12" i="2"/>
  <c r="AW20" i="2"/>
  <c r="AF14" i="7"/>
  <c r="AY13" i="2"/>
  <c r="AH11" i="10"/>
  <c r="S20" i="10"/>
  <c r="S20" i="9"/>
  <c r="T20" i="7"/>
  <c r="AC17" i="10"/>
  <c r="AC17" i="9"/>
  <c r="AM17" i="7"/>
  <c r="AA12" i="10"/>
  <c r="AA12" i="9"/>
  <c r="AK12" i="7"/>
  <c r="B21" i="12"/>
  <c r="T21" i="14" s="1"/>
  <c r="V21" i="14" s="1"/>
  <c r="B21" i="10"/>
  <c r="B21" i="9"/>
  <c r="C21" i="7"/>
  <c r="G20" i="10"/>
  <c r="G20" i="9"/>
  <c r="H20" i="7"/>
  <c r="E20" i="10"/>
  <c r="E20" i="9"/>
  <c r="F20" i="7"/>
  <c r="I20" i="10"/>
  <c r="I20" i="9"/>
  <c r="J20" i="7"/>
  <c r="M20" i="10"/>
  <c r="M20" i="9"/>
  <c r="N20" i="7"/>
  <c r="K20" i="10"/>
  <c r="K20" i="9"/>
  <c r="L20" i="7"/>
  <c r="AF18" i="10"/>
  <c r="AF18" i="9"/>
  <c r="AP18" i="7"/>
  <c r="R20" i="10"/>
  <c r="R20" i="9"/>
  <c r="S20" i="7"/>
  <c r="P20" i="10"/>
  <c r="P20" i="9"/>
  <c r="Q20" i="7"/>
  <c r="K19" i="12"/>
  <c r="H19" i="12"/>
  <c r="J19" i="12" s="1"/>
  <c r="O20" i="10"/>
  <c r="O20" i="9"/>
  <c r="P20" i="7"/>
  <c r="AD17" i="10"/>
  <c r="AD17" i="9"/>
  <c r="AN17" i="7"/>
  <c r="AE18" i="10"/>
  <c r="AE18" i="9"/>
  <c r="AO18" i="7"/>
  <c r="AB13" i="10"/>
  <c r="AB13" i="9"/>
  <c r="AL13" i="7"/>
  <c r="AH18" i="7"/>
  <c r="L20" i="10"/>
  <c r="L20" i="9"/>
  <c r="M20" i="7"/>
  <c r="J20" i="10"/>
  <c r="J20" i="9"/>
  <c r="K20" i="7"/>
  <c r="T20" i="10"/>
  <c r="T20" i="9"/>
  <c r="U20" i="7"/>
  <c r="Y22" i="10"/>
  <c r="Y22" i="9"/>
  <c r="Z22" i="7"/>
  <c r="X22" i="10"/>
  <c r="X22" i="9"/>
  <c r="Y22" i="7"/>
  <c r="AR11" i="7"/>
  <c r="W22" i="10"/>
  <c r="W22" i="9"/>
  <c r="X22" i="7"/>
  <c r="F20" i="10"/>
  <c r="F20" i="9"/>
  <c r="G20" i="7"/>
  <c r="D20" i="10"/>
  <c r="D20" i="9"/>
  <c r="E20" i="7"/>
  <c r="N20" i="10"/>
  <c r="N20" i="9"/>
  <c r="O20" i="7"/>
  <c r="D20" i="12"/>
  <c r="G20" i="12"/>
  <c r="Q20" i="14" s="1"/>
  <c r="S20" i="14" s="1"/>
  <c r="AG12" i="10"/>
  <c r="AG12" i="9"/>
  <c r="AQ12" i="7"/>
  <c r="AB18" i="7"/>
  <c r="AH11" i="9"/>
  <c r="Q20" i="10"/>
  <c r="Q20" i="9"/>
  <c r="R20" i="7"/>
  <c r="U20" i="10"/>
  <c r="U20" i="9"/>
  <c r="V20" i="7"/>
  <c r="H20" i="9"/>
  <c r="H20" i="10"/>
  <c r="I20" i="7"/>
  <c r="AI18" i="7"/>
  <c r="AJ18" i="7"/>
  <c r="L29" i="13"/>
  <c r="M30" i="13"/>
  <c r="I30" i="13"/>
  <c r="K30" i="13" s="1"/>
  <c r="E31" i="13"/>
  <c r="H31" i="13"/>
  <c r="G38" i="13"/>
  <c r="B38" i="13"/>
  <c r="C38" i="12"/>
  <c r="F34" i="12"/>
  <c r="AZ13" i="2"/>
  <c r="BA13" i="2"/>
  <c r="B43" i="1"/>
  <c r="B44" i="1" s="1"/>
  <c r="B45" i="1" s="1"/>
  <c r="B46" i="1" s="1"/>
  <c r="B47" i="1" s="1"/>
  <c r="B48" i="1" s="1"/>
  <c r="B49" i="1" s="1"/>
  <c r="B50" i="1" s="1"/>
  <c r="B52" i="1" s="1"/>
  <c r="I51" i="1"/>
  <c r="E33" i="1"/>
  <c r="E34" i="1" s="1"/>
  <c r="E35" i="1" s="1"/>
  <c r="E36" i="1" s="1"/>
  <c r="E37" i="1" s="1"/>
  <c r="E38" i="1" s="1"/>
  <c r="E39" i="1" s="1"/>
  <c r="E40" i="1" s="1"/>
  <c r="E41" i="1" s="1"/>
  <c r="E42" i="1" s="1"/>
  <c r="AE15" i="7"/>
  <c r="AD15" i="7"/>
  <c r="AG14" i="7"/>
  <c r="C13" i="3"/>
  <c r="B12" i="3"/>
  <c r="F11" i="3"/>
  <c r="E12" i="3"/>
  <c r="J19" i="3"/>
  <c r="G8" i="1"/>
  <c r="D11" i="1"/>
  <c r="W23" i="7" l="1"/>
  <c r="V23" i="9"/>
  <c r="C13" i="9"/>
  <c r="B40" i="17"/>
  <c r="B40" i="16"/>
  <c r="B40" i="11"/>
  <c r="C40" i="15"/>
  <c r="AG40" i="2"/>
  <c r="AF40" i="15" s="1"/>
  <c r="AH40" i="2"/>
  <c r="AG40" i="15" s="1"/>
  <c r="AD40" i="2"/>
  <c r="AC40" i="15" s="1"/>
  <c r="AC40" i="2"/>
  <c r="AB40" i="15" s="1"/>
  <c r="AL40" i="2"/>
  <c r="AJ40" i="2"/>
  <c r="AI40" i="15" s="1"/>
  <c r="AF40" i="2"/>
  <c r="AE40" i="15" s="1"/>
  <c r="AK40" i="2"/>
  <c r="AJ40" i="15" s="1"/>
  <c r="AE40" i="2"/>
  <c r="AD40" i="15" s="1"/>
  <c r="AR40" i="2"/>
  <c r="AI40" i="2"/>
  <c r="AH40" i="15" s="1"/>
  <c r="AA39" i="17"/>
  <c r="AA39" i="16"/>
  <c r="AK39" i="15"/>
  <c r="J37" i="11"/>
  <c r="AG39" i="17"/>
  <c r="AG39" i="16"/>
  <c r="AQ39" i="15"/>
  <c r="Z39" i="14"/>
  <c r="AB39" i="14" s="1"/>
  <c r="D39" i="11"/>
  <c r="G39" i="11"/>
  <c r="G39" i="17"/>
  <c r="G39" i="16"/>
  <c r="I40" i="2"/>
  <c r="H39" i="15"/>
  <c r="W38" i="14"/>
  <c r="Y38" i="14" s="1"/>
  <c r="H38" i="11"/>
  <c r="J38" i="11" s="1"/>
  <c r="L37" i="11"/>
  <c r="Y25" i="4"/>
  <c r="AA24" i="2"/>
  <c r="H22" i="14"/>
  <c r="J22" i="14" s="1"/>
  <c r="B22" i="14"/>
  <c r="D22" i="14" s="1"/>
  <c r="I40" i="4"/>
  <c r="L39" i="2"/>
  <c r="R25" i="4"/>
  <c r="T24" i="2"/>
  <c r="Z24" i="2"/>
  <c r="X25" i="4"/>
  <c r="U23" i="16"/>
  <c r="U23" i="17"/>
  <c r="V23" i="15"/>
  <c r="Z23" i="17"/>
  <c r="Z23" i="16"/>
  <c r="AA23" i="15"/>
  <c r="Z23" i="10"/>
  <c r="Z23" i="9"/>
  <c r="AA23" i="7"/>
  <c r="H38" i="17"/>
  <c r="H38" i="16"/>
  <c r="I38" i="15"/>
  <c r="J40" i="4"/>
  <c r="M39" i="2"/>
  <c r="T23" i="16"/>
  <c r="T23" i="17"/>
  <c r="U23" i="15"/>
  <c r="M25" i="4"/>
  <c r="O24" i="2"/>
  <c r="D38" i="16"/>
  <c r="D38" i="17"/>
  <c r="E38" i="15"/>
  <c r="Y23" i="15"/>
  <c r="X23" i="17"/>
  <c r="X23" i="16"/>
  <c r="P23" i="17"/>
  <c r="P23" i="16"/>
  <c r="Q23" i="15"/>
  <c r="U25" i="4"/>
  <c r="W24" i="2"/>
  <c r="Z25" i="4"/>
  <c r="AB24" i="2"/>
  <c r="G40" i="4"/>
  <c r="J39" i="2"/>
  <c r="V24" i="2"/>
  <c r="T25" i="4"/>
  <c r="M23" i="17"/>
  <c r="AH23" i="17" s="1"/>
  <c r="N23" i="14" s="1"/>
  <c r="P23" i="14" s="1"/>
  <c r="M23" i="16"/>
  <c r="AH23" i="16" s="1"/>
  <c r="K23" i="14" s="1"/>
  <c r="M23" i="14" s="1"/>
  <c r="AS23" i="2"/>
  <c r="N23" i="15"/>
  <c r="AR23" i="15" s="1"/>
  <c r="E23" i="14" s="1"/>
  <c r="G23" i="14" s="1"/>
  <c r="C40" i="4"/>
  <c r="F39" i="2"/>
  <c r="P25" i="4"/>
  <c r="R24" i="2"/>
  <c r="C13" i="16"/>
  <c r="C13" i="17"/>
  <c r="D13" i="15"/>
  <c r="D40" i="4"/>
  <c r="G39" i="2"/>
  <c r="S25" i="4"/>
  <c r="U25" i="2" s="1"/>
  <c r="Q25" i="4"/>
  <c r="S24" i="2"/>
  <c r="R23" i="17"/>
  <c r="R23" i="16"/>
  <c r="S23" i="15"/>
  <c r="W23" i="17"/>
  <c r="W23" i="16"/>
  <c r="X23" i="15"/>
  <c r="I38" i="16"/>
  <c r="I38" i="17"/>
  <c r="J38" i="15"/>
  <c r="X24" i="2"/>
  <c r="V24" i="9" s="1"/>
  <c r="V25" i="4"/>
  <c r="N23" i="17"/>
  <c r="N23" i="16"/>
  <c r="O23" i="15"/>
  <c r="F38" i="17"/>
  <c r="F38" i="16"/>
  <c r="G38" i="15"/>
  <c r="O38" i="17"/>
  <c r="O38" i="16"/>
  <c r="P38" i="15"/>
  <c r="L38" i="16"/>
  <c r="L38" i="17"/>
  <c r="M38" i="15"/>
  <c r="C13" i="10"/>
  <c r="E38" i="16"/>
  <c r="E38" i="17"/>
  <c r="F38" i="15"/>
  <c r="S23" i="17"/>
  <c r="S23" i="16"/>
  <c r="T23" i="15"/>
  <c r="Q23" i="16"/>
  <c r="Q23" i="17"/>
  <c r="R23" i="15"/>
  <c r="AT23" i="2"/>
  <c r="E40" i="4"/>
  <c r="H39" i="2"/>
  <c r="O40" i="4"/>
  <c r="Q39" i="2"/>
  <c r="K40" i="4"/>
  <c r="N39" i="2"/>
  <c r="E14" i="2"/>
  <c r="D14" i="7" s="1"/>
  <c r="B15" i="4"/>
  <c r="Y23" i="16"/>
  <c r="Y23" i="17"/>
  <c r="Z23" i="15"/>
  <c r="J38" i="17"/>
  <c r="J38" i="16"/>
  <c r="K38" i="15"/>
  <c r="W25" i="4"/>
  <c r="Y24" i="2"/>
  <c r="H40" i="4"/>
  <c r="K39" i="2"/>
  <c r="V23" i="16"/>
  <c r="V23" i="17"/>
  <c r="W23" i="15"/>
  <c r="K38" i="17"/>
  <c r="K38" i="16"/>
  <c r="L38" i="15"/>
  <c r="N25" i="4"/>
  <c r="P24" i="2"/>
  <c r="C40" i="2"/>
  <c r="B41" i="2"/>
  <c r="D41" i="2" s="1"/>
  <c r="AC15" i="7"/>
  <c r="AF15" i="7"/>
  <c r="AX21" i="2"/>
  <c r="AY14" i="2"/>
  <c r="AW21" i="2"/>
  <c r="H21" i="10"/>
  <c r="H21" i="9"/>
  <c r="I21" i="7"/>
  <c r="AC18" i="10"/>
  <c r="AC18" i="9"/>
  <c r="AM18" i="7"/>
  <c r="AA13" i="10"/>
  <c r="AA13" i="9"/>
  <c r="AK13" i="7"/>
  <c r="AH19" i="7"/>
  <c r="T21" i="10"/>
  <c r="T21" i="9"/>
  <c r="U21" i="7"/>
  <c r="F21" i="10"/>
  <c r="F21" i="9"/>
  <c r="G21" i="7"/>
  <c r="D21" i="10"/>
  <c r="D21" i="9"/>
  <c r="E21" i="7"/>
  <c r="AR12" i="7"/>
  <c r="AB14" i="10"/>
  <c r="AB14" i="9"/>
  <c r="AL14" i="7"/>
  <c r="L21" i="9"/>
  <c r="L21" i="10"/>
  <c r="M21" i="7"/>
  <c r="AD18" i="10"/>
  <c r="AD18" i="9"/>
  <c r="AN18" i="7"/>
  <c r="AF19" i="10"/>
  <c r="AF19" i="9"/>
  <c r="AP19" i="7"/>
  <c r="K20" i="12"/>
  <c r="H20" i="12"/>
  <c r="J20" i="12" s="1"/>
  <c r="X23" i="10"/>
  <c r="X23" i="9"/>
  <c r="Y23" i="7"/>
  <c r="I21" i="10"/>
  <c r="I21" i="9"/>
  <c r="J21" i="7"/>
  <c r="N21" i="10"/>
  <c r="N21" i="9"/>
  <c r="O21" i="7"/>
  <c r="R21" i="10"/>
  <c r="R21" i="9"/>
  <c r="S21" i="7"/>
  <c r="P21" i="10"/>
  <c r="P21" i="9"/>
  <c r="Q21" i="7"/>
  <c r="AH12" i="9"/>
  <c r="J21" i="10"/>
  <c r="J21" i="9"/>
  <c r="K21" i="7"/>
  <c r="AG13" i="10"/>
  <c r="AG13" i="9"/>
  <c r="AQ13" i="7"/>
  <c r="AB19" i="7"/>
  <c r="G21" i="10"/>
  <c r="G21" i="9"/>
  <c r="H21" i="7"/>
  <c r="K21" i="10"/>
  <c r="K21" i="9"/>
  <c r="L21" i="7"/>
  <c r="AH12" i="10"/>
  <c r="AE19" i="10"/>
  <c r="AE19" i="9"/>
  <c r="AO19" i="7"/>
  <c r="AI19" i="7"/>
  <c r="AJ19" i="7"/>
  <c r="B22" i="12"/>
  <c r="T22" i="14" s="1"/>
  <c r="V22" i="14" s="1"/>
  <c r="B22" i="10"/>
  <c r="B22" i="9"/>
  <c r="C22" i="7"/>
  <c r="U21" i="10"/>
  <c r="U21" i="9"/>
  <c r="V21" i="7"/>
  <c r="S21" i="10"/>
  <c r="S21" i="9"/>
  <c r="T21" i="7"/>
  <c r="E21" i="10"/>
  <c r="E21" i="9"/>
  <c r="F21" i="7"/>
  <c r="E43" i="1"/>
  <c r="E44" i="1" s="1"/>
  <c r="E45" i="1" s="1"/>
  <c r="E46" i="1" s="1"/>
  <c r="E47" i="1" s="1"/>
  <c r="E48" i="1" s="1"/>
  <c r="E49" i="1" s="1"/>
  <c r="E50" i="1" s="1"/>
  <c r="E51" i="1" s="1"/>
  <c r="E52" i="1" s="1"/>
  <c r="W23" i="10"/>
  <c r="W23" i="9"/>
  <c r="X23" i="7"/>
  <c r="O21" i="10"/>
  <c r="O21" i="9"/>
  <c r="P21" i="7"/>
  <c r="M21" i="10"/>
  <c r="M21" i="9"/>
  <c r="N21" i="7"/>
  <c r="Q21" i="10"/>
  <c r="Q21" i="9"/>
  <c r="R21" i="7"/>
  <c r="D21" i="12"/>
  <c r="G21" i="12"/>
  <c r="Q21" i="14" s="1"/>
  <c r="S21" i="14" s="1"/>
  <c r="Y23" i="10"/>
  <c r="Y23" i="9"/>
  <c r="Z23" i="7"/>
  <c r="L30" i="13"/>
  <c r="E32" i="13"/>
  <c r="O32" i="13" s="1"/>
  <c r="H32" i="13"/>
  <c r="I31" i="13"/>
  <c r="L31" i="13" s="1"/>
  <c r="M31" i="13"/>
  <c r="G39" i="13"/>
  <c r="B39" i="13"/>
  <c r="C39" i="12"/>
  <c r="F35" i="12"/>
  <c r="AZ14" i="2"/>
  <c r="BA14" i="2"/>
  <c r="B53" i="1"/>
  <c r="B54" i="1" s="1"/>
  <c r="B55" i="1" s="1"/>
  <c r="B56" i="1" s="1"/>
  <c r="B57" i="1" s="1"/>
  <c r="B58" i="1" s="1"/>
  <c r="B59" i="1" s="1"/>
  <c r="B60" i="1" s="1"/>
  <c r="B62" i="1" s="1"/>
  <c r="I61" i="1"/>
  <c r="AE16" i="7"/>
  <c r="AD16" i="7"/>
  <c r="AG15" i="7"/>
  <c r="C14" i="3"/>
  <c r="B13" i="3"/>
  <c r="J20" i="3"/>
  <c r="F12" i="3"/>
  <c r="E13" i="3"/>
  <c r="G9" i="1"/>
  <c r="D12" i="1"/>
  <c r="V24" i="10" l="1"/>
  <c r="W24" i="7"/>
  <c r="G40" i="17"/>
  <c r="I41" i="2"/>
  <c r="G40" i="16"/>
  <c r="H40" i="15"/>
  <c r="AA40" i="16"/>
  <c r="AA40" i="17"/>
  <c r="AK40" i="15"/>
  <c r="Z40" i="14"/>
  <c r="AB40" i="14" s="1"/>
  <c r="D40" i="11"/>
  <c r="G40" i="11"/>
  <c r="AQ40" i="15"/>
  <c r="AG40" i="17"/>
  <c r="AG40" i="16"/>
  <c r="B41" i="11"/>
  <c r="B41" i="17"/>
  <c r="B41" i="16"/>
  <c r="C41" i="15"/>
  <c r="AG41" i="2"/>
  <c r="AF41" i="15" s="1"/>
  <c r="AH41" i="2"/>
  <c r="AG41" i="15" s="1"/>
  <c r="AR41" i="2"/>
  <c r="AC41" i="2"/>
  <c r="AB41" i="15" s="1"/>
  <c r="AL41" i="2"/>
  <c r="AK41" i="2"/>
  <c r="AJ41" i="15" s="1"/>
  <c r="AJ41" i="2"/>
  <c r="AI41" i="15" s="1"/>
  <c r="AD41" i="2"/>
  <c r="AC41" i="15" s="1"/>
  <c r="AE41" i="2"/>
  <c r="AD41" i="15" s="1"/>
  <c r="AI41" i="2"/>
  <c r="AH41" i="15" s="1"/>
  <c r="AF41" i="2"/>
  <c r="AE41" i="15" s="1"/>
  <c r="W39" i="14"/>
  <c r="Y39" i="14" s="1"/>
  <c r="H39" i="11"/>
  <c r="J39" i="11" s="1"/>
  <c r="E39" i="16"/>
  <c r="E39" i="17"/>
  <c r="F39" i="15"/>
  <c r="P26" i="4"/>
  <c r="R25" i="2"/>
  <c r="Z26" i="4"/>
  <c r="AB25" i="2"/>
  <c r="AS24" i="2"/>
  <c r="M24" i="16"/>
  <c r="AH24" i="16" s="1"/>
  <c r="K24" i="14" s="1"/>
  <c r="M24" i="14" s="1"/>
  <c r="M24" i="17"/>
  <c r="AH24" i="17" s="1"/>
  <c r="N24" i="14" s="1"/>
  <c r="P24" i="14" s="1"/>
  <c r="N24" i="15"/>
  <c r="AR24" i="15" s="1"/>
  <c r="E24" i="14" s="1"/>
  <c r="G24" i="14" s="1"/>
  <c r="J41" i="4"/>
  <c r="M40" i="2"/>
  <c r="F39" i="16"/>
  <c r="F39" i="17"/>
  <c r="G39" i="15"/>
  <c r="D41" i="4"/>
  <c r="G40" i="2"/>
  <c r="D39" i="17"/>
  <c r="D39" i="16"/>
  <c r="E39" i="15"/>
  <c r="U24" i="16"/>
  <c r="U24" i="17"/>
  <c r="V24" i="15"/>
  <c r="Z25" i="2"/>
  <c r="X26" i="4"/>
  <c r="I41" i="4"/>
  <c r="L40" i="2"/>
  <c r="W26" i="4"/>
  <c r="Y25" i="2"/>
  <c r="N24" i="16"/>
  <c r="N24" i="17"/>
  <c r="O24" i="15"/>
  <c r="B16" i="4"/>
  <c r="E15" i="2"/>
  <c r="D15" i="7" s="1"/>
  <c r="T26" i="4"/>
  <c r="V25" i="2"/>
  <c r="C14" i="16"/>
  <c r="C14" i="17"/>
  <c r="D14" i="15"/>
  <c r="E41" i="4"/>
  <c r="H40" i="2"/>
  <c r="Q24" i="17"/>
  <c r="Q24" i="16"/>
  <c r="R24" i="15"/>
  <c r="AT24" i="2"/>
  <c r="C41" i="4"/>
  <c r="F40" i="2"/>
  <c r="T24" i="17"/>
  <c r="T24" i="16"/>
  <c r="U24" i="15"/>
  <c r="U26" i="4"/>
  <c r="W25" i="2"/>
  <c r="X24" i="17"/>
  <c r="X24" i="16"/>
  <c r="Y24" i="15"/>
  <c r="M26" i="4"/>
  <c r="O25" i="2"/>
  <c r="C14" i="9"/>
  <c r="C14" i="10"/>
  <c r="I39" i="17"/>
  <c r="I39" i="16"/>
  <c r="J39" i="15"/>
  <c r="L39" i="17"/>
  <c r="L39" i="16"/>
  <c r="M39" i="15"/>
  <c r="H41" i="4"/>
  <c r="K40" i="2"/>
  <c r="K41" i="4"/>
  <c r="N40" i="2"/>
  <c r="W24" i="15"/>
  <c r="V24" i="17"/>
  <c r="V24" i="16"/>
  <c r="S24" i="16"/>
  <c r="S24" i="17"/>
  <c r="T24" i="15"/>
  <c r="H23" i="14"/>
  <c r="J23" i="14" s="1"/>
  <c r="B23" i="14"/>
  <c r="D23" i="14" s="1"/>
  <c r="G41" i="4"/>
  <c r="J40" i="2"/>
  <c r="Z24" i="15"/>
  <c r="Y24" i="16"/>
  <c r="Y24" i="17"/>
  <c r="O41" i="4"/>
  <c r="Q40" i="2"/>
  <c r="J39" i="16"/>
  <c r="J39" i="17"/>
  <c r="K39" i="15"/>
  <c r="N26" i="4"/>
  <c r="P25" i="2"/>
  <c r="X25" i="2"/>
  <c r="V25" i="9" s="1"/>
  <c r="V26" i="4"/>
  <c r="Q26" i="4"/>
  <c r="S25" i="2"/>
  <c r="H39" i="16"/>
  <c r="H39" i="17"/>
  <c r="I39" i="15"/>
  <c r="R24" i="16"/>
  <c r="R24" i="17"/>
  <c r="S24" i="15"/>
  <c r="W24" i="16"/>
  <c r="W24" i="17"/>
  <c r="X24" i="15"/>
  <c r="O39" i="17"/>
  <c r="O39" i="16"/>
  <c r="P39" i="15"/>
  <c r="S26" i="4"/>
  <c r="U26" i="2" s="1"/>
  <c r="P24" i="16"/>
  <c r="P24" i="17"/>
  <c r="Q24" i="15"/>
  <c r="Z24" i="17"/>
  <c r="AA24" i="15"/>
  <c r="Z24" i="16"/>
  <c r="Z24" i="9"/>
  <c r="AA24" i="7"/>
  <c r="Z24" i="10"/>
  <c r="K39" i="17"/>
  <c r="K39" i="16"/>
  <c r="L39" i="15"/>
  <c r="R26" i="4"/>
  <c r="T25" i="2"/>
  <c r="Y26" i="4"/>
  <c r="AA25" i="2"/>
  <c r="B42" i="2"/>
  <c r="D42" i="2" s="1"/>
  <c r="C41" i="2"/>
  <c r="AC16" i="7"/>
  <c r="BB14" i="2"/>
  <c r="AW22" i="2"/>
  <c r="AF16" i="7"/>
  <c r="AY15" i="2"/>
  <c r="AX22" i="2"/>
  <c r="AH13" i="9"/>
  <c r="AC19" i="10"/>
  <c r="AC19" i="9"/>
  <c r="AM19" i="7"/>
  <c r="X24" i="9"/>
  <c r="X24" i="10"/>
  <c r="Y24" i="7"/>
  <c r="V25" i="10"/>
  <c r="R22" i="10"/>
  <c r="R22" i="9"/>
  <c r="S22" i="7"/>
  <c r="P22" i="9"/>
  <c r="P22" i="10"/>
  <c r="Q22" i="7"/>
  <c r="N22" i="10"/>
  <c r="N22" i="9"/>
  <c r="O22" i="7"/>
  <c r="W24" i="10"/>
  <c r="W24" i="9"/>
  <c r="X24" i="7"/>
  <c r="AH13" i="10"/>
  <c r="T22" i="10"/>
  <c r="T22" i="9"/>
  <c r="U22" i="7"/>
  <c r="J22" i="10"/>
  <c r="J22" i="9"/>
  <c r="K22" i="7"/>
  <c r="H22" i="10"/>
  <c r="H22" i="9"/>
  <c r="I22" i="7"/>
  <c r="L22" i="10"/>
  <c r="L22" i="9"/>
  <c r="M22" i="7"/>
  <c r="D22" i="12"/>
  <c r="L22" i="12" s="1"/>
  <c r="G22" i="12"/>
  <c r="Q22" i="14" s="1"/>
  <c r="S22" i="14" s="1"/>
  <c r="AH20" i="7"/>
  <c r="B23" i="12"/>
  <c r="T23" i="14" s="1"/>
  <c r="V23" i="14" s="1"/>
  <c r="B23" i="10"/>
  <c r="B23" i="9"/>
  <c r="C23" i="7"/>
  <c r="AI20" i="7"/>
  <c r="AJ20" i="7"/>
  <c r="AG14" i="10"/>
  <c r="AG14" i="9"/>
  <c r="AQ14" i="7"/>
  <c r="D22" i="10"/>
  <c r="D22" i="9"/>
  <c r="E22" i="7"/>
  <c r="U22" i="10"/>
  <c r="U22" i="9"/>
  <c r="V22" i="7"/>
  <c r="F22" i="10"/>
  <c r="F22" i="9"/>
  <c r="G22" i="7"/>
  <c r="AB20" i="7"/>
  <c r="AD19" i="10"/>
  <c r="AD19" i="9"/>
  <c r="AN19" i="7"/>
  <c r="AA14" i="10"/>
  <c r="AA14" i="9"/>
  <c r="AK14" i="7"/>
  <c r="K21" i="12"/>
  <c r="H21" i="12"/>
  <c r="J21" i="12" s="1"/>
  <c r="Q22" i="10"/>
  <c r="Q22" i="9"/>
  <c r="R22" i="7"/>
  <c r="O22" i="10"/>
  <c r="O22" i="9"/>
  <c r="P22" i="7"/>
  <c r="S22" i="10"/>
  <c r="S22" i="9"/>
  <c r="T22" i="7"/>
  <c r="AB15" i="10"/>
  <c r="AB15" i="9"/>
  <c r="AL15" i="7"/>
  <c r="E22" i="10"/>
  <c r="E22" i="9"/>
  <c r="F22" i="7"/>
  <c r="E53" i="1"/>
  <c r="E54" i="1" s="1"/>
  <c r="E55" i="1" s="1"/>
  <c r="E56" i="1" s="1"/>
  <c r="E57" i="1" s="1"/>
  <c r="E58" i="1" s="1"/>
  <c r="E59" i="1" s="1"/>
  <c r="E60" i="1" s="1"/>
  <c r="E61" i="1" s="1"/>
  <c r="E62" i="1" s="1"/>
  <c r="AE20" i="10"/>
  <c r="AE20" i="9"/>
  <c r="AO20" i="7"/>
  <c r="AF20" i="10"/>
  <c r="AF20" i="9"/>
  <c r="AP20" i="7"/>
  <c r="Y24" i="10"/>
  <c r="Y24" i="9"/>
  <c r="Z24" i="7"/>
  <c r="K22" i="10"/>
  <c r="K22" i="9"/>
  <c r="L22" i="7"/>
  <c r="I22" i="10"/>
  <c r="I22" i="9"/>
  <c r="J22" i="7"/>
  <c r="G22" i="10"/>
  <c r="G22" i="9"/>
  <c r="H22" i="7"/>
  <c r="M22" i="10"/>
  <c r="M22" i="9"/>
  <c r="N22" i="7"/>
  <c r="AR13" i="7"/>
  <c r="K31" i="13"/>
  <c r="M32" i="13"/>
  <c r="I32" i="13"/>
  <c r="L32" i="13" s="1"/>
  <c r="P32" i="13"/>
  <c r="Q32" i="13"/>
  <c r="N32" i="13"/>
  <c r="H33" i="13"/>
  <c r="E33" i="13"/>
  <c r="B40" i="13"/>
  <c r="G40" i="13"/>
  <c r="F36" i="12"/>
  <c r="C40" i="12"/>
  <c r="AZ15" i="2"/>
  <c r="BA15" i="2"/>
  <c r="E63" i="1"/>
  <c r="E64" i="1" s="1"/>
  <c r="E65" i="1" s="1"/>
  <c r="E66" i="1" s="1"/>
  <c r="E67" i="1" s="1"/>
  <c r="E68" i="1" s="1"/>
  <c r="E69" i="1" s="1"/>
  <c r="E70" i="1" s="1"/>
  <c r="E71" i="1" s="1"/>
  <c r="E72" i="1" s="1"/>
  <c r="B63" i="1"/>
  <c r="B64" i="1" s="1"/>
  <c r="B65" i="1" s="1"/>
  <c r="B66" i="1" s="1"/>
  <c r="B67" i="1" s="1"/>
  <c r="B68" i="1" s="1"/>
  <c r="B69" i="1" s="1"/>
  <c r="B70" i="1" s="1"/>
  <c r="B72" i="1" s="1"/>
  <c r="I71" i="1"/>
  <c r="AE17" i="7"/>
  <c r="AD17" i="7"/>
  <c r="AG16" i="7"/>
  <c r="C15" i="3"/>
  <c r="B14" i="3"/>
  <c r="F13" i="3"/>
  <c r="E14" i="3"/>
  <c r="J21" i="3"/>
  <c r="G10" i="1"/>
  <c r="D13" i="1"/>
  <c r="W25" i="7" l="1"/>
  <c r="B42" i="17"/>
  <c r="B42" i="16"/>
  <c r="B42" i="11"/>
  <c r="C42" i="15"/>
  <c r="AG42" i="2"/>
  <c r="AF42" i="15" s="1"/>
  <c r="AH42" i="2"/>
  <c r="AG42" i="15" s="1"/>
  <c r="AJ42" i="2"/>
  <c r="AI42" i="15" s="1"/>
  <c r="AC42" i="2"/>
  <c r="AB42" i="15" s="1"/>
  <c r="AI42" i="2"/>
  <c r="AH42" i="15" s="1"/>
  <c r="AE42" i="2"/>
  <c r="AD42" i="15" s="1"/>
  <c r="AD42" i="2"/>
  <c r="AC42" i="15" s="1"/>
  <c r="AF42" i="2"/>
  <c r="AE42" i="15" s="1"/>
  <c r="AL42" i="2"/>
  <c r="AK42" i="2"/>
  <c r="AJ42" i="15" s="1"/>
  <c r="AR42" i="2"/>
  <c r="I42" i="2"/>
  <c r="AK41" i="15"/>
  <c r="AA41" i="16"/>
  <c r="AA41" i="17"/>
  <c r="W40" i="14"/>
  <c r="Y40" i="14" s="1"/>
  <c r="H40" i="11"/>
  <c r="J40" i="11" s="1"/>
  <c r="AG41" i="17"/>
  <c r="AG41" i="16"/>
  <c r="AQ41" i="15"/>
  <c r="Z41" i="14"/>
  <c r="AB41" i="14" s="1"/>
  <c r="D41" i="11"/>
  <c r="G41" i="11"/>
  <c r="G41" i="17"/>
  <c r="G41" i="16"/>
  <c r="H41" i="15"/>
  <c r="U25" i="16"/>
  <c r="U25" i="17"/>
  <c r="V25" i="15"/>
  <c r="C42" i="4"/>
  <c r="F41" i="2"/>
  <c r="C15" i="16"/>
  <c r="C15" i="17"/>
  <c r="D15" i="15"/>
  <c r="W27" i="4"/>
  <c r="Y26" i="2"/>
  <c r="D42" i="4"/>
  <c r="G41" i="2"/>
  <c r="J42" i="4"/>
  <c r="M41" i="2"/>
  <c r="Z27" i="4"/>
  <c r="AB26" i="2"/>
  <c r="S27" i="4"/>
  <c r="U27" i="2" s="1"/>
  <c r="N27" i="4"/>
  <c r="P26" i="2"/>
  <c r="E42" i="4"/>
  <c r="H41" i="2"/>
  <c r="C15" i="9"/>
  <c r="Y27" i="4"/>
  <c r="AA26" i="2"/>
  <c r="Q25" i="16"/>
  <c r="Q25" i="17"/>
  <c r="R25" i="15"/>
  <c r="AT25" i="2"/>
  <c r="L40" i="16"/>
  <c r="L40" i="17"/>
  <c r="M40" i="15"/>
  <c r="M25" i="16"/>
  <c r="AH25" i="16" s="1"/>
  <c r="K25" i="14" s="1"/>
  <c r="M25" i="14" s="1"/>
  <c r="AS25" i="2"/>
  <c r="M25" i="17"/>
  <c r="AH25" i="17" s="1"/>
  <c r="N25" i="14" s="1"/>
  <c r="P25" i="14" s="1"/>
  <c r="N25" i="15"/>
  <c r="AR25" i="15" s="1"/>
  <c r="E25" i="14" s="1"/>
  <c r="G25" i="14" s="1"/>
  <c r="U27" i="4"/>
  <c r="W26" i="2"/>
  <c r="B17" i="4"/>
  <c r="E16" i="2"/>
  <c r="C16" i="10" s="1"/>
  <c r="J40" i="17"/>
  <c r="J40" i="16"/>
  <c r="K40" i="15"/>
  <c r="P25" i="16"/>
  <c r="P25" i="17"/>
  <c r="Q25" i="15"/>
  <c r="C15" i="10"/>
  <c r="R25" i="17"/>
  <c r="R25" i="16"/>
  <c r="S25" i="15"/>
  <c r="Q27" i="4"/>
  <c r="S26" i="2"/>
  <c r="K42" i="4"/>
  <c r="N41" i="2"/>
  <c r="M27" i="4"/>
  <c r="O26" i="2"/>
  <c r="I42" i="4"/>
  <c r="L41" i="2"/>
  <c r="P27" i="4"/>
  <c r="R26" i="2"/>
  <c r="X26" i="2"/>
  <c r="V27" i="4"/>
  <c r="H40" i="17"/>
  <c r="H40" i="16"/>
  <c r="I40" i="15"/>
  <c r="I40" i="17"/>
  <c r="I40" i="16"/>
  <c r="J40" i="15"/>
  <c r="Z26" i="2"/>
  <c r="X27" i="4"/>
  <c r="R27" i="4"/>
  <c r="T26" i="2"/>
  <c r="V25" i="16"/>
  <c r="W25" i="15"/>
  <c r="V25" i="17"/>
  <c r="O40" i="17"/>
  <c r="O40" i="16"/>
  <c r="P40" i="15"/>
  <c r="G42" i="4"/>
  <c r="J41" i="2"/>
  <c r="H42" i="4"/>
  <c r="K41" i="2"/>
  <c r="T25" i="17"/>
  <c r="T25" i="16"/>
  <c r="U25" i="15"/>
  <c r="X25" i="16"/>
  <c r="Y25" i="15"/>
  <c r="X25" i="17"/>
  <c r="B24" i="14"/>
  <c r="D24" i="14" s="1"/>
  <c r="H24" i="14"/>
  <c r="J24" i="14" s="1"/>
  <c r="Z25" i="15"/>
  <c r="Y25" i="17"/>
  <c r="Y25" i="16"/>
  <c r="S25" i="17"/>
  <c r="S25" i="16"/>
  <c r="T25" i="15"/>
  <c r="N25" i="16"/>
  <c r="N25" i="17"/>
  <c r="O25" i="15"/>
  <c r="O42" i="4"/>
  <c r="Q41" i="2"/>
  <c r="D40" i="16"/>
  <c r="D40" i="17"/>
  <c r="E40" i="15"/>
  <c r="F40" i="16"/>
  <c r="F40" i="17"/>
  <c r="G40" i="15"/>
  <c r="T27" i="4"/>
  <c r="V26" i="2"/>
  <c r="W25" i="16"/>
  <c r="X25" i="15"/>
  <c r="W25" i="17"/>
  <c r="E40" i="17"/>
  <c r="E40" i="16"/>
  <c r="F40" i="15"/>
  <c r="K40" i="17"/>
  <c r="K40" i="16"/>
  <c r="L40" i="15"/>
  <c r="Z25" i="17"/>
  <c r="Z25" i="16"/>
  <c r="AA25" i="15"/>
  <c r="AA25" i="7"/>
  <c r="Z25" i="9"/>
  <c r="Z25" i="10"/>
  <c r="C42" i="2"/>
  <c r="B43" i="2"/>
  <c r="D43" i="2" s="1"/>
  <c r="AC17" i="7"/>
  <c r="BB15" i="2"/>
  <c r="AF17" i="7"/>
  <c r="AX23" i="2"/>
  <c r="AY16" i="2"/>
  <c r="AW23" i="2"/>
  <c r="AH14" i="9"/>
  <c r="AH14" i="10"/>
  <c r="AG15" i="10"/>
  <c r="AG15" i="9"/>
  <c r="AQ15" i="7"/>
  <c r="E23" i="10"/>
  <c r="E23" i="9"/>
  <c r="F23" i="7"/>
  <c r="AC20" i="10"/>
  <c r="AC20" i="9"/>
  <c r="AM20" i="7"/>
  <c r="AR14" i="7"/>
  <c r="B24" i="12"/>
  <c r="T24" i="14" s="1"/>
  <c r="V24" i="14" s="1"/>
  <c r="B24" i="10"/>
  <c r="B24" i="9"/>
  <c r="C24" i="7"/>
  <c r="L23" i="10"/>
  <c r="L23" i="9"/>
  <c r="M23" i="7"/>
  <c r="S23" i="10"/>
  <c r="S23" i="9"/>
  <c r="T23" i="7"/>
  <c r="D23" i="12"/>
  <c r="G23" i="12"/>
  <c r="Q23" i="14" s="1"/>
  <c r="S23" i="14" s="1"/>
  <c r="AA15" i="10"/>
  <c r="AA15" i="9"/>
  <c r="AK15" i="7"/>
  <c r="X25" i="10"/>
  <c r="X25" i="9"/>
  <c r="Y25" i="7"/>
  <c r="F23" i="10"/>
  <c r="F23" i="9"/>
  <c r="G23" i="7"/>
  <c r="M23" i="10"/>
  <c r="M23" i="9"/>
  <c r="N23" i="7"/>
  <c r="Q23" i="10"/>
  <c r="Q23" i="9"/>
  <c r="R23" i="7"/>
  <c r="O23" i="10"/>
  <c r="O23" i="9"/>
  <c r="P23" i="7"/>
  <c r="AD20" i="10"/>
  <c r="AD20" i="9"/>
  <c r="AN20" i="7"/>
  <c r="T23" i="9"/>
  <c r="T23" i="10"/>
  <c r="U23" i="7"/>
  <c r="J23" i="10"/>
  <c r="J23" i="9"/>
  <c r="K23" i="7"/>
  <c r="H23" i="10"/>
  <c r="H23" i="9"/>
  <c r="I23" i="7"/>
  <c r="K22" i="12"/>
  <c r="H22" i="12"/>
  <c r="J22" i="12" s="1"/>
  <c r="V26" i="10"/>
  <c r="V26" i="9"/>
  <c r="W26" i="7"/>
  <c r="I23" i="10"/>
  <c r="I23" i="9"/>
  <c r="J23" i="7"/>
  <c r="AF21" i="10"/>
  <c r="AF21" i="9"/>
  <c r="AP21" i="7"/>
  <c r="G23" i="10"/>
  <c r="G23" i="9"/>
  <c r="H23" i="7"/>
  <c r="N23" i="10"/>
  <c r="N23" i="9"/>
  <c r="O23" i="7"/>
  <c r="D23" i="10"/>
  <c r="D23" i="9"/>
  <c r="E23" i="7"/>
  <c r="P23" i="10"/>
  <c r="P23" i="9"/>
  <c r="Q23" i="7"/>
  <c r="AH21" i="7"/>
  <c r="O22" i="12"/>
  <c r="N22" i="12"/>
  <c r="M22" i="12"/>
  <c r="AE21" i="10"/>
  <c r="AE21" i="9"/>
  <c r="AO21" i="7"/>
  <c r="AB16" i="9"/>
  <c r="AB16" i="10"/>
  <c r="AL16" i="7"/>
  <c r="AB21" i="7"/>
  <c r="AI21" i="7"/>
  <c r="AJ21" i="7"/>
  <c r="U23" i="10"/>
  <c r="U23" i="9"/>
  <c r="V23" i="7"/>
  <c r="K23" i="10"/>
  <c r="K23" i="9"/>
  <c r="L23" i="7"/>
  <c r="R23" i="10"/>
  <c r="R23" i="9"/>
  <c r="S23" i="7"/>
  <c r="W25" i="10"/>
  <c r="W25" i="9"/>
  <c r="X25" i="7"/>
  <c r="Y25" i="10"/>
  <c r="Y25" i="9"/>
  <c r="Z25" i="7"/>
  <c r="K32" i="13"/>
  <c r="I33" i="13"/>
  <c r="L33" i="13" s="1"/>
  <c r="M33" i="13"/>
  <c r="E34" i="13"/>
  <c r="H34" i="13"/>
  <c r="B41" i="13"/>
  <c r="G41" i="13"/>
  <c r="C41" i="12"/>
  <c r="F37" i="12"/>
  <c r="AZ16" i="2"/>
  <c r="BA16" i="2"/>
  <c r="E73" i="1"/>
  <c r="E74" i="1" s="1"/>
  <c r="E75" i="1" s="1"/>
  <c r="E76" i="1" s="1"/>
  <c r="E77" i="1" s="1"/>
  <c r="E78" i="1" s="1"/>
  <c r="E79" i="1" s="1"/>
  <c r="E80" i="1" s="1"/>
  <c r="E81" i="1" s="1"/>
  <c r="E82" i="1" s="1"/>
  <c r="B73" i="1"/>
  <c r="B74" i="1" s="1"/>
  <c r="B75" i="1" s="1"/>
  <c r="B76" i="1" s="1"/>
  <c r="B77" i="1" s="1"/>
  <c r="B78" i="1" s="1"/>
  <c r="B79" i="1" s="1"/>
  <c r="B80" i="1" s="1"/>
  <c r="B82" i="1" s="1"/>
  <c r="I81" i="1"/>
  <c r="AE18" i="7"/>
  <c r="AD18" i="7"/>
  <c r="AG17" i="7"/>
  <c r="C16" i="3"/>
  <c r="B15" i="3"/>
  <c r="J22" i="3"/>
  <c r="F14" i="3"/>
  <c r="E15" i="3"/>
  <c r="G11" i="1"/>
  <c r="D14" i="1"/>
  <c r="D16" i="7" l="1"/>
  <c r="C16" i="9"/>
  <c r="W41" i="14"/>
  <c r="Y41" i="14" s="1"/>
  <c r="H41" i="11"/>
  <c r="J41" i="11" s="1"/>
  <c r="G42" i="16"/>
  <c r="G42" i="17"/>
  <c r="H42" i="15"/>
  <c r="I43" i="2"/>
  <c r="AG42" i="17"/>
  <c r="AG42" i="16"/>
  <c r="AQ42" i="15"/>
  <c r="Z42" i="14"/>
  <c r="AB42" i="14" s="1"/>
  <c r="D42" i="11"/>
  <c r="G42" i="11"/>
  <c r="B43" i="16"/>
  <c r="B43" i="11"/>
  <c r="B43" i="17"/>
  <c r="AG43" i="2"/>
  <c r="AF43" i="15" s="1"/>
  <c r="C43" i="15"/>
  <c r="AH43" i="2"/>
  <c r="AG43" i="15" s="1"/>
  <c r="AC43" i="2"/>
  <c r="AB43" i="15" s="1"/>
  <c r="AI43" i="2"/>
  <c r="AH43" i="15" s="1"/>
  <c r="AF43" i="2"/>
  <c r="AE43" i="15" s="1"/>
  <c r="AE43" i="2"/>
  <c r="AD43" i="15" s="1"/>
  <c r="AL43" i="2"/>
  <c r="AD43" i="2"/>
  <c r="AC43" i="15" s="1"/>
  <c r="AK43" i="2"/>
  <c r="AJ43" i="15" s="1"/>
  <c r="AJ43" i="2"/>
  <c r="AI43" i="15" s="1"/>
  <c r="AR43" i="2"/>
  <c r="AA42" i="17"/>
  <c r="AA42" i="16"/>
  <c r="AK42" i="15"/>
  <c r="I41" i="16"/>
  <c r="I41" i="17"/>
  <c r="J41" i="15"/>
  <c r="R28" i="4"/>
  <c r="T27" i="2"/>
  <c r="P28" i="4"/>
  <c r="R27" i="2"/>
  <c r="K43" i="4"/>
  <c r="N42" i="2"/>
  <c r="S28" i="4"/>
  <c r="U28" i="2" s="1"/>
  <c r="D43" i="4"/>
  <c r="G42" i="2"/>
  <c r="D41" i="17"/>
  <c r="D41" i="16"/>
  <c r="E41" i="15"/>
  <c r="O41" i="17"/>
  <c r="O41" i="16"/>
  <c r="P41" i="15"/>
  <c r="P26" i="17"/>
  <c r="P26" i="16"/>
  <c r="Q26" i="15"/>
  <c r="L41" i="17"/>
  <c r="L41" i="16"/>
  <c r="M41" i="15"/>
  <c r="Y28" i="4"/>
  <c r="AA27" i="2"/>
  <c r="S26" i="17"/>
  <c r="S26" i="16"/>
  <c r="T26" i="15"/>
  <c r="E41" i="16"/>
  <c r="E41" i="17"/>
  <c r="F41" i="15"/>
  <c r="H43" i="4"/>
  <c r="K42" i="2"/>
  <c r="Z27" i="2"/>
  <c r="X28" i="4"/>
  <c r="J41" i="17"/>
  <c r="J41" i="16"/>
  <c r="K41" i="15"/>
  <c r="Q26" i="17"/>
  <c r="Q26" i="16"/>
  <c r="R26" i="15"/>
  <c r="AT26" i="2"/>
  <c r="C16" i="16"/>
  <c r="C16" i="17"/>
  <c r="D16" i="15"/>
  <c r="H25" i="14"/>
  <c r="J25" i="14" s="1"/>
  <c r="B25" i="14"/>
  <c r="D25" i="14" s="1"/>
  <c r="F41" i="16"/>
  <c r="F41" i="17"/>
  <c r="G41" i="15"/>
  <c r="Z26" i="17"/>
  <c r="AA26" i="15"/>
  <c r="Z26" i="16"/>
  <c r="Z26" i="10"/>
  <c r="Z26" i="9"/>
  <c r="AA26" i="7"/>
  <c r="W26" i="17"/>
  <c r="X26" i="15"/>
  <c r="W26" i="16"/>
  <c r="C43" i="4"/>
  <c r="F42" i="2"/>
  <c r="H41" i="17"/>
  <c r="H41" i="16"/>
  <c r="I41" i="15"/>
  <c r="X26" i="16"/>
  <c r="Y26" i="15"/>
  <c r="X26" i="17"/>
  <c r="I43" i="4"/>
  <c r="L42" i="2"/>
  <c r="Q28" i="4"/>
  <c r="S27" i="2"/>
  <c r="B18" i="4"/>
  <c r="E17" i="2"/>
  <c r="C17" i="9" s="1"/>
  <c r="E43" i="4"/>
  <c r="H42" i="2"/>
  <c r="Z28" i="4"/>
  <c r="AB27" i="2"/>
  <c r="W28" i="4"/>
  <c r="Y27" i="2"/>
  <c r="T28" i="4"/>
  <c r="V27" i="2"/>
  <c r="G43" i="4"/>
  <c r="J42" i="2"/>
  <c r="X27" i="2"/>
  <c r="V27" i="10" s="1"/>
  <c r="V28" i="4"/>
  <c r="M26" i="17"/>
  <c r="AH26" i="17" s="1"/>
  <c r="N26" i="14" s="1"/>
  <c r="P26" i="14" s="1"/>
  <c r="M26" i="16"/>
  <c r="AH26" i="16" s="1"/>
  <c r="K26" i="14" s="1"/>
  <c r="M26" i="14" s="1"/>
  <c r="AS26" i="2"/>
  <c r="N26" i="15"/>
  <c r="AR26" i="15" s="1"/>
  <c r="E26" i="14" s="1"/>
  <c r="G26" i="14" s="1"/>
  <c r="U26" i="16"/>
  <c r="U26" i="17"/>
  <c r="V26" i="15"/>
  <c r="N26" i="17"/>
  <c r="N26" i="16"/>
  <c r="O26" i="15"/>
  <c r="K41" i="17"/>
  <c r="K41" i="16"/>
  <c r="L41" i="15"/>
  <c r="O43" i="4"/>
  <c r="Q42" i="2"/>
  <c r="T26" i="16"/>
  <c r="T26" i="17"/>
  <c r="U26" i="15"/>
  <c r="R26" i="16"/>
  <c r="R26" i="17"/>
  <c r="S26" i="15"/>
  <c r="V26" i="17"/>
  <c r="V26" i="16"/>
  <c r="W26" i="15"/>
  <c r="M28" i="4"/>
  <c r="O27" i="2"/>
  <c r="U28" i="4"/>
  <c r="W27" i="2"/>
  <c r="Y26" i="16"/>
  <c r="Z26" i="15"/>
  <c r="Y26" i="17"/>
  <c r="N28" i="4"/>
  <c r="P27" i="2"/>
  <c r="J43" i="4"/>
  <c r="M42" i="2"/>
  <c r="B44" i="2"/>
  <c r="D44" i="2" s="1"/>
  <c r="C43" i="2"/>
  <c r="AC18" i="7"/>
  <c r="BB16" i="2"/>
  <c r="AW24" i="2"/>
  <c r="AX24" i="2"/>
  <c r="AY17" i="2"/>
  <c r="AF18" i="7"/>
  <c r="AH15" i="9"/>
  <c r="AH15" i="10"/>
  <c r="D24" i="10"/>
  <c r="D24" i="9"/>
  <c r="E24" i="7"/>
  <c r="AC21" i="10"/>
  <c r="AC21" i="9"/>
  <c r="AM21" i="7"/>
  <c r="AG16" i="10"/>
  <c r="AG16" i="9"/>
  <c r="AQ16" i="7"/>
  <c r="AF22" i="10"/>
  <c r="AF22" i="9"/>
  <c r="AP22" i="7"/>
  <c r="AI22" i="7"/>
  <c r="AJ22" i="7"/>
  <c r="AH22" i="7"/>
  <c r="G24" i="10"/>
  <c r="G24" i="9"/>
  <c r="H24" i="7"/>
  <c r="K24" i="10"/>
  <c r="K24" i="9"/>
  <c r="L24" i="7"/>
  <c r="S24" i="10"/>
  <c r="S24" i="9"/>
  <c r="T24" i="7"/>
  <c r="AB17" i="10"/>
  <c r="AB17" i="9"/>
  <c r="AL17" i="7"/>
  <c r="Q24" i="10"/>
  <c r="Q24" i="9"/>
  <c r="R24" i="7"/>
  <c r="O24" i="10"/>
  <c r="O24" i="9"/>
  <c r="P24" i="7"/>
  <c r="K23" i="12"/>
  <c r="H23" i="12"/>
  <c r="J23" i="12" s="1"/>
  <c r="I24" i="10"/>
  <c r="I24" i="9"/>
  <c r="J24" i="7"/>
  <c r="P24" i="10"/>
  <c r="P24" i="9"/>
  <c r="Q24" i="7"/>
  <c r="E24" i="10"/>
  <c r="E24" i="9"/>
  <c r="F24" i="7"/>
  <c r="M24" i="10"/>
  <c r="M24" i="9"/>
  <c r="N24" i="7"/>
  <c r="AD21" i="10"/>
  <c r="AD21" i="9"/>
  <c r="AN21" i="7"/>
  <c r="AB22" i="7"/>
  <c r="W26" i="10"/>
  <c r="W26" i="9"/>
  <c r="X26" i="7"/>
  <c r="B25" i="12"/>
  <c r="T25" i="14" s="1"/>
  <c r="V25" i="14" s="1"/>
  <c r="B25" i="10"/>
  <c r="B25" i="9"/>
  <c r="C25" i="7"/>
  <c r="L24" i="10"/>
  <c r="L24" i="9"/>
  <c r="M24" i="7"/>
  <c r="T24" i="10"/>
  <c r="T24" i="9"/>
  <c r="U24" i="7"/>
  <c r="X26" i="10"/>
  <c r="X26" i="9"/>
  <c r="Y26" i="7"/>
  <c r="R24" i="10"/>
  <c r="R24" i="9"/>
  <c r="S24" i="7"/>
  <c r="F24" i="10"/>
  <c r="F24" i="9"/>
  <c r="G24" i="7"/>
  <c r="N24" i="10"/>
  <c r="N24" i="9"/>
  <c r="O24" i="7"/>
  <c r="AE22" i="10"/>
  <c r="AE22" i="9"/>
  <c r="AO22" i="7"/>
  <c r="AA16" i="10"/>
  <c r="AA16" i="9"/>
  <c r="AK16" i="7"/>
  <c r="Y26" i="10"/>
  <c r="Y26" i="9"/>
  <c r="Z26" i="7"/>
  <c r="AR15" i="7"/>
  <c r="H24" i="10"/>
  <c r="H24" i="9"/>
  <c r="I24" i="7"/>
  <c r="U24" i="10"/>
  <c r="U24" i="9"/>
  <c r="V24" i="7"/>
  <c r="J24" i="10"/>
  <c r="J24" i="9"/>
  <c r="K24" i="7"/>
  <c r="D24" i="12"/>
  <c r="G24" i="12"/>
  <c r="Q24" i="14" s="1"/>
  <c r="S24" i="14" s="1"/>
  <c r="K33" i="13"/>
  <c r="M34" i="13"/>
  <c r="I34" i="13"/>
  <c r="K34" i="13" s="1"/>
  <c r="E35" i="13"/>
  <c r="H35" i="13"/>
  <c r="G42" i="13"/>
  <c r="B42" i="13"/>
  <c r="F38" i="12"/>
  <c r="C42" i="12"/>
  <c r="AZ17" i="2"/>
  <c r="BA17" i="2"/>
  <c r="E83" i="1"/>
  <c r="E84" i="1" s="1"/>
  <c r="E85" i="1" s="1"/>
  <c r="E86" i="1" s="1"/>
  <c r="E87" i="1" s="1"/>
  <c r="E88" i="1" s="1"/>
  <c r="E89" i="1" s="1"/>
  <c r="E90" i="1" s="1"/>
  <c r="E91" i="1" s="1"/>
  <c r="E92" i="1" s="1"/>
  <c r="B83" i="1"/>
  <c r="B84" i="1" s="1"/>
  <c r="B85" i="1" s="1"/>
  <c r="B86" i="1" s="1"/>
  <c r="B87" i="1" s="1"/>
  <c r="B88" i="1" s="1"/>
  <c r="B89" i="1" s="1"/>
  <c r="B90" i="1" s="1"/>
  <c r="B92" i="1" s="1"/>
  <c r="AE19" i="7"/>
  <c r="AD19" i="7"/>
  <c r="AG18" i="7"/>
  <c r="C17" i="3"/>
  <c r="B16" i="3"/>
  <c r="E16" i="3"/>
  <c r="F15" i="3"/>
  <c r="J23" i="3"/>
  <c r="G12" i="1"/>
  <c r="D15" i="1"/>
  <c r="C17" i="10" l="1"/>
  <c r="D17" i="7"/>
  <c r="W42" i="14"/>
  <c r="Y42" i="14" s="1"/>
  <c r="H42" i="11"/>
  <c r="N42" i="11" s="1"/>
  <c r="G43" i="17"/>
  <c r="G43" i="16"/>
  <c r="I44" i="2"/>
  <c r="H43" i="15"/>
  <c r="AK43" i="15"/>
  <c r="AA43" i="17"/>
  <c r="AA43" i="16"/>
  <c r="B44" i="17"/>
  <c r="B44" i="16"/>
  <c r="B44" i="11"/>
  <c r="C44" i="15"/>
  <c r="AG44" i="2"/>
  <c r="AF44" i="15" s="1"/>
  <c r="AH44" i="2"/>
  <c r="AG44" i="15" s="1"/>
  <c r="AI44" i="2"/>
  <c r="AH44" i="15" s="1"/>
  <c r="AE44" i="2"/>
  <c r="AD44" i="15" s="1"/>
  <c r="AD44" i="2"/>
  <c r="AC44" i="15" s="1"/>
  <c r="AC44" i="2"/>
  <c r="AB44" i="15" s="1"/>
  <c r="AK44" i="2"/>
  <c r="AJ44" i="15" s="1"/>
  <c r="AL44" i="2"/>
  <c r="AR44" i="2"/>
  <c r="AF44" i="2"/>
  <c r="AE44" i="15" s="1"/>
  <c r="AJ44" i="2"/>
  <c r="AI44" i="15" s="1"/>
  <c r="AG43" i="17"/>
  <c r="AQ43" i="15"/>
  <c r="AG43" i="16"/>
  <c r="Z43" i="14"/>
  <c r="AB43" i="14" s="1"/>
  <c r="D43" i="11"/>
  <c r="G43" i="11"/>
  <c r="V27" i="9"/>
  <c r="M29" i="4"/>
  <c r="O28" i="2"/>
  <c r="T29" i="4"/>
  <c r="V28" i="2"/>
  <c r="E44" i="4"/>
  <c r="H43" i="2"/>
  <c r="I44" i="4"/>
  <c r="L43" i="2"/>
  <c r="I42" i="17"/>
  <c r="I42" i="16"/>
  <c r="J42" i="15"/>
  <c r="S27" i="17"/>
  <c r="S27" i="16"/>
  <c r="T27" i="15"/>
  <c r="R27" i="17"/>
  <c r="R27" i="16"/>
  <c r="S27" i="15"/>
  <c r="X28" i="2"/>
  <c r="V28" i="10" s="1"/>
  <c r="V29" i="4"/>
  <c r="X27" i="15"/>
  <c r="W27" i="16"/>
  <c r="W27" i="17"/>
  <c r="C17" i="16"/>
  <c r="C17" i="17"/>
  <c r="D17" i="15"/>
  <c r="D42" i="17"/>
  <c r="D42" i="16"/>
  <c r="E42" i="15"/>
  <c r="H44" i="4"/>
  <c r="K43" i="2"/>
  <c r="S29" i="4"/>
  <c r="U29" i="2" s="1"/>
  <c r="J44" i="4"/>
  <c r="M43" i="2"/>
  <c r="U27" i="17"/>
  <c r="U27" i="16"/>
  <c r="V27" i="15"/>
  <c r="H42" i="17"/>
  <c r="H42" i="16"/>
  <c r="I42" i="15"/>
  <c r="Z27" i="16"/>
  <c r="Z27" i="17"/>
  <c r="AA27" i="15"/>
  <c r="Z27" i="10"/>
  <c r="AA27" i="7"/>
  <c r="Z27" i="9"/>
  <c r="Q27" i="17"/>
  <c r="Q27" i="16"/>
  <c r="R27" i="15"/>
  <c r="AT27" i="2"/>
  <c r="Y29" i="4"/>
  <c r="AA28" i="2"/>
  <c r="K44" i="4"/>
  <c r="N43" i="2"/>
  <c r="K42" i="17"/>
  <c r="K42" i="16"/>
  <c r="L42" i="15"/>
  <c r="W29" i="4"/>
  <c r="Y28" i="2"/>
  <c r="Y27" i="16"/>
  <c r="Z27" i="15"/>
  <c r="Y27" i="17"/>
  <c r="L42" i="17"/>
  <c r="L42" i="16"/>
  <c r="M42" i="15"/>
  <c r="Z28" i="2"/>
  <c r="X29" i="4"/>
  <c r="P27" i="17"/>
  <c r="P27" i="16"/>
  <c r="Q27" i="15"/>
  <c r="V27" i="17"/>
  <c r="V27" i="16"/>
  <c r="W27" i="15"/>
  <c r="B19" i="4"/>
  <c r="E18" i="2"/>
  <c r="D18" i="7" s="1"/>
  <c r="C44" i="4"/>
  <c r="F43" i="2"/>
  <c r="R29" i="4"/>
  <c r="T28" i="2"/>
  <c r="N27" i="16"/>
  <c r="N27" i="17"/>
  <c r="O27" i="15"/>
  <c r="U29" i="4"/>
  <c r="W28" i="2"/>
  <c r="O42" i="17"/>
  <c r="O42" i="16"/>
  <c r="P42" i="15"/>
  <c r="H26" i="14"/>
  <c r="J26" i="14" s="1"/>
  <c r="B26" i="14"/>
  <c r="D26" i="14" s="1"/>
  <c r="G44" i="4"/>
  <c r="J43" i="2"/>
  <c r="Z29" i="4"/>
  <c r="AB28" i="2"/>
  <c r="Q29" i="4"/>
  <c r="S28" i="2"/>
  <c r="E42" i="17"/>
  <c r="E42" i="16"/>
  <c r="F42" i="15"/>
  <c r="W27" i="7"/>
  <c r="N29" i="4"/>
  <c r="P28" i="2"/>
  <c r="AS27" i="2"/>
  <c r="M27" i="17"/>
  <c r="AH27" i="17" s="1"/>
  <c r="N27" i="14" s="1"/>
  <c r="P27" i="14" s="1"/>
  <c r="M27" i="16"/>
  <c r="AH27" i="16" s="1"/>
  <c r="K27" i="14" s="1"/>
  <c r="M27" i="14" s="1"/>
  <c r="N27" i="15"/>
  <c r="AR27" i="15" s="1"/>
  <c r="E27" i="14" s="1"/>
  <c r="G27" i="14" s="1"/>
  <c r="O44" i="4"/>
  <c r="Q43" i="2"/>
  <c r="T27" i="17"/>
  <c r="T27" i="16"/>
  <c r="U27" i="15"/>
  <c r="F42" i="17"/>
  <c r="F42" i="16"/>
  <c r="G42" i="15"/>
  <c r="J42" i="17"/>
  <c r="J42" i="16"/>
  <c r="K42" i="15"/>
  <c r="X27" i="17"/>
  <c r="X27" i="16"/>
  <c r="Y27" i="15"/>
  <c r="D44" i="4"/>
  <c r="G43" i="2"/>
  <c r="R28" i="2"/>
  <c r="P29" i="4"/>
  <c r="C44" i="2"/>
  <c r="B45" i="2"/>
  <c r="D45" i="2" s="1"/>
  <c r="AC19" i="7"/>
  <c r="BB17" i="2"/>
  <c r="AF19" i="7"/>
  <c r="AY18" i="2"/>
  <c r="AX25" i="2"/>
  <c r="AW25" i="2"/>
  <c r="AH16" i="10"/>
  <c r="AH16" i="9"/>
  <c r="AR16" i="7"/>
  <c r="AF23" i="10"/>
  <c r="AF23" i="9"/>
  <c r="AP23" i="7"/>
  <c r="K25" i="10"/>
  <c r="K25" i="9"/>
  <c r="L25" i="7"/>
  <c r="AG17" i="10"/>
  <c r="AG17" i="9"/>
  <c r="AQ17" i="7"/>
  <c r="AC22" i="10"/>
  <c r="AC22" i="9"/>
  <c r="AM22" i="7"/>
  <c r="AB18" i="10"/>
  <c r="AB18" i="9"/>
  <c r="AL18" i="7"/>
  <c r="E25" i="10"/>
  <c r="E25" i="9"/>
  <c r="F25" i="7"/>
  <c r="N25" i="10"/>
  <c r="N25" i="9"/>
  <c r="O25" i="7"/>
  <c r="R25" i="10"/>
  <c r="R25" i="9"/>
  <c r="S25" i="7"/>
  <c r="Y27" i="10"/>
  <c r="Y27" i="9"/>
  <c r="Z27" i="7"/>
  <c r="T25" i="10"/>
  <c r="T25" i="9"/>
  <c r="U25" i="7"/>
  <c r="U25" i="10"/>
  <c r="U25" i="9"/>
  <c r="V25" i="7"/>
  <c r="I25" i="10"/>
  <c r="I25" i="9"/>
  <c r="J25" i="7"/>
  <c r="G25" i="10"/>
  <c r="G25" i="9"/>
  <c r="H25" i="7"/>
  <c r="AB23" i="7"/>
  <c r="P25" i="10"/>
  <c r="P25" i="9"/>
  <c r="Q25" i="7"/>
  <c r="AD22" i="10"/>
  <c r="AD22" i="9"/>
  <c r="AN22" i="7"/>
  <c r="O25" i="10"/>
  <c r="O25" i="9"/>
  <c r="P25" i="7"/>
  <c r="Q25" i="10"/>
  <c r="Q25" i="9"/>
  <c r="R25" i="7"/>
  <c r="D25" i="12"/>
  <c r="G25" i="12"/>
  <c r="Q25" i="14" s="1"/>
  <c r="S25" i="14" s="1"/>
  <c r="X27" i="10"/>
  <c r="X27" i="9"/>
  <c r="Y27" i="7"/>
  <c r="I91" i="1"/>
  <c r="W27" i="10"/>
  <c r="W27" i="9"/>
  <c r="X27" i="7"/>
  <c r="B26" i="12"/>
  <c r="T26" i="14" s="1"/>
  <c r="V26" i="14" s="1"/>
  <c r="B26" i="10"/>
  <c r="B26" i="9"/>
  <c r="C26" i="7"/>
  <c r="J25" i="10"/>
  <c r="J25" i="9"/>
  <c r="K25" i="7"/>
  <c r="S25" i="10"/>
  <c r="S25" i="9"/>
  <c r="T25" i="7"/>
  <c r="L25" i="10"/>
  <c r="L25" i="9"/>
  <c r="M25" i="7"/>
  <c r="AH23" i="7"/>
  <c r="AI23" i="7"/>
  <c r="AJ23" i="7"/>
  <c r="H25" i="10"/>
  <c r="H25" i="9"/>
  <c r="I25" i="7"/>
  <c r="AE23" i="10"/>
  <c r="AE23" i="9"/>
  <c r="AO23" i="7"/>
  <c r="AA17" i="10"/>
  <c r="AA17" i="9"/>
  <c r="AK17" i="7"/>
  <c r="K24" i="12"/>
  <c r="H24" i="12"/>
  <c r="J24" i="12" s="1"/>
  <c r="D25" i="10"/>
  <c r="D25" i="9"/>
  <c r="E25" i="7"/>
  <c r="M25" i="10"/>
  <c r="M25" i="9"/>
  <c r="N25" i="7"/>
  <c r="F25" i="10"/>
  <c r="F25" i="9"/>
  <c r="G25" i="7"/>
  <c r="L34" i="13"/>
  <c r="H36" i="13"/>
  <c r="E36" i="13"/>
  <c r="I35" i="13"/>
  <c r="K35" i="13" s="1"/>
  <c r="M35" i="13"/>
  <c r="G43" i="13"/>
  <c r="B43" i="13"/>
  <c r="C43" i="12"/>
  <c r="F39" i="12"/>
  <c r="AZ18" i="2"/>
  <c r="BA18" i="2"/>
  <c r="B93" i="1"/>
  <c r="B94" i="1" s="1"/>
  <c r="B95" i="1" s="1"/>
  <c r="B96" i="1" s="1"/>
  <c r="B97" i="1" s="1"/>
  <c r="B98" i="1" s="1"/>
  <c r="B99" i="1" s="1"/>
  <c r="B100" i="1" s="1"/>
  <c r="B102" i="1" s="1"/>
  <c r="AE20" i="7"/>
  <c r="AD20" i="7"/>
  <c r="AG19" i="7"/>
  <c r="C18" i="3"/>
  <c r="B17" i="3"/>
  <c r="F16" i="3"/>
  <c r="E17" i="3"/>
  <c r="J24" i="3"/>
  <c r="G13" i="1"/>
  <c r="D16" i="1"/>
  <c r="J42" i="11" l="1"/>
  <c r="C18" i="9"/>
  <c r="L42" i="11"/>
  <c r="M42" i="11"/>
  <c r="C18" i="10"/>
  <c r="K42" i="11"/>
  <c r="V28" i="9"/>
  <c r="B45" i="11"/>
  <c r="B45" i="17"/>
  <c r="B45" i="16"/>
  <c r="C45" i="15"/>
  <c r="AG45" i="2"/>
  <c r="AF45" i="15" s="1"/>
  <c r="AH45" i="2"/>
  <c r="AG45" i="15" s="1"/>
  <c r="AF45" i="2"/>
  <c r="AE45" i="15" s="1"/>
  <c r="AE45" i="2"/>
  <c r="AD45" i="15" s="1"/>
  <c r="AC45" i="2"/>
  <c r="AB45" i="15" s="1"/>
  <c r="AD45" i="2"/>
  <c r="AC45" i="15" s="1"/>
  <c r="AI45" i="2"/>
  <c r="AH45" i="15" s="1"/>
  <c r="AJ45" i="2"/>
  <c r="AI45" i="15" s="1"/>
  <c r="AL45" i="2"/>
  <c r="AR45" i="2"/>
  <c r="AK45" i="2"/>
  <c r="AJ45" i="15" s="1"/>
  <c r="W43" i="14"/>
  <c r="Y43" i="14" s="1"/>
  <c r="H43" i="11"/>
  <c r="J43" i="11" s="1"/>
  <c r="Z44" i="14"/>
  <c r="AB44" i="14" s="1"/>
  <c r="D44" i="11"/>
  <c r="G44" i="11"/>
  <c r="G44" i="17"/>
  <c r="G44" i="16"/>
  <c r="I45" i="2"/>
  <c r="H44" i="15"/>
  <c r="AG44" i="17"/>
  <c r="AG44" i="16"/>
  <c r="AQ44" i="15"/>
  <c r="AA44" i="17"/>
  <c r="AA44" i="16"/>
  <c r="AK44" i="15"/>
  <c r="O43" i="17"/>
  <c r="O43" i="16"/>
  <c r="P43" i="15"/>
  <c r="U30" i="4"/>
  <c r="W29" i="2"/>
  <c r="I43" i="17"/>
  <c r="I43" i="16"/>
  <c r="J43" i="15"/>
  <c r="P30" i="4"/>
  <c r="R29" i="2"/>
  <c r="Q44" i="2"/>
  <c r="O45" i="4"/>
  <c r="N30" i="4"/>
  <c r="P29" i="2"/>
  <c r="Q30" i="4"/>
  <c r="S29" i="2"/>
  <c r="D43" i="17"/>
  <c r="D43" i="16"/>
  <c r="E43" i="15"/>
  <c r="X28" i="15"/>
  <c r="W28" i="17"/>
  <c r="W28" i="16"/>
  <c r="K45" i="4"/>
  <c r="N44" i="2"/>
  <c r="H45" i="4"/>
  <c r="K44" i="2"/>
  <c r="E45" i="4"/>
  <c r="H44" i="2"/>
  <c r="X28" i="16"/>
  <c r="X28" i="17"/>
  <c r="Y28" i="15"/>
  <c r="P28" i="17"/>
  <c r="P28" i="16"/>
  <c r="Q28" i="15"/>
  <c r="AA28" i="15"/>
  <c r="Z28" i="17"/>
  <c r="Z28" i="16"/>
  <c r="Z28" i="9"/>
  <c r="AA28" i="7"/>
  <c r="Z28" i="10"/>
  <c r="C45" i="4"/>
  <c r="F44" i="2"/>
  <c r="W30" i="4"/>
  <c r="Y29" i="2"/>
  <c r="Z28" i="15"/>
  <c r="Y28" i="16"/>
  <c r="Y28" i="17"/>
  <c r="K43" i="16"/>
  <c r="K43" i="17"/>
  <c r="L43" i="15"/>
  <c r="T28" i="17"/>
  <c r="T28" i="16"/>
  <c r="U28" i="15"/>
  <c r="Q28" i="17"/>
  <c r="Q28" i="16"/>
  <c r="R28" i="15"/>
  <c r="AT28" i="2"/>
  <c r="L43" i="16"/>
  <c r="L43" i="17"/>
  <c r="M43" i="15"/>
  <c r="F43" i="16"/>
  <c r="F43" i="17"/>
  <c r="G43" i="15"/>
  <c r="E43" i="16"/>
  <c r="E43" i="17"/>
  <c r="F43" i="15"/>
  <c r="Z30" i="4"/>
  <c r="AB29" i="2"/>
  <c r="C18" i="17"/>
  <c r="C18" i="16"/>
  <c r="D18" i="15"/>
  <c r="Y30" i="4"/>
  <c r="AA29" i="2"/>
  <c r="J45" i="4"/>
  <c r="M44" i="2"/>
  <c r="T30" i="4"/>
  <c r="V29" i="2"/>
  <c r="R30" i="4"/>
  <c r="T29" i="2"/>
  <c r="D45" i="4"/>
  <c r="G44" i="2"/>
  <c r="H43" i="17"/>
  <c r="H43" i="16"/>
  <c r="I43" i="15"/>
  <c r="R28" i="17"/>
  <c r="R28" i="16"/>
  <c r="S28" i="15"/>
  <c r="B20" i="4"/>
  <c r="E19" i="2"/>
  <c r="C19" i="9" s="1"/>
  <c r="S28" i="17"/>
  <c r="S28" i="16"/>
  <c r="T28" i="15"/>
  <c r="J43" i="17"/>
  <c r="J43" i="16"/>
  <c r="K43" i="15"/>
  <c r="AS28" i="2"/>
  <c r="M28" i="17"/>
  <c r="AH28" i="17" s="1"/>
  <c r="N28" i="14" s="1"/>
  <c r="P28" i="14" s="1"/>
  <c r="M28" i="16"/>
  <c r="AH28" i="16" s="1"/>
  <c r="K28" i="14" s="1"/>
  <c r="M28" i="14" s="1"/>
  <c r="N28" i="15"/>
  <c r="AR28" i="15" s="1"/>
  <c r="E28" i="14" s="1"/>
  <c r="G28" i="14" s="1"/>
  <c r="N28" i="17"/>
  <c r="N28" i="16"/>
  <c r="O28" i="15"/>
  <c r="V28" i="17"/>
  <c r="V28" i="16"/>
  <c r="W28" i="15"/>
  <c r="W28" i="7"/>
  <c r="H27" i="14"/>
  <c r="J27" i="14" s="1"/>
  <c r="B27" i="14"/>
  <c r="D27" i="14" s="1"/>
  <c r="G45" i="4"/>
  <c r="J44" i="2"/>
  <c r="U28" i="17"/>
  <c r="U28" i="16"/>
  <c r="V28" i="15"/>
  <c r="Z29" i="2"/>
  <c r="X30" i="4"/>
  <c r="S30" i="4"/>
  <c r="U30" i="2" s="1"/>
  <c r="X29" i="2"/>
  <c r="V29" i="9" s="1"/>
  <c r="V30" i="4"/>
  <c r="I45" i="4"/>
  <c r="L44" i="2"/>
  <c r="O29" i="2"/>
  <c r="M30" i="4"/>
  <c r="AR17" i="7"/>
  <c r="AH17" i="10"/>
  <c r="B46" i="2"/>
  <c r="D46" i="2" s="1"/>
  <c r="C45" i="2"/>
  <c r="AC20" i="7"/>
  <c r="AH17" i="9"/>
  <c r="BB18" i="2"/>
  <c r="AW26" i="2"/>
  <c r="AX26" i="2"/>
  <c r="AY19" i="2"/>
  <c r="AF20" i="7"/>
  <c r="AI24" i="7"/>
  <c r="AJ24" i="7"/>
  <c r="Q26" i="10"/>
  <c r="Q26" i="9"/>
  <c r="R26" i="7"/>
  <c r="W28" i="10"/>
  <c r="W28" i="9"/>
  <c r="X28" i="7"/>
  <c r="K26" i="10"/>
  <c r="K26" i="9"/>
  <c r="L26" i="7"/>
  <c r="O26" i="10"/>
  <c r="O26" i="9"/>
  <c r="P26" i="7"/>
  <c r="S26" i="10"/>
  <c r="S26" i="9"/>
  <c r="T26" i="7"/>
  <c r="X28" i="10"/>
  <c r="X28" i="9"/>
  <c r="Y28" i="7"/>
  <c r="AD23" i="10"/>
  <c r="AD23" i="9"/>
  <c r="AN23" i="7"/>
  <c r="U26" i="10"/>
  <c r="U26" i="9"/>
  <c r="V26" i="7"/>
  <c r="AB24" i="7"/>
  <c r="AH24" i="7"/>
  <c r="G26" i="10"/>
  <c r="G26" i="9"/>
  <c r="H26" i="7"/>
  <c r="E26" i="10"/>
  <c r="E26" i="9"/>
  <c r="F26" i="7"/>
  <c r="I26" i="10"/>
  <c r="I26" i="9"/>
  <c r="J26" i="7"/>
  <c r="M26" i="10"/>
  <c r="M26" i="9"/>
  <c r="N26" i="7"/>
  <c r="AE24" i="10"/>
  <c r="AE24" i="9"/>
  <c r="AO24" i="7"/>
  <c r="H26" i="10"/>
  <c r="H26" i="9"/>
  <c r="I26" i="7"/>
  <c r="I101" i="1"/>
  <c r="R26" i="10"/>
  <c r="R26" i="9"/>
  <c r="S26" i="7"/>
  <c r="P26" i="10"/>
  <c r="P26" i="9"/>
  <c r="Q26" i="7"/>
  <c r="K25" i="12"/>
  <c r="H25" i="12"/>
  <c r="J25" i="12" s="1"/>
  <c r="AA18" i="10"/>
  <c r="AA18" i="9"/>
  <c r="AK18" i="7"/>
  <c r="Y28" i="9"/>
  <c r="Y28" i="10"/>
  <c r="Z28" i="7"/>
  <c r="AC23" i="10"/>
  <c r="AC23" i="9"/>
  <c r="AM23" i="7"/>
  <c r="AB19" i="10"/>
  <c r="AB19" i="9"/>
  <c r="AL19" i="7"/>
  <c r="B27" i="12"/>
  <c r="T27" i="14" s="1"/>
  <c r="V27" i="14" s="1"/>
  <c r="B27" i="10"/>
  <c r="B27" i="9"/>
  <c r="AW27" i="2"/>
  <c r="C27" i="7"/>
  <c r="L26" i="10"/>
  <c r="L26" i="9"/>
  <c r="M26" i="7"/>
  <c r="J26" i="10"/>
  <c r="J26" i="9"/>
  <c r="K26" i="7"/>
  <c r="T26" i="10"/>
  <c r="T26" i="9"/>
  <c r="U26" i="7"/>
  <c r="AG18" i="10"/>
  <c r="AG18" i="9"/>
  <c r="AQ18" i="7"/>
  <c r="E93" i="1"/>
  <c r="E94" i="1" s="1"/>
  <c r="E95" i="1" s="1"/>
  <c r="E96" i="1" s="1"/>
  <c r="E97" i="1" s="1"/>
  <c r="E98" i="1" s="1"/>
  <c r="E99" i="1" s="1"/>
  <c r="E100" i="1" s="1"/>
  <c r="E101" i="1" s="1"/>
  <c r="E102" i="1" s="1"/>
  <c r="AF24" i="10"/>
  <c r="AF24" i="9"/>
  <c r="AP24" i="7"/>
  <c r="F26" i="10"/>
  <c r="F26" i="9"/>
  <c r="G26" i="7"/>
  <c r="D26" i="10"/>
  <c r="D26" i="9"/>
  <c r="E26" i="7"/>
  <c r="N26" i="10"/>
  <c r="N26" i="9"/>
  <c r="O26" i="7"/>
  <c r="D26" i="12"/>
  <c r="G26" i="12"/>
  <c r="Q26" i="14" s="1"/>
  <c r="S26" i="14" s="1"/>
  <c r="M36" i="13"/>
  <c r="I36" i="13"/>
  <c r="K36" i="13" s="1"/>
  <c r="L35" i="13"/>
  <c r="H37" i="13"/>
  <c r="E37" i="13"/>
  <c r="N37" i="13" s="1"/>
  <c r="G44" i="13"/>
  <c r="B44" i="13"/>
  <c r="F40" i="12"/>
  <c r="C44" i="12"/>
  <c r="AZ19" i="2"/>
  <c r="BA19" i="2"/>
  <c r="B103" i="1"/>
  <c r="B104" i="1" s="1"/>
  <c r="B105" i="1" s="1"/>
  <c r="B106" i="1" s="1"/>
  <c r="B107" i="1" s="1"/>
  <c r="B108" i="1" s="1"/>
  <c r="B109" i="1" s="1"/>
  <c r="B110" i="1" s="1"/>
  <c r="B112" i="1" s="1"/>
  <c r="AE21" i="7"/>
  <c r="AD21" i="7"/>
  <c r="AG20" i="7"/>
  <c r="C19" i="3"/>
  <c r="B18" i="3"/>
  <c r="J25" i="3"/>
  <c r="F17" i="3"/>
  <c r="E18" i="3"/>
  <c r="G14" i="1"/>
  <c r="D17" i="1"/>
  <c r="D19" i="7" l="1"/>
  <c r="W29" i="7"/>
  <c r="B46" i="17"/>
  <c r="B46" i="16"/>
  <c r="B46" i="11"/>
  <c r="AG46" i="2"/>
  <c r="AF46" i="15" s="1"/>
  <c r="C46" i="15"/>
  <c r="AH46" i="2"/>
  <c r="AG46" i="15" s="1"/>
  <c r="AR46" i="2"/>
  <c r="AF46" i="2"/>
  <c r="AE46" i="15" s="1"/>
  <c r="AD46" i="2"/>
  <c r="AC46" i="15" s="1"/>
  <c r="AC46" i="2"/>
  <c r="AB46" i="15" s="1"/>
  <c r="AL46" i="2"/>
  <c r="AE46" i="2"/>
  <c r="AD46" i="15" s="1"/>
  <c r="AK46" i="2"/>
  <c r="AJ46" i="15" s="1"/>
  <c r="AJ46" i="2"/>
  <c r="AI46" i="15" s="1"/>
  <c r="AI46" i="2"/>
  <c r="AH46" i="15" s="1"/>
  <c r="G45" i="16"/>
  <c r="I46" i="2"/>
  <c r="G45" i="17"/>
  <c r="H45" i="15"/>
  <c r="C19" i="10"/>
  <c r="W44" i="14"/>
  <c r="Y44" i="14" s="1"/>
  <c r="H44" i="11"/>
  <c r="J44" i="11" s="1"/>
  <c r="AQ45" i="15"/>
  <c r="AG45" i="17"/>
  <c r="AG45" i="16"/>
  <c r="AA45" i="17"/>
  <c r="AA45" i="16"/>
  <c r="AK45" i="15"/>
  <c r="Z45" i="14"/>
  <c r="AB45" i="14" s="1"/>
  <c r="D45" i="11"/>
  <c r="G45" i="11"/>
  <c r="S31" i="4"/>
  <c r="U31" i="2" s="1"/>
  <c r="H44" i="17"/>
  <c r="H44" i="16"/>
  <c r="I44" i="15"/>
  <c r="K44" i="17"/>
  <c r="K44" i="16"/>
  <c r="L44" i="15"/>
  <c r="P29" i="17"/>
  <c r="P29" i="16"/>
  <c r="Q29" i="15"/>
  <c r="W29" i="15"/>
  <c r="V29" i="17"/>
  <c r="V29" i="16"/>
  <c r="E20" i="2"/>
  <c r="C20" i="10" s="1"/>
  <c r="B21" i="4"/>
  <c r="T29" i="16"/>
  <c r="T29" i="17"/>
  <c r="U29" i="15"/>
  <c r="D44" i="17"/>
  <c r="D44" i="16"/>
  <c r="E44" i="15"/>
  <c r="L44" i="17"/>
  <c r="L44" i="16"/>
  <c r="M44" i="15"/>
  <c r="O46" i="4"/>
  <c r="Q45" i="2"/>
  <c r="M31" i="4"/>
  <c r="O30" i="2"/>
  <c r="S29" i="17"/>
  <c r="S29" i="16"/>
  <c r="T29" i="15"/>
  <c r="E44" i="17"/>
  <c r="E44" i="16"/>
  <c r="F44" i="15"/>
  <c r="T31" i="4"/>
  <c r="V30" i="2"/>
  <c r="C46" i="4"/>
  <c r="F45" i="2"/>
  <c r="K46" i="4"/>
  <c r="N45" i="2"/>
  <c r="O44" i="16"/>
  <c r="O44" i="17"/>
  <c r="P44" i="15"/>
  <c r="U29" i="16"/>
  <c r="U29" i="17"/>
  <c r="V29" i="15"/>
  <c r="U31" i="4"/>
  <c r="W30" i="2"/>
  <c r="J44" i="16"/>
  <c r="J44" i="17"/>
  <c r="K44" i="15"/>
  <c r="Z30" i="2"/>
  <c r="X31" i="4"/>
  <c r="G46" i="4"/>
  <c r="J45" i="2"/>
  <c r="R29" i="17"/>
  <c r="R29" i="16"/>
  <c r="S29" i="15"/>
  <c r="J46" i="4"/>
  <c r="M45" i="2"/>
  <c r="Z29" i="17"/>
  <c r="Z29" i="16"/>
  <c r="AA29" i="15"/>
  <c r="Z29" i="9"/>
  <c r="AA29" i="7"/>
  <c r="Z29" i="10"/>
  <c r="E46" i="4"/>
  <c r="H45" i="2"/>
  <c r="Q31" i="4"/>
  <c r="S30" i="2"/>
  <c r="P31" i="4"/>
  <c r="R30" i="2"/>
  <c r="D46" i="4"/>
  <c r="G45" i="2"/>
  <c r="F44" i="17"/>
  <c r="F44" i="16"/>
  <c r="G44" i="15"/>
  <c r="Q29" i="16"/>
  <c r="Q29" i="17"/>
  <c r="R29" i="15"/>
  <c r="AT29" i="2"/>
  <c r="I46" i="4"/>
  <c r="L45" i="2"/>
  <c r="X29" i="17"/>
  <c r="X29" i="16"/>
  <c r="Y29" i="15"/>
  <c r="H28" i="14"/>
  <c r="J28" i="14" s="1"/>
  <c r="B28" i="14"/>
  <c r="D28" i="14" s="1"/>
  <c r="Y29" i="16"/>
  <c r="Z29" i="15"/>
  <c r="Y29" i="17"/>
  <c r="Z31" i="4"/>
  <c r="AB30" i="2"/>
  <c r="W29" i="17"/>
  <c r="W29" i="16"/>
  <c r="X29" i="15"/>
  <c r="I44" i="17"/>
  <c r="I44" i="16"/>
  <c r="J44" i="15"/>
  <c r="N29" i="16"/>
  <c r="N29" i="17"/>
  <c r="O29" i="15"/>
  <c r="M29" i="16"/>
  <c r="AH29" i="16" s="1"/>
  <c r="K29" i="14" s="1"/>
  <c r="M29" i="14" s="1"/>
  <c r="M29" i="17"/>
  <c r="AH29" i="17" s="1"/>
  <c r="N29" i="14" s="1"/>
  <c r="P29" i="14" s="1"/>
  <c r="AS29" i="2"/>
  <c r="N29" i="15"/>
  <c r="AR29" i="15" s="1"/>
  <c r="E29" i="14" s="1"/>
  <c r="G29" i="14" s="1"/>
  <c r="V29" i="10"/>
  <c r="X30" i="2"/>
  <c r="V30" i="10" s="1"/>
  <c r="V31" i="4"/>
  <c r="C19" i="17"/>
  <c r="C19" i="16"/>
  <c r="D19" i="15"/>
  <c r="R31" i="4"/>
  <c r="T30" i="2"/>
  <c r="Y31" i="4"/>
  <c r="AA30" i="2"/>
  <c r="W31" i="4"/>
  <c r="Y30" i="2"/>
  <c r="H46" i="4"/>
  <c r="K45" i="2"/>
  <c r="N31" i="4"/>
  <c r="P30" i="2"/>
  <c r="C46" i="2"/>
  <c r="B47" i="2"/>
  <c r="D47" i="2" s="1"/>
  <c r="AC21" i="7"/>
  <c r="BB19" i="2"/>
  <c r="AX27" i="2"/>
  <c r="AF21" i="7"/>
  <c r="AY20" i="2"/>
  <c r="AH18" i="10"/>
  <c r="AR18" i="7"/>
  <c r="AE25" i="10"/>
  <c r="AE25" i="9"/>
  <c r="AO25" i="7"/>
  <c r="K26" i="12"/>
  <c r="H26" i="12"/>
  <c r="J26" i="12" s="1"/>
  <c r="T27" i="10"/>
  <c r="T27" i="9"/>
  <c r="U27" i="7"/>
  <c r="F27" i="10"/>
  <c r="F27" i="9"/>
  <c r="G27" i="7"/>
  <c r="D27" i="10"/>
  <c r="D27" i="9"/>
  <c r="E27" i="7"/>
  <c r="AH18" i="9"/>
  <c r="AD24" i="10"/>
  <c r="AD24" i="9"/>
  <c r="AN24" i="7"/>
  <c r="L27" i="10"/>
  <c r="L27" i="9"/>
  <c r="M27" i="7"/>
  <c r="W29" i="10"/>
  <c r="W29" i="9"/>
  <c r="X29" i="7"/>
  <c r="AG19" i="10"/>
  <c r="AG19" i="9"/>
  <c r="AQ19" i="7"/>
  <c r="I27" i="10"/>
  <c r="I27" i="9"/>
  <c r="J27" i="7"/>
  <c r="N27" i="10"/>
  <c r="N27" i="9"/>
  <c r="O27" i="7"/>
  <c r="R27" i="10"/>
  <c r="R27" i="9"/>
  <c r="S27" i="7"/>
  <c r="P27" i="10"/>
  <c r="P27" i="9"/>
  <c r="Q27" i="7"/>
  <c r="AI25" i="7"/>
  <c r="AJ25" i="7"/>
  <c r="H27" i="10"/>
  <c r="H27" i="9"/>
  <c r="I27" i="7"/>
  <c r="I111" i="1"/>
  <c r="AC24" i="10"/>
  <c r="AC24" i="9"/>
  <c r="AM24" i="7"/>
  <c r="G27" i="10"/>
  <c r="G27" i="9"/>
  <c r="H27" i="7"/>
  <c r="K27" i="10"/>
  <c r="K27" i="9"/>
  <c r="L27" i="7"/>
  <c r="V30" i="9"/>
  <c r="AB25" i="7"/>
  <c r="AB20" i="10"/>
  <c r="AB20" i="9"/>
  <c r="AL20" i="7"/>
  <c r="J27" i="10"/>
  <c r="J27" i="9"/>
  <c r="K27" i="7"/>
  <c r="AA19" i="10"/>
  <c r="AA19" i="9"/>
  <c r="AK19" i="7"/>
  <c r="B28" i="12"/>
  <c r="T28" i="14" s="1"/>
  <c r="V28" i="14" s="1"/>
  <c r="B28" i="10"/>
  <c r="B28" i="9"/>
  <c r="C28" i="7"/>
  <c r="U27" i="10"/>
  <c r="U27" i="9"/>
  <c r="V27" i="7"/>
  <c r="S27" i="10"/>
  <c r="S27" i="9"/>
  <c r="T27" i="7"/>
  <c r="E27" i="10"/>
  <c r="E27" i="9"/>
  <c r="F27" i="7"/>
  <c r="Y29" i="10"/>
  <c r="Y29" i="9"/>
  <c r="Z29" i="7"/>
  <c r="E103" i="1"/>
  <c r="E104" i="1" s="1"/>
  <c r="E105" i="1" s="1"/>
  <c r="E106" i="1" s="1"/>
  <c r="E107" i="1" s="1"/>
  <c r="E108" i="1" s="1"/>
  <c r="E109" i="1" s="1"/>
  <c r="E110" i="1" s="1"/>
  <c r="E111" i="1" s="1"/>
  <c r="E112" i="1" s="1"/>
  <c r="AF25" i="10"/>
  <c r="AF25" i="9"/>
  <c r="AP25" i="7"/>
  <c r="O27" i="10"/>
  <c r="O27" i="9"/>
  <c r="P27" i="7"/>
  <c r="M27" i="10"/>
  <c r="M27" i="9"/>
  <c r="N27" i="7"/>
  <c r="Q27" i="10"/>
  <c r="Q27" i="9"/>
  <c r="R27" i="7"/>
  <c r="D27" i="12"/>
  <c r="M27" i="12" s="1"/>
  <c r="G27" i="12"/>
  <c r="Q27" i="14" s="1"/>
  <c r="S27" i="14" s="1"/>
  <c r="X29" i="10"/>
  <c r="X29" i="9"/>
  <c r="Y29" i="7"/>
  <c r="AH25" i="7"/>
  <c r="L36" i="13"/>
  <c r="O37" i="13"/>
  <c r="I37" i="13"/>
  <c r="L37" i="13" s="1"/>
  <c r="M37" i="13"/>
  <c r="H38" i="13"/>
  <c r="E38" i="13"/>
  <c r="B45" i="13"/>
  <c r="G45" i="13"/>
  <c r="F41" i="12"/>
  <c r="C45" i="12"/>
  <c r="AZ20" i="2"/>
  <c r="BA20" i="2"/>
  <c r="B113" i="1"/>
  <c r="B114" i="1" s="1"/>
  <c r="B115" i="1" s="1"/>
  <c r="B116" i="1" s="1"/>
  <c r="B117" i="1" s="1"/>
  <c r="B118" i="1" s="1"/>
  <c r="B119" i="1" s="1"/>
  <c r="B120" i="1" s="1"/>
  <c r="B121" i="1" s="1"/>
  <c r="AE22" i="7"/>
  <c r="AD22" i="7"/>
  <c r="AG21" i="7"/>
  <c r="C20" i="3"/>
  <c r="B19" i="3"/>
  <c r="J26" i="3"/>
  <c r="F18" i="3"/>
  <c r="E19" i="3"/>
  <c r="G15" i="1"/>
  <c r="D18" i="1"/>
  <c r="W30" i="7" l="1"/>
  <c r="D20" i="7"/>
  <c r="C20" i="9"/>
  <c r="B47" i="11"/>
  <c r="B47" i="17"/>
  <c r="B47" i="16"/>
  <c r="C47" i="15"/>
  <c r="AG47" i="2"/>
  <c r="AF47" i="15" s="1"/>
  <c r="AH47" i="2"/>
  <c r="AG47" i="15" s="1"/>
  <c r="AJ47" i="2"/>
  <c r="AI47" i="15" s="1"/>
  <c r="AR47" i="2"/>
  <c r="AD47" i="2"/>
  <c r="AC47" i="15" s="1"/>
  <c r="AI47" i="2"/>
  <c r="AH47" i="15" s="1"/>
  <c r="AE47" i="2"/>
  <c r="AD47" i="15" s="1"/>
  <c r="AF47" i="2"/>
  <c r="AE47" i="15" s="1"/>
  <c r="AL47" i="2"/>
  <c r="AC47" i="2"/>
  <c r="AB47" i="15" s="1"/>
  <c r="AK47" i="2"/>
  <c r="AJ47" i="15" s="1"/>
  <c r="I47" i="2"/>
  <c r="G46" i="16"/>
  <c r="G46" i="17"/>
  <c r="H46" i="15"/>
  <c r="AA46" i="16"/>
  <c r="AA46" i="17"/>
  <c r="AK46" i="15"/>
  <c r="Z46" i="14"/>
  <c r="AB46" i="14" s="1"/>
  <c r="D46" i="11"/>
  <c r="G46" i="11"/>
  <c r="W45" i="14"/>
  <c r="Y45" i="14" s="1"/>
  <c r="H45" i="11"/>
  <c r="J45" i="11" s="1"/>
  <c r="AQ46" i="15"/>
  <c r="AG46" i="17"/>
  <c r="AG46" i="16"/>
  <c r="N30" i="17"/>
  <c r="N30" i="16"/>
  <c r="O30" i="15"/>
  <c r="AA30" i="15"/>
  <c r="Z30" i="17"/>
  <c r="Z30" i="16"/>
  <c r="Z30" i="10"/>
  <c r="Z30" i="9"/>
  <c r="AA30" i="7"/>
  <c r="AS30" i="2"/>
  <c r="M30" i="17"/>
  <c r="AH30" i="17" s="1"/>
  <c r="N30" i="14" s="1"/>
  <c r="P30" i="14" s="1"/>
  <c r="M30" i="16"/>
  <c r="AH30" i="16" s="1"/>
  <c r="K30" i="14" s="1"/>
  <c r="M30" i="14" s="1"/>
  <c r="N30" i="15"/>
  <c r="AR30" i="15" s="1"/>
  <c r="E30" i="14" s="1"/>
  <c r="G30" i="14" s="1"/>
  <c r="N32" i="4"/>
  <c r="P31" i="2"/>
  <c r="Y32" i="4"/>
  <c r="AA31" i="2"/>
  <c r="Z32" i="4"/>
  <c r="AB31" i="2"/>
  <c r="Q32" i="4"/>
  <c r="S31" i="2"/>
  <c r="K47" i="4"/>
  <c r="N46" i="2"/>
  <c r="M32" i="4"/>
  <c r="O31" i="2"/>
  <c r="B22" i="4"/>
  <c r="E21" i="2"/>
  <c r="C21" i="10" s="1"/>
  <c r="Z31" i="2"/>
  <c r="X32" i="4"/>
  <c r="U32" i="4"/>
  <c r="W31" i="2"/>
  <c r="T32" i="4"/>
  <c r="V31" i="2"/>
  <c r="Y30" i="17"/>
  <c r="Z30" i="15"/>
  <c r="Y30" i="16"/>
  <c r="H29" i="14"/>
  <c r="J29" i="14" s="1"/>
  <c r="B29" i="14"/>
  <c r="D29" i="14" s="1"/>
  <c r="Q30" i="16"/>
  <c r="Q30" i="17"/>
  <c r="R30" i="15"/>
  <c r="AT30" i="2"/>
  <c r="Y30" i="15"/>
  <c r="X30" i="17"/>
  <c r="X30" i="16"/>
  <c r="L45" i="16"/>
  <c r="L45" i="17"/>
  <c r="M45" i="15"/>
  <c r="I45" i="17"/>
  <c r="I45" i="16"/>
  <c r="J45" i="15"/>
  <c r="R30" i="17"/>
  <c r="R30" i="16"/>
  <c r="S30" i="15"/>
  <c r="X31" i="2"/>
  <c r="V31" i="9" s="1"/>
  <c r="V32" i="4"/>
  <c r="E45" i="16"/>
  <c r="E45" i="17"/>
  <c r="F45" i="15"/>
  <c r="F45" i="17"/>
  <c r="F45" i="16"/>
  <c r="G45" i="15"/>
  <c r="D45" i="17"/>
  <c r="D45" i="16"/>
  <c r="E45" i="15"/>
  <c r="O45" i="17"/>
  <c r="O45" i="16"/>
  <c r="P45" i="15"/>
  <c r="C20" i="16"/>
  <c r="C20" i="17"/>
  <c r="D20" i="15"/>
  <c r="H47" i="4"/>
  <c r="K46" i="2"/>
  <c r="V30" i="17"/>
  <c r="V30" i="16"/>
  <c r="W30" i="15"/>
  <c r="D47" i="4"/>
  <c r="G46" i="2"/>
  <c r="E47" i="4"/>
  <c r="H46" i="2"/>
  <c r="H45" i="17"/>
  <c r="H45" i="16"/>
  <c r="I45" i="15"/>
  <c r="C47" i="4"/>
  <c r="F46" i="2"/>
  <c r="O47" i="4"/>
  <c r="Q46" i="2"/>
  <c r="S30" i="16"/>
  <c r="S30" i="17"/>
  <c r="T30" i="15"/>
  <c r="W32" i="4"/>
  <c r="Y31" i="2"/>
  <c r="I47" i="4"/>
  <c r="L46" i="2"/>
  <c r="P32" i="4"/>
  <c r="R31" i="2"/>
  <c r="J47" i="4"/>
  <c r="M46" i="2"/>
  <c r="W30" i="16"/>
  <c r="X30" i="15"/>
  <c r="W30" i="17"/>
  <c r="R32" i="4"/>
  <c r="T31" i="2"/>
  <c r="J45" i="17"/>
  <c r="J45" i="16"/>
  <c r="K45" i="15"/>
  <c r="P30" i="17"/>
  <c r="P30" i="16"/>
  <c r="Q30" i="15"/>
  <c r="K45" i="17"/>
  <c r="K45" i="16"/>
  <c r="L45" i="15"/>
  <c r="G47" i="4"/>
  <c r="J46" i="2"/>
  <c r="U30" i="16"/>
  <c r="U30" i="17"/>
  <c r="V30" i="15"/>
  <c r="T30" i="17"/>
  <c r="T30" i="16"/>
  <c r="U30" i="15"/>
  <c r="S32" i="4"/>
  <c r="U32" i="2" s="1"/>
  <c r="B48" i="2"/>
  <c r="D48" i="2" s="1"/>
  <c r="C47" i="2"/>
  <c r="AC22" i="7"/>
  <c r="BB20" i="2"/>
  <c r="AW28" i="2"/>
  <c r="AY21" i="2"/>
  <c r="AF22" i="7"/>
  <c r="AX28" i="2"/>
  <c r="AH19" i="10"/>
  <c r="AH19" i="9"/>
  <c r="L27" i="12"/>
  <c r="I121" i="1"/>
  <c r="J2" i="1" s="1"/>
  <c r="E28" i="10"/>
  <c r="E28" i="9"/>
  <c r="F28" i="7"/>
  <c r="T28" i="10"/>
  <c r="T28" i="9"/>
  <c r="U28" i="7"/>
  <c r="AE26" i="10"/>
  <c r="AE26" i="9"/>
  <c r="AO26" i="7"/>
  <c r="AB21" i="10"/>
  <c r="AB21" i="9"/>
  <c r="AL21" i="7"/>
  <c r="R28" i="10"/>
  <c r="R28" i="9"/>
  <c r="S28" i="7"/>
  <c r="P28" i="10"/>
  <c r="P28" i="9"/>
  <c r="Q28" i="7"/>
  <c r="N28" i="10"/>
  <c r="N28" i="9"/>
  <c r="O28" i="7"/>
  <c r="E113" i="1"/>
  <c r="E114" i="1" s="1"/>
  <c r="E115" i="1" s="1"/>
  <c r="E116" i="1" s="1"/>
  <c r="E117" i="1" s="1"/>
  <c r="E118" i="1" s="1"/>
  <c r="E119" i="1" s="1"/>
  <c r="E120" i="1" s="1"/>
  <c r="E121" i="1" s="1"/>
  <c r="AF26" i="9"/>
  <c r="AF26" i="10"/>
  <c r="AP26" i="7"/>
  <c r="Y30" i="10"/>
  <c r="Y30" i="9"/>
  <c r="Z30" i="7"/>
  <c r="J28" i="10"/>
  <c r="J28" i="9"/>
  <c r="K28" i="7"/>
  <c r="H28" i="10"/>
  <c r="H28" i="9"/>
  <c r="I28" i="7"/>
  <c r="L28" i="10"/>
  <c r="L28" i="9"/>
  <c r="M28" i="7"/>
  <c r="D28" i="12"/>
  <c r="G28" i="12"/>
  <c r="Q28" i="14" s="1"/>
  <c r="S28" i="14" s="1"/>
  <c r="AI26" i="7"/>
  <c r="AJ26" i="7"/>
  <c r="W30" i="10"/>
  <c r="W30" i="9"/>
  <c r="X30" i="7"/>
  <c r="AC25" i="10"/>
  <c r="AC25" i="9"/>
  <c r="AM25" i="7"/>
  <c r="AA20" i="10"/>
  <c r="AA20" i="9"/>
  <c r="AK20" i="7"/>
  <c r="D28" i="10"/>
  <c r="D28" i="9"/>
  <c r="E28" i="7"/>
  <c r="U28" i="10"/>
  <c r="U28" i="9"/>
  <c r="V28" i="7"/>
  <c r="F28" i="10"/>
  <c r="F28" i="9"/>
  <c r="G28" i="7"/>
  <c r="AB26" i="7"/>
  <c r="K27" i="12"/>
  <c r="H27" i="12"/>
  <c r="J27" i="12" s="1"/>
  <c r="B29" i="12"/>
  <c r="T29" i="14" s="1"/>
  <c r="V29" i="14" s="1"/>
  <c r="B29" i="10"/>
  <c r="B29" i="9"/>
  <c r="C29" i="7"/>
  <c r="Q28" i="10"/>
  <c r="Q28" i="9"/>
  <c r="R28" i="7"/>
  <c r="O28" i="10"/>
  <c r="O28" i="9"/>
  <c r="P28" i="7"/>
  <c r="S28" i="10"/>
  <c r="S28" i="9"/>
  <c r="T28" i="7"/>
  <c r="X30" i="10"/>
  <c r="X30" i="9"/>
  <c r="Y30" i="7"/>
  <c r="AD25" i="10"/>
  <c r="AD25" i="9"/>
  <c r="AN25" i="7"/>
  <c r="AG20" i="10"/>
  <c r="AG20" i="9"/>
  <c r="AQ20" i="7"/>
  <c r="AH26" i="7"/>
  <c r="K28" i="10"/>
  <c r="K28" i="9"/>
  <c r="L28" i="7"/>
  <c r="I28" i="10"/>
  <c r="I28" i="9"/>
  <c r="J28" i="7"/>
  <c r="G28" i="10"/>
  <c r="G28" i="9"/>
  <c r="H28" i="7"/>
  <c r="M28" i="10"/>
  <c r="M28" i="9"/>
  <c r="N28" i="7"/>
  <c r="AR19" i="7"/>
  <c r="K37" i="13"/>
  <c r="E39" i="13"/>
  <c r="H39" i="13"/>
  <c r="M38" i="13"/>
  <c r="I38" i="13"/>
  <c r="K38" i="13" s="1"/>
  <c r="G46" i="13"/>
  <c r="B46" i="13"/>
  <c r="C46" i="12"/>
  <c r="F42" i="12"/>
  <c r="AZ21" i="2"/>
  <c r="BA21" i="2"/>
  <c r="AE23" i="7"/>
  <c r="AD23" i="7"/>
  <c r="AG22" i="7"/>
  <c r="C21" i="3"/>
  <c r="G21" i="3" s="1"/>
  <c r="B20" i="3"/>
  <c r="F19" i="3"/>
  <c r="E20" i="3"/>
  <c r="J27" i="3"/>
  <c r="G16" i="1"/>
  <c r="D19" i="1"/>
  <c r="V31" i="10" l="1"/>
  <c r="C48" i="2"/>
  <c r="C21" i="9"/>
  <c r="W31" i="7"/>
  <c r="D21" i="7"/>
  <c r="H47" i="15"/>
  <c r="I48" i="2"/>
  <c r="G47" i="17"/>
  <c r="G47" i="16"/>
  <c r="B48" i="17"/>
  <c r="B48" i="16"/>
  <c r="B48" i="11"/>
  <c r="C48" i="15"/>
  <c r="AG48" i="2"/>
  <c r="AF48" i="15" s="1"/>
  <c r="AH48" i="2"/>
  <c r="AG48" i="15" s="1"/>
  <c r="AE48" i="2"/>
  <c r="AD48" i="15" s="1"/>
  <c r="AJ48" i="2"/>
  <c r="AI48" i="15" s="1"/>
  <c r="AC48" i="2"/>
  <c r="AB48" i="15" s="1"/>
  <c r="AL48" i="2"/>
  <c r="AR48" i="2"/>
  <c r="AI48" i="2"/>
  <c r="AH48" i="15" s="1"/>
  <c r="AD48" i="2"/>
  <c r="AC48" i="15" s="1"/>
  <c r="AK48" i="2"/>
  <c r="AJ48" i="15" s="1"/>
  <c r="AF48" i="2"/>
  <c r="AE48" i="15" s="1"/>
  <c r="AG47" i="17"/>
  <c r="AG47" i="16"/>
  <c r="AQ47" i="15"/>
  <c r="W46" i="14"/>
  <c r="Y46" i="14" s="1"/>
  <c r="H46" i="11"/>
  <c r="J46" i="11" s="1"/>
  <c r="AA47" i="16"/>
  <c r="AA47" i="17"/>
  <c r="AK47" i="15"/>
  <c r="Z47" i="14"/>
  <c r="AB47" i="14" s="1"/>
  <c r="D47" i="11"/>
  <c r="G47" i="11"/>
  <c r="D48" i="4"/>
  <c r="G47" i="2"/>
  <c r="U33" i="4"/>
  <c r="W32" i="2"/>
  <c r="O32" i="2"/>
  <c r="M33" i="4"/>
  <c r="Z33" i="4"/>
  <c r="AB32" i="2"/>
  <c r="J46" i="16"/>
  <c r="J46" i="17"/>
  <c r="K46" i="15"/>
  <c r="Z32" i="2"/>
  <c r="X33" i="4"/>
  <c r="L46" i="17"/>
  <c r="L46" i="16"/>
  <c r="M46" i="15"/>
  <c r="Y31" i="17"/>
  <c r="Z31" i="15"/>
  <c r="Y31" i="16"/>
  <c r="S31" i="16"/>
  <c r="S31" i="17"/>
  <c r="T31" i="15"/>
  <c r="O46" i="16"/>
  <c r="O46" i="17"/>
  <c r="P46" i="15"/>
  <c r="B30" i="14"/>
  <c r="D30" i="14" s="1"/>
  <c r="H30" i="14"/>
  <c r="J30" i="14" s="1"/>
  <c r="S33" i="4"/>
  <c r="U33" i="2" s="1"/>
  <c r="R31" i="16"/>
  <c r="R31" i="17"/>
  <c r="S31" i="15"/>
  <c r="K46" i="16"/>
  <c r="K46" i="17"/>
  <c r="L46" i="15"/>
  <c r="W31" i="17"/>
  <c r="W31" i="16"/>
  <c r="X31" i="15"/>
  <c r="O48" i="4"/>
  <c r="Q47" i="2"/>
  <c r="F46" i="17"/>
  <c r="F46" i="16"/>
  <c r="G46" i="15"/>
  <c r="T31" i="16"/>
  <c r="T31" i="17"/>
  <c r="U31" i="15"/>
  <c r="C21" i="16"/>
  <c r="C21" i="17"/>
  <c r="D21" i="15"/>
  <c r="Q31" i="17"/>
  <c r="Q31" i="16"/>
  <c r="R31" i="15"/>
  <c r="AT31" i="2"/>
  <c r="N31" i="17"/>
  <c r="N31" i="16"/>
  <c r="O31" i="15"/>
  <c r="P33" i="4"/>
  <c r="R32" i="2"/>
  <c r="K48" i="4"/>
  <c r="N47" i="2"/>
  <c r="Y33" i="4"/>
  <c r="AA32" i="2"/>
  <c r="H46" i="16"/>
  <c r="H46" i="17"/>
  <c r="I46" i="15"/>
  <c r="J48" i="4"/>
  <c r="M47" i="2"/>
  <c r="W33" i="4"/>
  <c r="Y32" i="2"/>
  <c r="D46" i="17"/>
  <c r="D46" i="16"/>
  <c r="E46" i="15"/>
  <c r="E48" i="4"/>
  <c r="H47" i="2"/>
  <c r="I46" i="17"/>
  <c r="I46" i="16"/>
  <c r="J46" i="15"/>
  <c r="X32" i="2"/>
  <c r="V32" i="10" s="1"/>
  <c r="V33" i="4"/>
  <c r="T33" i="4"/>
  <c r="V32" i="2"/>
  <c r="B23" i="4"/>
  <c r="E22" i="2"/>
  <c r="C22" i="10" s="1"/>
  <c r="Q33" i="4"/>
  <c r="S32" i="2"/>
  <c r="N33" i="4"/>
  <c r="P32" i="2"/>
  <c r="I48" i="4"/>
  <c r="L47" i="2"/>
  <c r="Y31" i="15"/>
  <c r="X31" i="17"/>
  <c r="X31" i="16"/>
  <c r="G48" i="4"/>
  <c r="J47" i="2"/>
  <c r="R33" i="4"/>
  <c r="T32" i="2"/>
  <c r="P31" i="17"/>
  <c r="P31" i="16"/>
  <c r="Q31" i="15"/>
  <c r="C48" i="4"/>
  <c r="F47" i="2"/>
  <c r="E46" i="17"/>
  <c r="E46" i="16"/>
  <c r="F46" i="15"/>
  <c r="H48" i="4"/>
  <c r="K47" i="2"/>
  <c r="W31" i="15"/>
  <c r="V31" i="17"/>
  <c r="V31" i="16"/>
  <c r="U31" i="17"/>
  <c r="U31" i="16"/>
  <c r="V31" i="15"/>
  <c r="AS31" i="2"/>
  <c r="M31" i="16"/>
  <c r="AH31" i="16" s="1"/>
  <c r="K31" i="14" s="1"/>
  <c r="M31" i="14" s="1"/>
  <c r="M31" i="17"/>
  <c r="AH31" i="17" s="1"/>
  <c r="N31" i="14" s="1"/>
  <c r="P31" i="14" s="1"/>
  <c r="N31" i="15"/>
  <c r="AR31" i="15" s="1"/>
  <c r="E31" i="14" s="1"/>
  <c r="G31" i="14" s="1"/>
  <c r="Z31" i="17"/>
  <c r="Z31" i="16"/>
  <c r="AA31" i="15"/>
  <c r="Z31" i="10"/>
  <c r="AA31" i="7"/>
  <c r="Z31" i="9"/>
  <c r="B49" i="2"/>
  <c r="D49" i="2" s="1"/>
  <c r="AC23" i="7"/>
  <c r="BB21" i="2"/>
  <c r="AX29" i="2"/>
  <c r="AW29" i="2"/>
  <c r="AY22" i="2"/>
  <c r="AF23" i="7"/>
  <c r="AF27" i="10"/>
  <c r="AF27" i="9"/>
  <c r="AP27" i="7"/>
  <c r="T29" i="10"/>
  <c r="T29" i="9"/>
  <c r="U29" i="7"/>
  <c r="J29" i="10"/>
  <c r="J29" i="9"/>
  <c r="K29" i="7"/>
  <c r="H29" i="10"/>
  <c r="H29" i="9"/>
  <c r="I29" i="7"/>
  <c r="AC26" i="10"/>
  <c r="AC26" i="9"/>
  <c r="AM26" i="7"/>
  <c r="G29" i="10"/>
  <c r="G29" i="9"/>
  <c r="H29" i="7"/>
  <c r="N29" i="10"/>
  <c r="N29" i="9"/>
  <c r="O29" i="7"/>
  <c r="D29" i="10"/>
  <c r="D29" i="9"/>
  <c r="E29" i="7"/>
  <c r="P29" i="10"/>
  <c r="P29" i="9"/>
  <c r="Q29" i="7"/>
  <c r="W31" i="10"/>
  <c r="W31" i="9"/>
  <c r="X31" i="7"/>
  <c r="Y31" i="10"/>
  <c r="Y31" i="9"/>
  <c r="Z31" i="7"/>
  <c r="AB22" i="10"/>
  <c r="AB22" i="9"/>
  <c r="AL22" i="7"/>
  <c r="U29" i="10"/>
  <c r="U29" i="9"/>
  <c r="V29" i="7"/>
  <c r="K29" i="10"/>
  <c r="K29" i="9"/>
  <c r="L29" i="7"/>
  <c r="R29" i="10"/>
  <c r="R29" i="9"/>
  <c r="S29" i="7"/>
  <c r="AI27" i="7"/>
  <c r="AJ27" i="7"/>
  <c r="X31" i="10"/>
  <c r="X31" i="9"/>
  <c r="Y31" i="7"/>
  <c r="O29" i="10"/>
  <c r="O29" i="9"/>
  <c r="P29" i="7"/>
  <c r="E29" i="10"/>
  <c r="E29" i="9"/>
  <c r="F29" i="7"/>
  <c r="I29" i="10"/>
  <c r="I29" i="9"/>
  <c r="J29" i="7"/>
  <c r="AR20" i="7"/>
  <c r="AG21" i="10"/>
  <c r="AG21" i="9"/>
  <c r="AQ21" i="7"/>
  <c r="AD26" i="10"/>
  <c r="AD26" i="9"/>
  <c r="AN26" i="7"/>
  <c r="AE27" i="10"/>
  <c r="AE27" i="9"/>
  <c r="AO27" i="7"/>
  <c r="AH27" i="7"/>
  <c r="B30" i="12"/>
  <c r="T30" i="14" s="1"/>
  <c r="V30" i="14" s="1"/>
  <c r="B30" i="10"/>
  <c r="B30" i="9"/>
  <c r="C30" i="7"/>
  <c r="L29" i="10"/>
  <c r="L29" i="9"/>
  <c r="M29" i="7"/>
  <c r="S29" i="10"/>
  <c r="S29" i="9"/>
  <c r="T29" i="7"/>
  <c r="D29" i="12"/>
  <c r="G29" i="12"/>
  <c r="Q29" i="14" s="1"/>
  <c r="S29" i="14" s="1"/>
  <c r="AB27" i="7"/>
  <c r="AH20" i="9"/>
  <c r="K28" i="12"/>
  <c r="H28" i="12"/>
  <c r="AA21" i="10"/>
  <c r="AA21" i="9"/>
  <c r="AK21" i="7"/>
  <c r="F29" i="10"/>
  <c r="F29" i="9"/>
  <c r="G29" i="7"/>
  <c r="M29" i="10"/>
  <c r="M29" i="9"/>
  <c r="N29" i="7"/>
  <c r="Q29" i="10"/>
  <c r="Q29" i="9"/>
  <c r="R29" i="7"/>
  <c r="AH20" i="10"/>
  <c r="H40" i="13"/>
  <c r="E40" i="13"/>
  <c r="L38" i="13"/>
  <c r="M39" i="13"/>
  <c r="I39" i="13"/>
  <c r="L39" i="13" s="1"/>
  <c r="G47" i="13"/>
  <c r="B47" i="13"/>
  <c r="F43" i="12"/>
  <c r="C47" i="12"/>
  <c r="AZ22" i="2"/>
  <c r="BA22" i="2"/>
  <c r="AE24" i="7"/>
  <c r="AD24" i="7"/>
  <c r="AG23" i="7"/>
  <c r="C22" i="3"/>
  <c r="B21" i="3"/>
  <c r="F20" i="3"/>
  <c r="E21" i="3"/>
  <c r="J28" i="3"/>
  <c r="G17" i="1"/>
  <c r="D20" i="1"/>
  <c r="W32" i="7" l="1"/>
  <c r="C22" i="9"/>
  <c r="V32" i="9"/>
  <c r="B49" i="16"/>
  <c r="B49" i="11"/>
  <c r="B49" i="17"/>
  <c r="AG49" i="2"/>
  <c r="AF49" i="15" s="1"/>
  <c r="C49" i="15"/>
  <c r="AH49" i="2"/>
  <c r="AG49" i="15" s="1"/>
  <c r="AK49" i="2"/>
  <c r="AJ49" i="15" s="1"/>
  <c r="AC49" i="2"/>
  <c r="AB49" i="15" s="1"/>
  <c r="AF49" i="2"/>
  <c r="AE49" i="15" s="1"/>
  <c r="AE49" i="2"/>
  <c r="AD49" i="15" s="1"/>
  <c r="AR49" i="2"/>
  <c r="AJ49" i="2"/>
  <c r="AI49" i="15" s="1"/>
  <c r="AI49" i="2"/>
  <c r="AH49" i="15" s="1"/>
  <c r="AL49" i="2"/>
  <c r="AD49" i="2"/>
  <c r="AC49" i="15" s="1"/>
  <c r="AG48" i="17"/>
  <c r="AG48" i="16"/>
  <c r="AQ48" i="15"/>
  <c r="AA48" i="16"/>
  <c r="AK48" i="15"/>
  <c r="AA48" i="17"/>
  <c r="G48" i="17"/>
  <c r="G48" i="16"/>
  <c r="H48" i="15"/>
  <c r="I49" i="2"/>
  <c r="W47" i="14"/>
  <c r="Y47" i="14" s="1"/>
  <c r="H47" i="11"/>
  <c r="J47" i="11" s="1"/>
  <c r="Z48" i="14"/>
  <c r="AB48" i="14" s="1"/>
  <c r="D48" i="11"/>
  <c r="G48" i="11"/>
  <c r="I47" i="16"/>
  <c r="I47" i="17"/>
  <c r="J47" i="15"/>
  <c r="C49" i="4"/>
  <c r="F48" i="2"/>
  <c r="J47" i="17"/>
  <c r="J47" i="16"/>
  <c r="K47" i="15"/>
  <c r="K49" i="4"/>
  <c r="N48" i="2"/>
  <c r="Y32" i="15"/>
  <c r="X32" i="17"/>
  <c r="X32" i="16"/>
  <c r="M34" i="4"/>
  <c r="O33" i="2"/>
  <c r="H49" i="4"/>
  <c r="K48" i="2"/>
  <c r="H47" i="17"/>
  <c r="H47" i="16"/>
  <c r="I47" i="15"/>
  <c r="I49" i="4"/>
  <c r="L48" i="2"/>
  <c r="B24" i="4"/>
  <c r="E23" i="2"/>
  <c r="C23" i="10" s="1"/>
  <c r="P32" i="17"/>
  <c r="P32" i="16"/>
  <c r="Q32" i="15"/>
  <c r="S32" i="17"/>
  <c r="S32" i="16"/>
  <c r="T32" i="15"/>
  <c r="M32" i="16"/>
  <c r="AH32" i="16" s="1"/>
  <c r="K32" i="14" s="1"/>
  <c r="M32" i="14" s="1"/>
  <c r="M32" i="17"/>
  <c r="AH32" i="17" s="1"/>
  <c r="N32" i="14" s="1"/>
  <c r="P32" i="14" s="1"/>
  <c r="AS32" i="2"/>
  <c r="N32" i="15"/>
  <c r="AR32" i="15" s="1"/>
  <c r="E32" i="14" s="1"/>
  <c r="G32" i="14" s="1"/>
  <c r="R34" i="4"/>
  <c r="T33" i="2"/>
  <c r="N32" i="17"/>
  <c r="N32" i="16"/>
  <c r="O32" i="15"/>
  <c r="F47" i="17"/>
  <c r="F47" i="16"/>
  <c r="G47" i="15"/>
  <c r="W34" i="4"/>
  <c r="Y33" i="2"/>
  <c r="Y32" i="17"/>
  <c r="Y32" i="16"/>
  <c r="Z32" i="15"/>
  <c r="Q48" i="2"/>
  <c r="O49" i="4"/>
  <c r="U34" i="4"/>
  <c r="W33" i="2"/>
  <c r="G49" i="4"/>
  <c r="J48" i="2"/>
  <c r="W32" i="17"/>
  <c r="W32" i="16"/>
  <c r="X32" i="15"/>
  <c r="N34" i="4"/>
  <c r="P33" i="2"/>
  <c r="T34" i="4"/>
  <c r="V33" i="2"/>
  <c r="R32" i="17"/>
  <c r="R32" i="16"/>
  <c r="S32" i="15"/>
  <c r="Q32" i="17"/>
  <c r="Q32" i="16"/>
  <c r="R32" i="15"/>
  <c r="AT32" i="2"/>
  <c r="X33" i="2"/>
  <c r="V34" i="4"/>
  <c r="E49" i="4"/>
  <c r="H48" i="2"/>
  <c r="K47" i="17"/>
  <c r="K47" i="16"/>
  <c r="L47" i="15"/>
  <c r="Y34" i="4"/>
  <c r="AA33" i="2"/>
  <c r="Z32" i="17"/>
  <c r="Z32" i="16"/>
  <c r="AA32" i="15"/>
  <c r="Z32" i="10"/>
  <c r="AA32" i="7"/>
  <c r="Z32" i="9"/>
  <c r="E47" i="17"/>
  <c r="E47" i="16"/>
  <c r="F47" i="15"/>
  <c r="C22" i="16"/>
  <c r="C22" i="17"/>
  <c r="D22" i="15"/>
  <c r="T32" i="16"/>
  <c r="T32" i="17"/>
  <c r="U32" i="15"/>
  <c r="P34" i="4"/>
  <c r="R33" i="2"/>
  <c r="O47" i="17"/>
  <c r="O47" i="16"/>
  <c r="P47" i="15"/>
  <c r="S34" i="4"/>
  <c r="U34" i="2" s="1"/>
  <c r="U32" i="16"/>
  <c r="U32" i="17"/>
  <c r="V32" i="15"/>
  <c r="D22" i="7"/>
  <c r="H31" i="14"/>
  <c r="J31" i="14" s="1"/>
  <c r="B31" i="14"/>
  <c r="D31" i="14" s="1"/>
  <c r="D47" i="16"/>
  <c r="D47" i="17"/>
  <c r="E47" i="15"/>
  <c r="Q34" i="4"/>
  <c r="S33" i="2"/>
  <c r="V32" i="17"/>
  <c r="V32" i="16"/>
  <c r="W32" i="15"/>
  <c r="J49" i="4"/>
  <c r="M48" i="2"/>
  <c r="L47" i="16"/>
  <c r="L47" i="17"/>
  <c r="M47" i="15"/>
  <c r="Z33" i="2"/>
  <c r="X34" i="4"/>
  <c r="AB33" i="2"/>
  <c r="Z34" i="4"/>
  <c r="D49" i="4"/>
  <c r="G48" i="2"/>
  <c r="B50" i="2"/>
  <c r="D50" i="2" s="1"/>
  <c r="C49" i="2"/>
  <c r="AC24" i="7"/>
  <c r="BB22" i="2"/>
  <c r="AW30" i="2"/>
  <c r="AY23" i="2"/>
  <c r="AX30" i="2"/>
  <c r="AF24" i="7"/>
  <c r="AR21" i="7"/>
  <c r="AH21" i="9"/>
  <c r="AH21" i="10"/>
  <c r="AD27" i="10"/>
  <c r="AD27" i="9"/>
  <c r="AN27" i="7"/>
  <c r="AF28" i="10"/>
  <c r="AF28" i="9"/>
  <c r="AP28" i="7"/>
  <c r="L30" i="10"/>
  <c r="L30" i="9"/>
  <c r="M30" i="7"/>
  <c r="T30" i="10"/>
  <c r="T30" i="9"/>
  <c r="U30" i="7"/>
  <c r="X32" i="10"/>
  <c r="X32" i="9"/>
  <c r="Y32" i="7"/>
  <c r="AA22" i="10"/>
  <c r="AA22" i="9"/>
  <c r="AK22" i="7"/>
  <c r="R30" i="10"/>
  <c r="R30" i="9"/>
  <c r="S30" i="7"/>
  <c r="F30" i="10"/>
  <c r="F30" i="9"/>
  <c r="G30" i="7"/>
  <c r="N30" i="10"/>
  <c r="N30" i="9"/>
  <c r="O30" i="7"/>
  <c r="AI28" i="7"/>
  <c r="AJ28" i="7"/>
  <c r="AB23" i="10"/>
  <c r="AB23" i="9"/>
  <c r="AL23" i="7"/>
  <c r="B31" i="12"/>
  <c r="T31" i="14" s="1"/>
  <c r="V31" i="14" s="1"/>
  <c r="B31" i="10"/>
  <c r="B31" i="9"/>
  <c r="C31" i="7"/>
  <c r="H30" i="10"/>
  <c r="H30" i="9"/>
  <c r="I30" i="7"/>
  <c r="U30" i="10"/>
  <c r="U30" i="9"/>
  <c r="V30" i="7"/>
  <c r="J30" i="10"/>
  <c r="J30" i="9"/>
  <c r="K30" i="7"/>
  <c r="D30" i="12"/>
  <c r="G30" i="12"/>
  <c r="Q30" i="14" s="1"/>
  <c r="S30" i="14" s="1"/>
  <c r="Y32" i="10"/>
  <c r="Y32" i="9"/>
  <c r="Z32" i="7"/>
  <c r="AC27" i="10"/>
  <c r="AC27" i="9"/>
  <c r="AM27" i="7"/>
  <c r="J28" i="12"/>
  <c r="AB28" i="7"/>
  <c r="Q30" i="10"/>
  <c r="Q30" i="9"/>
  <c r="R30" i="7"/>
  <c r="O30" i="10"/>
  <c r="O30" i="9"/>
  <c r="P30" i="7"/>
  <c r="D30" i="10"/>
  <c r="D30" i="9"/>
  <c r="E30" i="7"/>
  <c r="AE28" i="10"/>
  <c r="AE28" i="9"/>
  <c r="AO28" i="7"/>
  <c r="AG22" i="10"/>
  <c r="AG22" i="9"/>
  <c r="AQ22" i="7"/>
  <c r="K29" i="12"/>
  <c r="H29" i="12"/>
  <c r="J29" i="12" s="1"/>
  <c r="G30" i="10"/>
  <c r="G30" i="9"/>
  <c r="H30" i="7"/>
  <c r="K30" i="10"/>
  <c r="K30" i="9"/>
  <c r="L30" i="7"/>
  <c r="S30" i="10"/>
  <c r="S30" i="9"/>
  <c r="T30" i="7"/>
  <c r="W32" i="10"/>
  <c r="W32" i="9"/>
  <c r="X32" i="7"/>
  <c r="W33" i="7"/>
  <c r="I30" i="10"/>
  <c r="I30" i="9"/>
  <c r="J30" i="7"/>
  <c r="P30" i="10"/>
  <c r="P30" i="9"/>
  <c r="Q30" i="7"/>
  <c r="E30" i="10"/>
  <c r="E30" i="9"/>
  <c r="F30" i="7"/>
  <c r="M30" i="10"/>
  <c r="M30" i="9"/>
  <c r="N30" i="7"/>
  <c r="AH28" i="7"/>
  <c r="M40" i="13"/>
  <c r="I40" i="13"/>
  <c r="K40" i="13" s="1"/>
  <c r="K39" i="13"/>
  <c r="H41" i="13"/>
  <c r="E41" i="13"/>
  <c r="G48" i="13"/>
  <c r="B48" i="13"/>
  <c r="C48" i="12"/>
  <c r="F44" i="12"/>
  <c r="AZ23" i="2"/>
  <c r="BA23" i="2"/>
  <c r="AE25" i="7"/>
  <c r="AD25" i="7"/>
  <c r="AG24" i="7"/>
  <c r="C23" i="3"/>
  <c r="B22" i="3"/>
  <c r="F21" i="3"/>
  <c r="E22" i="3"/>
  <c r="J29" i="3"/>
  <c r="G18" i="1"/>
  <c r="D21" i="1"/>
  <c r="D23" i="7" l="1"/>
  <c r="K47" i="11"/>
  <c r="L47" i="11"/>
  <c r="B50" i="17"/>
  <c r="B50" i="11"/>
  <c r="B50" i="16"/>
  <c r="AG50" i="2"/>
  <c r="AF50" i="15" s="1"/>
  <c r="C50" i="15"/>
  <c r="AH50" i="2"/>
  <c r="AG50" i="15" s="1"/>
  <c r="AF50" i="2"/>
  <c r="AE50" i="15" s="1"/>
  <c r="AD50" i="2"/>
  <c r="AC50" i="15" s="1"/>
  <c r="AI50" i="2"/>
  <c r="AH50" i="15" s="1"/>
  <c r="AJ50" i="2"/>
  <c r="AI50" i="15" s="1"/>
  <c r="AE50" i="2"/>
  <c r="AD50" i="15" s="1"/>
  <c r="AL50" i="2"/>
  <c r="AR50" i="2"/>
  <c r="AC50" i="2"/>
  <c r="AB50" i="15" s="1"/>
  <c r="AK50" i="2"/>
  <c r="AJ50" i="15" s="1"/>
  <c r="AG49" i="16"/>
  <c r="AG49" i="17"/>
  <c r="AQ49" i="15"/>
  <c r="W48" i="14"/>
  <c r="Y48" i="14" s="1"/>
  <c r="H48" i="11"/>
  <c r="J48" i="11" s="1"/>
  <c r="AA49" i="17"/>
  <c r="AA49" i="16"/>
  <c r="AK49" i="15"/>
  <c r="Z49" i="14"/>
  <c r="AB49" i="14" s="1"/>
  <c r="D49" i="11"/>
  <c r="G49" i="11"/>
  <c r="C50" i="2"/>
  <c r="G49" i="17"/>
  <c r="G49" i="16"/>
  <c r="I50" i="2"/>
  <c r="H49" i="15"/>
  <c r="X33" i="17"/>
  <c r="X33" i="16"/>
  <c r="Y33" i="15"/>
  <c r="Y33" i="17"/>
  <c r="Z33" i="15"/>
  <c r="Y33" i="16"/>
  <c r="E50" i="4"/>
  <c r="H49" i="2"/>
  <c r="N33" i="17"/>
  <c r="N33" i="16"/>
  <c r="O33" i="15"/>
  <c r="G50" i="4"/>
  <c r="J49" i="2"/>
  <c r="C23" i="16"/>
  <c r="C23" i="17"/>
  <c r="D23" i="15"/>
  <c r="C23" i="9"/>
  <c r="E48" i="17"/>
  <c r="E48" i="16"/>
  <c r="F48" i="15"/>
  <c r="P33" i="17"/>
  <c r="P33" i="16"/>
  <c r="Q33" i="15"/>
  <c r="Y35" i="4"/>
  <c r="AA34" i="2"/>
  <c r="X34" i="2"/>
  <c r="V34" i="9" s="1"/>
  <c r="V35" i="4"/>
  <c r="N35" i="4"/>
  <c r="P34" i="2"/>
  <c r="U33" i="17"/>
  <c r="U33" i="16"/>
  <c r="V33" i="15"/>
  <c r="R35" i="4"/>
  <c r="T34" i="2"/>
  <c r="B25" i="4"/>
  <c r="E24" i="2"/>
  <c r="D24" i="7" s="1"/>
  <c r="I48" i="17"/>
  <c r="I48" i="16"/>
  <c r="J48" i="15"/>
  <c r="D48" i="16"/>
  <c r="D48" i="17"/>
  <c r="E48" i="15"/>
  <c r="D50" i="4"/>
  <c r="G49" i="2"/>
  <c r="U35" i="4"/>
  <c r="W34" i="2"/>
  <c r="J48" i="16"/>
  <c r="J48" i="17"/>
  <c r="K48" i="15"/>
  <c r="H50" i="4"/>
  <c r="K49" i="2"/>
  <c r="Z35" i="4"/>
  <c r="AB34" i="2"/>
  <c r="Q33" i="16"/>
  <c r="Q33" i="17"/>
  <c r="R33" i="15"/>
  <c r="AT33" i="2"/>
  <c r="S35" i="4"/>
  <c r="U35" i="2" s="1"/>
  <c r="O50" i="4"/>
  <c r="Q49" i="2"/>
  <c r="W35" i="4"/>
  <c r="Y34" i="2"/>
  <c r="H32" i="14"/>
  <c r="J32" i="14" s="1"/>
  <c r="B32" i="14"/>
  <c r="D32" i="14" s="1"/>
  <c r="I50" i="4"/>
  <c r="L49" i="2"/>
  <c r="AS33" i="2"/>
  <c r="M33" i="17"/>
  <c r="AH33" i="17" s="1"/>
  <c r="N33" i="14" s="1"/>
  <c r="P33" i="14" s="1"/>
  <c r="M33" i="16"/>
  <c r="AH33" i="16" s="1"/>
  <c r="K33" i="14" s="1"/>
  <c r="M33" i="14" s="1"/>
  <c r="N33" i="15"/>
  <c r="AR33" i="15" s="1"/>
  <c r="E33" i="14" s="1"/>
  <c r="G33" i="14" s="1"/>
  <c r="K50" i="4"/>
  <c r="N49" i="2"/>
  <c r="S33" i="16"/>
  <c r="S33" i="17"/>
  <c r="T33" i="15"/>
  <c r="V33" i="16"/>
  <c r="W33" i="15"/>
  <c r="V33" i="17"/>
  <c r="W33" i="16"/>
  <c r="W33" i="17"/>
  <c r="X33" i="15"/>
  <c r="L48" i="17"/>
  <c r="L48" i="16"/>
  <c r="M48" i="15"/>
  <c r="V33" i="9"/>
  <c r="Z33" i="16"/>
  <c r="Z33" i="17"/>
  <c r="AA33" i="15"/>
  <c r="AA33" i="7"/>
  <c r="Z33" i="10"/>
  <c r="Z33" i="9"/>
  <c r="K48" i="16"/>
  <c r="K48" i="17"/>
  <c r="L48" i="15"/>
  <c r="Q35" i="4"/>
  <c r="S34" i="2"/>
  <c r="T33" i="16"/>
  <c r="T33" i="17"/>
  <c r="U33" i="15"/>
  <c r="O48" i="16"/>
  <c r="O48" i="17"/>
  <c r="P48" i="15"/>
  <c r="M35" i="4"/>
  <c r="O34" i="2"/>
  <c r="P35" i="4"/>
  <c r="R34" i="2"/>
  <c r="C50" i="4"/>
  <c r="F49" i="2"/>
  <c r="V33" i="10"/>
  <c r="Z34" i="2"/>
  <c r="X35" i="4"/>
  <c r="J50" i="4"/>
  <c r="M49" i="2"/>
  <c r="F48" i="16"/>
  <c r="F48" i="17"/>
  <c r="G48" i="15"/>
  <c r="T35" i="4"/>
  <c r="V34" i="2"/>
  <c r="H48" i="16"/>
  <c r="H48" i="17"/>
  <c r="I48" i="15"/>
  <c r="R33" i="16"/>
  <c r="R33" i="17"/>
  <c r="S33" i="15"/>
  <c r="B51" i="2"/>
  <c r="D51" i="2" s="1"/>
  <c r="AC25" i="7"/>
  <c r="BB23" i="2"/>
  <c r="AY24" i="2"/>
  <c r="AF25" i="7"/>
  <c r="AX31" i="2"/>
  <c r="AW31" i="2"/>
  <c r="Y33" i="10"/>
  <c r="Y33" i="9"/>
  <c r="Z33" i="7"/>
  <c r="D31" i="10"/>
  <c r="D31" i="9"/>
  <c r="E31" i="7"/>
  <c r="M31" i="10"/>
  <c r="M31" i="9"/>
  <c r="N31" i="7"/>
  <c r="F31" i="10"/>
  <c r="F31" i="9"/>
  <c r="G31" i="7"/>
  <c r="AI29" i="7"/>
  <c r="AJ29" i="7"/>
  <c r="K31" i="10"/>
  <c r="K31" i="9"/>
  <c r="L31" i="7"/>
  <c r="T31" i="10"/>
  <c r="T31" i="9"/>
  <c r="U31" i="7"/>
  <c r="H31" i="10"/>
  <c r="H31" i="9"/>
  <c r="I31" i="7"/>
  <c r="P31" i="10"/>
  <c r="P31" i="9"/>
  <c r="Q31" i="7"/>
  <c r="X33" i="10"/>
  <c r="X33" i="9"/>
  <c r="Y33" i="7"/>
  <c r="AR22" i="7"/>
  <c r="AH29" i="7"/>
  <c r="E31" i="10"/>
  <c r="E31" i="9"/>
  <c r="F31" i="7"/>
  <c r="N31" i="10"/>
  <c r="N31" i="9"/>
  <c r="O31" i="7"/>
  <c r="R31" i="10"/>
  <c r="R31" i="9"/>
  <c r="S31" i="7"/>
  <c r="AH22" i="9"/>
  <c r="AB24" i="10"/>
  <c r="AB24" i="9"/>
  <c r="AL24" i="7"/>
  <c r="K30" i="12"/>
  <c r="H30" i="12"/>
  <c r="J30" i="12" s="1"/>
  <c r="U31" i="10"/>
  <c r="U31" i="9"/>
  <c r="V31" i="7"/>
  <c r="I31" i="10"/>
  <c r="I31" i="9"/>
  <c r="J31" i="7"/>
  <c r="G31" i="10"/>
  <c r="G31" i="9"/>
  <c r="H31" i="7"/>
  <c r="AH22" i="10"/>
  <c r="AD28" i="10"/>
  <c r="AD28" i="9"/>
  <c r="AN28" i="7"/>
  <c r="AC28" i="10"/>
  <c r="AC28" i="9"/>
  <c r="AM28" i="7"/>
  <c r="AA23" i="10"/>
  <c r="AA23" i="9"/>
  <c r="AK23" i="7"/>
  <c r="AB29" i="7"/>
  <c r="O31" i="10"/>
  <c r="O31" i="9"/>
  <c r="P31" i="7"/>
  <c r="Q31" i="10"/>
  <c r="Q31" i="9"/>
  <c r="R31" i="7"/>
  <c r="D31" i="12"/>
  <c r="G31" i="12"/>
  <c r="Q31" i="14" s="1"/>
  <c r="S31" i="14" s="1"/>
  <c r="AE29" i="10"/>
  <c r="AE29" i="9"/>
  <c r="AO29" i="7"/>
  <c r="AG23" i="10"/>
  <c r="AG23" i="9"/>
  <c r="AQ23" i="7"/>
  <c r="AF29" i="10"/>
  <c r="AF29" i="9"/>
  <c r="AP29" i="7"/>
  <c r="W33" i="10"/>
  <c r="W33" i="9"/>
  <c r="X33" i="7"/>
  <c r="B32" i="12"/>
  <c r="T32" i="14" s="1"/>
  <c r="V32" i="14" s="1"/>
  <c r="B32" i="10"/>
  <c r="B32" i="9"/>
  <c r="AX32" i="2"/>
  <c r="C32" i="7"/>
  <c r="J31" i="10"/>
  <c r="J31" i="9"/>
  <c r="K31" i="7"/>
  <c r="S31" i="10"/>
  <c r="S31" i="9"/>
  <c r="T31" i="7"/>
  <c r="L31" i="10"/>
  <c r="L31" i="9"/>
  <c r="M31" i="7"/>
  <c r="L40" i="13"/>
  <c r="H42" i="13"/>
  <c r="E42" i="13"/>
  <c r="O42" i="13" s="1"/>
  <c r="M41" i="13"/>
  <c r="I41" i="13"/>
  <c r="L41" i="13" s="1"/>
  <c r="G49" i="13"/>
  <c r="B49" i="13"/>
  <c r="C49" i="12"/>
  <c r="F45" i="12"/>
  <c r="AZ24" i="2"/>
  <c r="BA24" i="2"/>
  <c r="AE26" i="7"/>
  <c r="AD26" i="7"/>
  <c r="AG25" i="7"/>
  <c r="C24" i="3"/>
  <c r="B23" i="3"/>
  <c r="F22" i="3"/>
  <c r="E23" i="3"/>
  <c r="J30" i="3"/>
  <c r="G19" i="1"/>
  <c r="D22" i="1"/>
  <c r="C24" i="9" l="1"/>
  <c r="W34" i="7"/>
  <c r="V34" i="10"/>
  <c r="C24" i="10"/>
  <c r="G50" i="16"/>
  <c r="G50" i="17"/>
  <c r="I51" i="2"/>
  <c r="H50" i="15"/>
  <c r="AA50" i="17"/>
  <c r="AA50" i="16"/>
  <c r="AK50" i="15"/>
  <c r="W49" i="14"/>
  <c r="Y49" i="14" s="1"/>
  <c r="H49" i="11"/>
  <c r="J49" i="11" s="1"/>
  <c r="Z50" i="14"/>
  <c r="AB50" i="14" s="1"/>
  <c r="D50" i="11"/>
  <c r="G50" i="11"/>
  <c r="B51" i="11"/>
  <c r="B51" i="16"/>
  <c r="B51" i="17"/>
  <c r="AG51" i="2"/>
  <c r="AF51" i="15" s="1"/>
  <c r="C51" i="15"/>
  <c r="AH51" i="2"/>
  <c r="AG51" i="15" s="1"/>
  <c r="AR51" i="2"/>
  <c r="AK51" i="2"/>
  <c r="AJ51" i="15" s="1"/>
  <c r="AJ51" i="2"/>
  <c r="AI51" i="15" s="1"/>
  <c r="AD51" i="2"/>
  <c r="AC51" i="15" s="1"/>
  <c r="AF51" i="2"/>
  <c r="AE51" i="15" s="1"/>
  <c r="AC51" i="2"/>
  <c r="AB51" i="15" s="1"/>
  <c r="AL51" i="2"/>
  <c r="AE51" i="2"/>
  <c r="AD51" i="15" s="1"/>
  <c r="AI51" i="2"/>
  <c r="AH51" i="15" s="1"/>
  <c r="AG50" i="17"/>
  <c r="AG50" i="16"/>
  <c r="AQ50" i="15"/>
  <c r="J51" i="4"/>
  <c r="M50" i="2"/>
  <c r="P34" i="16"/>
  <c r="P34" i="17"/>
  <c r="Q34" i="15"/>
  <c r="S34" i="16"/>
  <c r="S34" i="17"/>
  <c r="T34" i="15"/>
  <c r="Z34" i="17"/>
  <c r="Z34" i="16"/>
  <c r="AA34" i="15"/>
  <c r="AA34" i="7"/>
  <c r="Z34" i="9"/>
  <c r="Z34" i="10"/>
  <c r="B26" i="4"/>
  <c r="E25" i="2"/>
  <c r="D25" i="7" s="1"/>
  <c r="AA35" i="2"/>
  <c r="Y36" i="4"/>
  <c r="G51" i="4"/>
  <c r="J50" i="2"/>
  <c r="Z35" i="2"/>
  <c r="X36" i="4"/>
  <c r="P36" i="4"/>
  <c r="R35" i="2"/>
  <c r="S36" i="4"/>
  <c r="U36" i="2" s="1"/>
  <c r="AB35" i="2"/>
  <c r="Z36" i="4"/>
  <c r="U34" i="17"/>
  <c r="U34" i="16"/>
  <c r="V34" i="15"/>
  <c r="R34" i="16"/>
  <c r="R34" i="17"/>
  <c r="S34" i="15"/>
  <c r="N34" i="16"/>
  <c r="N34" i="17"/>
  <c r="O34" i="15"/>
  <c r="X34" i="16"/>
  <c r="X34" i="17"/>
  <c r="Y34" i="15"/>
  <c r="U36" i="4"/>
  <c r="W35" i="2"/>
  <c r="N36" i="4"/>
  <c r="P35" i="2"/>
  <c r="M36" i="4"/>
  <c r="O35" i="2"/>
  <c r="H33" i="14"/>
  <c r="J33" i="14" s="1"/>
  <c r="B33" i="14"/>
  <c r="D33" i="14" s="1"/>
  <c r="W36" i="4"/>
  <c r="Y35" i="2"/>
  <c r="H51" i="4"/>
  <c r="K50" i="2"/>
  <c r="E49" i="17"/>
  <c r="E49" i="16"/>
  <c r="F49" i="15"/>
  <c r="R36" i="4"/>
  <c r="T35" i="2"/>
  <c r="X35" i="2"/>
  <c r="W35" i="7" s="1"/>
  <c r="V36" i="4"/>
  <c r="I49" i="16"/>
  <c r="I49" i="17"/>
  <c r="J49" i="15"/>
  <c r="D49" i="16"/>
  <c r="D49" i="17"/>
  <c r="E49" i="15"/>
  <c r="Q34" i="17"/>
  <c r="Q34" i="16"/>
  <c r="R34" i="15"/>
  <c r="AT34" i="2"/>
  <c r="L49" i="16"/>
  <c r="L49" i="17"/>
  <c r="M49" i="15"/>
  <c r="J49" i="16"/>
  <c r="J49" i="17"/>
  <c r="K49" i="15"/>
  <c r="O49" i="16"/>
  <c r="O49" i="17"/>
  <c r="P49" i="15"/>
  <c r="D51" i="4"/>
  <c r="G50" i="2"/>
  <c r="V34" i="16"/>
  <c r="V34" i="17"/>
  <c r="W34" i="15"/>
  <c r="F49" i="16"/>
  <c r="F49" i="17"/>
  <c r="G49" i="15"/>
  <c r="T36" i="4"/>
  <c r="V35" i="2"/>
  <c r="AS34" i="2"/>
  <c r="M34" i="17"/>
  <c r="AH34" i="17" s="1"/>
  <c r="N34" i="14" s="1"/>
  <c r="P34" i="14" s="1"/>
  <c r="M34" i="16"/>
  <c r="AH34" i="16" s="1"/>
  <c r="K34" i="14" s="1"/>
  <c r="M34" i="14" s="1"/>
  <c r="N34" i="15"/>
  <c r="AR34" i="15" s="1"/>
  <c r="E34" i="14" s="1"/>
  <c r="G34" i="14" s="1"/>
  <c r="X34" i="15"/>
  <c r="W34" i="17"/>
  <c r="W34" i="16"/>
  <c r="T34" i="17"/>
  <c r="T34" i="16"/>
  <c r="U34" i="15"/>
  <c r="K49" i="16"/>
  <c r="K49" i="17"/>
  <c r="L49" i="15"/>
  <c r="C51" i="4"/>
  <c r="F50" i="2"/>
  <c r="Q36" i="4"/>
  <c r="S35" i="2"/>
  <c r="K51" i="4"/>
  <c r="N50" i="2"/>
  <c r="I51" i="4"/>
  <c r="L50" i="2"/>
  <c r="Q50" i="2"/>
  <c r="O51" i="4"/>
  <c r="C24" i="17"/>
  <c r="C24" i="16"/>
  <c r="D24" i="15"/>
  <c r="Y34" i="17"/>
  <c r="Y34" i="16"/>
  <c r="Z34" i="15"/>
  <c r="H49" i="17"/>
  <c r="H49" i="16"/>
  <c r="I49" i="15"/>
  <c r="E51" i="4"/>
  <c r="H50" i="2"/>
  <c r="B52" i="2"/>
  <c r="D52" i="2" s="1"/>
  <c r="C51" i="2"/>
  <c r="AC26" i="7"/>
  <c r="BB24" i="2"/>
  <c r="AW32" i="2"/>
  <c r="AF26" i="7"/>
  <c r="AY25" i="2"/>
  <c r="AH23" i="9"/>
  <c r="AH23" i="10"/>
  <c r="T32" i="10"/>
  <c r="T32" i="9"/>
  <c r="U32" i="7"/>
  <c r="B33" i="12"/>
  <c r="T33" i="14" s="1"/>
  <c r="V33" i="14" s="1"/>
  <c r="B33" i="10"/>
  <c r="B33" i="9"/>
  <c r="C33" i="7"/>
  <c r="F32" i="10"/>
  <c r="F32" i="9"/>
  <c r="G32" i="7"/>
  <c r="D32" i="10"/>
  <c r="D32" i="9"/>
  <c r="E32" i="7"/>
  <c r="N32" i="10"/>
  <c r="N32" i="9"/>
  <c r="O32" i="7"/>
  <c r="D32" i="12"/>
  <c r="L32" i="12" s="1"/>
  <c r="G32" i="12"/>
  <c r="Q32" i="14" s="1"/>
  <c r="S32" i="14" s="1"/>
  <c r="X34" i="10"/>
  <c r="X34" i="9"/>
  <c r="Y34" i="7"/>
  <c r="Y34" i="10"/>
  <c r="Y34" i="9"/>
  <c r="Z34" i="7"/>
  <c r="Q32" i="10"/>
  <c r="Q32" i="9"/>
  <c r="R32" i="7"/>
  <c r="U32" i="10"/>
  <c r="U32" i="9"/>
  <c r="V32" i="7"/>
  <c r="H32" i="10"/>
  <c r="H32" i="9"/>
  <c r="I32" i="7"/>
  <c r="AB30" i="7"/>
  <c r="AI30" i="7"/>
  <c r="AJ30" i="7"/>
  <c r="AC29" i="10"/>
  <c r="AC29" i="9"/>
  <c r="AM29" i="7"/>
  <c r="K32" i="10"/>
  <c r="K32" i="9"/>
  <c r="L32" i="7"/>
  <c r="O32" i="10"/>
  <c r="O32" i="9"/>
  <c r="P32" i="7"/>
  <c r="S32" i="10"/>
  <c r="S32" i="9"/>
  <c r="T32" i="7"/>
  <c r="K31" i="12"/>
  <c r="H31" i="12"/>
  <c r="J31" i="12" s="1"/>
  <c r="V35" i="9"/>
  <c r="L32" i="10"/>
  <c r="L32" i="9"/>
  <c r="M32" i="7"/>
  <c r="AA24" i="10"/>
  <c r="AA24" i="9"/>
  <c r="AK24" i="7"/>
  <c r="AE30" i="10"/>
  <c r="AE30" i="9"/>
  <c r="AO30" i="7"/>
  <c r="G32" i="10"/>
  <c r="G32" i="9"/>
  <c r="H32" i="7"/>
  <c r="E32" i="10"/>
  <c r="E32" i="9"/>
  <c r="F32" i="7"/>
  <c r="I32" i="10"/>
  <c r="I32" i="9"/>
  <c r="J32" i="7"/>
  <c r="M32" i="10"/>
  <c r="M32" i="9"/>
  <c r="N32" i="7"/>
  <c r="AH30" i="7"/>
  <c r="W34" i="10"/>
  <c r="W34" i="9"/>
  <c r="X34" i="7"/>
  <c r="AF30" i="10"/>
  <c r="AF30" i="9"/>
  <c r="AP30" i="7"/>
  <c r="J32" i="10"/>
  <c r="J32" i="9"/>
  <c r="K32" i="7"/>
  <c r="AD29" i="10"/>
  <c r="AD29" i="9"/>
  <c r="AN29" i="7"/>
  <c r="AG24" i="10"/>
  <c r="AG24" i="9"/>
  <c r="AQ24" i="7"/>
  <c r="AB25" i="9"/>
  <c r="AB25" i="10"/>
  <c r="AL25" i="7"/>
  <c r="R32" i="10"/>
  <c r="R32" i="9"/>
  <c r="S32" i="7"/>
  <c r="P32" i="10"/>
  <c r="P32" i="9"/>
  <c r="Q32" i="7"/>
  <c r="AR23" i="7"/>
  <c r="K41" i="13"/>
  <c r="P42" i="13"/>
  <c r="Q42" i="13"/>
  <c r="N42" i="13"/>
  <c r="M42" i="13"/>
  <c r="I42" i="13"/>
  <c r="K42" i="13" s="1"/>
  <c r="H43" i="13"/>
  <c r="E43" i="13"/>
  <c r="G50" i="13"/>
  <c r="B50" i="13"/>
  <c r="F46" i="12"/>
  <c r="C50" i="12"/>
  <c r="AZ25" i="2"/>
  <c r="BA25" i="2"/>
  <c r="AE27" i="7"/>
  <c r="AD27" i="7"/>
  <c r="AG26" i="7"/>
  <c r="C25" i="3"/>
  <c r="B24" i="3"/>
  <c r="F23" i="3"/>
  <c r="E24" i="3"/>
  <c r="J31" i="3"/>
  <c r="G20" i="1"/>
  <c r="D23" i="1"/>
  <c r="V35" i="10" l="1"/>
  <c r="B52" i="17"/>
  <c r="B52" i="16"/>
  <c r="B52" i="11"/>
  <c r="C52" i="15"/>
  <c r="AG52" i="2"/>
  <c r="AF52" i="15" s="1"/>
  <c r="AH52" i="2"/>
  <c r="AG52" i="15" s="1"/>
  <c r="AE52" i="2"/>
  <c r="AD52" i="15" s="1"/>
  <c r="AR52" i="2"/>
  <c r="AF52" i="2"/>
  <c r="AE52" i="15" s="1"/>
  <c r="AL52" i="2"/>
  <c r="AD52" i="2"/>
  <c r="AC52" i="15" s="1"/>
  <c r="AC52" i="2"/>
  <c r="AB52" i="15" s="1"/>
  <c r="AK52" i="2"/>
  <c r="AJ52" i="15" s="1"/>
  <c r="AJ52" i="2"/>
  <c r="AI52" i="15" s="1"/>
  <c r="AI52" i="2"/>
  <c r="AH52" i="15" s="1"/>
  <c r="I52" i="2"/>
  <c r="G51" i="16"/>
  <c r="H51" i="15"/>
  <c r="G51" i="17"/>
  <c r="AA51" i="17"/>
  <c r="AA51" i="16"/>
  <c r="AK51" i="15"/>
  <c r="AG51" i="16"/>
  <c r="AG51" i="17"/>
  <c r="AQ51" i="15"/>
  <c r="Z51" i="14"/>
  <c r="AB51" i="14" s="1"/>
  <c r="D51" i="11"/>
  <c r="G51" i="11"/>
  <c r="W50" i="14"/>
  <c r="Y50" i="14" s="1"/>
  <c r="H50" i="11"/>
  <c r="J50" i="11" s="1"/>
  <c r="K52" i="4"/>
  <c r="N51" i="2"/>
  <c r="T35" i="17"/>
  <c r="T35" i="16"/>
  <c r="U35" i="15"/>
  <c r="X36" i="2"/>
  <c r="V36" i="10" s="1"/>
  <c r="V37" i="4"/>
  <c r="U35" i="17"/>
  <c r="U35" i="16"/>
  <c r="V35" i="15"/>
  <c r="P35" i="17"/>
  <c r="P35" i="16"/>
  <c r="Q35" i="15"/>
  <c r="Y37" i="4"/>
  <c r="AA36" i="2"/>
  <c r="O52" i="4"/>
  <c r="Q51" i="2"/>
  <c r="Q35" i="17"/>
  <c r="Q35" i="16"/>
  <c r="R35" i="15"/>
  <c r="AT35" i="2"/>
  <c r="T37" i="4"/>
  <c r="V36" i="2"/>
  <c r="V35" i="17"/>
  <c r="V35" i="16"/>
  <c r="W35" i="15"/>
  <c r="U37" i="4"/>
  <c r="W36" i="2"/>
  <c r="P37" i="4"/>
  <c r="R36" i="2"/>
  <c r="Y35" i="17"/>
  <c r="Y35" i="16"/>
  <c r="Z35" i="15"/>
  <c r="O50" i="17"/>
  <c r="O50" i="16"/>
  <c r="P50" i="15"/>
  <c r="M35" i="16"/>
  <c r="AH35" i="16" s="1"/>
  <c r="K35" i="14" s="1"/>
  <c r="M35" i="14" s="1"/>
  <c r="AS35" i="2"/>
  <c r="M35" i="17"/>
  <c r="AH35" i="17" s="1"/>
  <c r="N35" i="14" s="1"/>
  <c r="P35" i="14" s="1"/>
  <c r="N35" i="15"/>
  <c r="AR35" i="15" s="1"/>
  <c r="E35" i="14" s="1"/>
  <c r="G35" i="14" s="1"/>
  <c r="Z37" i="4"/>
  <c r="AB36" i="2"/>
  <c r="C25" i="17"/>
  <c r="C25" i="16"/>
  <c r="D25" i="15"/>
  <c r="C25" i="9"/>
  <c r="E52" i="4"/>
  <c r="H51" i="2"/>
  <c r="J50" i="17"/>
  <c r="J50" i="16"/>
  <c r="K50" i="15"/>
  <c r="D50" i="17"/>
  <c r="D50" i="16"/>
  <c r="E50" i="15"/>
  <c r="E50" i="17"/>
  <c r="E50" i="16"/>
  <c r="F50" i="15"/>
  <c r="H52" i="4"/>
  <c r="K51" i="2"/>
  <c r="M37" i="4"/>
  <c r="O36" i="2"/>
  <c r="Z35" i="17"/>
  <c r="Z35" i="16"/>
  <c r="AA35" i="15"/>
  <c r="Z35" i="10"/>
  <c r="Z35" i="9"/>
  <c r="AA35" i="7"/>
  <c r="X35" i="16"/>
  <c r="X35" i="17"/>
  <c r="Y35" i="15"/>
  <c r="B27" i="4"/>
  <c r="E26" i="2"/>
  <c r="D26" i="7" s="1"/>
  <c r="R35" i="16"/>
  <c r="R35" i="17"/>
  <c r="S35" i="15"/>
  <c r="Z36" i="2"/>
  <c r="X37" i="4"/>
  <c r="C25" i="10"/>
  <c r="I52" i="4"/>
  <c r="L51" i="2"/>
  <c r="C52" i="4"/>
  <c r="F51" i="2"/>
  <c r="D52" i="4"/>
  <c r="G51" i="2"/>
  <c r="R37" i="4"/>
  <c r="T36" i="2"/>
  <c r="X35" i="15"/>
  <c r="W35" i="17"/>
  <c r="W35" i="16"/>
  <c r="N35" i="16"/>
  <c r="N35" i="17"/>
  <c r="O35" i="15"/>
  <c r="S35" i="16"/>
  <c r="S35" i="17"/>
  <c r="T35" i="15"/>
  <c r="H50" i="17"/>
  <c r="H50" i="16"/>
  <c r="I50" i="15"/>
  <c r="K50" i="17"/>
  <c r="K50" i="16"/>
  <c r="L50" i="15"/>
  <c r="F50" i="16"/>
  <c r="F50" i="17"/>
  <c r="G50" i="15"/>
  <c r="Q37" i="4"/>
  <c r="S36" i="2"/>
  <c r="I50" i="17"/>
  <c r="I50" i="16"/>
  <c r="J50" i="15"/>
  <c r="L50" i="17"/>
  <c r="L50" i="16"/>
  <c r="M50" i="15"/>
  <c r="H34" i="14"/>
  <c r="J34" i="14" s="1"/>
  <c r="B34" i="14"/>
  <c r="D34" i="14" s="1"/>
  <c r="W37" i="4"/>
  <c r="Y36" i="2"/>
  <c r="N37" i="4"/>
  <c r="P36" i="2"/>
  <c r="S37" i="4"/>
  <c r="U37" i="2" s="1"/>
  <c r="G52" i="4"/>
  <c r="J51" i="2"/>
  <c r="J52" i="4"/>
  <c r="M51" i="2"/>
  <c r="C52" i="2"/>
  <c r="B53" i="2"/>
  <c r="D53" i="2" s="1"/>
  <c r="AC27" i="7"/>
  <c r="BB25" i="2"/>
  <c r="AW33" i="2"/>
  <c r="AX33" i="2"/>
  <c r="AY26" i="2"/>
  <c r="AF27" i="7"/>
  <c r="AR24" i="7"/>
  <c r="AH24" i="10"/>
  <c r="AC30" i="10"/>
  <c r="AC30" i="9"/>
  <c r="AM30" i="7"/>
  <c r="AF31" i="10"/>
  <c r="AF31" i="9"/>
  <c r="AP31" i="7"/>
  <c r="AH24" i="9"/>
  <c r="AI31" i="7"/>
  <c r="AJ31" i="7"/>
  <c r="AB31" i="7"/>
  <c r="K32" i="12"/>
  <c r="H32" i="12"/>
  <c r="J32" i="12" s="1"/>
  <c r="U33" i="10"/>
  <c r="U33" i="9"/>
  <c r="V33" i="7"/>
  <c r="S33" i="10"/>
  <c r="S33" i="9"/>
  <c r="T33" i="7"/>
  <c r="E33" i="10"/>
  <c r="E33" i="9"/>
  <c r="F33" i="7"/>
  <c r="G33" i="10"/>
  <c r="G33" i="9"/>
  <c r="H33" i="7"/>
  <c r="Y35" i="10"/>
  <c r="Y35" i="9"/>
  <c r="Z35" i="7"/>
  <c r="O32" i="12"/>
  <c r="N32" i="12"/>
  <c r="M32" i="12"/>
  <c r="O33" i="10"/>
  <c r="O33" i="9"/>
  <c r="P33" i="7"/>
  <c r="M33" i="10"/>
  <c r="M33" i="9"/>
  <c r="N33" i="7"/>
  <c r="Q33" i="10"/>
  <c r="Q33" i="9"/>
  <c r="R33" i="7"/>
  <c r="D33" i="12"/>
  <c r="G33" i="12"/>
  <c r="Q33" i="14" s="1"/>
  <c r="S33" i="14" s="1"/>
  <c r="AG25" i="10"/>
  <c r="AG25" i="9"/>
  <c r="AQ25" i="7"/>
  <c r="AB26" i="10"/>
  <c r="AB26" i="9"/>
  <c r="AL26" i="7"/>
  <c r="W35" i="10"/>
  <c r="W35" i="9"/>
  <c r="X35" i="7"/>
  <c r="H33" i="10"/>
  <c r="H33" i="9"/>
  <c r="I33" i="7"/>
  <c r="L33" i="10"/>
  <c r="L33" i="9"/>
  <c r="M33" i="7"/>
  <c r="J33" i="10"/>
  <c r="J33" i="9"/>
  <c r="K33" i="7"/>
  <c r="K33" i="10"/>
  <c r="K33" i="9"/>
  <c r="L33" i="7"/>
  <c r="AA25" i="10"/>
  <c r="AA25" i="9"/>
  <c r="AK25" i="7"/>
  <c r="X35" i="10"/>
  <c r="X35" i="9"/>
  <c r="Y35" i="7"/>
  <c r="T33" i="10"/>
  <c r="T33" i="9"/>
  <c r="U33" i="7"/>
  <c r="F33" i="10"/>
  <c r="F33" i="9"/>
  <c r="G33" i="7"/>
  <c r="D33" i="10"/>
  <c r="D33" i="9"/>
  <c r="E33" i="7"/>
  <c r="AE31" i="10"/>
  <c r="AE31" i="9"/>
  <c r="AO31" i="7"/>
  <c r="AD30" i="10"/>
  <c r="AD30" i="9"/>
  <c r="AN30" i="7"/>
  <c r="AH31" i="7"/>
  <c r="B34" i="12"/>
  <c r="T34" i="14" s="1"/>
  <c r="V34" i="14" s="1"/>
  <c r="B34" i="10"/>
  <c r="B34" i="9"/>
  <c r="C34" i="7"/>
  <c r="I33" i="10"/>
  <c r="I33" i="9"/>
  <c r="J33" i="7"/>
  <c r="N33" i="10"/>
  <c r="N33" i="9"/>
  <c r="O33" i="7"/>
  <c r="R33" i="10"/>
  <c r="R33" i="9"/>
  <c r="S33" i="7"/>
  <c r="P33" i="10"/>
  <c r="P33" i="9"/>
  <c r="Q33" i="7"/>
  <c r="L42" i="13"/>
  <c r="M43" i="13"/>
  <c r="I43" i="13"/>
  <c r="L43" i="13" s="1"/>
  <c r="E44" i="13"/>
  <c r="H44" i="13"/>
  <c r="G51" i="13"/>
  <c r="B51" i="13"/>
  <c r="C51" i="12"/>
  <c r="F47" i="12"/>
  <c r="AZ26" i="2"/>
  <c r="BA26" i="2"/>
  <c r="AE28" i="7"/>
  <c r="AD28" i="7"/>
  <c r="AG27" i="7"/>
  <c r="C26" i="3"/>
  <c r="B25" i="3"/>
  <c r="J32" i="3"/>
  <c r="F24" i="3"/>
  <c r="E25" i="3"/>
  <c r="G21" i="1"/>
  <c r="D24" i="1"/>
  <c r="W36" i="7" l="1"/>
  <c r="C26" i="9"/>
  <c r="V36" i="9"/>
  <c r="C26" i="10"/>
  <c r="W51" i="14"/>
  <c r="Y51" i="14" s="1"/>
  <c r="H51" i="11"/>
  <c r="J51" i="11" s="1"/>
  <c r="I53" i="2"/>
  <c r="G52" i="16"/>
  <c r="H52" i="15"/>
  <c r="G52" i="17"/>
  <c r="AA52" i="16"/>
  <c r="AK52" i="15"/>
  <c r="AA52" i="17"/>
  <c r="Z52" i="14"/>
  <c r="AB52" i="14" s="1"/>
  <c r="D52" i="11"/>
  <c r="G52" i="11"/>
  <c r="AG52" i="17"/>
  <c r="AG52" i="16"/>
  <c r="AQ52" i="15"/>
  <c r="B53" i="11"/>
  <c r="B53" i="17"/>
  <c r="B53" i="16"/>
  <c r="AG53" i="2"/>
  <c r="AF53" i="15" s="1"/>
  <c r="C53" i="15"/>
  <c r="AH53" i="2"/>
  <c r="AG53" i="15" s="1"/>
  <c r="AJ53" i="2"/>
  <c r="AI53" i="15" s="1"/>
  <c r="AC53" i="2"/>
  <c r="AB53" i="15" s="1"/>
  <c r="AE53" i="2"/>
  <c r="AD53" i="15" s="1"/>
  <c r="AF53" i="2"/>
  <c r="AE53" i="15" s="1"/>
  <c r="AR53" i="2"/>
  <c r="AK53" i="2"/>
  <c r="AJ53" i="15" s="1"/>
  <c r="AD53" i="2"/>
  <c r="AC53" i="15" s="1"/>
  <c r="AI53" i="2"/>
  <c r="AH53" i="15" s="1"/>
  <c r="AL53" i="2"/>
  <c r="X36" i="15"/>
  <c r="W36" i="17"/>
  <c r="W36" i="16"/>
  <c r="T38" i="4"/>
  <c r="V37" i="2"/>
  <c r="G53" i="4"/>
  <c r="J52" i="2"/>
  <c r="R36" i="17"/>
  <c r="R36" i="16"/>
  <c r="S36" i="15"/>
  <c r="U38" i="4"/>
  <c r="W37" i="2"/>
  <c r="Y36" i="17"/>
  <c r="Y36" i="16"/>
  <c r="Z36" i="15"/>
  <c r="K51" i="16"/>
  <c r="K51" i="17"/>
  <c r="L51" i="15"/>
  <c r="N36" i="16"/>
  <c r="N36" i="17"/>
  <c r="O36" i="15"/>
  <c r="Q36" i="17"/>
  <c r="Q36" i="16"/>
  <c r="R36" i="15"/>
  <c r="AT36" i="2"/>
  <c r="E51" i="17"/>
  <c r="E51" i="16"/>
  <c r="F51" i="15"/>
  <c r="C26" i="16"/>
  <c r="C26" i="17"/>
  <c r="D26" i="15"/>
  <c r="M38" i="4"/>
  <c r="O37" i="2"/>
  <c r="F51" i="17"/>
  <c r="F51" i="16"/>
  <c r="G51" i="15"/>
  <c r="Z36" i="17"/>
  <c r="Z36" i="16"/>
  <c r="AA36" i="15"/>
  <c r="Z36" i="10"/>
  <c r="Z36" i="9"/>
  <c r="AA36" i="7"/>
  <c r="P36" i="17"/>
  <c r="P36" i="16"/>
  <c r="Q36" i="15"/>
  <c r="W36" i="15"/>
  <c r="V36" i="17"/>
  <c r="V36" i="16"/>
  <c r="X36" i="17"/>
  <c r="X36" i="16"/>
  <c r="Y36" i="15"/>
  <c r="H53" i="4"/>
  <c r="K52" i="2"/>
  <c r="U36" i="17"/>
  <c r="U36" i="16"/>
  <c r="V36" i="15"/>
  <c r="J53" i="4"/>
  <c r="M52" i="2"/>
  <c r="N38" i="4"/>
  <c r="P37" i="2"/>
  <c r="Q38" i="4"/>
  <c r="S37" i="2"/>
  <c r="D53" i="4"/>
  <c r="G52" i="2"/>
  <c r="Z37" i="2"/>
  <c r="X38" i="4"/>
  <c r="B28" i="4"/>
  <c r="E27" i="2"/>
  <c r="C27" i="9" s="1"/>
  <c r="I51" i="17"/>
  <c r="I51" i="16"/>
  <c r="J51" i="15"/>
  <c r="E53" i="4"/>
  <c r="H52" i="2"/>
  <c r="Z38" i="4"/>
  <c r="AB37" i="2"/>
  <c r="P38" i="4"/>
  <c r="R37" i="2"/>
  <c r="T36" i="17"/>
  <c r="T36" i="16"/>
  <c r="U36" i="15"/>
  <c r="O51" i="17"/>
  <c r="O51" i="16"/>
  <c r="P51" i="15"/>
  <c r="D51" i="16"/>
  <c r="D51" i="17"/>
  <c r="E51" i="15"/>
  <c r="O53" i="4"/>
  <c r="Q52" i="2"/>
  <c r="W38" i="4"/>
  <c r="Y37" i="2"/>
  <c r="S36" i="17"/>
  <c r="S36" i="16"/>
  <c r="T36" i="15"/>
  <c r="J51" i="17"/>
  <c r="J51" i="16"/>
  <c r="K51" i="15"/>
  <c r="B35" i="14"/>
  <c r="D35" i="14" s="1"/>
  <c r="H35" i="14"/>
  <c r="J35" i="14" s="1"/>
  <c r="AA37" i="2"/>
  <c r="Y38" i="4"/>
  <c r="L51" i="17"/>
  <c r="L51" i="16"/>
  <c r="M51" i="15"/>
  <c r="H51" i="17"/>
  <c r="H51" i="16"/>
  <c r="I51" i="15"/>
  <c r="C53" i="4"/>
  <c r="F52" i="2"/>
  <c r="S38" i="4"/>
  <c r="U38" i="2" s="1"/>
  <c r="R38" i="4"/>
  <c r="T37" i="2"/>
  <c r="I53" i="4"/>
  <c r="L52" i="2"/>
  <c r="AS36" i="2"/>
  <c r="M36" i="16"/>
  <c r="AH36" i="16" s="1"/>
  <c r="K36" i="14" s="1"/>
  <c r="M36" i="14" s="1"/>
  <c r="M36" i="17"/>
  <c r="AH36" i="17" s="1"/>
  <c r="N36" i="14" s="1"/>
  <c r="P36" i="14" s="1"/>
  <c r="N36" i="15"/>
  <c r="AR36" i="15" s="1"/>
  <c r="E36" i="14" s="1"/>
  <c r="G36" i="14" s="1"/>
  <c r="X37" i="2"/>
  <c r="V37" i="10" s="1"/>
  <c r="V38" i="4"/>
  <c r="K53" i="4"/>
  <c r="N52" i="2"/>
  <c r="B54" i="2"/>
  <c r="D54" i="2" s="1"/>
  <c r="C53" i="2"/>
  <c r="AC28" i="7"/>
  <c r="BB26" i="2"/>
  <c r="AW34" i="2"/>
  <c r="AY27" i="2"/>
  <c r="AX34" i="2"/>
  <c r="AF28" i="7"/>
  <c r="AR25" i="7"/>
  <c r="AH25" i="9"/>
  <c r="AH25" i="10"/>
  <c r="D34" i="12"/>
  <c r="G34" i="12"/>
  <c r="Q34" i="14" s="1"/>
  <c r="S34" i="14" s="1"/>
  <c r="D34" i="10"/>
  <c r="D34" i="9"/>
  <c r="E34" i="7"/>
  <c r="U34" i="10"/>
  <c r="U34" i="9"/>
  <c r="V34" i="7"/>
  <c r="F34" i="10"/>
  <c r="F34" i="9"/>
  <c r="G34" i="7"/>
  <c r="Y36" i="10"/>
  <c r="Y36" i="9"/>
  <c r="Z36" i="7"/>
  <c r="AB32" i="7"/>
  <c r="H34" i="10"/>
  <c r="H34" i="9"/>
  <c r="I34" i="7"/>
  <c r="K33" i="12"/>
  <c r="H33" i="12"/>
  <c r="AG26" i="10"/>
  <c r="AG26" i="9"/>
  <c r="AQ26" i="7"/>
  <c r="AF32" i="10"/>
  <c r="AF32" i="9"/>
  <c r="AP32" i="7"/>
  <c r="B35" i="12"/>
  <c r="T35" i="14" s="1"/>
  <c r="V35" i="14" s="1"/>
  <c r="B35" i="10"/>
  <c r="B35" i="9"/>
  <c r="C35" i="7"/>
  <c r="Q34" i="10"/>
  <c r="Q34" i="9"/>
  <c r="R34" i="7"/>
  <c r="O34" i="10"/>
  <c r="O34" i="9"/>
  <c r="P34" i="7"/>
  <c r="S34" i="10"/>
  <c r="S34" i="9"/>
  <c r="T34" i="7"/>
  <c r="X36" i="10"/>
  <c r="X36" i="9"/>
  <c r="Y36" i="7"/>
  <c r="K34" i="10"/>
  <c r="K34" i="9"/>
  <c r="L34" i="7"/>
  <c r="I34" i="10"/>
  <c r="I34" i="9"/>
  <c r="J34" i="7"/>
  <c r="G34" i="10"/>
  <c r="G34" i="9"/>
  <c r="H34" i="7"/>
  <c r="M34" i="10"/>
  <c r="M34" i="9"/>
  <c r="N34" i="7"/>
  <c r="AC31" i="10"/>
  <c r="AC31" i="9"/>
  <c r="AM31" i="7"/>
  <c r="L34" i="10"/>
  <c r="L34" i="9"/>
  <c r="M34" i="7"/>
  <c r="AD31" i="10"/>
  <c r="AD31" i="9"/>
  <c r="AN31" i="7"/>
  <c r="AB27" i="10"/>
  <c r="AB27" i="9"/>
  <c r="AL27" i="7"/>
  <c r="E34" i="10"/>
  <c r="E34" i="9"/>
  <c r="F34" i="7"/>
  <c r="T34" i="10"/>
  <c r="T34" i="9"/>
  <c r="U34" i="7"/>
  <c r="W36" i="10"/>
  <c r="W36" i="9"/>
  <c r="X36" i="7"/>
  <c r="AI32" i="7"/>
  <c r="AJ32" i="7"/>
  <c r="J34" i="10"/>
  <c r="J34" i="9"/>
  <c r="K34" i="7"/>
  <c r="AA26" i="10"/>
  <c r="AA26" i="9"/>
  <c r="AK26" i="7"/>
  <c r="AE32" i="10"/>
  <c r="AE32" i="9"/>
  <c r="AO32" i="7"/>
  <c r="R34" i="10"/>
  <c r="R34" i="9"/>
  <c r="S34" i="7"/>
  <c r="P34" i="10"/>
  <c r="P34" i="9"/>
  <c r="Q34" i="7"/>
  <c r="N34" i="10"/>
  <c r="N34" i="9"/>
  <c r="O34" i="7"/>
  <c r="AH32" i="7"/>
  <c r="K43" i="13"/>
  <c r="H45" i="13"/>
  <c r="E45" i="13"/>
  <c r="I44" i="13"/>
  <c r="L44" i="13" s="1"/>
  <c r="M44" i="13"/>
  <c r="B52" i="13"/>
  <c r="G52" i="13"/>
  <c r="F48" i="12"/>
  <c r="C52" i="12"/>
  <c r="AZ27" i="2"/>
  <c r="BA27" i="2"/>
  <c r="AE29" i="7"/>
  <c r="AD29" i="7"/>
  <c r="AG28" i="7"/>
  <c r="C27" i="3"/>
  <c r="B26" i="3"/>
  <c r="J33" i="3"/>
  <c r="F25" i="3"/>
  <c r="E26" i="3"/>
  <c r="G22" i="1"/>
  <c r="D25" i="1"/>
  <c r="C54" i="2" l="1"/>
  <c r="C27" i="10"/>
  <c r="D27" i="7"/>
  <c r="W37" i="7"/>
  <c r="V37" i="9"/>
  <c r="AA53" i="17"/>
  <c r="AA53" i="16"/>
  <c r="AK53" i="15"/>
  <c r="W52" i="14"/>
  <c r="Y52" i="14" s="1"/>
  <c r="H52" i="11"/>
  <c r="N52" i="11" s="1"/>
  <c r="Z53" i="14"/>
  <c r="AB53" i="14" s="1"/>
  <c r="D53" i="11"/>
  <c r="G53" i="11"/>
  <c r="B54" i="17"/>
  <c r="B54" i="16"/>
  <c r="B54" i="11"/>
  <c r="C54" i="15"/>
  <c r="AG54" i="2"/>
  <c r="AF54" i="15" s="1"/>
  <c r="AH54" i="2"/>
  <c r="AG54" i="15" s="1"/>
  <c r="AR54" i="2"/>
  <c r="AJ54" i="2"/>
  <c r="AI54" i="15" s="1"/>
  <c r="AE54" i="2"/>
  <c r="AD54" i="15" s="1"/>
  <c r="AK54" i="2"/>
  <c r="AJ54" i="15" s="1"/>
  <c r="AI54" i="2"/>
  <c r="AH54" i="15" s="1"/>
  <c r="AD54" i="2"/>
  <c r="AC54" i="15" s="1"/>
  <c r="AC54" i="2"/>
  <c r="AB54" i="15" s="1"/>
  <c r="AL54" i="2"/>
  <c r="AF54" i="2"/>
  <c r="AE54" i="15" s="1"/>
  <c r="G53" i="16"/>
  <c r="G53" i="17"/>
  <c r="I54" i="2"/>
  <c r="H53" i="15"/>
  <c r="AG53" i="16"/>
  <c r="AG53" i="17"/>
  <c r="AQ53" i="15"/>
  <c r="X38" i="2"/>
  <c r="V38" i="10" s="1"/>
  <c r="V39" i="4"/>
  <c r="S39" i="4"/>
  <c r="U39" i="2" s="1"/>
  <c r="B29" i="4"/>
  <c r="E28" i="2"/>
  <c r="C28" i="10" s="1"/>
  <c r="R37" i="17"/>
  <c r="R37" i="16"/>
  <c r="S37" i="15"/>
  <c r="C54" i="4"/>
  <c r="F53" i="2"/>
  <c r="W39" i="4"/>
  <c r="Y38" i="2"/>
  <c r="P37" i="17"/>
  <c r="P37" i="16"/>
  <c r="Q37" i="15"/>
  <c r="X37" i="16"/>
  <c r="X37" i="17"/>
  <c r="Y37" i="15"/>
  <c r="N39" i="4"/>
  <c r="P38" i="2"/>
  <c r="I52" i="17"/>
  <c r="I52" i="16"/>
  <c r="J52" i="15"/>
  <c r="U37" i="17"/>
  <c r="U37" i="16"/>
  <c r="V37" i="15"/>
  <c r="G54" i="4"/>
  <c r="J53" i="2"/>
  <c r="AA38" i="2"/>
  <c r="Y39" i="4"/>
  <c r="O52" i="16"/>
  <c r="O52" i="17"/>
  <c r="P52" i="15"/>
  <c r="P39" i="4"/>
  <c r="R38" i="2"/>
  <c r="E52" i="17"/>
  <c r="E52" i="16"/>
  <c r="F52" i="15"/>
  <c r="K52" i="17"/>
  <c r="K52" i="16"/>
  <c r="L52" i="15"/>
  <c r="H54" i="4"/>
  <c r="K53" i="2"/>
  <c r="U39" i="4"/>
  <c r="W38" i="2"/>
  <c r="T37" i="17"/>
  <c r="T37" i="16"/>
  <c r="U37" i="15"/>
  <c r="L52" i="17"/>
  <c r="L52" i="16"/>
  <c r="M52" i="15"/>
  <c r="R39" i="4"/>
  <c r="T38" i="2"/>
  <c r="Z37" i="15"/>
  <c r="Y37" i="17"/>
  <c r="Y37" i="16"/>
  <c r="O54" i="4"/>
  <c r="Q53" i="2"/>
  <c r="AA37" i="15"/>
  <c r="Z37" i="17"/>
  <c r="Z37" i="16"/>
  <c r="AA37" i="7"/>
  <c r="Z37" i="10"/>
  <c r="Z37" i="9"/>
  <c r="D54" i="4"/>
  <c r="G53" i="2"/>
  <c r="J54" i="4"/>
  <c r="M53" i="2"/>
  <c r="T39" i="4"/>
  <c r="V38" i="2"/>
  <c r="K54" i="4"/>
  <c r="N53" i="2"/>
  <c r="H36" i="14"/>
  <c r="J36" i="14" s="1"/>
  <c r="B36" i="14"/>
  <c r="D36" i="14" s="1"/>
  <c r="S37" i="17"/>
  <c r="S37" i="16"/>
  <c r="T37" i="15"/>
  <c r="AB38" i="2"/>
  <c r="Z39" i="4"/>
  <c r="C27" i="16"/>
  <c r="C27" i="17"/>
  <c r="D27" i="15"/>
  <c r="Q37" i="17"/>
  <c r="Q37" i="16"/>
  <c r="R37" i="15"/>
  <c r="AT37" i="2"/>
  <c r="M37" i="17"/>
  <c r="AH37" i="17" s="1"/>
  <c r="N37" i="14" s="1"/>
  <c r="P37" i="14" s="1"/>
  <c r="M37" i="16"/>
  <c r="AH37" i="16" s="1"/>
  <c r="K37" i="14" s="1"/>
  <c r="M37" i="14" s="1"/>
  <c r="AS37" i="2"/>
  <c r="N37" i="15"/>
  <c r="AR37" i="15" s="1"/>
  <c r="E37" i="14" s="1"/>
  <c r="G37" i="14" s="1"/>
  <c r="J52" i="17"/>
  <c r="J52" i="16"/>
  <c r="K52" i="15"/>
  <c r="F52" i="17"/>
  <c r="F52" i="16"/>
  <c r="G52" i="15"/>
  <c r="Q39" i="4"/>
  <c r="S38" i="2"/>
  <c r="M39" i="4"/>
  <c r="O38" i="2"/>
  <c r="V37" i="17"/>
  <c r="V37" i="16"/>
  <c r="W37" i="15"/>
  <c r="I54" i="4"/>
  <c r="L53" i="2"/>
  <c r="D52" i="17"/>
  <c r="D52" i="16"/>
  <c r="E52" i="15"/>
  <c r="W37" i="17"/>
  <c r="W37" i="16"/>
  <c r="X37" i="15"/>
  <c r="E54" i="4"/>
  <c r="H53" i="2"/>
  <c r="Z38" i="2"/>
  <c r="X39" i="4"/>
  <c r="N37" i="17"/>
  <c r="N37" i="16"/>
  <c r="O37" i="15"/>
  <c r="H52" i="17"/>
  <c r="H52" i="16"/>
  <c r="I52" i="15"/>
  <c r="B55" i="2"/>
  <c r="D55" i="2" s="1"/>
  <c r="AC29" i="7"/>
  <c r="BB27" i="2"/>
  <c r="AW35" i="2"/>
  <c r="AY28" i="2"/>
  <c r="AX35" i="2"/>
  <c r="AF29" i="7"/>
  <c r="AH26" i="9"/>
  <c r="AR26" i="7"/>
  <c r="AH26" i="10"/>
  <c r="AC32" i="10"/>
  <c r="AC32" i="9"/>
  <c r="AM32" i="7"/>
  <c r="AB28" i="10"/>
  <c r="AB28" i="9"/>
  <c r="AL28" i="7"/>
  <c r="O35" i="10"/>
  <c r="O35" i="9"/>
  <c r="P35" i="7"/>
  <c r="E35" i="10"/>
  <c r="E35" i="9"/>
  <c r="F35" i="7"/>
  <c r="I35" i="10"/>
  <c r="I35" i="9"/>
  <c r="J35" i="7"/>
  <c r="AG27" i="10"/>
  <c r="AG27" i="9"/>
  <c r="AQ27" i="7"/>
  <c r="X37" i="10"/>
  <c r="X37" i="9"/>
  <c r="Y37" i="7"/>
  <c r="L35" i="10"/>
  <c r="L35" i="9"/>
  <c r="M35" i="7"/>
  <c r="S35" i="10"/>
  <c r="S35" i="9"/>
  <c r="T35" i="7"/>
  <c r="D35" i="12"/>
  <c r="G35" i="12"/>
  <c r="Q35" i="14" s="1"/>
  <c r="S35" i="14" s="1"/>
  <c r="AB33" i="7"/>
  <c r="K34" i="12"/>
  <c r="H34" i="12"/>
  <c r="J34" i="12" s="1"/>
  <c r="AD32" i="10"/>
  <c r="AD32" i="9"/>
  <c r="AN32" i="7"/>
  <c r="AH33" i="7"/>
  <c r="F35" i="10"/>
  <c r="F35" i="9"/>
  <c r="G35" i="7"/>
  <c r="M35" i="10"/>
  <c r="M35" i="9"/>
  <c r="N35" i="7"/>
  <c r="Q35" i="9"/>
  <c r="Q35" i="10"/>
  <c r="R35" i="7"/>
  <c r="B36" i="12"/>
  <c r="T36" i="14" s="1"/>
  <c r="V36" i="14" s="1"/>
  <c r="B36" i="10"/>
  <c r="B36" i="9"/>
  <c r="C36" i="7"/>
  <c r="T35" i="10"/>
  <c r="T35" i="9"/>
  <c r="U35" i="7"/>
  <c r="J35" i="10"/>
  <c r="J35" i="9"/>
  <c r="K35" i="7"/>
  <c r="H35" i="10"/>
  <c r="H35" i="9"/>
  <c r="I35" i="7"/>
  <c r="J33" i="12"/>
  <c r="AE33" i="10"/>
  <c r="AE33" i="9"/>
  <c r="AO33" i="7"/>
  <c r="AF33" i="10"/>
  <c r="AF33" i="9"/>
  <c r="AP33" i="7"/>
  <c r="AI33" i="7"/>
  <c r="AJ33" i="7"/>
  <c r="Y37" i="10"/>
  <c r="Y37" i="9"/>
  <c r="Z37" i="7"/>
  <c r="G35" i="10"/>
  <c r="G35" i="9"/>
  <c r="H35" i="7"/>
  <c r="N35" i="10"/>
  <c r="N35" i="9"/>
  <c r="O35" i="7"/>
  <c r="D35" i="10"/>
  <c r="D35" i="9"/>
  <c r="E35" i="7"/>
  <c r="P35" i="10"/>
  <c r="P35" i="9"/>
  <c r="Q35" i="7"/>
  <c r="AA27" i="10"/>
  <c r="AA27" i="9"/>
  <c r="AK27" i="7"/>
  <c r="W37" i="10"/>
  <c r="W37" i="9"/>
  <c r="X37" i="7"/>
  <c r="U35" i="10"/>
  <c r="U35" i="9"/>
  <c r="V35" i="7"/>
  <c r="K35" i="10"/>
  <c r="K35" i="9"/>
  <c r="L35" i="7"/>
  <c r="R35" i="10"/>
  <c r="R35" i="9"/>
  <c r="S35" i="7"/>
  <c r="K44" i="13"/>
  <c r="I45" i="13"/>
  <c r="K45" i="13" s="1"/>
  <c r="M45" i="13"/>
  <c r="H46" i="13"/>
  <c r="E46" i="13"/>
  <c r="G53" i="13"/>
  <c r="B53" i="13"/>
  <c r="C53" i="12"/>
  <c r="F49" i="12"/>
  <c r="AZ28" i="2"/>
  <c r="BA28" i="2"/>
  <c r="AE30" i="7"/>
  <c r="AD30" i="7"/>
  <c r="AG29" i="7"/>
  <c r="C28" i="3"/>
  <c r="B27" i="3"/>
  <c r="F26" i="3"/>
  <c r="E27" i="3"/>
  <c r="J34" i="3"/>
  <c r="G23" i="1"/>
  <c r="D26" i="1"/>
  <c r="W38" i="7" l="1"/>
  <c r="L52" i="11"/>
  <c r="V38" i="9"/>
  <c r="J52" i="11"/>
  <c r="K52" i="11"/>
  <c r="D28" i="7"/>
  <c r="C28" i="9"/>
  <c r="M52" i="11"/>
  <c r="G54" i="17"/>
  <c r="G54" i="16"/>
  <c r="H54" i="15"/>
  <c r="I55" i="2"/>
  <c r="W53" i="14"/>
  <c r="Y53" i="14" s="1"/>
  <c r="H53" i="11"/>
  <c r="J53" i="11" s="1"/>
  <c r="Z54" i="14"/>
  <c r="AB54" i="14" s="1"/>
  <c r="D54" i="11"/>
  <c r="G54" i="11"/>
  <c r="AA54" i="16"/>
  <c r="AA54" i="17"/>
  <c r="AK54" i="15"/>
  <c r="B55" i="16"/>
  <c r="B55" i="11"/>
  <c r="B55" i="17"/>
  <c r="AG55" i="2"/>
  <c r="AF55" i="15" s="1"/>
  <c r="C55" i="15"/>
  <c r="AH55" i="2"/>
  <c r="AG55" i="15" s="1"/>
  <c r="AL55" i="2"/>
  <c r="AJ55" i="2"/>
  <c r="AI55" i="15" s="1"/>
  <c r="AR55" i="2"/>
  <c r="AK55" i="2"/>
  <c r="AJ55" i="15" s="1"/>
  <c r="AF55" i="2"/>
  <c r="AE55" i="15" s="1"/>
  <c r="AD55" i="2"/>
  <c r="AC55" i="15" s="1"/>
  <c r="AE55" i="2"/>
  <c r="AD55" i="15" s="1"/>
  <c r="AC55" i="2"/>
  <c r="AB55" i="15" s="1"/>
  <c r="AI55" i="2"/>
  <c r="AH55" i="15" s="1"/>
  <c r="AG54" i="17"/>
  <c r="AG54" i="16"/>
  <c r="AQ54" i="15"/>
  <c r="T38" i="16"/>
  <c r="T38" i="17"/>
  <c r="U38" i="15"/>
  <c r="O53" i="17"/>
  <c r="O53" i="16"/>
  <c r="P53" i="15"/>
  <c r="P38" i="17"/>
  <c r="P38" i="16"/>
  <c r="Q38" i="15"/>
  <c r="Z38" i="15"/>
  <c r="Y38" i="16"/>
  <c r="Y38" i="17"/>
  <c r="Y39" i="2"/>
  <c r="W40" i="4"/>
  <c r="C28" i="17"/>
  <c r="C28" i="16"/>
  <c r="D28" i="15"/>
  <c r="M40" i="4"/>
  <c r="O39" i="2"/>
  <c r="I55" i="4"/>
  <c r="L54" i="2"/>
  <c r="Q38" i="17"/>
  <c r="Q38" i="16"/>
  <c r="R38" i="15"/>
  <c r="AT38" i="2"/>
  <c r="T40" i="4"/>
  <c r="V39" i="2"/>
  <c r="O55" i="4"/>
  <c r="Q54" i="2"/>
  <c r="R40" i="4"/>
  <c r="T39" i="2"/>
  <c r="P40" i="4"/>
  <c r="R39" i="2"/>
  <c r="H53" i="17"/>
  <c r="H53" i="16"/>
  <c r="I53" i="15"/>
  <c r="D53" i="17"/>
  <c r="D53" i="16"/>
  <c r="E53" i="15"/>
  <c r="B30" i="4"/>
  <c r="E29" i="2"/>
  <c r="C29" i="10" s="1"/>
  <c r="Q40" i="4"/>
  <c r="S39" i="2"/>
  <c r="K53" i="16"/>
  <c r="K53" i="17"/>
  <c r="L53" i="15"/>
  <c r="S38" i="16"/>
  <c r="S38" i="17"/>
  <c r="T38" i="15"/>
  <c r="X38" i="17"/>
  <c r="X38" i="16"/>
  <c r="Y38" i="15"/>
  <c r="AB39" i="2"/>
  <c r="Z40" i="4"/>
  <c r="J55" i="4"/>
  <c r="M54" i="2"/>
  <c r="U40" i="4"/>
  <c r="W39" i="2"/>
  <c r="N38" i="17"/>
  <c r="N38" i="16"/>
  <c r="O38" i="15"/>
  <c r="S40" i="4"/>
  <c r="U40" i="2" s="1"/>
  <c r="F53" i="17"/>
  <c r="F53" i="16"/>
  <c r="G53" i="15"/>
  <c r="Z38" i="17"/>
  <c r="AA38" i="15"/>
  <c r="Z38" i="16"/>
  <c r="Z38" i="10"/>
  <c r="Z38" i="9"/>
  <c r="AA38" i="7"/>
  <c r="L53" i="17"/>
  <c r="L53" i="16"/>
  <c r="M53" i="15"/>
  <c r="E53" i="17"/>
  <c r="E53" i="16"/>
  <c r="F53" i="15"/>
  <c r="I53" i="17"/>
  <c r="I53" i="16"/>
  <c r="J53" i="15"/>
  <c r="N40" i="4"/>
  <c r="P39" i="2"/>
  <c r="X39" i="2"/>
  <c r="V39" i="9" s="1"/>
  <c r="V40" i="4"/>
  <c r="J53" i="17"/>
  <c r="J53" i="16"/>
  <c r="K53" i="15"/>
  <c r="Z39" i="2"/>
  <c r="X40" i="4"/>
  <c r="U38" i="16"/>
  <c r="U38" i="17"/>
  <c r="V38" i="15"/>
  <c r="G55" i="4"/>
  <c r="J54" i="2"/>
  <c r="C55" i="4"/>
  <c r="F54" i="2"/>
  <c r="E55" i="4"/>
  <c r="H54" i="2"/>
  <c r="M38" i="17"/>
  <c r="AH38" i="17" s="1"/>
  <c r="N38" i="14" s="1"/>
  <c r="P38" i="14" s="1"/>
  <c r="M38" i="16"/>
  <c r="AH38" i="16" s="1"/>
  <c r="K38" i="14" s="1"/>
  <c r="M38" i="14" s="1"/>
  <c r="AS38" i="2"/>
  <c r="N38" i="15"/>
  <c r="AR38" i="15" s="1"/>
  <c r="E38" i="14" s="1"/>
  <c r="G38" i="14" s="1"/>
  <c r="B37" i="14"/>
  <c r="D37" i="14" s="1"/>
  <c r="H37" i="14"/>
  <c r="J37" i="14" s="1"/>
  <c r="K55" i="4"/>
  <c r="N54" i="2"/>
  <c r="D55" i="4"/>
  <c r="G54" i="2"/>
  <c r="R38" i="17"/>
  <c r="R38" i="16"/>
  <c r="S38" i="15"/>
  <c r="H55" i="4"/>
  <c r="K54" i="2"/>
  <c r="AA39" i="2"/>
  <c r="Y40" i="4"/>
  <c r="W38" i="17"/>
  <c r="W38" i="16"/>
  <c r="X38" i="15"/>
  <c r="W38" i="15"/>
  <c r="V38" i="17"/>
  <c r="V38" i="16"/>
  <c r="AR27" i="7"/>
  <c r="AH27" i="10"/>
  <c r="B56" i="2"/>
  <c r="D56" i="2" s="1"/>
  <c r="C55" i="2"/>
  <c r="AC30" i="7"/>
  <c r="BB28" i="2"/>
  <c r="AH27" i="9"/>
  <c r="AF30" i="7"/>
  <c r="AY29" i="2"/>
  <c r="AX36" i="2"/>
  <c r="AW36" i="2"/>
  <c r="AD33" i="10"/>
  <c r="AD33" i="9"/>
  <c r="AN33" i="7"/>
  <c r="AB29" i="10"/>
  <c r="AB29" i="9"/>
  <c r="AL29" i="7"/>
  <c r="I36" i="10"/>
  <c r="I36" i="9"/>
  <c r="J36" i="7"/>
  <c r="P36" i="10"/>
  <c r="P36" i="9"/>
  <c r="Q36" i="7"/>
  <c r="E36" i="10"/>
  <c r="E36" i="9"/>
  <c r="F36" i="7"/>
  <c r="M36" i="10"/>
  <c r="M36" i="9"/>
  <c r="N36" i="7"/>
  <c r="D29" i="7"/>
  <c r="L36" i="10"/>
  <c r="L36" i="9"/>
  <c r="M36" i="7"/>
  <c r="T36" i="10"/>
  <c r="T36" i="9"/>
  <c r="U36" i="7"/>
  <c r="AE34" i="10"/>
  <c r="AE34" i="9"/>
  <c r="AO34" i="7"/>
  <c r="AI34" i="7"/>
  <c r="AJ34" i="7"/>
  <c r="R36" i="10"/>
  <c r="R36" i="9"/>
  <c r="S36" i="7"/>
  <c r="F36" i="10"/>
  <c r="F36" i="9"/>
  <c r="G36" i="7"/>
  <c r="N36" i="10"/>
  <c r="N36" i="9"/>
  <c r="O36" i="7"/>
  <c r="X38" i="10"/>
  <c r="X38" i="9"/>
  <c r="Y38" i="7"/>
  <c r="AB34" i="7"/>
  <c r="W38" i="10"/>
  <c r="W38" i="9"/>
  <c r="X38" i="7"/>
  <c r="H36" i="10"/>
  <c r="H36" i="9"/>
  <c r="I36" i="7"/>
  <c r="U36" i="10"/>
  <c r="U36" i="9"/>
  <c r="V36" i="7"/>
  <c r="J36" i="10"/>
  <c r="J36" i="9"/>
  <c r="K36" i="7"/>
  <c r="D36" i="12"/>
  <c r="G36" i="12"/>
  <c r="Q36" i="14" s="1"/>
  <c r="S36" i="14" s="1"/>
  <c r="K35" i="12"/>
  <c r="H35" i="12"/>
  <c r="J35" i="12" s="1"/>
  <c r="AC33" i="10"/>
  <c r="AC33" i="9"/>
  <c r="AM33" i="7"/>
  <c r="AF34" i="10"/>
  <c r="AF34" i="9"/>
  <c r="AP34" i="7"/>
  <c r="Q36" i="10"/>
  <c r="Q36" i="9"/>
  <c r="R36" i="7"/>
  <c r="O36" i="10"/>
  <c r="O36" i="9"/>
  <c r="P36" i="7"/>
  <c r="D36" i="10"/>
  <c r="D36" i="9"/>
  <c r="E36" i="7"/>
  <c r="AG28" i="10"/>
  <c r="AG28" i="9"/>
  <c r="AQ28" i="7"/>
  <c r="AA28" i="10"/>
  <c r="AA28" i="9"/>
  <c r="AK28" i="7"/>
  <c r="V39" i="10"/>
  <c r="Y38" i="10"/>
  <c r="Y38" i="9"/>
  <c r="Z38" i="7"/>
  <c r="B37" i="12"/>
  <c r="T37" i="14" s="1"/>
  <c r="V37" i="14" s="1"/>
  <c r="B37" i="10"/>
  <c r="B37" i="9"/>
  <c r="C37" i="7"/>
  <c r="G36" i="10"/>
  <c r="G36" i="9"/>
  <c r="H36" i="7"/>
  <c r="K36" i="10"/>
  <c r="K36" i="9"/>
  <c r="L36" i="7"/>
  <c r="S36" i="10"/>
  <c r="S36" i="9"/>
  <c r="T36" i="7"/>
  <c r="AH34" i="7"/>
  <c r="L45" i="13"/>
  <c r="H47" i="13"/>
  <c r="E47" i="13"/>
  <c r="N47" i="13" s="1"/>
  <c r="I46" i="13"/>
  <c r="K46" i="13" s="1"/>
  <c r="M46" i="13"/>
  <c r="B54" i="13"/>
  <c r="G54" i="13"/>
  <c r="F50" i="12"/>
  <c r="C54" i="12"/>
  <c r="AZ29" i="2"/>
  <c r="BA29" i="2"/>
  <c r="AE31" i="7"/>
  <c r="AD31" i="7"/>
  <c r="AG30" i="7"/>
  <c r="C29" i="3"/>
  <c r="B28" i="3"/>
  <c r="J35" i="3"/>
  <c r="F27" i="3"/>
  <c r="E28" i="3"/>
  <c r="G24" i="1"/>
  <c r="D27" i="1"/>
  <c r="C29" i="9" l="1"/>
  <c r="B56" i="17"/>
  <c r="B56" i="16"/>
  <c r="B56" i="11"/>
  <c r="C56" i="15"/>
  <c r="AG56" i="2"/>
  <c r="AF56" i="15" s="1"/>
  <c r="AH56" i="2"/>
  <c r="AG56" i="15" s="1"/>
  <c r="AR56" i="2"/>
  <c r="AL56" i="2"/>
  <c r="AK56" i="2"/>
  <c r="AJ56" i="15" s="1"/>
  <c r="AC56" i="2"/>
  <c r="AB56" i="15" s="1"/>
  <c r="AJ56" i="2"/>
  <c r="AI56" i="15" s="1"/>
  <c r="AE56" i="2"/>
  <c r="AD56" i="15" s="1"/>
  <c r="AF56" i="2"/>
  <c r="AE56" i="15" s="1"/>
  <c r="AD56" i="2"/>
  <c r="AC56" i="15" s="1"/>
  <c r="AI56" i="2"/>
  <c r="AH56" i="15" s="1"/>
  <c r="G55" i="17"/>
  <c r="H55" i="15"/>
  <c r="I56" i="2"/>
  <c r="G55" i="16"/>
  <c r="AG55" i="17"/>
  <c r="AG55" i="16"/>
  <c r="AQ55" i="15"/>
  <c r="W54" i="14"/>
  <c r="Y54" i="14" s="1"/>
  <c r="H54" i="11"/>
  <c r="J54" i="11" s="1"/>
  <c r="W39" i="7"/>
  <c r="Z55" i="14"/>
  <c r="AB55" i="14" s="1"/>
  <c r="D55" i="11"/>
  <c r="G55" i="11"/>
  <c r="AK55" i="15"/>
  <c r="AA55" i="17"/>
  <c r="AA55" i="16"/>
  <c r="E56" i="4"/>
  <c r="H55" i="2"/>
  <c r="S39" i="17"/>
  <c r="S39" i="16"/>
  <c r="T39" i="15"/>
  <c r="P39" i="17"/>
  <c r="P39" i="16"/>
  <c r="Q39" i="15"/>
  <c r="E54" i="16"/>
  <c r="E54" i="17"/>
  <c r="F54" i="15"/>
  <c r="K54" i="17"/>
  <c r="K54" i="16"/>
  <c r="L54" i="15"/>
  <c r="K56" i="4"/>
  <c r="N55" i="2"/>
  <c r="G56" i="4"/>
  <c r="J55" i="2"/>
  <c r="N41" i="4"/>
  <c r="P40" i="2"/>
  <c r="AA39" i="15"/>
  <c r="Z39" i="17"/>
  <c r="Z39" i="16"/>
  <c r="Z39" i="10"/>
  <c r="Z39" i="9"/>
  <c r="AA39" i="7"/>
  <c r="C29" i="16"/>
  <c r="C29" i="17"/>
  <c r="D29" i="15"/>
  <c r="R41" i="4"/>
  <c r="T40" i="2"/>
  <c r="M41" i="4"/>
  <c r="O40" i="2"/>
  <c r="AA40" i="2"/>
  <c r="Y41" i="4"/>
  <c r="Y39" i="17"/>
  <c r="Y39" i="16"/>
  <c r="Z39" i="15"/>
  <c r="J54" i="17"/>
  <c r="J54" i="16"/>
  <c r="K54" i="15"/>
  <c r="F54" i="16"/>
  <c r="F54" i="17"/>
  <c r="G54" i="15"/>
  <c r="U39" i="16"/>
  <c r="U39" i="17"/>
  <c r="V39" i="15"/>
  <c r="B31" i="4"/>
  <c r="E30" i="2"/>
  <c r="D30" i="7" s="1"/>
  <c r="O54" i="17"/>
  <c r="O54" i="16"/>
  <c r="P54" i="15"/>
  <c r="O56" i="4"/>
  <c r="Q55" i="2"/>
  <c r="X40" i="2"/>
  <c r="W40" i="7" s="1"/>
  <c r="V41" i="4"/>
  <c r="S41" i="4"/>
  <c r="U41" i="2" s="1"/>
  <c r="P41" i="4"/>
  <c r="R40" i="2"/>
  <c r="I54" i="16"/>
  <c r="I54" i="17"/>
  <c r="J54" i="15"/>
  <c r="D56" i="4"/>
  <c r="G55" i="2"/>
  <c r="B38" i="14"/>
  <c r="D38" i="14" s="1"/>
  <c r="H38" i="14"/>
  <c r="J38" i="14" s="1"/>
  <c r="C56" i="4"/>
  <c r="F55" i="2"/>
  <c r="Z40" i="2"/>
  <c r="X41" i="4"/>
  <c r="W39" i="15"/>
  <c r="V39" i="17"/>
  <c r="V39" i="16"/>
  <c r="J56" i="4"/>
  <c r="M55" i="2"/>
  <c r="Q39" i="17"/>
  <c r="Q39" i="16"/>
  <c r="R39" i="15"/>
  <c r="AT39" i="2"/>
  <c r="R39" i="17"/>
  <c r="R39" i="16"/>
  <c r="S39" i="15"/>
  <c r="T41" i="4"/>
  <c r="V40" i="2"/>
  <c r="I56" i="4"/>
  <c r="L55" i="2"/>
  <c r="W41" i="4"/>
  <c r="Y40" i="2"/>
  <c r="U41" i="4"/>
  <c r="W40" i="2"/>
  <c r="D54" i="17"/>
  <c r="D54" i="16"/>
  <c r="E54" i="15"/>
  <c r="T39" i="17"/>
  <c r="T39" i="16"/>
  <c r="U39" i="15"/>
  <c r="H56" i="4"/>
  <c r="K55" i="2"/>
  <c r="L54" i="17"/>
  <c r="L54" i="16"/>
  <c r="M54" i="15"/>
  <c r="H54" i="17"/>
  <c r="H54" i="16"/>
  <c r="I54" i="15"/>
  <c r="Y39" i="15"/>
  <c r="X39" i="17"/>
  <c r="X39" i="16"/>
  <c r="N39" i="17"/>
  <c r="N39" i="16"/>
  <c r="O39" i="15"/>
  <c r="AB40" i="2"/>
  <c r="Z41" i="4"/>
  <c r="Q41" i="4"/>
  <c r="S40" i="2"/>
  <c r="AS39" i="2"/>
  <c r="M39" i="17"/>
  <c r="AH39" i="17" s="1"/>
  <c r="N39" i="14" s="1"/>
  <c r="P39" i="14" s="1"/>
  <c r="M39" i="16"/>
  <c r="AH39" i="16" s="1"/>
  <c r="K39" i="14" s="1"/>
  <c r="M39" i="14" s="1"/>
  <c r="N39" i="15"/>
  <c r="AR39" i="15" s="1"/>
  <c r="E39" i="14" s="1"/>
  <c r="G39" i="14" s="1"/>
  <c r="X39" i="15"/>
  <c r="W39" i="16"/>
  <c r="W39" i="17"/>
  <c r="C56" i="2"/>
  <c r="B57" i="2"/>
  <c r="D57" i="2" s="1"/>
  <c r="AC31" i="7"/>
  <c r="BB29" i="2"/>
  <c r="AX37" i="2"/>
  <c r="AW37" i="2"/>
  <c r="AF31" i="7"/>
  <c r="AY30" i="2"/>
  <c r="AR28" i="7"/>
  <c r="D37" i="10"/>
  <c r="D37" i="9"/>
  <c r="E37" i="7"/>
  <c r="W39" i="10"/>
  <c r="W39" i="9"/>
  <c r="X39" i="7"/>
  <c r="AD34" i="10"/>
  <c r="AD34" i="9"/>
  <c r="AN34" i="7"/>
  <c r="AH35" i="7"/>
  <c r="O37" i="10"/>
  <c r="O37" i="9"/>
  <c r="P37" i="7"/>
  <c r="Q37" i="10"/>
  <c r="Q37" i="9"/>
  <c r="R37" i="7"/>
  <c r="D37" i="12"/>
  <c r="M37" i="12" s="1"/>
  <c r="G37" i="12"/>
  <c r="Q37" i="14" s="1"/>
  <c r="S37" i="14" s="1"/>
  <c r="AI35" i="7"/>
  <c r="AJ35" i="7"/>
  <c r="AB30" i="10"/>
  <c r="AB30" i="9"/>
  <c r="AL30" i="7"/>
  <c r="J37" i="10"/>
  <c r="J37" i="9"/>
  <c r="K37" i="7"/>
  <c r="S37" i="10"/>
  <c r="S37" i="9"/>
  <c r="T37" i="7"/>
  <c r="L37" i="10"/>
  <c r="L37" i="9"/>
  <c r="M37" i="7"/>
  <c r="Y39" i="10"/>
  <c r="Y39" i="9"/>
  <c r="Z39" i="7"/>
  <c r="AA29" i="10"/>
  <c r="AA29" i="9"/>
  <c r="AK29" i="7"/>
  <c r="F37" i="10"/>
  <c r="F37" i="9"/>
  <c r="G37" i="7"/>
  <c r="X39" i="10"/>
  <c r="X39" i="9"/>
  <c r="Y39" i="7"/>
  <c r="AE35" i="10"/>
  <c r="AE35" i="9"/>
  <c r="AO35" i="7"/>
  <c r="AF35" i="10"/>
  <c r="AF35" i="9"/>
  <c r="AP35" i="7"/>
  <c r="K37" i="10"/>
  <c r="K37" i="9"/>
  <c r="L37" i="7"/>
  <c r="T37" i="10"/>
  <c r="T37" i="9"/>
  <c r="U37" i="7"/>
  <c r="H37" i="10"/>
  <c r="H37" i="9"/>
  <c r="I37" i="7"/>
  <c r="P37" i="10"/>
  <c r="P37" i="9"/>
  <c r="Q37" i="7"/>
  <c r="AH28" i="9"/>
  <c r="V40" i="9"/>
  <c r="AG29" i="10"/>
  <c r="AG29" i="9"/>
  <c r="AQ29" i="7"/>
  <c r="M37" i="10"/>
  <c r="M37" i="9"/>
  <c r="N37" i="7"/>
  <c r="AB35" i="7"/>
  <c r="E37" i="10"/>
  <c r="E37" i="9"/>
  <c r="F37" i="7"/>
  <c r="N37" i="10"/>
  <c r="N37" i="9"/>
  <c r="O37" i="7"/>
  <c r="R37" i="10"/>
  <c r="R37" i="9"/>
  <c r="S37" i="7"/>
  <c r="AH28" i="10"/>
  <c r="K36" i="12"/>
  <c r="H36" i="12"/>
  <c r="J36" i="12" s="1"/>
  <c r="AC34" i="10"/>
  <c r="AC34" i="9"/>
  <c r="AM34" i="7"/>
  <c r="B38" i="12"/>
  <c r="T38" i="14" s="1"/>
  <c r="V38" i="14" s="1"/>
  <c r="B38" i="10"/>
  <c r="B38" i="9"/>
  <c r="C38" i="7"/>
  <c r="U37" i="10"/>
  <c r="U37" i="9"/>
  <c r="V37" i="7"/>
  <c r="I37" i="10"/>
  <c r="I37" i="9"/>
  <c r="J37" i="7"/>
  <c r="G37" i="10"/>
  <c r="G37" i="9"/>
  <c r="H37" i="7"/>
  <c r="O47" i="13"/>
  <c r="I47" i="13"/>
  <c r="K47" i="13" s="1"/>
  <c r="M47" i="13"/>
  <c r="L46" i="13"/>
  <c r="H48" i="13"/>
  <c r="E48" i="13"/>
  <c r="G55" i="13"/>
  <c r="B55" i="13"/>
  <c r="F51" i="12"/>
  <c r="C55" i="12"/>
  <c r="AZ30" i="2"/>
  <c r="BA30" i="2"/>
  <c r="AE32" i="7"/>
  <c r="AD32" i="7"/>
  <c r="AG31" i="7"/>
  <c r="C30" i="3"/>
  <c r="B29" i="3"/>
  <c r="F28" i="3"/>
  <c r="E29" i="3"/>
  <c r="J36" i="3"/>
  <c r="G25" i="1"/>
  <c r="D28" i="1"/>
  <c r="B57" i="11" l="1"/>
  <c r="B57" i="16"/>
  <c r="B57" i="17"/>
  <c r="AG57" i="2"/>
  <c r="AF57" i="15" s="1"/>
  <c r="C57" i="15"/>
  <c r="AH57" i="2"/>
  <c r="AG57" i="15" s="1"/>
  <c r="AI57" i="2"/>
  <c r="AH57" i="15" s="1"/>
  <c r="AJ57" i="2"/>
  <c r="AI57" i="15" s="1"/>
  <c r="AK57" i="2"/>
  <c r="AJ57" i="15" s="1"/>
  <c r="AD57" i="2"/>
  <c r="AC57" i="15" s="1"/>
  <c r="AE57" i="2"/>
  <c r="AD57" i="15" s="1"/>
  <c r="AL57" i="2"/>
  <c r="AC57" i="2"/>
  <c r="AB57" i="15" s="1"/>
  <c r="AF57" i="2"/>
  <c r="AE57" i="15" s="1"/>
  <c r="AR57" i="2"/>
  <c r="I57" i="2"/>
  <c r="W55" i="14"/>
  <c r="Y55" i="14" s="1"/>
  <c r="H55" i="11"/>
  <c r="J55" i="11" s="1"/>
  <c r="G56" i="17"/>
  <c r="H56" i="15"/>
  <c r="G56" i="16"/>
  <c r="Z56" i="14"/>
  <c r="AB56" i="14" s="1"/>
  <c r="D56" i="11"/>
  <c r="G56" i="11"/>
  <c r="AA56" i="16"/>
  <c r="AA56" i="17"/>
  <c r="AK56" i="15"/>
  <c r="AQ56" i="15"/>
  <c r="AG56" i="17"/>
  <c r="AG56" i="16"/>
  <c r="L55" i="17"/>
  <c r="L55" i="16"/>
  <c r="M55" i="15"/>
  <c r="W40" i="15"/>
  <c r="V40" i="17"/>
  <c r="V40" i="16"/>
  <c r="C30" i="10"/>
  <c r="Z40" i="17"/>
  <c r="Z40" i="16"/>
  <c r="AA40" i="15"/>
  <c r="Z40" i="10"/>
  <c r="Z40" i="9"/>
  <c r="AA40" i="7"/>
  <c r="Y41" i="2"/>
  <c r="W42" i="4"/>
  <c r="K55" i="17"/>
  <c r="K55" i="16"/>
  <c r="L55" i="15"/>
  <c r="X40" i="17"/>
  <c r="X40" i="16"/>
  <c r="Y40" i="15"/>
  <c r="D57" i="4"/>
  <c r="G56" i="2"/>
  <c r="S40" i="17"/>
  <c r="S40" i="16"/>
  <c r="T40" i="15"/>
  <c r="AA41" i="2"/>
  <c r="Y42" i="4"/>
  <c r="R42" i="4"/>
  <c r="T41" i="2"/>
  <c r="H55" i="17"/>
  <c r="H55" i="16"/>
  <c r="I55" i="15"/>
  <c r="I57" i="4"/>
  <c r="L56" i="2"/>
  <c r="X41" i="2"/>
  <c r="V41" i="10" s="1"/>
  <c r="V42" i="4"/>
  <c r="M40" i="16"/>
  <c r="AH40" i="16" s="1"/>
  <c r="K40" i="14" s="1"/>
  <c r="M40" i="14" s="1"/>
  <c r="AS40" i="2"/>
  <c r="M40" i="17"/>
  <c r="AH40" i="17" s="1"/>
  <c r="N40" i="14" s="1"/>
  <c r="P40" i="14" s="1"/>
  <c r="N40" i="15"/>
  <c r="AR40" i="15" s="1"/>
  <c r="E40" i="14" s="1"/>
  <c r="G40" i="14" s="1"/>
  <c r="I55" i="17"/>
  <c r="I55" i="16"/>
  <c r="J55" i="15"/>
  <c r="J55" i="17"/>
  <c r="J55" i="16"/>
  <c r="K55" i="15"/>
  <c r="J57" i="4"/>
  <c r="M56" i="2"/>
  <c r="D55" i="16"/>
  <c r="D55" i="17"/>
  <c r="E55" i="15"/>
  <c r="S42" i="4"/>
  <c r="U42" i="2" s="1"/>
  <c r="Y40" i="16"/>
  <c r="Y40" i="17"/>
  <c r="Z40" i="15"/>
  <c r="G57" i="4"/>
  <c r="J56" i="2"/>
  <c r="Q40" i="17"/>
  <c r="Q40" i="16"/>
  <c r="R40" i="15"/>
  <c r="AT40" i="2"/>
  <c r="T40" i="16"/>
  <c r="T40" i="17"/>
  <c r="U40" i="15"/>
  <c r="M42" i="4"/>
  <c r="O41" i="2"/>
  <c r="V40" i="10"/>
  <c r="Q42" i="4"/>
  <c r="S41" i="2"/>
  <c r="U42" i="4"/>
  <c r="W41" i="2"/>
  <c r="T42" i="4"/>
  <c r="V41" i="2"/>
  <c r="P40" i="17"/>
  <c r="P40" i="16"/>
  <c r="Q40" i="15"/>
  <c r="O55" i="16"/>
  <c r="O55" i="17"/>
  <c r="P55" i="15"/>
  <c r="B32" i="4"/>
  <c r="E31" i="2"/>
  <c r="C31" i="10" s="1"/>
  <c r="R40" i="17"/>
  <c r="R40" i="16"/>
  <c r="S40" i="15"/>
  <c r="N40" i="17"/>
  <c r="N40" i="16"/>
  <c r="O40" i="15"/>
  <c r="F55" i="17"/>
  <c r="F55" i="16"/>
  <c r="G55" i="15"/>
  <c r="H39" i="14"/>
  <c r="J39" i="14" s="1"/>
  <c r="B39" i="14"/>
  <c r="D39" i="14" s="1"/>
  <c r="H57" i="4"/>
  <c r="K56" i="2"/>
  <c r="C57" i="4"/>
  <c r="F56" i="2"/>
  <c r="U40" i="17"/>
  <c r="U40" i="16"/>
  <c r="V40" i="15"/>
  <c r="C30" i="17"/>
  <c r="C30" i="16"/>
  <c r="D30" i="15"/>
  <c r="K57" i="4"/>
  <c r="N56" i="2"/>
  <c r="C30" i="9"/>
  <c r="AB41" i="2"/>
  <c r="Z42" i="4"/>
  <c r="W40" i="16"/>
  <c r="W40" i="17"/>
  <c r="X40" i="15"/>
  <c r="Z41" i="2"/>
  <c r="X42" i="4"/>
  <c r="E55" i="16"/>
  <c r="E55" i="17"/>
  <c r="F55" i="15"/>
  <c r="P42" i="4"/>
  <c r="R41" i="2"/>
  <c r="O57" i="4"/>
  <c r="Q56" i="2"/>
  <c r="N42" i="4"/>
  <c r="P41" i="2"/>
  <c r="E57" i="4"/>
  <c r="H56" i="2"/>
  <c r="B58" i="2"/>
  <c r="D58" i="2" s="1"/>
  <c r="C57" i="2"/>
  <c r="AC32" i="7"/>
  <c r="BB30" i="2"/>
  <c r="AY31" i="2"/>
  <c r="AW38" i="2"/>
  <c r="AX38" i="2"/>
  <c r="AF32" i="7"/>
  <c r="L37" i="12"/>
  <c r="R38" i="10"/>
  <c r="R38" i="9"/>
  <c r="S38" i="7"/>
  <c r="P38" i="10"/>
  <c r="P38" i="9"/>
  <c r="Q38" i="7"/>
  <c r="AH29" i="10"/>
  <c r="AG30" i="10"/>
  <c r="AG30" i="9"/>
  <c r="AQ30" i="7"/>
  <c r="L38" i="10"/>
  <c r="L38" i="9"/>
  <c r="M38" i="7"/>
  <c r="J38" i="10"/>
  <c r="J38" i="9"/>
  <c r="K38" i="7"/>
  <c r="T38" i="10"/>
  <c r="T38" i="9"/>
  <c r="U38" i="7"/>
  <c r="AI36" i="7"/>
  <c r="AJ36" i="7"/>
  <c r="AH36" i="7"/>
  <c r="B39" i="12"/>
  <c r="T39" i="14" s="1"/>
  <c r="V39" i="14" s="1"/>
  <c r="B39" i="10"/>
  <c r="B39" i="9"/>
  <c r="C39" i="7"/>
  <c r="F38" i="10"/>
  <c r="F38" i="9"/>
  <c r="G38" i="7"/>
  <c r="D38" i="10"/>
  <c r="D38" i="9"/>
  <c r="E38" i="7"/>
  <c r="N38" i="10"/>
  <c r="N38" i="9"/>
  <c r="O38" i="7"/>
  <c r="D38" i="12"/>
  <c r="G38" i="12"/>
  <c r="Q38" i="14" s="1"/>
  <c r="S38" i="14" s="1"/>
  <c r="AE36" i="10"/>
  <c r="AE36" i="9"/>
  <c r="AO36" i="7"/>
  <c r="AF36" i="10"/>
  <c r="AF36" i="9"/>
  <c r="AP36" i="7"/>
  <c r="Q38" i="10"/>
  <c r="Q38" i="9"/>
  <c r="R38" i="7"/>
  <c r="U38" i="10"/>
  <c r="U38" i="9"/>
  <c r="V38" i="7"/>
  <c r="H38" i="10"/>
  <c r="H38" i="9"/>
  <c r="I38" i="7"/>
  <c r="Y40" i="10"/>
  <c r="Y40" i="9"/>
  <c r="Z40" i="7"/>
  <c r="X40" i="10"/>
  <c r="X40" i="9"/>
  <c r="Y40" i="7"/>
  <c r="K37" i="12"/>
  <c r="H37" i="12"/>
  <c r="J37" i="12" s="1"/>
  <c r="AD35" i="10"/>
  <c r="AD35" i="9"/>
  <c r="AN35" i="7"/>
  <c r="AA30" i="10"/>
  <c r="AA30" i="9"/>
  <c r="AK30" i="7"/>
  <c r="K38" i="10"/>
  <c r="K38" i="9"/>
  <c r="L38" i="7"/>
  <c r="O38" i="10"/>
  <c r="O38" i="9"/>
  <c r="P38" i="7"/>
  <c r="S38" i="10"/>
  <c r="S38" i="9"/>
  <c r="T38" i="7"/>
  <c r="AB36" i="7"/>
  <c r="AR29" i="7"/>
  <c r="AC35" i="10"/>
  <c r="AC35" i="9"/>
  <c r="AM35" i="7"/>
  <c r="AB31" i="10"/>
  <c r="AB31" i="9"/>
  <c r="AL31" i="7"/>
  <c r="G38" i="10"/>
  <c r="G38" i="9"/>
  <c r="H38" i="7"/>
  <c r="E38" i="10"/>
  <c r="E38" i="9"/>
  <c r="F38" i="7"/>
  <c r="I38" i="10"/>
  <c r="I38" i="9"/>
  <c r="J38" i="7"/>
  <c r="M38" i="10"/>
  <c r="M38" i="9"/>
  <c r="N38" i="7"/>
  <c r="W40" i="10"/>
  <c r="W40" i="9"/>
  <c r="X40" i="7"/>
  <c r="AH29" i="9"/>
  <c r="L47" i="13"/>
  <c r="I48" i="13"/>
  <c r="L48" i="13" s="1"/>
  <c r="M48" i="13"/>
  <c r="E49" i="13"/>
  <c r="H49" i="13"/>
  <c r="B56" i="13"/>
  <c r="G56" i="13"/>
  <c r="C56" i="12"/>
  <c r="F52" i="12"/>
  <c r="AZ31" i="2"/>
  <c r="BA31" i="2"/>
  <c r="AE33" i="7"/>
  <c r="AD33" i="7"/>
  <c r="AG32" i="7"/>
  <c r="C31" i="3"/>
  <c r="G31" i="3" s="1"/>
  <c r="B30" i="3"/>
  <c r="J37" i="3"/>
  <c r="F29" i="3"/>
  <c r="E30" i="3"/>
  <c r="G26" i="1"/>
  <c r="D29" i="1"/>
  <c r="W41" i="7" l="1"/>
  <c r="V41" i="9"/>
  <c r="AA57" i="17"/>
  <c r="AA57" i="16"/>
  <c r="AK57" i="15"/>
  <c r="I58" i="2"/>
  <c r="G57" i="17"/>
  <c r="G57" i="16"/>
  <c r="H57" i="15"/>
  <c r="AG57" i="16"/>
  <c r="AQ57" i="15"/>
  <c r="AG57" i="17"/>
  <c r="B58" i="17"/>
  <c r="B58" i="16"/>
  <c r="B58" i="11"/>
  <c r="C58" i="15"/>
  <c r="AG58" i="2"/>
  <c r="AF58" i="15" s="1"/>
  <c r="AH58" i="2"/>
  <c r="AG58" i="15" s="1"/>
  <c r="AC58" i="2"/>
  <c r="AB58" i="15" s="1"/>
  <c r="AK58" i="2"/>
  <c r="AJ58" i="15" s="1"/>
  <c r="AE58" i="2"/>
  <c r="AD58" i="15" s="1"/>
  <c r="AR58" i="2"/>
  <c r="AJ58" i="2"/>
  <c r="AI58" i="15" s="1"/>
  <c r="AF58" i="2"/>
  <c r="AE58" i="15" s="1"/>
  <c r="AD58" i="2"/>
  <c r="AC58" i="15" s="1"/>
  <c r="AL58" i="2"/>
  <c r="AI58" i="2"/>
  <c r="AH58" i="15" s="1"/>
  <c r="W56" i="14"/>
  <c r="Y56" i="14" s="1"/>
  <c r="H56" i="11"/>
  <c r="J56" i="11" s="1"/>
  <c r="Z57" i="14"/>
  <c r="AB57" i="14" s="1"/>
  <c r="D57" i="11"/>
  <c r="G57" i="11"/>
  <c r="E58" i="4"/>
  <c r="H57" i="2"/>
  <c r="L56" i="16"/>
  <c r="L56" i="17"/>
  <c r="M56" i="15"/>
  <c r="C31" i="17"/>
  <c r="C31" i="16"/>
  <c r="D31" i="15"/>
  <c r="Q41" i="17"/>
  <c r="Q41" i="16"/>
  <c r="R41" i="15"/>
  <c r="AT41" i="2"/>
  <c r="H56" i="16"/>
  <c r="H56" i="17"/>
  <c r="I56" i="15"/>
  <c r="S43" i="4"/>
  <c r="U43" i="2" s="1"/>
  <c r="J56" i="17"/>
  <c r="J56" i="16"/>
  <c r="K56" i="15"/>
  <c r="P43" i="4"/>
  <c r="R42" i="2"/>
  <c r="N41" i="16"/>
  <c r="N41" i="17"/>
  <c r="O41" i="15"/>
  <c r="K58" i="4"/>
  <c r="N57" i="2"/>
  <c r="E32" i="2"/>
  <c r="C32" i="9" s="1"/>
  <c r="B33" i="4"/>
  <c r="Q43" i="4"/>
  <c r="S42" i="2"/>
  <c r="G58" i="4"/>
  <c r="J57" i="2"/>
  <c r="I58" i="4"/>
  <c r="L57" i="2"/>
  <c r="R43" i="4"/>
  <c r="T42" i="2"/>
  <c r="E56" i="16"/>
  <c r="E56" i="17"/>
  <c r="F56" i="15"/>
  <c r="Y41" i="16"/>
  <c r="Z41" i="15"/>
  <c r="Y41" i="17"/>
  <c r="Y42" i="2"/>
  <c r="W43" i="4"/>
  <c r="N43" i="4"/>
  <c r="P42" i="2"/>
  <c r="D56" i="17"/>
  <c r="D56" i="16"/>
  <c r="E56" i="15"/>
  <c r="T41" i="17"/>
  <c r="T41" i="16"/>
  <c r="U41" i="15"/>
  <c r="H40" i="14"/>
  <c r="J40" i="14" s="1"/>
  <c r="B40" i="14"/>
  <c r="D40" i="14" s="1"/>
  <c r="AA42" i="2"/>
  <c r="Y43" i="4"/>
  <c r="D58" i="4"/>
  <c r="G57" i="2"/>
  <c r="O56" i="16"/>
  <c r="O56" i="17"/>
  <c r="P56" i="15"/>
  <c r="AB42" i="2"/>
  <c r="Z43" i="4"/>
  <c r="C58" i="4"/>
  <c r="F57" i="2"/>
  <c r="T43" i="4"/>
  <c r="V42" i="2"/>
  <c r="M41" i="17"/>
  <c r="AH41" i="17" s="1"/>
  <c r="N41" i="14" s="1"/>
  <c r="P41" i="14" s="1"/>
  <c r="M41" i="16"/>
  <c r="AH41" i="16" s="1"/>
  <c r="K41" i="14" s="1"/>
  <c r="M41" i="14" s="1"/>
  <c r="AS41" i="2"/>
  <c r="N41" i="15"/>
  <c r="AR41" i="15" s="1"/>
  <c r="E41" i="14" s="1"/>
  <c r="G41" i="14" s="1"/>
  <c r="D31" i="7"/>
  <c r="O58" i="4"/>
  <c r="Q57" i="2"/>
  <c r="Z42" i="2"/>
  <c r="X43" i="4"/>
  <c r="AA41" i="15"/>
  <c r="Z41" i="17"/>
  <c r="Z41" i="16"/>
  <c r="Z41" i="9"/>
  <c r="AA41" i="7"/>
  <c r="Z41" i="10"/>
  <c r="I56" i="16"/>
  <c r="I56" i="17"/>
  <c r="J56" i="15"/>
  <c r="U41" i="17"/>
  <c r="U41" i="16"/>
  <c r="V41" i="15"/>
  <c r="M43" i="4"/>
  <c r="O42" i="2"/>
  <c r="K56" i="17"/>
  <c r="K56" i="16"/>
  <c r="L56" i="15"/>
  <c r="X42" i="2"/>
  <c r="V42" i="9" s="1"/>
  <c r="V43" i="4"/>
  <c r="X41" i="15"/>
  <c r="W41" i="17"/>
  <c r="W41" i="16"/>
  <c r="C31" i="9"/>
  <c r="F56" i="16"/>
  <c r="F56" i="17"/>
  <c r="G56" i="15"/>
  <c r="P41" i="16"/>
  <c r="P41" i="17"/>
  <c r="Q41" i="15"/>
  <c r="Y41" i="15"/>
  <c r="X41" i="17"/>
  <c r="X41" i="16"/>
  <c r="H58" i="4"/>
  <c r="K57" i="2"/>
  <c r="U43" i="4"/>
  <c r="W42" i="2"/>
  <c r="S41" i="17"/>
  <c r="S41" i="16"/>
  <c r="T41" i="15"/>
  <c r="J58" i="4"/>
  <c r="M57" i="2"/>
  <c r="V41" i="17"/>
  <c r="V41" i="16"/>
  <c r="W41" i="15"/>
  <c r="R41" i="17"/>
  <c r="R41" i="16"/>
  <c r="S41" i="15"/>
  <c r="C58" i="2"/>
  <c r="B59" i="2"/>
  <c r="D59" i="2" s="1"/>
  <c r="AC33" i="7"/>
  <c r="BB31" i="2"/>
  <c r="AW39" i="2"/>
  <c r="AY32" i="2"/>
  <c r="AF33" i="7"/>
  <c r="AX39" i="2"/>
  <c r="AH30" i="9"/>
  <c r="AR30" i="7"/>
  <c r="M39" i="10"/>
  <c r="M39" i="9"/>
  <c r="N39" i="7"/>
  <c r="Q39" i="10"/>
  <c r="Q39" i="9"/>
  <c r="R39" i="7"/>
  <c r="D39" i="12"/>
  <c r="G39" i="12"/>
  <c r="Q39" i="14" s="1"/>
  <c r="S39" i="14" s="1"/>
  <c r="AH30" i="10"/>
  <c r="B40" i="12"/>
  <c r="T40" i="14" s="1"/>
  <c r="V40" i="14" s="1"/>
  <c r="B40" i="10"/>
  <c r="B40" i="9"/>
  <c r="C40" i="7"/>
  <c r="H39" i="10"/>
  <c r="H39" i="9"/>
  <c r="I39" i="7"/>
  <c r="L39" i="10"/>
  <c r="L39" i="9"/>
  <c r="M39" i="7"/>
  <c r="J39" i="10"/>
  <c r="J39" i="9"/>
  <c r="K39" i="7"/>
  <c r="AF37" i="10"/>
  <c r="AF37" i="9"/>
  <c r="AP37" i="7"/>
  <c r="Y41" i="10"/>
  <c r="Y41" i="9"/>
  <c r="Z41" i="7"/>
  <c r="O39" i="10"/>
  <c r="O39" i="9"/>
  <c r="P39" i="7"/>
  <c r="AE37" i="10"/>
  <c r="AE37" i="9"/>
  <c r="AO37" i="7"/>
  <c r="X41" i="10"/>
  <c r="X41" i="9"/>
  <c r="Y41" i="7"/>
  <c r="T39" i="10"/>
  <c r="T39" i="9"/>
  <c r="U39" i="7"/>
  <c r="F39" i="10"/>
  <c r="F39" i="9"/>
  <c r="G39" i="7"/>
  <c r="D39" i="10"/>
  <c r="D39" i="9"/>
  <c r="E39" i="7"/>
  <c r="AI37" i="7"/>
  <c r="AJ37" i="7"/>
  <c r="I39" i="10"/>
  <c r="I39" i="9"/>
  <c r="J39" i="7"/>
  <c r="N39" i="10"/>
  <c r="N39" i="9"/>
  <c r="O39" i="7"/>
  <c r="R39" i="10"/>
  <c r="R39" i="9"/>
  <c r="S39" i="7"/>
  <c r="P39" i="10"/>
  <c r="P39" i="9"/>
  <c r="Q39" i="7"/>
  <c r="AG31" i="10"/>
  <c r="AG31" i="9"/>
  <c r="AQ31" i="7"/>
  <c r="AB32" i="10"/>
  <c r="AB32" i="9"/>
  <c r="AL32" i="7"/>
  <c r="G39" i="10"/>
  <c r="G39" i="9"/>
  <c r="H39" i="7"/>
  <c r="K39" i="10"/>
  <c r="K39" i="9"/>
  <c r="L39" i="7"/>
  <c r="AD36" i="10"/>
  <c r="AD36" i="9"/>
  <c r="AN36" i="7"/>
  <c r="AC36" i="10"/>
  <c r="AC36" i="9"/>
  <c r="AM36" i="7"/>
  <c r="AA31" i="10"/>
  <c r="AA31" i="9"/>
  <c r="AK31" i="7"/>
  <c r="AB37" i="7"/>
  <c r="K38" i="12"/>
  <c r="H38" i="12"/>
  <c r="J38" i="12" s="1"/>
  <c r="U39" i="10"/>
  <c r="U39" i="9"/>
  <c r="V39" i="7"/>
  <c r="S39" i="10"/>
  <c r="S39" i="9"/>
  <c r="T39" i="7"/>
  <c r="E39" i="10"/>
  <c r="E39" i="9"/>
  <c r="F39" i="7"/>
  <c r="AH37" i="7"/>
  <c r="W41" i="10"/>
  <c r="W41" i="9"/>
  <c r="X41" i="7"/>
  <c r="K48" i="13"/>
  <c r="I49" i="13"/>
  <c r="L49" i="13" s="1"/>
  <c r="M49" i="13"/>
  <c r="E50" i="13"/>
  <c r="H50" i="13"/>
  <c r="G57" i="13"/>
  <c r="B57" i="13"/>
  <c r="F53" i="12"/>
  <c r="C57" i="12"/>
  <c r="AZ32" i="2"/>
  <c r="BA32" i="2"/>
  <c r="AE34" i="7"/>
  <c r="AD34" i="7"/>
  <c r="AG33" i="7"/>
  <c r="C32" i="3"/>
  <c r="B31" i="3"/>
  <c r="E31" i="3"/>
  <c r="F30" i="3"/>
  <c r="J38" i="3"/>
  <c r="G27" i="1"/>
  <c r="D30" i="1"/>
  <c r="W42" i="7" l="1"/>
  <c r="V42" i="10"/>
  <c r="D32" i="7"/>
  <c r="AK58" i="15"/>
  <c r="AA58" i="17"/>
  <c r="AA58" i="16"/>
  <c r="I59" i="2"/>
  <c r="G58" i="17"/>
  <c r="H58" i="15"/>
  <c r="G58" i="16"/>
  <c r="AG58" i="17"/>
  <c r="AG58" i="16"/>
  <c r="AQ58" i="15"/>
  <c r="B59" i="11"/>
  <c r="B59" i="17"/>
  <c r="B59" i="16"/>
  <c r="AG59" i="2"/>
  <c r="AF59" i="15" s="1"/>
  <c r="C59" i="15"/>
  <c r="AH59" i="2"/>
  <c r="AG59" i="15" s="1"/>
  <c r="AK59" i="2"/>
  <c r="AJ59" i="15" s="1"/>
  <c r="AD59" i="2"/>
  <c r="AC59" i="15" s="1"/>
  <c r="AE59" i="2"/>
  <c r="AD59" i="15" s="1"/>
  <c r="AL59" i="2"/>
  <c r="AF59" i="2"/>
  <c r="AE59" i="15" s="1"/>
  <c r="AR59" i="2"/>
  <c r="AJ59" i="2"/>
  <c r="AI59" i="15" s="1"/>
  <c r="AI59" i="2"/>
  <c r="AH59" i="15" s="1"/>
  <c r="AC59" i="2"/>
  <c r="AB59" i="15" s="1"/>
  <c r="W57" i="14"/>
  <c r="Y57" i="14" s="1"/>
  <c r="H57" i="11"/>
  <c r="K57" i="11" s="1"/>
  <c r="Z58" i="14"/>
  <c r="AB58" i="14" s="1"/>
  <c r="D58" i="11"/>
  <c r="G58" i="11"/>
  <c r="AA43" i="2"/>
  <c r="Y44" i="4"/>
  <c r="Y43" i="2"/>
  <c r="W44" i="4"/>
  <c r="I59" i="4"/>
  <c r="L58" i="2"/>
  <c r="O59" i="4"/>
  <c r="Q58" i="2"/>
  <c r="H57" i="17"/>
  <c r="H57" i="16"/>
  <c r="I57" i="15"/>
  <c r="P44" i="4"/>
  <c r="R43" i="2"/>
  <c r="K57" i="17"/>
  <c r="K57" i="16"/>
  <c r="L57" i="15"/>
  <c r="U44" i="4"/>
  <c r="W43" i="2"/>
  <c r="V42" i="16"/>
  <c r="W42" i="15"/>
  <c r="V42" i="17"/>
  <c r="Z43" i="2"/>
  <c r="X44" i="4"/>
  <c r="H41" i="14"/>
  <c r="J41" i="14" s="1"/>
  <c r="B41" i="14"/>
  <c r="D41" i="14" s="1"/>
  <c r="C59" i="4"/>
  <c r="F58" i="2"/>
  <c r="E57" i="17"/>
  <c r="E57" i="16"/>
  <c r="F57" i="15"/>
  <c r="N42" i="17"/>
  <c r="N42" i="16"/>
  <c r="O42" i="15"/>
  <c r="R44" i="4"/>
  <c r="T43" i="2"/>
  <c r="Q44" i="4"/>
  <c r="S43" i="2"/>
  <c r="Z42" i="16"/>
  <c r="AA42" i="15"/>
  <c r="Z42" i="17"/>
  <c r="Z42" i="9"/>
  <c r="AA42" i="7"/>
  <c r="Z42" i="10"/>
  <c r="P42" i="17"/>
  <c r="P42" i="16"/>
  <c r="Q42" i="15"/>
  <c r="T42" i="16"/>
  <c r="T42" i="17"/>
  <c r="U42" i="15"/>
  <c r="Z42" i="15"/>
  <c r="Y42" i="17"/>
  <c r="Y42" i="16"/>
  <c r="L57" i="17"/>
  <c r="L57" i="16"/>
  <c r="M57" i="15"/>
  <c r="J59" i="4"/>
  <c r="M58" i="2"/>
  <c r="I57" i="16"/>
  <c r="I57" i="17"/>
  <c r="J57" i="15"/>
  <c r="X42" i="17"/>
  <c r="X42" i="16"/>
  <c r="Y42" i="15"/>
  <c r="AB43" i="2"/>
  <c r="Z44" i="4"/>
  <c r="D59" i="4"/>
  <c r="G58" i="2"/>
  <c r="N44" i="4"/>
  <c r="P43" i="2"/>
  <c r="J57" i="17"/>
  <c r="J57" i="16"/>
  <c r="K57" i="15"/>
  <c r="B34" i="4"/>
  <c r="E33" i="2"/>
  <c r="C33" i="9" s="1"/>
  <c r="S42" i="17"/>
  <c r="S42" i="16"/>
  <c r="T42" i="15"/>
  <c r="K59" i="4"/>
  <c r="N58" i="2"/>
  <c r="F57" i="17"/>
  <c r="F57" i="16"/>
  <c r="G57" i="15"/>
  <c r="H59" i="4"/>
  <c r="K58" i="2"/>
  <c r="O57" i="17"/>
  <c r="O57" i="16"/>
  <c r="P57" i="15"/>
  <c r="C32" i="17"/>
  <c r="C32" i="16"/>
  <c r="D32" i="15"/>
  <c r="S44" i="4"/>
  <c r="U44" i="2" s="1"/>
  <c r="W42" i="17"/>
  <c r="W42" i="16"/>
  <c r="X42" i="15"/>
  <c r="C32" i="10"/>
  <c r="AS42" i="2"/>
  <c r="M42" i="17"/>
  <c r="AH42" i="17" s="1"/>
  <c r="N42" i="14" s="1"/>
  <c r="P42" i="14" s="1"/>
  <c r="M42" i="16"/>
  <c r="AH42" i="16" s="1"/>
  <c r="K42" i="14" s="1"/>
  <c r="M42" i="14" s="1"/>
  <c r="N42" i="15"/>
  <c r="AR42" i="15" s="1"/>
  <c r="E42" i="14" s="1"/>
  <c r="G42" i="14" s="1"/>
  <c r="T44" i="4"/>
  <c r="V43" i="2"/>
  <c r="R42" i="16"/>
  <c r="R42" i="17"/>
  <c r="S42" i="15"/>
  <c r="G59" i="4"/>
  <c r="J58" i="2"/>
  <c r="U42" i="17"/>
  <c r="U42" i="16"/>
  <c r="V42" i="15"/>
  <c r="X43" i="2"/>
  <c r="V43" i="10" s="1"/>
  <c r="V44" i="4"/>
  <c r="M44" i="4"/>
  <c r="O43" i="2"/>
  <c r="D57" i="17"/>
  <c r="D57" i="16"/>
  <c r="E57" i="15"/>
  <c r="Q42" i="16"/>
  <c r="Q42" i="17"/>
  <c r="R42" i="15"/>
  <c r="AT42" i="2"/>
  <c r="E59" i="4"/>
  <c r="H58" i="2"/>
  <c r="B60" i="2"/>
  <c r="D60" i="2" s="1"/>
  <c r="C59" i="2"/>
  <c r="AC34" i="7"/>
  <c r="AX40" i="2"/>
  <c r="BB32" i="2"/>
  <c r="AY33" i="2"/>
  <c r="AW40" i="2"/>
  <c r="AF34" i="7"/>
  <c r="AH31" i="9"/>
  <c r="AH31" i="10"/>
  <c r="AF38" i="10"/>
  <c r="AF38" i="9"/>
  <c r="AP38" i="7"/>
  <c r="X42" i="10"/>
  <c r="X42" i="9"/>
  <c r="Y42" i="7"/>
  <c r="R40" i="10"/>
  <c r="R40" i="9"/>
  <c r="S40" i="7"/>
  <c r="P40" i="10"/>
  <c r="P40" i="9"/>
  <c r="Q40" i="7"/>
  <c r="N40" i="10"/>
  <c r="N40" i="9"/>
  <c r="O40" i="7"/>
  <c r="K39" i="12"/>
  <c r="H39" i="12"/>
  <c r="J39" i="12" s="1"/>
  <c r="B41" i="12"/>
  <c r="T41" i="14" s="1"/>
  <c r="V41" i="14" s="1"/>
  <c r="B41" i="10"/>
  <c r="B41" i="9"/>
  <c r="C41" i="7"/>
  <c r="J40" i="10"/>
  <c r="J40" i="9"/>
  <c r="K40" i="7"/>
  <c r="H40" i="10"/>
  <c r="H40" i="9"/>
  <c r="I40" i="7"/>
  <c r="L40" i="10"/>
  <c r="L40" i="9"/>
  <c r="M40" i="7"/>
  <c r="D40" i="12"/>
  <c r="G40" i="12"/>
  <c r="Q40" i="14" s="1"/>
  <c r="S40" i="14" s="1"/>
  <c r="AC37" i="10"/>
  <c r="AC37" i="9"/>
  <c r="AM37" i="7"/>
  <c r="W42" i="10"/>
  <c r="W42" i="9"/>
  <c r="X42" i="7"/>
  <c r="AI38" i="7"/>
  <c r="AJ38" i="7"/>
  <c r="D40" i="10"/>
  <c r="D40" i="9"/>
  <c r="E40" i="7"/>
  <c r="U40" i="10"/>
  <c r="U40" i="9"/>
  <c r="V40" i="7"/>
  <c r="F40" i="10"/>
  <c r="F40" i="9"/>
  <c r="G40" i="7"/>
  <c r="Q40" i="10"/>
  <c r="Q40" i="9"/>
  <c r="R40" i="7"/>
  <c r="O40" i="10"/>
  <c r="O40" i="9"/>
  <c r="P40" i="7"/>
  <c r="S40" i="10"/>
  <c r="S40" i="9"/>
  <c r="T40" i="7"/>
  <c r="AE38" i="10"/>
  <c r="AE38" i="9"/>
  <c r="AO38" i="7"/>
  <c r="AG32" i="10"/>
  <c r="AG32" i="9"/>
  <c r="AQ32" i="7"/>
  <c r="AH38" i="7"/>
  <c r="AB38" i="7"/>
  <c r="K40" i="10"/>
  <c r="K40" i="9"/>
  <c r="L40" i="7"/>
  <c r="I40" i="10"/>
  <c r="I40" i="9"/>
  <c r="J40" i="7"/>
  <c r="G40" i="10"/>
  <c r="G40" i="9"/>
  <c r="H40" i="7"/>
  <c r="M40" i="10"/>
  <c r="M40" i="9"/>
  <c r="N40" i="7"/>
  <c r="Y42" i="10"/>
  <c r="Y42" i="9"/>
  <c r="Z42" i="7"/>
  <c r="AD37" i="10"/>
  <c r="AD37" i="9"/>
  <c r="AN37" i="7"/>
  <c r="AB33" i="10"/>
  <c r="AB33" i="9"/>
  <c r="AL33" i="7"/>
  <c r="AA32" i="10"/>
  <c r="AA32" i="9"/>
  <c r="AK32" i="7"/>
  <c r="AR31" i="7"/>
  <c r="E40" i="10"/>
  <c r="E40" i="9"/>
  <c r="F40" i="7"/>
  <c r="T40" i="10"/>
  <c r="T40" i="9"/>
  <c r="U40" i="7"/>
  <c r="K49" i="13"/>
  <c r="E51" i="13"/>
  <c r="H51" i="13"/>
  <c r="I50" i="13"/>
  <c r="L50" i="13" s="1"/>
  <c r="M50" i="13"/>
  <c r="B58" i="13"/>
  <c r="G58" i="13"/>
  <c r="C58" i="12"/>
  <c r="F54" i="12"/>
  <c r="AZ33" i="2"/>
  <c r="BA33" i="2"/>
  <c r="AE35" i="7"/>
  <c r="AD35" i="7"/>
  <c r="AG34" i="7"/>
  <c r="C33" i="3"/>
  <c r="B32" i="3"/>
  <c r="J39" i="3"/>
  <c r="F31" i="3"/>
  <c r="E32" i="3"/>
  <c r="G28" i="1"/>
  <c r="D31" i="1"/>
  <c r="C33" i="10" l="1"/>
  <c r="D33" i="7"/>
  <c r="L57" i="11"/>
  <c r="J57" i="11"/>
  <c r="B60" i="17"/>
  <c r="B60" i="16"/>
  <c r="B60" i="11"/>
  <c r="C60" i="15"/>
  <c r="AG60" i="2"/>
  <c r="AF60" i="15" s="1"/>
  <c r="AH60" i="2"/>
  <c r="AG60" i="15" s="1"/>
  <c r="AL60" i="2"/>
  <c r="AF60" i="2"/>
  <c r="AE60" i="15" s="1"/>
  <c r="AK60" i="2"/>
  <c r="AJ60" i="15" s="1"/>
  <c r="AR60" i="2"/>
  <c r="AE60" i="2"/>
  <c r="AD60" i="15" s="1"/>
  <c r="AD60" i="2"/>
  <c r="AC60" i="15" s="1"/>
  <c r="AC60" i="2"/>
  <c r="AB60" i="15" s="1"/>
  <c r="AI60" i="2"/>
  <c r="AH60" i="15" s="1"/>
  <c r="AJ60" i="2"/>
  <c r="AI60" i="15" s="1"/>
  <c r="Z59" i="14"/>
  <c r="AB59" i="14" s="1"/>
  <c r="D59" i="11"/>
  <c r="G59" i="11"/>
  <c r="AG59" i="16"/>
  <c r="AG59" i="17"/>
  <c r="AQ59" i="15"/>
  <c r="G59" i="17"/>
  <c r="G59" i="16"/>
  <c r="I60" i="2"/>
  <c r="H59" i="15"/>
  <c r="W58" i="14"/>
  <c r="Y58" i="14" s="1"/>
  <c r="H58" i="11"/>
  <c r="J58" i="11" s="1"/>
  <c r="AA59" i="17"/>
  <c r="AA59" i="16"/>
  <c r="AK59" i="15"/>
  <c r="N43" i="16"/>
  <c r="N43" i="17"/>
  <c r="O43" i="15"/>
  <c r="R43" i="17"/>
  <c r="R43" i="16"/>
  <c r="S43" i="15"/>
  <c r="U43" i="16"/>
  <c r="U43" i="17"/>
  <c r="V43" i="15"/>
  <c r="P45" i="4"/>
  <c r="R44" i="2"/>
  <c r="F58" i="17"/>
  <c r="F58" i="16"/>
  <c r="G58" i="15"/>
  <c r="V43" i="16"/>
  <c r="V43" i="17"/>
  <c r="W43" i="15"/>
  <c r="Z43" i="17"/>
  <c r="Z43" i="16"/>
  <c r="AA43" i="15"/>
  <c r="Z43" i="10"/>
  <c r="Z43" i="9"/>
  <c r="AA43" i="7"/>
  <c r="Z44" i="2"/>
  <c r="X45" i="4"/>
  <c r="U45" i="4"/>
  <c r="W44" i="2"/>
  <c r="I60" i="4"/>
  <c r="L59" i="2"/>
  <c r="E60" i="4"/>
  <c r="H59" i="2"/>
  <c r="S43" i="17"/>
  <c r="S43" i="16"/>
  <c r="T43" i="15"/>
  <c r="K58" i="17"/>
  <c r="K58" i="16"/>
  <c r="L58" i="15"/>
  <c r="R45" i="4"/>
  <c r="T44" i="2"/>
  <c r="Y43" i="15"/>
  <c r="X43" i="17"/>
  <c r="X43" i="16"/>
  <c r="Y44" i="2"/>
  <c r="W45" i="4"/>
  <c r="W43" i="7"/>
  <c r="H42" i="14"/>
  <c r="J42" i="14" s="1"/>
  <c r="B42" i="14"/>
  <c r="D42" i="14" s="1"/>
  <c r="S45" i="4"/>
  <c r="U45" i="2" s="1"/>
  <c r="C33" i="17"/>
  <c r="C33" i="16"/>
  <c r="D33" i="15"/>
  <c r="N45" i="4"/>
  <c r="P44" i="2"/>
  <c r="J60" i="4"/>
  <c r="M59" i="2"/>
  <c r="D58" i="17"/>
  <c r="D58" i="16"/>
  <c r="E58" i="15"/>
  <c r="W43" i="17"/>
  <c r="W43" i="16"/>
  <c r="X43" i="15"/>
  <c r="X44" i="2"/>
  <c r="V44" i="10" s="1"/>
  <c r="V45" i="4"/>
  <c r="G60" i="4"/>
  <c r="J59" i="2"/>
  <c r="AB44" i="2"/>
  <c r="Z45" i="4"/>
  <c r="J58" i="17"/>
  <c r="J58" i="16"/>
  <c r="K58" i="15"/>
  <c r="V43" i="9"/>
  <c r="M43" i="17"/>
  <c r="AH43" i="17" s="1"/>
  <c r="N43" i="14" s="1"/>
  <c r="P43" i="14" s="1"/>
  <c r="M43" i="16"/>
  <c r="AH43" i="16" s="1"/>
  <c r="K43" i="14" s="1"/>
  <c r="M43" i="14" s="1"/>
  <c r="AS43" i="2"/>
  <c r="N43" i="15"/>
  <c r="AR43" i="15" s="1"/>
  <c r="E43" i="14" s="1"/>
  <c r="G43" i="14" s="1"/>
  <c r="T43" i="17"/>
  <c r="T43" i="16"/>
  <c r="U43" i="15"/>
  <c r="I58" i="17"/>
  <c r="I58" i="16"/>
  <c r="J58" i="15"/>
  <c r="L58" i="16"/>
  <c r="L58" i="17"/>
  <c r="M58" i="15"/>
  <c r="B35" i="4"/>
  <c r="E34" i="2"/>
  <c r="C34" i="10" s="1"/>
  <c r="E58" i="16"/>
  <c r="E58" i="17"/>
  <c r="F58" i="15"/>
  <c r="Q43" i="17"/>
  <c r="Q43" i="16"/>
  <c r="R43" i="15"/>
  <c r="AT43" i="2"/>
  <c r="C60" i="4"/>
  <c r="F59" i="2"/>
  <c r="O58" i="17"/>
  <c r="O58" i="16"/>
  <c r="P58" i="15"/>
  <c r="AA44" i="2"/>
  <c r="Y45" i="4"/>
  <c r="M45" i="4"/>
  <c r="O44" i="2"/>
  <c r="H58" i="17"/>
  <c r="H58" i="16"/>
  <c r="I58" i="15"/>
  <c r="T45" i="4"/>
  <c r="V44" i="2"/>
  <c r="H60" i="4"/>
  <c r="K59" i="2"/>
  <c r="K60" i="4"/>
  <c r="N59" i="2"/>
  <c r="D60" i="4"/>
  <c r="G59" i="2"/>
  <c r="Q45" i="4"/>
  <c r="S44" i="2"/>
  <c r="P43" i="16"/>
  <c r="P43" i="17"/>
  <c r="Q43" i="15"/>
  <c r="O60" i="4"/>
  <c r="Q59" i="2"/>
  <c r="Y43" i="17"/>
  <c r="Y43" i="16"/>
  <c r="Z43" i="15"/>
  <c r="C60" i="2"/>
  <c r="B61" i="2"/>
  <c r="D61" i="2" s="1"/>
  <c r="AC35" i="7"/>
  <c r="BB33" i="2"/>
  <c r="AX41" i="2"/>
  <c r="AY34" i="2"/>
  <c r="AF35" i="7"/>
  <c r="AW41" i="2"/>
  <c r="AH32" i="10"/>
  <c r="AH32" i="9"/>
  <c r="AR32" i="7"/>
  <c r="AB39" i="7"/>
  <c r="AI39" i="7"/>
  <c r="AJ39" i="7"/>
  <c r="T41" i="10"/>
  <c r="T41" i="9"/>
  <c r="U41" i="7"/>
  <c r="J41" i="10"/>
  <c r="J41" i="9"/>
  <c r="K41" i="7"/>
  <c r="H41" i="10"/>
  <c r="H41" i="9"/>
  <c r="I41" i="7"/>
  <c r="X43" i="10"/>
  <c r="X43" i="9"/>
  <c r="Y43" i="7"/>
  <c r="W43" i="10"/>
  <c r="W43" i="9"/>
  <c r="X43" i="7"/>
  <c r="G41" i="10"/>
  <c r="G41" i="9"/>
  <c r="H41" i="7"/>
  <c r="N41" i="10"/>
  <c r="N41" i="9"/>
  <c r="O41" i="7"/>
  <c r="D41" i="10"/>
  <c r="D41" i="9"/>
  <c r="E41" i="7"/>
  <c r="P41" i="10"/>
  <c r="P41" i="9"/>
  <c r="Q41" i="7"/>
  <c r="AF39" i="10"/>
  <c r="AF39" i="9"/>
  <c r="AP39" i="7"/>
  <c r="AH39" i="7"/>
  <c r="U41" i="10"/>
  <c r="U41" i="9"/>
  <c r="V41" i="7"/>
  <c r="K41" i="10"/>
  <c r="K41" i="9"/>
  <c r="L41" i="7"/>
  <c r="R41" i="10"/>
  <c r="R41" i="9"/>
  <c r="S41" i="7"/>
  <c r="AE39" i="10"/>
  <c r="AE39" i="9"/>
  <c r="AO39" i="7"/>
  <c r="AA33" i="10"/>
  <c r="AA33" i="9"/>
  <c r="AK33" i="7"/>
  <c r="K40" i="12"/>
  <c r="H40" i="12"/>
  <c r="J40" i="12" s="1"/>
  <c r="O41" i="10"/>
  <c r="O41" i="9"/>
  <c r="P41" i="7"/>
  <c r="E41" i="10"/>
  <c r="E41" i="9"/>
  <c r="F41" i="7"/>
  <c r="I41" i="10"/>
  <c r="I41" i="9"/>
  <c r="J41" i="7"/>
  <c r="AB34" i="10"/>
  <c r="AB34" i="9"/>
  <c r="AL34" i="7"/>
  <c r="Y43" i="10"/>
  <c r="Y43" i="9"/>
  <c r="Z43" i="7"/>
  <c r="L41" i="10"/>
  <c r="L41" i="9"/>
  <c r="M41" i="7"/>
  <c r="S41" i="10"/>
  <c r="S41" i="9"/>
  <c r="T41" i="7"/>
  <c r="D41" i="12"/>
  <c r="G41" i="12"/>
  <c r="Q41" i="14" s="1"/>
  <c r="S41" i="14" s="1"/>
  <c r="AD38" i="10"/>
  <c r="AD38" i="9"/>
  <c r="AN38" i="7"/>
  <c r="AG33" i="10"/>
  <c r="AG33" i="9"/>
  <c r="AQ33" i="7"/>
  <c r="AC38" i="10"/>
  <c r="AC38" i="9"/>
  <c r="AM38" i="7"/>
  <c r="B42" i="12"/>
  <c r="T42" i="14" s="1"/>
  <c r="V42" i="14" s="1"/>
  <c r="B42" i="10"/>
  <c r="B42" i="9"/>
  <c r="AX42" i="2"/>
  <c r="C42" i="7"/>
  <c r="F41" i="10"/>
  <c r="F41" i="9"/>
  <c r="G41" i="7"/>
  <c r="M41" i="10"/>
  <c r="M41" i="9"/>
  <c r="N41" i="7"/>
  <c r="Q41" i="10"/>
  <c r="Q41" i="9"/>
  <c r="R41" i="7"/>
  <c r="K50" i="13"/>
  <c r="I51" i="13"/>
  <c r="L51" i="13" s="1"/>
  <c r="M51" i="13"/>
  <c r="H52" i="13"/>
  <c r="E52" i="13"/>
  <c r="O52" i="13" s="1"/>
  <c r="G59" i="13"/>
  <c r="B59" i="13"/>
  <c r="C59" i="12"/>
  <c r="F55" i="12"/>
  <c r="AZ34" i="2"/>
  <c r="BA34" i="2"/>
  <c r="AE36" i="7"/>
  <c r="AD36" i="7"/>
  <c r="AG35" i="7"/>
  <c r="C34" i="3"/>
  <c r="B33" i="3"/>
  <c r="F32" i="3"/>
  <c r="E33" i="3"/>
  <c r="J40" i="3"/>
  <c r="G29" i="1"/>
  <c r="D32" i="1"/>
  <c r="D34" i="7" l="1"/>
  <c r="C34" i="9"/>
  <c r="W44" i="7"/>
  <c r="V44" i="9"/>
  <c r="B61" i="16"/>
  <c r="B61" i="11"/>
  <c r="B61" i="17"/>
  <c r="AG61" i="2"/>
  <c r="AF61" i="15" s="1"/>
  <c r="C61" i="15"/>
  <c r="AH61" i="2"/>
  <c r="AG61" i="15" s="1"/>
  <c r="AD61" i="2"/>
  <c r="AC61" i="15" s="1"/>
  <c r="AE61" i="2"/>
  <c r="AD61" i="15" s="1"/>
  <c r="AR61" i="2"/>
  <c r="AK61" i="2"/>
  <c r="AJ61" i="15" s="1"/>
  <c r="AJ61" i="2"/>
  <c r="AI61" i="15" s="1"/>
  <c r="AF61" i="2"/>
  <c r="AE61" i="15" s="1"/>
  <c r="AI61" i="2"/>
  <c r="AH61" i="15" s="1"/>
  <c r="AL61" i="2"/>
  <c r="AC61" i="2"/>
  <c r="AB61" i="15" s="1"/>
  <c r="I61" i="2"/>
  <c r="G60" i="17"/>
  <c r="G60" i="16"/>
  <c r="H60" i="15"/>
  <c r="W59" i="14"/>
  <c r="Y59" i="14" s="1"/>
  <c r="H59" i="11"/>
  <c r="J59" i="11" s="1"/>
  <c r="AG60" i="16"/>
  <c r="AQ60" i="15"/>
  <c r="AG60" i="17"/>
  <c r="Z60" i="14"/>
  <c r="AB60" i="14" s="1"/>
  <c r="D60" i="11"/>
  <c r="G60" i="11"/>
  <c r="AA60" i="17"/>
  <c r="AA60" i="16"/>
  <c r="AK60" i="15"/>
  <c r="I59" i="17"/>
  <c r="I59" i="16"/>
  <c r="J59" i="15"/>
  <c r="AB45" i="2"/>
  <c r="Z46" i="4"/>
  <c r="Y45" i="2"/>
  <c r="W46" i="4"/>
  <c r="P46" i="4"/>
  <c r="R45" i="2"/>
  <c r="M44" i="17"/>
  <c r="AH44" i="17" s="1"/>
  <c r="N44" i="14" s="1"/>
  <c r="P44" i="14" s="1"/>
  <c r="M44" i="16"/>
  <c r="AH44" i="16" s="1"/>
  <c r="K44" i="14" s="1"/>
  <c r="M44" i="14" s="1"/>
  <c r="AS44" i="2"/>
  <c r="N44" i="15"/>
  <c r="AR44" i="15" s="1"/>
  <c r="E44" i="14" s="1"/>
  <c r="G44" i="14" s="1"/>
  <c r="AA44" i="15"/>
  <c r="Z44" i="17"/>
  <c r="Z44" i="16"/>
  <c r="Z44" i="10"/>
  <c r="Z44" i="9"/>
  <c r="AA44" i="7"/>
  <c r="W44" i="16"/>
  <c r="X44" i="15"/>
  <c r="W44" i="17"/>
  <c r="U46" i="4"/>
  <c r="W45" i="2"/>
  <c r="E59" i="16"/>
  <c r="E59" i="17"/>
  <c r="F59" i="15"/>
  <c r="L59" i="17"/>
  <c r="L59" i="16"/>
  <c r="M59" i="15"/>
  <c r="Z44" i="15"/>
  <c r="Y44" i="16"/>
  <c r="Y44" i="17"/>
  <c r="X45" i="2"/>
  <c r="V45" i="10" s="1"/>
  <c r="V46" i="4"/>
  <c r="J59" i="17"/>
  <c r="J59" i="16"/>
  <c r="K59" i="15"/>
  <c r="O59" i="17"/>
  <c r="O59" i="16"/>
  <c r="P59" i="15"/>
  <c r="H61" i="4"/>
  <c r="K60" i="2"/>
  <c r="R46" i="4"/>
  <c r="T45" i="2"/>
  <c r="K61" i="4"/>
  <c r="N60" i="2"/>
  <c r="C34" i="17"/>
  <c r="C34" i="16"/>
  <c r="D34" i="15"/>
  <c r="H43" i="14"/>
  <c r="J43" i="14" s="1"/>
  <c r="B43" i="14"/>
  <c r="D43" i="14" s="1"/>
  <c r="V44" i="17"/>
  <c r="V44" i="16"/>
  <c r="W44" i="15"/>
  <c r="R44" i="16"/>
  <c r="R44" i="17"/>
  <c r="S44" i="15"/>
  <c r="I61" i="4"/>
  <c r="L60" i="2"/>
  <c r="P44" i="17"/>
  <c r="P44" i="16"/>
  <c r="Q44" i="15"/>
  <c r="Q44" i="17"/>
  <c r="Q44" i="16"/>
  <c r="R44" i="15"/>
  <c r="AT44" i="2"/>
  <c r="K59" i="17"/>
  <c r="K59" i="16"/>
  <c r="L59" i="15"/>
  <c r="Q46" i="4"/>
  <c r="S45" i="2"/>
  <c r="J61" i="4"/>
  <c r="M60" i="2"/>
  <c r="M46" i="4"/>
  <c r="O45" i="2"/>
  <c r="H59" i="17"/>
  <c r="H59" i="16"/>
  <c r="I59" i="15"/>
  <c r="B36" i="4"/>
  <c r="E35" i="2"/>
  <c r="C35" i="9" s="1"/>
  <c r="U44" i="17"/>
  <c r="U44" i="16"/>
  <c r="V44" i="15"/>
  <c r="S44" i="17"/>
  <c r="S44" i="16"/>
  <c r="T44" i="15"/>
  <c r="O61" i="4"/>
  <c r="Q60" i="2"/>
  <c r="T44" i="17"/>
  <c r="T44" i="16"/>
  <c r="U44" i="15"/>
  <c r="D59" i="17"/>
  <c r="D59" i="16"/>
  <c r="E59" i="15"/>
  <c r="N44" i="16"/>
  <c r="N44" i="17"/>
  <c r="O44" i="15"/>
  <c r="S46" i="4"/>
  <c r="U46" i="2" s="1"/>
  <c r="F59" i="16"/>
  <c r="F59" i="17"/>
  <c r="G59" i="15"/>
  <c r="Z45" i="2"/>
  <c r="X46" i="4"/>
  <c r="D61" i="4"/>
  <c r="G60" i="2"/>
  <c r="T46" i="4"/>
  <c r="V45" i="2"/>
  <c r="AA45" i="2"/>
  <c r="Y46" i="4"/>
  <c r="C61" i="4"/>
  <c r="F60" i="2"/>
  <c r="G61" i="4"/>
  <c r="J60" i="2"/>
  <c r="N46" i="4"/>
  <c r="P45" i="2"/>
  <c r="E61" i="4"/>
  <c r="H60" i="2"/>
  <c r="X44" i="17"/>
  <c r="X44" i="16"/>
  <c r="Y44" i="15"/>
  <c r="B62" i="2"/>
  <c r="D62" i="2" s="1"/>
  <c r="C61" i="2"/>
  <c r="AC36" i="7"/>
  <c r="BB34" i="2"/>
  <c r="AF36" i="7"/>
  <c r="AY35" i="2"/>
  <c r="AW42" i="2"/>
  <c r="AB35" i="10"/>
  <c r="AB35" i="9"/>
  <c r="AL35" i="7"/>
  <c r="R42" i="10"/>
  <c r="R42" i="9"/>
  <c r="S42" i="7"/>
  <c r="F42" i="10"/>
  <c r="F42" i="9"/>
  <c r="G42" i="7"/>
  <c r="N42" i="10"/>
  <c r="N42" i="9"/>
  <c r="O42" i="7"/>
  <c r="K41" i="12"/>
  <c r="H41" i="12"/>
  <c r="J41" i="12" s="1"/>
  <c r="AA34" i="10"/>
  <c r="AA34" i="9"/>
  <c r="AK34" i="7"/>
  <c r="H42" i="10"/>
  <c r="H42" i="9"/>
  <c r="I42" i="7"/>
  <c r="U42" i="10"/>
  <c r="U42" i="9"/>
  <c r="V42" i="7"/>
  <c r="J42" i="10"/>
  <c r="J42" i="9"/>
  <c r="K42" i="7"/>
  <c r="D42" i="12"/>
  <c r="G42" i="12"/>
  <c r="Q42" i="14" s="1"/>
  <c r="S42" i="14" s="1"/>
  <c r="AH40" i="7"/>
  <c r="X44" i="10"/>
  <c r="X44" i="9"/>
  <c r="Y44" i="7"/>
  <c r="AC39" i="10"/>
  <c r="AC39" i="9"/>
  <c r="AM39" i="7"/>
  <c r="AF40" i="10"/>
  <c r="AF40" i="9"/>
  <c r="AP40" i="7"/>
  <c r="Q42" i="10"/>
  <c r="Q42" i="9"/>
  <c r="R42" i="7"/>
  <c r="O42" i="10"/>
  <c r="O42" i="9"/>
  <c r="P42" i="7"/>
  <c r="D42" i="10"/>
  <c r="D42" i="9"/>
  <c r="E42" i="7"/>
  <c r="AI40" i="7"/>
  <c r="AJ40" i="7"/>
  <c r="AG34" i="10"/>
  <c r="AG34" i="9"/>
  <c r="AQ34" i="7"/>
  <c r="G42" i="10"/>
  <c r="G42" i="9"/>
  <c r="H42" i="7"/>
  <c r="K42" i="10"/>
  <c r="K42" i="9"/>
  <c r="L42" i="7"/>
  <c r="S42" i="10"/>
  <c r="S42" i="9"/>
  <c r="T42" i="7"/>
  <c r="AR33" i="7"/>
  <c r="B43" i="12"/>
  <c r="T43" i="14" s="1"/>
  <c r="V43" i="14" s="1"/>
  <c r="B43" i="10"/>
  <c r="B43" i="9"/>
  <c r="C43" i="7"/>
  <c r="I42" i="10"/>
  <c r="I42" i="9"/>
  <c r="J42" i="7"/>
  <c r="P42" i="10"/>
  <c r="P42" i="9"/>
  <c r="Q42" i="7"/>
  <c r="E42" i="10"/>
  <c r="E42" i="9"/>
  <c r="F42" i="7"/>
  <c r="M42" i="10"/>
  <c r="M42" i="9"/>
  <c r="N42" i="7"/>
  <c r="Y44" i="10"/>
  <c r="Y44" i="9"/>
  <c r="Z44" i="7"/>
  <c r="AH33" i="9"/>
  <c r="W44" i="10"/>
  <c r="W44" i="9"/>
  <c r="X44" i="7"/>
  <c r="AB40" i="7"/>
  <c r="AD39" i="10"/>
  <c r="AD39" i="9"/>
  <c r="AN39" i="7"/>
  <c r="AE40" i="10"/>
  <c r="AE40" i="9"/>
  <c r="AO40" i="7"/>
  <c r="L42" i="10"/>
  <c r="L42" i="9"/>
  <c r="M42" i="7"/>
  <c r="T42" i="10"/>
  <c r="T42" i="9"/>
  <c r="U42" i="7"/>
  <c r="W45" i="7"/>
  <c r="AH33" i="10"/>
  <c r="K51" i="13"/>
  <c r="I52" i="13"/>
  <c r="L52" i="13" s="1"/>
  <c r="M52" i="13"/>
  <c r="H53" i="13"/>
  <c r="E53" i="13"/>
  <c r="P52" i="13"/>
  <c r="Q52" i="13"/>
  <c r="N52" i="13"/>
  <c r="B60" i="13"/>
  <c r="G60" i="13"/>
  <c r="C60" i="12"/>
  <c r="F56" i="12"/>
  <c r="AZ35" i="2"/>
  <c r="BA35" i="2"/>
  <c r="AE37" i="7"/>
  <c r="AD37" i="7"/>
  <c r="AG36" i="7"/>
  <c r="C35" i="3"/>
  <c r="B34" i="3"/>
  <c r="F33" i="3"/>
  <c r="E34" i="3"/>
  <c r="J41" i="3"/>
  <c r="G30" i="1"/>
  <c r="D33" i="1"/>
  <c r="G61" i="17" l="1"/>
  <c r="H61" i="15"/>
  <c r="G61" i="16"/>
  <c r="B62" i="17"/>
  <c r="B62" i="16"/>
  <c r="B62" i="11"/>
  <c r="C62" i="15"/>
  <c r="AG62" i="2"/>
  <c r="AF62" i="15" s="1"/>
  <c r="AH62" i="2"/>
  <c r="AG62" i="15" s="1"/>
  <c r="AF62" i="2"/>
  <c r="AE62" i="15" s="1"/>
  <c r="AC62" i="2"/>
  <c r="AB62" i="15" s="1"/>
  <c r="AD62" i="2"/>
  <c r="AC62" i="15" s="1"/>
  <c r="AJ62" i="2"/>
  <c r="AI62" i="15" s="1"/>
  <c r="AL62" i="2"/>
  <c r="AR62" i="2"/>
  <c r="AE62" i="2"/>
  <c r="AD62" i="15" s="1"/>
  <c r="AI62" i="2"/>
  <c r="AH62" i="15" s="1"/>
  <c r="AK62" i="2"/>
  <c r="AJ62" i="15" s="1"/>
  <c r="I62" i="2"/>
  <c r="W60" i="14"/>
  <c r="Y60" i="14" s="1"/>
  <c r="H60" i="11"/>
  <c r="J60" i="11"/>
  <c r="AG61" i="17"/>
  <c r="AQ61" i="15"/>
  <c r="AG61" i="16"/>
  <c r="AK61" i="15"/>
  <c r="AA61" i="17"/>
  <c r="AA61" i="16"/>
  <c r="Z61" i="14"/>
  <c r="AB61" i="14" s="1"/>
  <c r="D61" i="11"/>
  <c r="G61" i="11"/>
  <c r="X45" i="15"/>
  <c r="W45" i="17"/>
  <c r="W45" i="16"/>
  <c r="U45" i="16"/>
  <c r="U45" i="17"/>
  <c r="V45" i="15"/>
  <c r="N45" i="16"/>
  <c r="N45" i="17"/>
  <c r="O45" i="15"/>
  <c r="AA46" i="2"/>
  <c r="Y47" i="4"/>
  <c r="Z46" i="2"/>
  <c r="X47" i="4"/>
  <c r="S47" i="4"/>
  <c r="U47" i="2" s="1"/>
  <c r="O62" i="4"/>
  <c r="Q61" i="2"/>
  <c r="AS45" i="2"/>
  <c r="M45" i="17"/>
  <c r="AH45" i="17" s="1"/>
  <c r="N45" i="14" s="1"/>
  <c r="P45" i="14" s="1"/>
  <c r="M45" i="16"/>
  <c r="AH45" i="16" s="1"/>
  <c r="K45" i="14" s="1"/>
  <c r="M45" i="14" s="1"/>
  <c r="N45" i="15"/>
  <c r="AR45" i="15" s="1"/>
  <c r="E45" i="14" s="1"/>
  <c r="G45" i="14" s="1"/>
  <c r="K62" i="4"/>
  <c r="N61" i="2"/>
  <c r="X46" i="2"/>
  <c r="W46" i="7" s="1"/>
  <c r="V47" i="4"/>
  <c r="U47" i="4"/>
  <c r="W46" i="2"/>
  <c r="AB46" i="2"/>
  <c r="Z47" i="4"/>
  <c r="T45" i="17"/>
  <c r="T45" i="16"/>
  <c r="U45" i="15"/>
  <c r="B37" i="4"/>
  <c r="E36" i="2"/>
  <c r="C36" i="9" s="1"/>
  <c r="K60" i="16"/>
  <c r="K60" i="17"/>
  <c r="L60" i="15"/>
  <c r="P45" i="16"/>
  <c r="P45" i="17"/>
  <c r="Q45" i="15"/>
  <c r="E62" i="4"/>
  <c r="H61" i="2"/>
  <c r="D62" i="4"/>
  <c r="G61" i="2"/>
  <c r="O60" i="16"/>
  <c r="O60" i="17"/>
  <c r="P60" i="15"/>
  <c r="I62" i="4"/>
  <c r="L61" i="2"/>
  <c r="H62" i="4"/>
  <c r="K61" i="2"/>
  <c r="H44" i="14"/>
  <c r="J44" i="14" s="1"/>
  <c r="B44" i="14"/>
  <c r="D44" i="14" s="1"/>
  <c r="N47" i="4"/>
  <c r="P46" i="2"/>
  <c r="X45" i="17"/>
  <c r="X45" i="16"/>
  <c r="Y45" i="15"/>
  <c r="S45" i="17"/>
  <c r="S45" i="16"/>
  <c r="T45" i="15"/>
  <c r="M47" i="4"/>
  <c r="O46" i="2"/>
  <c r="R45" i="17"/>
  <c r="R45" i="16"/>
  <c r="S45" i="15"/>
  <c r="Z45" i="17"/>
  <c r="Z45" i="16"/>
  <c r="AA45" i="15"/>
  <c r="AA45" i="7"/>
  <c r="Z45" i="10"/>
  <c r="Z45" i="9"/>
  <c r="D35" i="7"/>
  <c r="H60" i="16"/>
  <c r="H60" i="17"/>
  <c r="I60" i="15"/>
  <c r="G62" i="4"/>
  <c r="J61" i="2"/>
  <c r="T47" i="4"/>
  <c r="V46" i="2"/>
  <c r="J62" i="4"/>
  <c r="M61" i="2"/>
  <c r="R47" i="4"/>
  <c r="T46" i="2"/>
  <c r="P47" i="4"/>
  <c r="R46" i="2"/>
  <c r="C62" i="4"/>
  <c r="F61" i="2"/>
  <c r="Q47" i="4"/>
  <c r="S46" i="2"/>
  <c r="L60" i="17"/>
  <c r="L60" i="16"/>
  <c r="M60" i="15"/>
  <c r="Y45" i="17"/>
  <c r="Y45" i="16"/>
  <c r="Z45" i="15"/>
  <c r="C35" i="17"/>
  <c r="C35" i="16"/>
  <c r="D35" i="15"/>
  <c r="V45" i="16"/>
  <c r="W45" i="15"/>
  <c r="V45" i="17"/>
  <c r="V45" i="9"/>
  <c r="C35" i="10"/>
  <c r="F60" i="17"/>
  <c r="F60" i="16"/>
  <c r="G60" i="15"/>
  <c r="D60" i="17"/>
  <c r="D60" i="16"/>
  <c r="E60" i="15"/>
  <c r="E60" i="16"/>
  <c r="E60" i="17"/>
  <c r="F60" i="15"/>
  <c r="Q45" i="16"/>
  <c r="Q45" i="17"/>
  <c r="R45" i="15"/>
  <c r="AT45" i="2"/>
  <c r="J60" i="17"/>
  <c r="J60" i="16"/>
  <c r="K60" i="15"/>
  <c r="I60" i="17"/>
  <c r="I60" i="16"/>
  <c r="J60" i="15"/>
  <c r="Y46" i="2"/>
  <c r="W47" i="4"/>
  <c r="C62" i="2"/>
  <c r="B63" i="2"/>
  <c r="D63" i="2" s="1"/>
  <c r="AC37" i="7"/>
  <c r="BB35" i="2"/>
  <c r="AX43" i="2"/>
  <c r="AY36" i="2"/>
  <c r="AF37" i="7"/>
  <c r="AW43" i="2"/>
  <c r="J43" i="10"/>
  <c r="J43" i="9"/>
  <c r="K43" i="7"/>
  <c r="S43" i="10"/>
  <c r="S43" i="9"/>
  <c r="T43" i="7"/>
  <c r="L43" i="10"/>
  <c r="L43" i="9"/>
  <c r="M43" i="7"/>
  <c r="X45" i="10"/>
  <c r="X45" i="9"/>
  <c r="Y45" i="7"/>
  <c r="O42" i="12"/>
  <c r="N42" i="12"/>
  <c r="M42" i="12"/>
  <c r="AH34" i="9"/>
  <c r="AG35" i="10"/>
  <c r="AG35" i="9"/>
  <c r="AQ35" i="7"/>
  <c r="AB36" i="10"/>
  <c r="AB36" i="9"/>
  <c r="AL36" i="7"/>
  <c r="W45" i="10"/>
  <c r="W45" i="9"/>
  <c r="X45" i="7"/>
  <c r="Y45" i="10"/>
  <c r="Y45" i="9"/>
  <c r="Z45" i="7"/>
  <c r="B44" i="12"/>
  <c r="T44" i="14" s="1"/>
  <c r="V44" i="14" s="1"/>
  <c r="B44" i="10"/>
  <c r="B44" i="9"/>
  <c r="C44" i="7"/>
  <c r="D43" i="10"/>
  <c r="D43" i="9"/>
  <c r="E43" i="7"/>
  <c r="M43" i="10"/>
  <c r="M43" i="9"/>
  <c r="N43" i="7"/>
  <c r="F43" i="10"/>
  <c r="F43" i="9"/>
  <c r="G43" i="7"/>
  <c r="AH34" i="10"/>
  <c r="AF41" i="10"/>
  <c r="AF41" i="9"/>
  <c r="AP41" i="7"/>
  <c r="K43" i="10"/>
  <c r="K43" i="9"/>
  <c r="L43" i="7"/>
  <c r="T43" i="10"/>
  <c r="T43" i="9"/>
  <c r="U43" i="7"/>
  <c r="H43" i="10"/>
  <c r="H43" i="9"/>
  <c r="I43" i="7"/>
  <c r="P43" i="10"/>
  <c r="P43" i="9"/>
  <c r="Q43" i="7"/>
  <c r="AD40" i="10"/>
  <c r="AD40" i="9"/>
  <c r="AN40" i="7"/>
  <c r="AA35" i="10"/>
  <c r="AA35" i="9"/>
  <c r="AK35" i="7"/>
  <c r="AB41" i="7"/>
  <c r="E43" i="10"/>
  <c r="E43" i="9"/>
  <c r="F43" i="7"/>
  <c r="N43" i="10"/>
  <c r="N43" i="9"/>
  <c r="O43" i="7"/>
  <c r="R43" i="10"/>
  <c r="R43" i="9"/>
  <c r="S43" i="7"/>
  <c r="AH41" i="7"/>
  <c r="AE41" i="10"/>
  <c r="AE41" i="9"/>
  <c r="AO41" i="7"/>
  <c r="U43" i="10"/>
  <c r="U43" i="9"/>
  <c r="V43" i="7"/>
  <c r="I43" i="10"/>
  <c r="I43" i="9"/>
  <c r="J43" i="7"/>
  <c r="G43" i="10"/>
  <c r="G43" i="9"/>
  <c r="H43" i="7"/>
  <c r="L42" i="12"/>
  <c r="AC40" i="10"/>
  <c r="AC40" i="9"/>
  <c r="AM40" i="7"/>
  <c r="O43" i="10"/>
  <c r="O43" i="9"/>
  <c r="P43" i="7"/>
  <c r="Q43" i="10"/>
  <c r="Q43" i="9"/>
  <c r="R43" i="7"/>
  <c r="D43" i="12"/>
  <c r="G43" i="12"/>
  <c r="Q43" i="14" s="1"/>
  <c r="S43" i="14" s="1"/>
  <c r="AI41" i="7"/>
  <c r="AJ41" i="7"/>
  <c r="K42" i="12"/>
  <c r="H42" i="12"/>
  <c r="J42" i="12" s="1"/>
  <c r="AR34" i="7"/>
  <c r="K52" i="13"/>
  <c r="I53" i="13"/>
  <c r="L53" i="13" s="1"/>
  <c r="M53" i="13"/>
  <c r="H54" i="13"/>
  <c r="E54" i="13"/>
  <c r="G61" i="13"/>
  <c r="B61" i="13"/>
  <c r="C61" i="12"/>
  <c r="F57" i="12"/>
  <c r="AZ36" i="2"/>
  <c r="BA36" i="2"/>
  <c r="AE38" i="7"/>
  <c r="AD38" i="7"/>
  <c r="AG37" i="7"/>
  <c r="C36" i="3"/>
  <c r="B35" i="3"/>
  <c r="F34" i="3"/>
  <c r="E35" i="3"/>
  <c r="J42" i="3"/>
  <c r="G31" i="1"/>
  <c r="D34" i="1"/>
  <c r="V46" i="9" l="1"/>
  <c r="D36" i="7"/>
  <c r="V46" i="10"/>
  <c r="Z62" i="14"/>
  <c r="AB62" i="14" s="1"/>
  <c r="D62" i="11"/>
  <c r="G62" i="11"/>
  <c r="AG62" i="16"/>
  <c r="AG62" i="17"/>
  <c r="AQ62" i="15"/>
  <c r="B63" i="11"/>
  <c r="B63" i="17"/>
  <c r="B63" i="16"/>
  <c r="AG63" i="2"/>
  <c r="AF63" i="15" s="1"/>
  <c r="C63" i="15"/>
  <c r="AH63" i="2"/>
  <c r="AG63" i="15" s="1"/>
  <c r="AR63" i="2"/>
  <c r="AJ63" i="2"/>
  <c r="AI63" i="15" s="1"/>
  <c r="AI63" i="2"/>
  <c r="AH63" i="15" s="1"/>
  <c r="AF63" i="2"/>
  <c r="AE63" i="15" s="1"/>
  <c r="AL63" i="2"/>
  <c r="AE63" i="2"/>
  <c r="AD63" i="15" s="1"/>
  <c r="AC63" i="2"/>
  <c r="AB63" i="15" s="1"/>
  <c r="AD63" i="2"/>
  <c r="AC63" i="15" s="1"/>
  <c r="AK63" i="2"/>
  <c r="AJ63" i="15" s="1"/>
  <c r="AA62" i="16"/>
  <c r="AA62" i="17"/>
  <c r="AK62" i="15"/>
  <c r="W61" i="14"/>
  <c r="Y61" i="14" s="1"/>
  <c r="H61" i="11"/>
  <c r="J61" i="11" s="1"/>
  <c r="I63" i="2"/>
  <c r="G62" i="16"/>
  <c r="G62" i="17"/>
  <c r="H62" i="15"/>
  <c r="Y47" i="2"/>
  <c r="W48" i="4"/>
  <c r="Q46" i="16"/>
  <c r="Q46" i="17"/>
  <c r="R46" i="15"/>
  <c r="AT46" i="2"/>
  <c r="R46" i="17"/>
  <c r="R46" i="16"/>
  <c r="S46" i="15"/>
  <c r="T48" i="4"/>
  <c r="V47" i="2"/>
  <c r="N46" i="17"/>
  <c r="N46" i="16"/>
  <c r="O46" i="15"/>
  <c r="J61" i="16"/>
  <c r="J61" i="17"/>
  <c r="K61" i="15"/>
  <c r="D63" i="4"/>
  <c r="G62" i="2"/>
  <c r="X47" i="2"/>
  <c r="V47" i="10" s="1"/>
  <c r="V48" i="4"/>
  <c r="Z47" i="2"/>
  <c r="X48" i="4"/>
  <c r="W46" i="16"/>
  <c r="X46" i="15"/>
  <c r="W46" i="17"/>
  <c r="Q48" i="4"/>
  <c r="S47" i="2"/>
  <c r="H61" i="17"/>
  <c r="H61" i="16"/>
  <c r="I61" i="15"/>
  <c r="N48" i="4"/>
  <c r="P47" i="2"/>
  <c r="I63" i="4"/>
  <c r="L62" i="2"/>
  <c r="F61" i="17"/>
  <c r="F61" i="16"/>
  <c r="G61" i="15"/>
  <c r="V46" i="17"/>
  <c r="V46" i="16"/>
  <c r="W46" i="15"/>
  <c r="B45" i="14"/>
  <c r="D45" i="14" s="1"/>
  <c r="H45" i="14"/>
  <c r="J45" i="14" s="1"/>
  <c r="Y46" i="15"/>
  <c r="X46" i="17"/>
  <c r="X46" i="16"/>
  <c r="R48" i="4"/>
  <c r="T47" i="2"/>
  <c r="O61" i="17"/>
  <c r="O61" i="16"/>
  <c r="P61" i="15"/>
  <c r="K61" i="16"/>
  <c r="K61" i="17"/>
  <c r="L61" i="15"/>
  <c r="C36" i="16"/>
  <c r="C36" i="17"/>
  <c r="D36" i="15"/>
  <c r="AA46" i="15"/>
  <c r="Z46" i="17"/>
  <c r="Z46" i="16"/>
  <c r="AA46" i="7"/>
  <c r="Z46" i="9"/>
  <c r="Z46" i="10"/>
  <c r="K63" i="4"/>
  <c r="N62" i="2"/>
  <c r="O63" i="4"/>
  <c r="Q62" i="2"/>
  <c r="Z46" i="15"/>
  <c r="Y46" i="17"/>
  <c r="Y46" i="16"/>
  <c r="G63" i="4"/>
  <c r="J62" i="2"/>
  <c r="E63" i="4"/>
  <c r="H62" i="2"/>
  <c r="AB47" i="2"/>
  <c r="Z48" i="4"/>
  <c r="AA47" i="2"/>
  <c r="Y48" i="4"/>
  <c r="C63" i="4"/>
  <c r="F62" i="2"/>
  <c r="P46" i="17"/>
  <c r="P46" i="16"/>
  <c r="Q46" i="15"/>
  <c r="J63" i="4"/>
  <c r="M62" i="2"/>
  <c r="M46" i="16"/>
  <c r="AH46" i="16" s="1"/>
  <c r="K46" i="14" s="1"/>
  <c r="M46" i="14" s="1"/>
  <c r="M46" i="17"/>
  <c r="AH46" i="17" s="1"/>
  <c r="N46" i="14" s="1"/>
  <c r="P46" i="14" s="1"/>
  <c r="AS46" i="2"/>
  <c r="N46" i="15"/>
  <c r="AR46" i="15" s="1"/>
  <c r="E46" i="14" s="1"/>
  <c r="G46" i="14" s="1"/>
  <c r="I61" i="16"/>
  <c r="I61" i="17"/>
  <c r="J61" i="15"/>
  <c r="B38" i="4"/>
  <c r="E37" i="2"/>
  <c r="C37" i="10" s="1"/>
  <c r="U46" i="17"/>
  <c r="U46" i="16"/>
  <c r="V46" i="15"/>
  <c r="S46" i="17"/>
  <c r="S46" i="16"/>
  <c r="T46" i="15"/>
  <c r="D61" i="17"/>
  <c r="D61" i="16"/>
  <c r="E61" i="15"/>
  <c r="L61" i="16"/>
  <c r="L61" i="17"/>
  <c r="M61" i="15"/>
  <c r="C36" i="10"/>
  <c r="P48" i="4"/>
  <c r="R47" i="2"/>
  <c r="T46" i="17"/>
  <c r="T46" i="16"/>
  <c r="U46" i="15"/>
  <c r="M48" i="4"/>
  <c r="O47" i="2"/>
  <c r="H63" i="4"/>
  <c r="K62" i="2"/>
  <c r="E61" i="17"/>
  <c r="E61" i="16"/>
  <c r="F61" i="15"/>
  <c r="U48" i="4"/>
  <c r="W47" i="2"/>
  <c r="S48" i="4"/>
  <c r="U48" i="2" s="1"/>
  <c r="B64" i="2"/>
  <c r="D64" i="2" s="1"/>
  <c r="C63" i="2"/>
  <c r="AC38" i="7"/>
  <c r="BB36" i="2"/>
  <c r="AX44" i="2"/>
  <c r="AY37" i="2"/>
  <c r="AF38" i="7"/>
  <c r="AW44" i="2"/>
  <c r="AH35" i="10"/>
  <c r="AH35" i="9"/>
  <c r="AR35" i="7"/>
  <c r="AJ42" i="7"/>
  <c r="B45" i="12"/>
  <c r="T45" i="14" s="1"/>
  <c r="V45" i="14" s="1"/>
  <c r="B45" i="10"/>
  <c r="B45" i="9"/>
  <c r="C45" i="7"/>
  <c r="L44" i="10"/>
  <c r="L44" i="9"/>
  <c r="M44" i="7"/>
  <c r="J44" i="10"/>
  <c r="J44" i="9"/>
  <c r="K44" i="7"/>
  <c r="T44" i="10"/>
  <c r="T44" i="9"/>
  <c r="U44" i="7"/>
  <c r="AA36" i="10"/>
  <c r="AA36" i="9"/>
  <c r="AK36" i="7"/>
  <c r="AC41" i="10"/>
  <c r="AC41" i="9"/>
  <c r="AM41" i="7"/>
  <c r="AE42" i="10"/>
  <c r="AE42" i="9"/>
  <c r="AO42" i="7"/>
  <c r="AF42" i="10"/>
  <c r="AF42" i="9"/>
  <c r="AP42" i="7"/>
  <c r="K43" i="12"/>
  <c r="H43" i="12"/>
  <c r="J43" i="12" s="1"/>
  <c r="AB42" i="7"/>
  <c r="F44" i="10"/>
  <c r="F44" i="9"/>
  <c r="G44" i="7"/>
  <c r="D44" i="10"/>
  <c r="D44" i="9"/>
  <c r="E44" i="7"/>
  <c r="N44" i="10"/>
  <c r="N44" i="9"/>
  <c r="O44" i="7"/>
  <c r="D44" i="12"/>
  <c r="G44" i="12"/>
  <c r="Q44" i="14" s="1"/>
  <c r="S44" i="14" s="1"/>
  <c r="Q44" i="10"/>
  <c r="Q44" i="9"/>
  <c r="R44" i="7"/>
  <c r="U44" i="10"/>
  <c r="U44" i="9"/>
  <c r="V44" i="7"/>
  <c r="H44" i="10"/>
  <c r="H44" i="9"/>
  <c r="I44" i="7"/>
  <c r="AG36" i="10"/>
  <c r="AG36" i="9"/>
  <c r="AQ36" i="7"/>
  <c r="Y46" i="10"/>
  <c r="Y46" i="9"/>
  <c r="Z46" i="7"/>
  <c r="K44" i="10"/>
  <c r="K44" i="9"/>
  <c r="L44" i="7"/>
  <c r="O44" i="10"/>
  <c r="O44" i="9"/>
  <c r="P44" i="7"/>
  <c r="S44" i="10"/>
  <c r="S44" i="9"/>
  <c r="T44" i="7"/>
  <c r="G44" i="10"/>
  <c r="G44" i="9"/>
  <c r="H44" i="7"/>
  <c r="E44" i="10"/>
  <c r="E44" i="9"/>
  <c r="F44" i="7"/>
  <c r="I44" i="10"/>
  <c r="I44" i="9"/>
  <c r="J44" i="7"/>
  <c r="M44" i="10"/>
  <c r="M44" i="9"/>
  <c r="N44" i="7"/>
  <c r="AD41" i="10"/>
  <c r="AD41" i="9"/>
  <c r="AN41" i="7"/>
  <c r="AB37" i="10"/>
  <c r="AB37" i="9"/>
  <c r="AL37" i="7"/>
  <c r="AH42" i="7"/>
  <c r="W46" i="10"/>
  <c r="W46" i="9"/>
  <c r="X46" i="7"/>
  <c r="X46" i="10"/>
  <c r="X46" i="9"/>
  <c r="Y46" i="7"/>
  <c r="R44" i="10"/>
  <c r="R44" i="9"/>
  <c r="S44" i="7"/>
  <c r="P44" i="10"/>
  <c r="P44" i="9"/>
  <c r="Q44" i="7"/>
  <c r="K53" i="13"/>
  <c r="H55" i="13"/>
  <c r="E55" i="13"/>
  <c r="I54" i="13"/>
  <c r="K54" i="13" s="1"/>
  <c r="M54" i="13"/>
  <c r="B62" i="13"/>
  <c r="G62" i="13"/>
  <c r="F58" i="12"/>
  <c r="C62" i="12"/>
  <c r="AZ37" i="2"/>
  <c r="BA37" i="2"/>
  <c r="AE39" i="7"/>
  <c r="AD39" i="7"/>
  <c r="AG38" i="7"/>
  <c r="C37" i="3"/>
  <c r="B36" i="3"/>
  <c r="J43" i="3"/>
  <c r="F35" i="3"/>
  <c r="E36" i="3"/>
  <c r="G32" i="1"/>
  <c r="D35" i="1"/>
  <c r="V47" i="9" l="1"/>
  <c r="C64" i="2"/>
  <c r="W47" i="7"/>
  <c r="AA63" i="17"/>
  <c r="AA63" i="16"/>
  <c r="AK63" i="15"/>
  <c r="B64" i="17"/>
  <c r="B64" i="16"/>
  <c r="B64" i="11"/>
  <c r="C64" i="15"/>
  <c r="AG64" i="2"/>
  <c r="AF64" i="15" s="1"/>
  <c r="AH64" i="2"/>
  <c r="AG64" i="15" s="1"/>
  <c r="AC64" i="2"/>
  <c r="AB64" i="15" s="1"/>
  <c r="AR64" i="2"/>
  <c r="AJ64" i="2"/>
  <c r="AI64" i="15" s="1"/>
  <c r="AF64" i="2"/>
  <c r="AE64" i="15" s="1"/>
  <c r="AK64" i="2"/>
  <c r="AJ64" i="15" s="1"/>
  <c r="AL64" i="2"/>
  <c r="AI64" i="2"/>
  <c r="AH64" i="15" s="1"/>
  <c r="AD64" i="2"/>
  <c r="AC64" i="15" s="1"/>
  <c r="AE64" i="2"/>
  <c r="AD64" i="15" s="1"/>
  <c r="I64" i="2"/>
  <c r="G63" i="17"/>
  <c r="G63" i="16"/>
  <c r="H63" i="15"/>
  <c r="W62" i="14"/>
  <c r="Y62" i="14" s="1"/>
  <c r="H62" i="11"/>
  <c r="N62" i="11" s="1"/>
  <c r="AG63" i="16"/>
  <c r="AQ63" i="15"/>
  <c r="AG63" i="17"/>
  <c r="Z63" i="14"/>
  <c r="AB63" i="14" s="1"/>
  <c r="D63" i="11"/>
  <c r="G63" i="11"/>
  <c r="S49" i="4"/>
  <c r="U49" i="2" s="1"/>
  <c r="F62" i="17"/>
  <c r="F62" i="16"/>
  <c r="G62" i="15"/>
  <c r="I64" i="4"/>
  <c r="L63" i="2"/>
  <c r="C37" i="17"/>
  <c r="C37" i="16"/>
  <c r="D37" i="15"/>
  <c r="H46" i="14"/>
  <c r="J46" i="14" s="1"/>
  <c r="B46" i="14"/>
  <c r="D46" i="14" s="1"/>
  <c r="AB48" i="2"/>
  <c r="Z49" i="4"/>
  <c r="K64" i="4"/>
  <c r="N63" i="2"/>
  <c r="R49" i="4"/>
  <c r="T48" i="2"/>
  <c r="D64" i="4"/>
  <c r="G63" i="2"/>
  <c r="S47" i="17"/>
  <c r="S47" i="16"/>
  <c r="T47" i="15"/>
  <c r="B39" i="4"/>
  <c r="E38" i="2"/>
  <c r="Z47" i="17"/>
  <c r="Z47" i="16"/>
  <c r="AA47" i="15"/>
  <c r="Z47" i="9"/>
  <c r="AA47" i="7"/>
  <c r="Z47" i="10"/>
  <c r="J62" i="17"/>
  <c r="J62" i="16"/>
  <c r="K62" i="15"/>
  <c r="Z48" i="2"/>
  <c r="X49" i="4"/>
  <c r="T47" i="17"/>
  <c r="T47" i="16"/>
  <c r="U47" i="15"/>
  <c r="I62" i="17"/>
  <c r="I62" i="16"/>
  <c r="J62" i="15"/>
  <c r="D62" i="17"/>
  <c r="D62" i="16"/>
  <c r="E62" i="15"/>
  <c r="Q47" i="16"/>
  <c r="Q47" i="17"/>
  <c r="R47" i="15"/>
  <c r="AT47" i="2"/>
  <c r="X47" i="17"/>
  <c r="X47" i="16"/>
  <c r="Y47" i="15"/>
  <c r="T49" i="4"/>
  <c r="V48" i="2"/>
  <c r="U47" i="16"/>
  <c r="U47" i="17"/>
  <c r="V47" i="15"/>
  <c r="H64" i="4"/>
  <c r="K63" i="2"/>
  <c r="P47" i="17"/>
  <c r="P47" i="16"/>
  <c r="Q47" i="15"/>
  <c r="K62" i="17"/>
  <c r="K62" i="16"/>
  <c r="L62" i="15"/>
  <c r="C64" i="4"/>
  <c r="F63" i="2"/>
  <c r="E64" i="4"/>
  <c r="H63" i="2"/>
  <c r="O62" i="16"/>
  <c r="O62" i="17"/>
  <c r="P62" i="15"/>
  <c r="N47" i="17"/>
  <c r="N47" i="16"/>
  <c r="O47" i="15"/>
  <c r="Q49" i="4"/>
  <c r="S48" i="2"/>
  <c r="X48" i="2"/>
  <c r="W48" i="7" s="1"/>
  <c r="V49" i="4"/>
  <c r="D37" i="7"/>
  <c r="U49" i="4"/>
  <c r="W48" i="2"/>
  <c r="M47" i="16"/>
  <c r="AH47" i="16" s="1"/>
  <c r="K47" i="14" s="1"/>
  <c r="M47" i="14" s="1"/>
  <c r="M47" i="17"/>
  <c r="AH47" i="17" s="1"/>
  <c r="N47" i="14" s="1"/>
  <c r="P47" i="14" s="1"/>
  <c r="AS47" i="2"/>
  <c r="N47" i="15"/>
  <c r="AR47" i="15" s="1"/>
  <c r="E47" i="14" s="1"/>
  <c r="G47" i="14" s="1"/>
  <c r="P49" i="4"/>
  <c r="R48" i="2"/>
  <c r="J64" i="4"/>
  <c r="M63" i="2"/>
  <c r="AA48" i="2"/>
  <c r="Y49" i="4"/>
  <c r="H62" i="16"/>
  <c r="H62" i="17"/>
  <c r="I62" i="15"/>
  <c r="O64" i="4"/>
  <c r="Q63" i="2"/>
  <c r="R47" i="17"/>
  <c r="R47" i="16"/>
  <c r="S47" i="15"/>
  <c r="N49" i="4"/>
  <c r="P48" i="2"/>
  <c r="W47" i="15"/>
  <c r="V47" i="17"/>
  <c r="V47" i="16"/>
  <c r="Y48" i="2"/>
  <c r="W49" i="4"/>
  <c r="C37" i="9"/>
  <c r="O48" i="2"/>
  <c r="M49" i="4"/>
  <c r="Y47" i="17"/>
  <c r="Z47" i="15"/>
  <c r="Y47" i="16"/>
  <c r="G64" i="4"/>
  <c r="J63" i="2"/>
  <c r="L62" i="17"/>
  <c r="L62" i="16"/>
  <c r="M62" i="15"/>
  <c r="E62" i="17"/>
  <c r="E62" i="16"/>
  <c r="F62" i="15"/>
  <c r="W47" i="17"/>
  <c r="W47" i="16"/>
  <c r="X47" i="15"/>
  <c r="B65" i="2"/>
  <c r="D65" i="2" s="1"/>
  <c r="AC39" i="7"/>
  <c r="BB37" i="2"/>
  <c r="AX45" i="2"/>
  <c r="AY38" i="2"/>
  <c r="AF39" i="7"/>
  <c r="AW45" i="2"/>
  <c r="K45" i="10"/>
  <c r="K45" i="9"/>
  <c r="L45" i="7"/>
  <c r="AG37" i="10"/>
  <c r="AG37" i="9"/>
  <c r="AQ37" i="7"/>
  <c r="AF43" i="10"/>
  <c r="AF43" i="9"/>
  <c r="AP43" i="7"/>
  <c r="AB43" i="7"/>
  <c r="T45" i="10"/>
  <c r="T45" i="9"/>
  <c r="U45" i="7"/>
  <c r="F45" i="10"/>
  <c r="F45" i="9"/>
  <c r="G45" i="7"/>
  <c r="D45" i="10"/>
  <c r="D45" i="9"/>
  <c r="E45" i="7"/>
  <c r="X47" i="10"/>
  <c r="X47" i="9"/>
  <c r="Y47" i="7"/>
  <c r="Y47" i="10"/>
  <c r="Y47" i="9"/>
  <c r="Z47" i="7"/>
  <c r="C38" i="10"/>
  <c r="C38" i="9"/>
  <c r="I45" i="10"/>
  <c r="I45" i="9"/>
  <c r="J45" i="7"/>
  <c r="N45" i="10"/>
  <c r="N45" i="9"/>
  <c r="O45" i="7"/>
  <c r="R45" i="10"/>
  <c r="R45" i="9"/>
  <c r="S45" i="7"/>
  <c r="P45" i="10"/>
  <c r="P45" i="9"/>
  <c r="Q45" i="7"/>
  <c r="AC42" i="10"/>
  <c r="AC42" i="9"/>
  <c r="AM42" i="7"/>
  <c r="B46" i="12"/>
  <c r="T46" i="14" s="1"/>
  <c r="V46" i="14" s="1"/>
  <c r="B46" i="10"/>
  <c r="B46" i="9"/>
  <c r="C46" i="7"/>
  <c r="AH43" i="7"/>
  <c r="AR36" i="7"/>
  <c r="U45" i="10"/>
  <c r="U45" i="9"/>
  <c r="V45" i="7"/>
  <c r="S45" i="10"/>
  <c r="S45" i="9"/>
  <c r="T45" i="7"/>
  <c r="E45" i="10"/>
  <c r="E45" i="9"/>
  <c r="F45" i="7"/>
  <c r="AI43" i="7"/>
  <c r="AI42" i="7"/>
  <c r="G45" i="10"/>
  <c r="G45" i="9"/>
  <c r="H45" i="7"/>
  <c r="W47" i="10"/>
  <c r="W47" i="9"/>
  <c r="X47" i="7"/>
  <c r="AE43" i="10"/>
  <c r="AE43" i="9"/>
  <c r="AO43" i="7"/>
  <c r="AB38" i="10"/>
  <c r="AB38" i="9"/>
  <c r="AL38" i="7"/>
  <c r="AH36" i="9"/>
  <c r="O45" i="10"/>
  <c r="O45" i="9"/>
  <c r="P45" i="7"/>
  <c r="M45" i="10"/>
  <c r="M45" i="9"/>
  <c r="N45" i="7"/>
  <c r="Q45" i="10"/>
  <c r="Q45" i="9"/>
  <c r="R45" i="7"/>
  <c r="D45" i="12"/>
  <c r="G45" i="12"/>
  <c r="Q45" i="14" s="1"/>
  <c r="S45" i="14" s="1"/>
  <c r="AJ43" i="7"/>
  <c r="AD42" i="10"/>
  <c r="AD42" i="9"/>
  <c r="AN42" i="7"/>
  <c r="AA37" i="10"/>
  <c r="AA37" i="9"/>
  <c r="AK37" i="7"/>
  <c r="K44" i="12"/>
  <c r="H44" i="12"/>
  <c r="J44" i="12" s="1"/>
  <c r="AH36" i="10"/>
  <c r="H45" i="10"/>
  <c r="H45" i="9"/>
  <c r="I45" i="7"/>
  <c r="L45" i="10"/>
  <c r="L45" i="9"/>
  <c r="M45" i="7"/>
  <c r="J45" i="10"/>
  <c r="J45" i="9"/>
  <c r="K45" i="7"/>
  <c r="L54" i="13"/>
  <c r="M55" i="13"/>
  <c r="I55" i="13"/>
  <c r="L55" i="13" s="1"/>
  <c r="H56" i="13"/>
  <c r="E56" i="13"/>
  <c r="G63" i="13"/>
  <c r="B63" i="13"/>
  <c r="F59" i="12"/>
  <c r="C63" i="12"/>
  <c r="AZ38" i="2"/>
  <c r="BA38" i="2"/>
  <c r="AE40" i="7"/>
  <c r="AD40" i="7"/>
  <c r="AG39" i="7"/>
  <c r="C38" i="3"/>
  <c r="B37" i="3"/>
  <c r="J44" i="3"/>
  <c r="F36" i="3"/>
  <c r="E37" i="3"/>
  <c r="G33" i="1"/>
  <c r="D36" i="1"/>
  <c r="V48" i="9" l="1"/>
  <c r="V48" i="10"/>
  <c r="K62" i="11"/>
  <c r="Z64" i="14"/>
  <c r="AB64" i="14" s="1"/>
  <c r="D64" i="11"/>
  <c r="G64" i="11"/>
  <c r="AG64" i="16"/>
  <c r="AG64" i="17"/>
  <c r="AQ64" i="15"/>
  <c r="W63" i="14"/>
  <c r="Y63" i="14" s="1"/>
  <c r="H63" i="11"/>
  <c r="J63" i="11" s="1"/>
  <c r="B65" i="11"/>
  <c r="B65" i="17"/>
  <c r="B65" i="16"/>
  <c r="AG65" i="2"/>
  <c r="AF65" i="15" s="1"/>
  <c r="C65" i="15"/>
  <c r="AH65" i="2"/>
  <c r="AG65" i="15" s="1"/>
  <c r="AC65" i="2"/>
  <c r="AB65" i="15" s="1"/>
  <c r="AR65" i="2"/>
  <c r="AK65" i="2"/>
  <c r="AJ65" i="15" s="1"/>
  <c r="AE65" i="2"/>
  <c r="AD65" i="15" s="1"/>
  <c r="AL65" i="2"/>
  <c r="AI65" i="2"/>
  <c r="AH65" i="15" s="1"/>
  <c r="AJ65" i="2"/>
  <c r="AI65" i="15" s="1"/>
  <c r="AD65" i="2"/>
  <c r="AC65" i="15" s="1"/>
  <c r="AF65" i="2"/>
  <c r="AE65" i="15" s="1"/>
  <c r="J62" i="11"/>
  <c r="AA64" i="17"/>
  <c r="AK64" i="15"/>
  <c r="AA64" i="16"/>
  <c r="L62" i="11"/>
  <c r="M62" i="11"/>
  <c r="H64" i="15"/>
  <c r="G64" i="17"/>
  <c r="I65" i="2"/>
  <c r="G64" i="16"/>
  <c r="K65" i="4"/>
  <c r="N64" i="2"/>
  <c r="O63" i="17"/>
  <c r="O63" i="16"/>
  <c r="P63" i="15"/>
  <c r="X49" i="2"/>
  <c r="V49" i="10" s="1"/>
  <c r="V50" i="4"/>
  <c r="C38" i="16"/>
  <c r="C38" i="17"/>
  <c r="D38" i="15"/>
  <c r="W48" i="16"/>
  <c r="X48" i="15"/>
  <c r="W48" i="17"/>
  <c r="P48" i="16"/>
  <c r="P48" i="17"/>
  <c r="Q48" i="15"/>
  <c r="U48" i="17"/>
  <c r="U48" i="16"/>
  <c r="V48" i="15"/>
  <c r="Q50" i="4"/>
  <c r="S49" i="2"/>
  <c r="H65" i="4"/>
  <c r="K64" i="2"/>
  <c r="R50" i="4"/>
  <c r="T49" i="2"/>
  <c r="AS48" i="2"/>
  <c r="M48" i="17"/>
  <c r="AH48" i="17" s="1"/>
  <c r="N48" i="14" s="1"/>
  <c r="P48" i="14" s="1"/>
  <c r="M48" i="16"/>
  <c r="AH48" i="16" s="1"/>
  <c r="K48" i="14" s="1"/>
  <c r="M48" i="14" s="1"/>
  <c r="N48" i="15"/>
  <c r="AR48" i="15" s="1"/>
  <c r="E48" i="14" s="1"/>
  <c r="G48" i="14" s="1"/>
  <c r="H47" i="14"/>
  <c r="J47" i="14" s="1"/>
  <c r="B47" i="14"/>
  <c r="D47" i="14" s="1"/>
  <c r="D65" i="4"/>
  <c r="G64" i="2"/>
  <c r="D38" i="7"/>
  <c r="P50" i="4"/>
  <c r="R49" i="2"/>
  <c r="U50" i="4"/>
  <c r="W49" i="2"/>
  <c r="F63" i="17"/>
  <c r="F63" i="16"/>
  <c r="G63" i="15"/>
  <c r="L63" i="17"/>
  <c r="L63" i="16"/>
  <c r="M63" i="15"/>
  <c r="M50" i="4"/>
  <c r="O49" i="2"/>
  <c r="AA49" i="2"/>
  <c r="Y50" i="4"/>
  <c r="E65" i="4"/>
  <c r="H64" i="2"/>
  <c r="AB49" i="2"/>
  <c r="Z50" i="4"/>
  <c r="G65" i="4"/>
  <c r="J64" i="2"/>
  <c r="N48" i="17"/>
  <c r="N48" i="16"/>
  <c r="O48" i="15"/>
  <c r="O65" i="4"/>
  <c r="Q64" i="2"/>
  <c r="K63" i="17"/>
  <c r="K63" i="16"/>
  <c r="L63" i="15"/>
  <c r="V48" i="17"/>
  <c r="V48" i="16"/>
  <c r="W48" i="15"/>
  <c r="C65" i="4"/>
  <c r="F64" i="2"/>
  <c r="T48" i="17"/>
  <c r="T48" i="16"/>
  <c r="U48" i="15"/>
  <c r="Z49" i="2"/>
  <c r="X50" i="4"/>
  <c r="B40" i="4"/>
  <c r="E39" i="2"/>
  <c r="C39" i="10" s="1"/>
  <c r="R48" i="17"/>
  <c r="R48" i="16"/>
  <c r="S48" i="15"/>
  <c r="AA48" i="15"/>
  <c r="Z48" i="16"/>
  <c r="Z48" i="17"/>
  <c r="Z48" i="9"/>
  <c r="AA48" i="7"/>
  <c r="Z48" i="10"/>
  <c r="J63" i="17"/>
  <c r="J63" i="16"/>
  <c r="K63" i="15"/>
  <c r="S48" i="16"/>
  <c r="S48" i="17"/>
  <c r="T48" i="15"/>
  <c r="E63" i="16"/>
  <c r="E63" i="17"/>
  <c r="F63" i="15"/>
  <c r="H63" i="16"/>
  <c r="H63" i="17"/>
  <c r="I63" i="15"/>
  <c r="Y48" i="17"/>
  <c r="Y48" i="16"/>
  <c r="Z48" i="15"/>
  <c r="D63" i="17"/>
  <c r="D63" i="16"/>
  <c r="E63" i="15"/>
  <c r="Y49" i="2"/>
  <c r="W50" i="4"/>
  <c r="N50" i="4"/>
  <c r="P49" i="2"/>
  <c r="J65" i="4"/>
  <c r="M64" i="2"/>
  <c r="Q48" i="17"/>
  <c r="Q48" i="16"/>
  <c r="R48" i="15"/>
  <c r="AT48" i="2"/>
  <c r="I63" i="17"/>
  <c r="I63" i="16"/>
  <c r="J63" i="15"/>
  <c r="T50" i="4"/>
  <c r="V49" i="2"/>
  <c r="Y48" i="15"/>
  <c r="X48" i="17"/>
  <c r="X48" i="16"/>
  <c r="I65" i="4"/>
  <c r="L64" i="2"/>
  <c r="S50" i="4"/>
  <c r="U50" i="2" s="1"/>
  <c r="AH37" i="9"/>
  <c r="B66" i="2"/>
  <c r="D66" i="2" s="1"/>
  <c r="C65" i="2"/>
  <c r="AC40" i="7"/>
  <c r="BB38" i="2"/>
  <c r="AX46" i="2"/>
  <c r="AY39" i="2"/>
  <c r="AF40" i="7"/>
  <c r="AW46" i="2"/>
  <c r="AR37" i="7"/>
  <c r="AH37" i="10"/>
  <c r="K45" i="12"/>
  <c r="H45" i="12"/>
  <c r="J45" i="12" s="1"/>
  <c r="Y48" i="10"/>
  <c r="Y48" i="9"/>
  <c r="Z48" i="7"/>
  <c r="J46" i="10"/>
  <c r="J46" i="9"/>
  <c r="K46" i="7"/>
  <c r="H46" i="10"/>
  <c r="H46" i="9"/>
  <c r="I46" i="7"/>
  <c r="L46" i="10"/>
  <c r="L46" i="9"/>
  <c r="M46" i="7"/>
  <c r="D46" i="12"/>
  <c r="G46" i="12"/>
  <c r="Q46" i="14" s="1"/>
  <c r="S46" i="14" s="1"/>
  <c r="X48" i="10"/>
  <c r="X48" i="9"/>
  <c r="Y48" i="7"/>
  <c r="AB44" i="7"/>
  <c r="AF44" i="10"/>
  <c r="AF44" i="9"/>
  <c r="AP44" i="7"/>
  <c r="D46" i="10"/>
  <c r="D46" i="9"/>
  <c r="E46" i="7"/>
  <c r="U46" i="10"/>
  <c r="U46" i="9"/>
  <c r="V46" i="7"/>
  <c r="F46" i="10"/>
  <c r="F46" i="9"/>
  <c r="G46" i="7"/>
  <c r="AA38" i="10"/>
  <c r="AA38" i="9"/>
  <c r="AK38" i="7"/>
  <c r="Q46" i="10"/>
  <c r="Q46" i="9"/>
  <c r="R46" i="7"/>
  <c r="O46" i="10"/>
  <c r="O46" i="9"/>
  <c r="P46" i="7"/>
  <c r="S46" i="10"/>
  <c r="S46" i="9"/>
  <c r="T46" i="7"/>
  <c r="AD43" i="10"/>
  <c r="AD43" i="9"/>
  <c r="AN43" i="7"/>
  <c r="AC43" i="10"/>
  <c r="AC43" i="9"/>
  <c r="AM43" i="7"/>
  <c r="AB39" i="10"/>
  <c r="AB39" i="9"/>
  <c r="AL39" i="7"/>
  <c r="AH44" i="7"/>
  <c r="B47" i="12"/>
  <c r="T47" i="14" s="1"/>
  <c r="V47" i="14" s="1"/>
  <c r="B47" i="10"/>
  <c r="B47" i="9"/>
  <c r="C47" i="7"/>
  <c r="K46" i="10"/>
  <c r="K46" i="9"/>
  <c r="L46" i="7"/>
  <c r="I46" i="10"/>
  <c r="I46" i="9"/>
  <c r="J46" i="7"/>
  <c r="G46" i="10"/>
  <c r="G46" i="9"/>
  <c r="H46" i="7"/>
  <c r="M46" i="10"/>
  <c r="M46" i="9"/>
  <c r="N46" i="7"/>
  <c r="E46" i="10"/>
  <c r="E46" i="9"/>
  <c r="F46" i="7"/>
  <c r="T46" i="10"/>
  <c r="T46" i="9"/>
  <c r="U46" i="7"/>
  <c r="AE44" i="10"/>
  <c r="AE44" i="9"/>
  <c r="AO44" i="7"/>
  <c r="AG38" i="10"/>
  <c r="AG38" i="9"/>
  <c r="AQ38" i="7"/>
  <c r="AJ44" i="7"/>
  <c r="W48" i="10"/>
  <c r="W48" i="9"/>
  <c r="X48" i="7"/>
  <c r="R46" i="10"/>
  <c r="R46" i="9"/>
  <c r="S46" i="7"/>
  <c r="P46" i="10"/>
  <c r="P46" i="9"/>
  <c r="Q46" i="7"/>
  <c r="N46" i="10"/>
  <c r="N46" i="9"/>
  <c r="O46" i="7"/>
  <c r="K55" i="13"/>
  <c r="H57" i="13"/>
  <c r="E57" i="13"/>
  <c r="N57" i="13" s="1"/>
  <c r="M56" i="13"/>
  <c r="I56" i="13"/>
  <c r="K56" i="13" s="1"/>
  <c r="G64" i="13"/>
  <c r="B64" i="13"/>
  <c r="C64" i="12"/>
  <c r="F60" i="12"/>
  <c r="AZ39" i="2"/>
  <c r="BA39" i="2"/>
  <c r="AE41" i="7"/>
  <c r="AD41" i="7"/>
  <c r="AG40" i="7"/>
  <c r="C39" i="3"/>
  <c r="B38" i="3"/>
  <c r="F37" i="3"/>
  <c r="E38" i="3"/>
  <c r="J45" i="3"/>
  <c r="G34" i="1"/>
  <c r="D37" i="1"/>
  <c r="W49" i="7" l="1"/>
  <c r="V49" i="9"/>
  <c r="AG65" i="17"/>
  <c r="AG65" i="16"/>
  <c r="AQ65" i="15"/>
  <c r="Z65" i="14"/>
  <c r="AB65" i="14" s="1"/>
  <c r="D65" i="11"/>
  <c r="G65" i="11"/>
  <c r="B66" i="17"/>
  <c r="B66" i="16"/>
  <c r="B66" i="11"/>
  <c r="C66" i="15"/>
  <c r="AG66" i="2"/>
  <c r="AF66" i="15" s="1"/>
  <c r="AH66" i="2"/>
  <c r="AG66" i="15" s="1"/>
  <c r="AR66" i="2"/>
  <c r="AC66" i="2"/>
  <c r="AB66" i="15" s="1"/>
  <c r="AJ66" i="2"/>
  <c r="AI66" i="15" s="1"/>
  <c r="AE66" i="2"/>
  <c r="AD66" i="15" s="1"/>
  <c r="AD66" i="2"/>
  <c r="AC66" i="15" s="1"/>
  <c r="AK66" i="2"/>
  <c r="AJ66" i="15" s="1"/>
  <c r="AI66" i="2"/>
  <c r="AH66" i="15" s="1"/>
  <c r="AF66" i="2"/>
  <c r="AE66" i="15" s="1"/>
  <c r="AL66" i="2"/>
  <c r="G65" i="17"/>
  <c r="G65" i="16"/>
  <c r="H65" i="15"/>
  <c r="I66" i="2"/>
  <c r="W64" i="14"/>
  <c r="Y64" i="14" s="1"/>
  <c r="H64" i="11"/>
  <c r="J64" i="11" s="1"/>
  <c r="AA65" i="16"/>
  <c r="AK65" i="15"/>
  <c r="AA65" i="17"/>
  <c r="S51" i="4"/>
  <c r="U51" i="2" s="1"/>
  <c r="Y50" i="2"/>
  <c r="W51" i="4"/>
  <c r="D64" i="17"/>
  <c r="D64" i="16"/>
  <c r="E64" i="15"/>
  <c r="D66" i="4"/>
  <c r="G65" i="2"/>
  <c r="I66" i="4"/>
  <c r="L65" i="2"/>
  <c r="W49" i="17"/>
  <c r="W49" i="16"/>
  <c r="X49" i="15"/>
  <c r="C66" i="4"/>
  <c r="F65" i="2"/>
  <c r="J66" i="4"/>
  <c r="M65" i="2"/>
  <c r="O66" i="4"/>
  <c r="Q65" i="2"/>
  <c r="AB50" i="2"/>
  <c r="Z51" i="4"/>
  <c r="M49" i="17"/>
  <c r="AH49" i="17" s="1"/>
  <c r="N49" i="14" s="1"/>
  <c r="P49" i="14" s="1"/>
  <c r="M49" i="16"/>
  <c r="AH49" i="16" s="1"/>
  <c r="K49" i="14" s="1"/>
  <c r="M49" i="14" s="1"/>
  <c r="AS49" i="2"/>
  <c r="N49" i="15"/>
  <c r="AR49" i="15" s="1"/>
  <c r="E49" i="14" s="1"/>
  <c r="G49" i="14" s="1"/>
  <c r="P51" i="4"/>
  <c r="R50" i="2"/>
  <c r="R51" i="4"/>
  <c r="T50" i="2"/>
  <c r="W49" i="15"/>
  <c r="V49" i="16"/>
  <c r="V49" i="17"/>
  <c r="T49" i="16"/>
  <c r="T49" i="17"/>
  <c r="U49" i="15"/>
  <c r="N51" i="4"/>
  <c r="P50" i="2"/>
  <c r="C39" i="16"/>
  <c r="C39" i="17"/>
  <c r="D39" i="15"/>
  <c r="H66" i="4"/>
  <c r="K65" i="2"/>
  <c r="J64" i="17"/>
  <c r="J64" i="16"/>
  <c r="K64" i="15"/>
  <c r="U49" i="17"/>
  <c r="U49" i="16"/>
  <c r="V49" i="15"/>
  <c r="Q49" i="17"/>
  <c r="Q49" i="16"/>
  <c r="R49" i="15"/>
  <c r="AT49" i="2"/>
  <c r="S49" i="17"/>
  <c r="S49" i="16"/>
  <c r="T49" i="15"/>
  <c r="N49" i="17"/>
  <c r="N49" i="16"/>
  <c r="O49" i="15"/>
  <c r="Z49" i="17"/>
  <c r="Z49" i="16"/>
  <c r="AA49" i="15"/>
  <c r="Z49" i="9"/>
  <c r="AA49" i="7"/>
  <c r="Z49" i="10"/>
  <c r="M51" i="4"/>
  <c r="O50" i="2"/>
  <c r="I64" i="17"/>
  <c r="I64" i="16"/>
  <c r="J64" i="15"/>
  <c r="F64" i="17"/>
  <c r="F64" i="16"/>
  <c r="G64" i="15"/>
  <c r="E64" i="16"/>
  <c r="E64" i="17"/>
  <c r="F64" i="15"/>
  <c r="T51" i="4"/>
  <c r="V50" i="2"/>
  <c r="B41" i="4"/>
  <c r="E40" i="2"/>
  <c r="C40" i="10" s="1"/>
  <c r="E66" i="4"/>
  <c r="H65" i="2"/>
  <c r="H48" i="14"/>
  <c r="J48" i="14" s="1"/>
  <c r="B48" i="14"/>
  <c r="D48" i="14" s="1"/>
  <c r="D39" i="7"/>
  <c r="Z50" i="2"/>
  <c r="X51" i="4"/>
  <c r="H64" i="17"/>
  <c r="H64" i="16"/>
  <c r="I64" i="15"/>
  <c r="AA50" i="2"/>
  <c r="Y51" i="4"/>
  <c r="U51" i="4"/>
  <c r="W50" i="2"/>
  <c r="R49" i="17"/>
  <c r="R49" i="16"/>
  <c r="S49" i="15"/>
  <c r="Q51" i="4"/>
  <c r="S50" i="2"/>
  <c r="L64" i="17"/>
  <c r="L64" i="16"/>
  <c r="M64" i="15"/>
  <c r="C39" i="9"/>
  <c r="K64" i="17"/>
  <c r="K64" i="16"/>
  <c r="L64" i="15"/>
  <c r="X49" i="17"/>
  <c r="X49" i="16"/>
  <c r="Y49" i="15"/>
  <c r="O64" i="17"/>
  <c r="O64" i="16"/>
  <c r="P64" i="15"/>
  <c r="G66" i="4"/>
  <c r="J65" i="2"/>
  <c r="Y49" i="16"/>
  <c r="Z49" i="15"/>
  <c r="Y49" i="17"/>
  <c r="P49" i="17"/>
  <c r="P49" i="16"/>
  <c r="Q49" i="15"/>
  <c r="X50" i="2"/>
  <c r="V50" i="10" s="1"/>
  <c r="V51" i="4"/>
  <c r="K66" i="4"/>
  <c r="N65" i="2"/>
  <c r="C66" i="2"/>
  <c r="B67" i="2"/>
  <c r="D67" i="2" s="1"/>
  <c r="AC41" i="7"/>
  <c r="BB39" i="2"/>
  <c r="AF41" i="7"/>
  <c r="AX47" i="2"/>
  <c r="AY40" i="2"/>
  <c r="AW47" i="2"/>
  <c r="T47" i="10"/>
  <c r="T47" i="9"/>
  <c r="U47" i="7"/>
  <c r="J47" i="10"/>
  <c r="J47" i="9"/>
  <c r="K47" i="7"/>
  <c r="H47" i="10"/>
  <c r="H47" i="9"/>
  <c r="I47" i="7"/>
  <c r="AI45" i="7"/>
  <c r="AI44" i="7"/>
  <c r="G47" i="10"/>
  <c r="G47" i="9"/>
  <c r="H47" i="7"/>
  <c r="N47" i="10"/>
  <c r="N47" i="9"/>
  <c r="O47" i="7"/>
  <c r="D47" i="10"/>
  <c r="D47" i="9"/>
  <c r="E47" i="7"/>
  <c r="P47" i="10"/>
  <c r="P47" i="9"/>
  <c r="Q47" i="7"/>
  <c r="AH45" i="7"/>
  <c r="Y49" i="10"/>
  <c r="Y49" i="9"/>
  <c r="Z49" i="7"/>
  <c r="AB45" i="7"/>
  <c r="AC44" i="10"/>
  <c r="AC44" i="9"/>
  <c r="AM44" i="7"/>
  <c r="AJ45" i="7"/>
  <c r="U47" i="10"/>
  <c r="U47" i="9"/>
  <c r="V47" i="7"/>
  <c r="K47" i="10"/>
  <c r="K47" i="9"/>
  <c r="L47" i="7"/>
  <c r="R47" i="10"/>
  <c r="R47" i="9"/>
  <c r="S47" i="7"/>
  <c r="AR38" i="7"/>
  <c r="W49" i="10"/>
  <c r="W49" i="9"/>
  <c r="X49" i="7"/>
  <c r="AE45" i="10"/>
  <c r="AE45" i="9"/>
  <c r="AO45" i="7"/>
  <c r="AF45" i="10"/>
  <c r="AF45" i="9"/>
  <c r="AP45" i="7"/>
  <c r="O47" i="10"/>
  <c r="O47" i="9"/>
  <c r="P47" i="7"/>
  <c r="E47" i="10"/>
  <c r="E47" i="9"/>
  <c r="F47" i="7"/>
  <c r="I47" i="10"/>
  <c r="I47" i="9"/>
  <c r="J47" i="7"/>
  <c r="AH38" i="9"/>
  <c r="AB40" i="10"/>
  <c r="AB40" i="9"/>
  <c r="AL40" i="7"/>
  <c r="L47" i="10"/>
  <c r="L47" i="9"/>
  <c r="M47" i="7"/>
  <c r="S47" i="10"/>
  <c r="S47" i="9"/>
  <c r="T47" i="7"/>
  <c r="D47" i="12"/>
  <c r="M47" i="12" s="1"/>
  <c r="G47" i="12"/>
  <c r="Q47" i="14" s="1"/>
  <c r="S47" i="14" s="1"/>
  <c r="AH38" i="10"/>
  <c r="AG39" i="10"/>
  <c r="AG39" i="9"/>
  <c r="AQ39" i="7"/>
  <c r="AD44" i="10"/>
  <c r="AD44" i="9"/>
  <c r="AN44" i="7"/>
  <c r="AA39" i="10"/>
  <c r="AH39" i="10" s="1"/>
  <c r="AA39" i="9"/>
  <c r="AK39" i="7"/>
  <c r="B48" i="12"/>
  <c r="T48" i="14" s="1"/>
  <c r="V48" i="14" s="1"/>
  <c r="B48" i="10"/>
  <c r="B48" i="9"/>
  <c r="C48" i="7"/>
  <c r="F47" i="10"/>
  <c r="F47" i="9"/>
  <c r="G47" i="7"/>
  <c r="M47" i="10"/>
  <c r="M47" i="9"/>
  <c r="N47" i="7"/>
  <c r="Q47" i="10"/>
  <c r="Q47" i="9"/>
  <c r="R47" i="7"/>
  <c r="X49" i="10"/>
  <c r="X49" i="9"/>
  <c r="Y49" i="7"/>
  <c r="K46" i="12"/>
  <c r="H46" i="12"/>
  <c r="J46" i="12" s="1"/>
  <c r="L56" i="13"/>
  <c r="O57" i="13"/>
  <c r="M57" i="13"/>
  <c r="I57" i="13"/>
  <c r="L57" i="13" s="1"/>
  <c r="H58" i="13"/>
  <c r="E58" i="13"/>
  <c r="G65" i="13"/>
  <c r="B65" i="13"/>
  <c r="C65" i="12"/>
  <c r="F61" i="12"/>
  <c r="AZ40" i="2"/>
  <c r="BA40" i="2"/>
  <c r="AE42" i="7"/>
  <c r="AD42" i="7"/>
  <c r="AG41" i="7"/>
  <c r="C40" i="3"/>
  <c r="B39" i="3"/>
  <c r="J46" i="3"/>
  <c r="F38" i="3"/>
  <c r="E39" i="3"/>
  <c r="G35" i="1"/>
  <c r="D38" i="1"/>
  <c r="W50" i="7" l="1"/>
  <c r="V50" i="9"/>
  <c r="B67" i="11"/>
  <c r="B67" i="17"/>
  <c r="B67" i="16"/>
  <c r="C67" i="15"/>
  <c r="AG67" i="2"/>
  <c r="AF67" i="15" s="1"/>
  <c r="AH67" i="2"/>
  <c r="AG67" i="15" s="1"/>
  <c r="AR67" i="2"/>
  <c r="AI67" i="2"/>
  <c r="AH67" i="15" s="1"/>
  <c r="AL67" i="2"/>
  <c r="AE67" i="2"/>
  <c r="AD67" i="15" s="1"/>
  <c r="AD67" i="2"/>
  <c r="AC67" i="15" s="1"/>
  <c r="AC67" i="2"/>
  <c r="AB67" i="15" s="1"/>
  <c r="AK67" i="2"/>
  <c r="AJ67" i="15" s="1"/>
  <c r="AF67" i="2"/>
  <c r="AE67" i="15" s="1"/>
  <c r="AJ67" i="2"/>
  <c r="AI67" i="15" s="1"/>
  <c r="I67" i="2"/>
  <c r="W65" i="14"/>
  <c r="Y65" i="14" s="1"/>
  <c r="H65" i="11"/>
  <c r="J65" i="11" s="1"/>
  <c r="AA66" i="16"/>
  <c r="AK66" i="15"/>
  <c r="AA66" i="17"/>
  <c r="Z66" i="14"/>
  <c r="AB66" i="14" s="1"/>
  <c r="D66" i="11"/>
  <c r="G66" i="11"/>
  <c r="C40" i="9"/>
  <c r="G66" i="17"/>
  <c r="G66" i="16"/>
  <c r="H66" i="15"/>
  <c r="AG66" i="16"/>
  <c r="AG66" i="17"/>
  <c r="AQ66" i="15"/>
  <c r="L65" i="17"/>
  <c r="L65" i="16"/>
  <c r="M65" i="15"/>
  <c r="U50" i="17"/>
  <c r="U50" i="16"/>
  <c r="V50" i="15"/>
  <c r="F65" i="16"/>
  <c r="F65" i="17"/>
  <c r="G65" i="15"/>
  <c r="K65" i="17"/>
  <c r="K65" i="16"/>
  <c r="L65" i="15"/>
  <c r="D40" i="7"/>
  <c r="K67" i="4"/>
  <c r="N66" i="2"/>
  <c r="Q50" i="17"/>
  <c r="Q50" i="16"/>
  <c r="R50" i="15"/>
  <c r="AT50" i="2"/>
  <c r="U52" i="4"/>
  <c r="W51" i="2"/>
  <c r="Z51" i="2"/>
  <c r="X52" i="4"/>
  <c r="E67" i="4"/>
  <c r="H66" i="2"/>
  <c r="R52" i="4"/>
  <c r="T51" i="2"/>
  <c r="J67" i="4"/>
  <c r="M66" i="2"/>
  <c r="J65" i="16"/>
  <c r="J65" i="17"/>
  <c r="K65" i="15"/>
  <c r="AB51" i="2"/>
  <c r="Z52" i="4"/>
  <c r="I67" i="4"/>
  <c r="L66" i="2"/>
  <c r="Y51" i="2"/>
  <c r="W52" i="4"/>
  <c r="P50" i="16"/>
  <c r="P50" i="17"/>
  <c r="Q50" i="15"/>
  <c r="D65" i="16"/>
  <c r="D65" i="17"/>
  <c r="E65" i="15"/>
  <c r="V50" i="17"/>
  <c r="V50" i="16"/>
  <c r="W50" i="15"/>
  <c r="Y50" i="17"/>
  <c r="Y50" i="16"/>
  <c r="Z50" i="15"/>
  <c r="B42" i="4"/>
  <c r="E41" i="2"/>
  <c r="C41" i="10" s="1"/>
  <c r="N50" i="16"/>
  <c r="N50" i="17"/>
  <c r="O50" i="15"/>
  <c r="P52" i="4"/>
  <c r="R51" i="2"/>
  <c r="Z50" i="17"/>
  <c r="Z50" i="16"/>
  <c r="AA50" i="15"/>
  <c r="Z50" i="10"/>
  <c r="Z50" i="9"/>
  <c r="AA50" i="7"/>
  <c r="C67" i="4"/>
  <c r="F66" i="2"/>
  <c r="E65" i="17"/>
  <c r="E65" i="16"/>
  <c r="F65" i="15"/>
  <c r="W50" i="17"/>
  <c r="W50" i="16"/>
  <c r="X50" i="15"/>
  <c r="H65" i="16"/>
  <c r="H65" i="17"/>
  <c r="I65" i="15"/>
  <c r="T50" i="17"/>
  <c r="T50" i="16"/>
  <c r="U50" i="15"/>
  <c r="M50" i="16"/>
  <c r="AH50" i="16" s="1"/>
  <c r="K50" i="14" s="1"/>
  <c r="M50" i="14" s="1"/>
  <c r="M50" i="17"/>
  <c r="AH50" i="17" s="1"/>
  <c r="N50" i="14" s="1"/>
  <c r="P50" i="14" s="1"/>
  <c r="AS50" i="2"/>
  <c r="N50" i="15"/>
  <c r="AR50" i="15" s="1"/>
  <c r="E50" i="14" s="1"/>
  <c r="G50" i="14" s="1"/>
  <c r="I65" i="16"/>
  <c r="I65" i="17"/>
  <c r="J65" i="15"/>
  <c r="N52" i="4"/>
  <c r="P51" i="2"/>
  <c r="O65" i="17"/>
  <c r="O65" i="16"/>
  <c r="P65" i="15"/>
  <c r="D67" i="4"/>
  <c r="G66" i="2"/>
  <c r="S50" i="16"/>
  <c r="S50" i="17"/>
  <c r="T50" i="15"/>
  <c r="X51" i="2"/>
  <c r="V51" i="10" s="1"/>
  <c r="V52" i="4"/>
  <c r="Q52" i="4"/>
  <c r="S51" i="2"/>
  <c r="AA51" i="2"/>
  <c r="Y52" i="4"/>
  <c r="Y50" i="15"/>
  <c r="X50" i="16"/>
  <c r="X50" i="17"/>
  <c r="C40" i="17"/>
  <c r="C40" i="16"/>
  <c r="D40" i="15"/>
  <c r="G67" i="4"/>
  <c r="J66" i="2"/>
  <c r="T52" i="4"/>
  <c r="V51" i="2"/>
  <c r="M52" i="4"/>
  <c r="O51" i="2"/>
  <c r="H67" i="4"/>
  <c r="K66" i="2"/>
  <c r="R50" i="17"/>
  <c r="R50" i="16"/>
  <c r="S50" i="15"/>
  <c r="H49" i="14"/>
  <c r="J49" i="14" s="1"/>
  <c r="B49" i="14"/>
  <c r="D49" i="14" s="1"/>
  <c r="O67" i="4"/>
  <c r="Q66" i="2"/>
  <c r="S52" i="4"/>
  <c r="U52" i="2" s="1"/>
  <c r="AH39" i="9"/>
  <c r="AR39" i="7"/>
  <c r="B68" i="2"/>
  <c r="D68" i="2" s="1"/>
  <c r="C67" i="2"/>
  <c r="AC42" i="7"/>
  <c r="BB40" i="2"/>
  <c r="AX48" i="2"/>
  <c r="AF42" i="7"/>
  <c r="AW48" i="2"/>
  <c r="AY41" i="2"/>
  <c r="L47" i="12"/>
  <c r="K48" i="10"/>
  <c r="K48" i="9"/>
  <c r="L48" i="7"/>
  <c r="AB46" i="7"/>
  <c r="L48" i="10"/>
  <c r="L48" i="9"/>
  <c r="M48" i="7"/>
  <c r="T48" i="10"/>
  <c r="T48" i="9"/>
  <c r="U48" i="7"/>
  <c r="AJ46" i="7"/>
  <c r="AH46" i="7"/>
  <c r="AE46" i="10"/>
  <c r="AE46" i="9"/>
  <c r="AO46" i="7"/>
  <c r="E48" i="10"/>
  <c r="E48" i="9"/>
  <c r="F48" i="7"/>
  <c r="AG40" i="10"/>
  <c r="AG40" i="9"/>
  <c r="AQ40" i="7"/>
  <c r="R48" i="10"/>
  <c r="R48" i="9"/>
  <c r="S48" i="7"/>
  <c r="F48" i="10"/>
  <c r="F48" i="9"/>
  <c r="G48" i="7"/>
  <c r="N48" i="10"/>
  <c r="N48" i="9"/>
  <c r="O48" i="7"/>
  <c r="K47" i="12"/>
  <c r="H47" i="12"/>
  <c r="J47" i="12" s="1"/>
  <c r="W50" i="10"/>
  <c r="W50" i="9"/>
  <c r="X50" i="7"/>
  <c r="Y50" i="10"/>
  <c r="Y50" i="9"/>
  <c r="Z50" i="7"/>
  <c r="X50" i="10"/>
  <c r="X50" i="9"/>
  <c r="Y50" i="7"/>
  <c r="G48" i="10"/>
  <c r="G48" i="9"/>
  <c r="H48" i="7"/>
  <c r="AB41" i="10"/>
  <c r="AB41" i="9"/>
  <c r="AL41" i="7"/>
  <c r="I48" i="10"/>
  <c r="I48" i="9"/>
  <c r="J48" i="7"/>
  <c r="M48" i="10"/>
  <c r="M48" i="9"/>
  <c r="N48" i="7"/>
  <c r="AD45" i="10"/>
  <c r="AD45" i="9"/>
  <c r="AN45" i="7"/>
  <c r="H48" i="10"/>
  <c r="H48" i="9"/>
  <c r="I48" i="7"/>
  <c r="U48" i="10"/>
  <c r="U48" i="9"/>
  <c r="V48" i="7"/>
  <c r="J48" i="10"/>
  <c r="J48" i="9"/>
  <c r="K48" i="7"/>
  <c r="D48" i="12"/>
  <c r="G48" i="12"/>
  <c r="Q48" i="14" s="1"/>
  <c r="S48" i="14" s="1"/>
  <c r="AA40" i="10"/>
  <c r="AA40" i="9"/>
  <c r="AK40" i="7"/>
  <c r="S48" i="10"/>
  <c r="S48" i="9"/>
  <c r="T48" i="7"/>
  <c r="AC45" i="10"/>
  <c r="AC45" i="9"/>
  <c r="AM45" i="7"/>
  <c r="P48" i="10"/>
  <c r="P48" i="9"/>
  <c r="Q48" i="7"/>
  <c r="AF46" i="10"/>
  <c r="AF46" i="9"/>
  <c r="AP46" i="7"/>
  <c r="B49" i="12"/>
  <c r="T49" i="14" s="1"/>
  <c r="V49" i="14" s="1"/>
  <c r="B49" i="10"/>
  <c r="B49" i="9"/>
  <c r="C49" i="7"/>
  <c r="Q48" i="10"/>
  <c r="Q48" i="9"/>
  <c r="R48" i="7"/>
  <c r="O48" i="10"/>
  <c r="O48" i="9"/>
  <c r="P48" i="7"/>
  <c r="D48" i="10"/>
  <c r="D48" i="9"/>
  <c r="E48" i="7"/>
  <c r="M58" i="13"/>
  <c r="I58" i="13"/>
  <c r="K58" i="13" s="1"/>
  <c r="L58" i="13"/>
  <c r="K57" i="13"/>
  <c r="H59" i="13"/>
  <c r="E59" i="13"/>
  <c r="B66" i="13"/>
  <c r="G66" i="13"/>
  <c r="F62" i="12"/>
  <c r="C66" i="12"/>
  <c r="AZ41" i="2"/>
  <c r="BA41" i="2"/>
  <c r="AE43" i="7"/>
  <c r="AD43" i="7"/>
  <c r="AY42" i="2"/>
  <c r="C41" i="3"/>
  <c r="G41" i="3" s="1"/>
  <c r="B40" i="3"/>
  <c r="F39" i="3"/>
  <c r="E40" i="3"/>
  <c r="J47" i="3"/>
  <c r="G36" i="1"/>
  <c r="D39" i="1"/>
  <c r="W51" i="7" l="1"/>
  <c r="C41" i="9"/>
  <c r="V51" i="9"/>
  <c r="W66" i="14"/>
  <c r="Y66" i="14" s="1"/>
  <c r="H66" i="11"/>
  <c r="J66" i="11" s="1"/>
  <c r="I68" i="2"/>
  <c r="H67" i="15"/>
  <c r="G67" i="16"/>
  <c r="G67" i="17"/>
  <c r="AA67" i="16"/>
  <c r="AA67" i="17"/>
  <c r="AK67" i="15"/>
  <c r="B68" i="17"/>
  <c r="B68" i="16"/>
  <c r="B68" i="11"/>
  <c r="C68" i="15"/>
  <c r="AG68" i="2"/>
  <c r="AF68" i="15" s="1"/>
  <c r="AH68" i="2"/>
  <c r="AG68" i="15" s="1"/>
  <c r="AR68" i="2"/>
  <c r="AI68" i="2"/>
  <c r="AH68" i="15" s="1"/>
  <c r="AF68" i="2"/>
  <c r="AE68" i="15" s="1"/>
  <c r="AE68" i="2"/>
  <c r="AD68" i="15" s="1"/>
  <c r="AJ68" i="2"/>
  <c r="AI68" i="15" s="1"/>
  <c r="AD68" i="2"/>
  <c r="AC68" i="15" s="1"/>
  <c r="AC68" i="2"/>
  <c r="AB68" i="15" s="1"/>
  <c r="AK68" i="2"/>
  <c r="AJ68" i="15" s="1"/>
  <c r="AL68" i="2"/>
  <c r="AG67" i="17"/>
  <c r="AQ67" i="15"/>
  <c r="AG67" i="16"/>
  <c r="Z67" i="14"/>
  <c r="AB67" i="14" s="1"/>
  <c r="D67" i="11"/>
  <c r="G67" i="11"/>
  <c r="S53" i="4"/>
  <c r="U53" i="2" s="1"/>
  <c r="N51" i="17"/>
  <c r="N51" i="16"/>
  <c r="O51" i="15"/>
  <c r="AS51" i="2"/>
  <c r="M51" i="17"/>
  <c r="AH51" i="17" s="1"/>
  <c r="N51" i="14" s="1"/>
  <c r="P51" i="14" s="1"/>
  <c r="M51" i="16"/>
  <c r="AH51" i="16" s="1"/>
  <c r="K51" i="14" s="1"/>
  <c r="M51" i="14" s="1"/>
  <c r="N51" i="15"/>
  <c r="AR51" i="15" s="1"/>
  <c r="E51" i="14" s="1"/>
  <c r="G51" i="14" s="1"/>
  <c r="AA52" i="2"/>
  <c r="Y53" i="4"/>
  <c r="C68" i="4"/>
  <c r="F67" i="2"/>
  <c r="C41" i="16"/>
  <c r="C41" i="17"/>
  <c r="D41" i="15"/>
  <c r="AB52" i="2"/>
  <c r="Z53" i="4"/>
  <c r="J68" i="4"/>
  <c r="M67" i="2"/>
  <c r="Z52" i="2"/>
  <c r="X53" i="4"/>
  <c r="D41" i="7"/>
  <c r="S51" i="17"/>
  <c r="S51" i="16"/>
  <c r="T51" i="15"/>
  <c r="M53" i="4"/>
  <c r="O52" i="2"/>
  <c r="Y51" i="16"/>
  <c r="Z51" i="15"/>
  <c r="Y51" i="17"/>
  <c r="P51" i="17"/>
  <c r="P51" i="16"/>
  <c r="Q51" i="15"/>
  <c r="B43" i="4"/>
  <c r="E42" i="2"/>
  <c r="D42" i="7" s="1"/>
  <c r="Z51" i="17"/>
  <c r="Z51" i="16"/>
  <c r="AA51" i="15"/>
  <c r="Z51" i="10"/>
  <c r="Z51" i="9"/>
  <c r="AA51" i="7"/>
  <c r="R51" i="16"/>
  <c r="R51" i="17"/>
  <c r="S51" i="15"/>
  <c r="X51" i="17"/>
  <c r="X51" i="16"/>
  <c r="Y51" i="15"/>
  <c r="Q51" i="16"/>
  <c r="Q51" i="17"/>
  <c r="R51" i="15"/>
  <c r="AT51" i="2"/>
  <c r="T51" i="16"/>
  <c r="T51" i="17"/>
  <c r="U51" i="15"/>
  <c r="B50" i="14"/>
  <c r="D50" i="14" s="1"/>
  <c r="H50" i="14"/>
  <c r="J50" i="14" s="1"/>
  <c r="L66" i="16"/>
  <c r="L66" i="17"/>
  <c r="M66" i="15"/>
  <c r="P53" i="4"/>
  <c r="R52" i="2"/>
  <c r="Y52" i="2"/>
  <c r="W53" i="4"/>
  <c r="U51" i="16"/>
  <c r="U51" i="17"/>
  <c r="V51" i="15"/>
  <c r="O66" i="16"/>
  <c r="O66" i="17"/>
  <c r="P66" i="15"/>
  <c r="T53" i="4"/>
  <c r="V52" i="2"/>
  <c r="Q53" i="4"/>
  <c r="S52" i="2"/>
  <c r="E66" i="16"/>
  <c r="E66" i="17"/>
  <c r="F66" i="15"/>
  <c r="N53" i="4"/>
  <c r="P52" i="2"/>
  <c r="W51" i="17"/>
  <c r="W51" i="16"/>
  <c r="X51" i="15"/>
  <c r="R53" i="4"/>
  <c r="T52" i="2"/>
  <c r="U53" i="4"/>
  <c r="W52" i="2"/>
  <c r="K68" i="4"/>
  <c r="N67" i="2"/>
  <c r="O68" i="4"/>
  <c r="Q67" i="2"/>
  <c r="I66" i="16"/>
  <c r="I66" i="17"/>
  <c r="J66" i="15"/>
  <c r="H66" i="16"/>
  <c r="H66" i="17"/>
  <c r="I66" i="15"/>
  <c r="X52" i="2"/>
  <c r="V52" i="10" s="1"/>
  <c r="V53" i="4"/>
  <c r="D68" i="4"/>
  <c r="G67" i="2"/>
  <c r="J66" i="17"/>
  <c r="J66" i="16"/>
  <c r="K66" i="15"/>
  <c r="F66" i="16"/>
  <c r="F66" i="17"/>
  <c r="G66" i="15"/>
  <c r="H68" i="4"/>
  <c r="K67" i="2"/>
  <c r="G68" i="4"/>
  <c r="J67" i="2"/>
  <c r="W51" i="15"/>
  <c r="V51" i="17"/>
  <c r="V51" i="16"/>
  <c r="D66" i="17"/>
  <c r="D66" i="16"/>
  <c r="E66" i="15"/>
  <c r="I68" i="4"/>
  <c r="L67" i="2"/>
  <c r="K66" i="17"/>
  <c r="K66" i="16"/>
  <c r="L66" i="15"/>
  <c r="E68" i="4"/>
  <c r="H67" i="2"/>
  <c r="C68" i="2"/>
  <c r="B69" i="2"/>
  <c r="D69" i="2" s="1"/>
  <c r="AC43" i="7"/>
  <c r="BB41" i="2"/>
  <c r="AX49" i="2"/>
  <c r="AW49" i="2"/>
  <c r="AF43" i="7"/>
  <c r="AH40" i="10"/>
  <c r="AH40" i="9"/>
  <c r="AR40" i="7"/>
  <c r="AC46" i="10"/>
  <c r="AC46" i="9"/>
  <c r="AM46" i="7"/>
  <c r="AF47" i="10"/>
  <c r="AF47" i="9"/>
  <c r="AP47" i="7"/>
  <c r="O49" i="10"/>
  <c r="O49" i="9"/>
  <c r="P49" i="7"/>
  <c r="Q49" i="10"/>
  <c r="Q49" i="9"/>
  <c r="R49" i="7"/>
  <c r="D49" i="12"/>
  <c r="G49" i="12"/>
  <c r="Q49" i="14" s="1"/>
  <c r="S49" i="14" s="1"/>
  <c r="X51" i="10"/>
  <c r="X51" i="9"/>
  <c r="Y51" i="7"/>
  <c r="K48" i="12"/>
  <c r="H48" i="12"/>
  <c r="J48" i="12" s="1"/>
  <c r="G49" i="10"/>
  <c r="G49" i="9"/>
  <c r="H49" i="7"/>
  <c r="AB42" i="10"/>
  <c r="AB42" i="9"/>
  <c r="AL42" i="7"/>
  <c r="B50" i="12"/>
  <c r="T50" i="14" s="1"/>
  <c r="V50" i="14" s="1"/>
  <c r="B50" i="10"/>
  <c r="B50" i="9"/>
  <c r="C50" i="7"/>
  <c r="J49" i="10"/>
  <c r="J49" i="9"/>
  <c r="K49" i="7"/>
  <c r="S49" i="10"/>
  <c r="S49" i="9"/>
  <c r="T49" i="7"/>
  <c r="L49" i="10"/>
  <c r="L49" i="9"/>
  <c r="M49" i="7"/>
  <c r="AH47" i="7"/>
  <c r="U49" i="10"/>
  <c r="U49" i="9"/>
  <c r="V49" i="7"/>
  <c r="AG41" i="10"/>
  <c r="AG41" i="9"/>
  <c r="AQ41" i="7"/>
  <c r="AE47" i="10"/>
  <c r="AE47" i="9"/>
  <c r="AO47" i="7"/>
  <c r="AA41" i="10"/>
  <c r="AA41" i="9"/>
  <c r="AK41" i="7"/>
  <c r="D49" i="10"/>
  <c r="D49" i="9"/>
  <c r="E49" i="7"/>
  <c r="M49" i="10"/>
  <c r="M49" i="9"/>
  <c r="N49" i="7"/>
  <c r="F49" i="10"/>
  <c r="F49" i="9"/>
  <c r="G49" i="7"/>
  <c r="Y51" i="10"/>
  <c r="Y51" i="9"/>
  <c r="Z51" i="7"/>
  <c r="AI47" i="7"/>
  <c r="AI46" i="7"/>
  <c r="I49" i="10"/>
  <c r="I49" i="9"/>
  <c r="J49" i="7"/>
  <c r="AG43" i="7"/>
  <c r="AG42" i="7"/>
  <c r="C42" i="9"/>
  <c r="K49" i="10"/>
  <c r="K49" i="9"/>
  <c r="L49" i="7"/>
  <c r="T49" i="10"/>
  <c r="T49" i="9"/>
  <c r="U49" i="7"/>
  <c r="H49" i="10"/>
  <c r="H49" i="9"/>
  <c r="I49" i="7"/>
  <c r="P49" i="10"/>
  <c r="P49" i="9"/>
  <c r="Q49" i="7"/>
  <c r="AB47" i="7"/>
  <c r="AD46" i="10"/>
  <c r="AD46" i="9"/>
  <c r="AN46" i="7"/>
  <c r="E49" i="10"/>
  <c r="E49" i="9"/>
  <c r="F49" i="7"/>
  <c r="N49" i="10"/>
  <c r="N49" i="9"/>
  <c r="O49" i="7"/>
  <c r="R49" i="10"/>
  <c r="R49" i="9"/>
  <c r="S49" i="7"/>
  <c r="W51" i="10"/>
  <c r="W51" i="9"/>
  <c r="X51" i="7"/>
  <c r="AJ47" i="7"/>
  <c r="I59" i="13"/>
  <c r="L59" i="13" s="1"/>
  <c r="M59" i="13"/>
  <c r="E60" i="13"/>
  <c r="H60" i="13"/>
  <c r="G67" i="13"/>
  <c r="B67" i="13"/>
  <c r="C67" i="12"/>
  <c r="F63" i="12"/>
  <c r="AZ42" i="2"/>
  <c r="BA42" i="2"/>
  <c r="AE44" i="7"/>
  <c r="AD44" i="7"/>
  <c r="C42" i="3"/>
  <c r="B41" i="3"/>
  <c r="J48" i="3"/>
  <c r="F40" i="3"/>
  <c r="E41" i="3"/>
  <c r="G37" i="1"/>
  <c r="D40" i="1"/>
  <c r="AH41" i="10" l="1"/>
  <c r="V52" i="9"/>
  <c r="W52" i="7"/>
  <c r="B69" i="11"/>
  <c r="B69" i="16"/>
  <c r="B69" i="17"/>
  <c r="C69" i="15"/>
  <c r="AG69" i="2"/>
  <c r="AF69" i="15" s="1"/>
  <c r="AH69" i="2"/>
  <c r="AG69" i="15" s="1"/>
  <c r="AK69" i="2"/>
  <c r="AJ69" i="15" s="1"/>
  <c r="AD69" i="2"/>
  <c r="AC69" i="15" s="1"/>
  <c r="AL69" i="2"/>
  <c r="AF69" i="2"/>
  <c r="AE69" i="15" s="1"/>
  <c r="AI69" i="2"/>
  <c r="AH69" i="15" s="1"/>
  <c r="AJ69" i="2"/>
  <c r="AI69" i="15" s="1"/>
  <c r="AE69" i="2"/>
  <c r="AD69" i="15" s="1"/>
  <c r="AC69" i="2"/>
  <c r="AB69" i="15" s="1"/>
  <c r="AR69" i="2"/>
  <c r="AG68" i="16"/>
  <c r="AG68" i="17"/>
  <c r="AQ68" i="15"/>
  <c r="G68" i="17"/>
  <c r="G68" i="16"/>
  <c r="H68" i="15"/>
  <c r="I69" i="2"/>
  <c r="W67" i="14"/>
  <c r="Y67" i="14" s="1"/>
  <c r="H67" i="11"/>
  <c r="L67" i="11" s="1"/>
  <c r="AA68" i="16"/>
  <c r="AK68" i="15"/>
  <c r="AA68" i="17"/>
  <c r="Z68" i="14"/>
  <c r="AB68" i="14" s="1"/>
  <c r="D68" i="11"/>
  <c r="G68" i="11"/>
  <c r="H67" i="16"/>
  <c r="H67" i="17"/>
  <c r="I67" i="15"/>
  <c r="D69" i="4"/>
  <c r="G68" i="2"/>
  <c r="Y53" i="2"/>
  <c r="W54" i="4"/>
  <c r="H69" i="4"/>
  <c r="K68" i="2"/>
  <c r="R52" i="16"/>
  <c r="R52" i="17"/>
  <c r="S52" i="15"/>
  <c r="O69" i="4"/>
  <c r="Q68" i="2"/>
  <c r="N54" i="4"/>
  <c r="P53" i="2"/>
  <c r="C42" i="17"/>
  <c r="C42" i="16"/>
  <c r="D42" i="15"/>
  <c r="AB53" i="2"/>
  <c r="Z54" i="4"/>
  <c r="C69" i="4"/>
  <c r="F68" i="2"/>
  <c r="H51" i="14"/>
  <c r="J51" i="14" s="1"/>
  <c r="B51" i="14"/>
  <c r="D51" i="14" s="1"/>
  <c r="Y52" i="17"/>
  <c r="Y52" i="16"/>
  <c r="Z52" i="15"/>
  <c r="O67" i="17"/>
  <c r="O67" i="16"/>
  <c r="P67" i="15"/>
  <c r="N52" i="17"/>
  <c r="N52" i="16"/>
  <c r="O52" i="15"/>
  <c r="Q54" i="4"/>
  <c r="S53" i="2"/>
  <c r="P54" i="4"/>
  <c r="R53" i="2"/>
  <c r="J67" i="17"/>
  <c r="J67" i="16"/>
  <c r="K67" i="15"/>
  <c r="T52" i="17"/>
  <c r="T52" i="16"/>
  <c r="U52" i="15"/>
  <c r="F67" i="16"/>
  <c r="F67" i="17"/>
  <c r="G67" i="15"/>
  <c r="I69" i="4"/>
  <c r="L68" i="2"/>
  <c r="E67" i="17"/>
  <c r="E67" i="16"/>
  <c r="F67" i="15"/>
  <c r="L67" i="16"/>
  <c r="L67" i="17"/>
  <c r="M67" i="15"/>
  <c r="R54" i="4"/>
  <c r="T53" i="2"/>
  <c r="T54" i="4"/>
  <c r="V53" i="2"/>
  <c r="B44" i="4"/>
  <c r="E43" i="2"/>
  <c r="D43" i="7" s="1"/>
  <c r="Z52" i="17"/>
  <c r="Z52" i="16"/>
  <c r="AA52" i="15"/>
  <c r="Z52" i="9"/>
  <c r="AA52" i="7"/>
  <c r="Z52" i="10"/>
  <c r="AA53" i="2"/>
  <c r="Y54" i="4"/>
  <c r="E69" i="4"/>
  <c r="H68" i="2"/>
  <c r="Z53" i="2"/>
  <c r="X54" i="4"/>
  <c r="K69" i="4"/>
  <c r="N68" i="2"/>
  <c r="AS52" i="2"/>
  <c r="M52" i="17"/>
  <c r="AH52" i="17" s="1"/>
  <c r="N52" i="14" s="1"/>
  <c r="P52" i="14" s="1"/>
  <c r="M52" i="16"/>
  <c r="AH52" i="16" s="1"/>
  <c r="K52" i="14" s="1"/>
  <c r="M52" i="14" s="1"/>
  <c r="N52" i="15"/>
  <c r="AR52" i="15" s="1"/>
  <c r="E52" i="14" s="1"/>
  <c r="G52" i="14" s="1"/>
  <c r="G69" i="4"/>
  <c r="J68" i="2"/>
  <c r="X53" i="2"/>
  <c r="W53" i="7" s="1"/>
  <c r="V54" i="4"/>
  <c r="U52" i="17"/>
  <c r="U52" i="16"/>
  <c r="V52" i="15"/>
  <c r="W52" i="16"/>
  <c r="W52" i="17"/>
  <c r="X52" i="15"/>
  <c r="M54" i="4"/>
  <c r="O53" i="2"/>
  <c r="Y52" i="15"/>
  <c r="X52" i="17"/>
  <c r="X52" i="16"/>
  <c r="C42" i="10"/>
  <c r="I67" i="17"/>
  <c r="I67" i="16"/>
  <c r="J67" i="15"/>
  <c r="V52" i="17"/>
  <c r="V52" i="16"/>
  <c r="W52" i="15"/>
  <c r="U54" i="4"/>
  <c r="W53" i="2"/>
  <c r="Q52" i="16"/>
  <c r="Q52" i="17"/>
  <c r="R52" i="15"/>
  <c r="AT52" i="2"/>
  <c r="P52" i="16"/>
  <c r="P52" i="17"/>
  <c r="Q52" i="15"/>
  <c r="K67" i="16"/>
  <c r="K67" i="17"/>
  <c r="L67" i="15"/>
  <c r="S52" i="17"/>
  <c r="S52" i="16"/>
  <c r="T52" i="15"/>
  <c r="J69" i="4"/>
  <c r="M68" i="2"/>
  <c r="D67" i="16"/>
  <c r="D67" i="17"/>
  <c r="E67" i="15"/>
  <c r="S54" i="4"/>
  <c r="U54" i="2" s="1"/>
  <c r="AR41" i="7"/>
  <c r="B70" i="2"/>
  <c r="D70" i="2" s="1"/>
  <c r="C69" i="2"/>
  <c r="AC44" i="7"/>
  <c r="BB42" i="2"/>
  <c r="AH41" i="9"/>
  <c r="AW50" i="2"/>
  <c r="AX50" i="2"/>
  <c r="AY43" i="2"/>
  <c r="AF44" i="7"/>
  <c r="AE48" i="10"/>
  <c r="AE48" i="9"/>
  <c r="AO48" i="7"/>
  <c r="X52" i="10"/>
  <c r="X52" i="9"/>
  <c r="Y52" i="7"/>
  <c r="G50" i="10"/>
  <c r="G50" i="9"/>
  <c r="H50" i="7"/>
  <c r="E50" i="10"/>
  <c r="E50" i="9"/>
  <c r="F50" i="7"/>
  <c r="I50" i="10"/>
  <c r="I50" i="9"/>
  <c r="J50" i="7"/>
  <c r="M50" i="10"/>
  <c r="M50" i="9"/>
  <c r="N50" i="7"/>
  <c r="K49" i="12"/>
  <c r="H49" i="12"/>
  <c r="J49" i="12" s="1"/>
  <c r="AG42" i="10"/>
  <c r="AG42" i="9"/>
  <c r="AQ42" i="7"/>
  <c r="R50" i="10"/>
  <c r="R50" i="9"/>
  <c r="S50" i="7"/>
  <c r="P50" i="10"/>
  <c r="P50" i="9"/>
  <c r="Q50" i="7"/>
  <c r="AF48" i="10"/>
  <c r="AF48" i="9"/>
  <c r="AP48" i="7"/>
  <c r="L50" i="10"/>
  <c r="L50" i="9"/>
  <c r="M50" i="7"/>
  <c r="J50" i="10"/>
  <c r="J50" i="9"/>
  <c r="K50" i="7"/>
  <c r="T50" i="10"/>
  <c r="T50" i="9"/>
  <c r="U50" i="7"/>
  <c r="AA42" i="10"/>
  <c r="AA42" i="9"/>
  <c r="AK42" i="7"/>
  <c r="F50" i="10"/>
  <c r="F50" i="9"/>
  <c r="G50" i="7"/>
  <c r="D50" i="10"/>
  <c r="D50" i="9"/>
  <c r="E50" i="7"/>
  <c r="N50" i="10"/>
  <c r="N50" i="9"/>
  <c r="O50" i="7"/>
  <c r="D50" i="12"/>
  <c r="G50" i="12"/>
  <c r="Q50" i="14" s="1"/>
  <c r="S50" i="14" s="1"/>
  <c r="AB48" i="7"/>
  <c r="B51" i="12"/>
  <c r="T51" i="14" s="1"/>
  <c r="V51" i="14" s="1"/>
  <c r="B51" i="10"/>
  <c r="B51" i="9"/>
  <c r="C51" i="7"/>
  <c r="Q50" i="10"/>
  <c r="Q50" i="9"/>
  <c r="R50" i="7"/>
  <c r="U50" i="10"/>
  <c r="U50" i="9"/>
  <c r="V50" i="7"/>
  <c r="H50" i="10"/>
  <c r="H50" i="9"/>
  <c r="I50" i="7"/>
  <c r="W52" i="10"/>
  <c r="W52" i="9"/>
  <c r="X52" i="7"/>
  <c r="AD47" i="10"/>
  <c r="AD47" i="9"/>
  <c r="AN47" i="7"/>
  <c r="AB43" i="10"/>
  <c r="AB43" i="9"/>
  <c r="AL43" i="7"/>
  <c r="AC47" i="10"/>
  <c r="AC47" i="9"/>
  <c r="AM47" i="7"/>
  <c r="AJ48" i="7"/>
  <c r="Y52" i="10"/>
  <c r="Y52" i="9"/>
  <c r="Z52" i="7"/>
  <c r="AH48" i="7"/>
  <c r="K50" i="10"/>
  <c r="K50" i="9"/>
  <c r="L50" i="7"/>
  <c r="O50" i="10"/>
  <c r="O50" i="9"/>
  <c r="P50" i="7"/>
  <c r="S50" i="10"/>
  <c r="S50" i="9"/>
  <c r="T50" i="7"/>
  <c r="E61" i="13"/>
  <c r="H61" i="13"/>
  <c r="K59" i="13"/>
  <c r="M60" i="13"/>
  <c r="I60" i="13"/>
  <c r="L60" i="13" s="1"/>
  <c r="B68" i="13"/>
  <c r="G68" i="13"/>
  <c r="F64" i="12"/>
  <c r="C68" i="12"/>
  <c r="AZ43" i="2"/>
  <c r="BA43" i="2"/>
  <c r="AE45" i="7"/>
  <c r="AD45" i="7"/>
  <c r="AY44" i="2"/>
  <c r="C43" i="3"/>
  <c r="B42" i="3"/>
  <c r="F41" i="3"/>
  <c r="E42" i="3"/>
  <c r="J49" i="3"/>
  <c r="G38" i="1"/>
  <c r="D41" i="1"/>
  <c r="V53" i="9" l="1"/>
  <c r="G69" i="16"/>
  <c r="I70" i="2"/>
  <c r="H69" i="15"/>
  <c r="G69" i="17"/>
  <c r="C70" i="2"/>
  <c r="W68" i="14"/>
  <c r="Y68" i="14" s="1"/>
  <c r="H68" i="11"/>
  <c r="J68" i="11" s="1"/>
  <c r="K67" i="11"/>
  <c r="AQ69" i="15"/>
  <c r="AG69" i="16"/>
  <c r="AG69" i="17"/>
  <c r="AA69" i="16"/>
  <c r="AA69" i="17"/>
  <c r="AK69" i="15"/>
  <c r="B70" i="17"/>
  <c r="B70" i="16"/>
  <c r="B70" i="11"/>
  <c r="C70" i="15"/>
  <c r="AG70" i="2"/>
  <c r="AF70" i="15" s="1"/>
  <c r="AH70" i="2"/>
  <c r="AG70" i="15" s="1"/>
  <c r="AI70" i="2"/>
  <c r="AH70" i="15" s="1"/>
  <c r="AE70" i="2"/>
  <c r="AD70" i="15" s="1"/>
  <c r="AR70" i="2"/>
  <c r="AK70" i="2"/>
  <c r="AJ70" i="15" s="1"/>
  <c r="AD70" i="2"/>
  <c r="AC70" i="15" s="1"/>
  <c r="AF70" i="2"/>
  <c r="AE70" i="15" s="1"/>
  <c r="AC70" i="2"/>
  <c r="AB70" i="15" s="1"/>
  <c r="AL70" i="2"/>
  <c r="AJ70" i="2"/>
  <c r="AI70" i="15" s="1"/>
  <c r="J67" i="11"/>
  <c r="Z69" i="14"/>
  <c r="AB69" i="14" s="1"/>
  <c r="D69" i="11"/>
  <c r="G69" i="11"/>
  <c r="G70" i="4"/>
  <c r="J69" i="2"/>
  <c r="N53" i="17"/>
  <c r="N53" i="16"/>
  <c r="O53" i="15"/>
  <c r="U53" i="17"/>
  <c r="U53" i="16"/>
  <c r="V53" i="15"/>
  <c r="N55" i="4"/>
  <c r="P54" i="2"/>
  <c r="K68" i="17"/>
  <c r="K68" i="16"/>
  <c r="L68" i="15"/>
  <c r="V53" i="17"/>
  <c r="V53" i="16"/>
  <c r="W53" i="15"/>
  <c r="H52" i="14"/>
  <c r="J52" i="14" s="1"/>
  <c r="B52" i="14"/>
  <c r="D52" i="14" s="1"/>
  <c r="E70" i="4"/>
  <c r="H69" i="2"/>
  <c r="T55" i="4"/>
  <c r="V54" i="2"/>
  <c r="Q53" i="17"/>
  <c r="Q53" i="16"/>
  <c r="R53" i="15"/>
  <c r="AT53" i="2"/>
  <c r="W53" i="17"/>
  <c r="W53" i="16"/>
  <c r="X53" i="15"/>
  <c r="K70" i="4"/>
  <c r="N69" i="2"/>
  <c r="C70" i="4"/>
  <c r="F69" i="2"/>
  <c r="R55" i="4"/>
  <c r="T54" i="2"/>
  <c r="S53" i="17"/>
  <c r="S53" i="16"/>
  <c r="T53" i="15"/>
  <c r="J70" i="4"/>
  <c r="M69" i="2"/>
  <c r="H68" i="17"/>
  <c r="H68" i="16"/>
  <c r="I68" i="15"/>
  <c r="L68" i="16"/>
  <c r="L68" i="17"/>
  <c r="M68" i="15"/>
  <c r="AA54" i="2"/>
  <c r="Y55" i="4"/>
  <c r="R53" i="16"/>
  <c r="R53" i="17"/>
  <c r="S53" i="15"/>
  <c r="Q55" i="4"/>
  <c r="S54" i="2"/>
  <c r="D68" i="16"/>
  <c r="D68" i="17"/>
  <c r="E68" i="15"/>
  <c r="E68" i="17"/>
  <c r="E68" i="16"/>
  <c r="F68" i="15"/>
  <c r="S55" i="4"/>
  <c r="U55" i="2" s="1"/>
  <c r="M53" i="16"/>
  <c r="AH53" i="16" s="1"/>
  <c r="K53" i="14" s="1"/>
  <c r="M53" i="14" s="1"/>
  <c r="M53" i="17"/>
  <c r="AH53" i="17" s="1"/>
  <c r="N53" i="14" s="1"/>
  <c r="P53" i="14" s="1"/>
  <c r="AS53" i="2"/>
  <c r="N53" i="15"/>
  <c r="AR53" i="15" s="1"/>
  <c r="E53" i="14" s="1"/>
  <c r="G53" i="14" s="1"/>
  <c r="C43" i="16"/>
  <c r="C43" i="17"/>
  <c r="D43" i="15"/>
  <c r="AB54" i="2"/>
  <c r="Z55" i="4"/>
  <c r="U55" i="4"/>
  <c r="W54" i="2"/>
  <c r="M55" i="4"/>
  <c r="O54" i="2"/>
  <c r="X53" i="17"/>
  <c r="X53" i="16"/>
  <c r="Y53" i="15"/>
  <c r="B45" i="4"/>
  <c r="E44" i="2"/>
  <c r="C44" i="10" s="1"/>
  <c r="J68" i="17"/>
  <c r="J68" i="16"/>
  <c r="K68" i="15"/>
  <c r="P53" i="17"/>
  <c r="P53" i="16"/>
  <c r="Q53" i="15"/>
  <c r="Z53" i="17"/>
  <c r="Z53" i="16"/>
  <c r="AA53" i="15"/>
  <c r="Z53" i="10"/>
  <c r="Z53" i="9"/>
  <c r="AA53" i="7"/>
  <c r="O68" i="16"/>
  <c r="O68" i="17"/>
  <c r="P68" i="15"/>
  <c r="H70" i="4"/>
  <c r="K69" i="2"/>
  <c r="Y53" i="17"/>
  <c r="Z53" i="15"/>
  <c r="Y53" i="16"/>
  <c r="D70" i="4"/>
  <c r="G69" i="2"/>
  <c r="Z54" i="2"/>
  <c r="X55" i="4"/>
  <c r="I68" i="17"/>
  <c r="I68" i="16"/>
  <c r="J68" i="15"/>
  <c r="C43" i="9"/>
  <c r="C43" i="10"/>
  <c r="V53" i="10"/>
  <c r="X54" i="2"/>
  <c r="V54" i="9" s="1"/>
  <c r="V55" i="4"/>
  <c r="F68" i="17"/>
  <c r="F68" i="16"/>
  <c r="G68" i="15"/>
  <c r="T53" i="16"/>
  <c r="T53" i="17"/>
  <c r="U53" i="15"/>
  <c r="I70" i="4"/>
  <c r="L69" i="2"/>
  <c r="P55" i="4"/>
  <c r="R54" i="2"/>
  <c r="O70" i="4"/>
  <c r="Q69" i="2"/>
  <c r="Y54" i="2"/>
  <c r="W55" i="4"/>
  <c r="B71" i="2"/>
  <c r="D71" i="2" s="1"/>
  <c r="AC45" i="7"/>
  <c r="BB43" i="2"/>
  <c r="AW51" i="2"/>
  <c r="AF45" i="7"/>
  <c r="AX51" i="2"/>
  <c r="AH42" i="10"/>
  <c r="AR42" i="7"/>
  <c r="AH42" i="9"/>
  <c r="AD48" i="10"/>
  <c r="AD48" i="9"/>
  <c r="AN48" i="7"/>
  <c r="AA43" i="10"/>
  <c r="AA43" i="9"/>
  <c r="AK43" i="7"/>
  <c r="W53" i="10"/>
  <c r="W53" i="9"/>
  <c r="X53" i="7"/>
  <c r="AH49" i="7"/>
  <c r="U51" i="10"/>
  <c r="U51" i="9"/>
  <c r="V51" i="7"/>
  <c r="S51" i="10"/>
  <c r="S51" i="9"/>
  <c r="T51" i="7"/>
  <c r="E51" i="10"/>
  <c r="E51" i="9"/>
  <c r="F51" i="7"/>
  <c r="AE49" i="10"/>
  <c r="AE49" i="9"/>
  <c r="AO49" i="7"/>
  <c r="AF49" i="10"/>
  <c r="AF49" i="9"/>
  <c r="AP49" i="7"/>
  <c r="AI49" i="7"/>
  <c r="AI48" i="7"/>
  <c r="O51" i="10"/>
  <c r="O51" i="9"/>
  <c r="P51" i="7"/>
  <c r="M51" i="10"/>
  <c r="M51" i="9"/>
  <c r="N51" i="7"/>
  <c r="Q51" i="10"/>
  <c r="Q51" i="9"/>
  <c r="R51" i="7"/>
  <c r="D51" i="12"/>
  <c r="G51" i="12"/>
  <c r="Q51" i="14" s="1"/>
  <c r="S51" i="14" s="1"/>
  <c r="AG45" i="7"/>
  <c r="AG44" i="7"/>
  <c r="AC48" i="10"/>
  <c r="AC48" i="9"/>
  <c r="AM48" i="7"/>
  <c r="AJ49" i="7"/>
  <c r="B52" i="12"/>
  <c r="T52" i="14" s="1"/>
  <c r="V52" i="14" s="1"/>
  <c r="B52" i="10"/>
  <c r="B52" i="9"/>
  <c r="C52" i="7"/>
  <c r="H51" i="10"/>
  <c r="H51" i="9"/>
  <c r="I51" i="7"/>
  <c r="L51" i="10"/>
  <c r="L51" i="9"/>
  <c r="M51" i="7"/>
  <c r="J51" i="10"/>
  <c r="J51" i="9"/>
  <c r="K51" i="7"/>
  <c r="K50" i="12"/>
  <c r="H50" i="12"/>
  <c r="J50" i="12" s="1"/>
  <c r="T51" i="10"/>
  <c r="T51" i="9"/>
  <c r="U51" i="7"/>
  <c r="F51" i="10"/>
  <c r="F51" i="9"/>
  <c r="G51" i="7"/>
  <c r="D51" i="10"/>
  <c r="D51" i="9"/>
  <c r="E51" i="7"/>
  <c r="AG43" i="10"/>
  <c r="AG43" i="9"/>
  <c r="AQ43" i="7"/>
  <c r="I51" i="10"/>
  <c r="I51" i="9"/>
  <c r="J51" i="7"/>
  <c r="N51" i="10"/>
  <c r="N51" i="9"/>
  <c r="O51" i="7"/>
  <c r="R51" i="10"/>
  <c r="R51" i="9"/>
  <c r="S51" i="7"/>
  <c r="P51" i="10"/>
  <c r="P51" i="9"/>
  <c r="Q51" i="7"/>
  <c r="AB49" i="7"/>
  <c r="AB44" i="10"/>
  <c r="AB44" i="9"/>
  <c r="AL44" i="7"/>
  <c r="G51" i="10"/>
  <c r="G51" i="9"/>
  <c r="H51" i="7"/>
  <c r="K51" i="10"/>
  <c r="K51" i="9"/>
  <c r="L51" i="7"/>
  <c r="X53" i="10"/>
  <c r="X53" i="9"/>
  <c r="Y53" i="7"/>
  <c r="Y53" i="10"/>
  <c r="Y53" i="9"/>
  <c r="Z53" i="7"/>
  <c r="M61" i="13"/>
  <c r="I61" i="13"/>
  <c r="L61" i="13" s="1"/>
  <c r="K61" i="13"/>
  <c r="K60" i="13"/>
  <c r="E62" i="13"/>
  <c r="O62" i="13" s="1"/>
  <c r="H62" i="13"/>
  <c r="G69" i="13"/>
  <c r="B69" i="13"/>
  <c r="F65" i="12"/>
  <c r="C69" i="12"/>
  <c r="AZ44" i="2"/>
  <c r="BA44" i="2"/>
  <c r="AE46" i="7"/>
  <c r="AD46" i="7"/>
  <c r="C44" i="3"/>
  <c r="B43" i="3"/>
  <c r="J50" i="3"/>
  <c r="F42" i="3"/>
  <c r="E43" i="3"/>
  <c r="G39" i="1"/>
  <c r="D42" i="1"/>
  <c r="D44" i="7" l="1"/>
  <c r="C44" i="9"/>
  <c r="W54" i="7"/>
  <c r="AG70" i="16"/>
  <c r="AQ70" i="15"/>
  <c r="AG70" i="17"/>
  <c r="Z70" i="14"/>
  <c r="AB70" i="14" s="1"/>
  <c r="D70" i="11"/>
  <c r="G70" i="11"/>
  <c r="AK70" i="15"/>
  <c r="AA70" i="17"/>
  <c r="AA70" i="16"/>
  <c r="B71" i="11"/>
  <c r="B71" i="17"/>
  <c r="B71" i="16"/>
  <c r="AG71" i="2"/>
  <c r="AF71" i="15" s="1"/>
  <c r="C71" i="15"/>
  <c r="AH71" i="2"/>
  <c r="AG71" i="15" s="1"/>
  <c r="AL71" i="2"/>
  <c r="AI71" i="2"/>
  <c r="AH71" i="15" s="1"/>
  <c r="AK71" i="2"/>
  <c r="AJ71" i="15" s="1"/>
  <c r="AR71" i="2"/>
  <c r="AJ71" i="2"/>
  <c r="AI71" i="15" s="1"/>
  <c r="AD71" i="2"/>
  <c r="AC71" i="15" s="1"/>
  <c r="AF71" i="2"/>
  <c r="AE71" i="15" s="1"/>
  <c r="AC71" i="2"/>
  <c r="AB71" i="15" s="1"/>
  <c r="AE71" i="2"/>
  <c r="AD71" i="15" s="1"/>
  <c r="W69" i="14"/>
  <c r="Y69" i="14" s="1"/>
  <c r="H69" i="11"/>
  <c r="J69" i="11" s="1"/>
  <c r="G70" i="17"/>
  <c r="G70" i="16"/>
  <c r="I71" i="2"/>
  <c r="H70" i="15"/>
  <c r="I71" i="4"/>
  <c r="L70" i="2"/>
  <c r="H71" i="4"/>
  <c r="K70" i="2"/>
  <c r="U56" i="4"/>
  <c r="W55" i="2"/>
  <c r="Y54" i="17"/>
  <c r="Y54" i="16"/>
  <c r="Z54" i="15"/>
  <c r="K71" i="4"/>
  <c r="N70" i="2"/>
  <c r="O71" i="4"/>
  <c r="Q70" i="2"/>
  <c r="X54" i="15"/>
  <c r="W54" i="17"/>
  <c r="W54" i="16"/>
  <c r="E69" i="17"/>
  <c r="E69" i="16"/>
  <c r="F69" i="15"/>
  <c r="Q54" i="16"/>
  <c r="Q54" i="17"/>
  <c r="R54" i="15"/>
  <c r="AT54" i="2"/>
  <c r="R54" i="16"/>
  <c r="R54" i="17"/>
  <c r="S54" i="15"/>
  <c r="O69" i="16"/>
  <c r="O69" i="17"/>
  <c r="P69" i="15"/>
  <c r="D71" i="4"/>
  <c r="G70" i="2"/>
  <c r="AB55" i="2"/>
  <c r="Z56" i="4"/>
  <c r="H53" i="14"/>
  <c r="J53" i="14" s="1"/>
  <c r="B53" i="14"/>
  <c r="D53" i="14" s="1"/>
  <c r="Q56" i="4"/>
  <c r="S55" i="2"/>
  <c r="K69" i="17"/>
  <c r="K69" i="16"/>
  <c r="L69" i="15"/>
  <c r="Z54" i="17"/>
  <c r="Z54" i="16"/>
  <c r="AA54" i="15"/>
  <c r="Z54" i="10"/>
  <c r="Z54" i="9"/>
  <c r="AA54" i="7"/>
  <c r="J71" i="4"/>
  <c r="M70" i="2"/>
  <c r="R56" i="4"/>
  <c r="T55" i="2"/>
  <c r="N54" i="16"/>
  <c r="N54" i="17"/>
  <c r="O54" i="15"/>
  <c r="P54" i="16"/>
  <c r="P54" i="17"/>
  <c r="Q54" i="15"/>
  <c r="AS54" i="2"/>
  <c r="M54" i="17"/>
  <c r="AH54" i="17" s="1"/>
  <c r="N54" i="14" s="1"/>
  <c r="P54" i="14" s="1"/>
  <c r="M54" i="16"/>
  <c r="AH54" i="16" s="1"/>
  <c r="K54" i="14" s="1"/>
  <c r="M54" i="14" s="1"/>
  <c r="N54" i="15"/>
  <c r="AR54" i="15" s="1"/>
  <c r="E54" i="14" s="1"/>
  <c r="G54" i="14" s="1"/>
  <c r="D69" i="17"/>
  <c r="D69" i="16"/>
  <c r="E69" i="15"/>
  <c r="T56" i="4"/>
  <c r="V55" i="2"/>
  <c r="N56" i="4"/>
  <c r="P55" i="2"/>
  <c r="P56" i="4"/>
  <c r="R55" i="2"/>
  <c r="Z55" i="2"/>
  <c r="X56" i="4"/>
  <c r="C44" i="17"/>
  <c r="C44" i="16"/>
  <c r="D44" i="15"/>
  <c r="M56" i="4"/>
  <c r="O55" i="2"/>
  <c r="S54" i="16"/>
  <c r="S54" i="17"/>
  <c r="T54" i="15"/>
  <c r="C71" i="4"/>
  <c r="F70" i="2"/>
  <c r="F69" i="16"/>
  <c r="F69" i="17"/>
  <c r="G69" i="15"/>
  <c r="H69" i="16"/>
  <c r="H69" i="17"/>
  <c r="I69" i="15"/>
  <c r="X55" i="2"/>
  <c r="V55" i="9" s="1"/>
  <c r="V56" i="4"/>
  <c r="T54" i="17"/>
  <c r="T54" i="16"/>
  <c r="U54" i="15"/>
  <c r="V54" i="16"/>
  <c r="W54" i="15"/>
  <c r="V54" i="17"/>
  <c r="V54" i="10"/>
  <c r="Y55" i="2"/>
  <c r="W56" i="4"/>
  <c r="J69" i="17"/>
  <c r="J69" i="16"/>
  <c r="K69" i="15"/>
  <c r="X54" i="17"/>
  <c r="X54" i="16"/>
  <c r="Y54" i="15"/>
  <c r="I69" i="17"/>
  <c r="I69" i="16"/>
  <c r="J69" i="15"/>
  <c r="E45" i="2"/>
  <c r="C45" i="10" s="1"/>
  <c r="B46" i="4"/>
  <c r="U54" i="17"/>
  <c r="U54" i="16"/>
  <c r="V54" i="15"/>
  <c r="S56" i="4"/>
  <c r="U56" i="2" s="1"/>
  <c r="AA55" i="2"/>
  <c r="Y56" i="4"/>
  <c r="L69" i="17"/>
  <c r="L69" i="16"/>
  <c r="M69" i="15"/>
  <c r="E71" i="4"/>
  <c r="H70" i="2"/>
  <c r="G71" i="4"/>
  <c r="J70" i="2"/>
  <c r="B72" i="2"/>
  <c r="D72" i="2" s="1"/>
  <c r="C71" i="2"/>
  <c r="AC46" i="7"/>
  <c r="BB44" i="2"/>
  <c r="AF46" i="7"/>
  <c r="AW52" i="2"/>
  <c r="AY45" i="2"/>
  <c r="AX52" i="2"/>
  <c r="AA44" i="10"/>
  <c r="AA44" i="9"/>
  <c r="AK44" i="7"/>
  <c r="J52" i="10"/>
  <c r="J52" i="9"/>
  <c r="K52" i="7"/>
  <c r="H52" i="10"/>
  <c r="H52" i="9"/>
  <c r="I52" i="7"/>
  <c r="L52" i="10"/>
  <c r="L52" i="9"/>
  <c r="M52" i="7"/>
  <c r="D52" i="12"/>
  <c r="G52" i="12"/>
  <c r="Q52" i="14" s="1"/>
  <c r="S52" i="14" s="1"/>
  <c r="X54" i="10"/>
  <c r="X54" i="9"/>
  <c r="Y54" i="7"/>
  <c r="AH43" i="9"/>
  <c r="AB45" i="10"/>
  <c r="AB45" i="9"/>
  <c r="AL45" i="7"/>
  <c r="D52" i="10"/>
  <c r="D52" i="9"/>
  <c r="E52" i="7"/>
  <c r="U52" i="10"/>
  <c r="U52" i="9"/>
  <c r="V52" i="7"/>
  <c r="F52" i="10"/>
  <c r="F52" i="9"/>
  <c r="G52" i="7"/>
  <c r="AH50" i="7"/>
  <c r="AH43" i="10"/>
  <c r="Q52" i="10"/>
  <c r="Q52" i="9"/>
  <c r="R52" i="7"/>
  <c r="O52" i="10"/>
  <c r="O52" i="9"/>
  <c r="P52" i="7"/>
  <c r="S52" i="10"/>
  <c r="S52" i="9"/>
  <c r="T52" i="7"/>
  <c r="W54" i="10"/>
  <c r="W54" i="9"/>
  <c r="X54" i="7"/>
  <c r="AE50" i="10"/>
  <c r="AE50" i="9"/>
  <c r="AO50" i="7"/>
  <c r="AD49" i="10"/>
  <c r="AD49" i="9"/>
  <c r="AN49" i="7"/>
  <c r="AB50" i="7"/>
  <c r="K52" i="10"/>
  <c r="K52" i="9"/>
  <c r="L52" i="7"/>
  <c r="I52" i="10"/>
  <c r="I52" i="9"/>
  <c r="J52" i="7"/>
  <c r="G52" i="10"/>
  <c r="G52" i="9"/>
  <c r="H52" i="7"/>
  <c r="M52" i="10"/>
  <c r="M52" i="9"/>
  <c r="N52" i="7"/>
  <c r="E52" i="10"/>
  <c r="E52" i="9"/>
  <c r="F52" i="7"/>
  <c r="T52" i="10"/>
  <c r="T52" i="9"/>
  <c r="U52" i="7"/>
  <c r="Y54" i="10"/>
  <c r="Y54" i="9"/>
  <c r="Z54" i="7"/>
  <c r="AG44" i="10"/>
  <c r="AG44" i="9"/>
  <c r="AQ44" i="7"/>
  <c r="AC49" i="10"/>
  <c r="AC49" i="9"/>
  <c r="AM49" i="7"/>
  <c r="AF50" i="10"/>
  <c r="AF50" i="9"/>
  <c r="AP50" i="7"/>
  <c r="B53" i="12"/>
  <c r="T53" i="14" s="1"/>
  <c r="V53" i="14" s="1"/>
  <c r="B53" i="10"/>
  <c r="B53" i="9"/>
  <c r="C53" i="7"/>
  <c r="R52" i="10"/>
  <c r="R52" i="9"/>
  <c r="S52" i="7"/>
  <c r="P52" i="10"/>
  <c r="P52" i="9"/>
  <c r="Q52" i="7"/>
  <c r="N52" i="10"/>
  <c r="N52" i="9"/>
  <c r="O52" i="7"/>
  <c r="AJ50" i="7"/>
  <c r="K51" i="12"/>
  <c r="H51" i="12"/>
  <c r="J51" i="12" s="1"/>
  <c r="AR43" i="7"/>
  <c r="H63" i="13"/>
  <c r="E63" i="13"/>
  <c r="P62" i="13"/>
  <c r="Q62" i="13"/>
  <c r="N62" i="13"/>
  <c r="I62" i="13"/>
  <c r="K62" i="13" s="1"/>
  <c r="M62" i="13"/>
  <c r="G70" i="13"/>
  <c r="B70" i="13"/>
  <c r="C70" i="12"/>
  <c r="F66" i="12"/>
  <c r="AZ45" i="2"/>
  <c r="BA45" i="2"/>
  <c r="AE47" i="7"/>
  <c r="AD47" i="7"/>
  <c r="AY46" i="2"/>
  <c r="C45" i="3"/>
  <c r="B44" i="3"/>
  <c r="F43" i="3"/>
  <c r="E44" i="3"/>
  <c r="J51" i="3"/>
  <c r="G40" i="1"/>
  <c r="D43" i="1"/>
  <c r="V55" i="10" l="1"/>
  <c r="D45" i="7"/>
  <c r="C45" i="9"/>
  <c r="W55" i="7"/>
  <c r="W70" i="14"/>
  <c r="Y70" i="14" s="1"/>
  <c r="H70" i="11"/>
  <c r="J70" i="11" s="1"/>
  <c r="G71" i="16"/>
  <c r="G71" i="17"/>
  <c r="H71" i="15"/>
  <c r="B72" i="17"/>
  <c r="B72" i="16"/>
  <c r="B72" i="11"/>
  <c r="C72" i="15"/>
  <c r="AG72" i="2"/>
  <c r="AF72" i="15" s="1"/>
  <c r="AH72" i="2"/>
  <c r="AG72" i="15" s="1"/>
  <c r="AJ72" i="2"/>
  <c r="AI72" i="15" s="1"/>
  <c r="AF72" i="2"/>
  <c r="AE72" i="15" s="1"/>
  <c r="AR72" i="2"/>
  <c r="AL72" i="2"/>
  <c r="AC72" i="2"/>
  <c r="AB72" i="15" s="1"/>
  <c r="AK72" i="2"/>
  <c r="AJ72" i="15" s="1"/>
  <c r="AI72" i="2"/>
  <c r="AH72" i="15" s="1"/>
  <c r="AE72" i="2"/>
  <c r="AD72" i="15" s="1"/>
  <c r="AD72" i="2"/>
  <c r="AC72" i="15" s="1"/>
  <c r="I72" i="2"/>
  <c r="AA71" i="17"/>
  <c r="AA71" i="16"/>
  <c r="AK71" i="15"/>
  <c r="Z71" i="14"/>
  <c r="AB71" i="14" s="1"/>
  <c r="D71" i="11"/>
  <c r="G71" i="11"/>
  <c r="AQ71" i="15"/>
  <c r="AG71" i="17"/>
  <c r="AG71" i="16"/>
  <c r="X55" i="17"/>
  <c r="X55" i="16"/>
  <c r="Y55" i="15"/>
  <c r="T57" i="4"/>
  <c r="V56" i="2"/>
  <c r="J72" i="4"/>
  <c r="M71" i="2"/>
  <c r="U57" i="4"/>
  <c r="W56" i="2"/>
  <c r="G72" i="4"/>
  <c r="J71" i="2"/>
  <c r="D70" i="17"/>
  <c r="D70" i="16"/>
  <c r="E70" i="15"/>
  <c r="S57" i="4"/>
  <c r="U57" i="2" s="1"/>
  <c r="X56" i="2"/>
  <c r="V56" i="9" s="1"/>
  <c r="V57" i="4"/>
  <c r="N57" i="4"/>
  <c r="P56" i="2"/>
  <c r="R57" i="4"/>
  <c r="T56" i="2"/>
  <c r="Q55" i="17"/>
  <c r="Q55" i="16"/>
  <c r="R55" i="15"/>
  <c r="AT55" i="2"/>
  <c r="E70" i="17"/>
  <c r="E70" i="16"/>
  <c r="F70" i="15"/>
  <c r="O70" i="17"/>
  <c r="O70" i="16"/>
  <c r="P70" i="15"/>
  <c r="I72" i="4"/>
  <c r="L71" i="2"/>
  <c r="W55" i="15"/>
  <c r="V55" i="16"/>
  <c r="V55" i="17"/>
  <c r="Z56" i="2"/>
  <c r="X57" i="4"/>
  <c r="T55" i="17"/>
  <c r="T55" i="16"/>
  <c r="U55" i="15"/>
  <c r="K70" i="17"/>
  <c r="K70" i="16"/>
  <c r="L70" i="15"/>
  <c r="Q57" i="4"/>
  <c r="S56" i="2"/>
  <c r="D72" i="4"/>
  <c r="G71" i="2"/>
  <c r="O72" i="4"/>
  <c r="Q71" i="2"/>
  <c r="U55" i="17"/>
  <c r="U55" i="16"/>
  <c r="V55" i="15"/>
  <c r="H70" i="17"/>
  <c r="H70" i="16"/>
  <c r="I70" i="15"/>
  <c r="M55" i="16"/>
  <c r="AH55" i="16" s="1"/>
  <c r="K55" i="14" s="1"/>
  <c r="M55" i="14" s="1"/>
  <c r="M55" i="17"/>
  <c r="AH55" i="17" s="1"/>
  <c r="N55" i="14" s="1"/>
  <c r="P55" i="14" s="1"/>
  <c r="AS55" i="2"/>
  <c r="N55" i="15"/>
  <c r="AR55" i="15" s="1"/>
  <c r="E55" i="14" s="1"/>
  <c r="G55" i="14" s="1"/>
  <c r="L70" i="16"/>
  <c r="L70" i="17"/>
  <c r="M70" i="15"/>
  <c r="AA56" i="2"/>
  <c r="Y57" i="4"/>
  <c r="Y56" i="2"/>
  <c r="W57" i="4"/>
  <c r="M57" i="4"/>
  <c r="O56" i="2"/>
  <c r="P55" i="17"/>
  <c r="P55" i="16"/>
  <c r="Q55" i="15"/>
  <c r="H54" i="14"/>
  <c r="J54" i="14" s="1"/>
  <c r="B54" i="14"/>
  <c r="D54" i="14" s="1"/>
  <c r="K72" i="4"/>
  <c r="N71" i="2"/>
  <c r="I70" i="17"/>
  <c r="I70" i="16"/>
  <c r="J70" i="15"/>
  <c r="F70" i="16"/>
  <c r="F70" i="17"/>
  <c r="G70" i="15"/>
  <c r="Y55" i="17"/>
  <c r="Z55" i="15"/>
  <c r="Y55" i="16"/>
  <c r="B47" i="4"/>
  <c r="E46" i="2"/>
  <c r="C46" i="10" s="1"/>
  <c r="X55" i="15"/>
  <c r="W55" i="16"/>
  <c r="W55" i="17"/>
  <c r="C72" i="4"/>
  <c r="F71" i="2"/>
  <c r="P57" i="4"/>
  <c r="R56" i="2"/>
  <c r="R55" i="17"/>
  <c r="R55" i="16"/>
  <c r="S55" i="15"/>
  <c r="AB56" i="2"/>
  <c r="Z57" i="4"/>
  <c r="H72" i="4"/>
  <c r="K71" i="2"/>
  <c r="E72" i="4"/>
  <c r="H71" i="2"/>
  <c r="S55" i="16"/>
  <c r="S55" i="17"/>
  <c r="T55" i="15"/>
  <c r="C45" i="17"/>
  <c r="C45" i="16"/>
  <c r="D45" i="15"/>
  <c r="N55" i="17"/>
  <c r="N55" i="16"/>
  <c r="O55" i="15"/>
  <c r="Z55" i="16"/>
  <c r="AA55" i="15"/>
  <c r="Z55" i="17"/>
  <c r="Z55" i="10"/>
  <c r="Z55" i="9"/>
  <c r="AA55" i="7"/>
  <c r="J70" i="17"/>
  <c r="J70" i="16"/>
  <c r="K70" i="15"/>
  <c r="C72" i="2"/>
  <c r="B73" i="2"/>
  <c r="D73" i="2" s="1"/>
  <c r="AC47" i="7"/>
  <c r="BB45" i="2"/>
  <c r="AW53" i="2"/>
  <c r="AX53" i="2"/>
  <c r="AF47" i="7"/>
  <c r="AR44" i="7"/>
  <c r="AF51" i="10"/>
  <c r="AF51" i="9"/>
  <c r="AP51" i="7"/>
  <c r="D53" i="10"/>
  <c r="D53" i="9"/>
  <c r="E53" i="7"/>
  <c r="AB46" i="10"/>
  <c r="AB46" i="9"/>
  <c r="AL46" i="7"/>
  <c r="AJ51" i="7"/>
  <c r="B54" i="12"/>
  <c r="T54" i="14" s="1"/>
  <c r="V54" i="14" s="1"/>
  <c r="B54" i="10"/>
  <c r="B54" i="9"/>
  <c r="C54" i="7"/>
  <c r="F53" i="10"/>
  <c r="F53" i="9"/>
  <c r="G53" i="7"/>
  <c r="M53" i="10"/>
  <c r="M53" i="9"/>
  <c r="N53" i="7"/>
  <c r="Q53" i="10"/>
  <c r="Q53" i="9"/>
  <c r="R53" i="7"/>
  <c r="K52" i="12"/>
  <c r="H52" i="12"/>
  <c r="J52" i="12" s="1"/>
  <c r="P53" i="10"/>
  <c r="P53" i="9"/>
  <c r="Q53" i="7"/>
  <c r="AG45" i="10"/>
  <c r="AG45" i="9"/>
  <c r="AQ45" i="7"/>
  <c r="AA45" i="10"/>
  <c r="AA45" i="9"/>
  <c r="AK45" i="7"/>
  <c r="T53" i="10"/>
  <c r="T53" i="9"/>
  <c r="U53" i="7"/>
  <c r="J53" i="10"/>
  <c r="J53" i="9"/>
  <c r="K53" i="7"/>
  <c r="H53" i="10"/>
  <c r="H53" i="9"/>
  <c r="I53" i="7"/>
  <c r="AB51" i="7"/>
  <c r="AH51" i="7"/>
  <c r="N52" i="12"/>
  <c r="O52" i="12"/>
  <c r="M52" i="12"/>
  <c r="AG47" i="7"/>
  <c r="AG46" i="7"/>
  <c r="AC50" i="10"/>
  <c r="AC50" i="9"/>
  <c r="AM50" i="7"/>
  <c r="U53" i="10"/>
  <c r="U53" i="9"/>
  <c r="V53" i="7"/>
  <c r="K53" i="10"/>
  <c r="K53" i="9"/>
  <c r="L53" i="7"/>
  <c r="R53" i="10"/>
  <c r="R53" i="9"/>
  <c r="S53" i="7"/>
  <c r="W55" i="10"/>
  <c r="W55" i="9"/>
  <c r="X55" i="7"/>
  <c r="AH44" i="9"/>
  <c r="AD50" i="10"/>
  <c r="AD50" i="9"/>
  <c r="AN50" i="7"/>
  <c r="G53" i="10"/>
  <c r="G53" i="9"/>
  <c r="H53" i="7"/>
  <c r="AE51" i="10"/>
  <c r="AE51" i="9"/>
  <c r="AO51" i="7"/>
  <c r="Y55" i="10"/>
  <c r="Y55" i="9"/>
  <c r="Z55" i="7"/>
  <c r="O53" i="10"/>
  <c r="O53" i="9"/>
  <c r="P53" i="7"/>
  <c r="E53" i="10"/>
  <c r="E53" i="9"/>
  <c r="F53" i="7"/>
  <c r="I53" i="10"/>
  <c r="I53" i="9"/>
  <c r="J53" i="7"/>
  <c r="AH44" i="10"/>
  <c r="N53" i="10"/>
  <c r="N53" i="9"/>
  <c r="O53" i="7"/>
  <c r="X55" i="10"/>
  <c r="X55" i="9"/>
  <c r="Y55" i="7"/>
  <c r="AI51" i="7"/>
  <c r="AI50" i="7"/>
  <c r="L53" i="10"/>
  <c r="L53" i="9"/>
  <c r="M53" i="7"/>
  <c r="S53" i="10"/>
  <c r="S53" i="9"/>
  <c r="T53" i="7"/>
  <c r="D53" i="12"/>
  <c r="G53" i="12"/>
  <c r="Q53" i="14" s="1"/>
  <c r="S53" i="14" s="1"/>
  <c r="L52" i="12"/>
  <c r="L62" i="13"/>
  <c r="I63" i="13"/>
  <c r="K63" i="13" s="1"/>
  <c r="M63" i="13"/>
  <c r="E64" i="13"/>
  <c r="H64" i="13"/>
  <c r="B71" i="13"/>
  <c r="G71" i="13"/>
  <c r="F67" i="12"/>
  <c r="C71" i="12"/>
  <c r="AZ46" i="2"/>
  <c r="BA46" i="2"/>
  <c r="AE48" i="7"/>
  <c r="AD48" i="7"/>
  <c r="C46" i="3"/>
  <c r="B45" i="3"/>
  <c r="F44" i="3"/>
  <c r="E45" i="3"/>
  <c r="J52" i="3"/>
  <c r="G41" i="1"/>
  <c r="D44" i="1"/>
  <c r="W56" i="7" l="1"/>
  <c r="V56" i="10"/>
  <c r="B73" i="11"/>
  <c r="B73" i="17"/>
  <c r="B73" i="16"/>
  <c r="C73" i="15"/>
  <c r="AG73" i="2"/>
  <c r="AF73" i="15" s="1"/>
  <c r="AH73" i="2"/>
  <c r="AG73" i="15" s="1"/>
  <c r="AJ73" i="2"/>
  <c r="AI73" i="15" s="1"/>
  <c r="AE73" i="2"/>
  <c r="AD73" i="15" s="1"/>
  <c r="AR73" i="2"/>
  <c r="AF73" i="2"/>
  <c r="AE73" i="15" s="1"/>
  <c r="AK73" i="2"/>
  <c r="AJ73" i="15" s="1"/>
  <c r="AI73" i="2"/>
  <c r="AH73" i="15" s="1"/>
  <c r="AD73" i="2"/>
  <c r="AC73" i="15" s="1"/>
  <c r="AC73" i="2"/>
  <c r="AB73" i="15" s="1"/>
  <c r="AL73" i="2"/>
  <c r="W71" i="14"/>
  <c r="Y71" i="14" s="1"/>
  <c r="H71" i="11"/>
  <c r="J71" i="11" s="1"/>
  <c r="I73" i="2"/>
  <c r="G72" i="17"/>
  <c r="G72" i="16"/>
  <c r="H72" i="15"/>
  <c r="AA72" i="17"/>
  <c r="AA72" i="16"/>
  <c r="AK72" i="15"/>
  <c r="AG72" i="17"/>
  <c r="AQ72" i="15"/>
  <c r="AG72" i="16"/>
  <c r="Z72" i="14"/>
  <c r="AB72" i="14" s="1"/>
  <c r="D72" i="11"/>
  <c r="G72" i="11"/>
  <c r="Q56" i="17"/>
  <c r="Q56" i="16"/>
  <c r="R56" i="15"/>
  <c r="AT56" i="2"/>
  <c r="J73" i="4"/>
  <c r="M72" i="2"/>
  <c r="Z56" i="16"/>
  <c r="Z56" i="17"/>
  <c r="AA56" i="15"/>
  <c r="Z56" i="9"/>
  <c r="AA56" i="7"/>
  <c r="Z56" i="10"/>
  <c r="D71" i="17"/>
  <c r="D71" i="16"/>
  <c r="E71" i="15"/>
  <c r="B48" i="4"/>
  <c r="E47" i="2"/>
  <c r="C47" i="9" s="1"/>
  <c r="K73" i="4"/>
  <c r="N72" i="2"/>
  <c r="M56" i="16"/>
  <c r="AH56" i="16" s="1"/>
  <c r="K56" i="14" s="1"/>
  <c r="M56" i="14" s="1"/>
  <c r="M56" i="17"/>
  <c r="AH56" i="17" s="1"/>
  <c r="N56" i="14" s="1"/>
  <c r="P56" i="14" s="1"/>
  <c r="AS56" i="2"/>
  <c r="N56" i="15"/>
  <c r="AR56" i="15" s="1"/>
  <c r="E56" i="14" s="1"/>
  <c r="G56" i="14" s="1"/>
  <c r="Q58" i="4"/>
  <c r="S57" i="2"/>
  <c r="J71" i="17"/>
  <c r="J71" i="16"/>
  <c r="K71" i="15"/>
  <c r="R56" i="17"/>
  <c r="R56" i="16"/>
  <c r="S56" i="15"/>
  <c r="V56" i="16"/>
  <c r="W56" i="15"/>
  <c r="V56" i="17"/>
  <c r="H71" i="17"/>
  <c r="H71" i="16"/>
  <c r="I71" i="15"/>
  <c r="T56" i="16"/>
  <c r="T56" i="17"/>
  <c r="U56" i="15"/>
  <c r="P58" i="4"/>
  <c r="R57" i="2"/>
  <c r="L71" i="16"/>
  <c r="L71" i="17"/>
  <c r="M71" i="15"/>
  <c r="X57" i="2"/>
  <c r="V57" i="10" s="1"/>
  <c r="V58" i="4"/>
  <c r="F71" i="17"/>
  <c r="F71" i="16"/>
  <c r="G71" i="15"/>
  <c r="C73" i="4"/>
  <c r="F72" i="2"/>
  <c r="M58" i="4"/>
  <c r="O57" i="2"/>
  <c r="O71" i="17"/>
  <c r="O71" i="16"/>
  <c r="P71" i="15"/>
  <c r="Z57" i="2"/>
  <c r="X58" i="4"/>
  <c r="I73" i="4"/>
  <c r="L72" i="2"/>
  <c r="S56" i="17"/>
  <c r="S56" i="16"/>
  <c r="T56" i="15"/>
  <c r="G73" i="4"/>
  <c r="J72" i="2"/>
  <c r="T58" i="4"/>
  <c r="V57" i="2"/>
  <c r="C46" i="17"/>
  <c r="C46" i="16"/>
  <c r="D46" i="15"/>
  <c r="E73" i="4"/>
  <c r="H72" i="2"/>
  <c r="Y57" i="2"/>
  <c r="W58" i="4"/>
  <c r="O73" i="4"/>
  <c r="Q72" i="2"/>
  <c r="Y56" i="15"/>
  <c r="X56" i="17"/>
  <c r="X56" i="16"/>
  <c r="R58" i="4"/>
  <c r="T57" i="2"/>
  <c r="S58" i="4"/>
  <c r="U58" i="2" s="1"/>
  <c r="U56" i="16"/>
  <c r="U56" i="17"/>
  <c r="V56" i="15"/>
  <c r="AB57" i="2"/>
  <c r="Z58" i="4"/>
  <c r="Y56" i="17"/>
  <c r="Y56" i="16"/>
  <c r="Z56" i="15"/>
  <c r="D46" i="7"/>
  <c r="I71" i="17"/>
  <c r="I71" i="16"/>
  <c r="J71" i="15"/>
  <c r="W56" i="17"/>
  <c r="W56" i="16"/>
  <c r="X56" i="15"/>
  <c r="E71" i="17"/>
  <c r="E71" i="16"/>
  <c r="F71" i="15"/>
  <c r="N56" i="17"/>
  <c r="N56" i="16"/>
  <c r="O56" i="15"/>
  <c r="W57" i="2"/>
  <c r="U58" i="4"/>
  <c r="C46" i="9"/>
  <c r="H73" i="4"/>
  <c r="K72" i="2"/>
  <c r="P56" i="17"/>
  <c r="P56" i="16"/>
  <c r="Q56" i="15"/>
  <c r="AA57" i="2"/>
  <c r="Y58" i="4"/>
  <c r="H55" i="14"/>
  <c r="J55" i="14" s="1"/>
  <c r="B55" i="14"/>
  <c r="D55" i="14" s="1"/>
  <c r="D73" i="4"/>
  <c r="G72" i="2"/>
  <c r="N58" i="4"/>
  <c r="P57" i="2"/>
  <c r="K71" i="17"/>
  <c r="K71" i="16"/>
  <c r="L71" i="15"/>
  <c r="B74" i="2"/>
  <c r="D74" i="2" s="1"/>
  <c r="C73" i="2"/>
  <c r="AC48" i="7"/>
  <c r="BB46" i="2"/>
  <c r="AX54" i="2"/>
  <c r="AF48" i="7"/>
  <c r="AY47" i="2"/>
  <c r="AW54" i="2"/>
  <c r="AC51" i="10"/>
  <c r="AC51" i="9"/>
  <c r="AM51" i="7"/>
  <c r="X56" i="10"/>
  <c r="X56" i="9"/>
  <c r="Y56" i="7"/>
  <c r="AH52" i="7"/>
  <c r="G54" i="10"/>
  <c r="G54" i="9"/>
  <c r="H54" i="7"/>
  <c r="K54" i="10"/>
  <c r="K54" i="9"/>
  <c r="L54" i="7"/>
  <c r="S54" i="10"/>
  <c r="S54" i="9"/>
  <c r="T54" i="7"/>
  <c r="AA46" i="10"/>
  <c r="AA46" i="9"/>
  <c r="AK46" i="7"/>
  <c r="I54" i="10"/>
  <c r="I54" i="9"/>
  <c r="J54" i="7"/>
  <c r="P54" i="10"/>
  <c r="P54" i="9"/>
  <c r="Q54" i="7"/>
  <c r="E54" i="10"/>
  <c r="E54" i="9"/>
  <c r="F54" i="7"/>
  <c r="M54" i="10"/>
  <c r="M54" i="9"/>
  <c r="N54" i="7"/>
  <c r="AJ52" i="7"/>
  <c r="AF52" i="10"/>
  <c r="AF52" i="9"/>
  <c r="AP52" i="7"/>
  <c r="AB52" i="7"/>
  <c r="L54" i="10"/>
  <c r="L54" i="9"/>
  <c r="M54" i="7"/>
  <c r="T54" i="10"/>
  <c r="T54" i="9"/>
  <c r="U54" i="7"/>
  <c r="AE52" i="10"/>
  <c r="AE52" i="9"/>
  <c r="AO52" i="7"/>
  <c r="AB47" i="10"/>
  <c r="AB47" i="9"/>
  <c r="AL47" i="7"/>
  <c r="W56" i="10"/>
  <c r="W56" i="9"/>
  <c r="X56" i="7"/>
  <c r="AR45" i="7"/>
  <c r="B55" i="12"/>
  <c r="T55" i="14" s="1"/>
  <c r="V55" i="14" s="1"/>
  <c r="B55" i="10"/>
  <c r="B55" i="9"/>
  <c r="C55" i="7"/>
  <c r="R54" i="10"/>
  <c r="R54" i="9"/>
  <c r="S54" i="7"/>
  <c r="F54" i="10"/>
  <c r="F54" i="9"/>
  <c r="G54" i="7"/>
  <c r="N54" i="10"/>
  <c r="N54" i="9"/>
  <c r="O54" i="7"/>
  <c r="AG46" i="10"/>
  <c r="AG46" i="9"/>
  <c r="AQ46" i="7"/>
  <c r="Y56" i="10"/>
  <c r="Y56" i="9"/>
  <c r="Z56" i="7"/>
  <c r="AH45" i="9"/>
  <c r="H54" i="10"/>
  <c r="H54" i="9"/>
  <c r="I54" i="7"/>
  <c r="U54" i="10"/>
  <c r="U54" i="9"/>
  <c r="V54" i="7"/>
  <c r="J54" i="10"/>
  <c r="J54" i="9"/>
  <c r="K54" i="7"/>
  <c r="D54" i="12"/>
  <c r="G54" i="12"/>
  <c r="Q54" i="14" s="1"/>
  <c r="S54" i="14" s="1"/>
  <c r="AD51" i="10"/>
  <c r="AD51" i="9"/>
  <c r="AN51" i="7"/>
  <c r="K53" i="12"/>
  <c r="H53" i="12"/>
  <c r="J53" i="12" s="1"/>
  <c r="AH45" i="10"/>
  <c r="Q54" i="10"/>
  <c r="Q54" i="9"/>
  <c r="R54" i="7"/>
  <c r="O54" i="10"/>
  <c r="O54" i="9"/>
  <c r="P54" i="7"/>
  <c r="D54" i="10"/>
  <c r="D54" i="9"/>
  <c r="E54" i="7"/>
  <c r="L63" i="13"/>
  <c r="H65" i="13"/>
  <c r="E65" i="13"/>
  <c r="I64" i="13"/>
  <c r="K64" i="13" s="1"/>
  <c r="M64" i="13"/>
  <c r="G72" i="13"/>
  <c r="B72" i="13"/>
  <c r="C72" i="12"/>
  <c r="F68" i="12"/>
  <c r="AZ47" i="2"/>
  <c r="BA47" i="2"/>
  <c r="AE49" i="7"/>
  <c r="AD49" i="7"/>
  <c r="AY48" i="2"/>
  <c r="C47" i="3"/>
  <c r="B46" i="3"/>
  <c r="J53" i="3"/>
  <c r="F45" i="3"/>
  <c r="E46" i="3"/>
  <c r="G42" i="1"/>
  <c r="D45" i="1"/>
  <c r="C47" i="10" l="1"/>
  <c r="W57" i="7"/>
  <c r="V57" i="9"/>
  <c r="D47" i="7"/>
  <c r="W72" i="14"/>
  <c r="Y72" i="14" s="1"/>
  <c r="H72" i="11"/>
  <c r="N72" i="11" s="1"/>
  <c r="G73" i="17"/>
  <c r="G73" i="16"/>
  <c r="I74" i="2"/>
  <c r="H73" i="15"/>
  <c r="B74" i="17"/>
  <c r="B74" i="11"/>
  <c r="B74" i="16"/>
  <c r="AG74" i="2"/>
  <c r="AF74" i="15" s="1"/>
  <c r="C74" i="15"/>
  <c r="AH74" i="2"/>
  <c r="AG74" i="15" s="1"/>
  <c r="AK74" i="2"/>
  <c r="AJ74" i="15" s="1"/>
  <c r="AE74" i="2"/>
  <c r="AD74" i="15" s="1"/>
  <c r="AC74" i="2"/>
  <c r="AB74" i="15" s="1"/>
  <c r="AI74" i="2"/>
  <c r="AH74" i="15" s="1"/>
  <c r="AJ74" i="2"/>
  <c r="AI74" i="15" s="1"/>
  <c r="AF74" i="2"/>
  <c r="AE74" i="15" s="1"/>
  <c r="AL74" i="2"/>
  <c r="AR74" i="2"/>
  <c r="AD74" i="2"/>
  <c r="AC74" i="15" s="1"/>
  <c r="AA73" i="16"/>
  <c r="AA73" i="17"/>
  <c r="AK73" i="15"/>
  <c r="AQ73" i="15"/>
  <c r="AG73" i="17"/>
  <c r="AG73" i="16"/>
  <c r="Z73" i="14"/>
  <c r="AB73" i="14" s="1"/>
  <c r="D73" i="11"/>
  <c r="G73" i="11"/>
  <c r="W57" i="16"/>
  <c r="W57" i="17"/>
  <c r="X57" i="15"/>
  <c r="D74" i="4"/>
  <c r="G73" i="2"/>
  <c r="U57" i="17"/>
  <c r="U57" i="16"/>
  <c r="V57" i="15"/>
  <c r="Z57" i="17"/>
  <c r="AA57" i="15"/>
  <c r="Z57" i="16"/>
  <c r="AA57" i="7"/>
  <c r="Z57" i="9"/>
  <c r="Z57" i="10"/>
  <c r="R57" i="17"/>
  <c r="R57" i="16"/>
  <c r="S57" i="15"/>
  <c r="O72" i="17"/>
  <c r="O72" i="16"/>
  <c r="P72" i="15"/>
  <c r="G74" i="4"/>
  <c r="J73" i="2"/>
  <c r="Z58" i="2"/>
  <c r="X59" i="4"/>
  <c r="M59" i="4"/>
  <c r="O58" i="2"/>
  <c r="P57" i="16"/>
  <c r="P57" i="17"/>
  <c r="Q57" i="15"/>
  <c r="Q59" i="4"/>
  <c r="S58" i="2"/>
  <c r="K74" i="4"/>
  <c r="N73" i="2"/>
  <c r="K72" i="17"/>
  <c r="K72" i="16"/>
  <c r="L72" i="15"/>
  <c r="N57" i="16"/>
  <c r="N57" i="17"/>
  <c r="O57" i="15"/>
  <c r="O74" i="4"/>
  <c r="Q73" i="2"/>
  <c r="X57" i="16"/>
  <c r="Y57" i="15"/>
  <c r="X57" i="17"/>
  <c r="D72" i="17"/>
  <c r="D72" i="16"/>
  <c r="E72" i="15"/>
  <c r="X58" i="2"/>
  <c r="W58" i="7" s="1"/>
  <c r="V59" i="4"/>
  <c r="P59" i="4"/>
  <c r="R58" i="2"/>
  <c r="C47" i="16"/>
  <c r="C47" i="17"/>
  <c r="D47" i="15"/>
  <c r="J74" i="4"/>
  <c r="M73" i="2"/>
  <c r="I72" i="17"/>
  <c r="I72" i="16"/>
  <c r="J72" i="15"/>
  <c r="R59" i="4"/>
  <c r="T58" i="2"/>
  <c r="Y58" i="2"/>
  <c r="W59" i="4"/>
  <c r="C74" i="4"/>
  <c r="F73" i="2"/>
  <c r="V57" i="16"/>
  <c r="V57" i="17"/>
  <c r="W57" i="15"/>
  <c r="H56" i="14"/>
  <c r="J56" i="14" s="1"/>
  <c r="B56" i="14"/>
  <c r="D56" i="14" s="1"/>
  <c r="B49" i="4"/>
  <c r="E48" i="2"/>
  <c r="C48" i="10" s="1"/>
  <c r="H74" i="4"/>
  <c r="K73" i="2"/>
  <c r="N59" i="4"/>
  <c r="P58" i="2"/>
  <c r="Y57" i="17"/>
  <c r="Y57" i="16"/>
  <c r="Z57" i="15"/>
  <c r="S57" i="17"/>
  <c r="S57" i="16"/>
  <c r="T57" i="15"/>
  <c r="F72" i="17"/>
  <c r="F72" i="16"/>
  <c r="G72" i="15"/>
  <c r="T59" i="4"/>
  <c r="V58" i="2"/>
  <c r="J72" i="17"/>
  <c r="J72" i="16"/>
  <c r="K72" i="15"/>
  <c r="AA58" i="2"/>
  <c r="Y59" i="4"/>
  <c r="T57" i="16"/>
  <c r="T57" i="17"/>
  <c r="U57" i="15"/>
  <c r="E72" i="17"/>
  <c r="E72" i="16"/>
  <c r="F72" i="15"/>
  <c r="U59" i="4"/>
  <c r="W58" i="2"/>
  <c r="AB58" i="2"/>
  <c r="Z59" i="4"/>
  <c r="S59" i="4"/>
  <c r="U59" i="2" s="1"/>
  <c r="E74" i="4"/>
  <c r="H73" i="2"/>
  <c r="H72" i="16"/>
  <c r="H72" i="17"/>
  <c r="I72" i="15"/>
  <c r="I74" i="4"/>
  <c r="L73" i="2"/>
  <c r="AS57" i="2"/>
  <c r="M57" i="17"/>
  <c r="AH57" i="17" s="1"/>
  <c r="N57" i="14" s="1"/>
  <c r="P57" i="14" s="1"/>
  <c r="M57" i="16"/>
  <c r="AH57" i="16" s="1"/>
  <c r="K57" i="14" s="1"/>
  <c r="M57" i="14" s="1"/>
  <c r="N57" i="15"/>
  <c r="AR57" i="15" s="1"/>
  <c r="E57" i="14" s="1"/>
  <c r="G57" i="14" s="1"/>
  <c r="Q57" i="17"/>
  <c r="Q57" i="16"/>
  <c r="R57" i="15"/>
  <c r="AT57" i="2"/>
  <c r="L72" i="17"/>
  <c r="L72" i="16"/>
  <c r="M72" i="15"/>
  <c r="C74" i="2"/>
  <c r="B75" i="2"/>
  <c r="D75" i="2" s="1"/>
  <c r="AC49" i="7"/>
  <c r="BB47" i="2"/>
  <c r="AX55" i="2"/>
  <c r="AW55" i="2"/>
  <c r="AF49" i="7"/>
  <c r="AD52" i="10"/>
  <c r="AD52" i="9"/>
  <c r="AN52" i="7"/>
  <c r="AG47" i="10"/>
  <c r="AG47" i="9"/>
  <c r="AQ47" i="7"/>
  <c r="AA47" i="10"/>
  <c r="AA47" i="9"/>
  <c r="AK47" i="7"/>
  <c r="Y57" i="10"/>
  <c r="Y57" i="9"/>
  <c r="Z57" i="7"/>
  <c r="K55" i="10"/>
  <c r="K55" i="9"/>
  <c r="L55" i="7"/>
  <c r="T55" i="10"/>
  <c r="T55" i="9"/>
  <c r="U55" i="7"/>
  <c r="H55" i="10"/>
  <c r="H55" i="9"/>
  <c r="I55" i="7"/>
  <c r="P55" i="10"/>
  <c r="P55" i="9"/>
  <c r="Q55" i="7"/>
  <c r="E55" i="10"/>
  <c r="E55" i="9"/>
  <c r="F55" i="7"/>
  <c r="N55" i="10"/>
  <c r="N55" i="9"/>
  <c r="O55" i="7"/>
  <c r="R55" i="10"/>
  <c r="R55" i="9"/>
  <c r="S55" i="7"/>
  <c r="AR46" i="7"/>
  <c r="AE53" i="10"/>
  <c r="AE53" i="9"/>
  <c r="AO53" i="7"/>
  <c r="U55" i="10"/>
  <c r="U55" i="9"/>
  <c r="V55" i="7"/>
  <c r="I55" i="10"/>
  <c r="I55" i="9"/>
  <c r="J55" i="7"/>
  <c r="G55" i="10"/>
  <c r="G55" i="9"/>
  <c r="H55" i="7"/>
  <c r="AH46" i="9"/>
  <c r="AH53" i="7"/>
  <c r="K54" i="12"/>
  <c r="H54" i="12"/>
  <c r="J54" i="12" s="1"/>
  <c r="O55" i="10"/>
  <c r="O55" i="9"/>
  <c r="P55" i="7"/>
  <c r="Q55" i="10"/>
  <c r="Q55" i="9"/>
  <c r="R55" i="7"/>
  <c r="D55" i="12"/>
  <c r="G55" i="12"/>
  <c r="Q55" i="14" s="1"/>
  <c r="S55" i="14" s="1"/>
  <c r="AH46" i="10"/>
  <c r="AC52" i="10"/>
  <c r="AC52" i="9"/>
  <c r="AM52" i="7"/>
  <c r="AB48" i="10"/>
  <c r="AB48" i="9"/>
  <c r="AL48" i="7"/>
  <c r="W57" i="10"/>
  <c r="W57" i="9"/>
  <c r="X57" i="7"/>
  <c r="J55" i="10"/>
  <c r="J55" i="9"/>
  <c r="K55" i="7"/>
  <c r="S55" i="10"/>
  <c r="S55" i="9"/>
  <c r="T55" i="7"/>
  <c r="L55" i="10"/>
  <c r="L55" i="9"/>
  <c r="M55" i="7"/>
  <c r="AI53" i="7"/>
  <c r="AI52" i="7"/>
  <c r="AG49" i="7"/>
  <c r="AG48" i="7"/>
  <c r="AF53" i="10"/>
  <c r="AF53" i="9"/>
  <c r="AP53" i="7"/>
  <c r="B56" i="12"/>
  <c r="T56" i="14" s="1"/>
  <c r="V56" i="14" s="1"/>
  <c r="B56" i="10"/>
  <c r="B56" i="9"/>
  <c r="C56" i="7"/>
  <c r="D55" i="10"/>
  <c r="D55" i="9"/>
  <c r="E55" i="7"/>
  <c r="M55" i="10"/>
  <c r="M55" i="9"/>
  <c r="N55" i="7"/>
  <c r="F55" i="10"/>
  <c r="F55" i="9"/>
  <c r="G55" i="7"/>
  <c r="AB53" i="7"/>
  <c r="AJ53" i="7"/>
  <c r="X57" i="10"/>
  <c r="X57" i="9"/>
  <c r="Y57" i="7"/>
  <c r="L64" i="13"/>
  <c r="M65" i="13"/>
  <c r="I65" i="13"/>
  <c r="K65" i="13" s="1"/>
  <c r="E66" i="13"/>
  <c r="H66" i="13"/>
  <c r="G73" i="13"/>
  <c r="B73" i="13"/>
  <c r="F69" i="12"/>
  <c r="C73" i="12"/>
  <c r="AZ48" i="2"/>
  <c r="BA48" i="2"/>
  <c r="AE50" i="7"/>
  <c r="AD50" i="7"/>
  <c r="C48" i="3"/>
  <c r="B47" i="3"/>
  <c r="F46" i="3"/>
  <c r="E47" i="3"/>
  <c r="J54" i="3"/>
  <c r="G43" i="1"/>
  <c r="D46" i="1"/>
  <c r="J72" i="11" l="1"/>
  <c r="D48" i="7"/>
  <c r="V58" i="9"/>
  <c r="V58" i="10"/>
  <c r="C48" i="9"/>
  <c r="M72" i="11"/>
  <c r="L72" i="11"/>
  <c r="K72" i="11"/>
  <c r="AG74" i="17"/>
  <c r="AG74" i="16"/>
  <c r="AQ74" i="15"/>
  <c r="Z74" i="14"/>
  <c r="AB74" i="14" s="1"/>
  <c r="D74" i="11"/>
  <c r="G74" i="11"/>
  <c r="AK74" i="15"/>
  <c r="AA74" i="17"/>
  <c r="AA74" i="16"/>
  <c r="W73" i="14"/>
  <c r="Y73" i="14" s="1"/>
  <c r="H73" i="11"/>
  <c r="J73" i="11" s="1"/>
  <c r="H74" i="15"/>
  <c r="G74" i="17"/>
  <c r="G74" i="16"/>
  <c r="I75" i="2"/>
  <c r="B75" i="11"/>
  <c r="B75" i="16"/>
  <c r="B75" i="17"/>
  <c r="AG75" i="2"/>
  <c r="AF75" i="15" s="1"/>
  <c r="C75" i="15"/>
  <c r="AH75" i="2"/>
  <c r="AG75" i="15" s="1"/>
  <c r="AI75" i="2"/>
  <c r="AH75" i="15" s="1"/>
  <c r="AK75" i="2"/>
  <c r="AJ75" i="15" s="1"/>
  <c r="AF75" i="2"/>
  <c r="AE75" i="15" s="1"/>
  <c r="AJ75" i="2"/>
  <c r="AI75" i="15" s="1"/>
  <c r="AE75" i="2"/>
  <c r="AD75" i="15" s="1"/>
  <c r="AD75" i="2"/>
  <c r="AC75" i="15" s="1"/>
  <c r="AC75" i="2"/>
  <c r="AB75" i="15" s="1"/>
  <c r="AL75" i="2"/>
  <c r="AR75" i="2"/>
  <c r="AA59" i="2"/>
  <c r="Y60" i="4"/>
  <c r="H73" i="17"/>
  <c r="H73" i="16"/>
  <c r="I73" i="15"/>
  <c r="B57" i="14"/>
  <c r="D57" i="14" s="1"/>
  <c r="H57" i="14"/>
  <c r="J57" i="14" s="1"/>
  <c r="F73" i="17"/>
  <c r="F73" i="16"/>
  <c r="G73" i="15"/>
  <c r="U58" i="17"/>
  <c r="U58" i="16"/>
  <c r="V58" i="15"/>
  <c r="B50" i="4"/>
  <c r="E49" i="2"/>
  <c r="C49" i="9" s="1"/>
  <c r="D73" i="17"/>
  <c r="D73" i="16"/>
  <c r="E73" i="15"/>
  <c r="R60" i="4"/>
  <c r="T59" i="2"/>
  <c r="V58" i="17"/>
  <c r="V58" i="16"/>
  <c r="W58" i="15"/>
  <c r="Q60" i="4"/>
  <c r="S59" i="2"/>
  <c r="Z59" i="2"/>
  <c r="X60" i="4"/>
  <c r="T60" i="4"/>
  <c r="V59" i="2"/>
  <c r="J73" i="17"/>
  <c r="J73" i="16"/>
  <c r="K73" i="15"/>
  <c r="E75" i="4"/>
  <c r="H74" i="2"/>
  <c r="U60" i="4"/>
  <c r="W59" i="2"/>
  <c r="T58" i="17"/>
  <c r="T58" i="16"/>
  <c r="U58" i="15"/>
  <c r="N58" i="17"/>
  <c r="N58" i="16"/>
  <c r="O58" i="15"/>
  <c r="C75" i="4"/>
  <c r="F74" i="2"/>
  <c r="O73" i="16"/>
  <c r="O73" i="17"/>
  <c r="P73" i="15"/>
  <c r="X58" i="17"/>
  <c r="X58" i="16"/>
  <c r="Y58" i="15"/>
  <c r="E73" i="17"/>
  <c r="E73" i="16"/>
  <c r="F73" i="15"/>
  <c r="S58" i="17"/>
  <c r="S58" i="16"/>
  <c r="T58" i="15"/>
  <c r="O75" i="4"/>
  <c r="Q74" i="2"/>
  <c r="D75" i="4"/>
  <c r="G74" i="2"/>
  <c r="S60" i="4"/>
  <c r="U60" i="2" s="1"/>
  <c r="Y58" i="16"/>
  <c r="Y58" i="17"/>
  <c r="Z58" i="15"/>
  <c r="I73" i="17"/>
  <c r="I73" i="16"/>
  <c r="J73" i="15"/>
  <c r="W58" i="17"/>
  <c r="W58" i="16"/>
  <c r="X58" i="15"/>
  <c r="P58" i="16"/>
  <c r="P58" i="17"/>
  <c r="Q58" i="15"/>
  <c r="L73" i="17"/>
  <c r="L73" i="16"/>
  <c r="M73" i="15"/>
  <c r="G75" i="4"/>
  <c r="J74" i="2"/>
  <c r="I75" i="4"/>
  <c r="L74" i="2"/>
  <c r="Y59" i="2"/>
  <c r="W60" i="4"/>
  <c r="AB59" i="2"/>
  <c r="Z60" i="4"/>
  <c r="H75" i="4"/>
  <c r="K74" i="2"/>
  <c r="R58" i="17"/>
  <c r="R58" i="16"/>
  <c r="S58" i="15"/>
  <c r="K73" i="16"/>
  <c r="K73" i="17"/>
  <c r="L73" i="15"/>
  <c r="P60" i="4"/>
  <c r="R59" i="2"/>
  <c r="K75" i="4"/>
  <c r="N74" i="2"/>
  <c r="M58" i="17"/>
  <c r="AH58" i="17" s="1"/>
  <c r="N58" i="14" s="1"/>
  <c r="P58" i="14" s="1"/>
  <c r="AS58" i="2"/>
  <c r="M58" i="16"/>
  <c r="AH58" i="16" s="1"/>
  <c r="K58" i="14" s="1"/>
  <c r="M58" i="14" s="1"/>
  <c r="N58" i="15"/>
  <c r="AR58" i="15" s="1"/>
  <c r="E58" i="14" s="1"/>
  <c r="G58" i="14" s="1"/>
  <c r="N60" i="4"/>
  <c r="P59" i="2"/>
  <c r="Z58" i="17"/>
  <c r="Z58" i="16"/>
  <c r="AA58" i="15"/>
  <c r="Z58" i="9"/>
  <c r="AA58" i="7"/>
  <c r="Z58" i="10"/>
  <c r="C48" i="17"/>
  <c r="C48" i="16"/>
  <c r="D48" i="15"/>
  <c r="J75" i="4"/>
  <c r="M74" i="2"/>
  <c r="X59" i="2"/>
  <c r="W59" i="7" s="1"/>
  <c r="V60" i="4"/>
  <c r="Q58" i="16"/>
  <c r="Q58" i="17"/>
  <c r="R58" i="15"/>
  <c r="AT58" i="2"/>
  <c r="M60" i="4"/>
  <c r="O59" i="2"/>
  <c r="B76" i="2"/>
  <c r="D76" i="2" s="1"/>
  <c r="C75" i="2"/>
  <c r="AC50" i="7"/>
  <c r="BB48" i="2"/>
  <c r="AW56" i="2"/>
  <c r="AY49" i="2"/>
  <c r="AX56" i="2"/>
  <c r="AF50" i="7"/>
  <c r="AR47" i="7"/>
  <c r="AH47" i="9"/>
  <c r="AA48" i="10"/>
  <c r="AA48" i="9"/>
  <c r="AK48" i="7"/>
  <c r="K56" i="10"/>
  <c r="K56" i="9"/>
  <c r="L56" i="7"/>
  <c r="O56" i="10"/>
  <c r="O56" i="9"/>
  <c r="P56" i="7"/>
  <c r="S56" i="10"/>
  <c r="S56" i="9"/>
  <c r="T56" i="7"/>
  <c r="W58" i="10"/>
  <c r="W58" i="9"/>
  <c r="X58" i="7"/>
  <c r="K55" i="12"/>
  <c r="H55" i="12"/>
  <c r="J55" i="12" s="1"/>
  <c r="AG48" i="10"/>
  <c r="AG48" i="9"/>
  <c r="AQ48" i="7"/>
  <c r="AF54" i="10"/>
  <c r="AF54" i="9"/>
  <c r="AP54" i="7"/>
  <c r="G56" i="10"/>
  <c r="G56" i="9"/>
  <c r="H56" i="7"/>
  <c r="E56" i="10"/>
  <c r="E56" i="9"/>
  <c r="F56" i="7"/>
  <c r="I56" i="10"/>
  <c r="I56" i="9"/>
  <c r="J56" i="7"/>
  <c r="M56" i="10"/>
  <c r="M56" i="9"/>
  <c r="N56" i="7"/>
  <c r="AE54" i="10"/>
  <c r="AE54" i="9"/>
  <c r="AO54" i="7"/>
  <c r="AJ54" i="7"/>
  <c r="R56" i="10"/>
  <c r="R56" i="9"/>
  <c r="S56" i="7"/>
  <c r="P56" i="10"/>
  <c r="P56" i="9"/>
  <c r="Q56" i="7"/>
  <c r="AH54" i="7"/>
  <c r="X58" i="10"/>
  <c r="X58" i="9"/>
  <c r="Y58" i="7"/>
  <c r="AB49" i="10"/>
  <c r="AB49" i="9"/>
  <c r="AL49" i="7"/>
  <c r="AC53" i="10"/>
  <c r="AC53" i="9"/>
  <c r="AM53" i="7"/>
  <c r="L56" i="10"/>
  <c r="L56" i="9"/>
  <c r="M56" i="7"/>
  <c r="J56" i="10"/>
  <c r="J56" i="9"/>
  <c r="K56" i="7"/>
  <c r="T56" i="10"/>
  <c r="T56" i="9"/>
  <c r="U56" i="7"/>
  <c r="Y58" i="10"/>
  <c r="Y58" i="9"/>
  <c r="Z58" i="7"/>
  <c r="AH47" i="10"/>
  <c r="AB54" i="7"/>
  <c r="B57" i="12"/>
  <c r="T57" i="14" s="1"/>
  <c r="V57" i="14" s="1"/>
  <c r="B57" i="10"/>
  <c r="B57" i="9"/>
  <c r="C57" i="7"/>
  <c r="F56" i="10"/>
  <c r="F56" i="9"/>
  <c r="G56" i="7"/>
  <c r="D56" i="10"/>
  <c r="D56" i="9"/>
  <c r="E56" i="7"/>
  <c r="N56" i="10"/>
  <c r="N56" i="9"/>
  <c r="O56" i="7"/>
  <c r="D56" i="12"/>
  <c r="G56" i="12"/>
  <c r="Q56" i="14" s="1"/>
  <c r="S56" i="14" s="1"/>
  <c r="AD53" i="10"/>
  <c r="AD53" i="9"/>
  <c r="AN53" i="7"/>
  <c r="Q56" i="10"/>
  <c r="Q56" i="9"/>
  <c r="R56" i="7"/>
  <c r="U56" i="10"/>
  <c r="U56" i="9"/>
  <c r="V56" i="7"/>
  <c r="H56" i="10"/>
  <c r="H56" i="9"/>
  <c r="I56" i="7"/>
  <c r="L65" i="13"/>
  <c r="E67" i="13"/>
  <c r="N67" i="13" s="1"/>
  <c r="H67" i="13"/>
  <c r="I66" i="13"/>
  <c r="K66" i="13" s="1"/>
  <c r="M66" i="13"/>
  <c r="G74" i="13"/>
  <c r="B74" i="13"/>
  <c r="F70" i="12"/>
  <c r="C74" i="12"/>
  <c r="AZ49" i="2"/>
  <c r="BA49" i="2"/>
  <c r="AE51" i="7"/>
  <c r="AD51" i="7"/>
  <c r="AY50" i="2"/>
  <c r="C49" i="3"/>
  <c r="B48" i="3"/>
  <c r="J55" i="3"/>
  <c r="F47" i="3"/>
  <c r="E48" i="3"/>
  <c r="G44" i="1"/>
  <c r="D47" i="1"/>
  <c r="AA75" i="17" l="1"/>
  <c r="AA75" i="16"/>
  <c r="AK75" i="15"/>
  <c r="W74" i="14"/>
  <c r="Y74" i="14" s="1"/>
  <c r="H74" i="11"/>
  <c r="J74" i="11" s="1"/>
  <c r="Z75" i="14"/>
  <c r="AB75" i="14" s="1"/>
  <c r="D75" i="11"/>
  <c r="G75" i="11"/>
  <c r="B76" i="17"/>
  <c r="B76" i="16"/>
  <c r="B76" i="11"/>
  <c r="C76" i="15"/>
  <c r="AG76" i="2"/>
  <c r="AF76" i="15" s="1"/>
  <c r="AH76" i="2"/>
  <c r="AG76" i="15" s="1"/>
  <c r="AK76" i="2"/>
  <c r="AJ76" i="15" s="1"/>
  <c r="AJ76" i="2"/>
  <c r="AI76" i="15" s="1"/>
  <c r="AR76" i="2"/>
  <c r="AE76" i="2"/>
  <c r="AD76" i="15" s="1"/>
  <c r="AD76" i="2"/>
  <c r="AC76" i="15" s="1"/>
  <c r="AL76" i="2"/>
  <c r="AI76" i="2"/>
  <c r="AH76" i="15" s="1"/>
  <c r="AF76" i="2"/>
  <c r="AE76" i="15" s="1"/>
  <c r="AC76" i="2"/>
  <c r="AB76" i="15" s="1"/>
  <c r="G75" i="17"/>
  <c r="I76" i="2"/>
  <c r="G75" i="16"/>
  <c r="H75" i="15"/>
  <c r="AG75" i="17"/>
  <c r="AQ75" i="15"/>
  <c r="AG75" i="16"/>
  <c r="I76" i="4"/>
  <c r="L75" i="2"/>
  <c r="S59" i="16"/>
  <c r="S59" i="17"/>
  <c r="T59" i="15"/>
  <c r="X59" i="16"/>
  <c r="Y59" i="15"/>
  <c r="X59" i="17"/>
  <c r="V59" i="17"/>
  <c r="V59" i="16"/>
  <c r="W59" i="15"/>
  <c r="H74" i="16"/>
  <c r="H74" i="17"/>
  <c r="I74" i="15"/>
  <c r="C76" i="4"/>
  <c r="F75" i="2"/>
  <c r="P61" i="4"/>
  <c r="R60" i="2"/>
  <c r="X59" i="15"/>
  <c r="W59" i="17"/>
  <c r="W59" i="16"/>
  <c r="O74" i="16"/>
  <c r="O74" i="17"/>
  <c r="P74" i="15"/>
  <c r="F74" i="16"/>
  <c r="F74" i="17"/>
  <c r="G74" i="15"/>
  <c r="T61" i="4"/>
  <c r="V60" i="2"/>
  <c r="X60" i="2"/>
  <c r="V60" i="9" s="1"/>
  <c r="V61" i="4"/>
  <c r="N59" i="16"/>
  <c r="N59" i="17"/>
  <c r="O59" i="15"/>
  <c r="B51" i="4"/>
  <c r="E50" i="2"/>
  <c r="C50" i="10" s="1"/>
  <c r="H58" i="14"/>
  <c r="J58" i="14" s="1"/>
  <c r="B58" i="14"/>
  <c r="D58" i="14" s="1"/>
  <c r="I74" i="17"/>
  <c r="I74" i="16"/>
  <c r="J74" i="15"/>
  <c r="J74" i="16"/>
  <c r="J74" i="17"/>
  <c r="K74" i="15"/>
  <c r="O76" i="4"/>
  <c r="Q75" i="2"/>
  <c r="E76" i="4"/>
  <c r="H75" i="2"/>
  <c r="Z60" i="2"/>
  <c r="X61" i="4"/>
  <c r="M59" i="17"/>
  <c r="AH59" i="17" s="1"/>
  <c r="N59" i="14" s="1"/>
  <c r="P59" i="14" s="1"/>
  <c r="M59" i="16"/>
  <c r="AH59" i="16" s="1"/>
  <c r="K59" i="14" s="1"/>
  <c r="M59" i="14" s="1"/>
  <c r="AS59" i="2"/>
  <c r="N59" i="15"/>
  <c r="AR59" i="15" s="1"/>
  <c r="E59" i="14" s="1"/>
  <c r="G59" i="14" s="1"/>
  <c r="S61" i="4"/>
  <c r="U61" i="2" s="1"/>
  <c r="D74" i="17"/>
  <c r="D74" i="16"/>
  <c r="E74" i="15"/>
  <c r="R59" i="16"/>
  <c r="R59" i="17"/>
  <c r="S59" i="15"/>
  <c r="D49" i="7"/>
  <c r="M61" i="4"/>
  <c r="O60" i="2"/>
  <c r="L74" i="17"/>
  <c r="L74" i="16"/>
  <c r="M74" i="15"/>
  <c r="AB60" i="2"/>
  <c r="Z61" i="4"/>
  <c r="Q59" i="17"/>
  <c r="Q59" i="16"/>
  <c r="R59" i="15"/>
  <c r="AT59" i="2"/>
  <c r="V59" i="9"/>
  <c r="K74" i="17"/>
  <c r="K74" i="16"/>
  <c r="L74" i="15"/>
  <c r="N61" i="4"/>
  <c r="P60" i="2"/>
  <c r="K76" i="4"/>
  <c r="N75" i="2"/>
  <c r="AA59" i="15"/>
  <c r="Z59" i="17"/>
  <c r="Z59" i="16"/>
  <c r="Z59" i="10"/>
  <c r="Z59" i="9"/>
  <c r="AA59" i="7"/>
  <c r="G76" i="4"/>
  <c r="J75" i="2"/>
  <c r="E74" i="17"/>
  <c r="E74" i="16"/>
  <c r="F74" i="15"/>
  <c r="U59" i="17"/>
  <c r="U59" i="16"/>
  <c r="V59" i="15"/>
  <c r="Q61" i="4"/>
  <c r="S60" i="2"/>
  <c r="R61" i="4"/>
  <c r="T60" i="2"/>
  <c r="AA60" i="2"/>
  <c r="Y61" i="4"/>
  <c r="H76" i="4"/>
  <c r="K75" i="2"/>
  <c r="C49" i="17"/>
  <c r="C49" i="16"/>
  <c r="D49" i="15"/>
  <c r="V59" i="10"/>
  <c r="C49" i="10"/>
  <c r="J76" i="4"/>
  <c r="M75" i="2"/>
  <c r="P59" i="17"/>
  <c r="P59" i="16"/>
  <c r="Q59" i="15"/>
  <c r="Y60" i="2"/>
  <c r="W61" i="4"/>
  <c r="D76" i="4"/>
  <c r="G75" i="2"/>
  <c r="U61" i="4"/>
  <c r="W60" i="2"/>
  <c r="T59" i="17"/>
  <c r="T59" i="16"/>
  <c r="U59" i="15"/>
  <c r="Y59" i="16"/>
  <c r="Z59" i="15"/>
  <c r="Y59" i="17"/>
  <c r="C76" i="2"/>
  <c r="B77" i="2"/>
  <c r="AC51" i="7"/>
  <c r="BB49" i="2"/>
  <c r="AX57" i="2"/>
  <c r="AF51" i="7"/>
  <c r="AW57" i="2"/>
  <c r="AR48" i="7"/>
  <c r="AB50" i="10"/>
  <c r="AB50" i="9"/>
  <c r="AL50" i="7"/>
  <c r="T57" i="10"/>
  <c r="T57" i="9"/>
  <c r="U57" i="7"/>
  <c r="F57" i="10"/>
  <c r="F57" i="9"/>
  <c r="G57" i="7"/>
  <c r="D57" i="10"/>
  <c r="D57" i="9"/>
  <c r="E57" i="7"/>
  <c r="AH55" i="7"/>
  <c r="AI55" i="7"/>
  <c r="AI54" i="7"/>
  <c r="AC54" i="10"/>
  <c r="AC54" i="9"/>
  <c r="AM54" i="7"/>
  <c r="AF55" i="10"/>
  <c r="AF55" i="9"/>
  <c r="AP55" i="7"/>
  <c r="Y59" i="10"/>
  <c r="Y59" i="9"/>
  <c r="Z59" i="7"/>
  <c r="B58" i="12"/>
  <c r="T58" i="14" s="1"/>
  <c r="V58" i="14" s="1"/>
  <c r="B58" i="10"/>
  <c r="B58" i="9"/>
  <c r="C58" i="7"/>
  <c r="I57" i="10"/>
  <c r="I57" i="9"/>
  <c r="J57" i="7"/>
  <c r="N57" i="10"/>
  <c r="N57" i="9"/>
  <c r="O57" i="7"/>
  <c r="R57" i="10"/>
  <c r="R57" i="9"/>
  <c r="S57" i="7"/>
  <c r="P57" i="10"/>
  <c r="P57" i="9"/>
  <c r="Q57" i="7"/>
  <c r="AB55" i="7"/>
  <c r="AJ55" i="7"/>
  <c r="AH48" i="9"/>
  <c r="AA49" i="10"/>
  <c r="AA49" i="9"/>
  <c r="AK49" i="7"/>
  <c r="G57" i="10"/>
  <c r="G57" i="9"/>
  <c r="H57" i="7"/>
  <c r="K57" i="10"/>
  <c r="K57" i="9"/>
  <c r="L57" i="7"/>
  <c r="AH48" i="10"/>
  <c r="AG51" i="7"/>
  <c r="AG50" i="7"/>
  <c r="AD54" i="10"/>
  <c r="AD54" i="9"/>
  <c r="AN54" i="7"/>
  <c r="U57" i="10"/>
  <c r="U57" i="9"/>
  <c r="V57" i="7"/>
  <c r="S57" i="10"/>
  <c r="S57" i="9"/>
  <c r="T57" i="7"/>
  <c r="E57" i="10"/>
  <c r="E57" i="9"/>
  <c r="F57" i="7"/>
  <c r="AG49" i="10"/>
  <c r="AG49" i="9"/>
  <c r="AQ49" i="7"/>
  <c r="O57" i="10"/>
  <c r="O57" i="9"/>
  <c r="P57" i="7"/>
  <c r="M57" i="10"/>
  <c r="M57" i="9"/>
  <c r="N57" i="7"/>
  <c r="Q57" i="10"/>
  <c r="Q57" i="9"/>
  <c r="R57" i="7"/>
  <c r="D57" i="12"/>
  <c r="M57" i="12" s="1"/>
  <c r="G57" i="12"/>
  <c r="Q57" i="14" s="1"/>
  <c r="S57" i="14" s="1"/>
  <c r="AE55" i="10"/>
  <c r="AE55" i="9"/>
  <c r="AO55" i="7"/>
  <c r="K56" i="12"/>
  <c r="H56" i="12"/>
  <c r="J56" i="12" s="1"/>
  <c r="H57" i="10"/>
  <c r="H57" i="9"/>
  <c r="I57" i="7"/>
  <c r="L57" i="10"/>
  <c r="L57" i="9"/>
  <c r="M57" i="7"/>
  <c r="J57" i="10"/>
  <c r="J57" i="9"/>
  <c r="K57" i="7"/>
  <c r="X59" i="10"/>
  <c r="X59" i="9"/>
  <c r="Y59" i="7"/>
  <c r="W59" i="10"/>
  <c r="W59" i="9"/>
  <c r="X59" i="7"/>
  <c r="O67" i="13"/>
  <c r="I67" i="13"/>
  <c r="L67" i="13" s="1"/>
  <c r="M67" i="13"/>
  <c r="L66" i="13"/>
  <c r="E68" i="13"/>
  <c r="H68" i="13"/>
  <c r="G75" i="13"/>
  <c r="B75" i="13"/>
  <c r="F71" i="12"/>
  <c r="C75" i="12"/>
  <c r="AZ50" i="2"/>
  <c r="BA50" i="2"/>
  <c r="AE52" i="7"/>
  <c r="AD52" i="7"/>
  <c r="C50" i="3"/>
  <c r="B49" i="3"/>
  <c r="F48" i="3"/>
  <c r="E49" i="3"/>
  <c r="J56" i="3"/>
  <c r="G45" i="1"/>
  <c r="D48" i="1"/>
  <c r="W60" i="7" l="1"/>
  <c r="V60" i="10"/>
  <c r="D50" i="7"/>
  <c r="C50" i="9"/>
  <c r="AG76" i="16"/>
  <c r="AQ76" i="15"/>
  <c r="AG76" i="17"/>
  <c r="Z76" i="14"/>
  <c r="AB76" i="14" s="1"/>
  <c r="D76" i="11"/>
  <c r="G76" i="11"/>
  <c r="AA76" i="17"/>
  <c r="AA76" i="16"/>
  <c r="AK76" i="15"/>
  <c r="W75" i="14"/>
  <c r="Y75" i="14" s="1"/>
  <c r="H75" i="11"/>
  <c r="J75" i="11" s="1"/>
  <c r="G76" i="17"/>
  <c r="H76" i="15"/>
  <c r="G76" i="16"/>
  <c r="E75" i="17"/>
  <c r="E75" i="16"/>
  <c r="F75" i="15"/>
  <c r="R60" i="17"/>
  <c r="R60" i="16"/>
  <c r="S60" i="15"/>
  <c r="G77" i="4"/>
  <c r="J76" i="2"/>
  <c r="AS60" i="2"/>
  <c r="M60" i="16"/>
  <c r="AH60" i="16" s="1"/>
  <c r="K60" i="14" s="1"/>
  <c r="M60" i="14" s="1"/>
  <c r="M60" i="17"/>
  <c r="AH60" i="17" s="1"/>
  <c r="N60" i="14" s="1"/>
  <c r="P60" i="14" s="1"/>
  <c r="N60" i="15"/>
  <c r="AR60" i="15" s="1"/>
  <c r="E60" i="14" s="1"/>
  <c r="G60" i="14" s="1"/>
  <c r="H59" i="14"/>
  <c r="J59" i="14" s="1"/>
  <c r="B59" i="14"/>
  <c r="D59" i="14" s="1"/>
  <c r="E77" i="4"/>
  <c r="H76" i="2"/>
  <c r="B52" i="4"/>
  <c r="E51" i="2"/>
  <c r="C51" i="10" s="1"/>
  <c r="T60" i="16"/>
  <c r="T60" i="17"/>
  <c r="U60" i="15"/>
  <c r="P60" i="17"/>
  <c r="P60" i="16"/>
  <c r="Q60" i="15"/>
  <c r="U62" i="4"/>
  <c r="W61" i="2"/>
  <c r="Y60" i="17"/>
  <c r="Y60" i="16"/>
  <c r="Z60" i="15"/>
  <c r="H75" i="17"/>
  <c r="H75" i="16"/>
  <c r="I75" i="15"/>
  <c r="D77" i="4"/>
  <c r="G76" i="2"/>
  <c r="K75" i="16"/>
  <c r="K75" i="17"/>
  <c r="L75" i="15"/>
  <c r="L75" i="16"/>
  <c r="L75" i="17"/>
  <c r="M75" i="15"/>
  <c r="AB61" i="2"/>
  <c r="Z62" i="4"/>
  <c r="M62" i="4"/>
  <c r="O61" i="2"/>
  <c r="O75" i="17"/>
  <c r="O75" i="16"/>
  <c r="P75" i="15"/>
  <c r="T62" i="4"/>
  <c r="V61" i="2"/>
  <c r="P62" i="4"/>
  <c r="R61" i="2"/>
  <c r="J77" i="4"/>
  <c r="M76" i="2"/>
  <c r="R62" i="4"/>
  <c r="T61" i="2"/>
  <c r="Z60" i="17"/>
  <c r="Z60" i="16"/>
  <c r="AA60" i="15"/>
  <c r="Z60" i="10"/>
  <c r="AA60" i="7"/>
  <c r="Z60" i="9"/>
  <c r="O77" i="4"/>
  <c r="Q76" i="2"/>
  <c r="W60" i="17"/>
  <c r="W60" i="16"/>
  <c r="X60" i="15"/>
  <c r="H77" i="4"/>
  <c r="K76" i="2"/>
  <c r="Q60" i="16"/>
  <c r="Q60" i="17"/>
  <c r="R60" i="15"/>
  <c r="AT60" i="2"/>
  <c r="N60" i="16"/>
  <c r="N60" i="17"/>
  <c r="O60" i="15"/>
  <c r="S60" i="17"/>
  <c r="S60" i="16"/>
  <c r="T60" i="15"/>
  <c r="Z61" i="2"/>
  <c r="X62" i="4"/>
  <c r="C77" i="4"/>
  <c r="F76" i="2"/>
  <c r="I75" i="16"/>
  <c r="I75" i="17"/>
  <c r="J75" i="15"/>
  <c r="K77" i="4"/>
  <c r="N76" i="2"/>
  <c r="D75" i="17"/>
  <c r="D75" i="16"/>
  <c r="E75" i="15"/>
  <c r="U60" i="17"/>
  <c r="U60" i="16"/>
  <c r="V60" i="15"/>
  <c r="AA61" i="2"/>
  <c r="Y62" i="4"/>
  <c r="Q62" i="4"/>
  <c r="S61" i="2"/>
  <c r="N62" i="4"/>
  <c r="P61" i="2"/>
  <c r="S62" i="4"/>
  <c r="U62" i="2" s="1"/>
  <c r="X60" i="17"/>
  <c r="X60" i="16"/>
  <c r="Y60" i="15"/>
  <c r="X61" i="2"/>
  <c r="V61" i="9" s="1"/>
  <c r="V62" i="4"/>
  <c r="J75" i="16"/>
  <c r="J75" i="17"/>
  <c r="K75" i="15"/>
  <c r="Y61" i="2"/>
  <c r="W62" i="4"/>
  <c r="F75" i="17"/>
  <c r="F75" i="16"/>
  <c r="G75" i="15"/>
  <c r="C50" i="17"/>
  <c r="C50" i="16"/>
  <c r="D50" i="15"/>
  <c r="V60" i="16"/>
  <c r="W60" i="15"/>
  <c r="V60" i="17"/>
  <c r="I77" i="4"/>
  <c r="L76" i="2"/>
  <c r="C77" i="2"/>
  <c r="D77" i="2"/>
  <c r="B78" i="2"/>
  <c r="AC52" i="7"/>
  <c r="BB50" i="2"/>
  <c r="AX58" i="2"/>
  <c r="AW58" i="2"/>
  <c r="AH49" i="10"/>
  <c r="AY51" i="2"/>
  <c r="AF52" i="7"/>
  <c r="AR49" i="7"/>
  <c r="K57" i="12"/>
  <c r="H57" i="12"/>
  <c r="J57" i="12" s="1"/>
  <c r="AH49" i="9"/>
  <c r="AB56" i="7"/>
  <c r="E58" i="10"/>
  <c r="E58" i="9"/>
  <c r="F58" i="7"/>
  <c r="T58" i="10"/>
  <c r="T58" i="9"/>
  <c r="U58" i="7"/>
  <c r="AH56" i="7"/>
  <c r="I58" i="10"/>
  <c r="I58" i="9"/>
  <c r="J58" i="7"/>
  <c r="G58" i="10"/>
  <c r="G58" i="9"/>
  <c r="H58" i="7"/>
  <c r="M58" i="10"/>
  <c r="M58" i="9"/>
  <c r="N58" i="7"/>
  <c r="AA50" i="10"/>
  <c r="AA50" i="9"/>
  <c r="AK50" i="7"/>
  <c r="R58" i="10"/>
  <c r="R58" i="9"/>
  <c r="S58" i="7"/>
  <c r="P58" i="10"/>
  <c r="P58" i="9"/>
  <c r="Q58" i="7"/>
  <c r="N58" i="10"/>
  <c r="N58" i="9"/>
  <c r="O58" i="7"/>
  <c r="W60" i="10"/>
  <c r="W60" i="9"/>
  <c r="X60" i="7"/>
  <c r="X60" i="10"/>
  <c r="X60" i="9"/>
  <c r="Y60" i="7"/>
  <c r="AE56" i="10"/>
  <c r="AE56" i="9"/>
  <c r="AO56" i="7"/>
  <c r="AF56" i="10"/>
  <c r="AF56" i="9"/>
  <c r="AP56" i="7"/>
  <c r="J58" i="10"/>
  <c r="J58" i="9"/>
  <c r="K58" i="7"/>
  <c r="H58" i="10"/>
  <c r="H58" i="9"/>
  <c r="I58" i="7"/>
  <c r="L58" i="10"/>
  <c r="L58" i="9"/>
  <c r="M58" i="7"/>
  <c r="D58" i="12"/>
  <c r="G58" i="12"/>
  <c r="Q58" i="14" s="1"/>
  <c r="S58" i="14" s="1"/>
  <c r="K58" i="10"/>
  <c r="K58" i="9"/>
  <c r="L58" i="7"/>
  <c r="Y60" i="10"/>
  <c r="Y60" i="9"/>
  <c r="Z60" i="7"/>
  <c r="B59" i="12"/>
  <c r="T59" i="14" s="1"/>
  <c r="V59" i="14" s="1"/>
  <c r="B59" i="10"/>
  <c r="B59" i="9"/>
  <c r="C59" i="7"/>
  <c r="D58" i="10"/>
  <c r="D58" i="9"/>
  <c r="E58" i="7"/>
  <c r="U58" i="10"/>
  <c r="U58" i="9"/>
  <c r="V58" i="7"/>
  <c r="F58" i="10"/>
  <c r="F58" i="9"/>
  <c r="G58" i="7"/>
  <c r="AD55" i="10"/>
  <c r="AD55" i="9"/>
  <c r="AN55" i="7"/>
  <c r="AG50" i="10"/>
  <c r="AG50" i="9"/>
  <c r="AQ50" i="7"/>
  <c r="AB51" i="10"/>
  <c r="AB51" i="9"/>
  <c r="AL51" i="7"/>
  <c r="AC55" i="10"/>
  <c r="AC55" i="9"/>
  <c r="AM55" i="7"/>
  <c r="L57" i="12"/>
  <c r="AJ56" i="7"/>
  <c r="Q58" i="10"/>
  <c r="Q58" i="9"/>
  <c r="R58" i="7"/>
  <c r="O58" i="10"/>
  <c r="O58" i="9"/>
  <c r="P58" i="7"/>
  <c r="S58" i="10"/>
  <c r="S58" i="9"/>
  <c r="T58" i="7"/>
  <c r="K67" i="13"/>
  <c r="E69" i="13"/>
  <c r="H69" i="13"/>
  <c r="I68" i="13"/>
  <c r="K68" i="13" s="1"/>
  <c r="M68" i="13"/>
  <c r="B76" i="13"/>
  <c r="G76" i="13"/>
  <c r="F72" i="12"/>
  <c r="C76" i="12"/>
  <c r="AZ51" i="2"/>
  <c r="BA51" i="2"/>
  <c r="AE53" i="7"/>
  <c r="AD53" i="7"/>
  <c r="AY52" i="2"/>
  <c r="C51" i="3"/>
  <c r="B50" i="3"/>
  <c r="J57" i="3"/>
  <c r="F49" i="3"/>
  <c r="E50" i="3"/>
  <c r="G46" i="1"/>
  <c r="D49" i="1"/>
  <c r="W61" i="7" l="1"/>
  <c r="V61" i="10"/>
  <c r="W76" i="14"/>
  <c r="Y76" i="14" s="1"/>
  <c r="H76" i="11"/>
  <c r="J76" i="11" s="1"/>
  <c r="B77" i="11"/>
  <c r="B77" i="17"/>
  <c r="B77" i="16"/>
  <c r="AG77" i="2"/>
  <c r="AF77" i="15" s="1"/>
  <c r="C77" i="15"/>
  <c r="AH77" i="2"/>
  <c r="AG77" i="15" s="1"/>
  <c r="AE77" i="2"/>
  <c r="AD77" i="15" s="1"/>
  <c r="AK77" i="2"/>
  <c r="AJ77" i="15" s="1"/>
  <c r="AL77" i="2"/>
  <c r="AI77" i="2"/>
  <c r="AH77" i="15" s="1"/>
  <c r="AR77" i="2"/>
  <c r="AD77" i="2"/>
  <c r="AC77" i="15" s="1"/>
  <c r="AJ77" i="2"/>
  <c r="AI77" i="15" s="1"/>
  <c r="AF77" i="2"/>
  <c r="AE77" i="15" s="1"/>
  <c r="AC77" i="2"/>
  <c r="AB77" i="15" s="1"/>
  <c r="I77" i="2"/>
  <c r="R63" i="4"/>
  <c r="T62" i="2"/>
  <c r="C51" i="16"/>
  <c r="C51" i="17"/>
  <c r="D51" i="15"/>
  <c r="X62" i="2"/>
  <c r="V62" i="9" s="1"/>
  <c r="V63" i="4"/>
  <c r="S63" i="4"/>
  <c r="U63" i="2" s="1"/>
  <c r="Z61" i="15"/>
  <c r="Y61" i="17"/>
  <c r="Y61" i="16"/>
  <c r="D76" i="17"/>
  <c r="D76" i="16"/>
  <c r="E76" i="15"/>
  <c r="K76" i="17"/>
  <c r="K76" i="16"/>
  <c r="L76" i="15"/>
  <c r="Z61" i="17"/>
  <c r="Z61" i="16"/>
  <c r="AA61" i="15"/>
  <c r="Z61" i="10"/>
  <c r="Z61" i="9"/>
  <c r="AA61" i="7"/>
  <c r="B53" i="4"/>
  <c r="E52" i="2"/>
  <c r="C52" i="10" s="1"/>
  <c r="T63" i="4"/>
  <c r="V62" i="2"/>
  <c r="J76" i="16"/>
  <c r="J76" i="17"/>
  <c r="K76" i="15"/>
  <c r="Y62" i="2"/>
  <c r="W63" i="4"/>
  <c r="V61" i="17"/>
  <c r="W61" i="15"/>
  <c r="V61" i="16"/>
  <c r="N61" i="17"/>
  <c r="N61" i="16"/>
  <c r="O61" i="15"/>
  <c r="L76" i="17"/>
  <c r="L76" i="16"/>
  <c r="M76" i="15"/>
  <c r="C78" i="4"/>
  <c r="F77" i="2"/>
  <c r="O76" i="17"/>
  <c r="O76" i="16"/>
  <c r="P76" i="15"/>
  <c r="J78" i="4"/>
  <c r="M77" i="2"/>
  <c r="E76" i="16"/>
  <c r="E76" i="17"/>
  <c r="F76" i="15"/>
  <c r="F76" i="16"/>
  <c r="F76" i="17"/>
  <c r="G76" i="15"/>
  <c r="I78" i="4"/>
  <c r="L77" i="2"/>
  <c r="W61" i="17"/>
  <c r="X61" i="15"/>
  <c r="W61" i="16"/>
  <c r="N63" i="4"/>
  <c r="P62" i="2"/>
  <c r="K78" i="4"/>
  <c r="N77" i="2"/>
  <c r="Z62" i="2"/>
  <c r="X63" i="4"/>
  <c r="I76" i="17"/>
  <c r="I76" i="16"/>
  <c r="J76" i="15"/>
  <c r="O78" i="4"/>
  <c r="Q77" i="2"/>
  <c r="P61" i="17"/>
  <c r="P61" i="16"/>
  <c r="Q61" i="15"/>
  <c r="D78" i="4"/>
  <c r="G77" i="2"/>
  <c r="E78" i="4"/>
  <c r="H77" i="2"/>
  <c r="H60" i="14"/>
  <c r="J60" i="14" s="1"/>
  <c r="B60" i="14"/>
  <c r="D60" i="14" s="1"/>
  <c r="AA62" i="2"/>
  <c r="Y63" i="4"/>
  <c r="D51" i="7"/>
  <c r="Q61" i="17"/>
  <c r="Q61" i="16"/>
  <c r="R61" i="15"/>
  <c r="AT61" i="2"/>
  <c r="Y61" i="15"/>
  <c r="X61" i="17"/>
  <c r="X61" i="16"/>
  <c r="H78" i="4"/>
  <c r="K77" i="2"/>
  <c r="R61" i="17"/>
  <c r="R61" i="16"/>
  <c r="S61" i="15"/>
  <c r="P63" i="4"/>
  <c r="R62" i="2"/>
  <c r="M61" i="16"/>
  <c r="AH61" i="16" s="1"/>
  <c r="K61" i="14" s="1"/>
  <c r="M61" i="14" s="1"/>
  <c r="M61" i="17"/>
  <c r="AH61" i="17" s="1"/>
  <c r="N61" i="14" s="1"/>
  <c r="P61" i="14" s="1"/>
  <c r="AS61" i="2"/>
  <c r="N61" i="15"/>
  <c r="AR61" i="15" s="1"/>
  <c r="E61" i="14" s="1"/>
  <c r="G61" i="14" s="1"/>
  <c r="U61" i="17"/>
  <c r="U61" i="16"/>
  <c r="V61" i="15"/>
  <c r="H76" i="16"/>
  <c r="H76" i="17"/>
  <c r="I76" i="15"/>
  <c r="S61" i="16"/>
  <c r="S61" i="17"/>
  <c r="T61" i="15"/>
  <c r="AB62" i="2"/>
  <c r="Z63" i="4"/>
  <c r="C51" i="9"/>
  <c r="Q63" i="4"/>
  <c r="S62" i="2"/>
  <c r="T61" i="17"/>
  <c r="T61" i="16"/>
  <c r="U61" i="15"/>
  <c r="M63" i="4"/>
  <c r="O62" i="2"/>
  <c r="U63" i="4"/>
  <c r="W62" i="2"/>
  <c r="G78" i="4"/>
  <c r="J77" i="2"/>
  <c r="C78" i="2"/>
  <c r="D78" i="2"/>
  <c r="B79" i="2"/>
  <c r="AC53" i="7"/>
  <c r="BB51" i="2"/>
  <c r="AX59" i="2"/>
  <c r="AF53" i="7"/>
  <c r="AW59" i="2"/>
  <c r="AJ57" i="7"/>
  <c r="L59" i="10"/>
  <c r="L59" i="9"/>
  <c r="M59" i="7"/>
  <c r="S59" i="10"/>
  <c r="S59" i="9"/>
  <c r="T59" i="7"/>
  <c r="D59" i="12"/>
  <c r="G59" i="12"/>
  <c r="Q59" i="14" s="1"/>
  <c r="S59" i="14" s="1"/>
  <c r="K58" i="12"/>
  <c r="H58" i="12"/>
  <c r="J58" i="12" s="1"/>
  <c r="V62" i="10"/>
  <c r="AC56" i="10"/>
  <c r="AC56" i="9"/>
  <c r="AM56" i="7"/>
  <c r="Y61" i="10"/>
  <c r="Y61" i="9"/>
  <c r="Z61" i="7"/>
  <c r="F59" i="10"/>
  <c r="F59" i="9"/>
  <c r="G59" i="7"/>
  <c r="M59" i="10"/>
  <c r="M59" i="9"/>
  <c r="N59" i="7"/>
  <c r="Q59" i="10"/>
  <c r="Q59" i="9"/>
  <c r="R59" i="7"/>
  <c r="AB57" i="7"/>
  <c r="AG51" i="10"/>
  <c r="AG51" i="9"/>
  <c r="AQ51" i="7"/>
  <c r="T59" i="10"/>
  <c r="T59" i="9"/>
  <c r="U59" i="7"/>
  <c r="J59" i="10"/>
  <c r="J59" i="9"/>
  <c r="K59" i="7"/>
  <c r="H59" i="10"/>
  <c r="H59" i="9"/>
  <c r="I59" i="7"/>
  <c r="X61" i="10"/>
  <c r="X61" i="9"/>
  <c r="Y61" i="7"/>
  <c r="AR50" i="7"/>
  <c r="AB52" i="10"/>
  <c r="AB52" i="9"/>
  <c r="AL52" i="7"/>
  <c r="AE57" i="10"/>
  <c r="AE57" i="9"/>
  <c r="AO57" i="7"/>
  <c r="AA51" i="10"/>
  <c r="AA51" i="9"/>
  <c r="AK51" i="7"/>
  <c r="B60" i="12"/>
  <c r="T60" i="14" s="1"/>
  <c r="V60" i="14" s="1"/>
  <c r="B60" i="10"/>
  <c r="B60" i="9"/>
  <c r="C60" i="7"/>
  <c r="G59" i="10"/>
  <c r="G59" i="9"/>
  <c r="H59" i="7"/>
  <c r="N59" i="10"/>
  <c r="N59" i="9"/>
  <c r="O59" i="7"/>
  <c r="D59" i="10"/>
  <c r="D59" i="9"/>
  <c r="E59" i="7"/>
  <c r="P59" i="10"/>
  <c r="P59" i="9"/>
  <c r="Q59" i="7"/>
  <c r="AH50" i="9"/>
  <c r="U59" i="10"/>
  <c r="U59" i="9"/>
  <c r="V59" i="7"/>
  <c r="K59" i="10"/>
  <c r="K59" i="9"/>
  <c r="L59" i="7"/>
  <c r="R59" i="10"/>
  <c r="R59" i="9"/>
  <c r="S59" i="7"/>
  <c r="W61" i="10"/>
  <c r="W61" i="9"/>
  <c r="X61" i="7"/>
  <c r="AH50" i="10"/>
  <c r="AH57" i="7"/>
  <c r="AF57" i="10"/>
  <c r="AF57" i="9"/>
  <c r="AP57" i="7"/>
  <c r="AG53" i="7"/>
  <c r="AG52" i="7"/>
  <c r="AD56" i="10"/>
  <c r="AD56" i="9"/>
  <c r="AN56" i="7"/>
  <c r="AI57" i="7"/>
  <c r="AI56" i="7"/>
  <c r="O59" i="10"/>
  <c r="O59" i="9"/>
  <c r="P59" i="7"/>
  <c r="E59" i="10"/>
  <c r="E59" i="9"/>
  <c r="F59" i="7"/>
  <c r="I59" i="10"/>
  <c r="I59" i="9"/>
  <c r="J59" i="7"/>
  <c r="L68" i="13"/>
  <c r="I69" i="13"/>
  <c r="L69" i="13" s="1"/>
  <c r="M69" i="13"/>
  <c r="E70" i="13"/>
  <c r="H70" i="13"/>
  <c r="B77" i="13"/>
  <c r="G77" i="13"/>
  <c r="C77" i="12"/>
  <c r="F73" i="12"/>
  <c r="AZ52" i="2"/>
  <c r="BA52" i="2"/>
  <c r="AE54" i="7"/>
  <c r="AD54" i="7"/>
  <c r="C52" i="3"/>
  <c r="B51" i="3"/>
  <c r="G51" i="3"/>
  <c r="F50" i="3"/>
  <c r="E51" i="3"/>
  <c r="J58" i="3"/>
  <c r="G47" i="1"/>
  <c r="D50" i="1"/>
  <c r="W62" i="7" l="1"/>
  <c r="D52" i="7"/>
  <c r="B78" i="17"/>
  <c r="B78" i="16"/>
  <c r="B78" i="11"/>
  <c r="AG78" i="2"/>
  <c r="AF78" i="15" s="1"/>
  <c r="C78" i="15"/>
  <c r="AH78" i="2"/>
  <c r="AG78" i="15" s="1"/>
  <c r="AR78" i="2"/>
  <c r="AK78" i="2"/>
  <c r="AJ78" i="15" s="1"/>
  <c r="AF78" i="2"/>
  <c r="AE78" i="15" s="1"/>
  <c r="AJ78" i="2"/>
  <c r="AI78" i="15" s="1"/>
  <c r="AE78" i="2"/>
  <c r="AD78" i="15" s="1"/>
  <c r="AL78" i="2"/>
  <c r="AC78" i="2"/>
  <c r="AB78" i="15" s="1"/>
  <c r="AD78" i="2"/>
  <c r="AC78" i="15" s="1"/>
  <c r="AI78" i="2"/>
  <c r="AH78" i="15" s="1"/>
  <c r="I78" i="2"/>
  <c r="G77" i="16"/>
  <c r="G77" i="17"/>
  <c r="H77" i="15"/>
  <c r="AK77" i="15"/>
  <c r="AA77" i="17"/>
  <c r="AA77" i="16"/>
  <c r="Z77" i="14"/>
  <c r="AB77" i="14" s="1"/>
  <c r="D77" i="11"/>
  <c r="G77" i="11"/>
  <c r="AG77" i="17"/>
  <c r="AG77" i="16"/>
  <c r="AQ77" i="15"/>
  <c r="H77" i="17"/>
  <c r="H77" i="16"/>
  <c r="I77" i="15"/>
  <c r="AB63" i="2"/>
  <c r="Z64" i="4"/>
  <c r="H61" i="14"/>
  <c r="J61" i="14" s="1"/>
  <c r="B61" i="14"/>
  <c r="D61" i="14" s="1"/>
  <c r="E77" i="17"/>
  <c r="E77" i="16"/>
  <c r="F77" i="15"/>
  <c r="L77" i="17"/>
  <c r="L77" i="16"/>
  <c r="M77" i="15"/>
  <c r="C52" i="9"/>
  <c r="G79" i="4"/>
  <c r="J78" i="2"/>
  <c r="Z62" i="17"/>
  <c r="Z62" i="16"/>
  <c r="AA62" i="15"/>
  <c r="Z62" i="10"/>
  <c r="Z62" i="9"/>
  <c r="AA62" i="7"/>
  <c r="Y62" i="17"/>
  <c r="Y62" i="16"/>
  <c r="Z62" i="15"/>
  <c r="D79" i="4"/>
  <c r="G78" i="2"/>
  <c r="K79" i="4"/>
  <c r="N78" i="2"/>
  <c r="J77" i="17"/>
  <c r="J77" i="16"/>
  <c r="K77" i="15"/>
  <c r="T62" i="16"/>
  <c r="T62" i="17"/>
  <c r="U62" i="15"/>
  <c r="AA63" i="2"/>
  <c r="Y64" i="4"/>
  <c r="O79" i="4"/>
  <c r="Q78" i="2"/>
  <c r="U62" i="16"/>
  <c r="U62" i="17"/>
  <c r="V62" i="15"/>
  <c r="I77" i="17"/>
  <c r="I77" i="16"/>
  <c r="J77" i="15"/>
  <c r="N62" i="17"/>
  <c r="N62" i="16"/>
  <c r="O62" i="15"/>
  <c r="I79" i="4"/>
  <c r="L78" i="2"/>
  <c r="Y63" i="2"/>
  <c r="W64" i="4"/>
  <c r="T64" i="4"/>
  <c r="V63" i="2"/>
  <c r="S62" i="17"/>
  <c r="S62" i="16"/>
  <c r="T62" i="15"/>
  <c r="Q62" i="17"/>
  <c r="Q62" i="16"/>
  <c r="R62" i="15"/>
  <c r="AT62" i="2"/>
  <c r="N64" i="4"/>
  <c r="P63" i="2"/>
  <c r="C52" i="16"/>
  <c r="C52" i="17"/>
  <c r="D52" i="15"/>
  <c r="R62" i="17"/>
  <c r="R62" i="16"/>
  <c r="S62" i="15"/>
  <c r="M62" i="16"/>
  <c r="AH62" i="16" s="1"/>
  <c r="K62" i="14" s="1"/>
  <c r="M62" i="14" s="1"/>
  <c r="M62" i="17"/>
  <c r="AH62" i="17" s="1"/>
  <c r="N62" i="14" s="1"/>
  <c r="P62" i="14" s="1"/>
  <c r="AS62" i="2"/>
  <c r="N62" i="15"/>
  <c r="AR62" i="15" s="1"/>
  <c r="E62" i="14" s="1"/>
  <c r="G62" i="14" s="1"/>
  <c r="Q64" i="4"/>
  <c r="S63" i="2"/>
  <c r="P64" i="4"/>
  <c r="R63" i="2"/>
  <c r="F77" i="17"/>
  <c r="F77" i="16"/>
  <c r="G77" i="15"/>
  <c r="Z63" i="2"/>
  <c r="X64" i="4"/>
  <c r="K77" i="16"/>
  <c r="K77" i="17"/>
  <c r="L77" i="15"/>
  <c r="C79" i="4"/>
  <c r="F78" i="2"/>
  <c r="B54" i="4"/>
  <c r="E53" i="2"/>
  <c r="C53" i="9" s="1"/>
  <c r="X63" i="2"/>
  <c r="V63" i="9" s="1"/>
  <c r="V64" i="4"/>
  <c r="U64" i="4"/>
  <c r="W63" i="2"/>
  <c r="P62" i="17"/>
  <c r="P62" i="16"/>
  <c r="Q62" i="15"/>
  <c r="H79" i="4"/>
  <c r="K78" i="2"/>
  <c r="D77" i="16"/>
  <c r="D77" i="17"/>
  <c r="E77" i="15"/>
  <c r="W62" i="17"/>
  <c r="W62" i="16"/>
  <c r="X62" i="15"/>
  <c r="S64" i="4"/>
  <c r="U64" i="2" s="1"/>
  <c r="M64" i="4"/>
  <c r="O63" i="2"/>
  <c r="E79" i="4"/>
  <c r="H78" i="2"/>
  <c r="O77" i="16"/>
  <c r="O77" i="17"/>
  <c r="P77" i="15"/>
  <c r="X62" i="17"/>
  <c r="Y62" i="15"/>
  <c r="X62" i="16"/>
  <c r="J79" i="4"/>
  <c r="M78" i="2"/>
  <c r="V62" i="17"/>
  <c r="V62" i="16"/>
  <c r="W62" i="15"/>
  <c r="R64" i="4"/>
  <c r="T63" i="2"/>
  <c r="C79" i="2"/>
  <c r="D79" i="2"/>
  <c r="B80" i="2"/>
  <c r="AC54" i="7"/>
  <c r="BB52" i="2"/>
  <c r="AX60" i="2"/>
  <c r="AF54" i="7"/>
  <c r="AY53" i="2"/>
  <c r="AW60" i="2"/>
  <c r="AH51" i="9"/>
  <c r="AR51" i="7"/>
  <c r="W62" i="10"/>
  <c r="W62" i="9"/>
  <c r="X62" i="7"/>
  <c r="B61" i="12"/>
  <c r="T61" i="14" s="1"/>
  <c r="V61" i="14" s="1"/>
  <c r="B61" i="10"/>
  <c r="B61" i="9"/>
  <c r="C61" i="7"/>
  <c r="AE58" i="10"/>
  <c r="AE58" i="9"/>
  <c r="AO58" i="7"/>
  <c r="H60" i="10"/>
  <c r="H60" i="9"/>
  <c r="I60" i="7"/>
  <c r="U60" i="10"/>
  <c r="U60" i="9"/>
  <c r="V60" i="7"/>
  <c r="J60" i="10"/>
  <c r="J60" i="9"/>
  <c r="K60" i="7"/>
  <c r="D60" i="12"/>
  <c r="G60" i="12"/>
  <c r="Q60" i="14" s="1"/>
  <c r="S60" i="14" s="1"/>
  <c r="AJ58" i="7"/>
  <c r="N60" i="10"/>
  <c r="N60" i="9"/>
  <c r="O60" i="7"/>
  <c r="Q60" i="10"/>
  <c r="Q60" i="9"/>
  <c r="R60" i="7"/>
  <c r="O60" i="10"/>
  <c r="O60" i="9"/>
  <c r="P60" i="7"/>
  <c r="D60" i="10"/>
  <c r="D60" i="9"/>
  <c r="E60" i="7"/>
  <c r="AF58" i="10"/>
  <c r="AF58" i="9"/>
  <c r="AP58" i="7"/>
  <c r="AH58" i="7"/>
  <c r="G60" i="10"/>
  <c r="G60" i="9"/>
  <c r="H60" i="7"/>
  <c r="K60" i="10"/>
  <c r="K60" i="9"/>
  <c r="L60" i="7"/>
  <c r="S60" i="10"/>
  <c r="S60" i="9"/>
  <c r="T60" i="7"/>
  <c r="K59" i="12"/>
  <c r="H59" i="12"/>
  <c r="J59" i="12" s="1"/>
  <c r="R60" i="10"/>
  <c r="R60" i="9"/>
  <c r="S60" i="7"/>
  <c r="AD57" i="10"/>
  <c r="AD57" i="9"/>
  <c r="AN57" i="7"/>
  <c r="X62" i="10"/>
  <c r="X62" i="9"/>
  <c r="Y62" i="7"/>
  <c r="I60" i="10"/>
  <c r="I60" i="9"/>
  <c r="J60" i="7"/>
  <c r="P60" i="10"/>
  <c r="P60" i="9"/>
  <c r="Q60" i="7"/>
  <c r="E60" i="10"/>
  <c r="E60" i="9"/>
  <c r="F60" i="7"/>
  <c r="M60" i="10"/>
  <c r="M60" i="9"/>
  <c r="N60" i="7"/>
  <c r="F60" i="10"/>
  <c r="F60" i="9"/>
  <c r="G60" i="7"/>
  <c r="AC57" i="10"/>
  <c r="AC57" i="9"/>
  <c r="AM57" i="7"/>
  <c r="AB53" i="10"/>
  <c r="AB53" i="9"/>
  <c r="AL53" i="7"/>
  <c r="AG52" i="10"/>
  <c r="AG52" i="9"/>
  <c r="AQ52" i="7"/>
  <c r="AA52" i="10"/>
  <c r="AA52" i="9"/>
  <c r="AK52" i="7"/>
  <c r="L60" i="10"/>
  <c r="L60" i="9"/>
  <c r="M60" i="7"/>
  <c r="T60" i="10"/>
  <c r="T60" i="9"/>
  <c r="U60" i="7"/>
  <c r="AH51" i="10"/>
  <c r="Y62" i="10"/>
  <c r="Y62" i="9"/>
  <c r="Z62" i="7"/>
  <c r="AB58" i="7"/>
  <c r="K69" i="13"/>
  <c r="M70" i="13"/>
  <c r="I70" i="13"/>
  <c r="K70" i="13" s="1"/>
  <c r="E71" i="13"/>
  <c r="H71" i="13"/>
  <c r="G78" i="13"/>
  <c r="B78" i="13"/>
  <c r="F74" i="12"/>
  <c r="C78" i="12"/>
  <c r="AZ53" i="2"/>
  <c r="BA53" i="2"/>
  <c r="AE55" i="7"/>
  <c r="AD55" i="7"/>
  <c r="AY54" i="2"/>
  <c r="C53" i="3"/>
  <c r="B52" i="3"/>
  <c r="J59" i="3"/>
  <c r="F51" i="3"/>
  <c r="E52" i="3"/>
  <c r="G48" i="1"/>
  <c r="D51" i="1"/>
  <c r="AA78" i="16" l="1"/>
  <c r="AA78" i="17"/>
  <c r="AK78" i="15"/>
  <c r="I79" i="2"/>
  <c r="G78" i="17"/>
  <c r="G78" i="16"/>
  <c r="H78" i="15"/>
  <c r="B79" i="11"/>
  <c r="B79" i="17"/>
  <c r="B79" i="16"/>
  <c r="C79" i="15"/>
  <c r="AG79" i="2"/>
  <c r="AF79" i="15" s="1"/>
  <c r="AH79" i="2"/>
  <c r="AG79" i="15" s="1"/>
  <c r="AL79" i="2"/>
  <c r="AC79" i="2"/>
  <c r="AB79" i="15" s="1"/>
  <c r="AD79" i="2"/>
  <c r="AC79" i="15" s="1"/>
  <c r="AJ79" i="2"/>
  <c r="AI79" i="15" s="1"/>
  <c r="AK79" i="2"/>
  <c r="AJ79" i="15" s="1"/>
  <c r="AF79" i="2"/>
  <c r="AE79" i="15" s="1"/>
  <c r="AE79" i="2"/>
  <c r="AD79" i="15" s="1"/>
  <c r="AI79" i="2"/>
  <c r="AH79" i="15" s="1"/>
  <c r="AR79" i="2"/>
  <c r="Z78" i="14"/>
  <c r="AB78" i="14" s="1"/>
  <c r="D78" i="11"/>
  <c r="G78" i="11"/>
  <c r="W77" i="14"/>
  <c r="Y77" i="14" s="1"/>
  <c r="H77" i="11"/>
  <c r="K77" i="11" s="1"/>
  <c r="AG78" i="16"/>
  <c r="AQ78" i="15"/>
  <c r="AG78" i="17"/>
  <c r="M65" i="4"/>
  <c r="O64" i="2"/>
  <c r="Y63" i="17"/>
  <c r="Y63" i="16"/>
  <c r="Z63" i="15"/>
  <c r="D53" i="7"/>
  <c r="R63" i="17"/>
  <c r="R63" i="16"/>
  <c r="S63" i="15"/>
  <c r="K78" i="16"/>
  <c r="K78" i="17"/>
  <c r="L78" i="15"/>
  <c r="S63" i="17"/>
  <c r="S63" i="16"/>
  <c r="T63" i="15"/>
  <c r="B55" i="4"/>
  <c r="E54" i="2"/>
  <c r="C54" i="9" s="1"/>
  <c r="Z64" i="2"/>
  <c r="X65" i="4"/>
  <c r="P63" i="17"/>
  <c r="P63" i="16"/>
  <c r="Q63" i="15"/>
  <c r="T65" i="4"/>
  <c r="V64" i="2"/>
  <c r="L78" i="17"/>
  <c r="L78" i="16"/>
  <c r="M78" i="15"/>
  <c r="AB64" i="2"/>
  <c r="Z65" i="4"/>
  <c r="AA64" i="2"/>
  <c r="Y65" i="4"/>
  <c r="H62" i="14"/>
  <c r="J62" i="14" s="1"/>
  <c r="B62" i="14"/>
  <c r="D62" i="14" s="1"/>
  <c r="T63" i="17"/>
  <c r="T63" i="16"/>
  <c r="U63" i="15"/>
  <c r="J80" i="4"/>
  <c r="M79" i="2"/>
  <c r="S65" i="4"/>
  <c r="U65" i="2" s="1"/>
  <c r="U63" i="16"/>
  <c r="U63" i="17"/>
  <c r="V63" i="15"/>
  <c r="D78" i="17"/>
  <c r="D78" i="16"/>
  <c r="E78" i="15"/>
  <c r="X63" i="17"/>
  <c r="X63" i="16"/>
  <c r="Y63" i="15"/>
  <c r="P65" i="4"/>
  <c r="R64" i="2"/>
  <c r="Y64" i="2"/>
  <c r="W65" i="4"/>
  <c r="K80" i="4"/>
  <c r="N79" i="2"/>
  <c r="H78" i="17"/>
  <c r="H78" i="16"/>
  <c r="I78" i="15"/>
  <c r="AA63" i="15"/>
  <c r="Z63" i="16"/>
  <c r="Z63" i="17"/>
  <c r="Z63" i="9"/>
  <c r="AA63" i="7"/>
  <c r="Z63" i="10"/>
  <c r="I80" i="4"/>
  <c r="L79" i="2"/>
  <c r="R65" i="4"/>
  <c r="T64" i="2"/>
  <c r="I78" i="17"/>
  <c r="I78" i="16"/>
  <c r="J78" i="15"/>
  <c r="U65" i="4"/>
  <c r="W64" i="2"/>
  <c r="C80" i="4"/>
  <c r="F79" i="2"/>
  <c r="Q63" i="17"/>
  <c r="Q63" i="16"/>
  <c r="R63" i="15"/>
  <c r="AT63" i="2"/>
  <c r="N63" i="17"/>
  <c r="N63" i="16"/>
  <c r="O63" i="15"/>
  <c r="W63" i="17"/>
  <c r="W63" i="16"/>
  <c r="X63" i="15"/>
  <c r="O78" i="16"/>
  <c r="O78" i="17"/>
  <c r="P78" i="15"/>
  <c r="E78" i="16"/>
  <c r="E78" i="17"/>
  <c r="F78" i="15"/>
  <c r="G80" i="4"/>
  <c r="J79" i="2"/>
  <c r="AS63" i="2"/>
  <c r="M63" i="17"/>
  <c r="AH63" i="17" s="1"/>
  <c r="N63" i="14" s="1"/>
  <c r="P63" i="14" s="1"/>
  <c r="M63" i="16"/>
  <c r="AH63" i="16" s="1"/>
  <c r="K63" i="14" s="1"/>
  <c r="M63" i="14" s="1"/>
  <c r="N63" i="15"/>
  <c r="AR63" i="15" s="1"/>
  <c r="E63" i="14" s="1"/>
  <c r="G63" i="14" s="1"/>
  <c r="V63" i="17"/>
  <c r="V63" i="16"/>
  <c r="W63" i="15"/>
  <c r="V63" i="10"/>
  <c r="C53" i="17"/>
  <c r="C53" i="16"/>
  <c r="D53" i="15"/>
  <c r="C53" i="10"/>
  <c r="F78" i="16"/>
  <c r="F78" i="17"/>
  <c r="G78" i="15"/>
  <c r="W63" i="7"/>
  <c r="E80" i="4"/>
  <c r="H79" i="2"/>
  <c r="H80" i="4"/>
  <c r="K79" i="2"/>
  <c r="X64" i="2"/>
  <c r="V64" i="10" s="1"/>
  <c r="V65" i="4"/>
  <c r="Q65" i="4"/>
  <c r="S64" i="2"/>
  <c r="N65" i="4"/>
  <c r="P64" i="2"/>
  <c r="J78" i="17"/>
  <c r="J78" i="16"/>
  <c r="K78" i="15"/>
  <c r="O80" i="4"/>
  <c r="Q79" i="2"/>
  <c r="D80" i="4"/>
  <c r="G79" i="2"/>
  <c r="D80" i="2"/>
  <c r="B81" i="2"/>
  <c r="C80" i="2"/>
  <c r="AC55" i="7"/>
  <c r="BB53" i="2"/>
  <c r="AX61" i="2"/>
  <c r="AW61" i="2"/>
  <c r="AF55" i="7"/>
  <c r="AB54" i="10"/>
  <c r="AB54" i="9"/>
  <c r="AL54" i="7"/>
  <c r="B62" i="12"/>
  <c r="T62" i="14" s="1"/>
  <c r="V62" i="14" s="1"/>
  <c r="B62" i="10"/>
  <c r="B62" i="9"/>
  <c r="C62" i="7"/>
  <c r="AA53" i="10"/>
  <c r="AA53" i="9"/>
  <c r="AK53" i="7"/>
  <c r="AB59" i="7"/>
  <c r="X63" i="10"/>
  <c r="X63" i="9"/>
  <c r="Y63" i="7"/>
  <c r="J61" i="10"/>
  <c r="J61" i="9"/>
  <c r="K61" i="7"/>
  <c r="S61" i="10"/>
  <c r="S61" i="9"/>
  <c r="T61" i="7"/>
  <c r="L61" i="10"/>
  <c r="L61" i="9"/>
  <c r="M61" i="7"/>
  <c r="O61" i="10"/>
  <c r="O61" i="9"/>
  <c r="P61" i="7"/>
  <c r="AE59" i="10"/>
  <c r="AE59" i="9"/>
  <c r="AO59" i="7"/>
  <c r="AF59" i="10"/>
  <c r="AF59" i="9"/>
  <c r="AP59" i="7"/>
  <c r="K60" i="12"/>
  <c r="H60" i="12"/>
  <c r="J60" i="12" s="1"/>
  <c r="W63" i="10"/>
  <c r="W63" i="9"/>
  <c r="X63" i="7"/>
  <c r="D61" i="10"/>
  <c r="D61" i="9"/>
  <c r="E61" i="7"/>
  <c r="M61" i="10"/>
  <c r="M61" i="9"/>
  <c r="N61" i="7"/>
  <c r="F61" i="10"/>
  <c r="F61" i="9"/>
  <c r="G61" i="7"/>
  <c r="Q61" i="10"/>
  <c r="Q61" i="9"/>
  <c r="R61" i="7"/>
  <c r="C54" i="10"/>
  <c r="D54" i="7"/>
  <c r="AR52" i="7"/>
  <c r="AH59" i="7"/>
  <c r="K61" i="10"/>
  <c r="K61" i="9"/>
  <c r="L61" i="7"/>
  <c r="T61" i="10"/>
  <c r="T61" i="9"/>
  <c r="U61" i="7"/>
  <c r="H61" i="10"/>
  <c r="H61" i="9"/>
  <c r="I61" i="7"/>
  <c r="P61" i="10"/>
  <c r="P61" i="9"/>
  <c r="Q61" i="7"/>
  <c r="AG55" i="7"/>
  <c r="AG54" i="7"/>
  <c r="AD58" i="10"/>
  <c r="AD58" i="9"/>
  <c r="AN58" i="7"/>
  <c r="AH52" i="9"/>
  <c r="AI59" i="7"/>
  <c r="AI58" i="7"/>
  <c r="E61" i="10"/>
  <c r="E61" i="9"/>
  <c r="F61" i="7"/>
  <c r="N61" i="10"/>
  <c r="N61" i="9"/>
  <c r="O61" i="7"/>
  <c r="R61" i="10"/>
  <c r="R61" i="9"/>
  <c r="S61" i="7"/>
  <c r="D61" i="12"/>
  <c r="G61" i="12"/>
  <c r="Q61" i="14" s="1"/>
  <c r="S61" i="14" s="1"/>
  <c r="AC58" i="10"/>
  <c r="AC58" i="9"/>
  <c r="AM58" i="7"/>
  <c r="AG53" i="10"/>
  <c r="AG53" i="9"/>
  <c r="AQ53" i="7"/>
  <c r="AH52" i="10"/>
  <c r="Y63" i="10"/>
  <c r="Y63" i="9"/>
  <c r="Z63" i="7"/>
  <c r="AJ59" i="7"/>
  <c r="U61" i="10"/>
  <c r="U61" i="9"/>
  <c r="V61" i="7"/>
  <c r="I61" i="10"/>
  <c r="I61" i="9"/>
  <c r="J61" i="7"/>
  <c r="G61" i="10"/>
  <c r="G61" i="9"/>
  <c r="H61" i="7"/>
  <c r="L70" i="13"/>
  <c r="M71" i="13"/>
  <c r="I71" i="13"/>
  <c r="L71" i="13" s="1"/>
  <c r="E72" i="13"/>
  <c r="H72" i="13"/>
  <c r="G79" i="13"/>
  <c r="B79" i="13"/>
  <c r="C79" i="12"/>
  <c r="F75" i="12"/>
  <c r="AZ54" i="2"/>
  <c r="BA54" i="2"/>
  <c r="AE56" i="7"/>
  <c r="AD56" i="7"/>
  <c r="C54" i="3"/>
  <c r="B53" i="3"/>
  <c r="F52" i="3"/>
  <c r="E53" i="3"/>
  <c r="J60" i="3"/>
  <c r="G49" i="1"/>
  <c r="D52" i="1"/>
  <c r="J77" i="11" l="1"/>
  <c r="L77" i="11"/>
  <c r="W64" i="7"/>
  <c r="V64" i="9"/>
  <c r="AG79" i="17"/>
  <c r="AG79" i="16"/>
  <c r="AQ79" i="15"/>
  <c r="G79" i="16"/>
  <c r="G79" i="17"/>
  <c r="I80" i="2"/>
  <c r="H79" i="15"/>
  <c r="B80" i="17"/>
  <c r="B80" i="16"/>
  <c r="B80" i="11"/>
  <c r="C80" i="15"/>
  <c r="AG80" i="2"/>
  <c r="AF80" i="15" s="1"/>
  <c r="AH80" i="2"/>
  <c r="AG80" i="15" s="1"/>
  <c r="AL80" i="2"/>
  <c r="AR80" i="2"/>
  <c r="AJ80" i="2"/>
  <c r="AI80" i="15" s="1"/>
  <c r="AK80" i="2"/>
  <c r="AJ80" i="15" s="1"/>
  <c r="AD80" i="2"/>
  <c r="AC80" i="15" s="1"/>
  <c r="AE80" i="2"/>
  <c r="AD80" i="15" s="1"/>
  <c r="AC80" i="2"/>
  <c r="AB80" i="15" s="1"/>
  <c r="AI80" i="2"/>
  <c r="AH80" i="15" s="1"/>
  <c r="AF80" i="2"/>
  <c r="AE80" i="15" s="1"/>
  <c r="AA79" i="17"/>
  <c r="AA79" i="16"/>
  <c r="AK79" i="15"/>
  <c r="Z79" i="14"/>
  <c r="AB79" i="14" s="1"/>
  <c r="D79" i="11"/>
  <c r="G79" i="11"/>
  <c r="W78" i="14"/>
  <c r="Y78" i="14" s="1"/>
  <c r="H78" i="11"/>
  <c r="J78" i="11" s="1"/>
  <c r="J81" i="4"/>
  <c r="M80" i="2"/>
  <c r="AA65" i="2"/>
  <c r="Y66" i="4"/>
  <c r="Z65" i="2"/>
  <c r="X66" i="4"/>
  <c r="O79" i="17"/>
  <c r="O79" i="16"/>
  <c r="P79" i="15"/>
  <c r="N66" i="4"/>
  <c r="P65" i="2"/>
  <c r="J79" i="17"/>
  <c r="J79" i="16"/>
  <c r="K79" i="15"/>
  <c r="K81" i="4"/>
  <c r="N80" i="2"/>
  <c r="Y64" i="17"/>
  <c r="Y64" i="16"/>
  <c r="Z64" i="15"/>
  <c r="T64" i="17"/>
  <c r="T64" i="16"/>
  <c r="U64" i="15"/>
  <c r="X64" i="17"/>
  <c r="X64" i="16"/>
  <c r="Y64" i="15"/>
  <c r="O81" i="4"/>
  <c r="Q80" i="2"/>
  <c r="Q64" i="17"/>
  <c r="Q64" i="16"/>
  <c r="R64" i="15"/>
  <c r="AT64" i="2"/>
  <c r="F79" i="17"/>
  <c r="F79" i="16"/>
  <c r="G79" i="15"/>
  <c r="H63" i="14"/>
  <c r="J63" i="14" s="1"/>
  <c r="B63" i="14"/>
  <c r="D63" i="14" s="1"/>
  <c r="I81" i="4"/>
  <c r="L80" i="2"/>
  <c r="Y65" i="2"/>
  <c r="W66" i="4"/>
  <c r="AB65" i="2"/>
  <c r="Z66" i="4"/>
  <c r="T66" i="4"/>
  <c r="V65" i="2"/>
  <c r="C54" i="16"/>
  <c r="C54" i="17"/>
  <c r="D54" i="15"/>
  <c r="D81" i="4"/>
  <c r="G80" i="2"/>
  <c r="N64" i="17"/>
  <c r="N64" i="16"/>
  <c r="O64" i="15"/>
  <c r="L79" i="16"/>
  <c r="L79" i="17"/>
  <c r="M79" i="15"/>
  <c r="H81" i="4"/>
  <c r="K80" i="2"/>
  <c r="E81" i="4"/>
  <c r="H80" i="2"/>
  <c r="D79" i="16"/>
  <c r="D79" i="17"/>
  <c r="E79" i="15"/>
  <c r="X64" i="15"/>
  <c r="W64" i="16"/>
  <c r="W64" i="17"/>
  <c r="S64" i="17"/>
  <c r="S64" i="16"/>
  <c r="T64" i="15"/>
  <c r="X65" i="2"/>
  <c r="V65" i="9" s="1"/>
  <c r="V66" i="4"/>
  <c r="G81" i="4"/>
  <c r="J80" i="2"/>
  <c r="C81" i="4"/>
  <c r="F80" i="2"/>
  <c r="R64" i="17"/>
  <c r="R64" i="16"/>
  <c r="S64" i="15"/>
  <c r="P64" i="17"/>
  <c r="P64" i="16"/>
  <c r="Q64" i="15"/>
  <c r="S66" i="4"/>
  <c r="U66" i="2" s="1"/>
  <c r="R66" i="4"/>
  <c r="T65" i="2"/>
  <c r="Q66" i="4"/>
  <c r="S65" i="2"/>
  <c r="H79" i="17"/>
  <c r="H79" i="16"/>
  <c r="I79" i="15"/>
  <c r="Z64" i="16"/>
  <c r="AA64" i="15"/>
  <c r="Z64" i="17"/>
  <c r="Z64" i="10"/>
  <c r="Z64" i="9"/>
  <c r="AA64" i="7"/>
  <c r="B56" i="4"/>
  <c r="E55" i="2"/>
  <c r="C55" i="9" s="1"/>
  <c r="E79" i="17"/>
  <c r="E79" i="16"/>
  <c r="F79" i="15"/>
  <c r="V64" i="16"/>
  <c r="W64" i="15"/>
  <c r="V64" i="17"/>
  <c r="U64" i="17"/>
  <c r="U64" i="16"/>
  <c r="V64" i="15"/>
  <c r="P66" i="4"/>
  <c r="R65" i="2"/>
  <c r="K79" i="17"/>
  <c r="K79" i="16"/>
  <c r="L79" i="15"/>
  <c r="M64" i="16"/>
  <c r="AH64" i="16" s="1"/>
  <c r="K64" i="14" s="1"/>
  <c r="M64" i="14" s="1"/>
  <c r="AS64" i="2"/>
  <c r="M64" i="17"/>
  <c r="AH64" i="17" s="1"/>
  <c r="N64" i="14" s="1"/>
  <c r="P64" i="14" s="1"/>
  <c r="N64" i="15"/>
  <c r="AR64" i="15" s="1"/>
  <c r="E64" i="14" s="1"/>
  <c r="G64" i="14" s="1"/>
  <c r="I79" i="16"/>
  <c r="I79" i="17"/>
  <c r="J79" i="15"/>
  <c r="U66" i="4"/>
  <c r="W65" i="2"/>
  <c r="M66" i="4"/>
  <c r="O65" i="2"/>
  <c r="D81" i="2"/>
  <c r="C81" i="2"/>
  <c r="B82" i="2"/>
  <c r="AC56" i="7"/>
  <c r="BB54" i="2"/>
  <c r="AX62" i="2"/>
  <c r="AW62" i="2"/>
  <c r="AY55" i="2"/>
  <c r="AF56" i="7"/>
  <c r="AE60" i="10"/>
  <c r="AE60" i="9"/>
  <c r="AO60" i="7"/>
  <c r="W64" i="10"/>
  <c r="W64" i="9"/>
  <c r="X64" i="7"/>
  <c r="V65" i="10"/>
  <c r="Q62" i="10"/>
  <c r="Q62" i="9"/>
  <c r="R62" i="7"/>
  <c r="U62" i="10"/>
  <c r="U62" i="9"/>
  <c r="V62" i="7"/>
  <c r="H62" i="10"/>
  <c r="H62" i="9"/>
  <c r="I62" i="7"/>
  <c r="AF60" i="10"/>
  <c r="AF60" i="9"/>
  <c r="AP60" i="7"/>
  <c r="AB55" i="10"/>
  <c r="AB55" i="9"/>
  <c r="AL55" i="7"/>
  <c r="AB60" i="7"/>
  <c r="K62" i="10"/>
  <c r="K62" i="9"/>
  <c r="L62" i="7"/>
  <c r="O62" i="10"/>
  <c r="O62" i="9"/>
  <c r="P62" i="7"/>
  <c r="S62" i="10"/>
  <c r="S62" i="9"/>
  <c r="T62" i="7"/>
  <c r="AA54" i="10"/>
  <c r="AA54" i="9"/>
  <c r="AK54" i="7"/>
  <c r="X64" i="10"/>
  <c r="X64" i="9"/>
  <c r="Y64" i="7"/>
  <c r="AR53" i="7"/>
  <c r="G62" i="10"/>
  <c r="G62" i="9"/>
  <c r="H62" i="7"/>
  <c r="E62" i="10"/>
  <c r="E62" i="9"/>
  <c r="F62" i="7"/>
  <c r="I62" i="10"/>
  <c r="I62" i="9"/>
  <c r="J62" i="7"/>
  <c r="M62" i="10"/>
  <c r="M62" i="9"/>
  <c r="N62" i="7"/>
  <c r="AD59" i="10"/>
  <c r="AD59" i="9"/>
  <c r="AN59" i="7"/>
  <c r="K61" i="12"/>
  <c r="H61" i="12"/>
  <c r="J61" i="12" s="1"/>
  <c r="AH60" i="7"/>
  <c r="AH53" i="9"/>
  <c r="R62" i="10"/>
  <c r="R62" i="9"/>
  <c r="S62" i="7"/>
  <c r="P62" i="10"/>
  <c r="P62" i="9"/>
  <c r="Q62" i="7"/>
  <c r="AG54" i="10"/>
  <c r="AG54" i="9"/>
  <c r="AQ54" i="7"/>
  <c r="AJ60" i="7"/>
  <c r="Y64" i="10"/>
  <c r="Y64" i="9"/>
  <c r="Z64" i="7"/>
  <c r="AH53" i="10"/>
  <c r="L62" i="10"/>
  <c r="L62" i="9"/>
  <c r="M62" i="7"/>
  <c r="J62" i="10"/>
  <c r="J62" i="9"/>
  <c r="K62" i="7"/>
  <c r="T62" i="10"/>
  <c r="T62" i="9"/>
  <c r="U62" i="7"/>
  <c r="AC59" i="10"/>
  <c r="AC59" i="9"/>
  <c r="AM59" i="7"/>
  <c r="B63" i="12"/>
  <c r="T63" i="14" s="1"/>
  <c r="V63" i="14" s="1"/>
  <c r="B63" i="10"/>
  <c r="B63" i="9"/>
  <c r="C63" i="7"/>
  <c r="F62" i="10"/>
  <c r="F62" i="9"/>
  <c r="G62" i="7"/>
  <c r="D62" i="10"/>
  <c r="D62" i="9"/>
  <c r="E62" i="7"/>
  <c r="N62" i="10"/>
  <c r="N62" i="9"/>
  <c r="O62" i="7"/>
  <c r="D62" i="12"/>
  <c r="L62" i="12" s="1"/>
  <c r="G62" i="12"/>
  <c r="Q62" i="14" s="1"/>
  <c r="S62" i="14" s="1"/>
  <c r="K71" i="13"/>
  <c r="E73" i="13"/>
  <c r="H73" i="13"/>
  <c r="I72" i="13"/>
  <c r="L72" i="13" s="1"/>
  <c r="M72" i="13"/>
  <c r="P72" i="13"/>
  <c r="Q72" i="13"/>
  <c r="N72" i="13"/>
  <c r="O72" i="13"/>
  <c r="G80" i="13"/>
  <c r="B80" i="13"/>
  <c r="F76" i="12"/>
  <c r="C80" i="12"/>
  <c r="AZ55" i="2"/>
  <c r="BA55" i="2"/>
  <c r="AE57" i="7"/>
  <c r="AD57" i="7"/>
  <c r="AY56" i="2"/>
  <c r="C55" i="3"/>
  <c r="B54" i="3"/>
  <c r="J61" i="3"/>
  <c r="F53" i="3"/>
  <c r="E54" i="3"/>
  <c r="G50" i="1"/>
  <c r="D53" i="1"/>
  <c r="C55" i="10" l="1"/>
  <c r="W65" i="7"/>
  <c r="D55" i="7"/>
  <c r="H80" i="15"/>
  <c r="G80" i="17"/>
  <c r="G80" i="16"/>
  <c r="I81" i="2"/>
  <c r="W79" i="14"/>
  <c r="Y79" i="14" s="1"/>
  <c r="H79" i="11"/>
  <c r="J79" i="11" s="1"/>
  <c r="Z80" i="14"/>
  <c r="AB80" i="14" s="1"/>
  <c r="D80" i="11"/>
  <c r="G80" i="11"/>
  <c r="B81" i="11"/>
  <c r="B81" i="17"/>
  <c r="B81" i="16"/>
  <c r="C81" i="15"/>
  <c r="AG81" i="2"/>
  <c r="AF81" i="15" s="1"/>
  <c r="AH81" i="2"/>
  <c r="AG81" i="15" s="1"/>
  <c r="AR81" i="2"/>
  <c r="AI81" i="2"/>
  <c r="AH81" i="15" s="1"/>
  <c r="AJ81" i="2"/>
  <c r="AI81" i="15" s="1"/>
  <c r="AL81" i="2"/>
  <c r="AK81" i="2"/>
  <c r="AJ81" i="15" s="1"/>
  <c r="AE81" i="2"/>
  <c r="AD81" i="15" s="1"/>
  <c r="AC81" i="2"/>
  <c r="AB81" i="15" s="1"/>
  <c r="AF81" i="2"/>
  <c r="AE81" i="15" s="1"/>
  <c r="AD81" i="2"/>
  <c r="AC81" i="15" s="1"/>
  <c r="AG80" i="16"/>
  <c r="AG80" i="17"/>
  <c r="AQ80" i="15"/>
  <c r="AA80" i="16"/>
  <c r="AK80" i="15"/>
  <c r="AA80" i="17"/>
  <c r="G82" i="4"/>
  <c r="J81" i="2"/>
  <c r="S65" i="16"/>
  <c r="S65" i="17"/>
  <c r="T65" i="15"/>
  <c r="X66" i="2"/>
  <c r="V66" i="10" s="1"/>
  <c r="V67" i="4"/>
  <c r="E82" i="4"/>
  <c r="H81" i="2"/>
  <c r="Y66" i="2"/>
  <c r="W67" i="4"/>
  <c r="N65" i="17"/>
  <c r="N65" i="16"/>
  <c r="O65" i="15"/>
  <c r="X65" i="16"/>
  <c r="X65" i="17"/>
  <c r="Y65" i="15"/>
  <c r="Z65" i="16"/>
  <c r="AA65" i="15"/>
  <c r="Z65" i="17"/>
  <c r="AA65" i="7"/>
  <c r="Z65" i="10"/>
  <c r="Z65" i="9"/>
  <c r="Z66" i="2"/>
  <c r="X67" i="4"/>
  <c r="M65" i="16"/>
  <c r="AH65" i="16" s="1"/>
  <c r="K65" i="14" s="1"/>
  <c r="M65" i="14" s="1"/>
  <c r="M65" i="17"/>
  <c r="AH65" i="17" s="1"/>
  <c r="N65" i="14" s="1"/>
  <c r="P65" i="14" s="1"/>
  <c r="AS65" i="2"/>
  <c r="N65" i="15"/>
  <c r="AR65" i="15" s="1"/>
  <c r="E65" i="14" s="1"/>
  <c r="G65" i="14" s="1"/>
  <c r="Q65" i="16"/>
  <c r="Q65" i="17"/>
  <c r="R65" i="15"/>
  <c r="AT65" i="2"/>
  <c r="S67" i="4"/>
  <c r="U67" i="2" s="1"/>
  <c r="V65" i="17"/>
  <c r="V65" i="16"/>
  <c r="W65" i="15"/>
  <c r="I80" i="16"/>
  <c r="I80" i="17"/>
  <c r="J80" i="15"/>
  <c r="W65" i="17"/>
  <c r="W65" i="16"/>
  <c r="X65" i="15"/>
  <c r="L80" i="17"/>
  <c r="L80" i="16"/>
  <c r="M80" i="15"/>
  <c r="N67" i="4"/>
  <c r="P66" i="2"/>
  <c r="AA66" i="2"/>
  <c r="Y67" i="4"/>
  <c r="R67" i="4"/>
  <c r="T66" i="2"/>
  <c r="M67" i="4"/>
  <c r="O66" i="2"/>
  <c r="C55" i="17"/>
  <c r="C55" i="16"/>
  <c r="D55" i="15"/>
  <c r="Q67" i="4"/>
  <c r="S66" i="2"/>
  <c r="D80" i="17"/>
  <c r="D80" i="16"/>
  <c r="E80" i="15"/>
  <c r="H82" i="4"/>
  <c r="K81" i="2"/>
  <c r="T65" i="17"/>
  <c r="T65" i="16"/>
  <c r="U65" i="15"/>
  <c r="J80" i="17"/>
  <c r="J80" i="16"/>
  <c r="K80" i="15"/>
  <c r="O80" i="17"/>
  <c r="O80" i="16"/>
  <c r="P80" i="15"/>
  <c r="K82" i="4"/>
  <c r="N81" i="2"/>
  <c r="Y65" i="16"/>
  <c r="Z65" i="15"/>
  <c r="Y65" i="17"/>
  <c r="U65" i="17"/>
  <c r="U65" i="16"/>
  <c r="V65" i="15"/>
  <c r="P65" i="17"/>
  <c r="P65" i="16"/>
  <c r="Q65" i="15"/>
  <c r="B57" i="4"/>
  <c r="E56" i="2"/>
  <c r="C56" i="10" s="1"/>
  <c r="R65" i="17"/>
  <c r="R65" i="16"/>
  <c r="S65" i="15"/>
  <c r="C82" i="4"/>
  <c r="F81" i="2"/>
  <c r="E80" i="17"/>
  <c r="E80" i="16"/>
  <c r="F80" i="15"/>
  <c r="T67" i="4"/>
  <c r="V66" i="2"/>
  <c r="I82" i="4"/>
  <c r="L81" i="2"/>
  <c r="O82" i="4"/>
  <c r="Q81" i="2"/>
  <c r="K80" i="17"/>
  <c r="K80" i="16"/>
  <c r="L80" i="15"/>
  <c r="F80" i="17"/>
  <c r="F80" i="16"/>
  <c r="G80" i="15"/>
  <c r="U67" i="4"/>
  <c r="W66" i="2"/>
  <c r="B64" i="14"/>
  <c r="D64" i="14" s="1"/>
  <c r="H64" i="14"/>
  <c r="J64" i="14" s="1"/>
  <c r="P67" i="4"/>
  <c r="R66" i="2"/>
  <c r="H80" i="17"/>
  <c r="H80" i="16"/>
  <c r="I80" i="15"/>
  <c r="D82" i="4"/>
  <c r="G81" i="2"/>
  <c r="AB66" i="2"/>
  <c r="Z67" i="4"/>
  <c r="J82" i="4"/>
  <c r="M81" i="2"/>
  <c r="C82" i="2"/>
  <c r="D82" i="2"/>
  <c r="B83" i="2"/>
  <c r="AC57" i="7"/>
  <c r="BB55" i="2"/>
  <c r="AX63" i="2"/>
  <c r="AW63" i="2"/>
  <c r="AF57" i="7"/>
  <c r="AH54" i="9"/>
  <c r="AC60" i="10"/>
  <c r="AC60" i="9"/>
  <c r="AM60" i="7"/>
  <c r="G63" i="10"/>
  <c r="G63" i="9"/>
  <c r="H63" i="7"/>
  <c r="K63" i="10"/>
  <c r="K63" i="9"/>
  <c r="L63" i="7"/>
  <c r="AI61" i="7"/>
  <c r="AI60" i="7"/>
  <c r="AH54" i="10"/>
  <c r="R63" i="10"/>
  <c r="R63" i="9"/>
  <c r="S63" i="7"/>
  <c r="AB61" i="7"/>
  <c r="U63" i="10"/>
  <c r="U63" i="9"/>
  <c r="V63" i="7"/>
  <c r="S63" i="10"/>
  <c r="S63" i="9"/>
  <c r="T63" i="7"/>
  <c r="E63" i="10"/>
  <c r="E63" i="9"/>
  <c r="F63" i="7"/>
  <c r="AJ61" i="7"/>
  <c r="X65" i="10"/>
  <c r="X65" i="9"/>
  <c r="Y65" i="7"/>
  <c r="I63" i="10"/>
  <c r="I63" i="9"/>
  <c r="J63" i="7"/>
  <c r="AF61" i="10"/>
  <c r="AF61" i="9"/>
  <c r="AP61" i="7"/>
  <c r="AA55" i="10"/>
  <c r="AA55" i="9"/>
  <c r="AK55" i="7"/>
  <c r="O63" i="10"/>
  <c r="O63" i="9"/>
  <c r="P63" i="7"/>
  <c r="M63" i="10"/>
  <c r="M63" i="9"/>
  <c r="N63" i="7"/>
  <c r="Q63" i="10"/>
  <c r="Q63" i="9"/>
  <c r="R63" i="7"/>
  <c r="D63" i="12"/>
  <c r="G63" i="12"/>
  <c r="Q63" i="14" s="1"/>
  <c r="S63" i="14" s="1"/>
  <c r="Y65" i="10"/>
  <c r="Y65" i="9"/>
  <c r="Z65" i="7"/>
  <c r="P63" i="10"/>
  <c r="P63" i="9"/>
  <c r="Q63" i="7"/>
  <c r="AD60" i="10"/>
  <c r="AD60" i="9"/>
  <c r="AN60" i="7"/>
  <c r="AB56" i="10"/>
  <c r="AB56" i="9"/>
  <c r="AL56" i="7"/>
  <c r="K62" i="12"/>
  <c r="H62" i="12"/>
  <c r="J62" i="12" s="1"/>
  <c r="H63" i="10"/>
  <c r="H63" i="9"/>
  <c r="I63" i="7"/>
  <c r="L63" i="10"/>
  <c r="L63" i="9"/>
  <c r="M63" i="7"/>
  <c r="J63" i="10"/>
  <c r="J63" i="9"/>
  <c r="K63" i="7"/>
  <c r="W65" i="10"/>
  <c r="W65" i="9"/>
  <c r="X65" i="7"/>
  <c r="N63" i="10"/>
  <c r="N63" i="9"/>
  <c r="O63" i="7"/>
  <c r="AG55" i="10"/>
  <c r="AG55" i="9"/>
  <c r="AQ55" i="7"/>
  <c r="AG57" i="7"/>
  <c r="AG56" i="7"/>
  <c r="AE61" i="10"/>
  <c r="AE61" i="9"/>
  <c r="AO61" i="7"/>
  <c r="O62" i="12"/>
  <c r="N62" i="12"/>
  <c r="M62" i="12"/>
  <c r="B64" i="12"/>
  <c r="T64" i="14" s="1"/>
  <c r="V64" i="14" s="1"/>
  <c r="B64" i="10"/>
  <c r="B64" i="9"/>
  <c r="C64" i="7"/>
  <c r="T63" i="10"/>
  <c r="T63" i="9"/>
  <c r="U63" i="7"/>
  <c r="F63" i="10"/>
  <c r="F63" i="9"/>
  <c r="G63" i="7"/>
  <c r="D63" i="10"/>
  <c r="D63" i="9"/>
  <c r="E63" i="7"/>
  <c r="AH61" i="7"/>
  <c r="AR54" i="7"/>
  <c r="K72" i="13"/>
  <c r="I73" i="13"/>
  <c r="L73" i="13" s="1"/>
  <c r="M73" i="13"/>
  <c r="H74" i="13"/>
  <c r="E74" i="13"/>
  <c r="B81" i="13"/>
  <c r="G81" i="13"/>
  <c r="C81" i="12"/>
  <c r="F77" i="12"/>
  <c r="AZ56" i="2"/>
  <c r="BA56" i="2"/>
  <c r="AE58" i="7"/>
  <c r="AD58" i="7"/>
  <c r="C56" i="3"/>
  <c r="B55" i="3"/>
  <c r="F54" i="3"/>
  <c r="E55" i="3"/>
  <c r="J62" i="3"/>
  <c r="G51" i="1"/>
  <c r="D54" i="1"/>
  <c r="D83" i="2" l="1"/>
  <c r="C56" i="9"/>
  <c r="D56" i="7"/>
  <c r="V66" i="9"/>
  <c r="W66" i="7"/>
  <c r="B83" i="11"/>
  <c r="B83" i="17"/>
  <c r="B83" i="16"/>
  <c r="C83" i="15"/>
  <c r="AG83" i="2"/>
  <c r="AF83" i="15" s="1"/>
  <c r="AH83" i="2"/>
  <c r="AG83" i="15" s="1"/>
  <c r="AK83" i="2"/>
  <c r="AJ83" i="15" s="1"/>
  <c r="AL83" i="2"/>
  <c r="AI83" i="2"/>
  <c r="AH83" i="15" s="1"/>
  <c r="AJ83" i="2"/>
  <c r="AI83" i="15" s="1"/>
  <c r="AF83" i="2"/>
  <c r="AE83" i="15" s="1"/>
  <c r="AC83" i="2"/>
  <c r="AB83" i="15" s="1"/>
  <c r="AE83" i="2"/>
  <c r="AD83" i="15" s="1"/>
  <c r="AD83" i="2"/>
  <c r="AC83" i="15" s="1"/>
  <c r="AR83" i="2"/>
  <c r="B82" i="17"/>
  <c r="B82" i="16"/>
  <c r="B82" i="11"/>
  <c r="AG82" i="2"/>
  <c r="AF82" i="15" s="1"/>
  <c r="C82" i="15"/>
  <c r="AH82" i="2"/>
  <c r="AG82" i="15" s="1"/>
  <c r="AL82" i="2"/>
  <c r="AF82" i="2"/>
  <c r="AE82" i="15" s="1"/>
  <c r="AJ82" i="2"/>
  <c r="AI82" i="15" s="1"/>
  <c r="AI82" i="2"/>
  <c r="AH82" i="15" s="1"/>
  <c r="AR82" i="2"/>
  <c r="AC82" i="2"/>
  <c r="AB82" i="15" s="1"/>
  <c r="AK82" i="2"/>
  <c r="AJ82" i="15" s="1"/>
  <c r="AE82" i="2"/>
  <c r="AD82" i="15" s="1"/>
  <c r="AD82" i="2"/>
  <c r="AC82" i="15" s="1"/>
  <c r="I82" i="2"/>
  <c r="AG81" i="16"/>
  <c r="AQ81" i="15"/>
  <c r="AG81" i="17"/>
  <c r="Z81" i="14"/>
  <c r="AB81" i="14" s="1"/>
  <c r="D81" i="11"/>
  <c r="G81" i="11"/>
  <c r="G81" i="16"/>
  <c r="H81" i="15"/>
  <c r="G81" i="17"/>
  <c r="W80" i="14"/>
  <c r="Y80" i="14" s="1"/>
  <c r="H80" i="11"/>
  <c r="J80" i="11" s="1"/>
  <c r="AA81" i="17"/>
  <c r="AA81" i="16"/>
  <c r="AK81" i="15"/>
  <c r="E81" i="16"/>
  <c r="E81" i="17"/>
  <c r="F81" i="15"/>
  <c r="P68" i="4"/>
  <c r="R67" i="2"/>
  <c r="O81" i="17"/>
  <c r="O81" i="16"/>
  <c r="P81" i="15"/>
  <c r="I81" i="16"/>
  <c r="I81" i="17"/>
  <c r="J81" i="15"/>
  <c r="Q68" i="4"/>
  <c r="S67" i="2"/>
  <c r="R66" i="17"/>
  <c r="R66" i="16"/>
  <c r="S66" i="15"/>
  <c r="N68" i="4"/>
  <c r="P67" i="2"/>
  <c r="X66" i="17"/>
  <c r="X66" i="16"/>
  <c r="Y66" i="15"/>
  <c r="V66" i="17"/>
  <c r="V66" i="16"/>
  <c r="W66" i="15"/>
  <c r="D83" i="4"/>
  <c r="G82" i="2"/>
  <c r="O83" i="4"/>
  <c r="Q82" i="2"/>
  <c r="L81" i="16"/>
  <c r="L81" i="17"/>
  <c r="M81" i="15"/>
  <c r="H83" i="4"/>
  <c r="K82" i="2"/>
  <c r="S66" i="17"/>
  <c r="S66" i="16"/>
  <c r="T66" i="15"/>
  <c r="Y67" i="2"/>
  <c r="W68" i="4"/>
  <c r="K81" i="17"/>
  <c r="K81" i="16"/>
  <c r="L81" i="15"/>
  <c r="J81" i="16"/>
  <c r="J81" i="17"/>
  <c r="K81" i="15"/>
  <c r="C56" i="16"/>
  <c r="C56" i="17"/>
  <c r="D56" i="15"/>
  <c r="K83" i="4"/>
  <c r="N82" i="2"/>
  <c r="R68" i="4"/>
  <c r="T67" i="2"/>
  <c r="S68" i="4"/>
  <c r="U68" i="2" s="1"/>
  <c r="H65" i="14"/>
  <c r="J65" i="14" s="1"/>
  <c r="B65" i="14"/>
  <c r="D65" i="14" s="1"/>
  <c r="W66" i="17"/>
  <c r="X66" i="15"/>
  <c r="W66" i="16"/>
  <c r="J83" i="4"/>
  <c r="M82" i="2"/>
  <c r="U66" i="17"/>
  <c r="U66" i="16"/>
  <c r="V66" i="15"/>
  <c r="I83" i="4"/>
  <c r="L82" i="2"/>
  <c r="D81" i="17"/>
  <c r="D81" i="16"/>
  <c r="E81" i="15"/>
  <c r="B58" i="4"/>
  <c r="E57" i="2"/>
  <c r="C57" i="9" s="1"/>
  <c r="AA67" i="2"/>
  <c r="Y68" i="4"/>
  <c r="F81" i="17"/>
  <c r="F81" i="16"/>
  <c r="G81" i="15"/>
  <c r="AB67" i="2"/>
  <c r="Z68" i="4"/>
  <c r="U68" i="4"/>
  <c r="W67" i="2"/>
  <c r="T66" i="17"/>
  <c r="T66" i="16"/>
  <c r="U66" i="15"/>
  <c r="C83" i="4"/>
  <c r="F82" i="2"/>
  <c r="AS66" i="2"/>
  <c r="M66" i="17"/>
  <c r="AH66" i="17" s="1"/>
  <c r="N66" i="14" s="1"/>
  <c r="P66" i="14" s="1"/>
  <c r="M66" i="16"/>
  <c r="AH66" i="16" s="1"/>
  <c r="K66" i="14" s="1"/>
  <c r="M66" i="14" s="1"/>
  <c r="N66" i="15"/>
  <c r="AR66" i="15" s="1"/>
  <c r="E66" i="14" s="1"/>
  <c r="G66" i="14" s="1"/>
  <c r="Z66" i="15"/>
  <c r="Y66" i="17"/>
  <c r="Y66" i="16"/>
  <c r="E83" i="4"/>
  <c r="H82" i="2"/>
  <c r="H81" i="17"/>
  <c r="H81" i="16"/>
  <c r="I81" i="15"/>
  <c r="Z66" i="17"/>
  <c r="Z66" i="16"/>
  <c r="AA66" i="15"/>
  <c r="Z66" i="10"/>
  <c r="Z66" i="9"/>
  <c r="AA66" i="7"/>
  <c r="P66" i="16"/>
  <c r="P66" i="17"/>
  <c r="Q66" i="15"/>
  <c r="T68" i="4"/>
  <c r="V67" i="2"/>
  <c r="Q66" i="16"/>
  <c r="Q66" i="17"/>
  <c r="R66" i="15"/>
  <c r="AT66" i="2"/>
  <c r="M68" i="4"/>
  <c r="O67" i="2"/>
  <c r="N66" i="17"/>
  <c r="N66" i="16"/>
  <c r="O66" i="15"/>
  <c r="Z67" i="2"/>
  <c r="X68" i="4"/>
  <c r="X67" i="2"/>
  <c r="W67" i="7" s="1"/>
  <c r="V68" i="4"/>
  <c r="G83" i="4"/>
  <c r="J82" i="2"/>
  <c r="B84" i="2"/>
  <c r="D84" i="2" s="1"/>
  <c r="C83" i="2"/>
  <c r="AC58" i="7"/>
  <c r="BB56" i="2"/>
  <c r="AW64" i="2"/>
  <c r="AF58" i="7"/>
  <c r="AX64" i="2"/>
  <c r="AY57" i="2"/>
  <c r="AA56" i="10"/>
  <c r="AA56" i="9"/>
  <c r="AK56" i="7"/>
  <c r="AC61" i="10"/>
  <c r="AC61" i="9"/>
  <c r="AM61" i="7"/>
  <c r="AF62" i="10"/>
  <c r="AF62" i="9"/>
  <c r="AP62" i="7"/>
  <c r="J64" i="10"/>
  <c r="J64" i="9"/>
  <c r="K64" i="7"/>
  <c r="H64" i="10"/>
  <c r="H64" i="9"/>
  <c r="I64" i="7"/>
  <c r="L64" i="10"/>
  <c r="L64" i="9"/>
  <c r="M64" i="7"/>
  <c r="D64" i="12"/>
  <c r="G64" i="12"/>
  <c r="Q64" i="14" s="1"/>
  <c r="S64" i="14" s="1"/>
  <c r="W66" i="10"/>
  <c r="W66" i="9"/>
  <c r="X66" i="7"/>
  <c r="N64" i="10"/>
  <c r="N64" i="9"/>
  <c r="O64" i="7"/>
  <c r="B65" i="12"/>
  <c r="T65" i="14" s="1"/>
  <c r="V65" i="14" s="1"/>
  <c r="B65" i="10"/>
  <c r="B65" i="9"/>
  <c r="C65" i="7"/>
  <c r="D64" i="10"/>
  <c r="D64" i="9"/>
  <c r="E64" i="7"/>
  <c r="U64" i="10"/>
  <c r="U64" i="9"/>
  <c r="V64" i="7"/>
  <c r="F64" i="10"/>
  <c r="F64" i="9"/>
  <c r="G64" i="7"/>
  <c r="K63" i="12"/>
  <c r="H63" i="12"/>
  <c r="J63" i="12" s="1"/>
  <c r="AE62" i="10"/>
  <c r="AE62" i="9"/>
  <c r="AO62" i="7"/>
  <c r="R64" i="10"/>
  <c r="R64" i="9"/>
  <c r="S64" i="7"/>
  <c r="AG56" i="10"/>
  <c r="AG56" i="9"/>
  <c r="AQ56" i="7"/>
  <c r="Q64" i="10"/>
  <c r="Q64" i="9"/>
  <c r="R64" i="7"/>
  <c r="O64" i="10"/>
  <c r="O64" i="9"/>
  <c r="P64" i="7"/>
  <c r="S64" i="10"/>
  <c r="S64" i="9"/>
  <c r="T64" i="7"/>
  <c r="X66" i="10"/>
  <c r="X66" i="9"/>
  <c r="Y66" i="7"/>
  <c r="AR55" i="7"/>
  <c r="AD61" i="10"/>
  <c r="AD61" i="9"/>
  <c r="AN61" i="7"/>
  <c r="K64" i="10"/>
  <c r="K64" i="9"/>
  <c r="L64" i="7"/>
  <c r="I64" i="10"/>
  <c r="I64" i="9"/>
  <c r="J64" i="7"/>
  <c r="G64" i="10"/>
  <c r="G64" i="9"/>
  <c r="H64" i="7"/>
  <c r="M64" i="10"/>
  <c r="M64" i="9"/>
  <c r="N64" i="7"/>
  <c r="Y66" i="10"/>
  <c r="Y66" i="9"/>
  <c r="Z66" i="7"/>
  <c r="AH55" i="9"/>
  <c r="AJ62" i="7"/>
  <c r="AB62" i="7"/>
  <c r="P64" i="10"/>
  <c r="P64" i="9"/>
  <c r="Q64" i="7"/>
  <c r="AB57" i="10"/>
  <c r="AB57" i="9"/>
  <c r="AL57" i="7"/>
  <c r="AH62" i="7"/>
  <c r="E64" i="10"/>
  <c r="E64" i="9"/>
  <c r="F64" i="7"/>
  <c r="T64" i="10"/>
  <c r="T64" i="9"/>
  <c r="U64" i="7"/>
  <c r="AH55" i="10"/>
  <c r="K73" i="13"/>
  <c r="M74" i="13"/>
  <c r="I74" i="13"/>
  <c r="L74" i="13" s="1"/>
  <c r="H75" i="13"/>
  <c r="E75" i="13"/>
  <c r="B82" i="13"/>
  <c r="G82" i="13"/>
  <c r="F78" i="12"/>
  <c r="C82" i="12"/>
  <c r="AZ57" i="2"/>
  <c r="BA57" i="2"/>
  <c r="AE59" i="7"/>
  <c r="AD59" i="7"/>
  <c r="AY58" i="2"/>
  <c r="C57" i="3"/>
  <c r="B56" i="3"/>
  <c r="J63" i="3"/>
  <c r="F55" i="3"/>
  <c r="E56" i="3"/>
  <c r="G52" i="1"/>
  <c r="D55" i="1"/>
  <c r="V67" i="10" l="1"/>
  <c r="C57" i="10"/>
  <c r="D57" i="7"/>
  <c r="B84" i="17"/>
  <c r="B84" i="16"/>
  <c r="B84" i="11"/>
  <c r="C84" i="15"/>
  <c r="AG84" i="2"/>
  <c r="AF84" i="15" s="1"/>
  <c r="AH84" i="2"/>
  <c r="AG84" i="15" s="1"/>
  <c r="AD84" i="2"/>
  <c r="AC84" i="15" s="1"/>
  <c r="AF84" i="2"/>
  <c r="AE84" i="15" s="1"/>
  <c r="AL84" i="2"/>
  <c r="AJ84" i="2"/>
  <c r="AI84" i="15" s="1"/>
  <c r="AK84" i="2"/>
  <c r="AJ84" i="15" s="1"/>
  <c r="AR84" i="2"/>
  <c r="AE84" i="2"/>
  <c r="AD84" i="15" s="1"/>
  <c r="AC84" i="2"/>
  <c r="AB84" i="15" s="1"/>
  <c r="AI84" i="2"/>
  <c r="AH84" i="15" s="1"/>
  <c r="Z82" i="14"/>
  <c r="AB82" i="14" s="1"/>
  <c r="D82" i="11"/>
  <c r="G82" i="11"/>
  <c r="AA82" i="16"/>
  <c r="AA82" i="17"/>
  <c r="AK82" i="15"/>
  <c r="AG83" i="17"/>
  <c r="AG83" i="16"/>
  <c r="AQ83" i="15"/>
  <c r="AG82" i="16"/>
  <c r="AQ82" i="15"/>
  <c r="AG82" i="17"/>
  <c r="AA83" i="16"/>
  <c r="AK83" i="15"/>
  <c r="AA83" i="17"/>
  <c r="W81" i="14"/>
  <c r="Y81" i="14" s="1"/>
  <c r="H81" i="11"/>
  <c r="J81" i="11" s="1"/>
  <c r="G82" i="17"/>
  <c r="H82" i="15"/>
  <c r="I83" i="2"/>
  <c r="G82" i="16"/>
  <c r="Z83" i="14"/>
  <c r="AB83" i="14" s="1"/>
  <c r="D83" i="11"/>
  <c r="G83" i="11"/>
  <c r="M67" i="17"/>
  <c r="AH67" i="17" s="1"/>
  <c r="N67" i="14" s="1"/>
  <c r="P67" i="14" s="1"/>
  <c r="AS67" i="2"/>
  <c r="M67" i="16"/>
  <c r="AH67" i="16" s="1"/>
  <c r="K67" i="14" s="1"/>
  <c r="M67" i="14" s="1"/>
  <c r="N67" i="15"/>
  <c r="AR67" i="15" s="1"/>
  <c r="E67" i="14" s="1"/>
  <c r="G67" i="14" s="1"/>
  <c r="AB68" i="2"/>
  <c r="Z69" i="4"/>
  <c r="K82" i="17"/>
  <c r="K82" i="16"/>
  <c r="L82" i="15"/>
  <c r="D84" i="4"/>
  <c r="G83" i="2"/>
  <c r="Z68" i="2"/>
  <c r="X69" i="4"/>
  <c r="M69" i="4"/>
  <c r="O68" i="2"/>
  <c r="T69" i="4"/>
  <c r="V68" i="2"/>
  <c r="Z67" i="17"/>
  <c r="AA67" i="15"/>
  <c r="Z67" i="16"/>
  <c r="Z67" i="10"/>
  <c r="Z67" i="9"/>
  <c r="AA67" i="7"/>
  <c r="Y67" i="17"/>
  <c r="Z67" i="15"/>
  <c r="Y67" i="16"/>
  <c r="J82" i="17"/>
  <c r="J82" i="16"/>
  <c r="K82" i="15"/>
  <c r="J84" i="4"/>
  <c r="M83" i="2"/>
  <c r="S67" i="16"/>
  <c r="S67" i="17"/>
  <c r="T67" i="15"/>
  <c r="K84" i="4"/>
  <c r="N83" i="2"/>
  <c r="N67" i="17"/>
  <c r="N67" i="16"/>
  <c r="O67" i="15"/>
  <c r="Q69" i="4"/>
  <c r="S68" i="2"/>
  <c r="Q67" i="17"/>
  <c r="Q67" i="16"/>
  <c r="R67" i="15"/>
  <c r="AT67" i="2"/>
  <c r="X67" i="16"/>
  <c r="X67" i="17"/>
  <c r="Y67" i="15"/>
  <c r="F82" i="17"/>
  <c r="F82" i="16"/>
  <c r="G82" i="15"/>
  <c r="C57" i="17"/>
  <c r="C57" i="16"/>
  <c r="D57" i="15"/>
  <c r="I84" i="4"/>
  <c r="L83" i="2"/>
  <c r="S69" i="4"/>
  <c r="U69" i="2" s="1"/>
  <c r="N69" i="4"/>
  <c r="P68" i="2"/>
  <c r="P67" i="17"/>
  <c r="P67" i="16"/>
  <c r="Q67" i="15"/>
  <c r="T67" i="17"/>
  <c r="T67" i="16"/>
  <c r="U67" i="15"/>
  <c r="W67" i="17"/>
  <c r="W67" i="16"/>
  <c r="X67" i="15"/>
  <c r="H82" i="17"/>
  <c r="H82" i="16"/>
  <c r="I82" i="15"/>
  <c r="E84" i="4"/>
  <c r="H83" i="2"/>
  <c r="B59" i="4"/>
  <c r="E58" i="2"/>
  <c r="D58" i="7" s="1"/>
  <c r="R67" i="17"/>
  <c r="R67" i="16"/>
  <c r="S67" i="15"/>
  <c r="O82" i="17"/>
  <c r="O82" i="16"/>
  <c r="P82" i="15"/>
  <c r="P69" i="4"/>
  <c r="R68" i="2"/>
  <c r="AA68" i="2"/>
  <c r="Y69" i="4"/>
  <c r="G84" i="4"/>
  <c r="J83" i="2"/>
  <c r="H66" i="14"/>
  <c r="J66" i="14" s="1"/>
  <c r="B66" i="14"/>
  <c r="D66" i="14" s="1"/>
  <c r="U67" i="16"/>
  <c r="U67" i="17"/>
  <c r="V67" i="15"/>
  <c r="I82" i="17"/>
  <c r="I82" i="16"/>
  <c r="J82" i="15"/>
  <c r="O84" i="4"/>
  <c r="Q83" i="2"/>
  <c r="V67" i="17"/>
  <c r="W67" i="15"/>
  <c r="V67" i="16"/>
  <c r="C84" i="4"/>
  <c r="F83" i="2"/>
  <c r="L82" i="16"/>
  <c r="L82" i="17"/>
  <c r="M82" i="15"/>
  <c r="V67" i="9"/>
  <c r="X68" i="2"/>
  <c r="W68" i="7" s="1"/>
  <c r="V69" i="4"/>
  <c r="D82" i="16"/>
  <c r="D82" i="17"/>
  <c r="E82" i="15"/>
  <c r="U69" i="4"/>
  <c r="W68" i="2"/>
  <c r="R69" i="4"/>
  <c r="T68" i="2"/>
  <c r="Y68" i="2"/>
  <c r="W69" i="4"/>
  <c r="H84" i="4"/>
  <c r="K83" i="2"/>
  <c r="E82" i="16"/>
  <c r="E82" i="17"/>
  <c r="F82" i="15"/>
  <c r="C84" i="2"/>
  <c r="B85" i="2"/>
  <c r="D85" i="2" s="1"/>
  <c r="AC59" i="7"/>
  <c r="BB57" i="2"/>
  <c r="AX65" i="2"/>
  <c r="AW65" i="2"/>
  <c r="AF59" i="7"/>
  <c r="AR56" i="7"/>
  <c r="T65" i="10"/>
  <c r="T65" i="9"/>
  <c r="U65" i="7"/>
  <c r="H65" i="10"/>
  <c r="H65" i="9"/>
  <c r="I65" i="7"/>
  <c r="AA57" i="10"/>
  <c r="AA57" i="9"/>
  <c r="AK57" i="7"/>
  <c r="G65" i="10"/>
  <c r="G65" i="9"/>
  <c r="H65" i="7"/>
  <c r="N65" i="10"/>
  <c r="N65" i="9"/>
  <c r="O65" i="7"/>
  <c r="D65" i="10"/>
  <c r="D65" i="9"/>
  <c r="E65" i="7"/>
  <c r="P65" i="10"/>
  <c r="P65" i="9"/>
  <c r="Q65" i="7"/>
  <c r="AH56" i="9"/>
  <c r="AJ63" i="7"/>
  <c r="X67" i="10"/>
  <c r="X67" i="9"/>
  <c r="Y67" i="7"/>
  <c r="B66" i="12"/>
  <c r="T66" i="14" s="1"/>
  <c r="V66" i="14" s="1"/>
  <c r="B66" i="10"/>
  <c r="B66" i="9"/>
  <c r="C66" i="7"/>
  <c r="U65" i="10"/>
  <c r="U65" i="9"/>
  <c r="V65" i="7"/>
  <c r="K65" i="10"/>
  <c r="K65" i="9"/>
  <c r="L65" i="7"/>
  <c r="R65" i="10"/>
  <c r="R65" i="9"/>
  <c r="S65" i="7"/>
  <c r="AH56" i="10"/>
  <c r="J65" i="10"/>
  <c r="J65" i="9"/>
  <c r="K65" i="7"/>
  <c r="AB58" i="10"/>
  <c r="AB58" i="9"/>
  <c r="AL58" i="7"/>
  <c r="AG59" i="7"/>
  <c r="AG58" i="7"/>
  <c r="AH63" i="7"/>
  <c r="AB63" i="7"/>
  <c r="O65" i="10"/>
  <c r="O65" i="9"/>
  <c r="P65" i="7"/>
  <c r="E65" i="10"/>
  <c r="E65" i="9"/>
  <c r="F65" i="7"/>
  <c r="I65" i="10"/>
  <c r="I65" i="9"/>
  <c r="J65" i="7"/>
  <c r="K64" i="12"/>
  <c r="H64" i="12"/>
  <c r="J64" i="12" s="1"/>
  <c r="W67" i="10"/>
  <c r="W67" i="9"/>
  <c r="X67" i="7"/>
  <c r="AF63" i="10"/>
  <c r="AF63" i="9"/>
  <c r="AP63" i="7"/>
  <c r="AD62" i="10"/>
  <c r="AD62" i="9"/>
  <c r="AN62" i="7"/>
  <c r="AE63" i="10"/>
  <c r="AE63" i="9"/>
  <c r="AO63" i="7"/>
  <c r="L65" i="10"/>
  <c r="L65" i="9"/>
  <c r="M65" i="7"/>
  <c r="S65" i="10"/>
  <c r="S65" i="9"/>
  <c r="T65" i="7"/>
  <c r="D65" i="12"/>
  <c r="G65" i="12"/>
  <c r="Q65" i="14" s="1"/>
  <c r="S65" i="14" s="1"/>
  <c r="AC62" i="10"/>
  <c r="AC62" i="9"/>
  <c r="AM62" i="7"/>
  <c r="AG57" i="10"/>
  <c r="AG57" i="9"/>
  <c r="AQ57" i="7"/>
  <c r="Y67" i="10"/>
  <c r="Y67" i="9"/>
  <c r="Z67" i="7"/>
  <c r="AI63" i="7"/>
  <c r="AI62" i="7"/>
  <c r="F65" i="10"/>
  <c r="F65" i="9"/>
  <c r="G65" i="7"/>
  <c r="M65" i="10"/>
  <c r="M65" i="9"/>
  <c r="N65" i="7"/>
  <c r="Q65" i="10"/>
  <c r="Q65" i="9"/>
  <c r="R65" i="7"/>
  <c r="E76" i="13"/>
  <c r="H76" i="13"/>
  <c r="M75" i="13"/>
  <c r="I75" i="13"/>
  <c r="K75" i="13" s="1"/>
  <c r="K74" i="13"/>
  <c r="B83" i="13"/>
  <c r="G83" i="13"/>
  <c r="C83" i="12"/>
  <c r="F79" i="12"/>
  <c r="AZ58" i="2"/>
  <c r="BA58" i="2"/>
  <c r="AE60" i="7"/>
  <c r="AD60" i="7"/>
  <c r="C58" i="3"/>
  <c r="B57" i="3"/>
  <c r="F56" i="3"/>
  <c r="E57" i="3"/>
  <c r="J64" i="3"/>
  <c r="G53" i="1"/>
  <c r="D56" i="1"/>
  <c r="C58" i="9" l="1"/>
  <c r="C58" i="10"/>
  <c r="V68" i="10"/>
  <c r="W82" i="14"/>
  <c r="Y82" i="14" s="1"/>
  <c r="H82" i="11"/>
  <c r="N82" i="11" s="1"/>
  <c r="AG84" i="16"/>
  <c r="AG84" i="17"/>
  <c r="AQ84" i="15"/>
  <c r="G83" i="16"/>
  <c r="G83" i="17"/>
  <c r="I84" i="2"/>
  <c r="H83" i="15"/>
  <c r="W83" i="14"/>
  <c r="Y83" i="14" s="1"/>
  <c r="H83" i="11"/>
  <c r="J83" i="11" s="1"/>
  <c r="AA84" i="16"/>
  <c r="AA84" i="17"/>
  <c r="AK84" i="15"/>
  <c r="Z84" i="14"/>
  <c r="AB84" i="14" s="1"/>
  <c r="D84" i="11"/>
  <c r="G84" i="11"/>
  <c r="B85" i="11"/>
  <c r="B85" i="17"/>
  <c r="B85" i="16"/>
  <c r="C85" i="15"/>
  <c r="AG85" i="2"/>
  <c r="AF85" i="15" s="1"/>
  <c r="AH85" i="2"/>
  <c r="AG85" i="15" s="1"/>
  <c r="AI85" i="2"/>
  <c r="AH85" i="15" s="1"/>
  <c r="AE85" i="2"/>
  <c r="AD85" i="15" s="1"/>
  <c r="AK85" i="2"/>
  <c r="AJ85" i="15" s="1"/>
  <c r="AJ85" i="2"/>
  <c r="AI85" i="15" s="1"/>
  <c r="AD85" i="2"/>
  <c r="AC85" i="15" s="1"/>
  <c r="AL85" i="2"/>
  <c r="AC85" i="2"/>
  <c r="AB85" i="15" s="1"/>
  <c r="AF85" i="2"/>
  <c r="AE85" i="15" s="1"/>
  <c r="AR85" i="2"/>
  <c r="U68" i="16"/>
  <c r="U68" i="17"/>
  <c r="V68" i="15"/>
  <c r="P68" i="17"/>
  <c r="P68" i="16"/>
  <c r="Q68" i="15"/>
  <c r="N68" i="17"/>
  <c r="N68" i="16"/>
  <c r="O68" i="15"/>
  <c r="K83" i="17"/>
  <c r="K83" i="16"/>
  <c r="L83" i="15"/>
  <c r="Y69" i="2"/>
  <c r="W70" i="4"/>
  <c r="U70" i="4"/>
  <c r="W69" i="2"/>
  <c r="P70" i="4"/>
  <c r="R69" i="2"/>
  <c r="N70" i="4"/>
  <c r="P69" i="2"/>
  <c r="L83" i="17"/>
  <c r="L83" i="16"/>
  <c r="M83" i="15"/>
  <c r="J85" i="4"/>
  <c r="M84" i="2"/>
  <c r="X68" i="17"/>
  <c r="X68" i="16"/>
  <c r="Y68" i="15"/>
  <c r="AB69" i="2"/>
  <c r="Z70" i="4"/>
  <c r="W68" i="16"/>
  <c r="X68" i="15"/>
  <c r="W68" i="17"/>
  <c r="H83" i="17"/>
  <c r="H83" i="16"/>
  <c r="I83" i="15"/>
  <c r="C58" i="17"/>
  <c r="C58" i="16"/>
  <c r="D58" i="15"/>
  <c r="S68" i="16"/>
  <c r="S68" i="17"/>
  <c r="T68" i="15"/>
  <c r="Q68" i="17"/>
  <c r="Q68" i="16"/>
  <c r="R68" i="15"/>
  <c r="AT68" i="2"/>
  <c r="K85" i="4"/>
  <c r="N84" i="2"/>
  <c r="T68" i="17"/>
  <c r="T68" i="16"/>
  <c r="U68" i="15"/>
  <c r="E83" i="16"/>
  <c r="E83" i="17"/>
  <c r="F83" i="15"/>
  <c r="AA68" i="15"/>
  <c r="Z68" i="17"/>
  <c r="Z68" i="16"/>
  <c r="Z68" i="10"/>
  <c r="Z68" i="9"/>
  <c r="AA68" i="7"/>
  <c r="C85" i="4"/>
  <c r="F84" i="2"/>
  <c r="R68" i="17"/>
  <c r="R68" i="16"/>
  <c r="S68" i="15"/>
  <c r="G85" i="4"/>
  <c r="J84" i="2"/>
  <c r="B60" i="4"/>
  <c r="E59" i="2"/>
  <c r="C59" i="9" s="1"/>
  <c r="S70" i="4"/>
  <c r="U70" i="2" s="1"/>
  <c r="Q70" i="4"/>
  <c r="S69" i="2"/>
  <c r="T70" i="4"/>
  <c r="V69" i="2"/>
  <c r="D85" i="4"/>
  <c r="G84" i="2"/>
  <c r="H85" i="4"/>
  <c r="K84" i="2"/>
  <c r="O83" i="17"/>
  <c r="O83" i="16"/>
  <c r="P83" i="15"/>
  <c r="AA69" i="2"/>
  <c r="Y70" i="4"/>
  <c r="F83" i="16"/>
  <c r="F83" i="17"/>
  <c r="G83" i="15"/>
  <c r="J83" i="17"/>
  <c r="J83" i="16"/>
  <c r="K83" i="15"/>
  <c r="M68" i="17"/>
  <c r="AH68" i="17" s="1"/>
  <c r="N68" i="14" s="1"/>
  <c r="P68" i="14" s="1"/>
  <c r="M68" i="16"/>
  <c r="AH68" i="16" s="1"/>
  <c r="K68" i="14" s="1"/>
  <c r="M68" i="14" s="1"/>
  <c r="AS68" i="2"/>
  <c r="N68" i="15"/>
  <c r="AR68" i="15" s="1"/>
  <c r="E68" i="14" s="1"/>
  <c r="G68" i="14" s="1"/>
  <c r="V68" i="17"/>
  <c r="W68" i="15"/>
  <c r="V68" i="16"/>
  <c r="Z69" i="2"/>
  <c r="X70" i="4"/>
  <c r="V68" i="9"/>
  <c r="I83" i="17"/>
  <c r="I83" i="16"/>
  <c r="J83" i="15"/>
  <c r="R70" i="4"/>
  <c r="T69" i="2"/>
  <c r="X69" i="2"/>
  <c r="W69" i="7" s="1"/>
  <c r="V70" i="4"/>
  <c r="D83" i="17"/>
  <c r="D83" i="16"/>
  <c r="E83" i="15"/>
  <c r="O85" i="4"/>
  <c r="Q84" i="2"/>
  <c r="Y68" i="17"/>
  <c r="Z68" i="15"/>
  <c r="Y68" i="16"/>
  <c r="E85" i="4"/>
  <c r="H84" i="2"/>
  <c r="I85" i="4"/>
  <c r="L84" i="2"/>
  <c r="M70" i="4"/>
  <c r="O69" i="2"/>
  <c r="B67" i="14"/>
  <c r="D67" i="14" s="1"/>
  <c r="H67" i="14"/>
  <c r="J67" i="14" s="1"/>
  <c r="B86" i="2"/>
  <c r="D86" i="2" s="1"/>
  <c r="C85" i="2"/>
  <c r="AC60" i="7"/>
  <c r="BB58" i="2"/>
  <c r="AX66" i="2"/>
  <c r="AY59" i="2"/>
  <c r="AF60" i="7"/>
  <c r="AW66" i="2"/>
  <c r="AC63" i="10"/>
  <c r="AC63" i="9"/>
  <c r="AM63" i="7"/>
  <c r="W68" i="10"/>
  <c r="W68" i="9"/>
  <c r="X68" i="7"/>
  <c r="X68" i="10"/>
  <c r="X68" i="9"/>
  <c r="Y68" i="7"/>
  <c r="H66" i="10"/>
  <c r="H66" i="9"/>
  <c r="I66" i="7"/>
  <c r="U66" i="10"/>
  <c r="U66" i="9"/>
  <c r="V66" i="7"/>
  <c r="J66" i="10"/>
  <c r="J66" i="9"/>
  <c r="K66" i="7"/>
  <c r="D66" i="12"/>
  <c r="G66" i="12"/>
  <c r="Q66" i="14" s="1"/>
  <c r="S66" i="14" s="1"/>
  <c r="AR57" i="7"/>
  <c r="AG58" i="10"/>
  <c r="AG58" i="9"/>
  <c r="AQ58" i="7"/>
  <c r="B67" i="12"/>
  <c r="T67" i="14" s="1"/>
  <c r="V67" i="14" s="1"/>
  <c r="B67" i="10"/>
  <c r="B67" i="9"/>
  <c r="C67" i="7"/>
  <c r="N66" i="10"/>
  <c r="N66" i="9"/>
  <c r="O66" i="7"/>
  <c r="AB59" i="10"/>
  <c r="AB59" i="9"/>
  <c r="AL59" i="7"/>
  <c r="V69" i="10"/>
  <c r="Q66" i="10"/>
  <c r="Q66" i="9"/>
  <c r="R66" i="7"/>
  <c r="O66" i="10"/>
  <c r="O66" i="9"/>
  <c r="P66" i="7"/>
  <c r="D66" i="10"/>
  <c r="D66" i="9"/>
  <c r="E66" i="7"/>
  <c r="AH57" i="9"/>
  <c r="R66" i="10"/>
  <c r="R66" i="9"/>
  <c r="S66" i="7"/>
  <c r="AD63" i="10"/>
  <c r="AD63" i="9"/>
  <c r="AN63" i="7"/>
  <c r="AF64" i="10"/>
  <c r="AF64" i="9"/>
  <c r="AP64" i="7"/>
  <c r="K65" i="12"/>
  <c r="H65" i="12"/>
  <c r="J65" i="12" s="1"/>
  <c r="AB64" i="7"/>
  <c r="G66" i="10"/>
  <c r="G66" i="9"/>
  <c r="H66" i="7"/>
  <c r="K66" i="10"/>
  <c r="K66" i="9"/>
  <c r="L66" i="7"/>
  <c r="S66" i="10"/>
  <c r="S66" i="9"/>
  <c r="T66" i="7"/>
  <c r="AJ64" i="7"/>
  <c r="AH57" i="10"/>
  <c r="F66" i="10"/>
  <c r="F66" i="9"/>
  <c r="G66" i="7"/>
  <c r="AA58" i="10"/>
  <c r="AA58" i="9"/>
  <c r="AK58" i="7"/>
  <c r="I66" i="10"/>
  <c r="I66" i="9"/>
  <c r="J66" i="7"/>
  <c r="P66" i="10"/>
  <c r="P66" i="9"/>
  <c r="Q66" i="7"/>
  <c r="E66" i="10"/>
  <c r="E66" i="9"/>
  <c r="F66" i="7"/>
  <c r="M66" i="10"/>
  <c r="M66" i="9"/>
  <c r="N66" i="7"/>
  <c r="AE64" i="10"/>
  <c r="AE64" i="9"/>
  <c r="AO64" i="7"/>
  <c r="AH64" i="7"/>
  <c r="Y68" i="10"/>
  <c r="Y68" i="9"/>
  <c r="Z68" i="7"/>
  <c r="L66" i="10"/>
  <c r="L66" i="9"/>
  <c r="M66" i="7"/>
  <c r="T66" i="10"/>
  <c r="T66" i="9"/>
  <c r="U66" i="7"/>
  <c r="L75" i="13"/>
  <c r="M76" i="13"/>
  <c r="I76" i="13"/>
  <c r="L76" i="13" s="1"/>
  <c r="H77" i="13"/>
  <c r="E77" i="13"/>
  <c r="N77" i="13" s="1"/>
  <c r="G84" i="13"/>
  <c r="B84" i="13"/>
  <c r="C84" i="12"/>
  <c r="F80" i="12"/>
  <c r="AZ59" i="2"/>
  <c r="BA59" i="2"/>
  <c r="AE61" i="7"/>
  <c r="AD61" i="7"/>
  <c r="AY60" i="2"/>
  <c r="C59" i="3"/>
  <c r="B58" i="3"/>
  <c r="J65" i="3"/>
  <c r="F57" i="3"/>
  <c r="E58" i="3"/>
  <c r="G54" i="1"/>
  <c r="D57" i="1"/>
  <c r="J82" i="11" l="1"/>
  <c r="L82" i="11"/>
  <c r="C59" i="10"/>
  <c r="D59" i="7"/>
  <c r="V69" i="9"/>
  <c r="M82" i="11"/>
  <c r="K82" i="11"/>
  <c r="H84" i="15"/>
  <c r="G84" i="17"/>
  <c r="G84" i="16"/>
  <c r="I85" i="2"/>
  <c r="B86" i="17"/>
  <c r="B86" i="16"/>
  <c r="B86" i="11"/>
  <c r="AG86" i="2"/>
  <c r="AF86" i="15" s="1"/>
  <c r="C86" i="15"/>
  <c r="AH86" i="2"/>
  <c r="AG86" i="15" s="1"/>
  <c r="AD86" i="2"/>
  <c r="AC86" i="15" s="1"/>
  <c r="AE86" i="2"/>
  <c r="AD86" i="15" s="1"/>
  <c r="AL86" i="2"/>
  <c r="AK86" i="2"/>
  <c r="AJ86" i="15" s="1"/>
  <c r="AJ86" i="2"/>
  <c r="AI86" i="15" s="1"/>
  <c r="AR86" i="2"/>
  <c r="AI86" i="2"/>
  <c r="AH86" i="15" s="1"/>
  <c r="AF86" i="2"/>
  <c r="AE86" i="15" s="1"/>
  <c r="AC86" i="2"/>
  <c r="AB86" i="15" s="1"/>
  <c r="Z85" i="14"/>
  <c r="AB85" i="14" s="1"/>
  <c r="D85" i="11"/>
  <c r="G85" i="11"/>
  <c r="AA85" i="17"/>
  <c r="AK85" i="15"/>
  <c r="AA85" i="16"/>
  <c r="W84" i="14"/>
  <c r="Y84" i="14" s="1"/>
  <c r="H84" i="11"/>
  <c r="J84" i="11" s="1"/>
  <c r="AG85" i="17"/>
  <c r="AG85" i="16"/>
  <c r="AQ85" i="15"/>
  <c r="I86" i="4"/>
  <c r="L85" i="2"/>
  <c r="O84" i="17"/>
  <c r="O84" i="16"/>
  <c r="P84" i="15"/>
  <c r="V69" i="16"/>
  <c r="W69" i="15"/>
  <c r="V69" i="17"/>
  <c r="AA70" i="2"/>
  <c r="Y71" i="4"/>
  <c r="H86" i="4"/>
  <c r="K85" i="2"/>
  <c r="Q71" i="4"/>
  <c r="S70" i="2"/>
  <c r="G86" i="4"/>
  <c r="J85" i="2"/>
  <c r="L84" i="17"/>
  <c r="L84" i="16"/>
  <c r="M84" i="15"/>
  <c r="AB70" i="2"/>
  <c r="Z71" i="4"/>
  <c r="J86" i="4"/>
  <c r="M85" i="2"/>
  <c r="P69" i="17"/>
  <c r="P69" i="16"/>
  <c r="Q69" i="15"/>
  <c r="F84" i="17"/>
  <c r="F84" i="16"/>
  <c r="G84" i="15"/>
  <c r="O86" i="4"/>
  <c r="Q85" i="2"/>
  <c r="R69" i="17"/>
  <c r="R69" i="16"/>
  <c r="S69" i="15"/>
  <c r="Y69" i="17"/>
  <c r="Y69" i="16"/>
  <c r="Z69" i="15"/>
  <c r="E84" i="17"/>
  <c r="E84" i="16"/>
  <c r="F84" i="15"/>
  <c r="S69" i="17"/>
  <c r="S69" i="16"/>
  <c r="T69" i="15"/>
  <c r="K86" i="4"/>
  <c r="N85" i="2"/>
  <c r="Z69" i="16"/>
  <c r="AA69" i="15"/>
  <c r="Z69" i="17"/>
  <c r="Z69" i="10"/>
  <c r="Z69" i="9"/>
  <c r="AA69" i="7"/>
  <c r="P71" i="4"/>
  <c r="R70" i="2"/>
  <c r="E86" i="4"/>
  <c r="H85" i="2"/>
  <c r="Z70" i="2"/>
  <c r="X71" i="4"/>
  <c r="H68" i="14"/>
  <c r="J68" i="14" s="1"/>
  <c r="B68" i="14"/>
  <c r="D68" i="14" s="1"/>
  <c r="D86" i="4"/>
  <c r="G85" i="2"/>
  <c r="S71" i="4"/>
  <c r="U71" i="2" s="1"/>
  <c r="U69" i="16"/>
  <c r="U69" i="17"/>
  <c r="V69" i="15"/>
  <c r="AS69" i="2"/>
  <c r="M69" i="17"/>
  <c r="AH69" i="17" s="1"/>
  <c r="N69" i="14" s="1"/>
  <c r="P69" i="14" s="1"/>
  <c r="M69" i="16"/>
  <c r="AH69" i="16" s="1"/>
  <c r="K69" i="14" s="1"/>
  <c r="M69" i="14" s="1"/>
  <c r="N69" i="15"/>
  <c r="AR69" i="15" s="1"/>
  <c r="E69" i="14" s="1"/>
  <c r="G69" i="14" s="1"/>
  <c r="R71" i="4"/>
  <c r="T70" i="2"/>
  <c r="X69" i="17"/>
  <c r="Y69" i="15"/>
  <c r="X69" i="16"/>
  <c r="T69" i="17"/>
  <c r="T69" i="16"/>
  <c r="U69" i="15"/>
  <c r="C59" i="17"/>
  <c r="C59" i="16"/>
  <c r="D59" i="15"/>
  <c r="U71" i="4"/>
  <c r="W70" i="2"/>
  <c r="M71" i="4"/>
  <c r="O70" i="2"/>
  <c r="T71" i="4"/>
  <c r="V70" i="2"/>
  <c r="B61" i="4"/>
  <c r="E60" i="2"/>
  <c r="C60" i="10" s="1"/>
  <c r="D84" i="16"/>
  <c r="D84" i="17"/>
  <c r="E84" i="15"/>
  <c r="N69" i="17"/>
  <c r="N69" i="16"/>
  <c r="O69" i="15"/>
  <c r="Y70" i="2"/>
  <c r="W71" i="4"/>
  <c r="J84" i="17"/>
  <c r="J84" i="16"/>
  <c r="K84" i="15"/>
  <c r="X70" i="2"/>
  <c r="V70" i="9" s="1"/>
  <c r="V71" i="4"/>
  <c r="I84" i="17"/>
  <c r="I84" i="16"/>
  <c r="J84" i="15"/>
  <c r="Q69" i="16"/>
  <c r="Q69" i="17"/>
  <c r="R69" i="15"/>
  <c r="AT69" i="2"/>
  <c r="H84" i="16"/>
  <c r="H84" i="17"/>
  <c r="I84" i="15"/>
  <c r="C86" i="4"/>
  <c r="F85" i="2"/>
  <c r="K84" i="16"/>
  <c r="K84" i="17"/>
  <c r="L84" i="15"/>
  <c r="N71" i="4"/>
  <c r="P70" i="2"/>
  <c r="W69" i="16"/>
  <c r="W69" i="17"/>
  <c r="X69" i="15"/>
  <c r="C86" i="2"/>
  <c r="AR58" i="7"/>
  <c r="B87" i="2"/>
  <c r="AC61" i="7"/>
  <c r="BB59" i="2"/>
  <c r="AF61" i="7"/>
  <c r="AX67" i="2"/>
  <c r="AW67" i="2"/>
  <c r="AH58" i="10"/>
  <c r="AH58" i="9"/>
  <c r="AE65" i="10"/>
  <c r="AE65" i="9"/>
  <c r="AO65" i="7"/>
  <c r="AJ65" i="7"/>
  <c r="V70" i="10"/>
  <c r="W69" i="10"/>
  <c r="W69" i="9"/>
  <c r="X69" i="7"/>
  <c r="U67" i="10"/>
  <c r="U67" i="9"/>
  <c r="V67" i="7"/>
  <c r="I67" i="10"/>
  <c r="I67" i="9"/>
  <c r="J67" i="7"/>
  <c r="G67" i="10"/>
  <c r="G67" i="9"/>
  <c r="H67" i="7"/>
  <c r="O67" i="10"/>
  <c r="O67" i="9"/>
  <c r="P67" i="7"/>
  <c r="Q67" i="10"/>
  <c r="Q67" i="9"/>
  <c r="R67" i="7"/>
  <c r="D67" i="12"/>
  <c r="M67" i="12" s="1"/>
  <c r="G67" i="12"/>
  <c r="Q67" i="14" s="1"/>
  <c r="S67" i="14" s="1"/>
  <c r="AC64" i="10"/>
  <c r="AC64" i="9"/>
  <c r="AM64" i="7"/>
  <c r="B68" i="12"/>
  <c r="T68" i="14" s="1"/>
  <c r="V68" i="14" s="1"/>
  <c r="B68" i="10"/>
  <c r="B68" i="9"/>
  <c r="C68" i="7"/>
  <c r="J67" i="10"/>
  <c r="J67" i="9"/>
  <c r="K67" i="7"/>
  <c r="S67" i="10"/>
  <c r="S67" i="9"/>
  <c r="T67" i="7"/>
  <c r="L67" i="10"/>
  <c r="L67" i="9"/>
  <c r="M67" i="7"/>
  <c r="AF65" i="10"/>
  <c r="AF65" i="9"/>
  <c r="AP65" i="7"/>
  <c r="D67" i="10"/>
  <c r="D67" i="9"/>
  <c r="E67" i="7"/>
  <c r="M67" i="10"/>
  <c r="M67" i="9"/>
  <c r="N67" i="7"/>
  <c r="F67" i="10"/>
  <c r="F67" i="9"/>
  <c r="G67" i="7"/>
  <c r="X69" i="10"/>
  <c r="X69" i="9"/>
  <c r="Y69" i="7"/>
  <c r="K66" i="12"/>
  <c r="H66" i="12"/>
  <c r="J66" i="12" s="1"/>
  <c r="AA59" i="10"/>
  <c r="AA59" i="9"/>
  <c r="AK59" i="7"/>
  <c r="AD64" i="10"/>
  <c r="AD64" i="9"/>
  <c r="AN64" i="7"/>
  <c r="AB60" i="10"/>
  <c r="AB60" i="9"/>
  <c r="AL60" i="7"/>
  <c r="K67" i="10"/>
  <c r="K67" i="9"/>
  <c r="L67" i="7"/>
  <c r="T67" i="10"/>
  <c r="T67" i="9"/>
  <c r="U67" i="7"/>
  <c r="H67" i="10"/>
  <c r="H67" i="9"/>
  <c r="I67" i="7"/>
  <c r="P67" i="10"/>
  <c r="P67" i="9"/>
  <c r="Q67" i="7"/>
  <c r="AG59" i="10"/>
  <c r="AG59" i="9"/>
  <c r="AQ59" i="7"/>
  <c r="AG61" i="7"/>
  <c r="AG60" i="7"/>
  <c r="AH65" i="7"/>
  <c r="AI65" i="7"/>
  <c r="AI64" i="7"/>
  <c r="AB65" i="7"/>
  <c r="E67" i="10"/>
  <c r="E67" i="9"/>
  <c r="F67" i="7"/>
  <c r="N67" i="10"/>
  <c r="N67" i="9"/>
  <c r="O67" i="7"/>
  <c r="R67" i="10"/>
  <c r="R67" i="9"/>
  <c r="S67" i="7"/>
  <c r="Y69" i="10"/>
  <c r="Y69" i="9"/>
  <c r="Z69" i="7"/>
  <c r="K76" i="13"/>
  <c r="I77" i="13"/>
  <c r="K77" i="13" s="1"/>
  <c r="M77" i="13"/>
  <c r="H78" i="13"/>
  <c r="E78" i="13"/>
  <c r="O77" i="13"/>
  <c r="B85" i="13"/>
  <c r="G85" i="13"/>
  <c r="F81" i="12"/>
  <c r="C85" i="12"/>
  <c r="AZ60" i="2"/>
  <c r="BA60" i="2"/>
  <c r="AE62" i="7"/>
  <c r="AD62" i="7"/>
  <c r="C60" i="3"/>
  <c r="B59" i="3"/>
  <c r="F58" i="3"/>
  <c r="E59" i="3"/>
  <c r="J66" i="3"/>
  <c r="G55" i="1"/>
  <c r="D58" i="1"/>
  <c r="D60" i="7" l="1"/>
  <c r="W70" i="7"/>
  <c r="C60" i="9"/>
  <c r="W85" i="14"/>
  <c r="Y85" i="14" s="1"/>
  <c r="H85" i="11"/>
  <c r="J85" i="11" s="1"/>
  <c r="AG86" i="17"/>
  <c r="AG86" i="16"/>
  <c r="AQ86" i="15"/>
  <c r="G85" i="16"/>
  <c r="I86" i="2"/>
  <c r="G85" i="17"/>
  <c r="H85" i="15"/>
  <c r="AA86" i="17"/>
  <c r="AA86" i="16"/>
  <c r="AK86" i="15"/>
  <c r="Z86" i="14"/>
  <c r="AB86" i="14" s="1"/>
  <c r="D86" i="11"/>
  <c r="G86" i="11"/>
  <c r="N72" i="4"/>
  <c r="P71" i="2"/>
  <c r="B62" i="4"/>
  <c r="E61" i="2"/>
  <c r="C61" i="9" s="1"/>
  <c r="U72" i="4"/>
  <c r="W71" i="2"/>
  <c r="R72" i="4"/>
  <c r="T71" i="2"/>
  <c r="P70" i="17"/>
  <c r="P70" i="16"/>
  <c r="Q70" i="15"/>
  <c r="I85" i="17"/>
  <c r="I85" i="16"/>
  <c r="J85" i="15"/>
  <c r="K85" i="17"/>
  <c r="K85" i="16"/>
  <c r="L85" i="15"/>
  <c r="T72" i="4"/>
  <c r="V71" i="2"/>
  <c r="S70" i="17"/>
  <c r="S70" i="16"/>
  <c r="T70" i="15"/>
  <c r="Z71" i="2"/>
  <c r="X72" i="4"/>
  <c r="L85" i="16"/>
  <c r="L85" i="17"/>
  <c r="M85" i="15"/>
  <c r="J87" i="4"/>
  <c r="M86" i="2"/>
  <c r="H85" i="16"/>
  <c r="H85" i="17"/>
  <c r="I85" i="15"/>
  <c r="AA71" i="2"/>
  <c r="Y72" i="4"/>
  <c r="Y71" i="2"/>
  <c r="W72" i="4"/>
  <c r="M70" i="17"/>
  <c r="AH70" i="17" s="1"/>
  <c r="N70" i="14" s="1"/>
  <c r="P70" i="14" s="1"/>
  <c r="M70" i="16"/>
  <c r="AH70" i="16" s="1"/>
  <c r="K70" i="14" s="1"/>
  <c r="M70" i="14" s="1"/>
  <c r="AS70" i="2"/>
  <c r="N70" i="15"/>
  <c r="AR70" i="15" s="1"/>
  <c r="E70" i="14" s="1"/>
  <c r="G70" i="14" s="1"/>
  <c r="S72" i="4"/>
  <c r="U72" i="2" s="1"/>
  <c r="X70" i="16"/>
  <c r="X70" i="17"/>
  <c r="Y70" i="15"/>
  <c r="K87" i="4"/>
  <c r="N86" i="2"/>
  <c r="AB71" i="2"/>
  <c r="Z72" i="4"/>
  <c r="G87" i="4"/>
  <c r="J86" i="2"/>
  <c r="Z70" i="15"/>
  <c r="Y70" i="16"/>
  <c r="Y70" i="17"/>
  <c r="P72" i="4"/>
  <c r="R71" i="2"/>
  <c r="D85" i="17"/>
  <c r="D85" i="16"/>
  <c r="E85" i="15"/>
  <c r="X71" i="2"/>
  <c r="V71" i="9" s="1"/>
  <c r="V72" i="4"/>
  <c r="W70" i="16"/>
  <c r="W70" i="17"/>
  <c r="X70" i="15"/>
  <c r="M72" i="4"/>
  <c r="O71" i="2"/>
  <c r="R70" i="17"/>
  <c r="R70" i="16"/>
  <c r="S70" i="15"/>
  <c r="H69" i="14"/>
  <c r="J69" i="14" s="1"/>
  <c r="B69" i="14"/>
  <c r="D69" i="14" s="1"/>
  <c r="E85" i="17"/>
  <c r="E85" i="16"/>
  <c r="F85" i="15"/>
  <c r="F85" i="16"/>
  <c r="F85" i="17"/>
  <c r="G85" i="15"/>
  <c r="O85" i="17"/>
  <c r="O85" i="16"/>
  <c r="P85" i="15"/>
  <c r="Z70" i="16"/>
  <c r="AA70" i="15"/>
  <c r="Z70" i="17"/>
  <c r="Z70" i="10"/>
  <c r="Z70" i="9"/>
  <c r="AA70" i="7"/>
  <c r="Q70" i="16"/>
  <c r="Q70" i="17"/>
  <c r="R70" i="15"/>
  <c r="AT70" i="2"/>
  <c r="J85" i="17"/>
  <c r="J85" i="16"/>
  <c r="K85" i="15"/>
  <c r="T70" i="16"/>
  <c r="T70" i="17"/>
  <c r="U70" i="15"/>
  <c r="H87" i="4"/>
  <c r="K86" i="2"/>
  <c r="N70" i="17"/>
  <c r="N70" i="16"/>
  <c r="O70" i="15"/>
  <c r="C87" i="4"/>
  <c r="F86" i="2"/>
  <c r="V70" i="17"/>
  <c r="V70" i="16"/>
  <c r="W70" i="15"/>
  <c r="C60" i="17"/>
  <c r="C60" i="16"/>
  <c r="D60" i="15"/>
  <c r="U70" i="17"/>
  <c r="U70" i="16"/>
  <c r="V70" i="15"/>
  <c r="D87" i="4"/>
  <c r="G86" i="2"/>
  <c r="E87" i="4"/>
  <c r="H86" i="2"/>
  <c r="O87" i="4"/>
  <c r="Q86" i="2"/>
  <c r="Q72" i="4"/>
  <c r="S71" i="2"/>
  <c r="I87" i="4"/>
  <c r="L86" i="2"/>
  <c r="C87" i="2"/>
  <c r="D87" i="2"/>
  <c r="B88" i="2"/>
  <c r="AC62" i="7"/>
  <c r="BB60" i="2"/>
  <c r="AX68" i="2"/>
  <c r="AY61" i="2"/>
  <c r="AF62" i="7"/>
  <c r="AW68" i="2"/>
  <c r="AH59" i="10"/>
  <c r="L67" i="12"/>
  <c r="B69" i="12"/>
  <c r="T69" i="14" s="1"/>
  <c r="V69" i="14" s="1"/>
  <c r="B69" i="10"/>
  <c r="B69" i="9"/>
  <c r="C69" i="7"/>
  <c r="Q68" i="10"/>
  <c r="Q68" i="9"/>
  <c r="R68" i="7"/>
  <c r="U68" i="10"/>
  <c r="U68" i="9"/>
  <c r="V68" i="7"/>
  <c r="H68" i="10"/>
  <c r="H68" i="9"/>
  <c r="I68" i="7"/>
  <c r="AF66" i="10"/>
  <c r="AF66" i="9"/>
  <c r="AP66" i="7"/>
  <c r="AB66" i="7"/>
  <c r="AH66" i="7"/>
  <c r="K68" i="10"/>
  <c r="K68" i="9"/>
  <c r="L68" i="7"/>
  <c r="O68" i="10"/>
  <c r="O68" i="9"/>
  <c r="P68" i="7"/>
  <c r="S68" i="10"/>
  <c r="S68" i="9"/>
  <c r="T68" i="7"/>
  <c r="K67" i="12"/>
  <c r="H67" i="12"/>
  <c r="J67" i="12" s="1"/>
  <c r="AA60" i="10"/>
  <c r="AA60" i="9"/>
  <c r="AK60" i="7"/>
  <c r="G68" i="10"/>
  <c r="G68" i="9"/>
  <c r="H68" i="7"/>
  <c r="E68" i="10"/>
  <c r="E68" i="9"/>
  <c r="F68" i="7"/>
  <c r="I68" i="10"/>
  <c r="I68" i="9"/>
  <c r="J68" i="7"/>
  <c r="M68" i="10"/>
  <c r="M68" i="9"/>
  <c r="N68" i="7"/>
  <c r="AD65" i="10"/>
  <c r="AD65" i="9"/>
  <c r="AN65" i="7"/>
  <c r="AC65" i="10"/>
  <c r="AC65" i="9"/>
  <c r="AM65" i="7"/>
  <c r="AB61" i="10"/>
  <c r="AB61" i="9"/>
  <c r="AL61" i="7"/>
  <c r="R68" i="10"/>
  <c r="R68" i="9"/>
  <c r="S68" i="7"/>
  <c r="P68" i="10"/>
  <c r="P68" i="9"/>
  <c r="Q68" i="7"/>
  <c r="X70" i="10"/>
  <c r="X70" i="9"/>
  <c r="Y70" i="7"/>
  <c r="AR59" i="7"/>
  <c r="L68" i="10"/>
  <c r="L68" i="9"/>
  <c r="M68" i="7"/>
  <c r="J68" i="10"/>
  <c r="J68" i="9"/>
  <c r="K68" i="7"/>
  <c r="T68" i="10"/>
  <c r="T68" i="9"/>
  <c r="U68" i="7"/>
  <c r="W70" i="10"/>
  <c r="W70" i="9"/>
  <c r="X70" i="7"/>
  <c r="Y70" i="10"/>
  <c r="Y70" i="9"/>
  <c r="Z70" i="7"/>
  <c r="AE66" i="10"/>
  <c r="AE66" i="9"/>
  <c r="AO66" i="7"/>
  <c r="AG60" i="10"/>
  <c r="AG60" i="9"/>
  <c r="AQ60" i="7"/>
  <c r="AH59" i="9"/>
  <c r="F68" i="10"/>
  <c r="F68" i="9"/>
  <c r="G68" i="7"/>
  <c r="D68" i="10"/>
  <c r="D68" i="9"/>
  <c r="E68" i="7"/>
  <c r="N68" i="10"/>
  <c r="N68" i="9"/>
  <c r="O68" i="7"/>
  <c r="D68" i="12"/>
  <c r="G68" i="12"/>
  <c r="Q68" i="14" s="1"/>
  <c r="S68" i="14" s="1"/>
  <c r="AJ66" i="7"/>
  <c r="L77" i="13"/>
  <c r="M78" i="13"/>
  <c r="I78" i="13"/>
  <c r="L78" i="13" s="1"/>
  <c r="H79" i="13"/>
  <c r="E79" i="13"/>
  <c r="G86" i="13"/>
  <c r="B86" i="13"/>
  <c r="C86" i="12"/>
  <c r="F82" i="12"/>
  <c r="AZ61" i="2"/>
  <c r="BA61" i="2"/>
  <c r="AE63" i="7"/>
  <c r="AD63" i="7"/>
  <c r="AY62" i="2"/>
  <c r="C61" i="3"/>
  <c r="G61" i="3" s="1"/>
  <c r="B60" i="3"/>
  <c r="J67" i="3"/>
  <c r="F59" i="3"/>
  <c r="E60" i="3"/>
  <c r="G56" i="1"/>
  <c r="D59" i="1"/>
  <c r="V71" i="10" l="1"/>
  <c r="D61" i="7"/>
  <c r="C61" i="10"/>
  <c r="W71" i="7"/>
  <c r="W86" i="14"/>
  <c r="Y86" i="14" s="1"/>
  <c r="H86" i="11"/>
  <c r="J86" i="11" s="1"/>
  <c r="B87" i="11"/>
  <c r="B87" i="16"/>
  <c r="B87" i="17"/>
  <c r="C87" i="15"/>
  <c r="AG87" i="2"/>
  <c r="AF87" i="15" s="1"/>
  <c r="AH87" i="2"/>
  <c r="AG87" i="15" s="1"/>
  <c r="AE87" i="2"/>
  <c r="AD87" i="15" s="1"/>
  <c r="AF87" i="2"/>
  <c r="AE87" i="15" s="1"/>
  <c r="AJ87" i="2"/>
  <c r="AI87" i="15" s="1"/>
  <c r="AD87" i="2"/>
  <c r="AC87" i="15" s="1"/>
  <c r="AK87" i="2"/>
  <c r="AJ87" i="15" s="1"/>
  <c r="AC87" i="2"/>
  <c r="AB87" i="15" s="1"/>
  <c r="AR87" i="2"/>
  <c r="AL87" i="2"/>
  <c r="AI87" i="2"/>
  <c r="AH87" i="15" s="1"/>
  <c r="I87" i="2"/>
  <c r="H86" i="15"/>
  <c r="G86" i="16"/>
  <c r="G86" i="17"/>
  <c r="AA72" i="2"/>
  <c r="Y73" i="4"/>
  <c r="J88" i="4"/>
  <c r="M87" i="2"/>
  <c r="O86" i="16"/>
  <c r="O86" i="17"/>
  <c r="P86" i="15"/>
  <c r="M73" i="4"/>
  <c r="O72" i="2"/>
  <c r="L86" i="17"/>
  <c r="L86" i="16"/>
  <c r="M86" i="15"/>
  <c r="S73" i="4"/>
  <c r="U73" i="2" s="1"/>
  <c r="W71" i="17"/>
  <c r="W71" i="16"/>
  <c r="X71" i="15"/>
  <c r="K86" i="16"/>
  <c r="K86" i="17"/>
  <c r="L86" i="15"/>
  <c r="X71" i="17"/>
  <c r="X71" i="16"/>
  <c r="Y71" i="15"/>
  <c r="U71" i="16"/>
  <c r="U71" i="17"/>
  <c r="V71" i="15"/>
  <c r="O88" i="4"/>
  <c r="Q87" i="2"/>
  <c r="J86" i="16"/>
  <c r="J86" i="17"/>
  <c r="K86" i="15"/>
  <c r="F86" i="17"/>
  <c r="F86" i="16"/>
  <c r="G86" i="15"/>
  <c r="I86" i="17"/>
  <c r="I86" i="16"/>
  <c r="J86" i="15"/>
  <c r="H86" i="17"/>
  <c r="H86" i="16"/>
  <c r="I86" i="15"/>
  <c r="H70" i="14"/>
  <c r="J70" i="14" s="1"/>
  <c r="B70" i="14"/>
  <c r="D70" i="14" s="1"/>
  <c r="Z71" i="15"/>
  <c r="Y71" i="16"/>
  <c r="Y71" i="17"/>
  <c r="C61" i="17"/>
  <c r="C61" i="16"/>
  <c r="D61" i="15"/>
  <c r="K88" i="4"/>
  <c r="N87" i="2"/>
  <c r="U73" i="4"/>
  <c r="W72" i="2"/>
  <c r="I88" i="4"/>
  <c r="L87" i="2"/>
  <c r="E88" i="4"/>
  <c r="H87" i="2"/>
  <c r="D86" i="16"/>
  <c r="D86" i="17"/>
  <c r="E86" i="15"/>
  <c r="H88" i="4"/>
  <c r="K87" i="2"/>
  <c r="P71" i="16"/>
  <c r="P71" i="17"/>
  <c r="Q71" i="15"/>
  <c r="G88" i="4"/>
  <c r="J87" i="2"/>
  <c r="R71" i="16"/>
  <c r="R71" i="17"/>
  <c r="S71" i="15"/>
  <c r="B63" i="4"/>
  <c r="E62" i="2"/>
  <c r="C62" i="9" s="1"/>
  <c r="Q71" i="16"/>
  <c r="Q71" i="17"/>
  <c r="R71" i="15"/>
  <c r="AT71" i="2"/>
  <c r="E86" i="17"/>
  <c r="E86" i="16"/>
  <c r="F86" i="15"/>
  <c r="C88" i="4"/>
  <c r="F87" i="2"/>
  <c r="X72" i="2"/>
  <c r="W72" i="7" s="1"/>
  <c r="V73" i="4"/>
  <c r="P73" i="4"/>
  <c r="R72" i="2"/>
  <c r="AB72" i="2"/>
  <c r="Z73" i="4"/>
  <c r="T71" i="16"/>
  <c r="T71" i="17"/>
  <c r="U71" i="15"/>
  <c r="N71" i="17"/>
  <c r="N71" i="16"/>
  <c r="O71" i="15"/>
  <c r="Q73" i="4"/>
  <c r="S72" i="2"/>
  <c r="D88" i="4"/>
  <c r="G87" i="2"/>
  <c r="M71" i="17"/>
  <c r="AH71" i="17" s="1"/>
  <c r="N71" i="14" s="1"/>
  <c r="P71" i="14" s="1"/>
  <c r="M71" i="16"/>
  <c r="AH71" i="16" s="1"/>
  <c r="K71" i="14" s="1"/>
  <c r="M71" i="14" s="1"/>
  <c r="AS71" i="2"/>
  <c r="N71" i="15"/>
  <c r="AR71" i="15" s="1"/>
  <c r="E71" i="14" s="1"/>
  <c r="G71" i="14" s="1"/>
  <c r="V71" i="16"/>
  <c r="W71" i="15"/>
  <c r="V71" i="17"/>
  <c r="AA71" i="15"/>
  <c r="Z71" i="17"/>
  <c r="Z71" i="16"/>
  <c r="Z71" i="9"/>
  <c r="AA71" i="7"/>
  <c r="Z71" i="10"/>
  <c r="S71" i="17"/>
  <c r="S71" i="16"/>
  <c r="T71" i="15"/>
  <c r="Y72" i="2"/>
  <c r="W73" i="4"/>
  <c r="Z72" i="2"/>
  <c r="X73" i="4"/>
  <c r="T73" i="4"/>
  <c r="V72" i="2"/>
  <c r="R73" i="4"/>
  <c r="T72" i="2"/>
  <c r="N73" i="4"/>
  <c r="P72" i="2"/>
  <c r="D88" i="2"/>
  <c r="B89" i="2"/>
  <c r="C88" i="2"/>
  <c r="AC63" i="7"/>
  <c r="BB61" i="2"/>
  <c r="AX69" i="2"/>
  <c r="AF63" i="7"/>
  <c r="AW69" i="2"/>
  <c r="AC66" i="10"/>
  <c r="AC66" i="9"/>
  <c r="AM66" i="7"/>
  <c r="AA61" i="10"/>
  <c r="AA61" i="9"/>
  <c r="AK61" i="7"/>
  <c r="AR60" i="7"/>
  <c r="I69" i="10"/>
  <c r="I69" i="9"/>
  <c r="J69" i="7"/>
  <c r="N69" i="10"/>
  <c r="N69" i="9"/>
  <c r="O69" i="7"/>
  <c r="R69" i="10"/>
  <c r="R69" i="9"/>
  <c r="S69" i="7"/>
  <c r="P69" i="10"/>
  <c r="P69" i="9"/>
  <c r="Q69" i="7"/>
  <c r="B70" i="12"/>
  <c r="T70" i="14" s="1"/>
  <c r="V70" i="14" s="1"/>
  <c r="B70" i="10"/>
  <c r="B70" i="9"/>
  <c r="C70" i="7"/>
  <c r="D69" i="10"/>
  <c r="D69" i="9"/>
  <c r="E69" i="7"/>
  <c r="AG61" i="10"/>
  <c r="AG61" i="9"/>
  <c r="AQ61" i="7"/>
  <c r="AI67" i="7"/>
  <c r="AI66" i="7"/>
  <c r="K68" i="12"/>
  <c r="H68" i="12"/>
  <c r="J68" i="12" s="1"/>
  <c r="AH60" i="9"/>
  <c r="G69" i="10"/>
  <c r="G69" i="9"/>
  <c r="H69" i="7"/>
  <c r="K69" i="10"/>
  <c r="K69" i="9"/>
  <c r="L69" i="7"/>
  <c r="AG63" i="7"/>
  <c r="AG62" i="7"/>
  <c r="C62" i="10"/>
  <c r="AJ67" i="7"/>
  <c r="X71" i="10"/>
  <c r="X71" i="9"/>
  <c r="Y71" i="7"/>
  <c r="AH60" i="10"/>
  <c r="AH67" i="7"/>
  <c r="U69" i="10"/>
  <c r="U69" i="9"/>
  <c r="V69" i="7"/>
  <c r="S69" i="10"/>
  <c r="S69" i="9"/>
  <c r="T69" i="7"/>
  <c r="E69" i="10"/>
  <c r="E69" i="9"/>
  <c r="F69" i="7"/>
  <c r="F69" i="10"/>
  <c r="F69" i="9"/>
  <c r="G69" i="7"/>
  <c r="AF67" i="10"/>
  <c r="AF67" i="9"/>
  <c r="AP67" i="7"/>
  <c r="Y71" i="10"/>
  <c r="Y71" i="9"/>
  <c r="Z71" i="7"/>
  <c r="O69" i="10"/>
  <c r="O69" i="9"/>
  <c r="P69" i="7"/>
  <c r="M69" i="10"/>
  <c r="M69" i="9"/>
  <c r="N69" i="7"/>
  <c r="Q69" i="10"/>
  <c r="Q69" i="9"/>
  <c r="R69" i="7"/>
  <c r="D69" i="12"/>
  <c r="G69" i="12"/>
  <c r="Q69" i="14" s="1"/>
  <c r="S69" i="14" s="1"/>
  <c r="AB62" i="10"/>
  <c r="AB62" i="9"/>
  <c r="AL62" i="7"/>
  <c r="W71" i="10"/>
  <c r="W71" i="9"/>
  <c r="X71" i="7"/>
  <c r="T69" i="10"/>
  <c r="T69" i="9"/>
  <c r="U69" i="7"/>
  <c r="AD66" i="10"/>
  <c r="AD66" i="9"/>
  <c r="AN66" i="7"/>
  <c r="AE67" i="10"/>
  <c r="AE67" i="9"/>
  <c r="AO67" i="7"/>
  <c r="AB67" i="7"/>
  <c r="H69" i="10"/>
  <c r="H69" i="9"/>
  <c r="I69" i="7"/>
  <c r="L69" i="10"/>
  <c r="L69" i="9"/>
  <c r="M69" i="7"/>
  <c r="J69" i="10"/>
  <c r="J69" i="9"/>
  <c r="K69" i="7"/>
  <c r="K78" i="13"/>
  <c r="H80" i="13"/>
  <c r="E80" i="13"/>
  <c r="I79" i="13"/>
  <c r="L79" i="13" s="1"/>
  <c r="M79" i="13"/>
  <c r="B87" i="13"/>
  <c r="G87" i="13"/>
  <c r="F83" i="12"/>
  <c r="C87" i="12"/>
  <c r="AZ62" i="2"/>
  <c r="BA62" i="2"/>
  <c r="AE64" i="7"/>
  <c r="AD64" i="7"/>
  <c r="C62" i="3"/>
  <c r="B61" i="3"/>
  <c r="E61" i="3"/>
  <c r="F60" i="3"/>
  <c r="J68" i="3"/>
  <c r="G57" i="1"/>
  <c r="D60" i="1"/>
  <c r="V72" i="9" l="1"/>
  <c r="V72" i="10"/>
  <c r="D62" i="7"/>
  <c r="B88" i="17"/>
  <c r="B88" i="16"/>
  <c r="B88" i="11"/>
  <c r="C88" i="15"/>
  <c r="AG88" i="2"/>
  <c r="AF88" i="15" s="1"/>
  <c r="AH88" i="2"/>
  <c r="AG88" i="15" s="1"/>
  <c r="AJ88" i="2"/>
  <c r="AI88" i="15" s="1"/>
  <c r="AK88" i="2"/>
  <c r="AJ88" i="15" s="1"/>
  <c r="AL88" i="2"/>
  <c r="AD88" i="2"/>
  <c r="AC88" i="15" s="1"/>
  <c r="AI88" i="2"/>
  <c r="AH88" i="15" s="1"/>
  <c r="AF88" i="2"/>
  <c r="AE88" i="15" s="1"/>
  <c r="AR88" i="2"/>
  <c r="AE88" i="2"/>
  <c r="AD88" i="15" s="1"/>
  <c r="AC88" i="2"/>
  <c r="AB88" i="15" s="1"/>
  <c r="I88" i="2"/>
  <c r="G87" i="17"/>
  <c r="G87" i="16"/>
  <c r="H87" i="15"/>
  <c r="AA87" i="17"/>
  <c r="AA87" i="16"/>
  <c r="AK87" i="15"/>
  <c r="AG87" i="17"/>
  <c r="AG87" i="16"/>
  <c r="AQ87" i="15"/>
  <c r="Z87" i="14"/>
  <c r="AB87" i="14" s="1"/>
  <c r="D87" i="11"/>
  <c r="G87" i="11"/>
  <c r="D89" i="2"/>
  <c r="R74" i="4"/>
  <c r="T73" i="2"/>
  <c r="W72" i="16"/>
  <c r="X72" i="15"/>
  <c r="W72" i="17"/>
  <c r="D89" i="4"/>
  <c r="G88" i="2"/>
  <c r="P74" i="4"/>
  <c r="R73" i="2"/>
  <c r="C62" i="16"/>
  <c r="C62" i="17"/>
  <c r="D62" i="15"/>
  <c r="G89" i="4"/>
  <c r="J88" i="2"/>
  <c r="I89" i="4"/>
  <c r="L88" i="2"/>
  <c r="T72" i="17"/>
  <c r="T72" i="16"/>
  <c r="U72" i="15"/>
  <c r="Q72" i="16"/>
  <c r="Q72" i="17"/>
  <c r="R72" i="15"/>
  <c r="AT72" i="2"/>
  <c r="X73" i="2"/>
  <c r="V74" i="4"/>
  <c r="B64" i="4"/>
  <c r="E63" i="2"/>
  <c r="C63" i="9" s="1"/>
  <c r="U72" i="16"/>
  <c r="U72" i="17"/>
  <c r="V72" i="15"/>
  <c r="N72" i="17"/>
  <c r="N72" i="16"/>
  <c r="O72" i="15"/>
  <c r="T74" i="4"/>
  <c r="V73" i="2"/>
  <c r="H71" i="14"/>
  <c r="J71" i="14" s="1"/>
  <c r="B71" i="14"/>
  <c r="D71" i="14" s="1"/>
  <c r="Q74" i="4"/>
  <c r="S73" i="2"/>
  <c r="V72" i="17"/>
  <c r="V72" i="16"/>
  <c r="W72" i="15"/>
  <c r="U74" i="4"/>
  <c r="W73" i="2"/>
  <c r="O87" i="17"/>
  <c r="O87" i="16"/>
  <c r="P87" i="15"/>
  <c r="K87" i="17"/>
  <c r="K87" i="16"/>
  <c r="L87" i="15"/>
  <c r="N74" i="4"/>
  <c r="P73" i="2"/>
  <c r="Z73" i="2"/>
  <c r="X74" i="4"/>
  <c r="AB73" i="2"/>
  <c r="Z74" i="4"/>
  <c r="D87" i="17"/>
  <c r="D87" i="16"/>
  <c r="E87" i="15"/>
  <c r="F87" i="16"/>
  <c r="F87" i="17"/>
  <c r="G87" i="15"/>
  <c r="L87" i="16"/>
  <c r="L87" i="17"/>
  <c r="M87" i="15"/>
  <c r="O89" i="4"/>
  <c r="Q88" i="2"/>
  <c r="AS72" i="2"/>
  <c r="M72" i="17"/>
  <c r="AH72" i="17" s="1"/>
  <c r="N72" i="14" s="1"/>
  <c r="P72" i="14" s="1"/>
  <c r="M72" i="16"/>
  <c r="AH72" i="16" s="1"/>
  <c r="K72" i="14" s="1"/>
  <c r="M72" i="14" s="1"/>
  <c r="N72" i="15"/>
  <c r="AR72" i="15" s="1"/>
  <c r="E72" i="14" s="1"/>
  <c r="G72" i="14" s="1"/>
  <c r="J89" i="4"/>
  <c r="M88" i="2"/>
  <c r="R72" i="16"/>
  <c r="R72" i="17"/>
  <c r="S72" i="15"/>
  <c r="X72" i="16"/>
  <c r="Y72" i="15"/>
  <c r="X72" i="17"/>
  <c r="AA72" i="15"/>
  <c r="Z72" i="17"/>
  <c r="Z72" i="16"/>
  <c r="Z72" i="10"/>
  <c r="Z72" i="9"/>
  <c r="AA72" i="7"/>
  <c r="C89" i="4"/>
  <c r="F88" i="2"/>
  <c r="I87" i="16"/>
  <c r="I87" i="17"/>
  <c r="J87" i="15"/>
  <c r="E89" i="4"/>
  <c r="H88" i="2"/>
  <c r="K89" i="4"/>
  <c r="N88" i="2"/>
  <c r="S72" i="16"/>
  <c r="S72" i="17"/>
  <c r="T72" i="15"/>
  <c r="M74" i="4"/>
  <c r="O73" i="2"/>
  <c r="AA73" i="2"/>
  <c r="Y74" i="4"/>
  <c r="Y73" i="2"/>
  <c r="W74" i="4"/>
  <c r="E87" i="17"/>
  <c r="E87" i="16"/>
  <c r="F87" i="15"/>
  <c r="P72" i="16"/>
  <c r="P72" i="17"/>
  <c r="Q72" i="15"/>
  <c r="H87" i="17"/>
  <c r="H87" i="16"/>
  <c r="I87" i="15"/>
  <c r="H89" i="4"/>
  <c r="K88" i="2"/>
  <c r="J87" i="17"/>
  <c r="J87" i="16"/>
  <c r="K87" i="15"/>
  <c r="S74" i="4"/>
  <c r="U74" i="2" s="1"/>
  <c r="Y72" i="17"/>
  <c r="Y72" i="16"/>
  <c r="Z72" i="15"/>
  <c r="C89" i="2"/>
  <c r="B90" i="2"/>
  <c r="D90" i="2" s="1"/>
  <c r="AC64" i="7"/>
  <c r="BB62" i="2"/>
  <c r="AW70" i="2"/>
  <c r="AY63" i="2"/>
  <c r="AX70" i="2"/>
  <c r="AF64" i="7"/>
  <c r="J70" i="10"/>
  <c r="J70" i="9"/>
  <c r="K70" i="7"/>
  <c r="H70" i="10"/>
  <c r="H70" i="9"/>
  <c r="I70" i="7"/>
  <c r="L70" i="10"/>
  <c r="L70" i="9"/>
  <c r="M70" i="7"/>
  <c r="D70" i="12"/>
  <c r="G70" i="12"/>
  <c r="Q70" i="14" s="1"/>
  <c r="S70" i="14" s="1"/>
  <c r="AC67" i="10"/>
  <c r="AC67" i="9"/>
  <c r="AM67" i="7"/>
  <c r="K69" i="12"/>
  <c r="H69" i="12"/>
  <c r="J69" i="12" s="1"/>
  <c r="X72" i="10"/>
  <c r="X72" i="9"/>
  <c r="Y72" i="7"/>
  <c r="B71" i="12"/>
  <c r="T71" i="14" s="1"/>
  <c r="V71" i="14" s="1"/>
  <c r="B71" i="10"/>
  <c r="B71" i="9"/>
  <c r="C71" i="7"/>
  <c r="D70" i="10"/>
  <c r="D70" i="9"/>
  <c r="E70" i="7"/>
  <c r="U70" i="10"/>
  <c r="U70" i="9"/>
  <c r="V70" i="7"/>
  <c r="F70" i="10"/>
  <c r="F70" i="9"/>
  <c r="G70" i="7"/>
  <c r="W72" i="10"/>
  <c r="W72" i="9"/>
  <c r="X72" i="7"/>
  <c r="AG62" i="10"/>
  <c r="AG62" i="9"/>
  <c r="AQ62" i="7"/>
  <c r="AB68" i="7"/>
  <c r="Y72" i="10"/>
  <c r="Y72" i="9"/>
  <c r="Z72" i="7"/>
  <c r="Q70" i="10"/>
  <c r="Q70" i="9"/>
  <c r="R70" i="7"/>
  <c r="O70" i="10"/>
  <c r="O70" i="9"/>
  <c r="P70" i="7"/>
  <c r="S70" i="10"/>
  <c r="S70" i="9"/>
  <c r="T70" i="7"/>
  <c r="AA62" i="10"/>
  <c r="AA62" i="9"/>
  <c r="AK62" i="7"/>
  <c r="V73" i="10"/>
  <c r="V73" i="9"/>
  <c r="W73" i="7"/>
  <c r="K70" i="10"/>
  <c r="K70" i="9"/>
  <c r="L70" i="7"/>
  <c r="I70" i="10"/>
  <c r="I70" i="9"/>
  <c r="J70" i="7"/>
  <c r="G70" i="10"/>
  <c r="G70" i="9"/>
  <c r="H70" i="7"/>
  <c r="M70" i="10"/>
  <c r="M70" i="9"/>
  <c r="N70" i="7"/>
  <c r="AR61" i="7"/>
  <c r="AF68" i="10"/>
  <c r="AF68" i="9"/>
  <c r="AP68" i="7"/>
  <c r="E70" i="10"/>
  <c r="E70" i="9"/>
  <c r="F70" i="7"/>
  <c r="T70" i="10"/>
  <c r="T70" i="9"/>
  <c r="U70" i="7"/>
  <c r="AH61" i="9"/>
  <c r="AD67" i="10"/>
  <c r="AD67" i="9"/>
  <c r="AN67" i="7"/>
  <c r="AE68" i="10"/>
  <c r="AE68" i="9"/>
  <c r="AO68" i="7"/>
  <c r="AB63" i="10"/>
  <c r="AB63" i="9"/>
  <c r="AL63" i="7"/>
  <c r="AH68" i="7"/>
  <c r="AJ68" i="7"/>
  <c r="R70" i="10"/>
  <c r="R70" i="9"/>
  <c r="S70" i="7"/>
  <c r="P70" i="10"/>
  <c r="P70" i="9"/>
  <c r="Q70" i="7"/>
  <c r="N70" i="10"/>
  <c r="N70" i="9"/>
  <c r="O70" i="7"/>
  <c r="AH61" i="10"/>
  <c r="K79" i="13"/>
  <c r="M80" i="13"/>
  <c r="I80" i="13"/>
  <c r="K80" i="13" s="1"/>
  <c r="H81" i="13"/>
  <c r="E81" i="13"/>
  <c r="G88" i="13"/>
  <c r="B88" i="13"/>
  <c r="F84" i="12"/>
  <c r="C88" i="12"/>
  <c r="AZ63" i="2"/>
  <c r="BA63" i="2"/>
  <c r="AE65" i="7"/>
  <c r="AD65" i="7"/>
  <c r="AY64" i="2"/>
  <c r="C63" i="3"/>
  <c r="B62" i="3"/>
  <c r="F61" i="3"/>
  <c r="E62" i="3"/>
  <c r="J69" i="3"/>
  <c r="G58" i="1"/>
  <c r="D61" i="1"/>
  <c r="C63" i="10" l="1"/>
  <c r="D63" i="7"/>
  <c r="B89" i="11"/>
  <c r="B89" i="17"/>
  <c r="B89" i="16"/>
  <c r="AG89" i="2"/>
  <c r="AF89" i="15" s="1"/>
  <c r="C89" i="15"/>
  <c r="AH89" i="2"/>
  <c r="AG89" i="15" s="1"/>
  <c r="AF89" i="2"/>
  <c r="AE89" i="15" s="1"/>
  <c r="AI89" i="2"/>
  <c r="AH89" i="15" s="1"/>
  <c r="AC89" i="2"/>
  <c r="AB89" i="15" s="1"/>
  <c r="AE89" i="2"/>
  <c r="AD89" i="15" s="1"/>
  <c r="AD89" i="2"/>
  <c r="AC89" i="15" s="1"/>
  <c r="AJ89" i="2"/>
  <c r="AI89" i="15" s="1"/>
  <c r="AR89" i="2"/>
  <c r="AL89" i="2"/>
  <c r="AK89" i="2"/>
  <c r="AJ89" i="15" s="1"/>
  <c r="W87" i="14"/>
  <c r="Y87" i="14" s="1"/>
  <c r="H87" i="11"/>
  <c r="J87" i="11" s="1"/>
  <c r="H88" i="15"/>
  <c r="I89" i="2"/>
  <c r="G88" i="17"/>
  <c r="G88" i="16"/>
  <c r="B90" i="17"/>
  <c r="B90" i="16"/>
  <c r="B90" i="11"/>
  <c r="AG90" i="2"/>
  <c r="AF90" i="15" s="1"/>
  <c r="C90" i="15"/>
  <c r="AH90" i="2"/>
  <c r="AG90" i="15" s="1"/>
  <c r="AF90" i="2"/>
  <c r="AE90" i="15" s="1"/>
  <c r="AL90" i="2"/>
  <c r="AC90" i="2"/>
  <c r="AB90" i="15" s="1"/>
  <c r="AK90" i="2"/>
  <c r="AJ90" i="15" s="1"/>
  <c r="AD90" i="2"/>
  <c r="AC90" i="15" s="1"/>
  <c r="AR90" i="2"/>
  <c r="AI90" i="2"/>
  <c r="AH90" i="15" s="1"/>
  <c r="AE90" i="2"/>
  <c r="AD90" i="15" s="1"/>
  <c r="AJ90" i="2"/>
  <c r="AI90" i="15" s="1"/>
  <c r="AA88" i="16"/>
  <c r="AK88" i="15"/>
  <c r="AA88" i="17"/>
  <c r="Z88" i="14"/>
  <c r="AB88" i="14" s="1"/>
  <c r="D88" i="11"/>
  <c r="G88" i="11"/>
  <c r="AG88" i="17"/>
  <c r="AG88" i="16"/>
  <c r="AQ88" i="15"/>
  <c r="S75" i="4"/>
  <c r="U75" i="2" s="1"/>
  <c r="Y73" i="16"/>
  <c r="Z73" i="15"/>
  <c r="Y73" i="17"/>
  <c r="L88" i="16"/>
  <c r="L88" i="17"/>
  <c r="M88" i="15"/>
  <c r="X73" i="17"/>
  <c r="X73" i="16"/>
  <c r="Y73" i="15"/>
  <c r="T73" i="17"/>
  <c r="T73" i="16"/>
  <c r="U73" i="15"/>
  <c r="M73" i="17"/>
  <c r="AH73" i="17" s="1"/>
  <c r="N73" i="14" s="1"/>
  <c r="P73" i="14" s="1"/>
  <c r="M73" i="16"/>
  <c r="AH73" i="16" s="1"/>
  <c r="K73" i="14" s="1"/>
  <c r="M73" i="14" s="1"/>
  <c r="AS73" i="2"/>
  <c r="N73" i="15"/>
  <c r="AR73" i="15" s="1"/>
  <c r="E73" i="14" s="1"/>
  <c r="G73" i="14" s="1"/>
  <c r="K90" i="4"/>
  <c r="N89" i="2"/>
  <c r="D88" i="17"/>
  <c r="D88" i="16"/>
  <c r="E88" i="15"/>
  <c r="N73" i="16"/>
  <c r="N73" i="17"/>
  <c r="O73" i="15"/>
  <c r="T75" i="4"/>
  <c r="V74" i="2"/>
  <c r="J88" i="17"/>
  <c r="J88" i="16"/>
  <c r="K88" i="15"/>
  <c r="M75" i="4"/>
  <c r="O74" i="2"/>
  <c r="F88" i="16"/>
  <c r="F88" i="17"/>
  <c r="G88" i="15"/>
  <c r="C90" i="4"/>
  <c r="F89" i="2"/>
  <c r="H72" i="14"/>
  <c r="J72" i="14" s="1"/>
  <c r="B72" i="14"/>
  <c r="D72" i="14" s="1"/>
  <c r="N75" i="4"/>
  <c r="P74" i="2"/>
  <c r="Q73" i="17"/>
  <c r="Q73" i="16"/>
  <c r="R73" i="15"/>
  <c r="AT73" i="2"/>
  <c r="C63" i="16"/>
  <c r="C63" i="17"/>
  <c r="D63" i="15"/>
  <c r="I90" i="4"/>
  <c r="L89" i="2"/>
  <c r="P73" i="16"/>
  <c r="P73" i="17"/>
  <c r="Q73" i="15"/>
  <c r="Y74" i="2"/>
  <c r="W75" i="4"/>
  <c r="E90" i="4"/>
  <c r="H89" i="2"/>
  <c r="K88" i="16"/>
  <c r="K88" i="17"/>
  <c r="L88" i="15"/>
  <c r="O88" i="17"/>
  <c r="O88" i="16"/>
  <c r="P88" i="15"/>
  <c r="AB74" i="2"/>
  <c r="Z75" i="4"/>
  <c r="U73" i="17"/>
  <c r="U73" i="16"/>
  <c r="V73" i="15"/>
  <c r="Q75" i="4"/>
  <c r="S74" i="2"/>
  <c r="B65" i="4"/>
  <c r="E64" i="2"/>
  <c r="C64" i="10" s="1"/>
  <c r="H88" i="17"/>
  <c r="H88" i="16"/>
  <c r="I88" i="15"/>
  <c r="P75" i="4"/>
  <c r="R74" i="2"/>
  <c r="R73" i="16"/>
  <c r="R73" i="17"/>
  <c r="S73" i="15"/>
  <c r="I88" i="16"/>
  <c r="I88" i="17"/>
  <c r="J88" i="15"/>
  <c r="W73" i="16"/>
  <c r="X73" i="15"/>
  <c r="W73" i="17"/>
  <c r="J90" i="4"/>
  <c r="M89" i="2"/>
  <c r="O90" i="4"/>
  <c r="Q89" i="2"/>
  <c r="Z73" i="17"/>
  <c r="AA73" i="15"/>
  <c r="Z73" i="16"/>
  <c r="Z73" i="10"/>
  <c r="Z73" i="9"/>
  <c r="AA73" i="7"/>
  <c r="U75" i="4"/>
  <c r="W74" i="2"/>
  <c r="X74" i="2"/>
  <c r="V74" i="9" s="1"/>
  <c r="V75" i="4"/>
  <c r="G90" i="4"/>
  <c r="J89" i="2"/>
  <c r="E88" i="16"/>
  <c r="E88" i="17"/>
  <c r="F88" i="15"/>
  <c r="S73" i="16"/>
  <c r="S73" i="17"/>
  <c r="T73" i="15"/>
  <c r="H90" i="4"/>
  <c r="K89" i="2"/>
  <c r="AA74" i="2"/>
  <c r="Y75" i="4"/>
  <c r="Z74" i="2"/>
  <c r="X75" i="4"/>
  <c r="V73" i="17"/>
  <c r="V73" i="16"/>
  <c r="W73" i="15"/>
  <c r="D90" i="4"/>
  <c r="G89" i="2"/>
  <c r="R75" i="4"/>
  <c r="T74" i="2"/>
  <c r="B91" i="2"/>
  <c r="D91" i="2" s="1"/>
  <c r="C90" i="2"/>
  <c r="AC65" i="7"/>
  <c r="BB63" i="2"/>
  <c r="AF65" i="7"/>
  <c r="AX71" i="2"/>
  <c r="AW71" i="2"/>
  <c r="AH62" i="9"/>
  <c r="AH62" i="10"/>
  <c r="AR62" i="7"/>
  <c r="AJ69" i="7"/>
  <c r="Y73" i="10"/>
  <c r="Y73" i="9"/>
  <c r="Z73" i="7"/>
  <c r="G71" i="10"/>
  <c r="G71" i="9"/>
  <c r="H71" i="7"/>
  <c r="N71" i="10"/>
  <c r="N71" i="9"/>
  <c r="O71" i="7"/>
  <c r="D71" i="10"/>
  <c r="D71" i="9"/>
  <c r="E71" i="7"/>
  <c r="P71" i="10"/>
  <c r="P71" i="9"/>
  <c r="Q71" i="7"/>
  <c r="K70" i="12"/>
  <c r="H70" i="12"/>
  <c r="J70" i="12" s="1"/>
  <c r="X73" i="10"/>
  <c r="X73" i="9"/>
  <c r="Y73" i="7"/>
  <c r="AB69" i="7"/>
  <c r="U71" i="10"/>
  <c r="U71" i="9"/>
  <c r="V71" i="7"/>
  <c r="K71" i="10"/>
  <c r="K71" i="9"/>
  <c r="L71" i="7"/>
  <c r="R71" i="10"/>
  <c r="R71" i="9"/>
  <c r="S71" i="7"/>
  <c r="AH69" i="7"/>
  <c r="W73" i="10"/>
  <c r="W73" i="9"/>
  <c r="X73" i="7"/>
  <c r="O71" i="10"/>
  <c r="O71" i="9"/>
  <c r="P71" i="7"/>
  <c r="E71" i="10"/>
  <c r="E71" i="9"/>
  <c r="F71" i="7"/>
  <c r="I71" i="10"/>
  <c r="I71" i="9"/>
  <c r="J71" i="7"/>
  <c r="AC68" i="10"/>
  <c r="AC68" i="9"/>
  <c r="AM68" i="7"/>
  <c r="AB64" i="10"/>
  <c r="AB64" i="9"/>
  <c r="AL64" i="7"/>
  <c r="L71" i="10"/>
  <c r="L71" i="9"/>
  <c r="M71" i="7"/>
  <c r="S71" i="10"/>
  <c r="S71" i="9"/>
  <c r="T71" i="7"/>
  <c r="D71" i="12"/>
  <c r="G71" i="12"/>
  <c r="Q71" i="14" s="1"/>
  <c r="S71" i="14" s="1"/>
  <c r="AG65" i="7"/>
  <c r="AG64" i="7"/>
  <c r="AD68" i="10"/>
  <c r="AD68" i="9"/>
  <c r="AN68" i="7"/>
  <c r="AA63" i="10"/>
  <c r="AA63" i="9"/>
  <c r="AK63" i="7"/>
  <c r="B72" i="12"/>
  <c r="T72" i="14" s="1"/>
  <c r="V72" i="14" s="1"/>
  <c r="B72" i="10"/>
  <c r="B72" i="9"/>
  <c r="C72" i="7"/>
  <c r="F71" i="10"/>
  <c r="F71" i="9"/>
  <c r="G71" i="7"/>
  <c r="M71" i="10"/>
  <c r="M71" i="9"/>
  <c r="N71" i="7"/>
  <c r="Q71" i="10"/>
  <c r="Q71" i="9"/>
  <c r="R71" i="7"/>
  <c r="AG63" i="10"/>
  <c r="AG63" i="9"/>
  <c r="AQ63" i="7"/>
  <c r="AE69" i="10"/>
  <c r="AE69" i="9"/>
  <c r="AO69" i="7"/>
  <c r="AF69" i="10"/>
  <c r="AF69" i="9"/>
  <c r="AP69" i="7"/>
  <c r="AI69" i="7"/>
  <c r="AI68" i="7"/>
  <c r="T71" i="10"/>
  <c r="T71" i="9"/>
  <c r="U71" i="7"/>
  <c r="J71" i="10"/>
  <c r="J71" i="9"/>
  <c r="K71" i="7"/>
  <c r="H71" i="10"/>
  <c r="H71" i="9"/>
  <c r="I71" i="7"/>
  <c r="L80" i="13"/>
  <c r="E82" i="13"/>
  <c r="O82" i="13" s="1"/>
  <c r="H82" i="13"/>
  <c r="M81" i="13"/>
  <c r="I81" i="13"/>
  <c r="L81" i="13" s="1"/>
  <c r="G89" i="13"/>
  <c r="B89" i="13"/>
  <c r="C89" i="12"/>
  <c r="F85" i="12"/>
  <c r="AZ64" i="2"/>
  <c r="BA64" i="2"/>
  <c r="AE66" i="7"/>
  <c r="AD66" i="7"/>
  <c r="C64" i="3"/>
  <c r="B63" i="3"/>
  <c r="J70" i="3"/>
  <c r="F62" i="3"/>
  <c r="E63" i="3"/>
  <c r="G59" i="1"/>
  <c r="D62" i="1"/>
  <c r="V74" i="10" l="1"/>
  <c r="W74" i="7"/>
  <c r="D64" i="7"/>
  <c r="C64" i="9"/>
  <c r="L87" i="11"/>
  <c r="AG90" i="17"/>
  <c r="AG90" i="16"/>
  <c r="AQ90" i="15"/>
  <c r="I90" i="2"/>
  <c r="G89" i="16"/>
  <c r="G89" i="17"/>
  <c r="H89" i="15"/>
  <c r="B91" i="11"/>
  <c r="B91" i="17"/>
  <c r="B91" i="16"/>
  <c r="C91" i="15"/>
  <c r="AG91" i="2"/>
  <c r="AF91" i="15" s="1"/>
  <c r="AH91" i="2"/>
  <c r="AG91" i="15" s="1"/>
  <c r="AC91" i="2"/>
  <c r="AB91" i="15" s="1"/>
  <c r="AF91" i="2"/>
  <c r="AE91" i="15" s="1"/>
  <c r="AI91" i="2"/>
  <c r="AH91" i="15" s="1"/>
  <c r="AK91" i="2"/>
  <c r="AJ91" i="15" s="1"/>
  <c r="AE91" i="2"/>
  <c r="AD91" i="15" s="1"/>
  <c r="AD91" i="2"/>
  <c r="AC91" i="15" s="1"/>
  <c r="AJ91" i="2"/>
  <c r="AI91" i="15" s="1"/>
  <c r="AR91" i="2"/>
  <c r="AL91" i="2"/>
  <c r="W88" i="14"/>
  <c r="Y88" i="14" s="1"/>
  <c r="H88" i="11"/>
  <c r="J88" i="11" s="1"/>
  <c r="Z90" i="14"/>
  <c r="AB90" i="14" s="1"/>
  <c r="D90" i="11"/>
  <c r="G90" i="11"/>
  <c r="AA89" i="16"/>
  <c r="AA89" i="17"/>
  <c r="AK89" i="15"/>
  <c r="AA90" i="17"/>
  <c r="AA90" i="16"/>
  <c r="AK90" i="15"/>
  <c r="K87" i="11"/>
  <c r="AG89" i="16"/>
  <c r="AG89" i="17"/>
  <c r="AQ89" i="15"/>
  <c r="Z89" i="14"/>
  <c r="AB89" i="14" s="1"/>
  <c r="D89" i="11"/>
  <c r="G89" i="11"/>
  <c r="D91" i="4"/>
  <c r="G90" i="2"/>
  <c r="AA75" i="2"/>
  <c r="Y76" i="4"/>
  <c r="X75" i="2"/>
  <c r="V75" i="10" s="1"/>
  <c r="V76" i="4"/>
  <c r="K89" i="17"/>
  <c r="K89" i="16"/>
  <c r="L89" i="15"/>
  <c r="R75" i="2"/>
  <c r="P76" i="4"/>
  <c r="Q74" i="17"/>
  <c r="Q74" i="16"/>
  <c r="R74" i="15"/>
  <c r="AT74" i="2"/>
  <c r="Z74" i="17"/>
  <c r="AA74" i="15"/>
  <c r="Z74" i="16"/>
  <c r="AA74" i="7"/>
  <c r="Z74" i="10"/>
  <c r="Z74" i="9"/>
  <c r="N76" i="4"/>
  <c r="P75" i="2"/>
  <c r="Y74" i="17"/>
  <c r="Y74" i="16"/>
  <c r="Z74" i="15"/>
  <c r="V74" i="17"/>
  <c r="W74" i="15"/>
  <c r="V74" i="16"/>
  <c r="J91" i="4"/>
  <c r="M90" i="2"/>
  <c r="Q76" i="4"/>
  <c r="S75" i="2"/>
  <c r="F89" i="17"/>
  <c r="F89" i="16"/>
  <c r="G89" i="15"/>
  <c r="H73" i="14"/>
  <c r="J73" i="14" s="1"/>
  <c r="B73" i="14"/>
  <c r="D73" i="14" s="1"/>
  <c r="R74" i="17"/>
  <c r="R74" i="16"/>
  <c r="S74" i="15"/>
  <c r="I89" i="17"/>
  <c r="I89" i="16"/>
  <c r="J89" i="15"/>
  <c r="U74" i="17"/>
  <c r="U74" i="16"/>
  <c r="V74" i="15"/>
  <c r="E91" i="4"/>
  <c r="H90" i="2"/>
  <c r="J89" i="17"/>
  <c r="J89" i="16"/>
  <c r="K89" i="15"/>
  <c r="T74" i="17"/>
  <c r="T74" i="16"/>
  <c r="U74" i="15"/>
  <c r="H91" i="4"/>
  <c r="K90" i="2"/>
  <c r="U76" i="4"/>
  <c r="W75" i="2"/>
  <c r="Y75" i="2"/>
  <c r="W76" i="4"/>
  <c r="I91" i="4"/>
  <c r="L90" i="2"/>
  <c r="D89" i="17"/>
  <c r="D89" i="16"/>
  <c r="E89" i="15"/>
  <c r="M74" i="16"/>
  <c r="AH74" i="16" s="1"/>
  <c r="K74" i="14" s="1"/>
  <c r="M74" i="14" s="1"/>
  <c r="M74" i="17"/>
  <c r="AH74" i="17" s="1"/>
  <c r="N74" i="14" s="1"/>
  <c r="P74" i="14" s="1"/>
  <c r="AS74" i="2"/>
  <c r="N74" i="15"/>
  <c r="AR74" i="15" s="1"/>
  <c r="E74" i="14" s="1"/>
  <c r="G74" i="14" s="1"/>
  <c r="T76" i="4"/>
  <c r="V75" i="2"/>
  <c r="R76" i="4"/>
  <c r="T75" i="2"/>
  <c r="Z75" i="2"/>
  <c r="X76" i="4"/>
  <c r="H89" i="16"/>
  <c r="H89" i="17"/>
  <c r="I89" i="15"/>
  <c r="O89" i="16"/>
  <c r="O89" i="17"/>
  <c r="P89" i="15"/>
  <c r="C64" i="16"/>
  <c r="C64" i="17"/>
  <c r="D64" i="15"/>
  <c r="W74" i="17"/>
  <c r="W74" i="16"/>
  <c r="X74" i="15"/>
  <c r="C91" i="4"/>
  <c r="F90" i="2"/>
  <c r="M76" i="4"/>
  <c r="O75" i="2"/>
  <c r="L89" i="17"/>
  <c r="L89" i="16"/>
  <c r="M89" i="15"/>
  <c r="S74" i="17"/>
  <c r="S74" i="16"/>
  <c r="T74" i="15"/>
  <c r="E89" i="17"/>
  <c r="E89" i="16"/>
  <c r="F89" i="15"/>
  <c r="X74" i="16"/>
  <c r="Y74" i="15"/>
  <c r="X74" i="17"/>
  <c r="G91" i="4"/>
  <c r="J90" i="2"/>
  <c r="O91" i="4"/>
  <c r="Q90" i="2"/>
  <c r="P74" i="17"/>
  <c r="P74" i="16"/>
  <c r="Q74" i="15"/>
  <c r="B66" i="4"/>
  <c r="E65" i="2"/>
  <c r="C65" i="10" s="1"/>
  <c r="AB75" i="2"/>
  <c r="Z76" i="4"/>
  <c r="N74" i="17"/>
  <c r="N74" i="16"/>
  <c r="O74" i="15"/>
  <c r="K91" i="4"/>
  <c r="N90" i="2"/>
  <c r="S76" i="4"/>
  <c r="U76" i="2" s="1"/>
  <c r="C91" i="2"/>
  <c r="B92" i="2"/>
  <c r="D92" i="2" s="1"/>
  <c r="AC66" i="7"/>
  <c r="BB64" i="2"/>
  <c r="AW72" i="2"/>
  <c r="AY65" i="2"/>
  <c r="AF66" i="7"/>
  <c r="AX72" i="2"/>
  <c r="AE70" i="10"/>
  <c r="AE70" i="9"/>
  <c r="AO70" i="7"/>
  <c r="AB65" i="10"/>
  <c r="AB65" i="9"/>
  <c r="AL65" i="7"/>
  <c r="G72" i="10"/>
  <c r="G72" i="9"/>
  <c r="H72" i="7"/>
  <c r="K72" i="10"/>
  <c r="K72" i="9"/>
  <c r="L72" i="7"/>
  <c r="S72" i="10"/>
  <c r="S72" i="9"/>
  <c r="T72" i="7"/>
  <c r="AH63" i="9"/>
  <c r="AF70" i="10"/>
  <c r="AF70" i="9"/>
  <c r="AP70" i="7"/>
  <c r="I72" i="10"/>
  <c r="I72" i="9"/>
  <c r="J72" i="7"/>
  <c r="P72" i="10"/>
  <c r="P72" i="9"/>
  <c r="Q72" i="7"/>
  <c r="E72" i="10"/>
  <c r="E72" i="9"/>
  <c r="F72" i="7"/>
  <c r="M72" i="10"/>
  <c r="M72" i="9"/>
  <c r="N72" i="7"/>
  <c r="AH63" i="10"/>
  <c r="K71" i="12"/>
  <c r="H71" i="12"/>
  <c r="J71" i="12" s="1"/>
  <c r="L72" i="10"/>
  <c r="L72" i="9"/>
  <c r="M72" i="7"/>
  <c r="T72" i="10"/>
  <c r="T72" i="9"/>
  <c r="U72" i="7"/>
  <c r="Y74" i="10"/>
  <c r="Y74" i="9"/>
  <c r="Z74" i="7"/>
  <c r="AC69" i="10"/>
  <c r="AC69" i="9"/>
  <c r="AM69" i="7"/>
  <c r="R72" i="10"/>
  <c r="R72" i="9"/>
  <c r="S72" i="7"/>
  <c r="F72" i="10"/>
  <c r="F72" i="9"/>
  <c r="G72" i="7"/>
  <c r="N72" i="10"/>
  <c r="N72" i="9"/>
  <c r="O72" i="7"/>
  <c r="AJ70" i="7"/>
  <c r="AD69" i="10"/>
  <c r="AD69" i="9"/>
  <c r="AN69" i="7"/>
  <c r="AG64" i="10"/>
  <c r="AG64" i="9"/>
  <c r="AQ64" i="7"/>
  <c r="H72" i="10"/>
  <c r="H72" i="9"/>
  <c r="I72" i="7"/>
  <c r="U72" i="10"/>
  <c r="U72" i="9"/>
  <c r="V72" i="7"/>
  <c r="J72" i="10"/>
  <c r="J72" i="9"/>
  <c r="K72" i="7"/>
  <c r="D72" i="12"/>
  <c r="L72" i="12" s="1"/>
  <c r="G72" i="12"/>
  <c r="Q72" i="14" s="1"/>
  <c r="S72" i="14" s="1"/>
  <c r="W74" i="10"/>
  <c r="W74" i="9"/>
  <c r="X74" i="7"/>
  <c r="AB70" i="7"/>
  <c r="AA64" i="10"/>
  <c r="AA64" i="9"/>
  <c r="AK64" i="7"/>
  <c r="B73" i="12"/>
  <c r="T73" i="14" s="1"/>
  <c r="V73" i="14" s="1"/>
  <c r="B73" i="10"/>
  <c r="B73" i="9"/>
  <c r="C73" i="7"/>
  <c r="Q72" i="10"/>
  <c r="Q72" i="9"/>
  <c r="R72" i="7"/>
  <c r="O72" i="10"/>
  <c r="O72" i="9"/>
  <c r="P72" i="7"/>
  <c r="D72" i="10"/>
  <c r="D72" i="9"/>
  <c r="E72" i="7"/>
  <c r="AR63" i="7"/>
  <c r="X74" i="10"/>
  <c r="X74" i="9"/>
  <c r="Y74" i="7"/>
  <c r="AH70" i="7"/>
  <c r="M82" i="13"/>
  <c r="I82" i="13"/>
  <c r="K82" i="13" s="1"/>
  <c r="P82" i="13"/>
  <c r="Q82" i="13"/>
  <c r="N82" i="13"/>
  <c r="K81" i="13"/>
  <c r="H83" i="13"/>
  <c r="E83" i="13"/>
  <c r="G90" i="13"/>
  <c r="B90" i="13"/>
  <c r="F86" i="12"/>
  <c r="C90" i="12"/>
  <c r="AZ65" i="2"/>
  <c r="BA65" i="2"/>
  <c r="AE67" i="7"/>
  <c r="AD67" i="7"/>
  <c r="AY66" i="2"/>
  <c r="C65" i="3"/>
  <c r="B64" i="3"/>
  <c r="F63" i="3"/>
  <c r="E64" i="3"/>
  <c r="J71" i="3"/>
  <c r="G60" i="1"/>
  <c r="D63" i="1"/>
  <c r="W75" i="7" l="1"/>
  <c r="D65" i="7"/>
  <c r="C65" i="9"/>
  <c r="V75" i="9"/>
  <c r="W89" i="14"/>
  <c r="Y89" i="14" s="1"/>
  <c r="H89" i="11"/>
  <c r="J89" i="11" s="1"/>
  <c r="AA91" i="17"/>
  <c r="AA91" i="16"/>
  <c r="AK91" i="15"/>
  <c r="I91" i="2"/>
  <c r="G90" i="17"/>
  <c r="G90" i="16"/>
  <c r="H90" i="15"/>
  <c r="W90" i="14"/>
  <c r="Y90" i="14" s="1"/>
  <c r="H90" i="11"/>
  <c r="J90" i="11" s="1"/>
  <c r="AG91" i="16"/>
  <c r="AQ91" i="15"/>
  <c r="AG91" i="17"/>
  <c r="B92" i="17"/>
  <c r="B92" i="11"/>
  <c r="B92" i="16"/>
  <c r="AG92" i="2"/>
  <c r="AF92" i="15" s="1"/>
  <c r="C92" i="15"/>
  <c r="AH92" i="2"/>
  <c r="AG92" i="15" s="1"/>
  <c r="AD92" i="2"/>
  <c r="AC92" i="15" s="1"/>
  <c r="AI92" i="2"/>
  <c r="AH92" i="15" s="1"/>
  <c r="AC92" i="2"/>
  <c r="AB92" i="15" s="1"/>
  <c r="AK92" i="2"/>
  <c r="AJ92" i="15" s="1"/>
  <c r="AJ92" i="2"/>
  <c r="AI92" i="15" s="1"/>
  <c r="AE92" i="2"/>
  <c r="AD92" i="15" s="1"/>
  <c r="AR92" i="2"/>
  <c r="AF92" i="2"/>
  <c r="AE92" i="15" s="1"/>
  <c r="AL92" i="2"/>
  <c r="I92" i="2"/>
  <c r="Z91" i="14"/>
  <c r="AB91" i="14" s="1"/>
  <c r="D91" i="11"/>
  <c r="G91" i="11"/>
  <c r="B67" i="4"/>
  <c r="E66" i="2"/>
  <c r="C66" i="10" s="1"/>
  <c r="H90" i="17"/>
  <c r="H90" i="16"/>
  <c r="I90" i="15"/>
  <c r="Z76" i="2"/>
  <c r="X77" i="4"/>
  <c r="T77" i="4"/>
  <c r="V76" i="2"/>
  <c r="U75" i="17"/>
  <c r="U75" i="16"/>
  <c r="V75" i="15"/>
  <c r="J92" i="4"/>
  <c r="M91" i="2"/>
  <c r="X76" i="2"/>
  <c r="V76" i="9" s="1"/>
  <c r="V77" i="4"/>
  <c r="G92" i="4"/>
  <c r="J91" i="2"/>
  <c r="X75" i="17"/>
  <c r="Y75" i="15"/>
  <c r="X75" i="16"/>
  <c r="U77" i="4"/>
  <c r="W76" i="2"/>
  <c r="N75" i="17"/>
  <c r="N75" i="16"/>
  <c r="O75" i="15"/>
  <c r="P77" i="4"/>
  <c r="R76" i="2"/>
  <c r="V75" i="16"/>
  <c r="W75" i="15"/>
  <c r="V75" i="17"/>
  <c r="S75" i="17"/>
  <c r="S75" i="16"/>
  <c r="T75" i="15"/>
  <c r="AS75" i="2"/>
  <c r="M75" i="17"/>
  <c r="AH75" i="17" s="1"/>
  <c r="N75" i="14" s="1"/>
  <c r="P75" i="14" s="1"/>
  <c r="M75" i="16"/>
  <c r="AH75" i="16" s="1"/>
  <c r="K75" i="14" s="1"/>
  <c r="M75" i="14" s="1"/>
  <c r="N75" i="15"/>
  <c r="AR75" i="15" s="1"/>
  <c r="E75" i="14" s="1"/>
  <c r="G75" i="14" s="1"/>
  <c r="R75" i="17"/>
  <c r="R75" i="16"/>
  <c r="S75" i="15"/>
  <c r="B74" i="14"/>
  <c r="D74" i="14" s="1"/>
  <c r="H74" i="14"/>
  <c r="J74" i="14" s="1"/>
  <c r="J90" i="17"/>
  <c r="J90" i="16"/>
  <c r="K90" i="15"/>
  <c r="I90" i="16"/>
  <c r="I90" i="17"/>
  <c r="J90" i="15"/>
  <c r="N77" i="4"/>
  <c r="P76" i="2"/>
  <c r="P75" i="16"/>
  <c r="P75" i="17"/>
  <c r="Q75" i="15"/>
  <c r="AA76" i="2"/>
  <c r="Y77" i="4"/>
  <c r="S77" i="4"/>
  <c r="U77" i="2" s="1"/>
  <c r="AB76" i="2"/>
  <c r="Z77" i="4"/>
  <c r="M77" i="4"/>
  <c r="O76" i="2"/>
  <c r="I92" i="4"/>
  <c r="L91" i="2"/>
  <c r="H92" i="4"/>
  <c r="K91" i="2"/>
  <c r="Q75" i="17"/>
  <c r="Q75" i="16"/>
  <c r="R75" i="15"/>
  <c r="AT75" i="2"/>
  <c r="Y75" i="16"/>
  <c r="Z75" i="15"/>
  <c r="Y75" i="17"/>
  <c r="L90" i="17"/>
  <c r="L90" i="16"/>
  <c r="M90" i="15"/>
  <c r="AA75" i="15"/>
  <c r="Z75" i="16"/>
  <c r="Z75" i="17"/>
  <c r="Z75" i="9"/>
  <c r="AA75" i="7"/>
  <c r="Z75" i="10"/>
  <c r="O90" i="17"/>
  <c r="O90" i="16"/>
  <c r="P90" i="15"/>
  <c r="D90" i="17"/>
  <c r="D90" i="16"/>
  <c r="E90" i="15"/>
  <c r="R77" i="4"/>
  <c r="T76" i="2"/>
  <c r="Y76" i="2"/>
  <c r="W77" i="4"/>
  <c r="F90" i="17"/>
  <c r="F90" i="16"/>
  <c r="G90" i="15"/>
  <c r="Q77" i="4"/>
  <c r="S76" i="2"/>
  <c r="E90" i="17"/>
  <c r="E90" i="16"/>
  <c r="F90" i="15"/>
  <c r="K92" i="4"/>
  <c r="N91" i="2"/>
  <c r="C65" i="17"/>
  <c r="C65" i="16"/>
  <c r="D65" i="15"/>
  <c r="O92" i="4"/>
  <c r="Q91" i="2"/>
  <c r="C92" i="4"/>
  <c r="F91" i="2"/>
  <c r="T75" i="16"/>
  <c r="T75" i="17"/>
  <c r="U75" i="15"/>
  <c r="W75" i="17"/>
  <c r="W75" i="16"/>
  <c r="X75" i="15"/>
  <c r="E92" i="4"/>
  <c r="H91" i="2"/>
  <c r="K90" i="17"/>
  <c r="K90" i="16"/>
  <c r="L90" i="15"/>
  <c r="D92" i="4"/>
  <c r="G91" i="2"/>
  <c r="AH64" i="9"/>
  <c r="B93" i="2"/>
  <c r="D93" i="2" s="1"/>
  <c r="C92" i="2"/>
  <c r="AC67" i="7"/>
  <c r="AH64" i="10"/>
  <c r="BB65" i="2"/>
  <c r="AX73" i="2"/>
  <c r="AW73" i="2"/>
  <c r="AF67" i="7"/>
  <c r="AC70" i="10"/>
  <c r="AC70" i="9"/>
  <c r="AM70" i="7"/>
  <c r="AG65" i="10"/>
  <c r="AG65" i="9"/>
  <c r="AQ65" i="7"/>
  <c r="AB66" i="10"/>
  <c r="AB66" i="9"/>
  <c r="AL66" i="7"/>
  <c r="W75" i="10"/>
  <c r="W75" i="9"/>
  <c r="X75" i="7"/>
  <c r="K73" i="10"/>
  <c r="K73" i="9"/>
  <c r="L73" i="7"/>
  <c r="T73" i="10"/>
  <c r="T73" i="9"/>
  <c r="U73" i="7"/>
  <c r="H73" i="10"/>
  <c r="H73" i="9"/>
  <c r="I73" i="7"/>
  <c r="P73" i="10"/>
  <c r="P73" i="9"/>
  <c r="Q73" i="7"/>
  <c r="E73" i="10"/>
  <c r="E73" i="9"/>
  <c r="F73" i="7"/>
  <c r="N73" i="10"/>
  <c r="N73" i="9"/>
  <c r="O73" i="7"/>
  <c r="R73" i="10"/>
  <c r="R73" i="9"/>
  <c r="S73" i="7"/>
  <c r="AI71" i="7"/>
  <c r="AI70" i="7"/>
  <c r="AH71" i="7"/>
  <c r="U73" i="10"/>
  <c r="U73" i="9"/>
  <c r="V73" i="7"/>
  <c r="I73" i="10"/>
  <c r="I73" i="9"/>
  <c r="J73" i="7"/>
  <c r="G73" i="10"/>
  <c r="G73" i="9"/>
  <c r="H73" i="7"/>
  <c r="K72" i="12"/>
  <c r="H72" i="12"/>
  <c r="J72" i="12" s="1"/>
  <c r="AJ71" i="7"/>
  <c r="AD70" i="10"/>
  <c r="AD70" i="9"/>
  <c r="AN70" i="7"/>
  <c r="O73" i="10"/>
  <c r="O73" i="9"/>
  <c r="P73" i="7"/>
  <c r="Q73" i="10"/>
  <c r="Q73" i="9"/>
  <c r="R73" i="7"/>
  <c r="D73" i="12"/>
  <c r="G73" i="12"/>
  <c r="Q73" i="14" s="1"/>
  <c r="S73" i="14" s="1"/>
  <c r="AB71" i="7"/>
  <c r="O72" i="12"/>
  <c r="N72" i="12"/>
  <c r="M72" i="12"/>
  <c r="Y75" i="10"/>
  <c r="Y75" i="9"/>
  <c r="Z75" i="7"/>
  <c r="X75" i="10"/>
  <c r="X75" i="9"/>
  <c r="Y75" i="7"/>
  <c r="AF71" i="10"/>
  <c r="AF71" i="9"/>
  <c r="AP71" i="7"/>
  <c r="J73" i="10"/>
  <c r="J73" i="9"/>
  <c r="K73" i="7"/>
  <c r="S73" i="10"/>
  <c r="S73" i="9"/>
  <c r="T73" i="7"/>
  <c r="L73" i="10"/>
  <c r="L73" i="9"/>
  <c r="M73" i="7"/>
  <c r="AG67" i="7"/>
  <c r="AG66" i="7"/>
  <c r="AE71" i="10"/>
  <c r="AE71" i="9"/>
  <c r="AO71" i="7"/>
  <c r="AA65" i="10"/>
  <c r="AA65" i="9"/>
  <c r="AK65" i="7"/>
  <c r="B74" i="12"/>
  <c r="T74" i="14" s="1"/>
  <c r="V74" i="14" s="1"/>
  <c r="B74" i="10"/>
  <c r="B74" i="9"/>
  <c r="AX74" i="2"/>
  <c r="C74" i="7"/>
  <c r="D73" i="10"/>
  <c r="D73" i="9"/>
  <c r="E73" i="7"/>
  <c r="M73" i="10"/>
  <c r="M73" i="9"/>
  <c r="N73" i="7"/>
  <c r="F73" i="10"/>
  <c r="F73" i="9"/>
  <c r="G73" i="7"/>
  <c r="AR64" i="7"/>
  <c r="L82" i="13"/>
  <c r="E84" i="13"/>
  <c r="H84" i="13"/>
  <c r="M83" i="13"/>
  <c r="I83" i="13"/>
  <c r="K83" i="13" s="1"/>
  <c r="G91" i="13"/>
  <c r="B91" i="13"/>
  <c r="F87" i="12"/>
  <c r="C91" i="12"/>
  <c r="AZ66" i="2"/>
  <c r="BA66" i="2"/>
  <c r="AE68" i="7"/>
  <c r="AD68" i="7"/>
  <c r="C66" i="3"/>
  <c r="B65" i="3"/>
  <c r="J72" i="3"/>
  <c r="F64" i="3"/>
  <c r="E65" i="3"/>
  <c r="G61" i="1"/>
  <c r="D64" i="1"/>
  <c r="C66" i="9" l="1"/>
  <c r="V76" i="10"/>
  <c r="W76" i="7"/>
  <c r="D66" i="7"/>
  <c r="AA92" i="17"/>
  <c r="AA92" i="16"/>
  <c r="AK92" i="15"/>
  <c r="Z92" i="14"/>
  <c r="AB92" i="14" s="1"/>
  <c r="D92" i="11"/>
  <c r="G92" i="11"/>
  <c r="W91" i="14"/>
  <c r="Y91" i="14" s="1"/>
  <c r="H91" i="11"/>
  <c r="J91" i="11" s="1"/>
  <c r="AG92" i="17"/>
  <c r="AG92" i="16"/>
  <c r="AQ92" i="15"/>
  <c r="B93" i="11"/>
  <c r="B93" i="16"/>
  <c r="B93" i="17"/>
  <c r="C93" i="15"/>
  <c r="AG93" i="2"/>
  <c r="AF93" i="15" s="1"/>
  <c r="AH93" i="2"/>
  <c r="AG93" i="15" s="1"/>
  <c r="AD93" i="2"/>
  <c r="AC93" i="15" s="1"/>
  <c r="AE93" i="2"/>
  <c r="AD93" i="15" s="1"/>
  <c r="AI93" i="2"/>
  <c r="AH93" i="15" s="1"/>
  <c r="AR93" i="2"/>
  <c r="AF93" i="2"/>
  <c r="AE93" i="15" s="1"/>
  <c r="AK93" i="2"/>
  <c r="AJ93" i="15" s="1"/>
  <c r="AL93" i="2"/>
  <c r="AJ93" i="2"/>
  <c r="AI93" i="15" s="1"/>
  <c r="AC93" i="2"/>
  <c r="AB93" i="15" s="1"/>
  <c r="H92" i="15"/>
  <c r="I93" i="2"/>
  <c r="G92" i="16"/>
  <c r="G92" i="17"/>
  <c r="G91" i="17"/>
  <c r="G91" i="16"/>
  <c r="H91" i="15"/>
  <c r="O93" i="4"/>
  <c r="Q92" i="2"/>
  <c r="I91" i="17"/>
  <c r="I91" i="16"/>
  <c r="J91" i="15"/>
  <c r="AB77" i="2"/>
  <c r="Z78" i="4"/>
  <c r="H91" i="16"/>
  <c r="H91" i="17"/>
  <c r="I91" i="15"/>
  <c r="X76" i="16"/>
  <c r="Y76" i="15"/>
  <c r="X76" i="17"/>
  <c r="F91" i="17"/>
  <c r="F91" i="16"/>
  <c r="G91" i="15"/>
  <c r="R78" i="4"/>
  <c r="T77" i="2"/>
  <c r="H93" i="4"/>
  <c r="K92" i="2"/>
  <c r="Z76" i="17"/>
  <c r="AA76" i="15"/>
  <c r="Z76" i="16"/>
  <c r="AA76" i="7"/>
  <c r="Z76" i="10"/>
  <c r="Z76" i="9"/>
  <c r="H75" i="14"/>
  <c r="J75" i="14" s="1"/>
  <c r="B75" i="14"/>
  <c r="D75" i="14" s="1"/>
  <c r="U76" i="17"/>
  <c r="U76" i="16"/>
  <c r="V76" i="15"/>
  <c r="G93" i="4"/>
  <c r="J92" i="2"/>
  <c r="E91" i="17"/>
  <c r="E91" i="16"/>
  <c r="F91" i="15"/>
  <c r="E93" i="4"/>
  <c r="H92" i="2"/>
  <c r="J91" i="17"/>
  <c r="J91" i="16"/>
  <c r="K91" i="15"/>
  <c r="S76" i="16"/>
  <c r="S76" i="17"/>
  <c r="T76" i="15"/>
  <c r="P76" i="17"/>
  <c r="P76" i="16"/>
  <c r="Q76" i="15"/>
  <c r="U78" i="4"/>
  <c r="W77" i="2"/>
  <c r="X77" i="2"/>
  <c r="V77" i="10" s="1"/>
  <c r="V78" i="4"/>
  <c r="D93" i="4"/>
  <c r="G92" i="2"/>
  <c r="D91" i="17"/>
  <c r="D91" i="16"/>
  <c r="E91" i="15"/>
  <c r="Q76" i="16"/>
  <c r="Q76" i="17"/>
  <c r="R76" i="15"/>
  <c r="AT76" i="2"/>
  <c r="Y77" i="2"/>
  <c r="W78" i="4"/>
  <c r="I93" i="4"/>
  <c r="L92" i="2"/>
  <c r="S78" i="4"/>
  <c r="U78" i="2" s="1"/>
  <c r="N76" i="17"/>
  <c r="N76" i="16"/>
  <c r="O76" i="15"/>
  <c r="P78" i="4"/>
  <c r="R77" i="2"/>
  <c r="W76" i="15"/>
  <c r="V76" i="16"/>
  <c r="V76" i="17"/>
  <c r="T76" i="17"/>
  <c r="T76" i="16"/>
  <c r="U76" i="15"/>
  <c r="C93" i="4"/>
  <c r="F92" i="2"/>
  <c r="L91" i="16"/>
  <c r="L91" i="17"/>
  <c r="M91" i="15"/>
  <c r="Q78" i="4"/>
  <c r="S77" i="2"/>
  <c r="W76" i="17"/>
  <c r="W76" i="16"/>
  <c r="X76" i="15"/>
  <c r="M76" i="17"/>
  <c r="AH76" i="17" s="1"/>
  <c r="N76" i="14" s="1"/>
  <c r="P76" i="14" s="1"/>
  <c r="M76" i="16"/>
  <c r="AH76" i="16" s="1"/>
  <c r="K76" i="14" s="1"/>
  <c r="M76" i="14" s="1"/>
  <c r="AS76" i="2"/>
  <c r="N76" i="15"/>
  <c r="AR76" i="15" s="1"/>
  <c r="E76" i="14" s="1"/>
  <c r="G76" i="14" s="1"/>
  <c r="AA77" i="2"/>
  <c r="Y78" i="4"/>
  <c r="N78" i="4"/>
  <c r="P77" i="2"/>
  <c r="K91" i="17"/>
  <c r="K91" i="16"/>
  <c r="L91" i="15"/>
  <c r="T78" i="4"/>
  <c r="V77" i="2"/>
  <c r="C66" i="17"/>
  <c r="C66" i="16"/>
  <c r="D66" i="15"/>
  <c r="O91" i="17"/>
  <c r="O91" i="16"/>
  <c r="P91" i="15"/>
  <c r="K93" i="4"/>
  <c r="N92" i="2"/>
  <c r="R76" i="17"/>
  <c r="R76" i="16"/>
  <c r="S76" i="15"/>
  <c r="M78" i="4"/>
  <c r="O77" i="2"/>
  <c r="Y76" i="16"/>
  <c r="Y76" i="17"/>
  <c r="Z76" i="15"/>
  <c r="J93" i="4"/>
  <c r="M92" i="2"/>
  <c r="Z77" i="2"/>
  <c r="X78" i="4"/>
  <c r="B68" i="4"/>
  <c r="E67" i="2"/>
  <c r="C67" i="10" s="1"/>
  <c r="AH65" i="9"/>
  <c r="C93" i="2"/>
  <c r="B94" i="2"/>
  <c r="D94" i="2" s="1"/>
  <c r="AC68" i="7"/>
  <c r="BB66" i="2"/>
  <c r="AY67" i="2"/>
  <c r="AW74" i="2"/>
  <c r="AF68" i="7"/>
  <c r="AR65" i="7"/>
  <c r="AH65" i="10"/>
  <c r="R74" i="10"/>
  <c r="R74" i="9"/>
  <c r="S74" i="7"/>
  <c r="P74" i="10"/>
  <c r="P74" i="9"/>
  <c r="Q74" i="7"/>
  <c r="X76" i="10"/>
  <c r="X76" i="9"/>
  <c r="Y76" i="7"/>
  <c r="AH72" i="7"/>
  <c r="L74" i="10"/>
  <c r="L74" i="9"/>
  <c r="M74" i="7"/>
  <c r="J74" i="10"/>
  <c r="J74" i="9"/>
  <c r="K74" i="7"/>
  <c r="T74" i="10"/>
  <c r="T74" i="9"/>
  <c r="U74" i="7"/>
  <c r="AB72" i="7"/>
  <c r="V77" i="9"/>
  <c r="AG66" i="10"/>
  <c r="AG66" i="9"/>
  <c r="AQ66" i="7"/>
  <c r="AF72" i="10"/>
  <c r="AF72" i="9"/>
  <c r="AP72" i="7"/>
  <c r="F74" i="10"/>
  <c r="F74" i="9"/>
  <c r="G74" i="7"/>
  <c r="D74" i="10"/>
  <c r="D74" i="9"/>
  <c r="E74" i="7"/>
  <c r="N74" i="10"/>
  <c r="N74" i="9"/>
  <c r="O74" i="7"/>
  <c r="D74" i="12"/>
  <c r="G74" i="12"/>
  <c r="Q74" i="14" s="1"/>
  <c r="S74" i="14" s="1"/>
  <c r="Y76" i="10"/>
  <c r="Y76" i="9"/>
  <c r="Z76" i="7"/>
  <c r="K73" i="12"/>
  <c r="H73" i="12"/>
  <c r="J73" i="12" s="1"/>
  <c r="AB67" i="10"/>
  <c r="AB67" i="9"/>
  <c r="AL67" i="7"/>
  <c r="B75" i="12"/>
  <c r="T75" i="14" s="1"/>
  <c r="V75" i="14" s="1"/>
  <c r="B75" i="10"/>
  <c r="B75" i="9"/>
  <c r="C75" i="7"/>
  <c r="Q74" i="10"/>
  <c r="Q74" i="9"/>
  <c r="R74" i="7"/>
  <c r="U74" i="10"/>
  <c r="U74" i="9"/>
  <c r="V74" i="7"/>
  <c r="H74" i="10"/>
  <c r="H74" i="9"/>
  <c r="I74" i="7"/>
  <c r="AC71" i="10"/>
  <c r="AC71" i="9"/>
  <c r="AM71" i="7"/>
  <c r="AE72" i="10"/>
  <c r="AE72" i="9"/>
  <c r="AO72" i="7"/>
  <c r="AA66" i="10"/>
  <c r="AA66" i="9"/>
  <c r="AK66" i="7"/>
  <c r="K74" i="10"/>
  <c r="K74" i="9"/>
  <c r="L74" i="7"/>
  <c r="O74" i="10"/>
  <c r="O74" i="9"/>
  <c r="P74" i="7"/>
  <c r="S74" i="10"/>
  <c r="S74" i="9"/>
  <c r="T74" i="7"/>
  <c r="AJ72" i="7"/>
  <c r="W76" i="10"/>
  <c r="W76" i="9"/>
  <c r="X76" i="7"/>
  <c r="AD71" i="10"/>
  <c r="AD71" i="9"/>
  <c r="AN71" i="7"/>
  <c r="G74" i="10"/>
  <c r="G74" i="9"/>
  <c r="H74" i="7"/>
  <c r="E74" i="10"/>
  <c r="E74" i="9"/>
  <c r="F74" i="7"/>
  <c r="I74" i="10"/>
  <c r="I74" i="9"/>
  <c r="J74" i="7"/>
  <c r="M74" i="10"/>
  <c r="M74" i="9"/>
  <c r="N74" i="7"/>
  <c r="L83" i="13"/>
  <c r="M84" i="13"/>
  <c r="I84" i="13"/>
  <c r="K84" i="13" s="1"/>
  <c r="E85" i="13"/>
  <c r="H85" i="13"/>
  <c r="B92" i="13"/>
  <c r="G92" i="13"/>
  <c r="C92" i="12"/>
  <c r="F88" i="12"/>
  <c r="AZ67" i="2"/>
  <c r="BA67" i="2"/>
  <c r="AE69" i="7"/>
  <c r="AD69" i="7"/>
  <c r="AY68" i="2"/>
  <c r="C67" i="3"/>
  <c r="B66" i="3"/>
  <c r="F65" i="3"/>
  <c r="E66" i="3"/>
  <c r="J73" i="3"/>
  <c r="G62" i="1"/>
  <c r="D65" i="1"/>
  <c r="C67" i="9" l="1"/>
  <c r="D67" i="7"/>
  <c r="W77" i="7"/>
  <c r="W92" i="14"/>
  <c r="Y92" i="14" s="1"/>
  <c r="H92" i="11"/>
  <c r="N92" i="11" s="1"/>
  <c r="I94" i="2"/>
  <c r="G93" i="16"/>
  <c r="G93" i="17"/>
  <c r="H93" i="15"/>
  <c r="AQ93" i="15"/>
  <c r="AG93" i="17"/>
  <c r="AG93" i="16"/>
  <c r="B94" i="17"/>
  <c r="B94" i="16"/>
  <c r="B94" i="11"/>
  <c r="AG94" i="2"/>
  <c r="AF94" i="15" s="1"/>
  <c r="C94" i="15"/>
  <c r="AH94" i="2"/>
  <c r="AG94" i="15" s="1"/>
  <c r="AF94" i="2"/>
  <c r="AE94" i="15" s="1"/>
  <c r="AJ94" i="2"/>
  <c r="AI94" i="15" s="1"/>
  <c r="AR94" i="2"/>
  <c r="AE94" i="2"/>
  <c r="AD94" i="15" s="1"/>
  <c r="AD94" i="2"/>
  <c r="AC94" i="15" s="1"/>
  <c r="AL94" i="2"/>
  <c r="AK94" i="2"/>
  <c r="AJ94" i="15" s="1"/>
  <c r="AI94" i="2"/>
  <c r="AH94" i="15" s="1"/>
  <c r="AC94" i="2"/>
  <c r="AB94" i="15" s="1"/>
  <c r="AA93" i="16"/>
  <c r="AA93" i="17"/>
  <c r="AK93" i="15"/>
  <c r="Z93" i="14"/>
  <c r="AB93" i="14" s="1"/>
  <c r="D93" i="11"/>
  <c r="G93" i="11"/>
  <c r="K92" i="17"/>
  <c r="K92" i="16"/>
  <c r="L92" i="15"/>
  <c r="M79" i="4"/>
  <c r="O78" i="2"/>
  <c r="T77" i="17"/>
  <c r="T77" i="16"/>
  <c r="U77" i="15"/>
  <c r="N79" i="4"/>
  <c r="P78" i="2"/>
  <c r="P79" i="4"/>
  <c r="R78" i="2"/>
  <c r="J92" i="17"/>
  <c r="J92" i="16"/>
  <c r="K92" i="15"/>
  <c r="D94" i="4"/>
  <c r="G93" i="2"/>
  <c r="R79" i="4"/>
  <c r="T78" i="2"/>
  <c r="Z77" i="16"/>
  <c r="Z77" i="17"/>
  <c r="AA77" i="15"/>
  <c r="Z77" i="10"/>
  <c r="Z77" i="9"/>
  <c r="AA77" i="7"/>
  <c r="J94" i="4"/>
  <c r="M93" i="2"/>
  <c r="T79" i="4"/>
  <c r="V78" i="2"/>
  <c r="AA78" i="2"/>
  <c r="Y79" i="4"/>
  <c r="I94" i="4"/>
  <c r="L93" i="2"/>
  <c r="X78" i="2"/>
  <c r="V78" i="10" s="1"/>
  <c r="V79" i="4"/>
  <c r="H92" i="16"/>
  <c r="H92" i="17"/>
  <c r="I92" i="15"/>
  <c r="C67" i="16"/>
  <c r="C67" i="17"/>
  <c r="D67" i="15"/>
  <c r="Y77" i="17"/>
  <c r="Y77" i="16"/>
  <c r="Z77" i="15"/>
  <c r="Y78" i="2"/>
  <c r="W79" i="4"/>
  <c r="V77" i="17"/>
  <c r="W77" i="15"/>
  <c r="V77" i="16"/>
  <c r="F92" i="17"/>
  <c r="F92" i="16"/>
  <c r="G92" i="15"/>
  <c r="G94" i="4"/>
  <c r="J93" i="2"/>
  <c r="I92" i="17"/>
  <c r="I92" i="16"/>
  <c r="J92" i="15"/>
  <c r="B69" i="4"/>
  <c r="E68" i="2"/>
  <c r="C68" i="9" s="1"/>
  <c r="D92" i="17"/>
  <c r="D92" i="16"/>
  <c r="E92" i="15"/>
  <c r="W77" i="17"/>
  <c r="W77" i="16"/>
  <c r="X77" i="15"/>
  <c r="U77" i="17"/>
  <c r="U77" i="16"/>
  <c r="V77" i="15"/>
  <c r="E94" i="4"/>
  <c r="H93" i="2"/>
  <c r="H94" i="4"/>
  <c r="K93" i="2"/>
  <c r="Z78" i="2"/>
  <c r="X79" i="4"/>
  <c r="L92" i="16"/>
  <c r="L92" i="17"/>
  <c r="M92" i="15"/>
  <c r="B76" i="14"/>
  <c r="D76" i="14" s="1"/>
  <c r="H76" i="14"/>
  <c r="J76" i="14" s="1"/>
  <c r="Q77" i="17"/>
  <c r="Q77" i="16"/>
  <c r="R77" i="15"/>
  <c r="AT77" i="2"/>
  <c r="C94" i="4"/>
  <c r="F93" i="2"/>
  <c r="S77" i="16"/>
  <c r="S77" i="17"/>
  <c r="T77" i="15"/>
  <c r="U79" i="4"/>
  <c r="W78" i="2"/>
  <c r="R77" i="17"/>
  <c r="R77" i="16"/>
  <c r="S77" i="15"/>
  <c r="O92" i="16"/>
  <c r="O92" i="17"/>
  <c r="P92" i="15"/>
  <c r="X77" i="16"/>
  <c r="Y77" i="15"/>
  <c r="X77" i="17"/>
  <c r="M77" i="17"/>
  <c r="AH77" i="17" s="1"/>
  <c r="N77" i="14" s="1"/>
  <c r="P77" i="14" s="1"/>
  <c r="M77" i="16"/>
  <c r="AH77" i="16" s="1"/>
  <c r="K77" i="14" s="1"/>
  <c r="M77" i="14" s="1"/>
  <c r="AS77" i="2"/>
  <c r="N77" i="15"/>
  <c r="AR77" i="15" s="1"/>
  <c r="E77" i="14" s="1"/>
  <c r="G77" i="14" s="1"/>
  <c r="K94" i="4"/>
  <c r="N93" i="2"/>
  <c r="N77" i="16"/>
  <c r="N77" i="17"/>
  <c r="O77" i="15"/>
  <c r="Q79" i="4"/>
  <c r="S78" i="2"/>
  <c r="P77" i="17"/>
  <c r="P77" i="16"/>
  <c r="Q77" i="15"/>
  <c r="S79" i="4"/>
  <c r="U79" i="2" s="1"/>
  <c r="E92" i="17"/>
  <c r="E92" i="16"/>
  <c r="F92" i="15"/>
  <c r="AB78" i="2"/>
  <c r="Z79" i="4"/>
  <c r="O94" i="4"/>
  <c r="Q93" i="2"/>
  <c r="B95" i="2"/>
  <c r="D95" i="2" s="1"/>
  <c r="C94" i="2"/>
  <c r="AC69" i="7"/>
  <c r="BB67" i="2"/>
  <c r="AW75" i="2"/>
  <c r="AF69" i="7"/>
  <c r="AX75" i="2"/>
  <c r="AH66" i="10"/>
  <c r="AR66" i="7"/>
  <c r="AH66" i="9"/>
  <c r="AD72" i="10"/>
  <c r="AD72" i="9"/>
  <c r="AN72" i="7"/>
  <c r="AB68" i="10"/>
  <c r="AB68" i="9"/>
  <c r="AL68" i="7"/>
  <c r="Y77" i="10"/>
  <c r="Y77" i="9"/>
  <c r="Z77" i="7"/>
  <c r="B76" i="12"/>
  <c r="T76" i="14" s="1"/>
  <c r="V76" i="14" s="1"/>
  <c r="B76" i="10"/>
  <c r="B76" i="9"/>
  <c r="C76" i="7"/>
  <c r="O75" i="10"/>
  <c r="O75" i="9"/>
  <c r="P75" i="7"/>
  <c r="M75" i="10"/>
  <c r="M75" i="9"/>
  <c r="N75" i="7"/>
  <c r="Q75" i="10"/>
  <c r="Q75" i="9"/>
  <c r="R75" i="7"/>
  <c r="D75" i="12"/>
  <c r="G75" i="12"/>
  <c r="Q75" i="14" s="1"/>
  <c r="S75" i="14" s="1"/>
  <c r="X77" i="10"/>
  <c r="X77" i="9"/>
  <c r="Y77" i="7"/>
  <c r="AC72" i="10"/>
  <c r="AC72" i="9"/>
  <c r="AM72" i="7"/>
  <c r="AF73" i="10"/>
  <c r="AF73" i="9"/>
  <c r="AP73" i="7"/>
  <c r="AI73" i="7"/>
  <c r="AI72" i="7"/>
  <c r="H75" i="10"/>
  <c r="H75" i="9"/>
  <c r="I75" i="7"/>
  <c r="L75" i="10"/>
  <c r="L75" i="9"/>
  <c r="M75" i="7"/>
  <c r="J75" i="10"/>
  <c r="J75" i="9"/>
  <c r="K75" i="7"/>
  <c r="AG69" i="7"/>
  <c r="AG68" i="7"/>
  <c r="AE73" i="10"/>
  <c r="AE73" i="9"/>
  <c r="AO73" i="7"/>
  <c r="AJ73" i="7"/>
  <c r="T75" i="10"/>
  <c r="T75" i="9"/>
  <c r="U75" i="7"/>
  <c r="F75" i="10"/>
  <c r="F75" i="9"/>
  <c r="G75" i="7"/>
  <c r="D75" i="10"/>
  <c r="D75" i="9"/>
  <c r="E75" i="7"/>
  <c r="AB73" i="7"/>
  <c r="I75" i="10"/>
  <c r="I75" i="9"/>
  <c r="J75" i="7"/>
  <c r="N75" i="10"/>
  <c r="N75" i="9"/>
  <c r="O75" i="7"/>
  <c r="R75" i="10"/>
  <c r="R75" i="9"/>
  <c r="S75" i="7"/>
  <c r="P75" i="10"/>
  <c r="P75" i="9"/>
  <c r="Q75" i="7"/>
  <c r="K74" i="12"/>
  <c r="H74" i="12"/>
  <c r="J74" i="12" s="1"/>
  <c r="AH73" i="7"/>
  <c r="G75" i="10"/>
  <c r="G75" i="9"/>
  <c r="H75" i="7"/>
  <c r="K75" i="10"/>
  <c r="K75" i="9"/>
  <c r="L75" i="7"/>
  <c r="AG67" i="10"/>
  <c r="AG67" i="9"/>
  <c r="AQ67" i="7"/>
  <c r="AA67" i="10"/>
  <c r="AA67" i="9"/>
  <c r="AK67" i="7"/>
  <c r="W77" i="10"/>
  <c r="W77" i="9"/>
  <c r="X77" i="7"/>
  <c r="U75" i="10"/>
  <c r="U75" i="9"/>
  <c r="V75" i="7"/>
  <c r="S75" i="10"/>
  <c r="S75" i="9"/>
  <c r="T75" i="7"/>
  <c r="E75" i="10"/>
  <c r="E75" i="9"/>
  <c r="F75" i="7"/>
  <c r="L84" i="13"/>
  <c r="H86" i="13"/>
  <c r="E86" i="13"/>
  <c r="I85" i="13"/>
  <c r="L85" i="13" s="1"/>
  <c r="M85" i="13"/>
  <c r="B93" i="13"/>
  <c r="G93" i="13"/>
  <c r="F89" i="12"/>
  <c r="C93" i="12"/>
  <c r="AZ68" i="2"/>
  <c r="BA68" i="2"/>
  <c r="AE70" i="7"/>
  <c r="AD70" i="7"/>
  <c r="C68" i="3"/>
  <c r="B67" i="3"/>
  <c r="J74" i="3"/>
  <c r="F66" i="3"/>
  <c r="E67" i="3"/>
  <c r="G63" i="1"/>
  <c r="D66" i="1"/>
  <c r="V78" i="9" l="1"/>
  <c r="J92" i="11"/>
  <c r="D68" i="7"/>
  <c r="C68" i="10"/>
  <c r="L92" i="11"/>
  <c r="K92" i="11"/>
  <c r="W78" i="7"/>
  <c r="M92" i="11"/>
  <c r="W93" i="14"/>
  <c r="Y93" i="14" s="1"/>
  <c r="H93" i="11"/>
  <c r="J93" i="11" s="1"/>
  <c r="AG94" i="17"/>
  <c r="AQ94" i="15"/>
  <c r="AG94" i="16"/>
  <c r="Z94" i="14"/>
  <c r="AB94" i="14" s="1"/>
  <c r="D94" i="11"/>
  <c r="G94" i="11"/>
  <c r="B95" i="11"/>
  <c r="B95" i="17"/>
  <c r="B95" i="16"/>
  <c r="C95" i="15"/>
  <c r="AG95" i="2"/>
  <c r="AF95" i="15" s="1"/>
  <c r="AH95" i="2"/>
  <c r="AG95" i="15" s="1"/>
  <c r="AI95" i="2"/>
  <c r="AH95" i="15" s="1"/>
  <c r="AD95" i="2"/>
  <c r="AC95" i="15" s="1"/>
  <c r="AF95" i="2"/>
  <c r="AE95" i="15" s="1"/>
  <c r="AJ95" i="2"/>
  <c r="AI95" i="15" s="1"/>
  <c r="AE95" i="2"/>
  <c r="AD95" i="15" s="1"/>
  <c r="AL95" i="2"/>
  <c r="AK95" i="2"/>
  <c r="AJ95" i="15" s="1"/>
  <c r="AR95" i="2"/>
  <c r="AC95" i="2"/>
  <c r="AB95" i="15" s="1"/>
  <c r="AA94" i="16"/>
  <c r="AA94" i="17"/>
  <c r="AK94" i="15"/>
  <c r="G94" i="16"/>
  <c r="H94" i="15"/>
  <c r="I95" i="2"/>
  <c r="G94" i="17"/>
  <c r="F93" i="16"/>
  <c r="F93" i="17"/>
  <c r="G93" i="15"/>
  <c r="B70" i="4"/>
  <c r="E69" i="2"/>
  <c r="X79" i="2"/>
  <c r="V79" i="10" s="1"/>
  <c r="V80" i="4"/>
  <c r="T78" i="17"/>
  <c r="T78" i="16"/>
  <c r="U78" i="15"/>
  <c r="R80" i="4"/>
  <c r="T79" i="2"/>
  <c r="P78" i="17"/>
  <c r="P78" i="16"/>
  <c r="Q78" i="15"/>
  <c r="L93" i="16"/>
  <c r="L93" i="17"/>
  <c r="M93" i="15"/>
  <c r="E95" i="4"/>
  <c r="H94" i="2"/>
  <c r="Y79" i="2"/>
  <c r="W80" i="4"/>
  <c r="V78" i="16"/>
  <c r="V78" i="17"/>
  <c r="W78" i="15"/>
  <c r="T80" i="4"/>
  <c r="V79" i="2"/>
  <c r="E93" i="17"/>
  <c r="E93" i="16"/>
  <c r="F93" i="15"/>
  <c r="P80" i="4"/>
  <c r="R79" i="2"/>
  <c r="AS78" i="2"/>
  <c r="M78" i="16"/>
  <c r="AH78" i="16" s="1"/>
  <c r="K78" i="14" s="1"/>
  <c r="M78" i="14" s="1"/>
  <c r="M78" i="17"/>
  <c r="AH78" i="17" s="1"/>
  <c r="N78" i="14" s="1"/>
  <c r="P78" i="14" s="1"/>
  <c r="N78" i="15"/>
  <c r="AR78" i="15" s="1"/>
  <c r="E78" i="14" s="1"/>
  <c r="G78" i="14" s="1"/>
  <c r="O93" i="17"/>
  <c r="O93" i="16"/>
  <c r="P93" i="15"/>
  <c r="Q78" i="17"/>
  <c r="Q78" i="16"/>
  <c r="R78" i="15"/>
  <c r="AT78" i="2"/>
  <c r="K95" i="4"/>
  <c r="N94" i="2"/>
  <c r="Z79" i="2"/>
  <c r="X80" i="4"/>
  <c r="W78" i="17"/>
  <c r="W78" i="16"/>
  <c r="X78" i="15"/>
  <c r="J93" i="17"/>
  <c r="J93" i="16"/>
  <c r="K93" i="15"/>
  <c r="K93" i="17"/>
  <c r="K93" i="16"/>
  <c r="L93" i="15"/>
  <c r="D95" i="4"/>
  <c r="G94" i="2"/>
  <c r="N78" i="16"/>
  <c r="N78" i="17"/>
  <c r="O78" i="15"/>
  <c r="M80" i="4"/>
  <c r="O79" i="2"/>
  <c r="O95" i="4"/>
  <c r="Q94" i="2"/>
  <c r="S78" i="17"/>
  <c r="S78" i="16"/>
  <c r="T78" i="15"/>
  <c r="Q80" i="4"/>
  <c r="S79" i="2"/>
  <c r="D93" i="17"/>
  <c r="D93" i="16"/>
  <c r="E93" i="15"/>
  <c r="X78" i="17"/>
  <c r="Y78" i="15"/>
  <c r="X78" i="16"/>
  <c r="I95" i="4"/>
  <c r="L94" i="2"/>
  <c r="J95" i="4"/>
  <c r="M94" i="2"/>
  <c r="N80" i="4"/>
  <c r="P79" i="2"/>
  <c r="AB79" i="2"/>
  <c r="Z80" i="4"/>
  <c r="S80" i="4"/>
  <c r="U80" i="2" s="1"/>
  <c r="H77" i="14"/>
  <c r="J77" i="14" s="1"/>
  <c r="B77" i="14"/>
  <c r="D77" i="14" s="1"/>
  <c r="U78" i="17"/>
  <c r="U78" i="16"/>
  <c r="V78" i="15"/>
  <c r="C95" i="4"/>
  <c r="F94" i="2"/>
  <c r="I93" i="16"/>
  <c r="I93" i="17"/>
  <c r="J93" i="15"/>
  <c r="H93" i="17"/>
  <c r="H93" i="16"/>
  <c r="I93" i="15"/>
  <c r="AA79" i="2"/>
  <c r="Y80" i="4"/>
  <c r="R78" i="17"/>
  <c r="R78" i="16"/>
  <c r="S78" i="15"/>
  <c r="Z78" i="17"/>
  <c r="Z78" i="16"/>
  <c r="AA78" i="15"/>
  <c r="Z78" i="10"/>
  <c r="Z78" i="9"/>
  <c r="AA78" i="7"/>
  <c r="U80" i="4"/>
  <c r="W79" i="2"/>
  <c r="H95" i="4"/>
  <c r="K94" i="2"/>
  <c r="C68" i="16"/>
  <c r="C68" i="17"/>
  <c r="D68" i="15"/>
  <c r="G95" i="4"/>
  <c r="J94" i="2"/>
  <c r="Y78" i="17"/>
  <c r="Y78" i="16"/>
  <c r="Z78" i="15"/>
  <c r="C95" i="2"/>
  <c r="B96" i="2"/>
  <c r="D96" i="2" s="1"/>
  <c r="AC70" i="7"/>
  <c r="BB68" i="2"/>
  <c r="AW76" i="2"/>
  <c r="AX76" i="2"/>
  <c r="AF70" i="7"/>
  <c r="AY69" i="2"/>
  <c r="AR67" i="7"/>
  <c r="AB69" i="10"/>
  <c r="AB69" i="9"/>
  <c r="AL69" i="7"/>
  <c r="AJ74" i="7"/>
  <c r="K75" i="12"/>
  <c r="H75" i="12"/>
  <c r="J75" i="12" s="1"/>
  <c r="E76" i="10"/>
  <c r="E76" i="9"/>
  <c r="F76" i="7"/>
  <c r="T76" i="10"/>
  <c r="T76" i="9"/>
  <c r="U76" i="7"/>
  <c r="AA68" i="10"/>
  <c r="AA68" i="9"/>
  <c r="AK68" i="7"/>
  <c r="R76" i="10"/>
  <c r="R76" i="9"/>
  <c r="S76" i="7"/>
  <c r="P76" i="10"/>
  <c r="P76" i="9"/>
  <c r="Q76" i="7"/>
  <c r="N76" i="10"/>
  <c r="N76" i="9"/>
  <c r="O76" i="7"/>
  <c r="W78" i="10"/>
  <c r="W78" i="9"/>
  <c r="X78" i="7"/>
  <c r="AD73" i="10"/>
  <c r="AD73" i="9"/>
  <c r="AN73" i="7"/>
  <c r="C69" i="10"/>
  <c r="C69" i="9"/>
  <c r="D69" i="7"/>
  <c r="AH74" i="7"/>
  <c r="Y78" i="10"/>
  <c r="Y78" i="9"/>
  <c r="Z78" i="7"/>
  <c r="J76" i="10"/>
  <c r="J76" i="9"/>
  <c r="K76" i="7"/>
  <c r="H76" i="10"/>
  <c r="H76" i="9"/>
  <c r="I76" i="7"/>
  <c r="L76" i="10"/>
  <c r="L76" i="9"/>
  <c r="M76" i="7"/>
  <c r="D76" i="12"/>
  <c r="G76" i="12"/>
  <c r="Q76" i="14" s="1"/>
  <c r="S76" i="14" s="1"/>
  <c r="AE74" i="10"/>
  <c r="AE74" i="9"/>
  <c r="AO74" i="7"/>
  <c r="X78" i="10"/>
  <c r="X78" i="9"/>
  <c r="Y78" i="7"/>
  <c r="D76" i="10"/>
  <c r="D76" i="9"/>
  <c r="E76" i="7"/>
  <c r="U76" i="10"/>
  <c r="U76" i="9"/>
  <c r="V76" i="7"/>
  <c r="F76" i="10"/>
  <c r="F76" i="9"/>
  <c r="G76" i="7"/>
  <c r="AH67" i="9"/>
  <c r="AB74" i="7"/>
  <c r="Q76" i="10"/>
  <c r="Q76" i="9"/>
  <c r="R76" i="7"/>
  <c r="O76" i="10"/>
  <c r="O76" i="9"/>
  <c r="P76" i="7"/>
  <c r="S76" i="10"/>
  <c r="S76" i="9"/>
  <c r="T76" i="7"/>
  <c r="AC73" i="10"/>
  <c r="AC73" i="9"/>
  <c r="AM73" i="7"/>
  <c r="AG68" i="10"/>
  <c r="AG68" i="9"/>
  <c r="AQ68" i="7"/>
  <c r="AF74" i="10"/>
  <c r="AF74" i="9"/>
  <c r="AP74" i="7"/>
  <c r="AH67" i="10"/>
  <c r="B77" i="12"/>
  <c r="T77" i="14" s="1"/>
  <c r="V77" i="14" s="1"/>
  <c r="B77" i="10"/>
  <c r="B77" i="9"/>
  <c r="C77" i="7"/>
  <c r="K76" i="10"/>
  <c r="K76" i="9"/>
  <c r="L76" i="7"/>
  <c r="I76" i="10"/>
  <c r="I76" i="9"/>
  <c r="J76" i="7"/>
  <c r="G76" i="10"/>
  <c r="G76" i="9"/>
  <c r="H76" i="7"/>
  <c r="M76" i="10"/>
  <c r="M76" i="9"/>
  <c r="N76" i="7"/>
  <c r="K85" i="13"/>
  <c r="M86" i="13"/>
  <c r="I86" i="13"/>
  <c r="K86" i="13" s="1"/>
  <c r="H87" i="13"/>
  <c r="E87" i="13"/>
  <c r="N87" i="13" s="1"/>
  <c r="G94" i="13"/>
  <c r="B94" i="13"/>
  <c r="C94" i="12"/>
  <c r="F90" i="12"/>
  <c r="AZ69" i="2"/>
  <c r="BA69" i="2"/>
  <c r="AE71" i="7"/>
  <c r="AD71" i="7"/>
  <c r="AY70" i="2"/>
  <c r="C69" i="3"/>
  <c r="B68" i="3"/>
  <c r="J75" i="3"/>
  <c r="F67" i="3"/>
  <c r="E68" i="3"/>
  <c r="G64" i="1"/>
  <c r="D67" i="1"/>
  <c r="W79" i="7" l="1"/>
  <c r="V79" i="9"/>
  <c r="H95" i="15"/>
  <c r="I96" i="2"/>
  <c r="G95" i="16"/>
  <c r="G95" i="17"/>
  <c r="B96" i="17"/>
  <c r="B96" i="16"/>
  <c r="B96" i="11"/>
  <c r="C96" i="15"/>
  <c r="AG96" i="2"/>
  <c r="AF96" i="15" s="1"/>
  <c r="AH96" i="2"/>
  <c r="AG96" i="15" s="1"/>
  <c r="AJ96" i="2"/>
  <c r="AI96" i="15" s="1"/>
  <c r="AD96" i="2"/>
  <c r="AC96" i="15" s="1"/>
  <c r="AI96" i="2"/>
  <c r="AH96" i="15" s="1"/>
  <c r="AL96" i="2"/>
  <c r="AC96" i="2"/>
  <c r="AB96" i="15" s="1"/>
  <c r="AK96" i="2"/>
  <c r="AJ96" i="15" s="1"/>
  <c r="AE96" i="2"/>
  <c r="AD96" i="15" s="1"/>
  <c r="AF96" i="2"/>
  <c r="AE96" i="15" s="1"/>
  <c r="AR96" i="2"/>
  <c r="AG95" i="17"/>
  <c r="AG95" i="16"/>
  <c r="AQ95" i="15"/>
  <c r="Z95" i="14"/>
  <c r="AB95" i="14" s="1"/>
  <c r="D95" i="11"/>
  <c r="G95" i="11"/>
  <c r="AK95" i="15"/>
  <c r="AA95" i="16"/>
  <c r="AA95" i="17"/>
  <c r="W94" i="14"/>
  <c r="Y94" i="14" s="1"/>
  <c r="H94" i="11"/>
  <c r="J94" i="11" s="1"/>
  <c r="G96" i="4"/>
  <c r="J95" i="2"/>
  <c r="U79" i="17"/>
  <c r="U79" i="16"/>
  <c r="V79" i="15"/>
  <c r="Y79" i="17"/>
  <c r="Y79" i="16"/>
  <c r="Z79" i="15"/>
  <c r="N79" i="17"/>
  <c r="N79" i="16"/>
  <c r="O79" i="15"/>
  <c r="Q79" i="16"/>
  <c r="Q79" i="17"/>
  <c r="R79" i="15"/>
  <c r="AT79" i="2"/>
  <c r="O96" i="4"/>
  <c r="Q95" i="2"/>
  <c r="E94" i="17"/>
  <c r="E94" i="16"/>
  <c r="F94" i="15"/>
  <c r="X79" i="16"/>
  <c r="X79" i="17"/>
  <c r="Y79" i="15"/>
  <c r="Y80" i="2"/>
  <c r="W81" i="4"/>
  <c r="R81" i="4"/>
  <c r="T80" i="2"/>
  <c r="C69" i="17"/>
  <c r="C69" i="16"/>
  <c r="D69" i="15"/>
  <c r="U81" i="4"/>
  <c r="W80" i="2"/>
  <c r="D94" i="17"/>
  <c r="D94" i="16"/>
  <c r="E94" i="15"/>
  <c r="N81" i="4"/>
  <c r="P80" i="2"/>
  <c r="Q81" i="4"/>
  <c r="S80" i="2"/>
  <c r="M79" i="16"/>
  <c r="AH79" i="16" s="1"/>
  <c r="K79" i="14" s="1"/>
  <c r="M79" i="14" s="1"/>
  <c r="M79" i="17"/>
  <c r="AH79" i="17" s="1"/>
  <c r="N79" i="14" s="1"/>
  <c r="P79" i="14" s="1"/>
  <c r="AS79" i="2"/>
  <c r="N79" i="15"/>
  <c r="AR79" i="15" s="1"/>
  <c r="E79" i="14" s="1"/>
  <c r="G79" i="14" s="1"/>
  <c r="D96" i="4"/>
  <c r="G95" i="2"/>
  <c r="L94" i="17"/>
  <c r="L94" i="16"/>
  <c r="M94" i="15"/>
  <c r="H78" i="14"/>
  <c r="J78" i="14" s="1"/>
  <c r="B78" i="14"/>
  <c r="D78" i="14" s="1"/>
  <c r="T79" i="16"/>
  <c r="T79" i="17"/>
  <c r="U79" i="15"/>
  <c r="W79" i="17"/>
  <c r="W79" i="16"/>
  <c r="X79" i="15"/>
  <c r="B71" i="4"/>
  <c r="E70" i="2"/>
  <c r="C70" i="10" s="1"/>
  <c r="C96" i="4"/>
  <c r="F95" i="2"/>
  <c r="S79" i="17"/>
  <c r="S79" i="16"/>
  <c r="T79" i="15"/>
  <c r="K94" i="17"/>
  <c r="K94" i="16"/>
  <c r="L94" i="15"/>
  <c r="M81" i="4"/>
  <c r="O80" i="2"/>
  <c r="K96" i="4"/>
  <c r="N95" i="2"/>
  <c r="P79" i="17"/>
  <c r="P79" i="16"/>
  <c r="Q79" i="15"/>
  <c r="T81" i="4"/>
  <c r="V80" i="2"/>
  <c r="F94" i="17"/>
  <c r="F94" i="16"/>
  <c r="G94" i="15"/>
  <c r="S81" i="4"/>
  <c r="U81" i="2" s="1"/>
  <c r="J96" i="4"/>
  <c r="M95" i="2"/>
  <c r="P81" i="4"/>
  <c r="R80" i="2"/>
  <c r="E96" i="4"/>
  <c r="H95" i="2"/>
  <c r="I94" i="17"/>
  <c r="I94" i="16"/>
  <c r="J94" i="15"/>
  <c r="AB80" i="2"/>
  <c r="Z81" i="4"/>
  <c r="J94" i="17"/>
  <c r="J94" i="16"/>
  <c r="K94" i="15"/>
  <c r="R79" i="17"/>
  <c r="R79" i="16"/>
  <c r="S79" i="15"/>
  <c r="X80" i="2"/>
  <c r="V80" i="10" s="1"/>
  <c r="V81" i="4"/>
  <c r="H94" i="17"/>
  <c r="H94" i="16"/>
  <c r="I94" i="15"/>
  <c r="H96" i="4"/>
  <c r="K95" i="2"/>
  <c r="AA80" i="2"/>
  <c r="Y81" i="4"/>
  <c r="Z79" i="16"/>
  <c r="AA79" i="15"/>
  <c r="Z79" i="17"/>
  <c r="Z79" i="9"/>
  <c r="AA79" i="7"/>
  <c r="Z79" i="10"/>
  <c r="I96" i="4"/>
  <c r="L95" i="2"/>
  <c r="O94" i="17"/>
  <c r="O94" i="16"/>
  <c r="P94" i="15"/>
  <c r="Z80" i="2"/>
  <c r="X81" i="4"/>
  <c r="V79" i="16"/>
  <c r="W79" i="15"/>
  <c r="V79" i="17"/>
  <c r="B97" i="2"/>
  <c r="D97" i="2" s="1"/>
  <c r="C96" i="2"/>
  <c r="AC71" i="7"/>
  <c r="BB69" i="2"/>
  <c r="AX77" i="2"/>
  <c r="AF71" i="7"/>
  <c r="AW77" i="2"/>
  <c r="T77" i="10"/>
  <c r="T77" i="9"/>
  <c r="U77" i="7"/>
  <c r="AE75" i="10"/>
  <c r="AE75" i="9"/>
  <c r="AO75" i="7"/>
  <c r="L77" i="10"/>
  <c r="L77" i="9"/>
  <c r="M77" i="7"/>
  <c r="S77" i="10"/>
  <c r="S77" i="9"/>
  <c r="T77" i="7"/>
  <c r="D77" i="12"/>
  <c r="M77" i="12" s="1"/>
  <c r="G77" i="12"/>
  <c r="Q77" i="14" s="1"/>
  <c r="S77" i="14" s="1"/>
  <c r="AB75" i="7"/>
  <c r="AH68" i="10"/>
  <c r="B78" i="12"/>
  <c r="T78" i="14" s="1"/>
  <c r="V78" i="14" s="1"/>
  <c r="B78" i="10"/>
  <c r="B78" i="9"/>
  <c r="C78" i="7"/>
  <c r="F77" i="10"/>
  <c r="F77" i="9"/>
  <c r="G77" i="7"/>
  <c r="M77" i="10"/>
  <c r="M77" i="9"/>
  <c r="N77" i="7"/>
  <c r="Q77" i="10"/>
  <c r="Q77" i="9"/>
  <c r="R77" i="7"/>
  <c r="W79" i="10"/>
  <c r="W79" i="9"/>
  <c r="X79" i="7"/>
  <c r="AD74" i="10"/>
  <c r="AD74" i="9"/>
  <c r="AN74" i="7"/>
  <c r="H77" i="10"/>
  <c r="H77" i="9"/>
  <c r="I77" i="7"/>
  <c r="AA69" i="10"/>
  <c r="AA69" i="9"/>
  <c r="AK69" i="7"/>
  <c r="G77" i="10"/>
  <c r="G77" i="9"/>
  <c r="H77" i="7"/>
  <c r="N77" i="10"/>
  <c r="N77" i="9"/>
  <c r="O77" i="7"/>
  <c r="D77" i="10"/>
  <c r="D77" i="9"/>
  <c r="E77" i="7"/>
  <c r="P77" i="10"/>
  <c r="P77" i="9"/>
  <c r="Q77" i="7"/>
  <c r="X79" i="10"/>
  <c r="X79" i="9"/>
  <c r="Y79" i="7"/>
  <c r="K76" i="12"/>
  <c r="H76" i="12"/>
  <c r="J76" i="12" s="1"/>
  <c r="AH75" i="7"/>
  <c r="AB70" i="10"/>
  <c r="AB70" i="9"/>
  <c r="AL70" i="7"/>
  <c r="J77" i="10"/>
  <c r="J77" i="9"/>
  <c r="K77" i="7"/>
  <c r="AC74" i="10"/>
  <c r="AC74" i="9"/>
  <c r="AM74" i="7"/>
  <c r="AF75" i="10"/>
  <c r="AF75" i="9"/>
  <c r="AP75" i="7"/>
  <c r="U77" i="10"/>
  <c r="U77" i="9"/>
  <c r="V77" i="7"/>
  <c r="K77" i="10"/>
  <c r="K77" i="9"/>
  <c r="L77" i="7"/>
  <c r="R77" i="10"/>
  <c r="R77" i="9"/>
  <c r="S77" i="7"/>
  <c r="Y79" i="10"/>
  <c r="Y79" i="9"/>
  <c r="Z79" i="7"/>
  <c r="AR68" i="7"/>
  <c r="AI75" i="7"/>
  <c r="AI74" i="7"/>
  <c r="AG71" i="7"/>
  <c r="AG70" i="7"/>
  <c r="AG69" i="10"/>
  <c r="AG69" i="9"/>
  <c r="AQ69" i="7"/>
  <c r="O77" i="10"/>
  <c r="O77" i="9"/>
  <c r="P77" i="7"/>
  <c r="E77" i="10"/>
  <c r="E77" i="9"/>
  <c r="F77" i="7"/>
  <c r="I77" i="10"/>
  <c r="I77" i="9"/>
  <c r="J77" i="7"/>
  <c r="AH68" i="9"/>
  <c r="AJ75" i="7"/>
  <c r="L86" i="13"/>
  <c r="H88" i="13"/>
  <c r="E88" i="13"/>
  <c r="I87" i="13"/>
  <c r="K87" i="13" s="1"/>
  <c r="M87" i="13"/>
  <c r="O87" i="13"/>
  <c r="G95" i="13"/>
  <c r="B95" i="13"/>
  <c r="C95" i="12"/>
  <c r="F91" i="12"/>
  <c r="AZ70" i="2"/>
  <c r="BA70" i="2"/>
  <c r="AE72" i="7"/>
  <c r="AD72" i="7"/>
  <c r="C70" i="3"/>
  <c r="B69" i="3"/>
  <c r="J76" i="3"/>
  <c r="F68" i="3"/>
  <c r="E69" i="3"/>
  <c r="G65" i="1"/>
  <c r="D68" i="1"/>
  <c r="C97" i="2" l="1"/>
  <c r="W80" i="7"/>
  <c r="V80" i="9"/>
  <c r="D70" i="7"/>
  <c r="C70" i="9"/>
  <c r="B97" i="11"/>
  <c r="B97" i="17"/>
  <c r="B97" i="16"/>
  <c r="C97" i="15"/>
  <c r="AG97" i="2"/>
  <c r="AF97" i="15" s="1"/>
  <c r="AH97" i="2"/>
  <c r="AG97" i="15" s="1"/>
  <c r="AR97" i="2"/>
  <c r="AD97" i="2"/>
  <c r="AC97" i="15" s="1"/>
  <c r="AF97" i="2"/>
  <c r="AE97" i="15" s="1"/>
  <c r="AK97" i="2"/>
  <c r="AJ97" i="15" s="1"/>
  <c r="AI97" i="2"/>
  <c r="AH97" i="15" s="1"/>
  <c r="AJ97" i="2"/>
  <c r="AI97" i="15" s="1"/>
  <c r="AL97" i="2"/>
  <c r="AE97" i="2"/>
  <c r="AD97" i="15" s="1"/>
  <c r="AC97" i="2"/>
  <c r="AB97" i="15" s="1"/>
  <c r="I97" i="2"/>
  <c r="AA96" i="17"/>
  <c r="AA96" i="16"/>
  <c r="AK96" i="15"/>
  <c r="G96" i="17"/>
  <c r="G96" i="16"/>
  <c r="H96" i="15"/>
  <c r="W95" i="14"/>
  <c r="Y95" i="14" s="1"/>
  <c r="H95" i="11"/>
  <c r="J95" i="11" s="1"/>
  <c r="AG96" i="16"/>
  <c r="AG96" i="17"/>
  <c r="AQ96" i="15"/>
  <c r="Z96" i="14"/>
  <c r="AB96" i="14" s="1"/>
  <c r="D96" i="11"/>
  <c r="G96" i="11"/>
  <c r="X80" i="17"/>
  <c r="X80" i="16"/>
  <c r="Y80" i="15"/>
  <c r="AA81" i="2"/>
  <c r="Y82" i="4"/>
  <c r="K95" i="17"/>
  <c r="K95" i="16"/>
  <c r="L95" i="15"/>
  <c r="C97" i="4"/>
  <c r="F96" i="2"/>
  <c r="W80" i="17"/>
  <c r="W80" i="16"/>
  <c r="X80" i="15"/>
  <c r="Z80" i="15"/>
  <c r="Y80" i="17"/>
  <c r="Y80" i="16"/>
  <c r="X81" i="2"/>
  <c r="W81" i="7" s="1"/>
  <c r="V82" i="4"/>
  <c r="J97" i="4"/>
  <c r="M96" i="2"/>
  <c r="L95" i="17"/>
  <c r="L95" i="16"/>
  <c r="M95" i="15"/>
  <c r="C70" i="17"/>
  <c r="C70" i="16"/>
  <c r="D70" i="15"/>
  <c r="O95" i="16"/>
  <c r="O95" i="17"/>
  <c r="P95" i="15"/>
  <c r="I95" i="17"/>
  <c r="I95" i="16"/>
  <c r="J95" i="15"/>
  <c r="V80" i="17"/>
  <c r="V80" i="16"/>
  <c r="W80" i="15"/>
  <c r="F95" i="16"/>
  <c r="F95" i="17"/>
  <c r="G95" i="15"/>
  <c r="S80" i="17"/>
  <c r="S80" i="16"/>
  <c r="T80" i="15"/>
  <c r="T80" i="16"/>
  <c r="T80" i="17"/>
  <c r="U80" i="15"/>
  <c r="K97" i="4"/>
  <c r="N96" i="2"/>
  <c r="B72" i="4"/>
  <c r="E71" i="2"/>
  <c r="C71" i="9" s="1"/>
  <c r="E95" i="17"/>
  <c r="E95" i="16"/>
  <c r="F95" i="15"/>
  <c r="Q80" i="17"/>
  <c r="Q80" i="16"/>
  <c r="R80" i="15"/>
  <c r="AT80" i="2"/>
  <c r="R80" i="17"/>
  <c r="R80" i="16"/>
  <c r="S80" i="15"/>
  <c r="O97" i="4"/>
  <c r="Q96" i="2"/>
  <c r="H97" i="4"/>
  <c r="K96" i="2"/>
  <c r="AB81" i="2"/>
  <c r="Z82" i="4"/>
  <c r="E97" i="4"/>
  <c r="H96" i="2"/>
  <c r="S82" i="4"/>
  <c r="U82" i="2" s="1"/>
  <c r="T82" i="4"/>
  <c r="V81" i="2"/>
  <c r="M80" i="16"/>
  <c r="AH80" i="16" s="1"/>
  <c r="K80" i="14" s="1"/>
  <c r="M80" i="14" s="1"/>
  <c r="M80" i="17"/>
  <c r="AH80" i="17" s="1"/>
  <c r="N80" i="14" s="1"/>
  <c r="P80" i="14" s="1"/>
  <c r="AS80" i="2"/>
  <c r="N80" i="15"/>
  <c r="AR80" i="15" s="1"/>
  <c r="E80" i="14" s="1"/>
  <c r="G80" i="14" s="1"/>
  <c r="D97" i="4"/>
  <c r="G96" i="2"/>
  <c r="Q82" i="4"/>
  <c r="S81" i="2"/>
  <c r="U80" i="17"/>
  <c r="U80" i="16"/>
  <c r="V80" i="15"/>
  <c r="J95" i="17"/>
  <c r="J95" i="16"/>
  <c r="K95" i="15"/>
  <c r="Z80" i="16"/>
  <c r="AA80" i="15"/>
  <c r="Z80" i="17"/>
  <c r="AA80" i="7"/>
  <c r="Z80" i="10"/>
  <c r="Z80" i="9"/>
  <c r="P80" i="16"/>
  <c r="P80" i="17"/>
  <c r="Q80" i="15"/>
  <c r="M82" i="4"/>
  <c r="O81" i="2"/>
  <c r="N80" i="17"/>
  <c r="N80" i="16"/>
  <c r="O80" i="15"/>
  <c r="U82" i="4"/>
  <c r="W81" i="2"/>
  <c r="R82" i="4"/>
  <c r="T81" i="2"/>
  <c r="H95" i="17"/>
  <c r="H95" i="16"/>
  <c r="I95" i="15"/>
  <c r="Z81" i="2"/>
  <c r="X82" i="4"/>
  <c r="I97" i="4"/>
  <c r="L96" i="2"/>
  <c r="P82" i="4"/>
  <c r="R81" i="2"/>
  <c r="D95" i="17"/>
  <c r="D95" i="16"/>
  <c r="E95" i="15"/>
  <c r="B79" i="14"/>
  <c r="D79" i="14" s="1"/>
  <c r="H79" i="14"/>
  <c r="J79" i="14" s="1"/>
  <c r="N82" i="4"/>
  <c r="P81" i="2"/>
  <c r="Y81" i="2"/>
  <c r="W82" i="4"/>
  <c r="G97" i="4"/>
  <c r="J96" i="2"/>
  <c r="B98" i="2"/>
  <c r="D98" i="2" s="1"/>
  <c r="AC72" i="7"/>
  <c r="BB70" i="2"/>
  <c r="AW78" i="2"/>
  <c r="AX78" i="2"/>
  <c r="AY71" i="2"/>
  <c r="AF72" i="7"/>
  <c r="AH69" i="9"/>
  <c r="AF76" i="10"/>
  <c r="AF76" i="9"/>
  <c r="AP76" i="7"/>
  <c r="R78" i="10"/>
  <c r="R78" i="9"/>
  <c r="S78" i="7"/>
  <c r="F78" i="10"/>
  <c r="F78" i="9"/>
  <c r="G78" i="7"/>
  <c r="N78" i="10"/>
  <c r="N78" i="9"/>
  <c r="O78" i="7"/>
  <c r="K77" i="12"/>
  <c r="H77" i="12"/>
  <c r="J77" i="12" s="1"/>
  <c r="AA70" i="10"/>
  <c r="AA70" i="9"/>
  <c r="AK70" i="7"/>
  <c r="AG70" i="10"/>
  <c r="AG70" i="9"/>
  <c r="AQ70" i="7"/>
  <c r="AB71" i="10"/>
  <c r="AB71" i="9"/>
  <c r="AL71" i="7"/>
  <c r="X80" i="10"/>
  <c r="X80" i="9"/>
  <c r="Y80" i="7"/>
  <c r="AR69" i="7"/>
  <c r="H78" i="10"/>
  <c r="H78" i="9"/>
  <c r="I78" i="7"/>
  <c r="U78" i="10"/>
  <c r="U78" i="9"/>
  <c r="V78" i="7"/>
  <c r="J78" i="10"/>
  <c r="J78" i="9"/>
  <c r="K78" i="7"/>
  <c r="D78" i="12"/>
  <c r="G78" i="12"/>
  <c r="Q78" i="14" s="1"/>
  <c r="S78" i="14" s="1"/>
  <c r="Q78" i="10"/>
  <c r="Q78" i="9"/>
  <c r="R78" i="7"/>
  <c r="AE76" i="10"/>
  <c r="AE76" i="9"/>
  <c r="AO76" i="7"/>
  <c r="AJ76" i="7"/>
  <c r="AH69" i="10"/>
  <c r="G78" i="10"/>
  <c r="G78" i="9"/>
  <c r="H78" i="7"/>
  <c r="K78" i="10"/>
  <c r="K78" i="9"/>
  <c r="L78" i="7"/>
  <c r="S78" i="10"/>
  <c r="S78" i="9"/>
  <c r="T78" i="7"/>
  <c r="D78" i="10"/>
  <c r="D78" i="9"/>
  <c r="E78" i="7"/>
  <c r="AH76" i="7"/>
  <c r="W80" i="10"/>
  <c r="W80" i="9"/>
  <c r="X80" i="7"/>
  <c r="I78" i="10"/>
  <c r="I78" i="9"/>
  <c r="J78" i="7"/>
  <c r="P78" i="10"/>
  <c r="P78" i="9"/>
  <c r="Q78" i="7"/>
  <c r="E78" i="10"/>
  <c r="E78" i="9"/>
  <c r="F78" i="7"/>
  <c r="M78" i="10"/>
  <c r="M78" i="9"/>
  <c r="N78" i="7"/>
  <c r="AB76" i="7"/>
  <c r="O78" i="10"/>
  <c r="O78" i="9"/>
  <c r="P78" i="7"/>
  <c r="AD75" i="10"/>
  <c r="AD75" i="9"/>
  <c r="AN75" i="7"/>
  <c r="AC75" i="10"/>
  <c r="AC75" i="9"/>
  <c r="AM75" i="7"/>
  <c r="Y80" i="10"/>
  <c r="Y80" i="9"/>
  <c r="Z80" i="7"/>
  <c r="B79" i="12"/>
  <c r="T79" i="14" s="1"/>
  <c r="V79" i="14" s="1"/>
  <c r="B79" i="10"/>
  <c r="B79" i="9"/>
  <c r="C79" i="7"/>
  <c r="L78" i="10"/>
  <c r="L78" i="9"/>
  <c r="M78" i="7"/>
  <c r="T78" i="10"/>
  <c r="T78" i="9"/>
  <c r="U78" i="7"/>
  <c r="L77" i="12"/>
  <c r="L87" i="13"/>
  <c r="M88" i="13"/>
  <c r="I88" i="13"/>
  <c r="K88" i="13" s="1"/>
  <c r="H89" i="13"/>
  <c r="E89" i="13"/>
  <c r="G96" i="13"/>
  <c r="B96" i="13"/>
  <c r="F92" i="12"/>
  <c r="C96" i="12"/>
  <c r="AZ71" i="2"/>
  <c r="BA71" i="2"/>
  <c r="AE73" i="7"/>
  <c r="AD73" i="7"/>
  <c r="AY72" i="2"/>
  <c r="C71" i="3"/>
  <c r="G71" i="3" s="1"/>
  <c r="B70" i="3"/>
  <c r="F69" i="3"/>
  <c r="E70" i="3"/>
  <c r="J77" i="3"/>
  <c r="G66" i="1"/>
  <c r="D69" i="1"/>
  <c r="C71" i="10" l="1"/>
  <c r="V81" i="10"/>
  <c r="V81" i="9"/>
  <c r="D71" i="7"/>
  <c r="W96" i="14"/>
  <c r="Y96" i="14" s="1"/>
  <c r="H96" i="11"/>
  <c r="J96" i="11" s="1"/>
  <c r="I98" i="2"/>
  <c r="G97" i="16"/>
  <c r="G97" i="17"/>
  <c r="H97" i="15"/>
  <c r="B98" i="17"/>
  <c r="B98" i="16"/>
  <c r="B98" i="11"/>
  <c r="AG98" i="2"/>
  <c r="AF98" i="15" s="1"/>
  <c r="C98" i="15"/>
  <c r="AH98" i="2"/>
  <c r="AG98" i="15" s="1"/>
  <c r="AD98" i="2"/>
  <c r="AC98" i="15" s="1"/>
  <c r="AF98" i="2"/>
  <c r="AE98" i="15" s="1"/>
  <c r="AL98" i="2"/>
  <c r="AC98" i="2"/>
  <c r="AB98" i="15" s="1"/>
  <c r="AK98" i="2"/>
  <c r="AJ98" i="15" s="1"/>
  <c r="AR98" i="2"/>
  <c r="AJ98" i="2"/>
  <c r="AI98" i="15" s="1"/>
  <c r="AE98" i="2"/>
  <c r="AD98" i="15" s="1"/>
  <c r="AI98" i="2"/>
  <c r="AH98" i="15" s="1"/>
  <c r="AA97" i="17"/>
  <c r="AA97" i="16"/>
  <c r="AK97" i="15"/>
  <c r="AG97" i="17"/>
  <c r="AG97" i="16"/>
  <c r="AQ97" i="15"/>
  <c r="Z97" i="14"/>
  <c r="AB97" i="14" s="1"/>
  <c r="D97" i="11"/>
  <c r="G97" i="11"/>
  <c r="N81" i="17"/>
  <c r="N81" i="16"/>
  <c r="O81" i="15"/>
  <c r="X81" i="17"/>
  <c r="X81" i="16"/>
  <c r="Y81" i="15"/>
  <c r="R83" i="4"/>
  <c r="T82" i="2"/>
  <c r="M81" i="17"/>
  <c r="AH81" i="17" s="1"/>
  <c r="N81" i="14" s="1"/>
  <c r="P81" i="14" s="1"/>
  <c r="M81" i="16"/>
  <c r="AH81" i="16" s="1"/>
  <c r="K81" i="14" s="1"/>
  <c r="M81" i="14" s="1"/>
  <c r="AS81" i="2"/>
  <c r="N81" i="15"/>
  <c r="AR81" i="15" s="1"/>
  <c r="E81" i="14" s="1"/>
  <c r="G81" i="14" s="1"/>
  <c r="Q83" i="4"/>
  <c r="S82" i="2"/>
  <c r="E98" i="4"/>
  <c r="H97" i="2"/>
  <c r="O98" i="4"/>
  <c r="Q97" i="2"/>
  <c r="B73" i="4"/>
  <c r="E72" i="2"/>
  <c r="C72" i="9" s="1"/>
  <c r="X82" i="2"/>
  <c r="V83" i="4"/>
  <c r="N83" i="4"/>
  <c r="P82" i="2"/>
  <c r="P81" i="17"/>
  <c r="P81" i="16"/>
  <c r="Q81" i="15"/>
  <c r="U81" i="16"/>
  <c r="U81" i="17"/>
  <c r="V81" i="15"/>
  <c r="M83" i="4"/>
  <c r="O82" i="2"/>
  <c r="E96" i="17"/>
  <c r="E96" i="16"/>
  <c r="F96" i="15"/>
  <c r="T81" i="17"/>
  <c r="T81" i="16"/>
  <c r="U81" i="15"/>
  <c r="AB82" i="2"/>
  <c r="Z83" i="4"/>
  <c r="L96" i="17"/>
  <c r="L96" i="16"/>
  <c r="M96" i="15"/>
  <c r="W81" i="15"/>
  <c r="V81" i="17"/>
  <c r="V81" i="16"/>
  <c r="AA82" i="2"/>
  <c r="Y83" i="4"/>
  <c r="H96" i="17"/>
  <c r="H96" i="16"/>
  <c r="I96" i="15"/>
  <c r="P83" i="4"/>
  <c r="R82" i="2"/>
  <c r="U83" i="4"/>
  <c r="W82" i="2"/>
  <c r="D98" i="4"/>
  <c r="G97" i="2"/>
  <c r="T83" i="4"/>
  <c r="V82" i="2"/>
  <c r="Z81" i="16"/>
  <c r="AA81" i="15"/>
  <c r="Z81" i="17"/>
  <c r="AA81" i="7"/>
  <c r="Z81" i="10"/>
  <c r="Z81" i="9"/>
  <c r="K98" i="4"/>
  <c r="N97" i="2"/>
  <c r="D96" i="17"/>
  <c r="D96" i="16"/>
  <c r="E96" i="15"/>
  <c r="Y81" i="17"/>
  <c r="Y81" i="16"/>
  <c r="Z81" i="15"/>
  <c r="G98" i="4"/>
  <c r="J97" i="2"/>
  <c r="J96" i="17"/>
  <c r="J96" i="16"/>
  <c r="K96" i="15"/>
  <c r="S81" i="17"/>
  <c r="S81" i="16"/>
  <c r="T81" i="15"/>
  <c r="I96" i="16"/>
  <c r="I96" i="17"/>
  <c r="J96" i="15"/>
  <c r="C98" i="4"/>
  <c r="F97" i="2"/>
  <c r="Y82" i="2"/>
  <c r="W83" i="4"/>
  <c r="I98" i="4"/>
  <c r="L97" i="2"/>
  <c r="R81" i="16"/>
  <c r="R81" i="17"/>
  <c r="S81" i="15"/>
  <c r="H80" i="14"/>
  <c r="J80" i="14" s="1"/>
  <c r="B80" i="14"/>
  <c r="D80" i="14" s="1"/>
  <c r="S83" i="4"/>
  <c r="U83" i="2" s="1"/>
  <c r="H98" i="4"/>
  <c r="K97" i="2"/>
  <c r="K96" i="17"/>
  <c r="K96" i="16"/>
  <c r="L96" i="15"/>
  <c r="X81" i="15"/>
  <c r="W81" i="17"/>
  <c r="W81" i="16"/>
  <c r="Z82" i="2"/>
  <c r="X83" i="4"/>
  <c r="Q81" i="17"/>
  <c r="Q81" i="16"/>
  <c r="R81" i="15"/>
  <c r="AT81" i="2"/>
  <c r="F96" i="17"/>
  <c r="F96" i="16"/>
  <c r="G96" i="15"/>
  <c r="O96" i="17"/>
  <c r="O96" i="16"/>
  <c r="P96" i="15"/>
  <c r="C71" i="16"/>
  <c r="C71" i="17"/>
  <c r="D71" i="15"/>
  <c r="J98" i="4"/>
  <c r="M97" i="2"/>
  <c r="B99" i="2"/>
  <c r="D99" i="2" s="1"/>
  <c r="C98" i="2"/>
  <c r="AC73" i="7"/>
  <c r="BB71" i="2"/>
  <c r="AW79" i="2"/>
  <c r="AF73" i="7"/>
  <c r="AX79" i="2"/>
  <c r="AR70" i="7"/>
  <c r="AF77" i="10"/>
  <c r="AF77" i="9"/>
  <c r="AP77" i="7"/>
  <c r="K79" i="10"/>
  <c r="K79" i="9"/>
  <c r="L79" i="7"/>
  <c r="T79" i="10"/>
  <c r="T79" i="9"/>
  <c r="U79" i="7"/>
  <c r="H79" i="10"/>
  <c r="H79" i="9"/>
  <c r="I79" i="7"/>
  <c r="P79" i="10"/>
  <c r="P79" i="9"/>
  <c r="Q79" i="7"/>
  <c r="AA71" i="10"/>
  <c r="AA71" i="9"/>
  <c r="AK71" i="7"/>
  <c r="B80" i="12"/>
  <c r="T80" i="14" s="1"/>
  <c r="V80" i="14" s="1"/>
  <c r="B80" i="10"/>
  <c r="B80" i="9"/>
  <c r="C80" i="7"/>
  <c r="E79" i="10"/>
  <c r="E79" i="9"/>
  <c r="F79" i="7"/>
  <c r="N79" i="10"/>
  <c r="N79" i="9"/>
  <c r="O79" i="7"/>
  <c r="R79" i="10"/>
  <c r="R79" i="9"/>
  <c r="S79" i="7"/>
  <c r="U79" i="10"/>
  <c r="U79" i="9"/>
  <c r="V79" i="7"/>
  <c r="I79" i="10"/>
  <c r="I79" i="9"/>
  <c r="J79" i="7"/>
  <c r="G79" i="10"/>
  <c r="G79" i="9"/>
  <c r="H79" i="7"/>
  <c r="X81" i="10"/>
  <c r="X81" i="9"/>
  <c r="Y81" i="7"/>
  <c r="AE77" i="10"/>
  <c r="AE77" i="9"/>
  <c r="AO77" i="7"/>
  <c r="AG73" i="7"/>
  <c r="AG72" i="7"/>
  <c r="AC76" i="10"/>
  <c r="AC76" i="9"/>
  <c r="AM76" i="7"/>
  <c r="O79" i="10"/>
  <c r="O79" i="9"/>
  <c r="P79" i="7"/>
  <c r="Q79" i="10"/>
  <c r="Q79" i="9"/>
  <c r="R79" i="7"/>
  <c r="D79" i="12"/>
  <c r="G79" i="12"/>
  <c r="Q79" i="14" s="1"/>
  <c r="S79" i="14" s="1"/>
  <c r="AI77" i="7"/>
  <c r="AI76" i="7"/>
  <c r="AH70" i="9"/>
  <c r="AD76" i="10"/>
  <c r="AD76" i="9"/>
  <c r="AN76" i="7"/>
  <c r="J79" i="10"/>
  <c r="J79" i="9"/>
  <c r="K79" i="7"/>
  <c r="S79" i="10"/>
  <c r="S79" i="9"/>
  <c r="T79" i="7"/>
  <c r="L79" i="10"/>
  <c r="L79" i="9"/>
  <c r="M79" i="7"/>
  <c r="W81" i="10"/>
  <c r="W81" i="9"/>
  <c r="X81" i="7"/>
  <c r="AJ77" i="7"/>
  <c r="AH70" i="10"/>
  <c r="Y81" i="10"/>
  <c r="Y81" i="9"/>
  <c r="Z81" i="7"/>
  <c r="AB72" i="10"/>
  <c r="AB72" i="9"/>
  <c r="AL72" i="7"/>
  <c r="AG71" i="10"/>
  <c r="AG71" i="9"/>
  <c r="AQ71" i="7"/>
  <c r="D79" i="10"/>
  <c r="D79" i="9"/>
  <c r="E79" i="7"/>
  <c r="M79" i="10"/>
  <c r="M79" i="9"/>
  <c r="N79" i="7"/>
  <c r="F79" i="10"/>
  <c r="F79" i="9"/>
  <c r="G79" i="7"/>
  <c r="AB77" i="7"/>
  <c r="AH77" i="7"/>
  <c r="K78" i="12"/>
  <c r="H78" i="12"/>
  <c r="J78" i="12" s="1"/>
  <c r="V82" i="10"/>
  <c r="V82" i="9"/>
  <c r="W82" i="7"/>
  <c r="L88" i="13"/>
  <c r="E90" i="13"/>
  <c r="H90" i="13"/>
  <c r="M89" i="13"/>
  <c r="I89" i="13"/>
  <c r="L89" i="13" s="1"/>
  <c r="B97" i="13"/>
  <c r="G97" i="13"/>
  <c r="C97" i="12"/>
  <c r="F93" i="12"/>
  <c r="AZ72" i="2"/>
  <c r="BA72" i="2"/>
  <c r="AE74" i="7"/>
  <c r="AD74" i="7"/>
  <c r="C72" i="3"/>
  <c r="B71" i="3"/>
  <c r="F70" i="3"/>
  <c r="E71" i="3"/>
  <c r="J78" i="3"/>
  <c r="G67" i="1"/>
  <c r="D70" i="1"/>
  <c r="C72" i="10" l="1"/>
  <c r="D72" i="7"/>
  <c r="B99" i="11"/>
  <c r="B99" i="16"/>
  <c r="B99" i="17"/>
  <c r="AG99" i="2"/>
  <c r="AF99" i="15" s="1"/>
  <c r="C99" i="15"/>
  <c r="AH99" i="2"/>
  <c r="AG99" i="15" s="1"/>
  <c r="AR99" i="2"/>
  <c r="AE99" i="2"/>
  <c r="AD99" i="15" s="1"/>
  <c r="AK99" i="2"/>
  <c r="AJ99" i="15" s="1"/>
  <c r="AI99" i="2"/>
  <c r="AH99" i="15" s="1"/>
  <c r="AJ99" i="2"/>
  <c r="AI99" i="15" s="1"/>
  <c r="AC99" i="2"/>
  <c r="AB99" i="15" s="1"/>
  <c r="AD99" i="2"/>
  <c r="AC99" i="15" s="1"/>
  <c r="AF99" i="2"/>
  <c r="AE99" i="15" s="1"/>
  <c r="AL99" i="2"/>
  <c r="AA98" i="17"/>
  <c r="AA98" i="16"/>
  <c r="AK98" i="15"/>
  <c r="Z98" i="14"/>
  <c r="AB98" i="14" s="1"/>
  <c r="D98" i="11"/>
  <c r="G98" i="11"/>
  <c r="I99" i="2"/>
  <c r="G98" i="16"/>
  <c r="G98" i="17"/>
  <c r="H98" i="15"/>
  <c r="W97" i="14"/>
  <c r="Y97" i="14" s="1"/>
  <c r="H97" i="11"/>
  <c r="K97" i="11" s="1"/>
  <c r="AG98" i="17"/>
  <c r="AG98" i="16"/>
  <c r="AQ98" i="15"/>
  <c r="Z83" i="2"/>
  <c r="X84" i="4"/>
  <c r="I99" i="4"/>
  <c r="L98" i="2"/>
  <c r="T82" i="17"/>
  <c r="T82" i="16"/>
  <c r="U82" i="15"/>
  <c r="P82" i="17"/>
  <c r="P82" i="16"/>
  <c r="Q82" i="15"/>
  <c r="Z82" i="15"/>
  <c r="Y82" i="17"/>
  <c r="Y82" i="16"/>
  <c r="N84" i="4"/>
  <c r="P83" i="2"/>
  <c r="O99" i="4"/>
  <c r="Q98" i="2"/>
  <c r="H81" i="14"/>
  <c r="J81" i="14" s="1"/>
  <c r="B81" i="14"/>
  <c r="D81" i="14" s="1"/>
  <c r="Y82" i="15"/>
  <c r="X82" i="17"/>
  <c r="X82" i="16"/>
  <c r="Y83" i="2"/>
  <c r="W84" i="4"/>
  <c r="T84" i="4"/>
  <c r="V83" i="2"/>
  <c r="P84" i="4"/>
  <c r="R83" i="2"/>
  <c r="AB83" i="2"/>
  <c r="Z84" i="4"/>
  <c r="X83" i="2"/>
  <c r="W83" i="7" s="1"/>
  <c r="V84" i="4"/>
  <c r="F97" i="16"/>
  <c r="F97" i="17"/>
  <c r="G97" i="15"/>
  <c r="K97" i="17"/>
  <c r="K97" i="16"/>
  <c r="L97" i="15"/>
  <c r="I97" i="17"/>
  <c r="I97" i="16"/>
  <c r="J97" i="15"/>
  <c r="X82" i="15"/>
  <c r="W82" i="16"/>
  <c r="W82" i="17"/>
  <c r="H97" i="17"/>
  <c r="H97" i="16"/>
  <c r="I97" i="15"/>
  <c r="E97" i="17"/>
  <c r="E97" i="16"/>
  <c r="F97" i="15"/>
  <c r="Z82" i="16"/>
  <c r="AA82" i="15"/>
  <c r="Z82" i="17"/>
  <c r="Z82" i="9"/>
  <c r="AA82" i="7"/>
  <c r="Z82" i="10"/>
  <c r="W82" i="15"/>
  <c r="V82" i="16"/>
  <c r="V82" i="17"/>
  <c r="E99" i="4"/>
  <c r="H98" i="2"/>
  <c r="J99" i="4"/>
  <c r="M98" i="2"/>
  <c r="H99" i="4"/>
  <c r="K98" i="2"/>
  <c r="D97" i="17"/>
  <c r="D97" i="16"/>
  <c r="E97" i="15"/>
  <c r="G99" i="4"/>
  <c r="J98" i="2"/>
  <c r="D99" i="4"/>
  <c r="G98" i="2"/>
  <c r="M82" i="17"/>
  <c r="AH82" i="17" s="1"/>
  <c r="N82" i="14" s="1"/>
  <c r="P82" i="14" s="1"/>
  <c r="M82" i="16"/>
  <c r="AH82" i="16" s="1"/>
  <c r="K82" i="14" s="1"/>
  <c r="M82" i="14" s="1"/>
  <c r="AS82" i="2"/>
  <c r="N82" i="15"/>
  <c r="AR82" i="15" s="1"/>
  <c r="E82" i="14" s="1"/>
  <c r="G82" i="14" s="1"/>
  <c r="C72" i="16"/>
  <c r="C72" i="17"/>
  <c r="D72" i="15"/>
  <c r="Q82" i="17"/>
  <c r="Q82" i="16"/>
  <c r="R82" i="15"/>
  <c r="AT82" i="2"/>
  <c r="R82" i="17"/>
  <c r="R82" i="16"/>
  <c r="S82" i="15"/>
  <c r="S82" i="17"/>
  <c r="S82" i="16"/>
  <c r="T82" i="15"/>
  <c r="C99" i="4"/>
  <c r="F98" i="2"/>
  <c r="L97" i="17"/>
  <c r="L97" i="16"/>
  <c r="M97" i="15"/>
  <c r="U82" i="17"/>
  <c r="U82" i="16"/>
  <c r="V82" i="15"/>
  <c r="M84" i="4"/>
  <c r="O83" i="2"/>
  <c r="B74" i="4"/>
  <c r="E73" i="2"/>
  <c r="D73" i="7" s="1"/>
  <c r="Q84" i="4"/>
  <c r="S83" i="2"/>
  <c r="S84" i="4"/>
  <c r="U84" i="2" s="1"/>
  <c r="J97" i="17"/>
  <c r="J97" i="16"/>
  <c r="K97" i="15"/>
  <c r="K99" i="4"/>
  <c r="N98" i="2"/>
  <c r="U84" i="4"/>
  <c r="W83" i="2"/>
  <c r="AA83" i="2"/>
  <c r="Y84" i="4"/>
  <c r="N82" i="17"/>
  <c r="N82" i="16"/>
  <c r="O82" i="15"/>
  <c r="O97" i="17"/>
  <c r="O97" i="16"/>
  <c r="P97" i="15"/>
  <c r="R84" i="4"/>
  <c r="T83" i="2"/>
  <c r="C99" i="2"/>
  <c r="B100" i="2"/>
  <c r="D100" i="2" s="1"/>
  <c r="AC74" i="7"/>
  <c r="BB72" i="2"/>
  <c r="AX80" i="2"/>
  <c r="AF74" i="7"/>
  <c r="AY73" i="2"/>
  <c r="AW80" i="2"/>
  <c r="AH71" i="9"/>
  <c r="AJ78" i="7"/>
  <c r="R80" i="10"/>
  <c r="R80" i="9"/>
  <c r="S80" i="7"/>
  <c r="P80" i="10"/>
  <c r="P80" i="9"/>
  <c r="Q80" i="7"/>
  <c r="AH71" i="10"/>
  <c r="W82" i="10"/>
  <c r="W82" i="9"/>
  <c r="X82" i="7"/>
  <c r="G80" i="10"/>
  <c r="G80" i="9"/>
  <c r="H80" i="7"/>
  <c r="E80" i="10"/>
  <c r="E80" i="9"/>
  <c r="F80" i="7"/>
  <c r="I80" i="10"/>
  <c r="I80" i="9"/>
  <c r="J80" i="7"/>
  <c r="L80" i="10"/>
  <c r="L80" i="9"/>
  <c r="M80" i="7"/>
  <c r="J80" i="10"/>
  <c r="J80" i="9"/>
  <c r="K80" i="7"/>
  <c r="T80" i="10"/>
  <c r="T80" i="9"/>
  <c r="U80" i="7"/>
  <c r="AE78" i="10"/>
  <c r="AE78" i="9"/>
  <c r="AO78" i="7"/>
  <c r="M80" i="10"/>
  <c r="M80" i="9"/>
  <c r="N80" i="7"/>
  <c r="AC77" i="10"/>
  <c r="AC77" i="9"/>
  <c r="AM77" i="7"/>
  <c r="AA72" i="10"/>
  <c r="AA72" i="9"/>
  <c r="AK72" i="7"/>
  <c r="Y82" i="10"/>
  <c r="Y82" i="9"/>
  <c r="Z82" i="7"/>
  <c r="AH78" i="7"/>
  <c r="X82" i="10"/>
  <c r="X82" i="9"/>
  <c r="Y82" i="7"/>
  <c r="B81" i="12"/>
  <c r="T81" i="14" s="1"/>
  <c r="V81" i="14" s="1"/>
  <c r="B81" i="10"/>
  <c r="B81" i="9"/>
  <c r="C81" i="7"/>
  <c r="F80" i="10"/>
  <c r="F80" i="9"/>
  <c r="G80" i="7"/>
  <c r="D80" i="10"/>
  <c r="D80" i="9"/>
  <c r="E80" i="7"/>
  <c r="N80" i="10"/>
  <c r="N80" i="9"/>
  <c r="O80" i="7"/>
  <c r="D80" i="12"/>
  <c r="G80" i="12"/>
  <c r="Q80" i="14" s="1"/>
  <c r="S80" i="14" s="1"/>
  <c r="AG72" i="10"/>
  <c r="AG72" i="9"/>
  <c r="AQ72" i="7"/>
  <c r="AB73" i="10"/>
  <c r="AB73" i="9"/>
  <c r="AL73" i="7"/>
  <c r="Q80" i="10"/>
  <c r="Q80" i="9"/>
  <c r="R80" i="7"/>
  <c r="U80" i="10"/>
  <c r="U80" i="9"/>
  <c r="V80" i="7"/>
  <c r="H80" i="10"/>
  <c r="H80" i="9"/>
  <c r="I80" i="7"/>
  <c r="AD77" i="10"/>
  <c r="AD77" i="9"/>
  <c r="AN77" i="7"/>
  <c r="AF78" i="10"/>
  <c r="AF78" i="9"/>
  <c r="AP78" i="7"/>
  <c r="AB78" i="7"/>
  <c r="K79" i="12"/>
  <c r="H79" i="12"/>
  <c r="J79" i="12" s="1"/>
  <c r="K80" i="10"/>
  <c r="K80" i="9"/>
  <c r="L80" i="7"/>
  <c r="O80" i="10"/>
  <c r="O80" i="9"/>
  <c r="P80" i="7"/>
  <c r="S80" i="10"/>
  <c r="S80" i="9"/>
  <c r="T80" i="7"/>
  <c r="AR71" i="7"/>
  <c r="K89" i="13"/>
  <c r="M90" i="13"/>
  <c r="I90" i="13"/>
  <c r="K90" i="13" s="1"/>
  <c r="H91" i="13"/>
  <c r="E91" i="13"/>
  <c r="G98" i="13"/>
  <c r="B98" i="13"/>
  <c r="F94" i="12"/>
  <c r="C98" i="12"/>
  <c r="AZ73" i="2"/>
  <c r="BA73" i="2"/>
  <c r="AE75" i="7"/>
  <c r="AD75" i="7"/>
  <c r="AY74" i="2"/>
  <c r="C73" i="3"/>
  <c r="B72" i="3"/>
  <c r="F71" i="3"/>
  <c r="E72" i="3"/>
  <c r="J79" i="3"/>
  <c r="G68" i="1"/>
  <c r="D71" i="1"/>
  <c r="C73" i="10" l="1"/>
  <c r="J97" i="11"/>
  <c r="L97" i="11"/>
  <c r="V83" i="9"/>
  <c r="C73" i="9"/>
  <c r="V83" i="10"/>
  <c r="B100" i="17"/>
  <c r="B100" i="16"/>
  <c r="B100" i="11"/>
  <c r="C100" i="15"/>
  <c r="AG100" i="2"/>
  <c r="AF100" i="15" s="1"/>
  <c r="AH100" i="2"/>
  <c r="AG100" i="15" s="1"/>
  <c r="AL100" i="2"/>
  <c r="AE100" i="2"/>
  <c r="AD100" i="15" s="1"/>
  <c r="AI100" i="2"/>
  <c r="AH100" i="15" s="1"/>
  <c r="AR100" i="2"/>
  <c r="AJ100" i="2"/>
  <c r="AI100" i="15" s="1"/>
  <c r="AD100" i="2"/>
  <c r="AC100" i="15" s="1"/>
  <c r="AK100" i="2"/>
  <c r="AJ100" i="15" s="1"/>
  <c r="AC100" i="2"/>
  <c r="AB100" i="15" s="1"/>
  <c r="AF100" i="2"/>
  <c r="AE100" i="15" s="1"/>
  <c r="G99" i="16"/>
  <c r="H99" i="15"/>
  <c r="I100" i="2"/>
  <c r="G99" i="17"/>
  <c r="W98" i="14"/>
  <c r="Y98" i="14" s="1"/>
  <c r="H98" i="11"/>
  <c r="J98" i="11" s="1"/>
  <c r="AK99" i="15"/>
  <c r="AA99" i="17"/>
  <c r="AA99" i="16"/>
  <c r="AG99" i="17"/>
  <c r="AG99" i="16"/>
  <c r="AQ99" i="15"/>
  <c r="Z99" i="14"/>
  <c r="AB99" i="14" s="1"/>
  <c r="D99" i="11"/>
  <c r="G99" i="11"/>
  <c r="Y83" i="17"/>
  <c r="Z83" i="15"/>
  <c r="Y83" i="16"/>
  <c r="C73" i="17"/>
  <c r="C73" i="16"/>
  <c r="D73" i="15"/>
  <c r="D100" i="4"/>
  <c r="G99" i="2"/>
  <c r="I98" i="16"/>
  <c r="I98" i="17"/>
  <c r="J98" i="15"/>
  <c r="AB84" i="2"/>
  <c r="Z85" i="4"/>
  <c r="Y84" i="2"/>
  <c r="W85" i="4"/>
  <c r="U83" i="16"/>
  <c r="U83" i="17"/>
  <c r="V83" i="15"/>
  <c r="B75" i="4"/>
  <c r="E74" i="2"/>
  <c r="C74" i="9" s="1"/>
  <c r="H98" i="16"/>
  <c r="H98" i="17"/>
  <c r="I98" i="15"/>
  <c r="H100" i="4"/>
  <c r="K99" i="2"/>
  <c r="AA83" i="15"/>
  <c r="Z83" i="16"/>
  <c r="Z83" i="17"/>
  <c r="Z83" i="10"/>
  <c r="Z83" i="9"/>
  <c r="AA83" i="7"/>
  <c r="X83" i="15"/>
  <c r="W83" i="17"/>
  <c r="W83" i="16"/>
  <c r="O98" i="16"/>
  <c r="O98" i="17"/>
  <c r="P98" i="15"/>
  <c r="R83" i="17"/>
  <c r="R83" i="16"/>
  <c r="S83" i="15"/>
  <c r="U85" i="4"/>
  <c r="W84" i="2"/>
  <c r="S83" i="17"/>
  <c r="S83" i="16"/>
  <c r="T83" i="15"/>
  <c r="M83" i="17"/>
  <c r="AH83" i="17" s="1"/>
  <c r="N83" i="14" s="1"/>
  <c r="P83" i="14" s="1"/>
  <c r="M83" i="16"/>
  <c r="AH83" i="16" s="1"/>
  <c r="K83" i="14" s="1"/>
  <c r="M83" i="14" s="1"/>
  <c r="AS83" i="2"/>
  <c r="N83" i="15"/>
  <c r="AR83" i="15" s="1"/>
  <c r="E83" i="14" s="1"/>
  <c r="G83" i="14" s="1"/>
  <c r="H82" i="14"/>
  <c r="J82" i="14" s="1"/>
  <c r="B82" i="14"/>
  <c r="D82" i="14" s="1"/>
  <c r="G100" i="4"/>
  <c r="J99" i="2"/>
  <c r="K98" i="17"/>
  <c r="K98" i="16"/>
  <c r="L98" i="15"/>
  <c r="P83" i="17"/>
  <c r="P83" i="16"/>
  <c r="Q83" i="15"/>
  <c r="O100" i="4"/>
  <c r="Q99" i="2"/>
  <c r="J98" i="17"/>
  <c r="J98" i="16"/>
  <c r="K98" i="15"/>
  <c r="L98" i="17"/>
  <c r="L98" i="16"/>
  <c r="M98" i="15"/>
  <c r="S85" i="4"/>
  <c r="U85" i="2" s="1"/>
  <c r="M85" i="4"/>
  <c r="O84" i="2"/>
  <c r="J100" i="4"/>
  <c r="M99" i="2"/>
  <c r="P85" i="4"/>
  <c r="R84" i="2"/>
  <c r="N83" i="17"/>
  <c r="N83" i="16"/>
  <c r="O83" i="15"/>
  <c r="I100" i="4"/>
  <c r="L99" i="2"/>
  <c r="R85" i="4"/>
  <c r="T84" i="2"/>
  <c r="K100" i="4"/>
  <c r="N99" i="2"/>
  <c r="Q83" i="17"/>
  <c r="Q83" i="16"/>
  <c r="R83" i="15"/>
  <c r="AT83" i="2"/>
  <c r="D98" i="17"/>
  <c r="D98" i="16"/>
  <c r="E98" i="15"/>
  <c r="F98" i="17"/>
  <c r="F98" i="16"/>
  <c r="G98" i="15"/>
  <c r="X84" i="2"/>
  <c r="W84" i="7" s="1"/>
  <c r="V85" i="4"/>
  <c r="T83" i="17"/>
  <c r="T83" i="16"/>
  <c r="U83" i="15"/>
  <c r="N85" i="4"/>
  <c r="P84" i="2"/>
  <c r="Z84" i="2"/>
  <c r="X85" i="4"/>
  <c r="AA84" i="2"/>
  <c r="Y85" i="4"/>
  <c r="Q85" i="4"/>
  <c r="S84" i="2"/>
  <c r="C100" i="4"/>
  <c r="F99" i="2"/>
  <c r="E98" i="17"/>
  <c r="E98" i="16"/>
  <c r="F98" i="15"/>
  <c r="E100" i="4"/>
  <c r="H99" i="2"/>
  <c r="V83" i="16"/>
  <c r="W83" i="15"/>
  <c r="V83" i="17"/>
  <c r="T85" i="4"/>
  <c r="V84" i="2"/>
  <c r="X83" i="16"/>
  <c r="X83" i="17"/>
  <c r="Y83" i="15"/>
  <c r="C100" i="2"/>
  <c r="B101" i="2"/>
  <c r="D101" i="2" s="1"/>
  <c r="AC75" i="7"/>
  <c r="BB73" i="2"/>
  <c r="AF75" i="7"/>
  <c r="AW81" i="2"/>
  <c r="AX81" i="2"/>
  <c r="AE79" i="10"/>
  <c r="AE79" i="9"/>
  <c r="AO79" i="7"/>
  <c r="Y83" i="10"/>
  <c r="Y83" i="9"/>
  <c r="Z83" i="7"/>
  <c r="B82" i="12"/>
  <c r="T82" i="14" s="1"/>
  <c r="V82" i="14" s="1"/>
  <c r="B82" i="10"/>
  <c r="B82" i="9"/>
  <c r="C82" i="7"/>
  <c r="I81" i="10"/>
  <c r="I81" i="9"/>
  <c r="J81" i="7"/>
  <c r="N81" i="10"/>
  <c r="N81" i="9"/>
  <c r="O81" i="7"/>
  <c r="R81" i="10"/>
  <c r="R81" i="9"/>
  <c r="S81" i="7"/>
  <c r="P81" i="10"/>
  <c r="P81" i="9"/>
  <c r="Q81" i="7"/>
  <c r="W83" i="10"/>
  <c r="W83" i="9"/>
  <c r="X83" i="7"/>
  <c r="AF79" i="10"/>
  <c r="AF79" i="9"/>
  <c r="AP79" i="7"/>
  <c r="G81" i="10"/>
  <c r="G81" i="9"/>
  <c r="H81" i="7"/>
  <c r="K81" i="10"/>
  <c r="K81" i="9"/>
  <c r="L81" i="7"/>
  <c r="AF82" i="10"/>
  <c r="AF82" i="9"/>
  <c r="AP82" i="7"/>
  <c r="AG73" i="10"/>
  <c r="AG73" i="9"/>
  <c r="AQ73" i="7"/>
  <c r="AB74" i="10"/>
  <c r="AB74" i="9"/>
  <c r="AL74" i="7"/>
  <c r="V84" i="10"/>
  <c r="U81" i="10"/>
  <c r="U81" i="9"/>
  <c r="V81" i="7"/>
  <c r="S81" i="10"/>
  <c r="S81" i="9"/>
  <c r="T81" i="7"/>
  <c r="E81" i="10"/>
  <c r="E81" i="9"/>
  <c r="F81" i="7"/>
  <c r="AG75" i="7"/>
  <c r="AG74" i="7"/>
  <c r="AA73" i="10"/>
  <c r="AA73" i="9"/>
  <c r="AK73" i="7"/>
  <c r="X83" i="10"/>
  <c r="X83" i="9"/>
  <c r="Y83" i="7"/>
  <c r="O81" i="10"/>
  <c r="O81" i="9"/>
  <c r="P81" i="7"/>
  <c r="M81" i="10"/>
  <c r="M81" i="9"/>
  <c r="N81" i="7"/>
  <c r="Q81" i="10"/>
  <c r="Q81" i="9"/>
  <c r="R81" i="7"/>
  <c r="D81" i="12"/>
  <c r="G81" i="12"/>
  <c r="Q81" i="14" s="1"/>
  <c r="S81" i="14" s="1"/>
  <c r="AR72" i="7"/>
  <c r="AC78" i="10"/>
  <c r="AC78" i="9"/>
  <c r="AM78" i="7"/>
  <c r="C74" i="10"/>
  <c r="K80" i="12"/>
  <c r="H80" i="12"/>
  <c r="J80" i="12" s="1"/>
  <c r="H81" i="10"/>
  <c r="H81" i="9"/>
  <c r="I81" i="7"/>
  <c r="L81" i="10"/>
  <c r="L81" i="9"/>
  <c r="M81" i="7"/>
  <c r="J81" i="10"/>
  <c r="J81" i="9"/>
  <c r="K81" i="7"/>
  <c r="AH72" i="9"/>
  <c r="AI79" i="7"/>
  <c r="AI78" i="7"/>
  <c r="AD78" i="10"/>
  <c r="AD78" i="9"/>
  <c r="AN78" i="7"/>
  <c r="AB79" i="7"/>
  <c r="T81" i="10"/>
  <c r="T81" i="9"/>
  <c r="U81" i="7"/>
  <c r="F81" i="10"/>
  <c r="F81" i="9"/>
  <c r="G81" i="7"/>
  <c r="D81" i="10"/>
  <c r="D81" i="9"/>
  <c r="E81" i="7"/>
  <c r="AH79" i="7"/>
  <c r="AH72" i="10"/>
  <c r="AJ79" i="7"/>
  <c r="L90" i="13"/>
  <c r="M91" i="13"/>
  <c r="I91" i="13"/>
  <c r="L91" i="13" s="1"/>
  <c r="H92" i="13"/>
  <c r="E92" i="13"/>
  <c r="G99" i="13"/>
  <c r="B99" i="13"/>
  <c r="F95" i="12"/>
  <c r="C99" i="12"/>
  <c r="AZ74" i="2"/>
  <c r="BA74" i="2"/>
  <c r="AE76" i="7"/>
  <c r="AD76" i="7"/>
  <c r="C74" i="3"/>
  <c r="B73" i="3"/>
  <c r="J80" i="3"/>
  <c r="F72" i="3"/>
  <c r="E73" i="3"/>
  <c r="G69" i="1"/>
  <c r="D72" i="1"/>
  <c r="D74" i="7" l="1"/>
  <c r="V84" i="9"/>
  <c r="W99" i="14"/>
  <c r="Y99" i="14" s="1"/>
  <c r="H99" i="11"/>
  <c r="J99" i="11" s="1"/>
  <c r="I101" i="2"/>
  <c r="G100" i="17"/>
  <c r="G100" i="16"/>
  <c r="H100" i="15"/>
  <c r="B101" i="11"/>
  <c r="B101" i="17"/>
  <c r="B101" i="16"/>
  <c r="C101" i="15"/>
  <c r="AG101" i="2"/>
  <c r="AF101" i="15" s="1"/>
  <c r="AH101" i="2"/>
  <c r="AG101" i="15" s="1"/>
  <c r="AD101" i="2"/>
  <c r="AC101" i="15" s="1"/>
  <c r="AJ101" i="2"/>
  <c r="AI101" i="15" s="1"/>
  <c r="AE101" i="2"/>
  <c r="AD101" i="15" s="1"/>
  <c r="AF101" i="2"/>
  <c r="AE101" i="15" s="1"/>
  <c r="AL101" i="2"/>
  <c r="AI101" i="2"/>
  <c r="AH101" i="15" s="1"/>
  <c r="AK101" i="2"/>
  <c r="AJ101" i="15" s="1"/>
  <c r="AC101" i="2"/>
  <c r="AB101" i="15" s="1"/>
  <c r="AR101" i="2"/>
  <c r="AG100" i="16"/>
  <c r="AG100" i="17"/>
  <c r="AQ100" i="15"/>
  <c r="Z100" i="14"/>
  <c r="AB100" i="14" s="1"/>
  <c r="D100" i="11"/>
  <c r="G100" i="11"/>
  <c r="AA100" i="16"/>
  <c r="AA100" i="17"/>
  <c r="AK100" i="15"/>
  <c r="T86" i="4"/>
  <c r="V85" i="2"/>
  <c r="Q86" i="4"/>
  <c r="S85" i="2"/>
  <c r="N86" i="4"/>
  <c r="P85" i="2"/>
  <c r="K101" i="4"/>
  <c r="N100" i="2"/>
  <c r="J101" i="4"/>
  <c r="M100" i="2"/>
  <c r="O101" i="4"/>
  <c r="Q100" i="2"/>
  <c r="H83" i="14"/>
  <c r="J83" i="14" s="1"/>
  <c r="B83" i="14"/>
  <c r="D83" i="14" s="1"/>
  <c r="U84" i="16"/>
  <c r="U84" i="17"/>
  <c r="V84" i="15"/>
  <c r="H101" i="4"/>
  <c r="K100" i="2"/>
  <c r="Z84" i="17"/>
  <c r="Z84" i="16"/>
  <c r="AA84" i="15"/>
  <c r="Z84" i="10"/>
  <c r="Z84" i="9"/>
  <c r="AA84" i="7"/>
  <c r="AA85" i="2"/>
  <c r="Y86" i="4"/>
  <c r="R84" i="17"/>
  <c r="R84" i="16"/>
  <c r="S84" i="15"/>
  <c r="AS84" i="2"/>
  <c r="M84" i="17"/>
  <c r="AH84" i="17" s="1"/>
  <c r="N84" i="14" s="1"/>
  <c r="P84" i="14" s="1"/>
  <c r="M84" i="16"/>
  <c r="AH84" i="16" s="1"/>
  <c r="K84" i="14" s="1"/>
  <c r="M84" i="14" s="1"/>
  <c r="N84" i="15"/>
  <c r="AR84" i="15" s="1"/>
  <c r="E84" i="14" s="1"/>
  <c r="G84" i="14" s="1"/>
  <c r="H99" i="17"/>
  <c r="H99" i="16"/>
  <c r="I99" i="15"/>
  <c r="U86" i="4"/>
  <c r="W85" i="2"/>
  <c r="Y84" i="16"/>
  <c r="Z84" i="15"/>
  <c r="Y84" i="17"/>
  <c r="M86" i="4"/>
  <c r="O85" i="2"/>
  <c r="G101" i="4"/>
  <c r="J100" i="2"/>
  <c r="D99" i="17"/>
  <c r="D99" i="16"/>
  <c r="E99" i="15"/>
  <c r="Z85" i="2"/>
  <c r="X86" i="4"/>
  <c r="R86" i="4"/>
  <c r="T85" i="2"/>
  <c r="P84" i="17"/>
  <c r="P84" i="16"/>
  <c r="Q84" i="15"/>
  <c r="S84" i="17"/>
  <c r="S84" i="16"/>
  <c r="T84" i="15"/>
  <c r="Y85" i="2"/>
  <c r="W86" i="4"/>
  <c r="F99" i="17"/>
  <c r="F99" i="16"/>
  <c r="G99" i="15"/>
  <c r="C101" i="4"/>
  <c r="F100" i="2"/>
  <c r="X84" i="16"/>
  <c r="Y84" i="15"/>
  <c r="X84" i="17"/>
  <c r="X85" i="2"/>
  <c r="V85" i="10" s="1"/>
  <c r="V86" i="4"/>
  <c r="J99" i="17"/>
  <c r="J99" i="16"/>
  <c r="K99" i="15"/>
  <c r="P86" i="4"/>
  <c r="R85" i="2"/>
  <c r="S86" i="4"/>
  <c r="U86" i="2" s="1"/>
  <c r="C74" i="17"/>
  <c r="C74" i="16"/>
  <c r="D74" i="15"/>
  <c r="W84" i="16"/>
  <c r="X84" i="15"/>
  <c r="W84" i="17"/>
  <c r="E99" i="17"/>
  <c r="E99" i="16"/>
  <c r="F99" i="15"/>
  <c r="T84" i="17"/>
  <c r="T84" i="16"/>
  <c r="U84" i="15"/>
  <c r="E101" i="4"/>
  <c r="H100" i="2"/>
  <c r="Q84" i="16"/>
  <c r="Q84" i="17"/>
  <c r="R84" i="15"/>
  <c r="AT84" i="2"/>
  <c r="N84" i="17"/>
  <c r="N84" i="16"/>
  <c r="O84" i="15"/>
  <c r="V84" i="17"/>
  <c r="V84" i="16"/>
  <c r="W84" i="15"/>
  <c r="L99" i="17"/>
  <c r="L99" i="16"/>
  <c r="M99" i="15"/>
  <c r="I101" i="4"/>
  <c r="L100" i="2"/>
  <c r="K99" i="17"/>
  <c r="K99" i="16"/>
  <c r="L99" i="15"/>
  <c r="O99" i="17"/>
  <c r="O99" i="16"/>
  <c r="P99" i="15"/>
  <c r="I99" i="16"/>
  <c r="I99" i="17"/>
  <c r="J99" i="15"/>
  <c r="B76" i="4"/>
  <c r="E75" i="2"/>
  <c r="C75" i="10" s="1"/>
  <c r="AB85" i="2"/>
  <c r="Z86" i="4"/>
  <c r="D101" i="4"/>
  <c r="G100" i="2"/>
  <c r="B102" i="2"/>
  <c r="D102" i="2" s="1"/>
  <c r="C101" i="2"/>
  <c r="AC76" i="7"/>
  <c r="BB74" i="2"/>
  <c r="AX82" i="2"/>
  <c r="AF76" i="7"/>
  <c r="AY75" i="2"/>
  <c r="AW82" i="2"/>
  <c r="AH73" i="9"/>
  <c r="AH73" i="10"/>
  <c r="AR73" i="7"/>
  <c r="AD79" i="10"/>
  <c r="AD79" i="9"/>
  <c r="AN79" i="7"/>
  <c r="AF80" i="10"/>
  <c r="AF80" i="9"/>
  <c r="AP80" i="7"/>
  <c r="B83" i="12"/>
  <c r="T83" i="14" s="1"/>
  <c r="V83" i="14" s="1"/>
  <c r="B83" i="10"/>
  <c r="B83" i="9"/>
  <c r="C83" i="7"/>
  <c r="J82" i="10"/>
  <c r="J82" i="9"/>
  <c r="K82" i="7"/>
  <c r="H82" i="10"/>
  <c r="H82" i="9"/>
  <c r="I82" i="7"/>
  <c r="L82" i="10"/>
  <c r="L82" i="9"/>
  <c r="M82" i="7"/>
  <c r="D82" i="12"/>
  <c r="G82" i="12"/>
  <c r="Q82" i="14" s="1"/>
  <c r="S82" i="14" s="1"/>
  <c r="AF81" i="10"/>
  <c r="AF81" i="9"/>
  <c r="AP81" i="7"/>
  <c r="X84" i="10"/>
  <c r="X84" i="9"/>
  <c r="Y84" i="7"/>
  <c r="Y84" i="10"/>
  <c r="Y84" i="9"/>
  <c r="Z84" i="7"/>
  <c r="D82" i="10"/>
  <c r="D82" i="9"/>
  <c r="E82" i="7"/>
  <c r="U82" i="10"/>
  <c r="U82" i="9"/>
  <c r="V82" i="7"/>
  <c r="F82" i="10"/>
  <c r="F82" i="9"/>
  <c r="G82" i="7"/>
  <c r="AC79" i="10"/>
  <c r="AC79" i="9"/>
  <c r="AM79" i="7"/>
  <c r="AE80" i="10"/>
  <c r="AE80" i="9"/>
  <c r="AO80" i="7"/>
  <c r="AA74" i="10"/>
  <c r="AA74" i="9"/>
  <c r="AK74" i="7"/>
  <c r="AJ80" i="7"/>
  <c r="AB80" i="7"/>
  <c r="Q82" i="10"/>
  <c r="Q82" i="9"/>
  <c r="R82" i="7"/>
  <c r="O82" i="10"/>
  <c r="O82" i="9"/>
  <c r="P82" i="7"/>
  <c r="S82" i="10"/>
  <c r="S82" i="9"/>
  <c r="T82" i="7"/>
  <c r="AF83" i="10"/>
  <c r="AF83" i="9"/>
  <c r="AP83" i="7"/>
  <c r="E82" i="10"/>
  <c r="E82" i="9"/>
  <c r="F82" i="7"/>
  <c r="I82" i="10"/>
  <c r="I82" i="9"/>
  <c r="J82" i="7"/>
  <c r="G82" i="10"/>
  <c r="G82" i="9"/>
  <c r="H82" i="7"/>
  <c r="M82" i="10"/>
  <c r="M82" i="9"/>
  <c r="N82" i="7"/>
  <c r="AG74" i="10"/>
  <c r="AG74" i="9"/>
  <c r="AQ74" i="7"/>
  <c r="W84" i="10"/>
  <c r="W84" i="9"/>
  <c r="X84" i="7"/>
  <c r="K82" i="10"/>
  <c r="K82" i="9"/>
  <c r="L82" i="7"/>
  <c r="T82" i="10"/>
  <c r="T82" i="9"/>
  <c r="U82" i="7"/>
  <c r="AB75" i="10"/>
  <c r="AB75" i="9"/>
  <c r="AL75" i="7"/>
  <c r="AH80" i="7"/>
  <c r="K81" i="12"/>
  <c r="H81" i="12"/>
  <c r="J81" i="12" s="1"/>
  <c r="R82" i="10"/>
  <c r="R82" i="9"/>
  <c r="S82" i="7"/>
  <c r="P82" i="10"/>
  <c r="P82" i="9"/>
  <c r="Q82" i="7"/>
  <c r="N82" i="10"/>
  <c r="N82" i="9"/>
  <c r="O82" i="7"/>
  <c r="K91" i="13"/>
  <c r="H93" i="13"/>
  <c r="E93" i="13"/>
  <c r="P92" i="13"/>
  <c r="Q92" i="13"/>
  <c r="N92" i="13"/>
  <c r="I92" i="13"/>
  <c r="K92" i="13" s="1"/>
  <c r="M92" i="13"/>
  <c r="O92" i="13"/>
  <c r="G100" i="13"/>
  <c r="B100" i="13"/>
  <c r="C100" i="12"/>
  <c r="F96" i="12"/>
  <c r="AZ75" i="2"/>
  <c r="BA75" i="2"/>
  <c r="AE77" i="7"/>
  <c r="AD77" i="7"/>
  <c r="AY76" i="2"/>
  <c r="C75" i="3"/>
  <c r="B74" i="3"/>
  <c r="F73" i="3"/>
  <c r="E74" i="3"/>
  <c r="J81" i="3"/>
  <c r="G70" i="1"/>
  <c r="D73" i="1"/>
  <c r="W85" i="7" l="1"/>
  <c r="D75" i="7"/>
  <c r="V85" i="9"/>
  <c r="C75" i="9"/>
  <c r="AA101" i="17"/>
  <c r="AK101" i="15"/>
  <c r="AA101" i="16"/>
  <c r="B102" i="17"/>
  <c r="B102" i="16"/>
  <c r="B102" i="11"/>
  <c r="AG102" i="2"/>
  <c r="AF102" i="15" s="1"/>
  <c r="C102" i="15"/>
  <c r="AH102" i="2"/>
  <c r="AG102" i="15" s="1"/>
  <c r="AD102" i="2"/>
  <c r="AC102" i="15" s="1"/>
  <c r="AR102" i="2"/>
  <c r="AL102" i="2"/>
  <c r="AC102" i="2"/>
  <c r="AB102" i="15" s="1"/>
  <c r="AI102" i="2"/>
  <c r="AH102" i="15" s="1"/>
  <c r="AF102" i="2"/>
  <c r="AE102" i="15" s="1"/>
  <c r="AE102" i="2"/>
  <c r="AD102" i="15" s="1"/>
  <c r="AJ102" i="2"/>
  <c r="AI102" i="15" s="1"/>
  <c r="AK102" i="2"/>
  <c r="AJ102" i="15" s="1"/>
  <c r="I102" i="2"/>
  <c r="W100" i="14"/>
  <c r="Y100" i="14" s="1"/>
  <c r="H100" i="11"/>
  <c r="J100" i="11" s="1"/>
  <c r="AG101" i="17"/>
  <c r="AQ101" i="15"/>
  <c r="AG101" i="16"/>
  <c r="G101" i="16"/>
  <c r="G101" i="17"/>
  <c r="H101" i="15"/>
  <c r="Z101" i="14"/>
  <c r="AB101" i="14" s="1"/>
  <c r="D101" i="11"/>
  <c r="G101" i="11"/>
  <c r="C75" i="17"/>
  <c r="C75" i="16"/>
  <c r="D75" i="15"/>
  <c r="I102" i="4"/>
  <c r="L101" i="2"/>
  <c r="P85" i="16"/>
  <c r="P85" i="17"/>
  <c r="Q85" i="15"/>
  <c r="V85" i="17"/>
  <c r="V85" i="16"/>
  <c r="W85" i="15"/>
  <c r="R85" i="17"/>
  <c r="R85" i="16"/>
  <c r="S85" i="15"/>
  <c r="H102" i="4"/>
  <c r="K101" i="2"/>
  <c r="O100" i="16"/>
  <c r="O100" i="17"/>
  <c r="P100" i="15"/>
  <c r="N85" i="16"/>
  <c r="N85" i="17"/>
  <c r="O85" i="15"/>
  <c r="B77" i="4"/>
  <c r="E76" i="2"/>
  <c r="C76" i="9" s="1"/>
  <c r="P87" i="4"/>
  <c r="R86" i="2"/>
  <c r="O102" i="4"/>
  <c r="Q101" i="2"/>
  <c r="N87" i="4"/>
  <c r="P86" i="2"/>
  <c r="E100" i="17"/>
  <c r="E100" i="16"/>
  <c r="F100" i="15"/>
  <c r="F100" i="17"/>
  <c r="F100" i="16"/>
  <c r="G100" i="15"/>
  <c r="R87" i="4"/>
  <c r="T86" i="2"/>
  <c r="H100" i="16"/>
  <c r="H100" i="17"/>
  <c r="I100" i="15"/>
  <c r="K100" i="17"/>
  <c r="K100" i="16"/>
  <c r="L100" i="15"/>
  <c r="Q85" i="17"/>
  <c r="Q85" i="16"/>
  <c r="R85" i="15"/>
  <c r="AT85" i="2"/>
  <c r="D102" i="4"/>
  <c r="G101" i="2"/>
  <c r="E102" i="4"/>
  <c r="H101" i="2"/>
  <c r="Z86" i="2"/>
  <c r="X87" i="4"/>
  <c r="G102" i="4"/>
  <c r="J101" i="2"/>
  <c r="U85" i="17"/>
  <c r="U85" i="16"/>
  <c r="V85" i="15"/>
  <c r="AA86" i="2"/>
  <c r="Y87" i="4"/>
  <c r="J102" i="4"/>
  <c r="M101" i="2"/>
  <c r="Q87" i="4"/>
  <c r="S86" i="2"/>
  <c r="AB86" i="2"/>
  <c r="Z87" i="4"/>
  <c r="S85" i="16"/>
  <c r="S85" i="17"/>
  <c r="T85" i="15"/>
  <c r="D100" i="17"/>
  <c r="D100" i="16"/>
  <c r="E100" i="15"/>
  <c r="Y86" i="2"/>
  <c r="W87" i="4"/>
  <c r="X85" i="16"/>
  <c r="Y85" i="15"/>
  <c r="X85" i="17"/>
  <c r="M85" i="17"/>
  <c r="AH85" i="17" s="1"/>
  <c r="N85" i="14" s="1"/>
  <c r="P85" i="14" s="1"/>
  <c r="M85" i="16"/>
  <c r="AH85" i="16" s="1"/>
  <c r="K85" i="14" s="1"/>
  <c r="M85" i="14" s="1"/>
  <c r="AS85" i="2"/>
  <c r="N85" i="15"/>
  <c r="AR85" i="15" s="1"/>
  <c r="E85" i="14" s="1"/>
  <c r="G85" i="14" s="1"/>
  <c r="U87" i="4"/>
  <c r="W86" i="2"/>
  <c r="Y85" i="17"/>
  <c r="Z85" i="15"/>
  <c r="Y85" i="16"/>
  <c r="L100" i="16"/>
  <c r="L100" i="17"/>
  <c r="M100" i="15"/>
  <c r="T85" i="17"/>
  <c r="T85" i="16"/>
  <c r="U85" i="15"/>
  <c r="AA85" i="15"/>
  <c r="Z85" i="17"/>
  <c r="Z85" i="16"/>
  <c r="Z85" i="9"/>
  <c r="AA85" i="7"/>
  <c r="Z85" i="10"/>
  <c r="J100" i="17"/>
  <c r="J100" i="16"/>
  <c r="K100" i="15"/>
  <c r="S87" i="4"/>
  <c r="U87" i="2" s="1"/>
  <c r="X86" i="2"/>
  <c r="V86" i="10" s="1"/>
  <c r="V87" i="4"/>
  <c r="C102" i="4"/>
  <c r="F101" i="2"/>
  <c r="W85" i="16"/>
  <c r="X85" i="15"/>
  <c r="W85" i="17"/>
  <c r="M87" i="4"/>
  <c r="O86" i="2"/>
  <c r="H84" i="14"/>
  <c r="J84" i="14" s="1"/>
  <c r="B84" i="14"/>
  <c r="D84" i="14" s="1"/>
  <c r="I100" i="17"/>
  <c r="I100" i="16"/>
  <c r="J100" i="15"/>
  <c r="K102" i="4"/>
  <c r="N101" i="2"/>
  <c r="T87" i="4"/>
  <c r="V86" i="2"/>
  <c r="C102" i="2"/>
  <c r="B103" i="2"/>
  <c r="D103" i="2" s="1"/>
  <c r="AC77" i="7"/>
  <c r="BB75" i="2"/>
  <c r="AX83" i="2"/>
  <c r="AW83" i="2"/>
  <c r="AF77" i="7"/>
  <c r="AH74" i="9"/>
  <c r="AD80" i="10"/>
  <c r="AD80" i="9"/>
  <c r="AN80" i="7"/>
  <c r="AB76" i="10"/>
  <c r="AB76" i="9"/>
  <c r="AL76" i="7"/>
  <c r="X85" i="10"/>
  <c r="X85" i="9"/>
  <c r="Y85" i="7"/>
  <c r="AJ81" i="7"/>
  <c r="K82" i="12"/>
  <c r="H82" i="12"/>
  <c r="J82" i="12" s="1"/>
  <c r="B84" i="12"/>
  <c r="T84" i="14" s="1"/>
  <c r="V84" i="14" s="1"/>
  <c r="B84" i="10"/>
  <c r="B84" i="9"/>
  <c r="C84" i="7"/>
  <c r="F83" i="10"/>
  <c r="F83" i="9"/>
  <c r="G83" i="7"/>
  <c r="M83" i="10"/>
  <c r="M83" i="9"/>
  <c r="N83" i="7"/>
  <c r="Q83" i="10"/>
  <c r="Q83" i="9"/>
  <c r="R83" i="7"/>
  <c r="AF84" i="10"/>
  <c r="AF84" i="9"/>
  <c r="AP84" i="7"/>
  <c r="AA75" i="10"/>
  <c r="AA75" i="9"/>
  <c r="AK75" i="7"/>
  <c r="AR74" i="7"/>
  <c r="O82" i="12"/>
  <c r="N82" i="12"/>
  <c r="M82" i="12"/>
  <c r="T83" i="10"/>
  <c r="T83" i="9"/>
  <c r="U83" i="7"/>
  <c r="J83" i="10"/>
  <c r="J83" i="9"/>
  <c r="K83" i="7"/>
  <c r="H83" i="10"/>
  <c r="H83" i="9"/>
  <c r="I83" i="7"/>
  <c r="AC80" i="10"/>
  <c r="AC80" i="9"/>
  <c r="AM80" i="7"/>
  <c r="G83" i="10"/>
  <c r="G83" i="9"/>
  <c r="H83" i="7"/>
  <c r="N83" i="10"/>
  <c r="N83" i="9"/>
  <c r="O83" i="7"/>
  <c r="D83" i="10"/>
  <c r="D83" i="9"/>
  <c r="E83" i="7"/>
  <c r="P83" i="10"/>
  <c r="P83" i="9"/>
  <c r="Q83" i="7"/>
  <c r="AG77" i="7"/>
  <c r="AG76" i="7"/>
  <c r="W85" i="10"/>
  <c r="W85" i="9"/>
  <c r="X85" i="7"/>
  <c r="AB81" i="7"/>
  <c r="AH74" i="10"/>
  <c r="U83" i="10"/>
  <c r="U83" i="9"/>
  <c r="V83" i="7"/>
  <c r="K83" i="10"/>
  <c r="K83" i="9"/>
  <c r="L83" i="7"/>
  <c r="R83" i="10"/>
  <c r="R83" i="9"/>
  <c r="S83" i="7"/>
  <c r="AE81" i="10"/>
  <c r="AE81" i="9"/>
  <c r="AO81" i="7"/>
  <c r="AH81" i="7"/>
  <c r="Y85" i="10"/>
  <c r="Y85" i="9"/>
  <c r="Z85" i="7"/>
  <c r="O83" i="10"/>
  <c r="O83" i="9"/>
  <c r="P83" i="7"/>
  <c r="E83" i="10"/>
  <c r="E83" i="9"/>
  <c r="F83" i="7"/>
  <c r="I83" i="10"/>
  <c r="I83" i="9"/>
  <c r="J83" i="7"/>
  <c r="AG75" i="10"/>
  <c r="AG75" i="9"/>
  <c r="AQ75" i="7"/>
  <c r="AI81" i="7"/>
  <c r="AI80" i="7"/>
  <c r="L82" i="12"/>
  <c r="L83" i="10"/>
  <c r="L83" i="9"/>
  <c r="M83" i="7"/>
  <c r="S83" i="10"/>
  <c r="S83" i="9"/>
  <c r="T83" i="7"/>
  <c r="D83" i="12"/>
  <c r="G83" i="12"/>
  <c r="Q83" i="14" s="1"/>
  <c r="S83" i="14" s="1"/>
  <c r="L92" i="13"/>
  <c r="I93" i="13"/>
  <c r="K93" i="13" s="1"/>
  <c r="M93" i="13"/>
  <c r="H94" i="13"/>
  <c r="E94" i="13"/>
  <c r="B101" i="13"/>
  <c r="G101" i="13"/>
  <c r="F97" i="12"/>
  <c r="C101" i="12"/>
  <c r="AZ76" i="2"/>
  <c r="BA76" i="2"/>
  <c r="AE78" i="7"/>
  <c r="AD78" i="7"/>
  <c r="C76" i="3"/>
  <c r="B75" i="3"/>
  <c r="J82" i="3"/>
  <c r="F74" i="3"/>
  <c r="E75" i="3"/>
  <c r="G71" i="1"/>
  <c r="D74" i="1"/>
  <c r="C76" i="10" l="1"/>
  <c r="D76" i="7"/>
  <c r="W86" i="7"/>
  <c r="V86" i="9"/>
  <c r="W101" i="14"/>
  <c r="Y101" i="14" s="1"/>
  <c r="H101" i="11"/>
  <c r="J101" i="11" s="1"/>
  <c r="AA102" i="17"/>
  <c r="AK102" i="15"/>
  <c r="AA102" i="16"/>
  <c r="Z102" i="14"/>
  <c r="AB102" i="14" s="1"/>
  <c r="D102" i="11"/>
  <c r="G102" i="11"/>
  <c r="AG102" i="17"/>
  <c r="AQ102" i="15"/>
  <c r="AG102" i="16"/>
  <c r="B103" i="11"/>
  <c r="B103" i="17"/>
  <c r="B103" i="16"/>
  <c r="C103" i="15"/>
  <c r="AG103" i="2"/>
  <c r="AF103" i="15" s="1"/>
  <c r="AH103" i="2"/>
  <c r="AG103" i="15" s="1"/>
  <c r="AE103" i="2"/>
  <c r="AD103" i="15" s="1"/>
  <c r="AC103" i="2"/>
  <c r="AB103" i="15" s="1"/>
  <c r="AD103" i="2"/>
  <c r="AC103" i="15" s="1"/>
  <c r="AL103" i="2"/>
  <c r="AF103" i="2"/>
  <c r="AE103" i="15" s="1"/>
  <c r="AR103" i="2"/>
  <c r="AK103" i="2"/>
  <c r="AJ103" i="15" s="1"/>
  <c r="AI103" i="2"/>
  <c r="AH103" i="15" s="1"/>
  <c r="AJ103" i="2"/>
  <c r="AI103" i="15" s="1"/>
  <c r="I103" i="2"/>
  <c r="G102" i="17"/>
  <c r="G102" i="16"/>
  <c r="H102" i="15"/>
  <c r="M88" i="4"/>
  <c r="O87" i="2"/>
  <c r="X87" i="2"/>
  <c r="V87" i="10" s="1"/>
  <c r="V88" i="4"/>
  <c r="Q88" i="4"/>
  <c r="S87" i="2"/>
  <c r="F101" i="17"/>
  <c r="F101" i="16"/>
  <c r="G101" i="15"/>
  <c r="N86" i="16"/>
  <c r="N86" i="17"/>
  <c r="O86" i="15"/>
  <c r="C76" i="17"/>
  <c r="C76" i="16"/>
  <c r="D76" i="15"/>
  <c r="W86" i="15"/>
  <c r="V86" i="17"/>
  <c r="V86" i="16"/>
  <c r="H85" i="14"/>
  <c r="J85" i="14" s="1"/>
  <c r="B85" i="14"/>
  <c r="D85" i="14" s="1"/>
  <c r="Y87" i="2"/>
  <c r="W88" i="4"/>
  <c r="K101" i="17"/>
  <c r="K101" i="16"/>
  <c r="L101" i="15"/>
  <c r="E103" i="4"/>
  <c r="H102" i="2"/>
  <c r="N88" i="4"/>
  <c r="P87" i="2"/>
  <c r="B78" i="4"/>
  <c r="E77" i="2"/>
  <c r="D77" i="7" s="1"/>
  <c r="J101" i="17"/>
  <c r="J101" i="16"/>
  <c r="K101" i="15"/>
  <c r="T86" i="17"/>
  <c r="T86" i="16"/>
  <c r="U86" i="15"/>
  <c r="S86" i="16"/>
  <c r="S86" i="17"/>
  <c r="T86" i="15"/>
  <c r="W86" i="17"/>
  <c r="W86" i="16"/>
  <c r="X86" i="15"/>
  <c r="J103" i="4"/>
  <c r="M102" i="2"/>
  <c r="H101" i="16"/>
  <c r="H101" i="17"/>
  <c r="I101" i="15"/>
  <c r="E101" i="17"/>
  <c r="E101" i="16"/>
  <c r="F101" i="15"/>
  <c r="R86" i="16"/>
  <c r="R86" i="17"/>
  <c r="S86" i="15"/>
  <c r="O101" i="16"/>
  <c r="O101" i="17"/>
  <c r="P101" i="15"/>
  <c r="I101" i="17"/>
  <c r="I101" i="16"/>
  <c r="J101" i="15"/>
  <c r="I103" i="4"/>
  <c r="L102" i="2"/>
  <c r="T88" i="4"/>
  <c r="V87" i="2"/>
  <c r="S88" i="4"/>
  <c r="U88" i="2" s="1"/>
  <c r="AB87" i="2"/>
  <c r="Z88" i="4"/>
  <c r="AA87" i="2"/>
  <c r="Y88" i="4"/>
  <c r="G103" i="4"/>
  <c r="J102" i="2"/>
  <c r="D103" i="4"/>
  <c r="G102" i="2"/>
  <c r="O103" i="4"/>
  <c r="Q102" i="2"/>
  <c r="H103" i="4"/>
  <c r="K102" i="2"/>
  <c r="L101" i="16"/>
  <c r="L101" i="17"/>
  <c r="M101" i="15"/>
  <c r="D101" i="17"/>
  <c r="D101" i="16"/>
  <c r="E101" i="15"/>
  <c r="U86" i="16"/>
  <c r="U86" i="17"/>
  <c r="V86" i="15"/>
  <c r="Z86" i="17"/>
  <c r="Z86" i="16"/>
  <c r="AA86" i="15"/>
  <c r="Z86" i="9"/>
  <c r="AA86" i="7"/>
  <c r="Z86" i="10"/>
  <c r="Y86" i="17"/>
  <c r="Y86" i="16"/>
  <c r="Z86" i="15"/>
  <c r="Z87" i="2"/>
  <c r="X88" i="4"/>
  <c r="R88" i="4"/>
  <c r="T87" i="2"/>
  <c r="P86" i="17"/>
  <c r="P86" i="16"/>
  <c r="Q86" i="15"/>
  <c r="K103" i="4"/>
  <c r="N102" i="2"/>
  <c r="M86" i="17"/>
  <c r="AH86" i="17" s="1"/>
  <c r="N86" i="14" s="1"/>
  <c r="P86" i="14" s="1"/>
  <c r="M86" i="16"/>
  <c r="AH86" i="16" s="1"/>
  <c r="K86" i="14" s="1"/>
  <c r="M86" i="14" s="1"/>
  <c r="AS86" i="2"/>
  <c r="N86" i="15"/>
  <c r="AR86" i="15" s="1"/>
  <c r="E86" i="14" s="1"/>
  <c r="G86" i="14" s="1"/>
  <c r="C103" i="4"/>
  <c r="F102" i="2"/>
  <c r="U88" i="4"/>
  <c r="W87" i="2"/>
  <c r="Q86" i="17"/>
  <c r="Q86" i="16"/>
  <c r="R86" i="15"/>
  <c r="AT86" i="2"/>
  <c r="X86" i="16"/>
  <c r="Y86" i="15"/>
  <c r="X86" i="17"/>
  <c r="P88" i="4"/>
  <c r="R87" i="2"/>
  <c r="B104" i="2"/>
  <c r="D104" i="2" s="1"/>
  <c r="C103" i="2"/>
  <c r="AC78" i="7"/>
  <c r="BB76" i="2"/>
  <c r="AX84" i="2"/>
  <c r="AY77" i="2"/>
  <c r="AW84" i="2"/>
  <c r="AF78" i="7"/>
  <c r="AD81" i="10"/>
  <c r="AD81" i="9"/>
  <c r="AN81" i="7"/>
  <c r="X86" i="10"/>
  <c r="X86" i="9"/>
  <c r="Y86" i="7"/>
  <c r="B85" i="12"/>
  <c r="T85" i="14" s="1"/>
  <c r="V85" i="14" s="1"/>
  <c r="B85" i="10"/>
  <c r="B85" i="9"/>
  <c r="C85" i="7"/>
  <c r="I84" i="10"/>
  <c r="I84" i="9"/>
  <c r="J84" i="7"/>
  <c r="P84" i="10"/>
  <c r="P84" i="9"/>
  <c r="Q84" i="7"/>
  <c r="E84" i="10"/>
  <c r="E84" i="9"/>
  <c r="F84" i="7"/>
  <c r="M84" i="10"/>
  <c r="M84" i="9"/>
  <c r="N84" i="7"/>
  <c r="L84" i="10"/>
  <c r="L84" i="9"/>
  <c r="M84" i="7"/>
  <c r="T84" i="10"/>
  <c r="T84" i="9"/>
  <c r="U84" i="7"/>
  <c r="AC81" i="10"/>
  <c r="AC81" i="9"/>
  <c r="AM81" i="7"/>
  <c r="AF85" i="10"/>
  <c r="AF85" i="9"/>
  <c r="AP85" i="7"/>
  <c r="AB82" i="7"/>
  <c r="AR75" i="7"/>
  <c r="R84" i="10"/>
  <c r="R84" i="9"/>
  <c r="S84" i="7"/>
  <c r="F84" i="10"/>
  <c r="F84" i="9"/>
  <c r="G84" i="7"/>
  <c r="N84" i="10"/>
  <c r="N84" i="9"/>
  <c r="O84" i="7"/>
  <c r="AH82" i="7"/>
  <c r="AH75" i="9"/>
  <c r="H84" i="10"/>
  <c r="H84" i="9"/>
  <c r="I84" i="7"/>
  <c r="U84" i="10"/>
  <c r="U84" i="9"/>
  <c r="V84" i="7"/>
  <c r="J84" i="10"/>
  <c r="J84" i="9"/>
  <c r="K84" i="7"/>
  <c r="D84" i="12"/>
  <c r="G84" i="12"/>
  <c r="Q84" i="14" s="1"/>
  <c r="S84" i="14" s="1"/>
  <c r="AG76" i="10"/>
  <c r="AG76" i="9"/>
  <c r="AQ76" i="7"/>
  <c r="K83" i="12"/>
  <c r="H83" i="12"/>
  <c r="J83" i="12" s="1"/>
  <c r="Y86" i="10"/>
  <c r="Y86" i="9"/>
  <c r="Z86" i="7"/>
  <c r="W86" i="10"/>
  <c r="W86" i="9"/>
  <c r="X86" i="7"/>
  <c r="AH75" i="10"/>
  <c r="Q84" i="10"/>
  <c r="Q84" i="9"/>
  <c r="R84" i="7"/>
  <c r="O84" i="10"/>
  <c r="O84" i="9"/>
  <c r="P84" i="7"/>
  <c r="D84" i="10"/>
  <c r="D84" i="9"/>
  <c r="E84" i="7"/>
  <c r="AA76" i="10"/>
  <c r="AA76" i="9"/>
  <c r="AK76" i="7"/>
  <c r="AE82" i="10"/>
  <c r="AE82" i="9"/>
  <c r="AO82" i="7"/>
  <c r="AB77" i="10"/>
  <c r="AB77" i="9"/>
  <c r="AL77" i="7"/>
  <c r="G84" i="10"/>
  <c r="G84" i="9"/>
  <c r="H84" i="7"/>
  <c r="K84" i="10"/>
  <c r="K84" i="9"/>
  <c r="L84" i="7"/>
  <c r="S84" i="10"/>
  <c r="S84" i="9"/>
  <c r="T84" i="7"/>
  <c r="AJ82" i="7"/>
  <c r="L93" i="13"/>
  <c r="M94" i="13"/>
  <c r="I94" i="13"/>
  <c r="K94" i="13" s="1"/>
  <c r="H95" i="13"/>
  <c r="E95" i="13"/>
  <c r="B102" i="13"/>
  <c r="G102" i="13"/>
  <c r="C102" i="12"/>
  <c r="F98" i="12"/>
  <c r="AZ77" i="2"/>
  <c r="BA77" i="2"/>
  <c r="AE79" i="7"/>
  <c r="AD79" i="7"/>
  <c r="AY78" i="2"/>
  <c r="C77" i="3"/>
  <c r="B76" i="3"/>
  <c r="J83" i="3"/>
  <c r="F75" i="3"/>
  <c r="E76" i="3"/>
  <c r="G72" i="1"/>
  <c r="D75" i="1"/>
  <c r="C77" i="9" l="1"/>
  <c r="C77" i="10"/>
  <c r="W87" i="7"/>
  <c r="V87" i="9"/>
  <c r="Z103" i="14"/>
  <c r="AB103" i="14" s="1"/>
  <c r="D103" i="11"/>
  <c r="G103" i="11"/>
  <c r="AG103" i="16"/>
  <c r="AQ103" i="15"/>
  <c r="AG103" i="17"/>
  <c r="B104" i="17"/>
  <c r="B104" i="11"/>
  <c r="B104" i="16"/>
  <c r="C104" i="15"/>
  <c r="AG104" i="2"/>
  <c r="AF104" i="15" s="1"/>
  <c r="AH104" i="2"/>
  <c r="AG104" i="15" s="1"/>
  <c r="AD104" i="2"/>
  <c r="AC104" i="15" s="1"/>
  <c r="AR104" i="2"/>
  <c r="AF104" i="2"/>
  <c r="AE104" i="15" s="1"/>
  <c r="AI104" i="2"/>
  <c r="AH104" i="15" s="1"/>
  <c r="AC104" i="2"/>
  <c r="AB104" i="15" s="1"/>
  <c r="AK104" i="2"/>
  <c r="AJ104" i="15" s="1"/>
  <c r="AE104" i="2"/>
  <c r="AD104" i="15" s="1"/>
  <c r="AJ104" i="2"/>
  <c r="AI104" i="15" s="1"/>
  <c r="AL104" i="2"/>
  <c r="G103" i="17"/>
  <c r="G103" i="16"/>
  <c r="H103" i="15"/>
  <c r="I104" i="2"/>
  <c r="AA103" i="17"/>
  <c r="AK103" i="15"/>
  <c r="AA103" i="16"/>
  <c r="W102" i="14"/>
  <c r="Y102" i="14" s="1"/>
  <c r="H102" i="11"/>
  <c r="N102" i="11" s="1"/>
  <c r="U89" i="4"/>
  <c r="W88" i="2"/>
  <c r="R87" i="17"/>
  <c r="R87" i="16"/>
  <c r="S87" i="15"/>
  <c r="H104" i="4"/>
  <c r="K103" i="2"/>
  <c r="G104" i="4"/>
  <c r="J103" i="2"/>
  <c r="S89" i="4"/>
  <c r="U89" i="2" s="1"/>
  <c r="N87" i="16"/>
  <c r="N87" i="17"/>
  <c r="O87" i="15"/>
  <c r="Q87" i="16"/>
  <c r="Q87" i="17"/>
  <c r="R87" i="15"/>
  <c r="AT87" i="2"/>
  <c r="D102" i="17"/>
  <c r="D102" i="16"/>
  <c r="E102" i="15"/>
  <c r="L102" i="17"/>
  <c r="L102" i="16"/>
  <c r="M102" i="15"/>
  <c r="O102" i="17"/>
  <c r="O102" i="16"/>
  <c r="P102" i="15"/>
  <c r="AA88" i="2"/>
  <c r="Y89" i="4"/>
  <c r="T87" i="16"/>
  <c r="T87" i="17"/>
  <c r="U87" i="15"/>
  <c r="P88" i="2"/>
  <c r="N89" i="4"/>
  <c r="Y88" i="2"/>
  <c r="W89" i="4"/>
  <c r="Q89" i="4"/>
  <c r="S88" i="2"/>
  <c r="P87" i="17"/>
  <c r="P87" i="16"/>
  <c r="Q87" i="15"/>
  <c r="C104" i="4"/>
  <c r="F103" i="2"/>
  <c r="K104" i="4"/>
  <c r="N103" i="2"/>
  <c r="R89" i="4"/>
  <c r="T88" i="2"/>
  <c r="O104" i="4"/>
  <c r="Q103" i="2"/>
  <c r="Y87" i="17"/>
  <c r="Y87" i="16"/>
  <c r="Z87" i="15"/>
  <c r="T89" i="4"/>
  <c r="V88" i="2"/>
  <c r="K102" i="17"/>
  <c r="K102" i="16"/>
  <c r="L102" i="15"/>
  <c r="F102" i="17"/>
  <c r="F102" i="16"/>
  <c r="G102" i="15"/>
  <c r="W87" i="16"/>
  <c r="W87" i="17"/>
  <c r="X87" i="15"/>
  <c r="X88" i="2"/>
  <c r="V88" i="10" s="1"/>
  <c r="V89" i="4"/>
  <c r="P89" i="4"/>
  <c r="R88" i="2"/>
  <c r="Z88" i="2"/>
  <c r="X89" i="4"/>
  <c r="E102" i="17"/>
  <c r="E102" i="16"/>
  <c r="F102" i="15"/>
  <c r="AB88" i="2"/>
  <c r="Z89" i="4"/>
  <c r="J102" i="17"/>
  <c r="J102" i="16"/>
  <c r="K102" i="15"/>
  <c r="J104" i="4"/>
  <c r="M103" i="2"/>
  <c r="E104" i="4"/>
  <c r="H103" i="2"/>
  <c r="W87" i="15"/>
  <c r="V87" i="17"/>
  <c r="V87" i="16"/>
  <c r="B86" i="14"/>
  <c r="D86" i="14" s="1"/>
  <c r="H86" i="14"/>
  <c r="J86" i="14" s="1"/>
  <c r="Y87" i="15"/>
  <c r="X87" i="17"/>
  <c r="X87" i="16"/>
  <c r="D104" i="4"/>
  <c r="G103" i="2"/>
  <c r="Z87" i="17"/>
  <c r="Z87" i="16"/>
  <c r="AA87" i="15"/>
  <c r="AA87" i="7"/>
  <c r="Z87" i="10"/>
  <c r="Z87" i="9"/>
  <c r="I104" i="4"/>
  <c r="L103" i="2"/>
  <c r="C77" i="17"/>
  <c r="C77" i="16"/>
  <c r="D77" i="15"/>
  <c r="M87" i="16"/>
  <c r="AH87" i="16" s="1"/>
  <c r="K87" i="14" s="1"/>
  <c r="M87" i="14" s="1"/>
  <c r="AS87" i="2"/>
  <c r="M87" i="17"/>
  <c r="AH87" i="17" s="1"/>
  <c r="N87" i="14" s="1"/>
  <c r="P87" i="14" s="1"/>
  <c r="N87" i="15"/>
  <c r="AR87" i="15" s="1"/>
  <c r="E87" i="14" s="1"/>
  <c r="G87" i="14" s="1"/>
  <c r="U87" i="17"/>
  <c r="U87" i="16"/>
  <c r="V87" i="15"/>
  <c r="I102" i="16"/>
  <c r="I102" i="17"/>
  <c r="J102" i="15"/>
  <c r="H102" i="17"/>
  <c r="H102" i="16"/>
  <c r="I102" i="15"/>
  <c r="S87" i="17"/>
  <c r="S87" i="16"/>
  <c r="T87" i="15"/>
  <c r="B79" i="4"/>
  <c r="E78" i="2"/>
  <c r="C78" i="9" s="1"/>
  <c r="M89" i="4"/>
  <c r="O88" i="2"/>
  <c r="C104" i="2"/>
  <c r="AR76" i="7"/>
  <c r="B105" i="2"/>
  <c r="D105" i="2" s="1"/>
  <c r="AC79" i="7"/>
  <c r="AH76" i="9"/>
  <c r="AH76" i="10"/>
  <c r="BB77" i="2"/>
  <c r="AX85" i="2"/>
  <c r="AW85" i="2"/>
  <c r="AF79" i="7"/>
  <c r="O85" i="10"/>
  <c r="O85" i="9"/>
  <c r="P85" i="7"/>
  <c r="W87" i="10"/>
  <c r="W87" i="9"/>
  <c r="X87" i="7"/>
  <c r="K84" i="12"/>
  <c r="H84" i="12"/>
  <c r="J84" i="12" s="1"/>
  <c r="J85" i="10"/>
  <c r="J85" i="9"/>
  <c r="K85" i="7"/>
  <c r="S85" i="10"/>
  <c r="S85" i="9"/>
  <c r="T85" i="7"/>
  <c r="L85" i="10"/>
  <c r="L85" i="9"/>
  <c r="M85" i="7"/>
  <c r="AJ83" i="7"/>
  <c r="Q85" i="10"/>
  <c r="Q85" i="9"/>
  <c r="R85" i="7"/>
  <c r="AD82" i="10"/>
  <c r="AD82" i="9"/>
  <c r="AN82" i="7"/>
  <c r="AA77" i="10"/>
  <c r="AA77" i="9"/>
  <c r="AK77" i="7"/>
  <c r="B86" i="12"/>
  <c r="T86" i="14" s="1"/>
  <c r="V86" i="14" s="1"/>
  <c r="B86" i="10"/>
  <c r="B86" i="9"/>
  <c r="C86" i="7"/>
  <c r="D85" i="10"/>
  <c r="D85" i="9"/>
  <c r="E85" i="7"/>
  <c r="M85" i="10"/>
  <c r="M85" i="9"/>
  <c r="N85" i="7"/>
  <c r="F85" i="10"/>
  <c r="F85" i="9"/>
  <c r="G85" i="7"/>
  <c r="AE83" i="10"/>
  <c r="AE83" i="9"/>
  <c r="AO83" i="7"/>
  <c r="AG79" i="7"/>
  <c r="AG78" i="7"/>
  <c r="AB78" i="10"/>
  <c r="AB78" i="9"/>
  <c r="AL78" i="7"/>
  <c r="AH83" i="7"/>
  <c r="X87" i="10"/>
  <c r="X87" i="9"/>
  <c r="Y87" i="7"/>
  <c r="K85" i="10"/>
  <c r="K85" i="9"/>
  <c r="L85" i="7"/>
  <c r="T85" i="10"/>
  <c r="T85" i="9"/>
  <c r="U85" i="7"/>
  <c r="H85" i="10"/>
  <c r="H85" i="9"/>
  <c r="I85" i="7"/>
  <c r="P85" i="10"/>
  <c r="P85" i="9"/>
  <c r="Q85" i="7"/>
  <c r="AG77" i="10"/>
  <c r="AG77" i="9"/>
  <c r="AQ77" i="7"/>
  <c r="AB83" i="7"/>
  <c r="AF86" i="10"/>
  <c r="AF86" i="9"/>
  <c r="AP86" i="7"/>
  <c r="AC82" i="10"/>
  <c r="AC82" i="9"/>
  <c r="AM82" i="7"/>
  <c r="AB82" i="10"/>
  <c r="AB82" i="9"/>
  <c r="AL82" i="7"/>
  <c r="C78" i="10"/>
  <c r="Y87" i="10"/>
  <c r="Y87" i="9"/>
  <c r="Z87" i="7"/>
  <c r="E85" i="10"/>
  <c r="E85" i="9"/>
  <c r="F85" i="7"/>
  <c r="N85" i="10"/>
  <c r="N85" i="9"/>
  <c r="O85" i="7"/>
  <c r="R85" i="10"/>
  <c r="R85" i="9"/>
  <c r="S85" i="7"/>
  <c r="D85" i="12"/>
  <c r="G85" i="12"/>
  <c r="Q85" i="14" s="1"/>
  <c r="S85" i="14" s="1"/>
  <c r="AI83" i="7"/>
  <c r="AI82" i="7"/>
  <c r="U85" i="10"/>
  <c r="U85" i="9"/>
  <c r="V85" i="7"/>
  <c r="I85" i="10"/>
  <c r="I85" i="9"/>
  <c r="J85" i="7"/>
  <c r="G85" i="10"/>
  <c r="G85" i="9"/>
  <c r="H85" i="7"/>
  <c r="I95" i="13"/>
  <c r="L95" i="13" s="1"/>
  <c r="M95" i="13"/>
  <c r="L94" i="13"/>
  <c r="H96" i="13"/>
  <c r="E96" i="13"/>
  <c r="B103" i="13"/>
  <c r="G103" i="13"/>
  <c r="F99" i="12"/>
  <c r="C103" i="12"/>
  <c r="AZ78" i="2"/>
  <c r="BA78" i="2"/>
  <c r="AE80" i="7"/>
  <c r="AD80" i="7"/>
  <c r="C78" i="3"/>
  <c r="B77" i="3"/>
  <c r="F76" i="3"/>
  <c r="E77" i="3"/>
  <c r="J84" i="3"/>
  <c r="G73" i="1"/>
  <c r="D76" i="1"/>
  <c r="W88" i="7" l="1"/>
  <c r="V88" i="9"/>
  <c r="D78" i="7"/>
  <c r="J102" i="11"/>
  <c r="B105" i="11"/>
  <c r="B105" i="16"/>
  <c r="B105" i="17"/>
  <c r="C105" i="15"/>
  <c r="AG105" i="2"/>
  <c r="AF105" i="15" s="1"/>
  <c r="AH105" i="2"/>
  <c r="AG105" i="15" s="1"/>
  <c r="AC105" i="2"/>
  <c r="AB105" i="15" s="1"/>
  <c r="AE105" i="2"/>
  <c r="AD105" i="15" s="1"/>
  <c r="AJ105" i="2"/>
  <c r="AI105" i="15" s="1"/>
  <c r="AR105" i="2"/>
  <c r="AL105" i="2"/>
  <c r="AF105" i="2"/>
  <c r="AE105" i="15" s="1"/>
  <c r="AD105" i="2"/>
  <c r="AC105" i="15" s="1"/>
  <c r="AK105" i="2"/>
  <c r="AJ105" i="15" s="1"/>
  <c r="AI105" i="2"/>
  <c r="AH105" i="15" s="1"/>
  <c r="K102" i="11"/>
  <c r="AA104" i="17"/>
  <c r="AA104" i="16"/>
  <c r="AK104" i="15"/>
  <c r="W103" i="14"/>
  <c r="Y103" i="14" s="1"/>
  <c r="H103" i="11"/>
  <c r="J103" i="11" s="1"/>
  <c r="M102" i="11"/>
  <c r="AG104" i="16"/>
  <c r="AG104" i="17"/>
  <c r="AQ104" i="15"/>
  <c r="Z104" i="14"/>
  <c r="AB104" i="14" s="1"/>
  <c r="D104" i="11"/>
  <c r="G104" i="11"/>
  <c r="L102" i="11"/>
  <c r="G104" i="17"/>
  <c r="H104" i="15"/>
  <c r="I105" i="2"/>
  <c r="G104" i="16"/>
  <c r="R90" i="4"/>
  <c r="T89" i="2"/>
  <c r="W88" i="15"/>
  <c r="V88" i="16"/>
  <c r="V88" i="17"/>
  <c r="T90" i="4"/>
  <c r="V89" i="2"/>
  <c r="R88" i="16"/>
  <c r="R88" i="17"/>
  <c r="S88" i="15"/>
  <c r="C105" i="4"/>
  <c r="F104" i="2"/>
  <c r="Y89" i="2"/>
  <c r="W90" i="4"/>
  <c r="H105" i="4"/>
  <c r="K104" i="2"/>
  <c r="AS88" i="2"/>
  <c r="M88" i="17"/>
  <c r="AH88" i="17" s="1"/>
  <c r="N88" i="14" s="1"/>
  <c r="P88" i="14" s="1"/>
  <c r="M88" i="16"/>
  <c r="AH88" i="16" s="1"/>
  <c r="K88" i="14" s="1"/>
  <c r="M88" i="14" s="1"/>
  <c r="N88" i="15"/>
  <c r="AR88" i="15" s="1"/>
  <c r="E88" i="14" s="1"/>
  <c r="G88" i="14" s="1"/>
  <c r="X88" i="16"/>
  <c r="X88" i="17"/>
  <c r="Y88" i="15"/>
  <c r="J103" i="17"/>
  <c r="J103" i="16"/>
  <c r="K103" i="15"/>
  <c r="F103" i="17"/>
  <c r="F103" i="16"/>
  <c r="G103" i="15"/>
  <c r="Z89" i="2"/>
  <c r="X90" i="4"/>
  <c r="W88" i="17"/>
  <c r="X88" i="15"/>
  <c r="W88" i="16"/>
  <c r="AA89" i="2"/>
  <c r="Y90" i="4"/>
  <c r="S88" i="16"/>
  <c r="S88" i="17"/>
  <c r="T88" i="15"/>
  <c r="M90" i="4"/>
  <c r="O89" i="2"/>
  <c r="E103" i="17"/>
  <c r="E103" i="16"/>
  <c r="F103" i="15"/>
  <c r="K103" i="17"/>
  <c r="K103" i="16"/>
  <c r="L103" i="15"/>
  <c r="Z88" i="16"/>
  <c r="AA88" i="15"/>
  <c r="Z88" i="17"/>
  <c r="Z88" i="10"/>
  <c r="Z88" i="9"/>
  <c r="AA88" i="7"/>
  <c r="P88" i="17"/>
  <c r="P88" i="16"/>
  <c r="Q88" i="15"/>
  <c r="L103" i="16"/>
  <c r="L103" i="17"/>
  <c r="M103" i="15"/>
  <c r="N88" i="17"/>
  <c r="N88" i="16"/>
  <c r="O88" i="15"/>
  <c r="H103" i="16"/>
  <c r="H103" i="17"/>
  <c r="I103" i="15"/>
  <c r="AB89" i="2"/>
  <c r="Z90" i="4"/>
  <c r="Y88" i="16"/>
  <c r="Y88" i="17"/>
  <c r="Z88" i="15"/>
  <c r="S90" i="4"/>
  <c r="U90" i="2" s="1"/>
  <c r="C78" i="16"/>
  <c r="C78" i="17"/>
  <c r="D78" i="15"/>
  <c r="D105" i="4"/>
  <c r="G104" i="2"/>
  <c r="J105" i="4"/>
  <c r="M104" i="2"/>
  <c r="P90" i="4"/>
  <c r="R89" i="2"/>
  <c r="O103" i="17"/>
  <c r="O103" i="16"/>
  <c r="P103" i="15"/>
  <c r="K105" i="4"/>
  <c r="N104" i="2"/>
  <c r="Q88" i="17"/>
  <c r="Q88" i="16"/>
  <c r="R88" i="15"/>
  <c r="AT88" i="2"/>
  <c r="G105" i="4"/>
  <c r="J104" i="2"/>
  <c r="U88" i="17"/>
  <c r="U88" i="16"/>
  <c r="V88" i="15"/>
  <c r="H87" i="14"/>
  <c r="J87" i="14" s="1"/>
  <c r="B87" i="14"/>
  <c r="D87" i="14" s="1"/>
  <c r="I105" i="4"/>
  <c r="L104" i="2"/>
  <c r="E105" i="4"/>
  <c r="H104" i="2"/>
  <c r="N90" i="4"/>
  <c r="P89" i="2"/>
  <c r="B80" i="4"/>
  <c r="E79" i="2"/>
  <c r="C79" i="10" s="1"/>
  <c r="X89" i="2"/>
  <c r="V90" i="4"/>
  <c r="T88" i="17"/>
  <c r="T88" i="16"/>
  <c r="U88" i="15"/>
  <c r="O105" i="4"/>
  <c r="Q104" i="2"/>
  <c r="D103" i="17"/>
  <c r="D103" i="16"/>
  <c r="E103" i="15"/>
  <c r="Q90" i="4"/>
  <c r="S89" i="2"/>
  <c r="I103" i="17"/>
  <c r="I103" i="16"/>
  <c r="J103" i="15"/>
  <c r="U90" i="4"/>
  <c r="W89" i="2"/>
  <c r="B106" i="2"/>
  <c r="D106" i="2" s="1"/>
  <c r="C105" i="2"/>
  <c r="AC80" i="7"/>
  <c r="AX86" i="2"/>
  <c r="BB78" i="2"/>
  <c r="AY79" i="2"/>
  <c r="AW86" i="2"/>
  <c r="AF80" i="7"/>
  <c r="AR77" i="7"/>
  <c r="AE84" i="10"/>
  <c r="AE84" i="9"/>
  <c r="AO84" i="7"/>
  <c r="Y88" i="10"/>
  <c r="Y88" i="9"/>
  <c r="Z88" i="7"/>
  <c r="F86" i="10"/>
  <c r="F86" i="9"/>
  <c r="G86" i="7"/>
  <c r="D86" i="10"/>
  <c r="D86" i="9"/>
  <c r="E86" i="7"/>
  <c r="N86" i="10"/>
  <c r="N86" i="9"/>
  <c r="O86" i="7"/>
  <c r="D86" i="12"/>
  <c r="G86" i="12"/>
  <c r="Q86" i="14" s="1"/>
  <c r="S86" i="14" s="1"/>
  <c r="AH77" i="9"/>
  <c r="K85" i="12"/>
  <c r="H85" i="12"/>
  <c r="J85" i="12" s="1"/>
  <c r="Q86" i="10"/>
  <c r="Q86" i="9"/>
  <c r="R86" i="7"/>
  <c r="U86" i="10"/>
  <c r="U86" i="9"/>
  <c r="V86" i="7"/>
  <c r="H86" i="10"/>
  <c r="H86" i="9"/>
  <c r="I86" i="7"/>
  <c r="AH77" i="10"/>
  <c r="AC83" i="10"/>
  <c r="AC83" i="9"/>
  <c r="AM83" i="7"/>
  <c r="T86" i="10"/>
  <c r="T86" i="9"/>
  <c r="U86" i="7"/>
  <c r="AD83" i="10"/>
  <c r="AD83" i="9"/>
  <c r="AN83" i="7"/>
  <c r="X88" i="10"/>
  <c r="X88" i="9"/>
  <c r="Y88" i="7"/>
  <c r="AB84" i="7"/>
  <c r="B87" i="12"/>
  <c r="T87" i="14" s="1"/>
  <c r="V87" i="14" s="1"/>
  <c r="B87" i="10"/>
  <c r="B87" i="9"/>
  <c r="AW87" i="2"/>
  <c r="C87" i="7"/>
  <c r="K86" i="10"/>
  <c r="K86" i="9"/>
  <c r="L86" i="7"/>
  <c r="O86" i="10"/>
  <c r="O86" i="9"/>
  <c r="P86" i="7"/>
  <c r="S86" i="10"/>
  <c r="S86" i="9"/>
  <c r="T86" i="7"/>
  <c r="L86" i="10"/>
  <c r="L86" i="9"/>
  <c r="M86" i="7"/>
  <c r="AA78" i="10"/>
  <c r="AA78" i="9"/>
  <c r="AK78" i="7"/>
  <c r="G86" i="10"/>
  <c r="G86" i="9"/>
  <c r="H86" i="7"/>
  <c r="E86" i="10"/>
  <c r="E86" i="9"/>
  <c r="F86" i="7"/>
  <c r="I86" i="10"/>
  <c r="I86" i="9"/>
  <c r="J86" i="7"/>
  <c r="M86" i="10"/>
  <c r="M86" i="9"/>
  <c r="N86" i="7"/>
  <c r="W88" i="10"/>
  <c r="W88" i="9"/>
  <c r="X88" i="7"/>
  <c r="AJ84" i="7"/>
  <c r="J86" i="10"/>
  <c r="J86" i="9"/>
  <c r="K86" i="7"/>
  <c r="AF87" i="10"/>
  <c r="AF87" i="9"/>
  <c r="AP87" i="7"/>
  <c r="AG78" i="10"/>
  <c r="AG78" i="9"/>
  <c r="AQ78" i="7"/>
  <c r="AB79" i="10"/>
  <c r="AB79" i="9"/>
  <c r="AL79" i="7"/>
  <c r="AH84" i="7"/>
  <c r="R86" i="10"/>
  <c r="R86" i="9"/>
  <c r="S86" i="7"/>
  <c r="P86" i="10"/>
  <c r="P86" i="9"/>
  <c r="Q86" i="7"/>
  <c r="K95" i="13"/>
  <c r="H97" i="13"/>
  <c r="E97" i="13"/>
  <c r="N97" i="13" s="1"/>
  <c r="M96" i="13"/>
  <c r="I96" i="13"/>
  <c r="L96" i="13" s="1"/>
  <c r="B104" i="13"/>
  <c r="G104" i="13"/>
  <c r="F100" i="12"/>
  <c r="C104" i="12"/>
  <c r="AZ79" i="2"/>
  <c r="BA79" i="2"/>
  <c r="AE81" i="7"/>
  <c r="AD81" i="7"/>
  <c r="AY80" i="2"/>
  <c r="C79" i="3"/>
  <c r="B78" i="3"/>
  <c r="J85" i="3"/>
  <c r="F77" i="3"/>
  <c r="E78" i="3"/>
  <c r="G74" i="1"/>
  <c r="D77" i="1"/>
  <c r="D79" i="7" l="1"/>
  <c r="C79" i="9"/>
  <c r="AK105" i="15"/>
  <c r="AA105" i="17"/>
  <c r="AA105" i="16"/>
  <c r="W104" i="14"/>
  <c r="Y104" i="14" s="1"/>
  <c r="H104" i="11"/>
  <c r="J104" i="11" s="1"/>
  <c r="AG105" i="16"/>
  <c r="AQ105" i="15"/>
  <c r="AG105" i="17"/>
  <c r="H105" i="15"/>
  <c r="I106" i="2"/>
  <c r="G105" i="17"/>
  <c r="G105" i="16"/>
  <c r="Z105" i="14"/>
  <c r="AB105" i="14" s="1"/>
  <c r="D105" i="11"/>
  <c r="G105" i="11"/>
  <c r="B106" i="17"/>
  <c r="B106" i="16"/>
  <c r="B106" i="11"/>
  <c r="C106" i="15"/>
  <c r="AG106" i="2"/>
  <c r="AF106" i="15" s="1"/>
  <c r="AH106" i="2"/>
  <c r="AG106" i="15" s="1"/>
  <c r="AD106" i="2"/>
  <c r="AC106" i="15" s="1"/>
  <c r="AR106" i="2"/>
  <c r="AF106" i="2"/>
  <c r="AE106" i="15" s="1"/>
  <c r="AI106" i="2"/>
  <c r="AH106" i="15" s="1"/>
  <c r="AE106" i="2"/>
  <c r="AD106" i="15" s="1"/>
  <c r="AJ106" i="2"/>
  <c r="AI106" i="15" s="1"/>
  <c r="AC106" i="2"/>
  <c r="AB106" i="15" s="1"/>
  <c r="AK106" i="2"/>
  <c r="AJ106" i="15" s="1"/>
  <c r="AL106" i="2"/>
  <c r="E106" i="4"/>
  <c r="H105" i="2"/>
  <c r="M91" i="4"/>
  <c r="O90" i="2"/>
  <c r="Q89" i="16"/>
  <c r="Q89" i="17"/>
  <c r="R89" i="15"/>
  <c r="AT89" i="2"/>
  <c r="O106" i="4"/>
  <c r="Q105" i="2"/>
  <c r="C79" i="17"/>
  <c r="C79" i="16"/>
  <c r="D79" i="15"/>
  <c r="J104" i="17"/>
  <c r="J104" i="16"/>
  <c r="K104" i="15"/>
  <c r="P89" i="17"/>
  <c r="P89" i="16"/>
  <c r="Q89" i="15"/>
  <c r="I104" i="17"/>
  <c r="I104" i="16"/>
  <c r="J104" i="15"/>
  <c r="V89" i="16"/>
  <c r="W89" i="15"/>
  <c r="V89" i="17"/>
  <c r="W89" i="7"/>
  <c r="U89" i="17"/>
  <c r="U89" i="16"/>
  <c r="V89" i="15"/>
  <c r="Q91" i="4"/>
  <c r="S90" i="2"/>
  <c r="B81" i="4"/>
  <c r="E80" i="2"/>
  <c r="D80" i="7" s="1"/>
  <c r="I106" i="4"/>
  <c r="L105" i="2"/>
  <c r="H104" i="16"/>
  <c r="H104" i="17"/>
  <c r="I104" i="15"/>
  <c r="L104" i="17"/>
  <c r="L104" i="16"/>
  <c r="M104" i="15"/>
  <c r="P91" i="4"/>
  <c r="R90" i="2"/>
  <c r="H106" i="4"/>
  <c r="K105" i="2"/>
  <c r="H88" i="14"/>
  <c r="J88" i="14" s="1"/>
  <c r="B88" i="14"/>
  <c r="D88" i="14" s="1"/>
  <c r="V89" i="9"/>
  <c r="U91" i="4"/>
  <c r="W90" i="2"/>
  <c r="N89" i="17"/>
  <c r="N89" i="16"/>
  <c r="O89" i="15"/>
  <c r="G106" i="4"/>
  <c r="J105" i="2"/>
  <c r="K106" i="4"/>
  <c r="N105" i="2"/>
  <c r="K104" i="17"/>
  <c r="K104" i="16"/>
  <c r="L104" i="15"/>
  <c r="AB90" i="2"/>
  <c r="Z91" i="4"/>
  <c r="Z90" i="2"/>
  <c r="X91" i="4"/>
  <c r="Y90" i="2"/>
  <c r="W91" i="4"/>
  <c r="R89" i="17"/>
  <c r="R89" i="16"/>
  <c r="S89" i="15"/>
  <c r="O104" i="16"/>
  <c r="O104" i="17"/>
  <c r="P104" i="15"/>
  <c r="V89" i="10"/>
  <c r="N91" i="4"/>
  <c r="P90" i="2"/>
  <c r="J106" i="4"/>
  <c r="M105" i="2"/>
  <c r="S89" i="17"/>
  <c r="S89" i="16"/>
  <c r="T89" i="15"/>
  <c r="Z89" i="17"/>
  <c r="Z89" i="16"/>
  <c r="AA89" i="15"/>
  <c r="Z89" i="9"/>
  <c r="AA89" i="7"/>
  <c r="Z89" i="10"/>
  <c r="AA90" i="2"/>
  <c r="Y91" i="4"/>
  <c r="X89" i="17"/>
  <c r="X89" i="16"/>
  <c r="Y89" i="15"/>
  <c r="W89" i="17"/>
  <c r="W89" i="16"/>
  <c r="X89" i="15"/>
  <c r="T89" i="17"/>
  <c r="T89" i="16"/>
  <c r="U89" i="15"/>
  <c r="D106" i="4"/>
  <c r="G105" i="2"/>
  <c r="C106" i="4"/>
  <c r="F105" i="2"/>
  <c r="X90" i="2"/>
  <c r="W90" i="7" s="1"/>
  <c r="V91" i="4"/>
  <c r="F104" i="17"/>
  <c r="F104" i="16"/>
  <c r="G104" i="15"/>
  <c r="E104" i="17"/>
  <c r="E104" i="16"/>
  <c r="F104" i="15"/>
  <c r="S91" i="4"/>
  <c r="U91" i="2" s="1"/>
  <c r="AS89" i="2"/>
  <c r="M89" i="16"/>
  <c r="AH89" i="16" s="1"/>
  <c r="K89" i="14" s="1"/>
  <c r="M89" i="14" s="1"/>
  <c r="M89" i="17"/>
  <c r="AH89" i="17" s="1"/>
  <c r="N89" i="14" s="1"/>
  <c r="P89" i="14" s="1"/>
  <c r="N89" i="15"/>
  <c r="AR89" i="15" s="1"/>
  <c r="E89" i="14" s="1"/>
  <c r="G89" i="14" s="1"/>
  <c r="Y89" i="17"/>
  <c r="Z89" i="15"/>
  <c r="Y89" i="16"/>
  <c r="D104" i="17"/>
  <c r="D104" i="16"/>
  <c r="E104" i="15"/>
  <c r="T91" i="4"/>
  <c r="V90" i="2"/>
  <c r="R91" i="4"/>
  <c r="T90" i="2"/>
  <c r="C106" i="2"/>
  <c r="B107" i="2"/>
  <c r="D107" i="2" s="1"/>
  <c r="AC81" i="7"/>
  <c r="BB79" i="2"/>
  <c r="AX87" i="2"/>
  <c r="AF81" i="7"/>
  <c r="AC84" i="10"/>
  <c r="AC84" i="9"/>
  <c r="AM84" i="7"/>
  <c r="F87" i="10"/>
  <c r="F87" i="9"/>
  <c r="G87" i="7"/>
  <c r="W89" i="10"/>
  <c r="W89" i="9"/>
  <c r="X89" i="7"/>
  <c r="AI85" i="7"/>
  <c r="AI84" i="7"/>
  <c r="X89" i="10"/>
  <c r="X89" i="9"/>
  <c r="Y89" i="7"/>
  <c r="G87" i="10"/>
  <c r="G87" i="9"/>
  <c r="H87" i="7"/>
  <c r="Q87" i="10"/>
  <c r="Q87" i="9"/>
  <c r="R87" i="7"/>
  <c r="D87" i="12"/>
  <c r="M87" i="12" s="1"/>
  <c r="G87" i="12"/>
  <c r="Q87" i="14" s="1"/>
  <c r="S87" i="14" s="1"/>
  <c r="AE85" i="10"/>
  <c r="AE85" i="9"/>
  <c r="AO85" i="7"/>
  <c r="AJ85" i="7"/>
  <c r="U87" i="10"/>
  <c r="U87" i="9"/>
  <c r="V87" i="7"/>
  <c r="S87" i="10"/>
  <c r="S87" i="9"/>
  <c r="T87" i="7"/>
  <c r="J87" i="10"/>
  <c r="J87" i="9"/>
  <c r="K87" i="7"/>
  <c r="K86" i="12"/>
  <c r="H86" i="12"/>
  <c r="J86" i="12" s="1"/>
  <c r="AD84" i="10"/>
  <c r="AD84" i="9"/>
  <c r="AN84" i="7"/>
  <c r="N87" i="10"/>
  <c r="N87" i="9"/>
  <c r="O87" i="7"/>
  <c r="AB80" i="10"/>
  <c r="AB80" i="9"/>
  <c r="AL80" i="7"/>
  <c r="AR78" i="7"/>
  <c r="B88" i="12"/>
  <c r="T88" i="14" s="1"/>
  <c r="V88" i="14" s="1"/>
  <c r="B88" i="10"/>
  <c r="B88" i="9"/>
  <c r="C88" i="7"/>
  <c r="O87" i="10"/>
  <c r="O87" i="9"/>
  <c r="P87" i="7"/>
  <c r="M87" i="10"/>
  <c r="M87" i="9"/>
  <c r="N87" i="7"/>
  <c r="D87" i="10"/>
  <c r="D87" i="9"/>
  <c r="E87" i="7"/>
  <c r="Y89" i="10"/>
  <c r="Y89" i="9"/>
  <c r="Z89" i="7"/>
  <c r="E87" i="10"/>
  <c r="E87" i="9"/>
  <c r="F87" i="7"/>
  <c r="AF88" i="10"/>
  <c r="AF88" i="9"/>
  <c r="AP88" i="7"/>
  <c r="AG79" i="10"/>
  <c r="AG79" i="9"/>
  <c r="AQ79" i="7"/>
  <c r="AA79" i="10"/>
  <c r="AA79" i="9"/>
  <c r="AK79" i="7"/>
  <c r="AH78" i="9"/>
  <c r="L87" i="10"/>
  <c r="L87" i="9"/>
  <c r="M87" i="7"/>
  <c r="H87" i="10"/>
  <c r="H87" i="9"/>
  <c r="I87" i="7"/>
  <c r="R87" i="10"/>
  <c r="R87" i="9"/>
  <c r="S87" i="7"/>
  <c r="P87" i="10"/>
  <c r="P87" i="9"/>
  <c r="Q87" i="7"/>
  <c r="AB85" i="7"/>
  <c r="AG81" i="7"/>
  <c r="AG80" i="7"/>
  <c r="AH85" i="7"/>
  <c r="AH78" i="10"/>
  <c r="I87" i="10"/>
  <c r="I87" i="9"/>
  <c r="J87" i="7"/>
  <c r="T87" i="10"/>
  <c r="T87" i="9"/>
  <c r="U87" i="7"/>
  <c r="K87" i="10"/>
  <c r="K87" i="9"/>
  <c r="L87" i="7"/>
  <c r="O97" i="13"/>
  <c r="I97" i="13"/>
  <c r="L97" i="13" s="1"/>
  <c r="M97" i="13"/>
  <c r="K96" i="13"/>
  <c r="H98" i="13"/>
  <c r="E98" i="13"/>
  <c r="B105" i="13"/>
  <c r="G105" i="13"/>
  <c r="C105" i="12"/>
  <c r="F101" i="12"/>
  <c r="AZ80" i="2"/>
  <c r="BA80" i="2"/>
  <c r="AE82" i="7"/>
  <c r="AD82" i="7"/>
  <c r="C80" i="3"/>
  <c r="B79" i="3"/>
  <c r="F78" i="3"/>
  <c r="E79" i="3"/>
  <c r="J86" i="3"/>
  <c r="G75" i="1"/>
  <c r="D78" i="1"/>
  <c r="V90" i="9" l="1"/>
  <c r="C80" i="9"/>
  <c r="V90" i="10"/>
  <c r="C80" i="10"/>
  <c r="AK106" i="15"/>
  <c r="AA106" i="17"/>
  <c r="AA106" i="16"/>
  <c r="Z106" i="14"/>
  <c r="AB106" i="14" s="1"/>
  <c r="D106" i="11"/>
  <c r="G106" i="11"/>
  <c r="AG106" i="17"/>
  <c r="AG106" i="16"/>
  <c r="AQ106" i="15"/>
  <c r="G106" i="17"/>
  <c r="G106" i="16"/>
  <c r="H106" i="15"/>
  <c r="W105" i="14"/>
  <c r="Y105" i="14" s="1"/>
  <c r="H105" i="11"/>
  <c r="J105" i="11" s="1"/>
  <c r="B107" i="11"/>
  <c r="B107" i="17"/>
  <c r="B107" i="16"/>
  <c r="AG107" i="2"/>
  <c r="AF107" i="15" s="1"/>
  <c r="C107" i="15"/>
  <c r="AH107" i="2"/>
  <c r="AG107" i="15" s="1"/>
  <c r="AC107" i="2"/>
  <c r="AB107" i="15" s="1"/>
  <c r="AF107" i="2"/>
  <c r="AE107" i="15" s="1"/>
  <c r="AE107" i="2"/>
  <c r="AD107" i="15" s="1"/>
  <c r="AI107" i="2"/>
  <c r="AH107" i="15" s="1"/>
  <c r="AR107" i="2"/>
  <c r="AK107" i="2"/>
  <c r="AJ107" i="15" s="1"/>
  <c r="AL107" i="2"/>
  <c r="AD107" i="2"/>
  <c r="AC107" i="15" s="1"/>
  <c r="AJ107" i="2"/>
  <c r="AI107" i="15" s="1"/>
  <c r="I107" i="2"/>
  <c r="V90" i="16"/>
  <c r="W90" i="15"/>
  <c r="V90" i="17"/>
  <c r="Y91" i="2"/>
  <c r="W92" i="4"/>
  <c r="G107" i="4"/>
  <c r="J106" i="2"/>
  <c r="P92" i="4"/>
  <c r="R91" i="2"/>
  <c r="Q92" i="4"/>
  <c r="S91" i="2"/>
  <c r="B89" i="14"/>
  <c r="D89" i="14" s="1"/>
  <c r="H89" i="14"/>
  <c r="J89" i="14" s="1"/>
  <c r="W90" i="17"/>
  <c r="W90" i="16"/>
  <c r="X90" i="15"/>
  <c r="J105" i="17"/>
  <c r="J105" i="16"/>
  <c r="K105" i="15"/>
  <c r="T90" i="17"/>
  <c r="T90" i="16"/>
  <c r="U90" i="15"/>
  <c r="S90" i="16"/>
  <c r="S90" i="17"/>
  <c r="T90" i="15"/>
  <c r="C107" i="4"/>
  <c r="F106" i="2"/>
  <c r="AA91" i="2"/>
  <c r="Y92" i="4"/>
  <c r="J107" i="4"/>
  <c r="M106" i="2"/>
  <c r="Z91" i="2"/>
  <c r="X92" i="4"/>
  <c r="I107" i="4"/>
  <c r="L106" i="2"/>
  <c r="O105" i="17"/>
  <c r="O105" i="16"/>
  <c r="P105" i="15"/>
  <c r="AS90" i="2"/>
  <c r="M90" i="16"/>
  <c r="AH90" i="16" s="1"/>
  <c r="K90" i="14" s="1"/>
  <c r="M90" i="14" s="1"/>
  <c r="M90" i="17"/>
  <c r="AH90" i="17" s="1"/>
  <c r="N90" i="14" s="1"/>
  <c r="P90" i="14" s="1"/>
  <c r="N90" i="15"/>
  <c r="AR90" i="15" s="1"/>
  <c r="E90" i="14" s="1"/>
  <c r="G90" i="14" s="1"/>
  <c r="R92" i="4"/>
  <c r="T91" i="2"/>
  <c r="T92" i="4"/>
  <c r="V91" i="2"/>
  <c r="S92" i="4"/>
  <c r="U92" i="2" s="1"/>
  <c r="E105" i="17"/>
  <c r="E105" i="16"/>
  <c r="F105" i="15"/>
  <c r="Y90" i="16"/>
  <c r="Y90" i="17"/>
  <c r="Z90" i="15"/>
  <c r="N90" i="16"/>
  <c r="N90" i="17"/>
  <c r="O90" i="15"/>
  <c r="X90" i="16"/>
  <c r="Y90" i="15"/>
  <c r="X90" i="17"/>
  <c r="L105" i="17"/>
  <c r="L105" i="16"/>
  <c r="M105" i="15"/>
  <c r="I105" i="16"/>
  <c r="I105" i="17"/>
  <c r="J105" i="15"/>
  <c r="C80" i="16"/>
  <c r="C80" i="17"/>
  <c r="D80" i="15"/>
  <c r="O107" i="4"/>
  <c r="Q106" i="2"/>
  <c r="M92" i="4"/>
  <c r="O91" i="2"/>
  <c r="D105" i="17"/>
  <c r="D105" i="16"/>
  <c r="E105" i="15"/>
  <c r="D107" i="4"/>
  <c r="G106" i="2"/>
  <c r="N92" i="4"/>
  <c r="P91" i="2"/>
  <c r="AB91" i="2"/>
  <c r="Z92" i="4"/>
  <c r="K107" i="4"/>
  <c r="N106" i="2"/>
  <c r="U90" i="16"/>
  <c r="U90" i="17"/>
  <c r="V90" i="15"/>
  <c r="H107" i="4"/>
  <c r="K106" i="2"/>
  <c r="B82" i="4"/>
  <c r="E81" i="2"/>
  <c r="C81" i="9" s="1"/>
  <c r="F105" i="16"/>
  <c r="F105" i="17"/>
  <c r="G105" i="15"/>
  <c r="K105" i="17"/>
  <c r="K105" i="16"/>
  <c r="L105" i="15"/>
  <c r="R90" i="17"/>
  <c r="R90" i="16"/>
  <c r="S90" i="15"/>
  <c r="X91" i="2"/>
  <c r="V91" i="9" s="1"/>
  <c r="V92" i="4"/>
  <c r="AA90" i="15"/>
  <c r="Z90" i="17"/>
  <c r="Z90" i="16"/>
  <c r="AA90" i="7"/>
  <c r="Z90" i="9"/>
  <c r="Z90" i="10"/>
  <c r="H105" i="17"/>
  <c r="H105" i="16"/>
  <c r="I105" i="15"/>
  <c r="U92" i="4"/>
  <c r="W91" i="2"/>
  <c r="P90" i="17"/>
  <c r="P90" i="16"/>
  <c r="Q90" i="15"/>
  <c r="Q90" i="16"/>
  <c r="Q90" i="17"/>
  <c r="R90" i="15"/>
  <c r="AT90" i="2"/>
  <c r="E107" i="4"/>
  <c r="H106" i="2"/>
  <c r="B108" i="2"/>
  <c r="D108" i="2" s="1"/>
  <c r="C107" i="2"/>
  <c r="AC82" i="7"/>
  <c r="BB80" i="2"/>
  <c r="AX88" i="2"/>
  <c r="AF82" i="7"/>
  <c r="AY81" i="2"/>
  <c r="AW88" i="2"/>
  <c r="AR79" i="7"/>
  <c r="L87" i="12"/>
  <c r="D88" i="12"/>
  <c r="G88" i="12"/>
  <c r="Q88" i="14" s="1"/>
  <c r="S88" i="14" s="1"/>
  <c r="AB81" i="10"/>
  <c r="AB81" i="9"/>
  <c r="AL81" i="7"/>
  <c r="R88" i="10"/>
  <c r="R88" i="9"/>
  <c r="S88" i="7"/>
  <c r="U88" i="10"/>
  <c r="U88" i="9"/>
  <c r="V88" i="7"/>
  <c r="F88" i="10"/>
  <c r="F88" i="9"/>
  <c r="G88" i="7"/>
  <c r="K87" i="12"/>
  <c r="H87" i="12"/>
  <c r="J87" i="12" s="1"/>
  <c r="W90" i="10"/>
  <c r="W90" i="9"/>
  <c r="X90" i="7"/>
  <c r="AE86" i="10"/>
  <c r="AE86" i="9"/>
  <c r="AO86" i="7"/>
  <c r="J88" i="10"/>
  <c r="J88" i="9"/>
  <c r="K88" i="7"/>
  <c r="O88" i="10"/>
  <c r="O88" i="9"/>
  <c r="P88" i="7"/>
  <c r="S88" i="10"/>
  <c r="S88" i="9"/>
  <c r="T88" i="7"/>
  <c r="X90" i="10"/>
  <c r="X90" i="9"/>
  <c r="Y90" i="7"/>
  <c r="AD85" i="10"/>
  <c r="AD85" i="9"/>
  <c r="AN85" i="7"/>
  <c r="Y90" i="10"/>
  <c r="Y90" i="9"/>
  <c r="Z90" i="7"/>
  <c r="P88" i="10"/>
  <c r="P88" i="9"/>
  <c r="Q88" i="7"/>
  <c r="AB86" i="7"/>
  <c r="AH79" i="9"/>
  <c r="E88" i="10"/>
  <c r="E88" i="9"/>
  <c r="F88" i="7"/>
  <c r="D88" i="10"/>
  <c r="D88" i="9"/>
  <c r="E88" i="7"/>
  <c r="G88" i="10"/>
  <c r="G88" i="9"/>
  <c r="H88" i="7"/>
  <c r="M88" i="10"/>
  <c r="M88" i="9"/>
  <c r="N88" i="7"/>
  <c r="AH86" i="7"/>
  <c r="L88" i="10"/>
  <c r="L88" i="9"/>
  <c r="M88" i="7"/>
  <c r="AG80" i="10"/>
  <c r="AG80" i="9"/>
  <c r="AQ80" i="7"/>
  <c r="AH79" i="10"/>
  <c r="B89" i="12"/>
  <c r="T89" i="14" s="1"/>
  <c r="V89" i="14" s="1"/>
  <c r="B89" i="10"/>
  <c r="B89" i="9"/>
  <c r="C89" i="7"/>
  <c r="K88" i="10"/>
  <c r="K88" i="9"/>
  <c r="L88" i="7"/>
  <c r="Q88" i="10"/>
  <c r="Q88" i="9"/>
  <c r="R88" i="7"/>
  <c r="T88" i="10"/>
  <c r="T88" i="9"/>
  <c r="U88" i="7"/>
  <c r="AA80" i="10"/>
  <c r="AA80" i="9"/>
  <c r="AK80" i="7"/>
  <c r="H88" i="10"/>
  <c r="H88" i="9"/>
  <c r="I88" i="7"/>
  <c r="AF89" i="10"/>
  <c r="AF89" i="9"/>
  <c r="AP89" i="7"/>
  <c r="AC85" i="10"/>
  <c r="AC85" i="9"/>
  <c r="AM85" i="7"/>
  <c r="K97" i="13"/>
  <c r="I88" i="10"/>
  <c r="I88" i="9"/>
  <c r="J88" i="7"/>
  <c r="N88" i="10"/>
  <c r="N88" i="9"/>
  <c r="O88" i="7"/>
  <c r="AJ86" i="7"/>
  <c r="E99" i="13"/>
  <c r="H99" i="13"/>
  <c r="M98" i="13"/>
  <c r="I98" i="13"/>
  <c r="L98" i="13" s="1"/>
  <c r="B106" i="13"/>
  <c r="G106" i="13"/>
  <c r="F102" i="12"/>
  <c r="C106" i="12"/>
  <c r="AZ81" i="2"/>
  <c r="BA81" i="2"/>
  <c r="AE83" i="7"/>
  <c r="AD83" i="7"/>
  <c r="AY82" i="2"/>
  <c r="C81" i="3"/>
  <c r="G81" i="3" s="1"/>
  <c r="B80" i="3"/>
  <c r="J87" i="3"/>
  <c r="F79" i="3"/>
  <c r="E80" i="3"/>
  <c r="G76" i="1"/>
  <c r="D79" i="1"/>
  <c r="V91" i="10" l="1"/>
  <c r="D81" i="7"/>
  <c r="C81" i="10"/>
  <c r="W91" i="7"/>
  <c r="W106" i="14"/>
  <c r="Y106" i="14" s="1"/>
  <c r="H106" i="11"/>
  <c r="J106" i="11" s="1"/>
  <c r="C108" i="2"/>
  <c r="B108" i="17"/>
  <c r="B108" i="16"/>
  <c r="B108" i="11"/>
  <c r="AG108" i="2"/>
  <c r="AF108" i="15" s="1"/>
  <c r="C108" i="15"/>
  <c r="AH108" i="2"/>
  <c r="AG108" i="15" s="1"/>
  <c r="AD108" i="2"/>
  <c r="AC108" i="15" s="1"/>
  <c r="AL108" i="2"/>
  <c r="AE108" i="2"/>
  <c r="AD108" i="15" s="1"/>
  <c r="AC108" i="2"/>
  <c r="AB108" i="15" s="1"/>
  <c r="AJ108" i="2"/>
  <c r="AI108" i="15" s="1"/>
  <c r="AR108" i="2"/>
  <c r="AI108" i="2"/>
  <c r="AH108" i="15" s="1"/>
  <c r="AK108" i="2"/>
  <c r="AJ108" i="15" s="1"/>
  <c r="AF108" i="2"/>
  <c r="AE108" i="15" s="1"/>
  <c r="AA107" i="16"/>
  <c r="AK107" i="15"/>
  <c r="AA107" i="17"/>
  <c r="Z107" i="14"/>
  <c r="AB107" i="14" s="1"/>
  <c r="D107" i="11"/>
  <c r="G107" i="11"/>
  <c r="AG107" i="17"/>
  <c r="AG107" i="16"/>
  <c r="AQ107" i="15"/>
  <c r="I108" i="2"/>
  <c r="G107" i="16"/>
  <c r="G107" i="17"/>
  <c r="H107" i="15"/>
  <c r="U93" i="4"/>
  <c r="W92" i="2"/>
  <c r="I106" i="17"/>
  <c r="I106" i="16"/>
  <c r="J106" i="15"/>
  <c r="K108" i="4"/>
  <c r="N107" i="2"/>
  <c r="D108" i="4"/>
  <c r="G107" i="2"/>
  <c r="O106" i="17"/>
  <c r="O106" i="16"/>
  <c r="P106" i="15"/>
  <c r="S93" i="4"/>
  <c r="U93" i="2" s="1"/>
  <c r="J108" i="4"/>
  <c r="M107" i="2"/>
  <c r="G108" i="4"/>
  <c r="J107" i="2"/>
  <c r="H108" i="4"/>
  <c r="K107" i="2"/>
  <c r="AB92" i="2"/>
  <c r="Z93" i="4"/>
  <c r="O108" i="4"/>
  <c r="Q107" i="2"/>
  <c r="T91" i="17"/>
  <c r="T91" i="16"/>
  <c r="U91" i="15"/>
  <c r="J106" i="17"/>
  <c r="J106" i="16"/>
  <c r="K106" i="15"/>
  <c r="AA92" i="2"/>
  <c r="Y93" i="4"/>
  <c r="Q91" i="16"/>
  <c r="Q91" i="17"/>
  <c r="R91" i="15"/>
  <c r="AT91" i="2"/>
  <c r="Y92" i="2"/>
  <c r="W93" i="4"/>
  <c r="F106" i="16"/>
  <c r="F106" i="17"/>
  <c r="G106" i="15"/>
  <c r="Z91" i="17"/>
  <c r="AA91" i="15"/>
  <c r="Z91" i="16"/>
  <c r="Z91" i="10"/>
  <c r="Z91" i="9"/>
  <c r="AA91" i="7"/>
  <c r="T93" i="4"/>
  <c r="V92" i="2"/>
  <c r="I108" i="4"/>
  <c r="L107" i="2"/>
  <c r="Y91" i="17"/>
  <c r="Y91" i="16"/>
  <c r="Z91" i="15"/>
  <c r="Q93" i="4"/>
  <c r="S92" i="2"/>
  <c r="W91" i="17"/>
  <c r="X91" i="15"/>
  <c r="W91" i="16"/>
  <c r="E108" i="4"/>
  <c r="H107" i="2"/>
  <c r="N91" i="16"/>
  <c r="N91" i="17"/>
  <c r="O91" i="15"/>
  <c r="R91" i="17"/>
  <c r="R91" i="16"/>
  <c r="S91" i="15"/>
  <c r="H90" i="14"/>
  <c r="J90" i="14" s="1"/>
  <c r="B90" i="14"/>
  <c r="D90" i="14" s="1"/>
  <c r="Z92" i="2"/>
  <c r="X93" i="4"/>
  <c r="D106" i="17"/>
  <c r="D106" i="16"/>
  <c r="E106" i="15"/>
  <c r="P91" i="17"/>
  <c r="P91" i="16"/>
  <c r="Q91" i="15"/>
  <c r="X92" i="2"/>
  <c r="V92" i="9" s="1"/>
  <c r="V93" i="4"/>
  <c r="C81" i="16"/>
  <c r="C81" i="17"/>
  <c r="D81" i="15"/>
  <c r="N93" i="4"/>
  <c r="P92" i="2"/>
  <c r="AS91" i="2"/>
  <c r="M91" i="17"/>
  <c r="AH91" i="17" s="1"/>
  <c r="N91" i="14" s="1"/>
  <c r="P91" i="14" s="1"/>
  <c r="M91" i="16"/>
  <c r="AH91" i="16" s="1"/>
  <c r="K91" i="14" s="1"/>
  <c r="M91" i="14" s="1"/>
  <c r="N91" i="15"/>
  <c r="AR91" i="15" s="1"/>
  <c r="E91" i="14" s="1"/>
  <c r="G91" i="14" s="1"/>
  <c r="X91" i="16"/>
  <c r="Y91" i="15"/>
  <c r="X91" i="17"/>
  <c r="C108" i="4"/>
  <c r="F107" i="2"/>
  <c r="P93" i="4"/>
  <c r="R92" i="2"/>
  <c r="U91" i="16"/>
  <c r="U91" i="17"/>
  <c r="V91" i="15"/>
  <c r="V91" i="16"/>
  <c r="W91" i="15"/>
  <c r="V91" i="17"/>
  <c r="B83" i="4"/>
  <c r="E82" i="2"/>
  <c r="C82" i="10" s="1"/>
  <c r="L106" i="16"/>
  <c r="L106" i="17"/>
  <c r="M106" i="15"/>
  <c r="E106" i="17"/>
  <c r="E106" i="16"/>
  <c r="F106" i="15"/>
  <c r="M93" i="4"/>
  <c r="O92" i="2"/>
  <c r="S91" i="16"/>
  <c r="S91" i="17"/>
  <c r="T91" i="15"/>
  <c r="R93" i="4"/>
  <c r="T92" i="2"/>
  <c r="K106" i="17"/>
  <c r="K106" i="16"/>
  <c r="L106" i="15"/>
  <c r="H106" i="17"/>
  <c r="H106" i="16"/>
  <c r="I106" i="15"/>
  <c r="B109" i="2"/>
  <c r="D109" i="2" s="1"/>
  <c r="AC83" i="7"/>
  <c r="BB81" i="2"/>
  <c r="AF83" i="7"/>
  <c r="AW89" i="2"/>
  <c r="AX89" i="2"/>
  <c r="AR80" i="7"/>
  <c r="G89" i="10"/>
  <c r="G89" i="9"/>
  <c r="H89" i="7"/>
  <c r="U89" i="10"/>
  <c r="U89" i="9"/>
  <c r="V89" i="7"/>
  <c r="S89" i="10"/>
  <c r="S89" i="9"/>
  <c r="T89" i="7"/>
  <c r="P89" i="10"/>
  <c r="P89" i="9"/>
  <c r="Q89" i="7"/>
  <c r="W91" i="10"/>
  <c r="W91" i="9"/>
  <c r="X91" i="7"/>
  <c r="AF90" i="10"/>
  <c r="AF90" i="9"/>
  <c r="AP90" i="7"/>
  <c r="AB83" i="10"/>
  <c r="AB83" i="9"/>
  <c r="AL83" i="7"/>
  <c r="AI87" i="7"/>
  <c r="AI86" i="7"/>
  <c r="E89" i="10"/>
  <c r="E89" i="9"/>
  <c r="F89" i="7"/>
  <c r="O89" i="10"/>
  <c r="O89" i="9"/>
  <c r="P89" i="7"/>
  <c r="M89" i="10"/>
  <c r="M89" i="9"/>
  <c r="N89" i="7"/>
  <c r="AH87" i="7"/>
  <c r="K88" i="12"/>
  <c r="H88" i="12"/>
  <c r="J88" i="12" s="1"/>
  <c r="AA81" i="10"/>
  <c r="AA81" i="9"/>
  <c r="AK81" i="7"/>
  <c r="AJ87" i="7"/>
  <c r="D89" i="10"/>
  <c r="D89" i="9"/>
  <c r="E89" i="7"/>
  <c r="L89" i="10"/>
  <c r="L89" i="9"/>
  <c r="M89" i="7"/>
  <c r="R89" i="10"/>
  <c r="R89" i="9"/>
  <c r="S89" i="7"/>
  <c r="Y91" i="10"/>
  <c r="Y91" i="9"/>
  <c r="Z91" i="7"/>
  <c r="K89" i="10"/>
  <c r="K89" i="9"/>
  <c r="L89" i="7"/>
  <c r="F89" i="10"/>
  <c r="F89" i="9"/>
  <c r="G89" i="7"/>
  <c r="D89" i="12"/>
  <c r="G89" i="12"/>
  <c r="Q89" i="14" s="1"/>
  <c r="S89" i="14" s="1"/>
  <c r="AB87" i="7"/>
  <c r="AG81" i="10"/>
  <c r="AG81" i="9"/>
  <c r="AQ81" i="7"/>
  <c r="AH80" i="9"/>
  <c r="B90" i="12"/>
  <c r="T90" i="14" s="1"/>
  <c r="V90" i="14" s="1"/>
  <c r="B90" i="10"/>
  <c r="B90" i="9"/>
  <c r="C90" i="7"/>
  <c r="J89" i="10"/>
  <c r="J89" i="9"/>
  <c r="K89" i="7"/>
  <c r="T89" i="10"/>
  <c r="T89" i="9"/>
  <c r="U89" i="7"/>
  <c r="Q89" i="10"/>
  <c r="Q89" i="9"/>
  <c r="R89" i="7"/>
  <c r="X91" i="10"/>
  <c r="X91" i="9"/>
  <c r="Y91" i="7"/>
  <c r="AG83" i="7"/>
  <c r="AG82" i="7"/>
  <c r="AE87" i="10"/>
  <c r="AE87" i="9"/>
  <c r="AO87" i="7"/>
  <c r="AC86" i="10"/>
  <c r="AC86" i="9"/>
  <c r="AM86" i="7"/>
  <c r="AD86" i="10"/>
  <c r="AD86" i="9"/>
  <c r="AN86" i="7"/>
  <c r="AH80" i="10"/>
  <c r="I89" i="10"/>
  <c r="I89" i="9"/>
  <c r="J89" i="7"/>
  <c r="N89" i="10"/>
  <c r="N89" i="9"/>
  <c r="O89" i="7"/>
  <c r="H89" i="10"/>
  <c r="H89" i="9"/>
  <c r="I89" i="7"/>
  <c r="K98" i="13"/>
  <c r="I99" i="13"/>
  <c r="K99" i="13" s="1"/>
  <c r="M99" i="13"/>
  <c r="H100" i="13"/>
  <c r="E100" i="13"/>
  <c r="B107" i="13"/>
  <c r="G107" i="13"/>
  <c r="C107" i="12"/>
  <c r="F103" i="12"/>
  <c r="AZ82" i="2"/>
  <c r="BA82" i="2"/>
  <c r="AE84" i="7"/>
  <c r="AD84" i="7"/>
  <c r="C82" i="3"/>
  <c r="B81" i="3"/>
  <c r="E81" i="3"/>
  <c r="F80" i="3"/>
  <c r="J88" i="3"/>
  <c r="G77" i="1"/>
  <c r="D80" i="1"/>
  <c r="V92" i="10" l="1"/>
  <c r="W92" i="7"/>
  <c r="D82" i="7"/>
  <c r="C82" i="9"/>
  <c r="AA108" i="17"/>
  <c r="AA108" i="16"/>
  <c r="AK108" i="15"/>
  <c r="B109" i="11"/>
  <c r="B109" i="17"/>
  <c r="B109" i="16"/>
  <c r="AG109" i="2"/>
  <c r="AF109" i="15" s="1"/>
  <c r="C109" i="15"/>
  <c r="AH109" i="2"/>
  <c r="AG109" i="15" s="1"/>
  <c r="AF109" i="2"/>
  <c r="AE109" i="15" s="1"/>
  <c r="AJ109" i="2"/>
  <c r="AI109" i="15" s="1"/>
  <c r="AD109" i="2"/>
  <c r="AC109" i="15" s="1"/>
  <c r="AK109" i="2"/>
  <c r="AJ109" i="15" s="1"/>
  <c r="AE109" i="2"/>
  <c r="AD109" i="15" s="1"/>
  <c r="AR109" i="2"/>
  <c r="AL109" i="2"/>
  <c r="AI109" i="2"/>
  <c r="AH109" i="15" s="1"/>
  <c r="AC109" i="2"/>
  <c r="AB109" i="15" s="1"/>
  <c r="G108" i="17"/>
  <c r="G108" i="16"/>
  <c r="H108" i="15"/>
  <c r="I109" i="2"/>
  <c r="AG108" i="16"/>
  <c r="AG108" i="17"/>
  <c r="AQ108" i="15"/>
  <c r="W107" i="14"/>
  <c r="Y107" i="14" s="1"/>
  <c r="H107" i="11"/>
  <c r="J107" i="11" s="1"/>
  <c r="Z108" i="14"/>
  <c r="AB108" i="14" s="1"/>
  <c r="D108" i="11"/>
  <c r="G108" i="11"/>
  <c r="P92" i="17"/>
  <c r="P92" i="16"/>
  <c r="Q92" i="15"/>
  <c r="N94" i="4"/>
  <c r="P93" i="2"/>
  <c r="Z93" i="2"/>
  <c r="X94" i="4"/>
  <c r="O107" i="16"/>
  <c r="O107" i="17"/>
  <c r="P107" i="15"/>
  <c r="H107" i="17"/>
  <c r="H107" i="16"/>
  <c r="I107" i="15"/>
  <c r="K109" i="4"/>
  <c r="N108" i="2"/>
  <c r="R93" i="2"/>
  <c r="P94" i="4"/>
  <c r="X92" i="17"/>
  <c r="X92" i="16"/>
  <c r="Y92" i="15"/>
  <c r="O109" i="4"/>
  <c r="Q108" i="2"/>
  <c r="G109" i="4"/>
  <c r="J108" i="2"/>
  <c r="R92" i="17"/>
  <c r="R92" i="16"/>
  <c r="S92" i="15"/>
  <c r="AS92" i="2"/>
  <c r="M92" i="17"/>
  <c r="AH92" i="17" s="1"/>
  <c r="N92" i="14" s="1"/>
  <c r="P92" i="14" s="1"/>
  <c r="M92" i="16"/>
  <c r="AH92" i="16" s="1"/>
  <c r="K92" i="14" s="1"/>
  <c r="M92" i="14" s="1"/>
  <c r="N92" i="15"/>
  <c r="AR92" i="15" s="1"/>
  <c r="E92" i="14" s="1"/>
  <c r="G92" i="14" s="1"/>
  <c r="D107" i="17"/>
  <c r="D107" i="16"/>
  <c r="E107" i="15"/>
  <c r="J107" i="17"/>
  <c r="J107" i="16"/>
  <c r="K107" i="15"/>
  <c r="AB93" i="2"/>
  <c r="Z94" i="4"/>
  <c r="K107" i="17"/>
  <c r="K107" i="16"/>
  <c r="L107" i="15"/>
  <c r="M94" i="4"/>
  <c r="O93" i="2"/>
  <c r="C109" i="4"/>
  <c r="F108" i="2"/>
  <c r="Q92" i="16"/>
  <c r="Q92" i="17"/>
  <c r="R92" i="15"/>
  <c r="AT92" i="2"/>
  <c r="I109" i="4"/>
  <c r="L108" i="2"/>
  <c r="Z92" i="17"/>
  <c r="Z92" i="16"/>
  <c r="AA92" i="15"/>
  <c r="Z92" i="10"/>
  <c r="Z92" i="9"/>
  <c r="AA92" i="7"/>
  <c r="J109" i="4"/>
  <c r="M108" i="2"/>
  <c r="E107" i="17"/>
  <c r="E107" i="16"/>
  <c r="F107" i="15"/>
  <c r="R94" i="4"/>
  <c r="T93" i="2"/>
  <c r="C82" i="17"/>
  <c r="C82" i="16"/>
  <c r="D82" i="15"/>
  <c r="B91" i="14"/>
  <c r="D91" i="14" s="1"/>
  <c r="H91" i="14"/>
  <c r="J91" i="14" s="1"/>
  <c r="X93" i="2"/>
  <c r="V93" i="9" s="1"/>
  <c r="V94" i="4"/>
  <c r="F107" i="17"/>
  <c r="F107" i="16"/>
  <c r="G107" i="15"/>
  <c r="Q94" i="4"/>
  <c r="S93" i="2"/>
  <c r="T92" i="16"/>
  <c r="T92" i="17"/>
  <c r="U92" i="15"/>
  <c r="Y93" i="2"/>
  <c r="W94" i="4"/>
  <c r="AA93" i="2"/>
  <c r="Y94" i="4"/>
  <c r="I107" i="17"/>
  <c r="I107" i="16"/>
  <c r="J107" i="15"/>
  <c r="S92" i="17"/>
  <c r="S92" i="16"/>
  <c r="T92" i="15"/>
  <c r="D109" i="4"/>
  <c r="G108" i="2"/>
  <c r="U92" i="17"/>
  <c r="U92" i="16"/>
  <c r="V92" i="15"/>
  <c r="B84" i="4"/>
  <c r="E83" i="2"/>
  <c r="D83" i="7" s="1"/>
  <c r="N92" i="17"/>
  <c r="N92" i="16"/>
  <c r="O92" i="15"/>
  <c r="V92" i="16"/>
  <c r="W92" i="15"/>
  <c r="V92" i="17"/>
  <c r="E109" i="4"/>
  <c r="H108" i="2"/>
  <c r="T94" i="4"/>
  <c r="V93" i="2"/>
  <c r="W92" i="17"/>
  <c r="W92" i="16"/>
  <c r="X92" i="15"/>
  <c r="Y92" i="16"/>
  <c r="Y92" i="17"/>
  <c r="Z92" i="15"/>
  <c r="H109" i="4"/>
  <c r="K108" i="2"/>
  <c r="S94" i="4"/>
  <c r="U94" i="2" s="1"/>
  <c r="L107" i="17"/>
  <c r="L107" i="16"/>
  <c r="M107" i="15"/>
  <c r="U94" i="4"/>
  <c r="W93" i="2"/>
  <c r="B110" i="2"/>
  <c r="D110" i="2" s="1"/>
  <c r="C109" i="2"/>
  <c r="AC84" i="7"/>
  <c r="BB82" i="2"/>
  <c r="AW90" i="2"/>
  <c r="AX90" i="2"/>
  <c r="AF84" i="7"/>
  <c r="AY83" i="2"/>
  <c r="AF91" i="10"/>
  <c r="AF91" i="9"/>
  <c r="AP91" i="7"/>
  <c r="C83" i="9"/>
  <c r="F90" i="10"/>
  <c r="F90" i="9"/>
  <c r="G90" i="7"/>
  <c r="I90" i="10"/>
  <c r="I90" i="9"/>
  <c r="J90" i="7"/>
  <c r="U90" i="10"/>
  <c r="U90" i="9"/>
  <c r="V90" i="7"/>
  <c r="M90" i="10"/>
  <c r="M90" i="9"/>
  <c r="N90" i="7"/>
  <c r="W92" i="10"/>
  <c r="W92" i="9"/>
  <c r="X92" i="7"/>
  <c r="L90" i="10"/>
  <c r="L90" i="9"/>
  <c r="M90" i="7"/>
  <c r="G90" i="10"/>
  <c r="G90" i="9"/>
  <c r="H90" i="7"/>
  <c r="O90" i="10"/>
  <c r="O90" i="9"/>
  <c r="P90" i="7"/>
  <c r="AB88" i="7"/>
  <c r="AG82" i="10"/>
  <c r="AG82" i="9"/>
  <c r="AQ82" i="7"/>
  <c r="B91" i="12"/>
  <c r="T91" i="14" s="1"/>
  <c r="V91" i="14" s="1"/>
  <c r="B91" i="10"/>
  <c r="B91" i="9"/>
  <c r="C91" i="7"/>
  <c r="E90" i="10"/>
  <c r="E90" i="9"/>
  <c r="F90" i="7"/>
  <c r="R90" i="10"/>
  <c r="R90" i="9"/>
  <c r="S90" i="7"/>
  <c r="T90" i="10"/>
  <c r="T90" i="9"/>
  <c r="U90" i="7"/>
  <c r="AJ88" i="7"/>
  <c r="AE88" i="10"/>
  <c r="AE88" i="9"/>
  <c r="AO88" i="7"/>
  <c r="L99" i="13"/>
  <c r="K90" i="10"/>
  <c r="K90" i="9"/>
  <c r="L90" i="7"/>
  <c r="H90" i="10"/>
  <c r="H90" i="9"/>
  <c r="I90" i="7"/>
  <c r="N90" i="10"/>
  <c r="N90" i="9"/>
  <c r="O90" i="7"/>
  <c r="D90" i="12"/>
  <c r="G90" i="12"/>
  <c r="Q90" i="14" s="1"/>
  <c r="S90" i="14" s="1"/>
  <c r="AR81" i="7"/>
  <c r="AH88" i="7"/>
  <c r="AC87" i="10"/>
  <c r="AC87" i="9"/>
  <c r="AM87" i="7"/>
  <c r="AA82" i="10"/>
  <c r="AA82" i="9"/>
  <c r="AK82" i="7"/>
  <c r="X92" i="10"/>
  <c r="X92" i="9"/>
  <c r="Y92" i="7"/>
  <c r="Q90" i="10"/>
  <c r="Q90" i="9"/>
  <c r="R90" i="7"/>
  <c r="D90" i="10"/>
  <c r="D90" i="9"/>
  <c r="E90" i="7"/>
  <c r="Y92" i="10"/>
  <c r="Y92" i="9"/>
  <c r="Z92" i="7"/>
  <c r="K89" i="12"/>
  <c r="H89" i="12"/>
  <c r="J89" i="12" s="1"/>
  <c r="AH81" i="9"/>
  <c r="AD87" i="10"/>
  <c r="AD87" i="9"/>
  <c r="AN87" i="7"/>
  <c r="AB84" i="10"/>
  <c r="AB84" i="9"/>
  <c r="AL84" i="7"/>
  <c r="J90" i="10"/>
  <c r="J90" i="9"/>
  <c r="K90" i="7"/>
  <c r="P90" i="10"/>
  <c r="P90" i="9"/>
  <c r="Q90" i="7"/>
  <c r="S90" i="10"/>
  <c r="S90" i="9"/>
  <c r="T90" i="7"/>
  <c r="AH81" i="10"/>
  <c r="I100" i="13"/>
  <c r="K100" i="13" s="1"/>
  <c r="M100" i="13"/>
  <c r="H101" i="13"/>
  <c r="E101" i="13"/>
  <c r="B108" i="13"/>
  <c r="G108" i="13"/>
  <c r="F104" i="12"/>
  <c r="C108" i="12"/>
  <c r="AZ83" i="2"/>
  <c r="BA83" i="2"/>
  <c r="AE85" i="7"/>
  <c r="AD85" i="7"/>
  <c r="AY84" i="2"/>
  <c r="C83" i="3"/>
  <c r="B82" i="3"/>
  <c r="J89" i="3"/>
  <c r="F81" i="3"/>
  <c r="E82" i="3"/>
  <c r="G78" i="1"/>
  <c r="D81" i="1"/>
  <c r="V93" i="10" l="1"/>
  <c r="W93" i="7"/>
  <c r="K107" i="11"/>
  <c r="C83" i="10"/>
  <c r="C110" i="2"/>
  <c r="B110" i="17"/>
  <c r="B110" i="11"/>
  <c r="B110" i="16"/>
  <c r="AG110" i="2"/>
  <c r="AF110" i="15" s="1"/>
  <c r="C110" i="15"/>
  <c r="AH110" i="2"/>
  <c r="AG110" i="15" s="1"/>
  <c r="AJ110" i="2"/>
  <c r="AI110" i="15" s="1"/>
  <c r="AC110" i="2"/>
  <c r="AB110" i="15" s="1"/>
  <c r="AD110" i="2"/>
  <c r="AC110" i="15" s="1"/>
  <c r="AR110" i="2"/>
  <c r="AK110" i="2"/>
  <c r="AJ110" i="15" s="1"/>
  <c r="AE110" i="2"/>
  <c r="AD110" i="15" s="1"/>
  <c r="AI110" i="2"/>
  <c r="AH110" i="15" s="1"/>
  <c r="AF110" i="2"/>
  <c r="AE110" i="15" s="1"/>
  <c r="AL110" i="2"/>
  <c r="I110" i="2"/>
  <c r="G109" i="16"/>
  <c r="H109" i="15"/>
  <c r="G109" i="17"/>
  <c r="AA109" i="16"/>
  <c r="AK109" i="15"/>
  <c r="AA109" i="17"/>
  <c r="Z109" i="14"/>
  <c r="AB109" i="14" s="1"/>
  <c r="D109" i="11"/>
  <c r="G109" i="11"/>
  <c r="L107" i="11"/>
  <c r="AG109" i="17"/>
  <c r="AG109" i="16"/>
  <c r="AQ109" i="15"/>
  <c r="W108" i="14"/>
  <c r="Y108" i="14" s="1"/>
  <c r="H108" i="11"/>
  <c r="J108" i="11" s="1"/>
  <c r="T95" i="4"/>
  <c r="V94" i="2"/>
  <c r="Y94" i="2"/>
  <c r="W95" i="4"/>
  <c r="Q95" i="4"/>
  <c r="S94" i="2"/>
  <c r="V93" i="16"/>
  <c r="W93" i="15"/>
  <c r="V93" i="17"/>
  <c r="R93" i="17"/>
  <c r="R93" i="16"/>
  <c r="S93" i="15"/>
  <c r="K108" i="17"/>
  <c r="K108" i="16"/>
  <c r="L108" i="15"/>
  <c r="H108" i="17"/>
  <c r="H108" i="16"/>
  <c r="I108" i="15"/>
  <c r="X93" i="17"/>
  <c r="X93" i="16"/>
  <c r="Y93" i="15"/>
  <c r="S93" i="17"/>
  <c r="S93" i="16"/>
  <c r="T93" i="15"/>
  <c r="F108" i="17"/>
  <c r="F108" i="16"/>
  <c r="G108" i="15"/>
  <c r="W93" i="17"/>
  <c r="W93" i="16"/>
  <c r="X93" i="15"/>
  <c r="J110" i="4"/>
  <c r="M109" i="2"/>
  <c r="G110" i="4"/>
  <c r="J109" i="2"/>
  <c r="P95" i="4"/>
  <c r="R94" i="2"/>
  <c r="N93" i="17"/>
  <c r="N93" i="16"/>
  <c r="O93" i="15"/>
  <c r="U93" i="17"/>
  <c r="U93" i="16"/>
  <c r="V93" i="15"/>
  <c r="S95" i="4"/>
  <c r="U95" i="2" s="1"/>
  <c r="E110" i="4"/>
  <c r="H109" i="2"/>
  <c r="E108" i="17"/>
  <c r="E108" i="16"/>
  <c r="F108" i="15"/>
  <c r="R95" i="4"/>
  <c r="T94" i="2"/>
  <c r="J108" i="17"/>
  <c r="J108" i="16"/>
  <c r="K108" i="15"/>
  <c r="D108" i="17"/>
  <c r="D108" i="16"/>
  <c r="E108" i="15"/>
  <c r="H92" i="14"/>
  <c r="J92" i="14" s="1"/>
  <c r="B92" i="14"/>
  <c r="D92" i="14" s="1"/>
  <c r="O108" i="17"/>
  <c r="O108" i="16"/>
  <c r="P108" i="15"/>
  <c r="P93" i="17"/>
  <c r="P93" i="16"/>
  <c r="Q93" i="15"/>
  <c r="N95" i="4"/>
  <c r="P94" i="2"/>
  <c r="U95" i="4"/>
  <c r="W94" i="2"/>
  <c r="I108" i="16"/>
  <c r="I108" i="17"/>
  <c r="J108" i="15"/>
  <c r="C83" i="16"/>
  <c r="C83" i="17"/>
  <c r="D83" i="15"/>
  <c r="D110" i="4"/>
  <c r="G109" i="2"/>
  <c r="I110" i="4"/>
  <c r="L109" i="2"/>
  <c r="C110" i="4"/>
  <c r="F109" i="2"/>
  <c r="AB94" i="2"/>
  <c r="Z95" i="4"/>
  <c r="O110" i="4"/>
  <c r="Q109" i="2"/>
  <c r="L108" i="17"/>
  <c r="L108" i="16"/>
  <c r="M108" i="15"/>
  <c r="H110" i="4"/>
  <c r="K109" i="2"/>
  <c r="B85" i="4"/>
  <c r="E84" i="2"/>
  <c r="C84" i="10" s="1"/>
  <c r="AA94" i="2"/>
  <c r="Y95" i="4"/>
  <c r="AS93" i="2"/>
  <c r="M93" i="16"/>
  <c r="AH93" i="16" s="1"/>
  <c r="K93" i="14" s="1"/>
  <c r="M93" i="14" s="1"/>
  <c r="M93" i="17"/>
  <c r="AH93" i="17" s="1"/>
  <c r="N93" i="14" s="1"/>
  <c r="P93" i="14" s="1"/>
  <c r="N93" i="15"/>
  <c r="AR93" i="15" s="1"/>
  <c r="E93" i="14" s="1"/>
  <c r="G93" i="14" s="1"/>
  <c r="Z93" i="17"/>
  <c r="AA93" i="15"/>
  <c r="Z93" i="16"/>
  <c r="Z93" i="10"/>
  <c r="Z93" i="9"/>
  <c r="AA93" i="7"/>
  <c r="K110" i="4"/>
  <c r="N109" i="2"/>
  <c r="T93" i="17"/>
  <c r="T93" i="16"/>
  <c r="U93" i="15"/>
  <c r="Y93" i="17"/>
  <c r="Y93" i="16"/>
  <c r="Z93" i="15"/>
  <c r="Q93" i="16"/>
  <c r="Q93" i="17"/>
  <c r="R93" i="15"/>
  <c r="AT93" i="2"/>
  <c r="X94" i="2"/>
  <c r="V94" i="10" s="1"/>
  <c r="V95" i="4"/>
  <c r="M95" i="4"/>
  <c r="O94" i="2"/>
  <c r="Z94" i="2"/>
  <c r="X95" i="4"/>
  <c r="B111" i="2"/>
  <c r="D111" i="2" s="1"/>
  <c r="AC85" i="7"/>
  <c r="AX91" i="2"/>
  <c r="AW91" i="2"/>
  <c r="BB83" i="2"/>
  <c r="AF85" i="7"/>
  <c r="AH82" i="10"/>
  <c r="AH82" i="9"/>
  <c r="AR82" i="7"/>
  <c r="Y93" i="10"/>
  <c r="Y93" i="9"/>
  <c r="Z93" i="7"/>
  <c r="O91" i="10"/>
  <c r="O91" i="9"/>
  <c r="P91" i="7"/>
  <c r="D91" i="12"/>
  <c r="G91" i="12"/>
  <c r="Q91" i="14" s="1"/>
  <c r="S91" i="14" s="1"/>
  <c r="AG83" i="10"/>
  <c r="AG83" i="9"/>
  <c r="AQ83" i="7"/>
  <c r="AB85" i="10"/>
  <c r="AB85" i="9"/>
  <c r="AL85" i="7"/>
  <c r="G91" i="10"/>
  <c r="G91" i="9"/>
  <c r="H91" i="7"/>
  <c r="J91" i="10"/>
  <c r="J91" i="9"/>
  <c r="K91" i="7"/>
  <c r="R91" i="10"/>
  <c r="R91" i="9"/>
  <c r="S91" i="7"/>
  <c r="W93" i="10"/>
  <c r="W93" i="9"/>
  <c r="X93" i="7"/>
  <c r="H91" i="10"/>
  <c r="H91" i="9"/>
  <c r="I91" i="7"/>
  <c r="AG85" i="7"/>
  <c r="AG84" i="7"/>
  <c r="AC88" i="10"/>
  <c r="AC88" i="9"/>
  <c r="AM88" i="7"/>
  <c r="B92" i="12"/>
  <c r="T92" i="14" s="1"/>
  <c r="V92" i="14" s="1"/>
  <c r="B92" i="10"/>
  <c r="B92" i="9"/>
  <c r="C92" i="7"/>
  <c r="F91" i="10"/>
  <c r="F91" i="9"/>
  <c r="G91" i="7"/>
  <c r="D91" i="10"/>
  <c r="D91" i="9"/>
  <c r="E91" i="7"/>
  <c r="Q91" i="10"/>
  <c r="Q91" i="9"/>
  <c r="R91" i="7"/>
  <c r="AA83" i="10"/>
  <c r="AA83" i="9"/>
  <c r="AK83" i="7"/>
  <c r="M91" i="10"/>
  <c r="M91" i="9"/>
  <c r="N91" i="7"/>
  <c r="AE89" i="10"/>
  <c r="AE89" i="9"/>
  <c r="AO89" i="7"/>
  <c r="K90" i="12"/>
  <c r="H90" i="12"/>
  <c r="J90" i="12" s="1"/>
  <c r="K91" i="10"/>
  <c r="K91" i="9"/>
  <c r="L91" i="7"/>
  <c r="L91" i="10"/>
  <c r="L91" i="9"/>
  <c r="M91" i="7"/>
  <c r="T91" i="10"/>
  <c r="T91" i="9"/>
  <c r="U91" i="7"/>
  <c r="P91" i="10"/>
  <c r="P91" i="9"/>
  <c r="Q91" i="7"/>
  <c r="AD88" i="10"/>
  <c r="AD88" i="9"/>
  <c r="AN88" i="7"/>
  <c r="AI89" i="7"/>
  <c r="AI88" i="7"/>
  <c r="E91" i="10"/>
  <c r="E91" i="9"/>
  <c r="F91" i="7"/>
  <c r="N91" i="10"/>
  <c r="N91" i="9"/>
  <c r="O91" i="7"/>
  <c r="AB89" i="7"/>
  <c r="AF92" i="10"/>
  <c r="AF92" i="9"/>
  <c r="AP92" i="7"/>
  <c r="X93" i="10"/>
  <c r="X93" i="9"/>
  <c r="Y93" i="7"/>
  <c r="AH89" i="7"/>
  <c r="AJ89" i="7"/>
  <c r="I91" i="10"/>
  <c r="I91" i="9"/>
  <c r="J91" i="7"/>
  <c r="U91" i="10"/>
  <c r="U91" i="9"/>
  <c r="V91" i="7"/>
  <c r="S91" i="10"/>
  <c r="S91" i="9"/>
  <c r="T91" i="7"/>
  <c r="L100" i="13"/>
  <c r="I101" i="13"/>
  <c r="K101" i="13" s="1"/>
  <c r="M101" i="13"/>
  <c r="H102" i="13"/>
  <c r="E102" i="13"/>
  <c r="G109" i="13"/>
  <c r="B109" i="13"/>
  <c r="C109" i="12"/>
  <c r="F105" i="12"/>
  <c r="AZ84" i="2"/>
  <c r="BA84" i="2"/>
  <c r="AE86" i="7"/>
  <c r="AD86" i="7"/>
  <c r="C84" i="3"/>
  <c r="B83" i="3"/>
  <c r="F82" i="3"/>
  <c r="E83" i="3"/>
  <c r="J90" i="3"/>
  <c r="G79" i="1"/>
  <c r="D82" i="1"/>
  <c r="W94" i="7" l="1"/>
  <c r="V94" i="9"/>
  <c r="D84" i="7"/>
  <c r="C84" i="9"/>
  <c r="B111" i="11"/>
  <c r="B111" i="16"/>
  <c r="B111" i="17"/>
  <c r="AG111" i="2"/>
  <c r="AF111" i="15" s="1"/>
  <c r="C111" i="15"/>
  <c r="AH111" i="2"/>
  <c r="AG111" i="15" s="1"/>
  <c r="AJ111" i="2"/>
  <c r="AI111" i="15" s="1"/>
  <c r="AI111" i="2"/>
  <c r="AH111" i="15" s="1"/>
  <c r="AK111" i="2"/>
  <c r="AJ111" i="15" s="1"/>
  <c r="AD111" i="2"/>
  <c r="AC111" i="15" s="1"/>
  <c r="AL111" i="2"/>
  <c r="AF111" i="2"/>
  <c r="AE111" i="15" s="1"/>
  <c r="AE111" i="2"/>
  <c r="AD111" i="15" s="1"/>
  <c r="AR111" i="2"/>
  <c r="AC111" i="2"/>
  <c r="AB111" i="15" s="1"/>
  <c r="G110" i="17"/>
  <c r="H110" i="15"/>
  <c r="I111" i="2"/>
  <c r="G110" i="16"/>
  <c r="AG110" i="17"/>
  <c r="AG110" i="16"/>
  <c r="AQ110" i="15"/>
  <c r="AA110" i="16"/>
  <c r="AA110" i="17"/>
  <c r="AK110" i="15"/>
  <c r="Z110" i="14"/>
  <c r="AB110" i="14" s="1"/>
  <c r="D110" i="11"/>
  <c r="G110" i="11"/>
  <c r="W109" i="14"/>
  <c r="Y109" i="14" s="1"/>
  <c r="H109" i="11"/>
  <c r="J109" i="11" s="1"/>
  <c r="X95" i="2"/>
  <c r="V95" i="10" s="1"/>
  <c r="V96" i="4"/>
  <c r="L109" i="17"/>
  <c r="L109" i="16"/>
  <c r="M109" i="15"/>
  <c r="AA95" i="2"/>
  <c r="Y96" i="4"/>
  <c r="Z94" i="17"/>
  <c r="AA94" i="15"/>
  <c r="Z94" i="16"/>
  <c r="Z94" i="9"/>
  <c r="AA94" i="7"/>
  <c r="Z94" i="10"/>
  <c r="D111" i="4"/>
  <c r="G110" i="2"/>
  <c r="P96" i="4"/>
  <c r="R95" i="2"/>
  <c r="Q94" i="16"/>
  <c r="Q94" i="17"/>
  <c r="R94" i="15"/>
  <c r="AT94" i="2"/>
  <c r="V94" i="16"/>
  <c r="W94" i="15"/>
  <c r="V94" i="17"/>
  <c r="K111" i="4"/>
  <c r="N110" i="2"/>
  <c r="Z94" i="15"/>
  <c r="Y94" i="16"/>
  <c r="Y94" i="17"/>
  <c r="D109" i="17"/>
  <c r="D109" i="16"/>
  <c r="E109" i="15"/>
  <c r="U94" i="16"/>
  <c r="U94" i="17"/>
  <c r="V94" i="15"/>
  <c r="R94" i="17"/>
  <c r="R94" i="16"/>
  <c r="S94" i="15"/>
  <c r="F109" i="17"/>
  <c r="F109" i="16"/>
  <c r="G109" i="15"/>
  <c r="H109" i="17"/>
  <c r="H109" i="16"/>
  <c r="I109" i="15"/>
  <c r="Q96" i="4"/>
  <c r="S95" i="2"/>
  <c r="Z95" i="2"/>
  <c r="X96" i="4"/>
  <c r="C84" i="17"/>
  <c r="C84" i="16"/>
  <c r="D84" i="15"/>
  <c r="C111" i="4"/>
  <c r="F110" i="2"/>
  <c r="U96" i="4"/>
  <c r="W95" i="2"/>
  <c r="E111" i="4"/>
  <c r="H110" i="2"/>
  <c r="G111" i="4"/>
  <c r="J110" i="2"/>
  <c r="Y95" i="2"/>
  <c r="W96" i="4"/>
  <c r="X94" i="17"/>
  <c r="Y94" i="15"/>
  <c r="X94" i="16"/>
  <c r="B86" i="4"/>
  <c r="E85" i="2"/>
  <c r="C85" i="10" s="1"/>
  <c r="O109" i="17"/>
  <c r="O109" i="16"/>
  <c r="P109" i="15"/>
  <c r="J109" i="17"/>
  <c r="J109" i="16"/>
  <c r="K109" i="15"/>
  <c r="N94" i="17"/>
  <c r="N94" i="16"/>
  <c r="O94" i="15"/>
  <c r="R96" i="4"/>
  <c r="T95" i="2"/>
  <c r="S94" i="17"/>
  <c r="S94" i="16"/>
  <c r="T94" i="15"/>
  <c r="K109" i="17"/>
  <c r="K109" i="16"/>
  <c r="L109" i="15"/>
  <c r="W94" i="17"/>
  <c r="X94" i="15"/>
  <c r="W94" i="16"/>
  <c r="AS94" i="2"/>
  <c r="M94" i="16"/>
  <c r="AH94" i="16" s="1"/>
  <c r="K94" i="14" s="1"/>
  <c r="M94" i="14" s="1"/>
  <c r="M94" i="17"/>
  <c r="AH94" i="17" s="1"/>
  <c r="N94" i="14" s="1"/>
  <c r="P94" i="14" s="1"/>
  <c r="N94" i="15"/>
  <c r="AR94" i="15" s="1"/>
  <c r="E94" i="14" s="1"/>
  <c r="G94" i="14" s="1"/>
  <c r="I109" i="17"/>
  <c r="I109" i="16"/>
  <c r="J109" i="15"/>
  <c r="O111" i="4"/>
  <c r="Q110" i="2"/>
  <c r="I111" i="4"/>
  <c r="L110" i="2"/>
  <c r="N96" i="4"/>
  <c r="P95" i="2"/>
  <c r="S96" i="4"/>
  <c r="U96" i="2" s="1"/>
  <c r="J111" i="4"/>
  <c r="M110" i="2"/>
  <c r="T94" i="17"/>
  <c r="T94" i="16"/>
  <c r="U94" i="15"/>
  <c r="M96" i="4"/>
  <c r="O95" i="2"/>
  <c r="B93" i="14"/>
  <c r="D93" i="14" s="1"/>
  <c r="H93" i="14"/>
  <c r="J93" i="14" s="1"/>
  <c r="H111" i="4"/>
  <c r="K110" i="2"/>
  <c r="AB95" i="2"/>
  <c r="Z96" i="4"/>
  <c r="E109" i="17"/>
  <c r="E109" i="16"/>
  <c r="F109" i="15"/>
  <c r="P94" i="17"/>
  <c r="P94" i="16"/>
  <c r="Q94" i="15"/>
  <c r="T96" i="4"/>
  <c r="V95" i="2"/>
  <c r="B112" i="2"/>
  <c r="D112" i="2" s="1"/>
  <c r="C111" i="2"/>
  <c r="AC86" i="7"/>
  <c r="BB84" i="2"/>
  <c r="AF86" i="7"/>
  <c r="AW92" i="2"/>
  <c r="AY85" i="2"/>
  <c r="AX92" i="2"/>
  <c r="AH83" i="9"/>
  <c r="AR83" i="7"/>
  <c r="AH83" i="10"/>
  <c r="AB90" i="7"/>
  <c r="X94" i="10"/>
  <c r="X94" i="9"/>
  <c r="Y94" i="7"/>
  <c r="B93" i="12"/>
  <c r="T93" i="14" s="1"/>
  <c r="V93" i="14" s="1"/>
  <c r="B93" i="10"/>
  <c r="B93" i="9"/>
  <c r="C93" i="7"/>
  <c r="E92" i="10"/>
  <c r="E92" i="9"/>
  <c r="F92" i="7"/>
  <c r="R92" i="10"/>
  <c r="R92" i="9"/>
  <c r="S92" i="7"/>
  <c r="O92" i="10"/>
  <c r="O92" i="9"/>
  <c r="P92" i="7"/>
  <c r="Y94" i="10"/>
  <c r="Y94" i="9"/>
  <c r="Z94" i="7"/>
  <c r="AF93" i="10"/>
  <c r="AF93" i="9"/>
  <c r="AP93" i="7"/>
  <c r="AG84" i="10"/>
  <c r="AG84" i="9"/>
  <c r="AQ84" i="7"/>
  <c r="AJ90" i="7"/>
  <c r="W94" i="10"/>
  <c r="W94" i="9"/>
  <c r="X94" i="7"/>
  <c r="K92" i="10"/>
  <c r="K92" i="9"/>
  <c r="L92" i="7"/>
  <c r="L92" i="10"/>
  <c r="L92" i="9"/>
  <c r="M92" i="7"/>
  <c r="T92" i="10"/>
  <c r="T92" i="9"/>
  <c r="U92" i="7"/>
  <c r="D92" i="12"/>
  <c r="L92" i="12" s="1"/>
  <c r="G92" i="12"/>
  <c r="Q92" i="14" s="1"/>
  <c r="S92" i="14" s="1"/>
  <c r="AC89" i="10"/>
  <c r="AC89" i="9"/>
  <c r="AM89" i="7"/>
  <c r="D92" i="10"/>
  <c r="D92" i="9"/>
  <c r="E92" i="7"/>
  <c r="F92" i="10"/>
  <c r="F92" i="9"/>
  <c r="G92" i="7"/>
  <c r="N92" i="10"/>
  <c r="N92" i="9"/>
  <c r="O92" i="7"/>
  <c r="K91" i="12"/>
  <c r="H91" i="12"/>
  <c r="J91" i="12" s="1"/>
  <c r="AB86" i="10"/>
  <c r="AB86" i="9"/>
  <c r="AL86" i="7"/>
  <c r="AH90" i="7"/>
  <c r="J92" i="10"/>
  <c r="J92" i="9"/>
  <c r="K92" i="7"/>
  <c r="Q92" i="10"/>
  <c r="Q92" i="9"/>
  <c r="R92" i="7"/>
  <c r="S92" i="10"/>
  <c r="S92" i="9"/>
  <c r="T92" i="7"/>
  <c r="AD89" i="10"/>
  <c r="AD89" i="9"/>
  <c r="AN89" i="7"/>
  <c r="AE90" i="10"/>
  <c r="AE90" i="9"/>
  <c r="AO90" i="7"/>
  <c r="AA84" i="10"/>
  <c r="AA84" i="9"/>
  <c r="AK84" i="7"/>
  <c r="H92" i="10"/>
  <c r="H92" i="9"/>
  <c r="I92" i="7"/>
  <c r="P92" i="10"/>
  <c r="P92" i="9"/>
  <c r="Q92" i="7"/>
  <c r="M92" i="10"/>
  <c r="M92" i="9"/>
  <c r="N92" i="7"/>
  <c r="G92" i="10"/>
  <c r="G92" i="9"/>
  <c r="H92" i="7"/>
  <c r="I92" i="10"/>
  <c r="I92" i="9"/>
  <c r="J92" i="7"/>
  <c r="U92" i="10"/>
  <c r="U92" i="9"/>
  <c r="V92" i="7"/>
  <c r="L101" i="13"/>
  <c r="H103" i="13"/>
  <c r="E103" i="13"/>
  <c r="P102" i="13"/>
  <c r="Q102" i="13"/>
  <c r="N102" i="13"/>
  <c r="M102" i="13"/>
  <c r="I102" i="13"/>
  <c r="K102" i="13" s="1"/>
  <c r="O102" i="13"/>
  <c r="B110" i="13"/>
  <c r="G110" i="13"/>
  <c r="F106" i="12"/>
  <c r="C110" i="12"/>
  <c r="AZ85" i="2"/>
  <c r="BA85" i="2"/>
  <c r="AE87" i="7"/>
  <c r="AD87" i="7"/>
  <c r="AY86" i="2"/>
  <c r="C85" i="3"/>
  <c r="B84" i="3"/>
  <c r="F83" i="3"/>
  <c r="E84" i="3"/>
  <c r="J91" i="3"/>
  <c r="G80" i="1"/>
  <c r="D83" i="1"/>
  <c r="D85" i="7" l="1"/>
  <c r="C85" i="9"/>
  <c r="V95" i="9"/>
  <c r="W95" i="7"/>
  <c r="G111" i="17"/>
  <c r="G111" i="16"/>
  <c r="H111" i="15"/>
  <c r="AA111" i="17"/>
  <c r="AA111" i="16"/>
  <c r="AK111" i="15"/>
  <c r="W110" i="14"/>
  <c r="Y110" i="14" s="1"/>
  <c r="H110" i="11"/>
  <c r="J110" i="11" s="1"/>
  <c r="B112" i="17"/>
  <c r="B112" i="16"/>
  <c r="B112" i="11"/>
  <c r="C112" i="15"/>
  <c r="AG112" i="2"/>
  <c r="AF112" i="15" s="1"/>
  <c r="AH112" i="2"/>
  <c r="AG112" i="15" s="1"/>
  <c r="AC112" i="2"/>
  <c r="AB112" i="15" s="1"/>
  <c r="AF112" i="2"/>
  <c r="AE112" i="15" s="1"/>
  <c r="AJ112" i="2"/>
  <c r="AI112" i="15" s="1"/>
  <c r="AR112" i="2"/>
  <c r="AD112" i="2"/>
  <c r="AC112" i="15" s="1"/>
  <c r="AL112" i="2"/>
  <c r="AK112" i="2"/>
  <c r="AJ112" i="15" s="1"/>
  <c r="AI112" i="2"/>
  <c r="AH112" i="15" s="1"/>
  <c r="AE112" i="2"/>
  <c r="AD112" i="15" s="1"/>
  <c r="I112" i="2"/>
  <c r="AG111" i="17"/>
  <c r="AG111" i="16"/>
  <c r="AQ111" i="15"/>
  <c r="Z111" i="14"/>
  <c r="AB111" i="14" s="1"/>
  <c r="D111" i="11"/>
  <c r="G111" i="11"/>
  <c r="I110" i="16"/>
  <c r="I110" i="17"/>
  <c r="J110" i="15"/>
  <c r="S97" i="4"/>
  <c r="U97" i="2" s="1"/>
  <c r="O112" i="4"/>
  <c r="Q111" i="2"/>
  <c r="B87" i="4"/>
  <c r="E86" i="2"/>
  <c r="C86" i="10" s="1"/>
  <c r="H110" i="17"/>
  <c r="H110" i="16"/>
  <c r="I110" i="15"/>
  <c r="D110" i="17"/>
  <c r="D110" i="16"/>
  <c r="E110" i="15"/>
  <c r="X95" i="17"/>
  <c r="X95" i="16"/>
  <c r="Y95" i="15"/>
  <c r="Y95" i="16"/>
  <c r="Y95" i="17"/>
  <c r="Z95" i="15"/>
  <c r="H112" i="4"/>
  <c r="K111" i="2"/>
  <c r="N95" i="16"/>
  <c r="N95" i="17"/>
  <c r="O95" i="15"/>
  <c r="H94" i="14"/>
  <c r="J94" i="14" s="1"/>
  <c r="B94" i="14"/>
  <c r="D94" i="14" s="1"/>
  <c r="R97" i="4"/>
  <c r="T96" i="2"/>
  <c r="G112" i="4"/>
  <c r="J111" i="2"/>
  <c r="C112" i="4"/>
  <c r="F111" i="2"/>
  <c r="Q95" i="16"/>
  <c r="Q95" i="17"/>
  <c r="R95" i="15"/>
  <c r="AT95" i="2"/>
  <c r="P95" i="17"/>
  <c r="P95" i="16"/>
  <c r="Q95" i="15"/>
  <c r="T95" i="17"/>
  <c r="T95" i="16"/>
  <c r="U95" i="15"/>
  <c r="N97" i="4"/>
  <c r="P96" i="2"/>
  <c r="F110" i="17"/>
  <c r="F110" i="16"/>
  <c r="G110" i="15"/>
  <c r="Q97" i="4"/>
  <c r="S96" i="2"/>
  <c r="P97" i="4"/>
  <c r="R96" i="2"/>
  <c r="T97" i="4"/>
  <c r="V96" i="2"/>
  <c r="K110" i="17"/>
  <c r="K110" i="16"/>
  <c r="L110" i="15"/>
  <c r="J110" i="17"/>
  <c r="J110" i="16"/>
  <c r="K110" i="15"/>
  <c r="E112" i="4"/>
  <c r="H111" i="2"/>
  <c r="E110" i="17"/>
  <c r="E110" i="16"/>
  <c r="F110" i="15"/>
  <c r="AB96" i="2"/>
  <c r="Z97" i="4"/>
  <c r="AS95" i="2"/>
  <c r="M95" i="17"/>
  <c r="AH95" i="17" s="1"/>
  <c r="N95" i="14" s="1"/>
  <c r="P95" i="14" s="1"/>
  <c r="M95" i="16"/>
  <c r="AH95" i="16" s="1"/>
  <c r="K95" i="14" s="1"/>
  <c r="M95" i="14" s="1"/>
  <c r="N95" i="15"/>
  <c r="AR95" i="15" s="1"/>
  <c r="E95" i="14" s="1"/>
  <c r="G95" i="14" s="1"/>
  <c r="J112" i="4"/>
  <c r="M111" i="2"/>
  <c r="I112" i="4"/>
  <c r="L111" i="2"/>
  <c r="Y96" i="2"/>
  <c r="W97" i="4"/>
  <c r="U95" i="17"/>
  <c r="U95" i="16"/>
  <c r="V95" i="15"/>
  <c r="L110" i="17"/>
  <c r="L110" i="16"/>
  <c r="M110" i="15"/>
  <c r="D112" i="4"/>
  <c r="G111" i="2"/>
  <c r="X96" i="2"/>
  <c r="V96" i="10" s="1"/>
  <c r="V97" i="4"/>
  <c r="Z95" i="17"/>
  <c r="Z95" i="16"/>
  <c r="AA95" i="15"/>
  <c r="Z95" i="10"/>
  <c r="Z95" i="9"/>
  <c r="AA95" i="7"/>
  <c r="M97" i="4"/>
  <c r="O96" i="2"/>
  <c r="S95" i="17"/>
  <c r="S95" i="16"/>
  <c r="T95" i="15"/>
  <c r="O110" i="16"/>
  <c r="O110" i="17"/>
  <c r="P110" i="15"/>
  <c r="R95" i="17"/>
  <c r="R95" i="16"/>
  <c r="S95" i="15"/>
  <c r="C85" i="17"/>
  <c r="C85" i="16"/>
  <c r="D85" i="15"/>
  <c r="W95" i="17"/>
  <c r="W95" i="16"/>
  <c r="X95" i="15"/>
  <c r="U97" i="4"/>
  <c r="W96" i="2"/>
  <c r="Z96" i="2"/>
  <c r="X97" i="4"/>
  <c r="K112" i="4"/>
  <c r="N111" i="2"/>
  <c r="AA96" i="2"/>
  <c r="Y97" i="4"/>
  <c r="V95" i="16"/>
  <c r="W95" i="15"/>
  <c r="V95" i="17"/>
  <c r="C112" i="2"/>
  <c r="B113" i="2"/>
  <c r="D113" i="2" s="1"/>
  <c r="AC87" i="7"/>
  <c r="BB85" i="2"/>
  <c r="AW93" i="2"/>
  <c r="AF87" i="7"/>
  <c r="AX93" i="2"/>
  <c r="AH84" i="10"/>
  <c r="AR84" i="7"/>
  <c r="AH84" i="9"/>
  <c r="AG87" i="7"/>
  <c r="AG86" i="7"/>
  <c r="AD90" i="10"/>
  <c r="AD90" i="9"/>
  <c r="AN90" i="7"/>
  <c r="J93" i="10"/>
  <c r="J93" i="9"/>
  <c r="K93" i="7"/>
  <c r="O93" i="10"/>
  <c r="O93" i="9"/>
  <c r="P93" i="7"/>
  <c r="R93" i="10"/>
  <c r="R93" i="9"/>
  <c r="S93" i="7"/>
  <c r="K92" i="12"/>
  <c r="H92" i="12"/>
  <c r="J92" i="12" s="1"/>
  <c r="AI91" i="7"/>
  <c r="AI90" i="7"/>
  <c r="B94" i="12"/>
  <c r="T94" i="14" s="1"/>
  <c r="V94" i="14" s="1"/>
  <c r="B94" i="10"/>
  <c r="B94" i="9"/>
  <c r="C94" i="7"/>
  <c r="H93" i="10"/>
  <c r="H93" i="9"/>
  <c r="I93" i="7"/>
  <c r="Q93" i="10"/>
  <c r="Q93" i="9"/>
  <c r="R93" i="7"/>
  <c r="AE91" i="10"/>
  <c r="AE91" i="9"/>
  <c r="AO91" i="7"/>
  <c r="O92" i="12"/>
  <c r="N92" i="12"/>
  <c r="M92" i="12"/>
  <c r="AJ91" i="7"/>
  <c r="L93" i="10"/>
  <c r="L93" i="9"/>
  <c r="M93" i="7"/>
  <c r="I93" i="10"/>
  <c r="I93" i="9"/>
  <c r="J93" i="7"/>
  <c r="T93" i="10"/>
  <c r="T93" i="9"/>
  <c r="U93" i="7"/>
  <c r="P93" i="10"/>
  <c r="P93" i="9"/>
  <c r="Q93" i="7"/>
  <c r="AC90" i="10"/>
  <c r="AC90" i="9"/>
  <c r="AM90" i="7"/>
  <c r="AH91" i="7"/>
  <c r="E93" i="10"/>
  <c r="E93" i="9"/>
  <c r="F93" i="7"/>
  <c r="G93" i="10"/>
  <c r="G93" i="9"/>
  <c r="H93" i="7"/>
  <c r="N93" i="10"/>
  <c r="N93" i="9"/>
  <c r="O93" i="7"/>
  <c r="AF94" i="10"/>
  <c r="AF94" i="9"/>
  <c r="AP94" i="7"/>
  <c r="Y95" i="10"/>
  <c r="Y95" i="9"/>
  <c r="Z95" i="7"/>
  <c r="X95" i="10"/>
  <c r="X95" i="9"/>
  <c r="Y95" i="7"/>
  <c r="K93" i="10"/>
  <c r="K93" i="9"/>
  <c r="L93" i="7"/>
  <c r="F93" i="10"/>
  <c r="F93" i="9"/>
  <c r="G93" i="7"/>
  <c r="S93" i="10"/>
  <c r="S93" i="9"/>
  <c r="T93" i="7"/>
  <c r="AA85" i="10"/>
  <c r="AA85" i="9"/>
  <c r="AK85" i="7"/>
  <c r="AG85" i="10"/>
  <c r="AG85" i="9"/>
  <c r="AQ85" i="7"/>
  <c r="AB87" i="10"/>
  <c r="AB87" i="9"/>
  <c r="AL87" i="7"/>
  <c r="W95" i="10"/>
  <c r="W95" i="9"/>
  <c r="X95" i="7"/>
  <c r="D93" i="10"/>
  <c r="D93" i="9"/>
  <c r="E93" i="7"/>
  <c r="U93" i="10"/>
  <c r="U93" i="9"/>
  <c r="V93" i="7"/>
  <c r="M93" i="10"/>
  <c r="M93" i="9"/>
  <c r="N93" i="7"/>
  <c r="D93" i="12"/>
  <c r="G93" i="12"/>
  <c r="Q93" i="14" s="1"/>
  <c r="S93" i="14" s="1"/>
  <c r="AB91" i="7"/>
  <c r="L102" i="13"/>
  <c r="M103" i="13"/>
  <c r="I103" i="13"/>
  <c r="K103" i="13" s="1"/>
  <c r="H104" i="13"/>
  <c r="E104" i="13"/>
  <c r="G111" i="13"/>
  <c r="B111" i="13"/>
  <c r="C111" i="12"/>
  <c r="F107" i="12"/>
  <c r="AZ86" i="2"/>
  <c r="BA86" i="2"/>
  <c r="AE88" i="7"/>
  <c r="AD88" i="7"/>
  <c r="C86" i="3"/>
  <c r="B85" i="3"/>
  <c r="F84" i="3"/>
  <c r="E85" i="3"/>
  <c r="J92" i="3"/>
  <c r="G81" i="1"/>
  <c r="D84" i="1"/>
  <c r="D86" i="7" l="1"/>
  <c r="C86" i="9"/>
  <c r="W96" i="7"/>
  <c r="Z112" i="14"/>
  <c r="AB112" i="14" s="1"/>
  <c r="D112" i="11"/>
  <c r="G112" i="11"/>
  <c r="B113" i="11"/>
  <c r="B113" i="17"/>
  <c r="B113" i="16"/>
  <c r="AG113" i="2"/>
  <c r="AF113" i="15" s="1"/>
  <c r="C113" i="15"/>
  <c r="AH113" i="2"/>
  <c r="AG113" i="15" s="1"/>
  <c r="AJ113" i="2"/>
  <c r="AI113" i="15" s="1"/>
  <c r="AE113" i="2"/>
  <c r="AD113" i="15" s="1"/>
  <c r="AI113" i="2"/>
  <c r="AH113" i="15" s="1"/>
  <c r="AL113" i="2"/>
  <c r="AC113" i="2"/>
  <c r="AB113" i="15" s="1"/>
  <c r="AK113" i="2"/>
  <c r="AJ113" i="15" s="1"/>
  <c r="AD113" i="2"/>
  <c r="AC113" i="15" s="1"/>
  <c r="AR113" i="2"/>
  <c r="AF113" i="2"/>
  <c r="AE113" i="15" s="1"/>
  <c r="AA112" i="16"/>
  <c r="AA112" i="17"/>
  <c r="AK112" i="15"/>
  <c r="V96" i="9"/>
  <c r="W111" i="14"/>
  <c r="Y111" i="14" s="1"/>
  <c r="H111" i="11"/>
  <c r="J111" i="11" s="1"/>
  <c r="I113" i="2"/>
  <c r="G112" i="16"/>
  <c r="G112" i="17"/>
  <c r="H112" i="15"/>
  <c r="AG112" i="17"/>
  <c r="AG112" i="16"/>
  <c r="AQ112" i="15"/>
  <c r="Y96" i="17"/>
  <c r="Y96" i="16"/>
  <c r="Z96" i="15"/>
  <c r="U98" i="4"/>
  <c r="W97" i="2"/>
  <c r="X97" i="2"/>
  <c r="V97" i="10" s="1"/>
  <c r="V98" i="4"/>
  <c r="J111" i="17"/>
  <c r="J111" i="16"/>
  <c r="K111" i="15"/>
  <c r="P98" i="4"/>
  <c r="R97" i="2"/>
  <c r="O113" i="4"/>
  <c r="Q112" i="2"/>
  <c r="L111" i="17"/>
  <c r="L111" i="16"/>
  <c r="M111" i="15"/>
  <c r="V96" i="16"/>
  <c r="W96" i="15"/>
  <c r="V96" i="17"/>
  <c r="I113" i="4"/>
  <c r="L112" i="2"/>
  <c r="B95" i="14"/>
  <c r="D95" i="14" s="1"/>
  <c r="H95" i="14"/>
  <c r="J95" i="14" s="1"/>
  <c r="F111" i="17"/>
  <c r="F111" i="16"/>
  <c r="G111" i="15"/>
  <c r="Q96" i="16"/>
  <c r="Q96" i="17"/>
  <c r="R96" i="15"/>
  <c r="AT96" i="2"/>
  <c r="N96" i="17"/>
  <c r="N96" i="16"/>
  <c r="O96" i="15"/>
  <c r="D111" i="17"/>
  <c r="D111" i="16"/>
  <c r="E111" i="15"/>
  <c r="R98" i="4"/>
  <c r="T97" i="2"/>
  <c r="I111" i="16"/>
  <c r="I111" i="17"/>
  <c r="J111" i="15"/>
  <c r="S96" i="17"/>
  <c r="S96" i="16"/>
  <c r="T96" i="15"/>
  <c r="K113" i="4"/>
  <c r="N112" i="2"/>
  <c r="E111" i="17"/>
  <c r="E111" i="16"/>
  <c r="F111" i="15"/>
  <c r="K111" i="17"/>
  <c r="K111" i="16"/>
  <c r="L111" i="15"/>
  <c r="AB97" i="2"/>
  <c r="Z98" i="4"/>
  <c r="E113" i="4"/>
  <c r="H112" i="2"/>
  <c r="Q98" i="4"/>
  <c r="S97" i="2"/>
  <c r="N98" i="4"/>
  <c r="P97" i="2"/>
  <c r="C113" i="4"/>
  <c r="F112" i="2"/>
  <c r="H113" i="4"/>
  <c r="K112" i="2"/>
  <c r="S98" i="4"/>
  <c r="U98" i="2" s="1"/>
  <c r="Z97" i="2"/>
  <c r="X98" i="4"/>
  <c r="D113" i="4"/>
  <c r="G112" i="2"/>
  <c r="J113" i="4"/>
  <c r="M112" i="2"/>
  <c r="Z96" i="17"/>
  <c r="AA96" i="15"/>
  <c r="Z96" i="16"/>
  <c r="Z96" i="9"/>
  <c r="AA96" i="7"/>
  <c r="Z96" i="10"/>
  <c r="T96" i="17"/>
  <c r="T96" i="16"/>
  <c r="U96" i="15"/>
  <c r="H111" i="16"/>
  <c r="H111" i="17"/>
  <c r="I111" i="15"/>
  <c r="C86" i="16"/>
  <c r="C86" i="17"/>
  <c r="D86" i="15"/>
  <c r="X96" i="17"/>
  <c r="X96" i="16"/>
  <c r="Y96" i="15"/>
  <c r="AS96" i="2"/>
  <c r="M96" i="16"/>
  <c r="AH96" i="16" s="1"/>
  <c r="K96" i="14" s="1"/>
  <c r="M96" i="14" s="1"/>
  <c r="M96" i="17"/>
  <c r="AH96" i="17" s="1"/>
  <c r="N96" i="14" s="1"/>
  <c r="P96" i="14" s="1"/>
  <c r="N96" i="15"/>
  <c r="AR96" i="15" s="1"/>
  <c r="E96" i="14" s="1"/>
  <c r="G96" i="14" s="1"/>
  <c r="Y97" i="2"/>
  <c r="W98" i="4"/>
  <c r="T98" i="4"/>
  <c r="V97" i="2"/>
  <c r="G113" i="4"/>
  <c r="J112" i="2"/>
  <c r="B88" i="4"/>
  <c r="E87" i="2"/>
  <c r="C87" i="10" s="1"/>
  <c r="AA97" i="2"/>
  <c r="Y98" i="4"/>
  <c r="U96" i="17"/>
  <c r="U96" i="16"/>
  <c r="V96" i="15"/>
  <c r="M98" i="4"/>
  <c r="O97" i="2"/>
  <c r="W96" i="17"/>
  <c r="W96" i="16"/>
  <c r="X96" i="15"/>
  <c r="P96" i="17"/>
  <c r="P96" i="16"/>
  <c r="Q96" i="15"/>
  <c r="R96" i="17"/>
  <c r="R96" i="16"/>
  <c r="S96" i="15"/>
  <c r="O111" i="17"/>
  <c r="O111" i="16"/>
  <c r="P111" i="15"/>
  <c r="B114" i="2"/>
  <c r="D114" i="2" s="1"/>
  <c r="C113" i="2"/>
  <c r="AC88" i="7"/>
  <c r="BB86" i="2"/>
  <c r="AY87" i="2"/>
  <c r="AX94" i="2"/>
  <c r="AF88" i="7"/>
  <c r="AW94" i="2"/>
  <c r="AH85" i="9"/>
  <c r="AH85" i="10"/>
  <c r="AC91" i="10"/>
  <c r="AC91" i="9"/>
  <c r="AM91" i="7"/>
  <c r="Y96" i="10"/>
  <c r="Y96" i="9"/>
  <c r="Z96" i="7"/>
  <c r="H94" i="10"/>
  <c r="H94" i="9"/>
  <c r="I94" i="7"/>
  <c r="U94" i="10"/>
  <c r="U94" i="9"/>
  <c r="V94" i="7"/>
  <c r="G94" i="10"/>
  <c r="G94" i="9"/>
  <c r="H94" i="7"/>
  <c r="R94" i="10"/>
  <c r="R94" i="9"/>
  <c r="S94" i="7"/>
  <c r="O94" i="10"/>
  <c r="O94" i="9"/>
  <c r="P94" i="7"/>
  <c r="W96" i="10"/>
  <c r="W96" i="9"/>
  <c r="X96" i="7"/>
  <c r="AG86" i="10"/>
  <c r="AG86" i="9"/>
  <c r="AQ86" i="7"/>
  <c r="AF95" i="10"/>
  <c r="AF95" i="9"/>
  <c r="AP95" i="7"/>
  <c r="AB92" i="7"/>
  <c r="F94" i="10"/>
  <c r="F94" i="9"/>
  <c r="G94" i="7"/>
  <c r="J94" i="10"/>
  <c r="J94" i="9"/>
  <c r="K94" i="7"/>
  <c r="T94" i="10"/>
  <c r="T94" i="9"/>
  <c r="U94" i="7"/>
  <c r="D94" i="12"/>
  <c r="G94" i="12"/>
  <c r="Q94" i="14" s="1"/>
  <c r="S94" i="14" s="1"/>
  <c r="K93" i="12"/>
  <c r="H93" i="12"/>
  <c r="J93" i="12" s="1"/>
  <c r="L94" i="10"/>
  <c r="L94" i="9"/>
  <c r="M94" i="7"/>
  <c r="D94" i="10"/>
  <c r="D94" i="9"/>
  <c r="E94" i="7"/>
  <c r="N94" i="10"/>
  <c r="N94" i="9"/>
  <c r="O94" i="7"/>
  <c r="AD91" i="10"/>
  <c r="AD91" i="9"/>
  <c r="AN91" i="7"/>
  <c r="AB88" i="10"/>
  <c r="AB88" i="9"/>
  <c r="AL88" i="7"/>
  <c r="X96" i="10"/>
  <c r="X96" i="9"/>
  <c r="Y96" i="7"/>
  <c r="AH92" i="7"/>
  <c r="E94" i="10"/>
  <c r="E94" i="9"/>
  <c r="F94" i="7"/>
  <c r="Q94" i="10"/>
  <c r="Q94" i="9"/>
  <c r="R94" i="7"/>
  <c r="S94" i="10"/>
  <c r="S94" i="9"/>
  <c r="T94" i="7"/>
  <c r="AE92" i="10"/>
  <c r="AE92" i="9"/>
  <c r="AO92" i="7"/>
  <c r="AA86" i="10"/>
  <c r="AA86" i="9"/>
  <c r="AK86" i="7"/>
  <c r="AR85" i="7"/>
  <c r="AJ92" i="7"/>
  <c r="B95" i="12"/>
  <c r="T95" i="14" s="1"/>
  <c r="V95" i="14" s="1"/>
  <c r="B95" i="10"/>
  <c r="B95" i="9"/>
  <c r="C95" i="7"/>
  <c r="I94" i="10"/>
  <c r="I94" i="9"/>
  <c r="J94" i="7"/>
  <c r="K94" i="10"/>
  <c r="K94" i="9"/>
  <c r="L94" i="7"/>
  <c r="P94" i="10"/>
  <c r="P94" i="9"/>
  <c r="Q94" i="7"/>
  <c r="M94" i="10"/>
  <c r="M94" i="9"/>
  <c r="N94" i="7"/>
  <c r="L103" i="13"/>
  <c r="H105" i="13"/>
  <c r="E105" i="13"/>
  <c r="M104" i="13"/>
  <c r="I104" i="13"/>
  <c r="L104" i="13" s="1"/>
  <c r="B112" i="13"/>
  <c r="G112" i="13"/>
  <c r="F108" i="12"/>
  <c r="C112" i="12"/>
  <c r="AZ87" i="2"/>
  <c r="BA87" i="2"/>
  <c r="AE89" i="7"/>
  <c r="AD89" i="7"/>
  <c r="AY88" i="2"/>
  <c r="C87" i="3"/>
  <c r="B86" i="3"/>
  <c r="F85" i="3"/>
  <c r="E86" i="3"/>
  <c r="J93" i="3"/>
  <c r="G82" i="1"/>
  <c r="D85" i="1"/>
  <c r="W97" i="7" l="1"/>
  <c r="V97" i="9"/>
  <c r="C87" i="9"/>
  <c r="D87" i="7"/>
  <c r="AG113" i="17"/>
  <c r="AG113" i="16"/>
  <c r="AQ113" i="15"/>
  <c r="B114" i="17"/>
  <c r="B114" i="16"/>
  <c r="B114" i="11"/>
  <c r="C114" i="15"/>
  <c r="AG114" i="2"/>
  <c r="AF114" i="15" s="1"/>
  <c r="AH114" i="2"/>
  <c r="AG114" i="15" s="1"/>
  <c r="AF114" i="2"/>
  <c r="AE114" i="15" s="1"/>
  <c r="AI114" i="2"/>
  <c r="AH114" i="15" s="1"/>
  <c r="AE114" i="2"/>
  <c r="AD114" i="15" s="1"/>
  <c r="AL114" i="2"/>
  <c r="AC114" i="2"/>
  <c r="AB114" i="15" s="1"/>
  <c r="AR114" i="2"/>
  <c r="AJ114" i="2"/>
  <c r="AI114" i="15" s="1"/>
  <c r="AD114" i="2"/>
  <c r="AC114" i="15" s="1"/>
  <c r="AK114" i="2"/>
  <c r="AJ114" i="15" s="1"/>
  <c r="Z113" i="14"/>
  <c r="AB113" i="14" s="1"/>
  <c r="D113" i="11"/>
  <c r="G113" i="11"/>
  <c r="W112" i="14"/>
  <c r="Y112" i="14" s="1"/>
  <c r="H112" i="11"/>
  <c r="N112" i="11" s="1"/>
  <c r="G113" i="16"/>
  <c r="G113" i="17"/>
  <c r="H113" i="15"/>
  <c r="I114" i="2"/>
  <c r="AK113" i="15"/>
  <c r="AA113" i="17"/>
  <c r="AA113" i="16"/>
  <c r="G114" i="4"/>
  <c r="J113" i="2"/>
  <c r="D114" i="4"/>
  <c r="G113" i="2"/>
  <c r="H114" i="4"/>
  <c r="K113" i="2"/>
  <c r="Q99" i="4"/>
  <c r="S98" i="2"/>
  <c r="K114" i="4"/>
  <c r="N113" i="2"/>
  <c r="P97" i="17"/>
  <c r="P97" i="16"/>
  <c r="Q97" i="15"/>
  <c r="V97" i="16"/>
  <c r="W97" i="15"/>
  <c r="V97" i="17"/>
  <c r="AA98" i="2"/>
  <c r="Y99" i="4"/>
  <c r="T97" i="16"/>
  <c r="T97" i="17"/>
  <c r="U97" i="15"/>
  <c r="Z98" i="2"/>
  <c r="X99" i="4"/>
  <c r="D112" i="17"/>
  <c r="D112" i="16"/>
  <c r="E112" i="15"/>
  <c r="F112" i="16"/>
  <c r="F112" i="17"/>
  <c r="G112" i="15"/>
  <c r="R97" i="17"/>
  <c r="R97" i="16"/>
  <c r="S97" i="15"/>
  <c r="P99" i="4"/>
  <c r="R98" i="2"/>
  <c r="U97" i="16"/>
  <c r="U97" i="17"/>
  <c r="V97" i="15"/>
  <c r="AS97" i="2"/>
  <c r="M97" i="16"/>
  <c r="AH97" i="16" s="1"/>
  <c r="K97" i="14" s="1"/>
  <c r="M97" i="14" s="1"/>
  <c r="M97" i="17"/>
  <c r="AH97" i="17" s="1"/>
  <c r="N97" i="14" s="1"/>
  <c r="P97" i="14" s="1"/>
  <c r="N97" i="15"/>
  <c r="AR97" i="15" s="1"/>
  <c r="E97" i="14" s="1"/>
  <c r="G97" i="14" s="1"/>
  <c r="Z97" i="15"/>
  <c r="Y97" i="17"/>
  <c r="Y97" i="16"/>
  <c r="T99" i="4"/>
  <c r="V98" i="2"/>
  <c r="H96" i="14"/>
  <c r="J96" i="14" s="1"/>
  <c r="B96" i="14"/>
  <c r="D96" i="14" s="1"/>
  <c r="Y97" i="15"/>
  <c r="X97" i="16"/>
  <c r="X97" i="17"/>
  <c r="C114" i="4"/>
  <c r="F113" i="2"/>
  <c r="E114" i="4"/>
  <c r="H113" i="2"/>
  <c r="J112" i="17"/>
  <c r="J112" i="16"/>
  <c r="K112" i="15"/>
  <c r="U99" i="4"/>
  <c r="W98" i="2"/>
  <c r="M99" i="4"/>
  <c r="O98" i="2"/>
  <c r="C87" i="16"/>
  <c r="C87" i="17"/>
  <c r="D87" i="15"/>
  <c r="Y98" i="2"/>
  <c r="W99" i="4"/>
  <c r="K112" i="17"/>
  <c r="K112" i="16"/>
  <c r="L112" i="15"/>
  <c r="S97" i="17"/>
  <c r="S97" i="16"/>
  <c r="T97" i="15"/>
  <c r="N97" i="17"/>
  <c r="N97" i="16"/>
  <c r="O97" i="15"/>
  <c r="AB98" i="2"/>
  <c r="Z99" i="4"/>
  <c r="T98" i="2"/>
  <c r="R99" i="4"/>
  <c r="I114" i="4"/>
  <c r="L113" i="2"/>
  <c r="B89" i="4"/>
  <c r="E88" i="2"/>
  <c r="C88" i="10" s="1"/>
  <c r="W97" i="17"/>
  <c r="X97" i="15"/>
  <c r="W97" i="16"/>
  <c r="J114" i="4"/>
  <c r="M113" i="2"/>
  <c r="S99" i="4"/>
  <c r="U99" i="2" s="1"/>
  <c r="N99" i="4"/>
  <c r="P98" i="2"/>
  <c r="Z97" i="16"/>
  <c r="AA97" i="15"/>
  <c r="Z97" i="17"/>
  <c r="Z97" i="10"/>
  <c r="Z97" i="9"/>
  <c r="AA97" i="7"/>
  <c r="O112" i="16"/>
  <c r="O112" i="17"/>
  <c r="P112" i="15"/>
  <c r="H112" i="16"/>
  <c r="H112" i="17"/>
  <c r="I112" i="15"/>
  <c r="E112" i="17"/>
  <c r="E112" i="16"/>
  <c r="F112" i="15"/>
  <c r="I112" i="17"/>
  <c r="I112" i="16"/>
  <c r="J112" i="15"/>
  <c r="Q97" i="16"/>
  <c r="Q97" i="17"/>
  <c r="R97" i="15"/>
  <c r="AT97" i="2"/>
  <c r="L112" i="16"/>
  <c r="L112" i="17"/>
  <c r="M112" i="15"/>
  <c r="O114" i="4"/>
  <c r="Q113" i="2"/>
  <c r="X98" i="2"/>
  <c r="W98" i="7" s="1"/>
  <c r="V99" i="4"/>
  <c r="C114" i="2"/>
  <c r="B115" i="2"/>
  <c r="D115" i="2" s="1"/>
  <c r="AC89" i="7"/>
  <c r="BB87" i="2"/>
  <c r="AF89" i="7"/>
  <c r="AW95" i="2"/>
  <c r="AX95" i="2"/>
  <c r="AR86" i="7"/>
  <c r="AH86" i="10"/>
  <c r="AA87" i="10"/>
  <c r="AA87" i="9"/>
  <c r="AK87" i="7"/>
  <c r="G95" i="10"/>
  <c r="G95" i="9"/>
  <c r="H95" i="7"/>
  <c r="I95" i="10"/>
  <c r="I95" i="9"/>
  <c r="J95" i="7"/>
  <c r="T95" i="10"/>
  <c r="T95" i="9"/>
  <c r="U95" i="7"/>
  <c r="P95" i="10"/>
  <c r="P95" i="9"/>
  <c r="Q95" i="7"/>
  <c r="AI93" i="7"/>
  <c r="AI92" i="7"/>
  <c r="AB93" i="7"/>
  <c r="Y97" i="10"/>
  <c r="Y97" i="9"/>
  <c r="Z97" i="7"/>
  <c r="F95" i="10"/>
  <c r="F95" i="9"/>
  <c r="G95" i="7"/>
  <c r="AF96" i="10"/>
  <c r="AF96" i="9"/>
  <c r="AP96" i="7"/>
  <c r="AG89" i="7"/>
  <c r="AG88" i="7"/>
  <c r="E95" i="10"/>
  <c r="E95" i="9"/>
  <c r="F95" i="7"/>
  <c r="H95" i="10"/>
  <c r="H95" i="9"/>
  <c r="I95" i="7"/>
  <c r="N95" i="10"/>
  <c r="N95" i="9"/>
  <c r="O95" i="7"/>
  <c r="AJ93" i="7"/>
  <c r="X97" i="10"/>
  <c r="X97" i="9"/>
  <c r="Y97" i="7"/>
  <c r="AC92" i="10"/>
  <c r="AC92" i="9"/>
  <c r="AM92" i="7"/>
  <c r="AG87" i="10"/>
  <c r="AG87" i="9"/>
  <c r="AQ87" i="7"/>
  <c r="K95" i="10"/>
  <c r="K95" i="9"/>
  <c r="L95" i="7"/>
  <c r="U95" i="10"/>
  <c r="U95" i="9"/>
  <c r="V95" i="7"/>
  <c r="S95" i="10"/>
  <c r="S95" i="9"/>
  <c r="T95" i="7"/>
  <c r="AH93" i="7"/>
  <c r="W97" i="10"/>
  <c r="W97" i="9"/>
  <c r="X97" i="7"/>
  <c r="AB89" i="10"/>
  <c r="AB89" i="9"/>
  <c r="AL89" i="7"/>
  <c r="Q95" i="10"/>
  <c r="Q95" i="9"/>
  <c r="R95" i="7"/>
  <c r="AD92" i="10"/>
  <c r="AD92" i="9"/>
  <c r="AN92" i="7"/>
  <c r="D95" i="10"/>
  <c r="D95" i="9"/>
  <c r="E95" i="7"/>
  <c r="O95" i="10"/>
  <c r="O95" i="9"/>
  <c r="P95" i="7"/>
  <c r="M95" i="10"/>
  <c r="M95" i="9"/>
  <c r="N95" i="7"/>
  <c r="D95" i="12"/>
  <c r="G95" i="12"/>
  <c r="Q95" i="14" s="1"/>
  <c r="S95" i="14" s="1"/>
  <c r="AE93" i="10"/>
  <c r="AE93" i="9"/>
  <c r="AO93" i="7"/>
  <c r="B96" i="12"/>
  <c r="T96" i="14" s="1"/>
  <c r="V96" i="14" s="1"/>
  <c r="B96" i="10"/>
  <c r="B96" i="9"/>
  <c r="C96" i="7"/>
  <c r="J95" i="10"/>
  <c r="J95" i="9"/>
  <c r="K95" i="7"/>
  <c r="L95" i="10"/>
  <c r="L95" i="9"/>
  <c r="M95" i="7"/>
  <c r="R95" i="10"/>
  <c r="R95" i="9"/>
  <c r="S95" i="7"/>
  <c r="AH86" i="9"/>
  <c r="K94" i="12"/>
  <c r="H94" i="12"/>
  <c r="J94" i="12" s="1"/>
  <c r="K104" i="13"/>
  <c r="I105" i="13"/>
  <c r="K105" i="13" s="1"/>
  <c r="M105" i="13"/>
  <c r="E106" i="13"/>
  <c r="H106" i="13"/>
  <c r="G113" i="13"/>
  <c r="B113" i="13"/>
  <c r="C113" i="12"/>
  <c r="F109" i="12"/>
  <c r="AZ88" i="2"/>
  <c r="BA88" i="2"/>
  <c r="AE90" i="7"/>
  <c r="AD90" i="7"/>
  <c r="C88" i="3"/>
  <c r="B87" i="3"/>
  <c r="J94" i="3"/>
  <c r="F86" i="3"/>
  <c r="E87" i="3"/>
  <c r="G83" i="1"/>
  <c r="D86" i="1"/>
  <c r="V98" i="9" l="1"/>
  <c r="V98" i="10"/>
  <c r="D88" i="7"/>
  <c r="C88" i="9"/>
  <c r="K112" i="11"/>
  <c r="Z114" i="14"/>
  <c r="AB114" i="14" s="1"/>
  <c r="D114" i="11"/>
  <c r="G114" i="11"/>
  <c r="J112" i="11"/>
  <c r="W113" i="14"/>
  <c r="Y113" i="14" s="1"/>
  <c r="H113" i="11"/>
  <c r="J113" i="11" s="1"/>
  <c r="AG114" i="16"/>
  <c r="AQ114" i="15"/>
  <c r="AG114" i="17"/>
  <c r="B115" i="11"/>
  <c r="B115" i="17"/>
  <c r="B115" i="16"/>
  <c r="C115" i="15"/>
  <c r="AG115" i="2"/>
  <c r="AF115" i="15" s="1"/>
  <c r="AH115" i="2"/>
  <c r="AG115" i="15" s="1"/>
  <c r="AI115" i="2"/>
  <c r="AH115" i="15" s="1"/>
  <c r="AE115" i="2"/>
  <c r="AD115" i="15" s="1"/>
  <c r="AL115" i="2"/>
  <c r="AJ115" i="2"/>
  <c r="AI115" i="15" s="1"/>
  <c r="AD115" i="2"/>
  <c r="AC115" i="15" s="1"/>
  <c r="AR115" i="2"/>
  <c r="AK115" i="2"/>
  <c r="AJ115" i="15" s="1"/>
  <c r="AF115" i="2"/>
  <c r="AE115" i="15" s="1"/>
  <c r="AC115" i="2"/>
  <c r="AB115" i="15" s="1"/>
  <c r="M112" i="11"/>
  <c r="I115" i="2"/>
  <c r="G114" i="16"/>
  <c r="G114" i="17"/>
  <c r="H114" i="15"/>
  <c r="L112" i="11"/>
  <c r="AA114" i="17"/>
  <c r="AK114" i="15"/>
  <c r="AA114" i="16"/>
  <c r="J115" i="4"/>
  <c r="M114" i="2"/>
  <c r="J113" i="17"/>
  <c r="J113" i="16"/>
  <c r="K113" i="15"/>
  <c r="Z98" i="17"/>
  <c r="AA98" i="15"/>
  <c r="Z98" i="16"/>
  <c r="Z98" i="10"/>
  <c r="Z98" i="9"/>
  <c r="AA98" i="7"/>
  <c r="U100" i="4"/>
  <c r="W99" i="2"/>
  <c r="D113" i="17"/>
  <c r="D113" i="16"/>
  <c r="E113" i="15"/>
  <c r="AA99" i="2"/>
  <c r="Y100" i="4"/>
  <c r="I113" i="17"/>
  <c r="I113" i="16"/>
  <c r="J113" i="15"/>
  <c r="N98" i="16"/>
  <c r="N98" i="17"/>
  <c r="O98" i="15"/>
  <c r="I115" i="4"/>
  <c r="L114" i="2"/>
  <c r="C115" i="4"/>
  <c r="F114" i="2"/>
  <c r="T98" i="17"/>
  <c r="T98" i="16"/>
  <c r="U98" i="15"/>
  <c r="P98" i="17"/>
  <c r="P98" i="16"/>
  <c r="Q98" i="15"/>
  <c r="Z99" i="2"/>
  <c r="X100" i="4"/>
  <c r="Y98" i="17"/>
  <c r="Y98" i="16"/>
  <c r="Z98" i="15"/>
  <c r="H115" i="4"/>
  <c r="K114" i="2"/>
  <c r="X99" i="2"/>
  <c r="V99" i="9" s="1"/>
  <c r="V100" i="4"/>
  <c r="N100" i="4"/>
  <c r="P99" i="2"/>
  <c r="R100" i="4"/>
  <c r="T99" i="2"/>
  <c r="T100" i="4"/>
  <c r="V99" i="2"/>
  <c r="P100" i="4"/>
  <c r="R99" i="2"/>
  <c r="X98" i="16"/>
  <c r="Y98" i="15"/>
  <c r="X98" i="17"/>
  <c r="L113" i="16"/>
  <c r="L113" i="17"/>
  <c r="M113" i="15"/>
  <c r="E113" i="17"/>
  <c r="E113" i="16"/>
  <c r="F113" i="15"/>
  <c r="V98" i="16"/>
  <c r="W98" i="15"/>
  <c r="V98" i="17"/>
  <c r="S98" i="17"/>
  <c r="S98" i="16"/>
  <c r="T98" i="15"/>
  <c r="R98" i="16"/>
  <c r="R98" i="17"/>
  <c r="S98" i="15"/>
  <c r="AS98" i="2"/>
  <c r="M98" i="17"/>
  <c r="AH98" i="17" s="1"/>
  <c r="N98" i="14" s="1"/>
  <c r="P98" i="14" s="1"/>
  <c r="M98" i="16"/>
  <c r="AH98" i="16" s="1"/>
  <c r="K98" i="14" s="1"/>
  <c r="M98" i="14" s="1"/>
  <c r="N98" i="15"/>
  <c r="AR98" i="15" s="1"/>
  <c r="E98" i="14" s="1"/>
  <c r="G98" i="14" s="1"/>
  <c r="H97" i="14"/>
  <c r="J97" i="14" s="1"/>
  <c r="B97" i="14"/>
  <c r="D97" i="14" s="1"/>
  <c r="K115" i="4"/>
  <c r="N114" i="2"/>
  <c r="D115" i="4"/>
  <c r="G114" i="2"/>
  <c r="O113" i="16"/>
  <c r="O113" i="17"/>
  <c r="P113" i="15"/>
  <c r="S100" i="4"/>
  <c r="U100" i="2" s="1"/>
  <c r="C88" i="17"/>
  <c r="C88" i="16"/>
  <c r="D88" i="15"/>
  <c r="Y99" i="2"/>
  <c r="W100" i="4"/>
  <c r="M100" i="4"/>
  <c r="O99" i="2"/>
  <c r="F113" i="17"/>
  <c r="F113" i="16"/>
  <c r="G113" i="15"/>
  <c r="Q98" i="16"/>
  <c r="Q98" i="17"/>
  <c r="R98" i="15"/>
  <c r="AT98" i="2"/>
  <c r="H113" i="17"/>
  <c r="H113" i="16"/>
  <c r="I113" i="15"/>
  <c r="O115" i="4"/>
  <c r="Q114" i="2"/>
  <c r="K113" i="17"/>
  <c r="K113" i="16"/>
  <c r="L113" i="15"/>
  <c r="B90" i="4"/>
  <c r="E89" i="2"/>
  <c r="C89" i="10" s="1"/>
  <c r="AB99" i="2"/>
  <c r="Z100" i="4"/>
  <c r="W98" i="17"/>
  <c r="W98" i="16"/>
  <c r="X98" i="15"/>
  <c r="U98" i="17"/>
  <c r="U98" i="16"/>
  <c r="V98" i="15"/>
  <c r="E115" i="4"/>
  <c r="H114" i="2"/>
  <c r="Q100" i="4"/>
  <c r="S99" i="2"/>
  <c r="G115" i="4"/>
  <c r="J114" i="2"/>
  <c r="B116" i="2"/>
  <c r="D116" i="2" s="1"/>
  <c r="C115" i="2"/>
  <c r="AC90" i="7"/>
  <c r="BB88" i="2"/>
  <c r="AY89" i="2"/>
  <c r="AX96" i="2"/>
  <c r="AW96" i="2"/>
  <c r="AF90" i="7"/>
  <c r="AE94" i="10"/>
  <c r="AE94" i="9"/>
  <c r="AO94" i="7"/>
  <c r="K96" i="10"/>
  <c r="K96" i="9"/>
  <c r="L96" i="7"/>
  <c r="F96" i="10"/>
  <c r="F96" i="9"/>
  <c r="G96" i="7"/>
  <c r="P96" i="10"/>
  <c r="P96" i="9"/>
  <c r="Q96" i="7"/>
  <c r="M96" i="10"/>
  <c r="M96" i="9"/>
  <c r="N96" i="7"/>
  <c r="AH94" i="7"/>
  <c r="AC93" i="10"/>
  <c r="AC93" i="9"/>
  <c r="AM93" i="7"/>
  <c r="D96" i="10"/>
  <c r="D96" i="9"/>
  <c r="E96" i="7"/>
  <c r="L96" i="10"/>
  <c r="L96" i="9"/>
  <c r="M96" i="7"/>
  <c r="U96" i="10"/>
  <c r="U96" i="9"/>
  <c r="V96" i="7"/>
  <c r="K95" i="12"/>
  <c r="H95" i="12"/>
  <c r="J95" i="12" s="1"/>
  <c r="X98" i="10"/>
  <c r="X98" i="9"/>
  <c r="Y98" i="7"/>
  <c r="Y98" i="10"/>
  <c r="Y98" i="9"/>
  <c r="Z98" i="7"/>
  <c r="AJ94" i="7"/>
  <c r="AF97" i="10"/>
  <c r="AF97" i="9"/>
  <c r="AP97" i="7"/>
  <c r="J96" i="10"/>
  <c r="J96" i="9"/>
  <c r="K96" i="7"/>
  <c r="E96" i="10"/>
  <c r="E96" i="9"/>
  <c r="F96" i="7"/>
  <c r="O96" i="10"/>
  <c r="O96" i="9"/>
  <c r="P96" i="7"/>
  <c r="AR87" i="7"/>
  <c r="AB90" i="10"/>
  <c r="AB90" i="9"/>
  <c r="AL90" i="7"/>
  <c r="R96" i="10"/>
  <c r="R96" i="9"/>
  <c r="S96" i="7"/>
  <c r="T96" i="10"/>
  <c r="T96" i="9"/>
  <c r="U96" i="7"/>
  <c r="D96" i="12"/>
  <c r="G96" i="12"/>
  <c r="Q96" i="14" s="1"/>
  <c r="S96" i="14" s="1"/>
  <c r="AB94" i="7"/>
  <c r="AH87" i="9"/>
  <c r="AD93" i="10"/>
  <c r="AD93" i="9"/>
  <c r="AN93" i="7"/>
  <c r="AA88" i="10"/>
  <c r="AA88" i="9"/>
  <c r="AK88" i="7"/>
  <c r="I96" i="10"/>
  <c r="I96" i="9"/>
  <c r="J96" i="7"/>
  <c r="H96" i="10"/>
  <c r="H96" i="9"/>
  <c r="I96" i="7"/>
  <c r="N96" i="10"/>
  <c r="N96" i="9"/>
  <c r="O96" i="7"/>
  <c r="AH87" i="10"/>
  <c r="AG88" i="10"/>
  <c r="AG88" i="9"/>
  <c r="AQ88" i="7"/>
  <c r="B97" i="12"/>
  <c r="T97" i="14" s="1"/>
  <c r="V97" i="14" s="1"/>
  <c r="B97" i="10"/>
  <c r="B97" i="9"/>
  <c r="C97" i="7"/>
  <c r="G96" i="10"/>
  <c r="G96" i="9"/>
  <c r="H96" i="7"/>
  <c r="Q96" i="10"/>
  <c r="Q96" i="9"/>
  <c r="R96" i="7"/>
  <c r="S96" i="10"/>
  <c r="S96" i="9"/>
  <c r="T96" i="7"/>
  <c r="W98" i="10"/>
  <c r="W98" i="9"/>
  <c r="X98" i="7"/>
  <c r="L105" i="13"/>
  <c r="H107" i="13"/>
  <c r="E107" i="13"/>
  <c r="N107" i="13" s="1"/>
  <c r="M106" i="13"/>
  <c r="I106" i="13"/>
  <c r="K106" i="13" s="1"/>
  <c r="G114" i="13"/>
  <c r="B114" i="13"/>
  <c r="F110" i="12"/>
  <c r="C114" i="12"/>
  <c r="AZ89" i="2"/>
  <c r="BA89" i="2"/>
  <c r="AE91" i="7"/>
  <c r="AD91" i="7"/>
  <c r="AY90" i="2"/>
  <c r="C89" i="3"/>
  <c r="B88" i="3"/>
  <c r="F87" i="3"/>
  <c r="E88" i="3"/>
  <c r="J95" i="3"/>
  <c r="G84" i="1"/>
  <c r="D87" i="1"/>
  <c r="W99" i="7" l="1"/>
  <c r="D89" i="7"/>
  <c r="V99" i="10"/>
  <c r="C89" i="9"/>
  <c r="B116" i="17"/>
  <c r="B116" i="11"/>
  <c r="B116" i="16"/>
  <c r="AG116" i="2"/>
  <c r="AF116" i="15" s="1"/>
  <c r="C116" i="15"/>
  <c r="AH116" i="2"/>
  <c r="AG116" i="15" s="1"/>
  <c r="AI116" i="2"/>
  <c r="AH116" i="15" s="1"/>
  <c r="AJ116" i="2"/>
  <c r="AI116" i="15" s="1"/>
  <c r="AD116" i="2"/>
  <c r="AC116" i="15" s="1"/>
  <c r="AR116" i="2"/>
  <c r="AK116" i="2"/>
  <c r="AJ116" i="15" s="1"/>
  <c r="AL116" i="2"/>
  <c r="AE116" i="2"/>
  <c r="AD116" i="15" s="1"/>
  <c r="AF116" i="2"/>
  <c r="AE116" i="15" s="1"/>
  <c r="AC116" i="2"/>
  <c r="AB116" i="15" s="1"/>
  <c r="AA115" i="17"/>
  <c r="AA115" i="16"/>
  <c r="AK115" i="15"/>
  <c r="Z115" i="14"/>
  <c r="AB115" i="14" s="1"/>
  <c r="D115" i="11"/>
  <c r="G115" i="11"/>
  <c r="AG115" i="16"/>
  <c r="AG115" i="17"/>
  <c r="AQ115" i="15"/>
  <c r="W114" i="14"/>
  <c r="Y114" i="14" s="1"/>
  <c r="H114" i="11"/>
  <c r="J114" i="11" s="1"/>
  <c r="I116" i="2"/>
  <c r="G115" i="17"/>
  <c r="G115" i="16"/>
  <c r="H115" i="15"/>
  <c r="C116" i="2"/>
  <c r="F114" i="17"/>
  <c r="F114" i="16"/>
  <c r="G114" i="15"/>
  <c r="Y100" i="2"/>
  <c r="W101" i="4"/>
  <c r="S101" i="4"/>
  <c r="U101" i="2" s="1"/>
  <c r="L114" i="17"/>
  <c r="L114" i="16"/>
  <c r="M114" i="15"/>
  <c r="R99" i="16"/>
  <c r="R99" i="17"/>
  <c r="S99" i="15"/>
  <c r="V99" i="16"/>
  <c r="W99" i="15"/>
  <c r="V99" i="17"/>
  <c r="Z100" i="2"/>
  <c r="X101" i="4"/>
  <c r="AA100" i="2"/>
  <c r="Y101" i="4"/>
  <c r="U101" i="4"/>
  <c r="W100" i="2"/>
  <c r="E116" i="4"/>
  <c r="H115" i="2"/>
  <c r="W99" i="17"/>
  <c r="W99" i="16"/>
  <c r="X99" i="15"/>
  <c r="K116" i="4"/>
  <c r="N115" i="2"/>
  <c r="H98" i="14"/>
  <c r="J98" i="14" s="1"/>
  <c r="B98" i="14"/>
  <c r="D98" i="14" s="1"/>
  <c r="I114" i="16"/>
  <c r="I114" i="17"/>
  <c r="J114" i="15"/>
  <c r="Y99" i="15"/>
  <c r="X99" i="16"/>
  <c r="X99" i="17"/>
  <c r="Y99" i="17"/>
  <c r="Y99" i="16"/>
  <c r="Z99" i="15"/>
  <c r="H114" i="16"/>
  <c r="H114" i="17"/>
  <c r="I114" i="15"/>
  <c r="AB100" i="2"/>
  <c r="Z101" i="4"/>
  <c r="P99" i="17"/>
  <c r="P99" i="16"/>
  <c r="Q99" i="15"/>
  <c r="R101" i="4"/>
  <c r="T100" i="2"/>
  <c r="H116" i="4"/>
  <c r="K115" i="2"/>
  <c r="D114" i="17"/>
  <c r="D114" i="16"/>
  <c r="E114" i="15"/>
  <c r="G116" i="4"/>
  <c r="J115" i="2"/>
  <c r="AA99" i="15"/>
  <c r="Z99" i="17"/>
  <c r="Z99" i="16"/>
  <c r="Z99" i="10"/>
  <c r="Z99" i="9"/>
  <c r="AA99" i="7"/>
  <c r="O114" i="17"/>
  <c r="O114" i="16"/>
  <c r="P114" i="15"/>
  <c r="P101" i="4"/>
  <c r="R100" i="2"/>
  <c r="N99" i="17"/>
  <c r="N99" i="16"/>
  <c r="O99" i="15"/>
  <c r="C116" i="4"/>
  <c r="F115" i="2"/>
  <c r="Q99" i="16"/>
  <c r="Q99" i="17"/>
  <c r="R99" i="15"/>
  <c r="AT99" i="2"/>
  <c r="C89" i="17"/>
  <c r="C89" i="16"/>
  <c r="D89" i="15"/>
  <c r="O116" i="4"/>
  <c r="Q115" i="2"/>
  <c r="AS99" i="2"/>
  <c r="M99" i="16"/>
  <c r="AH99" i="16" s="1"/>
  <c r="K99" i="14" s="1"/>
  <c r="M99" i="14" s="1"/>
  <c r="M99" i="17"/>
  <c r="AH99" i="17" s="1"/>
  <c r="N99" i="14" s="1"/>
  <c r="P99" i="14" s="1"/>
  <c r="N99" i="15"/>
  <c r="AR99" i="15" s="1"/>
  <c r="E99" i="14" s="1"/>
  <c r="G99" i="14" s="1"/>
  <c r="E114" i="17"/>
  <c r="E114" i="16"/>
  <c r="F114" i="15"/>
  <c r="T99" i="17"/>
  <c r="T99" i="16"/>
  <c r="U99" i="15"/>
  <c r="N101" i="4"/>
  <c r="P100" i="2"/>
  <c r="J114" i="17"/>
  <c r="J114" i="16"/>
  <c r="K114" i="15"/>
  <c r="K114" i="17"/>
  <c r="K114" i="16"/>
  <c r="L114" i="15"/>
  <c r="Q101" i="4"/>
  <c r="S100" i="2"/>
  <c r="B91" i="4"/>
  <c r="E90" i="2"/>
  <c r="C90" i="10" s="1"/>
  <c r="M101" i="4"/>
  <c r="O100" i="2"/>
  <c r="S99" i="17"/>
  <c r="S99" i="16"/>
  <c r="T99" i="15"/>
  <c r="D116" i="4"/>
  <c r="G115" i="2"/>
  <c r="T101" i="4"/>
  <c r="V100" i="2"/>
  <c r="X100" i="2"/>
  <c r="V100" i="9" s="1"/>
  <c r="V101" i="4"/>
  <c r="I116" i="4"/>
  <c r="L115" i="2"/>
  <c r="U99" i="17"/>
  <c r="U99" i="16"/>
  <c r="V99" i="15"/>
  <c r="J116" i="4"/>
  <c r="M115" i="2"/>
  <c r="B117" i="2"/>
  <c r="D117" i="2" s="1"/>
  <c r="AC91" i="7"/>
  <c r="BB89" i="2"/>
  <c r="AF91" i="7"/>
  <c r="AW97" i="2"/>
  <c r="AX97" i="2"/>
  <c r="AD94" i="10"/>
  <c r="AD94" i="9"/>
  <c r="AN94" i="7"/>
  <c r="K97" i="10"/>
  <c r="K97" i="9"/>
  <c r="L97" i="7"/>
  <c r="O97" i="10"/>
  <c r="O97" i="9"/>
  <c r="P97" i="7"/>
  <c r="R97" i="10"/>
  <c r="R97" i="9"/>
  <c r="S97" i="7"/>
  <c r="AH88" i="10"/>
  <c r="AB95" i="7"/>
  <c r="AJ95" i="7"/>
  <c r="V100" i="10"/>
  <c r="B98" i="12"/>
  <c r="T98" i="14" s="1"/>
  <c r="V98" i="14" s="1"/>
  <c r="B98" i="10"/>
  <c r="B98" i="9"/>
  <c r="C98" i="7"/>
  <c r="E97" i="10"/>
  <c r="E97" i="9"/>
  <c r="F97" i="7"/>
  <c r="D97" i="10"/>
  <c r="D97" i="9"/>
  <c r="E97" i="7"/>
  <c r="Q97" i="10"/>
  <c r="Q97" i="9"/>
  <c r="R97" i="7"/>
  <c r="K96" i="12"/>
  <c r="H96" i="12"/>
  <c r="J96" i="12" s="1"/>
  <c r="AB91" i="10"/>
  <c r="AB91" i="9"/>
  <c r="AL91" i="7"/>
  <c r="H97" i="10"/>
  <c r="H97" i="9"/>
  <c r="I97" i="7"/>
  <c r="J97" i="10"/>
  <c r="J97" i="9"/>
  <c r="K97" i="7"/>
  <c r="T97" i="10"/>
  <c r="T97" i="9"/>
  <c r="U97" i="7"/>
  <c r="P97" i="10"/>
  <c r="P97" i="9"/>
  <c r="Q97" i="7"/>
  <c r="AC94" i="10"/>
  <c r="AC94" i="9"/>
  <c r="AM94" i="7"/>
  <c r="AE95" i="10"/>
  <c r="AE95" i="9"/>
  <c r="AO95" i="7"/>
  <c r="AA89" i="10"/>
  <c r="AA89" i="9"/>
  <c r="AK89" i="7"/>
  <c r="G97" i="10"/>
  <c r="G97" i="9"/>
  <c r="H97" i="7"/>
  <c r="N97" i="10"/>
  <c r="N97" i="9"/>
  <c r="O97" i="7"/>
  <c r="Y99" i="10"/>
  <c r="Y99" i="9"/>
  <c r="Z99" i="7"/>
  <c r="AH95" i="7"/>
  <c r="AG89" i="10"/>
  <c r="AG89" i="9"/>
  <c r="AQ89" i="7"/>
  <c r="AG91" i="7"/>
  <c r="AG90" i="7"/>
  <c r="L97" i="10"/>
  <c r="L97" i="9"/>
  <c r="M97" i="7"/>
  <c r="I97" i="10"/>
  <c r="I97" i="9"/>
  <c r="J97" i="7"/>
  <c r="S97" i="10"/>
  <c r="S97" i="9"/>
  <c r="T97" i="7"/>
  <c r="AR88" i="7"/>
  <c r="W99" i="10"/>
  <c r="W99" i="9"/>
  <c r="X99" i="7"/>
  <c r="AF98" i="10"/>
  <c r="AF98" i="9"/>
  <c r="AP98" i="7"/>
  <c r="F97" i="10"/>
  <c r="F97" i="9"/>
  <c r="G97" i="7"/>
  <c r="U97" i="10"/>
  <c r="U97" i="9"/>
  <c r="V97" i="7"/>
  <c r="M97" i="10"/>
  <c r="M97" i="9"/>
  <c r="N97" i="7"/>
  <c r="D97" i="12"/>
  <c r="M97" i="12" s="1"/>
  <c r="G97" i="12"/>
  <c r="Q97" i="14" s="1"/>
  <c r="S97" i="14" s="1"/>
  <c r="AH88" i="9"/>
  <c r="X99" i="10"/>
  <c r="X99" i="9"/>
  <c r="Y99" i="7"/>
  <c r="AI95" i="7"/>
  <c r="AI94" i="7"/>
  <c r="O107" i="13"/>
  <c r="L106" i="13"/>
  <c r="I107" i="13"/>
  <c r="K107" i="13" s="1"/>
  <c r="M107" i="13"/>
  <c r="H108" i="13"/>
  <c r="E108" i="13"/>
  <c r="B115" i="13"/>
  <c r="G115" i="13"/>
  <c r="C115" i="12"/>
  <c r="F111" i="12"/>
  <c r="AZ90" i="2"/>
  <c r="BA90" i="2"/>
  <c r="AE92" i="7"/>
  <c r="AD92" i="7"/>
  <c r="C90" i="3"/>
  <c r="B89" i="3"/>
  <c r="J96" i="3"/>
  <c r="F88" i="3"/>
  <c r="E89" i="3"/>
  <c r="G85" i="1"/>
  <c r="D88" i="1"/>
  <c r="W100" i="7" l="1"/>
  <c r="C90" i="9"/>
  <c r="D90" i="7"/>
  <c r="AA116" i="16"/>
  <c r="AA116" i="17"/>
  <c r="AK116" i="15"/>
  <c r="B117" i="11"/>
  <c r="B117" i="17"/>
  <c r="B117" i="16"/>
  <c r="C117" i="15"/>
  <c r="AG117" i="2"/>
  <c r="AF117" i="15" s="1"/>
  <c r="AH117" i="2"/>
  <c r="AG117" i="15" s="1"/>
  <c r="AJ117" i="2"/>
  <c r="AI117" i="15" s="1"/>
  <c r="AF117" i="2"/>
  <c r="AE117" i="15" s="1"/>
  <c r="AK117" i="2"/>
  <c r="AJ117" i="15" s="1"/>
  <c r="AE117" i="2"/>
  <c r="AD117" i="15" s="1"/>
  <c r="AD117" i="2"/>
  <c r="AC117" i="15" s="1"/>
  <c r="AR117" i="2"/>
  <c r="AI117" i="2"/>
  <c r="AH117" i="15" s="1"/>
  <c r="AC117" i="2"/>
  <c r="AB117" i="15" s="1"/>
  <c r="AL117" i="2"/>
  <c r="I117" i="2"/>
  <c r="AQ116" i="15"/>
  <c r="AG116" i="17"/>
  <c r="AG116" i="16"/>
  <c r="G116" i="17"/>
  <c r="G116" i="16"/>
  <c r="H116" i="15"/>
  <c r="W115" i="14"/>
  <c r="Y115" i="14" s="1"/>
  <c r="H115" i="11"/>
  <c r="J115" i="11" s="1"/>
  <c r="Z116" i="14"/>
  <c r="AB116" i="14" s="1"/>
  <c r="D116" i="11"/>
  <c r="G116" i="11"/>
  <c r="T102" i="4"/>
  <c r="V101" i="2"/>
  <c r="AS100" i="2"/>
  <c r="M100" i="17"/>
  <c r="AH100" i="17" s="1"/>
  <c r="N100" i="14" s="1"/>
  <c r="P100" i="14" s="1"/>
  <c r="M100" i="16"/>
  <c r="AH100" i="16" s="1"/>
  <c r="K100" i="14" s="1"/>
  <c r="M100" i="14" s="1"/>
  <c r="N100" i="15"/>
  <c r="AR100" i="15" s="1"/>
  <c r="E100" i="14" s="1"/>
  <c r="G100" i="14" s="1"/>
  <c r="N100" i="16"/>
  <c r="N100" i="17"/>
  <c r="O100" i="15"/>
  <c r="O115" i="17"/>
  <c r="O115" i="16"/>
  <c r="P115" i="15"/>
  <c r="I115" i="17"/>
  <c r="I115" i="16"/>
  <c r="J115" i="15"/>
  <c r="L115" i="17"/>
  <c r="L115" i="16"/>
  <c r="M115" i="15"/>
  <c r="E117" i="4"/>
  <c r="H116" i="2"/>
  <c r="X100" i="17"/>
  <c r="Y100" i="15"/>
  <c r="X100" i="16"/>
  <c r="Y101" i="2"/>
  <c r="W102" i="4"/>
  <c r="J115" i="17"/>
  <c r="J115" i="16"/>
  <c r="K115" i="15"/>
  <c r="E115" i="17"/>
  <c r="E115" i="16"/>
  <c r="F115" i="15"/>
  <c r="M102" i="4"/>
  <c r="O101" i="2"/>
  <c r="N102" i="4"/>
  <c r="P101" i="2"/>
  <c r="O117" i="4"/>
  <c r="Q116" i="2"/>
  <c r="H115" i="16"/>
  <c r="H115" i="17"/>
  <c r="I115" i="15"/>
  <c r="H117" i="4"/>
  <c r="K116" i="2"/>
  <c r="K117" i="4"/>
  <c r="N116" i="2"/>
  <c r="U100" i="16"/>
  <c r="U100" i="17"/>
  <c r="V100" i="15"/>
  <c r="W100" i="17"/>
  <c r="X100" i="15"/>
  <c r="W100" i="16"/>
  <c r="K115" i="17"/>
  <c r="K115" i="16"/>
  <c r="L115" i="15"/>
  <c r="I117" i="4"/>
  <c r="L116" i="2"/>
  <c r="D117" i="4"/>
  <c r="G116" i="2"/>
  <c r="C90" i="17"/>
  <c r="C90" i="16"/>
  <c r="D90" i="15"/>
  <c r="P100" i="17"/>
  <c r="P100" i="16"/>
  <c r="Q100" i="15"/>
  <c r="G117" i="4"/>
  <c r="J116" i="2"/>
  <c r="R100" i="17"/>
  <c r="R100" i="16"/>
  <c r="S100" i="15"/>
  <c r="AB101" i="2"/>
  <c r="Z102" i="4"/>
  <c r="U102" i="4"/>
  <c r="W101" i="2"/>
  <c r="J117" i="4"/>
  <c r="M116" i="2"/>
  <c r="X101" i="2"/>
  <c r="V101" i="9" s="1"/>
  <c r="V102" i="4"/>
  <c r="B92" i="4"/>
  <c r="E91" i="2"/>
  <c r="C91" i="10" s="1"/>
  <c r="D115" i="17"/>
  <c r="D115" i="16"/>
  <c r="E115" i="15"/>
  <c r="P102" i="4"/>
  <c r="R101" i="2"/>
  <c r="AA100" i="15"/>
  <c r="Z100" i="17"/>
  <c r="Z100" i="16"/>
  <c r="Z100" i="10"/>
  <c r="Z100" i="9"/>
  <c r="AA100" i="7"/>
  <c r="AA101" i="2"/>
  <c r="Y102" i="4"/>
  <c r="V100" i="16"/>
  <c r="W100" i="15"/>
  <c r="V100" i="17"/>
  <c r="Q100" i="16"/>
  <c r="Q100" i="17"/>
  <c r="R100" i="15"/>
  <c r="AT100" i="2"/>
  <c r="C117" i="4"/>
  <c r="F116" i="2"/>
  <c r="R102" i="4"/>
  <c r="T101" i="2"/>
  <c r="Z100" i="15"/>
  <c r="Y100" i="17"/>
  <c r="Y100" i="16"/>
  <c r="S100" i="17"/>
  <c r="S100" i="16"/>
  <c r="T100" i="15"/>
  <c r="T100" i="17"/>
  <c r="T100" i="16"/>
  <c r="U100" i="15"/>
  <c r="Q102" i="4"/>
  <c r="S101" i="2"/>
  <c r="H99" i="14"/>
  <c r="J99" i="14" s="1"/>
  <c r="B99" i="14"/>
  <c r="D99" i="14" s="1"/>
  <c r="F115" i="17"/>
  <c r="F115" i="16"/>
  <c r="G115" i="15"/>
  <c r="Z101" i="2"/>
  <c r="X102" i="4"/>
  <c r="S102" i="4"/>
  <c r="U102" i="2" s="1"/>
  <c r="B118" i="2"/>
  <c r="D118" i="2" s="1"/>
  <c r="C117" i="2"/>
  <c r="C118" i="2" s="1"/>
  <c r="AC92" i="7"/>
  <c r="BB90" i="2"/>
  <c r="AX98" i="2"/>
  <c r="AF92" i="7"/>
  <c r="AY91" i="2"/>
  <c r="AW98" i="2"/>
  <c r="L97" i="12"/>
  <c r="AH89" i="9"/>
  <c r="AH89" i="10"/>
  <c r="G98" i="10"/>
  <c r="G98" i="9"/>
  <c r="H98" i="7"/>
  <c r="Q98" i="10"/>
  <c r="Q98" i="9"/>
  <c r="R98" i="7"/>
  <c r="S98" i="10"/>
  <c r="S98" i="9"/>
  <c r="T98" i="7"/>
  <c r="AC95" i="10"/>
  <c r="AC95" i="9"/>
  <c r="AM95" i="7"/>
  <c r="AH96" i="7"/>
  <c r="AR89" i="7"/>
  <c r="J98" i="10"/>
  <c r="J98" i="9"/>
  <c r="K98" i="7"/>
  <c r="L98" i="10"/>
  <c r="L98" i="9"/>
  <c r="M98" i="7"/>
  <c r="P98" i="10"/>
  <c r="P98" i="9"/>
  <c r="Q98" i="7"/>
  <c r="M98" i="10"/>
  <c r="M98" i="9"/>
  <c r="N98" i="7"/>
  <c r="AE96" i="10"/>
  <c r="AE96" i="9"/>
  <c r="AO96" i="7"/>
  <c r="AA90" i="10"/>
  <c r="AA90" i="9"/>
  <c r="AK90" i="7"/>
  <c r="K97" i="12"/>
  <c r="H97" i="12"/>
  <c r="J97" i="12" s="1"/>
  <c r="D98" i="10"/>
  <c r="D98" i="9"/>
  <c r="E98" i="7"/>
  <c r="F98" i="10"/>
  <c r="F98" i="9"/>
  <c r="G98" i="7"/>
  <c r="U98" i="10"/>
  <c r="U98" i="9"/>
  <c r="V98" i="7"/>
  <c r="AB96" i="7"/>
  <c r="AD95" i="10"/>
  <c r="AD95" i="9"/>
  <c r="AN95" i="7"/>
  <c r="Y100" i="10"/>
  <c r="Y100" i="9"/>
  <c r="Z100" i="7"/>
  <c r="V101" i="10"/>
  <c r="I98" i="10"/>
  <c r="I98" i="9"/>
  <c r="J98" i="7"/>
  <c r="K98" i="10"/>
  <c r="K98" i="9"/>
  <c r="L98" i="7"/>
  <c r="O98" i="10"/>
  <c r="O98" i="9"/>
  <c r="P98" i="7"/>
  <c r="AB92" i="10"/>
  <c r="AB92" i="9"/>
  <c r="AL92" i="7"/>
  <c r="AF99" i="10"/>
  <c r="AF99" i="9"/>
  <c r="AP99" i="7"/>
  <c r="W100" i="10"/>
  <c r="W100" i="9"/>
  <c r="X100" i="7"/>
  <c r="E98" i="10"/>
  <c r="E98" i="9"/>
  <c r="F98" i="7"/>
  <c r="T98" i="10"/>
  <c r="T98" i="9"/>
  <c r="U98" i="7"/>
  <c r="D98" i="12"/>
  <c r="G98" i="12"/>
  <c r="Q98" i="14" s="1"/>
  <c r="S98" i="14" s="1"/>
  <c r="AJ96" i="7"/>
  <c r="AG90" i="10"/>
  <c r="AG90" i="9"/>
  <c r="AQ90" i="7"/>
  <c r="B99" i="12"/>
  <c r="T99" i="14" s="1"/>
  <c r="V99" i="14" s="1"/>
  <c r="B99" i="10"/>
  <c r="B99" i="9"/>
  <c r="C99" i="7"/>
  <c r="H98" i="10"/>
  <c r="H98" i="9"/>
  <c r="I98" i="7"/>
  <c r="R98" i="10"/>
  <c r="R98" i="9"/>
  <c r="S98" i="7"/>
  <c r="N98" i="10"/>
  <c r="N98" i="9"/>
  <c r="O98" i="7"/>
  <c r="X100" i="10"/>
  <c r="X100" i="9"/>
  <c r="Y100" i="7"/>
  <c r="L107" i="13"/>
  <c r="H109" i="13"/>
  <c r="E109" i="13"/>
  <c r="M108" i="13"/>
  <c r="I108" i="13"/>
  <c r="K108" i="13" s="1"/>
  <c r="G116" i="13"/>
  <c r="B116" i="13"/>
  <c r="F112" i="12"/>
  <c r="C116" i="12"/>
  <c r="AZ91" i="2"/>
  <c r="BA91" i="2"/>
  <c r="AE93" i="7"/>
  <c r="AD93" i="7"/>
  <c r="AY92" i="2"/>
  <c r="C91" i="3"/>
  <c r="G91" i="3" s="1"/>
  <c r="B90" i="3"/>
  <c r="F89" i="3"/>
  <c r="E90" i="3"/>
  <c r="J97" i="3"/>
  <c r="G86" i="1"/>
  <c r="D89" i="1"/>
  <c r="D91" i="7" l="1"/>
  <c r="W101" i="7"/>
  <c r="C91" i="9"/>
  <c r="W116" i="14"/>
  <c r="Y116" i="14" s="1"/>
  <c r="H116" i="11"/>
  <c r="J116" i="11" s="1"/>
  <c r="AA117" i="16"/>
  <c r="AA117" i="17"/>
  <c r="AK117" i="15"/>
  <c r="Z117" i="14"/>
  <c r="AB117" i="14" s="1"/>
  <c r="D117" i="11"/>
  <c r="G117" i="11"/>
  <c r="B118" i="17"/>
  <c r="B118" i="16"/>
  <c r="B118" i="11"/>
  <c r="C118" i="15"/>
  <c r="AG118" i="2"/>
  <c r="AF118" i="15" s="1"/>
  <c r="AH118" i="2"/>
  <c r="AG118" i="15" s="1"/>
  <c r="AC118" i="2"/>
  <c r="AB118" i="15" s="1"/>
  <c r="AI118" i="2"/>
  <c r="AH118" i="15" s="1"/>
  <c r="AL118" i="2"/>
  <c r="AJ118" i="2"/>
  <c r="AI118" i="15" s="1"/>
  <c r="AK118" i="2"/>
  <c r="AJ118" i="15" s="1"/>
  <c r="AF118" i="2"/>
  <c r="AE118" i="15" s="1"/>
  <c r="AE118" i="2"/>
  <c r="AD118" i="15" s="1"/>
  <c r="AD118" i="2"/>
  <c r="AC118" i="15" s="1"/>
  <c r="AR118" i="2"/>
  <c r="AG117" i="17"/>
  <c r="AG117" i="16"/>
  <c r="AQ117" i="15"/>
  <c r="G117" i="16"/>
  <c r="G117" i="17"/>
  <c r="H117" i="15"/>
  <c r="I118" i="2"/>
  <c r="Q101" i="16"/>
  <c r="Q101" i="17"/>
  <c r="R101" i="15"/>
  <c r="AT101" i="2"/>
  <c r="Z101" i="15"/>
  <c r="Y101" i="16"/>
  <c r="Y101" i="17"/>
  <c r="C91" i="16"/>
  <c r="C91" i="17"/>
  <c r="D91" i="15"/>
  <c r="U101" i="17"/>
  <c r="U101" i="16"/>
  <c r="V101" i="15"/>
  <c r="I118" i="4"/>
  <c r="L117" i="2"/>
  <c r="I116" i="17"/>
  <c r="I116" i="16"/>
  <c r="J116" i="15"/>
  <c r="Q117" i="2"/>
  <c r="O118" i="4"/>
  <c r="W101" i="17"/>
  <c r="W101" i="16"/>
  <c r="X101" i="15"/>
  <c r="Q103" i="4"/>
  <c r="S102" i="2"/>
  <c r="R103" i="4"/>
  <c r="T102" i="2"/>
  <c r="P101" i="17"/>
  <c r="P101" i="16"/>
  <c r="Q101" i="15"/>
  <c r="B93" i="4"/>
  <c r="E92" i="2"/>
  <c r="C92" i="10" s="1"/>
  <c r="U103" i="4"/>
  <c r="W102" i="2"/>
  <c r="H116" i="16"/>
  <c r="H116" i="17"/>
  <c r="I116" i="15"/>
  <c r="H118" i="4"/>
  <c r="K117" i="2"/>
  <c r="N101" i="17"/>
  <c r="N101" i="16"/>
  <c r="O101" i="15"/>
  <c r="S101" i="17"/>
  <c r="S101" i="16"/>
  <c r="T101" i="15"/>
  <c r="D116" i="17"/>
  <c r="D116" i="16"/>
  <c r="E116" i="15"/>
  <c r="P103" i="4"/>
  <c r="R102" i="2"/>
  <c r="X102" i="2"/>
  <c r="V102" i="10" s="1"/>
  <c r="V103" i="4"/>
  <c r="AB102" i="2"/>
  <c r="Z103" i="4"/>
  <c r="G118" i="4"/>
  <c r="J117" i="2"/>
  <c r="N103" i="4"/>
  <c r="P102" i="2"/>
  <c r="S103" i="4"/>
  <c r="U103" i="2" s="1"/>
  <c r="C118" i="4"/>
  <c r="F117" i="2"/>
  <c r="V101" i="16"/>
  <c r="W101" i="15"/>
  <c r="V101" i="17"/>
  <c r="Z101" i="17"/>
  <c r="Z101" i="16"/>
  <c r="AA101" i="15"/>
  <c r="Z101" i="9"/>
  <c r="AA101" i="7"/>
  <c r="Z101" i="10"/>
  <c r="E116" i="17"/>
  <c r="E116" i="16"/>
  <c r="F116" i="15"/>
  <c r="AS101" i="2"/>
  <c r="M101" i="17"/>
  <c r="AH101" i="17" s="1"/>
  <c r="N101" i="14" s="1"/>
  <c r="P101" i="14" s="1"/>
  <c r="M101" i="16"/>
  <c r="AH101" i="16" s="1"/>
  <c r="K101" i="14" s="1"/>
  <c r="M101" i="14" s="1"/>
  <c r="N101" i="15"/>
  <c r="AR101" i="15" s="1"/>
  <c r="E101" i="14" s="1"/>
  <c r="G101" i="14" s="1"/>
  <c r="H100" i="14"/>
  <c r="J100" i="14" s="1"/>
  <c r="B100" i="14"/>
  <c r="D100" i="14" s="1"/>
  <c r="Z102" i="2"/>
  <c r="X103" i="4"/>
  <c r="K116" i="17"/>
  <c r="K116" i="16"/>
  <c r="L116" i="15"/>
  <c r="D118" i="4"/>
  <c r="G117" i="2"/>
  <c r="L116" i="16"/>
  <c r="L116" i="17"/>
  <c r="M116" i="15"/>
  <c r="M103" i="4"/>
  <c r="O102" i="2"/>
  <c r="F116" i="17"/>
  <c r="F116" i="16"/>
  <c r="G116" i="15"/>
  <c r="T101" i="16"/>
  <c r="T101" i="17"/>
  <c r="U101" i="15"/>
  <c r="X101" i="17"/>
  <c r="X101" i="16"/>
  <c r="Y101" i="15"/>
  <c r="R101" i="17"/>
  <c r="R101" i="16"/>
  <c r="S101" i="15"/>
  <c r="AA102" i="2"/>
  <c r="Y103" i="4"/>
  <c r="J118" i="4"/>
  <c r="M117" i="2"/>
  <c r="J116" i="17"/>
  <c r="J116" i="16"/>
  <c r="K116" i="15"/>
  <c r="K118" i="4"/>
  <c r="N117" i="2"/>
  <c r="O116" i="16"/>
  <c r="O116" i="17"/>
  <c r="P116" i="15"/>
  <c r="Y102" i="2"/>
  <c r="W103" i="4"/>
  <c r="E118" i="4"/>
  <c r="H117" i="2"/>
  <c r="T103" i="4"/>
  <c r="V102" i="2"/>
  <c r="B119" i="2"/>
  <c r="D119" i="2" s="1"/>
  <c r="AC93" i="7"/>
  <c r="BB91" i="2"/>
  <c r="AW99" i="2"/>
  <c r="AF93" i="7"/>
  <c r="AX99" i="2"/>
  <c r="AG93" i="7"/>
  <c r="AG92" i="7"/>
  <c r="J99" i="10"/>
  <c r="J99" i="9"/>
  <c r="K99" i="7"/>
  <c r="U99" i="10"/>
  <c r="U99" i="9"/>
  <c r="V99" i="7"/>
  <c r="R99" i="10"/>
  <c r="R99" i="9"/>
  <c r="S99" i="7"/>
  <c r="AJ97" i="7"/>
  <c r="AB97" i="7"/>
  <c r="AC96" i="10"/>
  <c r="AC96" i="9"/>
  <c r="AM96" i="7"/>
  <c r="B100" i="12"/>
  <c r="T100" i="14" s="1"/>
  <c r="V100" i="14" s="1"/>
  <c r="B100" i="10"/>
  <c r="B100" i="9"/>
  <c r="C100" i="7"/>
  <c r="D99" i="10"/>
  <c r="D99" i="9"/>
  <c r="E99" i="7"/>
  <c r="O99" i="10"/>
  <c r="O99" i="9"/>
  <c r="P99" i="7"/>
  <c r="Q99" i="10"/>
  <c r="Q99" i="9"/>
  <c r="R99" i="7"/>
  <c r="K98" i="12"/>
  <c r="H98" i="12"/>
  <c r="J98" i="12" s="1"/>
  <c r="AH97" i="7"/>
  <c r="L99" i="10"/>
  <c r="L99" i="9"/>
  <c r="M99" i="7"/>
  <c r="I99" i="10"/>
  <c r="I99" i="9"/>
  <c r="J99" i="7"/>
  <c r="T99" i="10"/>
  <c r="T99" i="9"/>
  <c r="U99" i="7"/>
  <c r="P99" i="10"/>
  <c r="P99" i="9"/>
  <c r="Q99" i="7"/>
  <c r="AF100" i="10"/>
  <c r="AF100" i="9"/>
  <c r="AP100" i="7"/>
  <c r="F99" i="10"/>
  <c r="F99" i="9"/>
  <c r="G99" i="7"/>
  <c r="N99" i="10"/>
  <c r="N99" i="9"/>
  <c r="O99" i="7"/>
  <c r="W101" i="10"/>
  <c r="W101" i="9"/>
  <c r="X101" i="7"/>
  <c r="Y101" i="10"/>
  <c r="Y101" i="9"/>
  <c r="Z101" i="7"/>
  <c r="AR90" i="7"/>
  <c r="AD96" i="10"/>
  <c r="AD96" i="9"/>
  <c r="AN96" i="7"/>
  <c r="AA91" i="10"/>
  <c r="AA91" i="9"/>
  <c r="AK91" i="7"/>
  <c r="K99" i="10"/>
  <c r="K99" i="9"/>
  <c r="L99" i="7"/>
  <c r="H99" i="10"/>
  <c r="H99" i="9"/>
  <c r="I99" i="7"/>
  <c r="S99" i="10"/>
  <c r="S99" i="9"/>
  <c r="T99" i="7"/>
  <c r="AH90" i="9"/>
  <c r="AE97" i="10"/>
  <c r="AE97" i="9"/>
  <c r="AO97" i="7"/>
  <c r="AG91" i="10"/>
  <c r="AG91" i="9"/>
  <c r="AQ91" i="7"/>
  <c r="AB93" i="10"/>
  <c r="AB93" i="9"/>
  <c r="AL93" i="7"/>
  <c r="E99" i="10"/>
  <c r="E99" i="9"/>
  <c r="F99" i="7"/>
  <c r="G99" i="10"/>
  <c r="G99" i="9"/>
  <c r="H99" i="7"/>
  <c r="M99" i="10"/>
  <c r="M99" i="9"/>
  <c r="N99" i="7"/>
  <c r="D99" i="12"/>
  <c r="G99" i="12"/>
  <c r="Q99" i="14" s="1"/>
  <c r="S99" i="14" s="1"/>
  <c r="AI97" i="7"/>
  <c r="AI96" i="7"/>
  <c r="AH90" i="10"/>
  <c r="X101" i="10"/>
  <c r="X101" i="9"/>
  <c r="Y101" i="7"/>
  <c r="L108" i="13"/>
  <c r="I109" i="13"/>
  <c r="K109" i="13" s="1"/>
  <c r="M109" i="13"/>
  <c r="H110" i="13"/>
  <c r="E110" i="13"/>
  <c r="B117" i="13"/>
  <c r="G117" i="13"/>
  <c r="C117" i="12"/>
  <c r="F113" i="12"/>
  <c r="AZ92" i="2"/>
  <c r="BA92" i="2"/>
  <c r="AE94" i="7"/>
  <c r="AD94" i="7"/>
  <c r="C92" i="3"/>
  <c r="B91" i="3"/>
  <c r="E91" i="3"/>
  <c r="F90" i="3"/>
  <c r="J98" i="3"/>
  <c r="G87" i="1"/>
  <c r="D90" i="1"/>
  <c r="W102" i="7" l="1"/>
  <c r="V102" i="9"/>
  <c r="D92" i="7"/>
  <c r="C92" i="9"/>
  <c r="I119" i="2"/>
  <c r="G118" i="17"/>
  <c r="G118" i="16"/>
  <c r="H118" i="15"/>
  <c r="AG118" i="16"/>
  <c r="AG118" i="17"/>
  <c r="AQ118" i="15"/>
  <c r="AK118" i="15"/>
  <c r="AA118" i="17"/>
  <c r="AA118" i="16"/>
  <c r="Z118" i="14"/>
  <c r="AB118" i="14" s="1"/>
  <c r="D118" i="11"/>
  <c r="G118" i="11"/>
  <c r="B119" i="11"/>
  <c r="B119" i="17"/>
  <c r="B119" i="16"/>
  <c r="C119" i="15"/>
  <c r="AG119" i="2"/>
  <c r="AF119" i="15" s="1"/>
  <c r="AH119" i="2"/>
  <c r="AG119" i="15" s="1"/>
  <c r="AL119" i="2"/>
  <c r="AF119" i="2"/>
  <c r="AE119" i="15" s="1"/>
  <c r="AR119" i="2"/>
  <c r="AD119" i="2"/>
  <c r="AC119" i="15" s="1"/>
  <c r="AJ119" i="2"/>
  <c r="AI119" i="15" s="1"/>
  <c r="AI119" i="2"/>
  <c r="AH119" i="15" s="1"/>
  <c r="AK119" i="2"/>
  <c r="AJ119" i="15" s="1"/>
  <c r="AC119" i="2"/>
  <c r="AB119" i="15" s="1"/>
  <c r="AE119" i="2"/>
  <c r="AD119" i="15" s="1"/>
  <c r="W117" i="14"/>
  <c r="Y117" i="14" s="1"/>
  <c r="H117" i="11"/>
  <c r="L117" i="11" s="1"/>
  <c r="Y103" i="2"/>
  <c r="W104" i="4"/>
  <c r="K119" i="4"/>
  <c r="N118" i="2"/>
  <c r="AA103" i="2"/>
  <c r="Y104" i="4"/>
  <c r="S104" i="4"/>
  <c r="U104" i="2" s="1"/>
  <c r="Z102" i="17"/>
  <c r="AA102" i="15"/>
  <c r="Z102" i="16"/>
  <c r="Z102" i="9"/>
  <c r="AA102" i="7"/>
  <c r="Z102" i="10"/>
  <c r="Q104" i="4"/>
  <c r="S103" i="2"/>
  <c r="W102" i="17"/>
  <c r="W102" i="16"/>
  <c r="X102" i="15"/>
  <c r="Y102" i="17"/>
  <c r="Y102" i="16"/>
  <c r="Z102" i="15"/>
  <c r="Z103" i="2"/>
  <c r="X104" i="4"/>
  <c r="N102" i="16"/>
  <c r="N102" i="17"/>
  <c r="O102" i="15"/>
  <c r="X103" i="2"/>
  <c r="V103" i="10" s="1"/>
  <c r="V104" i="4"/>
  <c r="U102" i="16"/>
  <c r="U102" i="17"/>
  <c r="V102" i="15"/>
  <c r="T102" i="17"/>
  <c r="T102" i="16"/>
  <c r="U102" i="15"/>
  <c r="E117" i="17"/>
  <c r="E117" i="16"/>
  <c r="F117" i="15"/>
  <c r="X102" i="17"/>
  <c r="X102" i="16"/>
  <c r="Y102" i="15"/>
  <c r="H101" i="14"/>
  <c r="J101" i="14" s="1"/>
  <c r="B101" i="14"/>
  <c r="D101" i="14" s="1"/>
  <c r="N104" i="4"/>
  <c r="P103" i="2"/>
  <c r="V102" i="16"/>
  <c r="W102" i="15"/>
  <c r="V102" i="17"/>
  <c r="I117" i="16"/>
  <c r="I117" i="17"/>
  <c r="J117" i="15"/>
  <c r="U104" i="4"/>
  <c r="W103" i="2"/>
  <c r="R102" i="17"/>
  <c r="R102" i="16"/>
  <c r="S102" i="15"/>
  <c r="T104" i="4"/>
  <c r="V103" i="2"/>
  <c r="AS102" i="2"/>
  <c r="M102" i="16"/>
  <c r="AH102" i="16" s="1"/>
  <c r="K102" i="14" s="1"/>
  <c r="M102" i="14" s="1"/>
  <c r="M102" i="17"/>
  <c r="AH102" i="17" s="1"/>
  <c r="N102" i="14" s="1"/>
  <c r="P102" i="14" s="1"/>
  <c r="N102" i="15"/>
  <c r="AR102" i="15" s="1"/>
  <c r="E102" i="14" s="1"/>
  <c r="G102" i="14" s="1"/>
  <c r="D119" i="4"/>
  <c r="G118" i="2"/>
  <c r="D117" i="17"/>
  <c r="D117" i="16"/>
  <c r="E117" i="15"/>
  <c r="H117" i="16"/>
  <c r="H117" i="17"/>
  <c r="I117" i="15"/>
  <c r="P102" i="17"/>
  <c r="P102" i="16"/>
  <c r="Q102" i="15"/>
  <c r="H119" i="4"/>
  <c r="K118" i="2"/>
  <c r="C92" i="17"/>
  <c r="C92" i="16"/>
  <c r="D92" i="15"/>
  <c r="J117" i="17"/>
  <c r="J117" i="16"/>
  <c r="K117" i="15"/>
  <c r="F117" i="16"/>
  <c r="F117" i="17"/>
  <c r="G117" i="15"/>
  <c r="K117" i="17"/>
  <c r="K117" i="16"/>
  <c r="L117" i="15"/>
  <c r="M104" i="4"/>
  <c r="O103" i="2"/>
  <c r="C119" i="4"/>
  <c r="F118" i="2"/>
  <c r="G119" i="4"/>
  <c r="J118" i="2"/>
  <c r="P104" i="4"/>
  <c r="R103" i="2"/>
  <c r="B94" i="4"/>
  <c r="E93" i="2"/>
  <c r="C93" i="10" s="1"/>
  <c r="R104" i="4"/>
  <c r="T103" i="2"/>
  <c r="O119" i="4"/>
  <c r="Q118" i="2"/>
  <c r="I119" i="4"/>
  <c r="L118" i="2"/>
  <c r="E119" i="4"/>
  <c r="H118" i="2"/>
  <c r="L117" i="16"/>
  <c r="L117" i="17"/>
  <c r="M117" i="15"/>
  <c r="J119" i="4"/>
  <c r="M118" i="2"/>
  <c r="S102" i="17"/>
  <c r="S102" i="16"/>
  <c r="T102" i="15"/>
  <c r="AB103" i="2"/>
  <c r="Z104" i="4"/>
  <c r="Q102" i="16"/>
  <c r="Q102" i="17"/>
  <c r="R102" i="15"/>
  <c r="AT102" i="2"/>
  <c r="O117" i="17"/>
  <c r="O117" i="16"/>
  <c r="P117" i="15"/>
  <c r="B120" i="2"/>
  <c r="D120" i="2" s="1"/>
  <c r="C119" i="2"/>
  <c r="AC94" i="7"/>
  <c r="BB92" i="2"/>
  <c r="AW100" i="2"/>
  <c r="AX100" i="2"/>
  <c r="AF94" i="7"/>
  <c r="AY93" i="2"/>
  <c r="K99" i="12"/>
  <c r="H99" i="12"/>
  <c r="J99" i="12" s="1"/>
  <c r="Y102" i="10"/>
  <c r="Y102" i="9"/>
  <c r="Z102" i="7"/>
  <c r="AH91" i="9"/>
  <c r="G100" i="10"/>
  <c r="G100" i="9"/>
  <c r="H100" i="7"/>
  <c r="D100" i="10"/>
  <c r="D100" i="9"/>
  <c r="E100" i="7"/>
  <c r="U100" i="10"/>
  <c r="U100" i="9"/>
  <c r="V100" i="7"/>
  <c r="AA92" i="10"/>
  <c r="AA92" i="9"/>
  <c r="AK92" i="7"/>
  <c r="AH91" i="10"/>
  <c r="AH98" i="7"/>
  <c r="L100" i="10"/>
  <c r="L100" i="9"/>
  <c r="M100" i="7"/>
  <c r="I100" i="10"/>
  <c r="I100" i="9"/>
  <c r="J100" i="7"/>
  <c r="O100" i="10"/>
  <c r="O100" i="9"/>
  <c r="P100" i="7"/>
  <c r="AB98" i="7"/>
  <c r="AD97" i="10"/>
  <c r="AD97" i="9"/>
  <c r="AN97" i="7"/>
  <c r="AB94" i="10"/>
  <c r="AB94" i="9"/>
  <c r="AL94" i="7"/>
  <c r="B101" i="12"/>
  <c r="T101" i="14" s="1"/>
  <c r="V101" i="14" s="1"/>
  <c r="B101" i="10"/>
  <c r="B101" i="9"/>
  <c r="C101" i="7"/>
  <c r="F100" i="10"/>
  <c r="F100" i="9"/>
  <c r="G100" i="7"/>
  <c r="T100" i="10"/>
  <c r="T100" i="9"/>
  <c r="U100" i="7"/>
  <c r="D100" i="12"/>
  <c r="G100" i="12"/>
  <c r="Q100" i="14" s="1"/>
  <c r="S100" i="14" s="1"/>
  <c r="AG92" i="10"/>
  <c r="AG92" i="9"/>
  <c r="AQ92" i="7"/>
  <c r="AC97" i="10"/>
  <c r="AC97" i="9"/>
  <c r="AM97" i="7"/>
  <c r="K100" i="10"/>
  <c r="K100" i="9"/>
  <c r="L100" i="7"/>
  <c r="R100" i="10"/>
  <c r="R100" i="9"/>
  <c r="S100" i="7"/>
  <c r="N100" i="10"/>
  <c r="N100" i="9"/>
  <c r="O100" i="7"/>
  <c r="AJ98" i="7"/>
  <c r="AF101" i="10"/>
  <c r="AF101" i="9"/>
  <c r="AP101" i="7"/>
  <c r="E100" i="10"/>
  <c r="E100" i="9"/>
  <c r="F100" i="7"/>
  <c r="Q100" i="10"/>
  <c r="Q100" i="9"/>
  <c r="R100" i="7"/>
  <c r="S100" i="10"/>
  <c r="S100" i="9"/>
  <c r="T100" i="7"/>
  <c r="X102" i="10"/>
  <c r="X102" i="9"/>
  <c r="Y102" i="7"/>
  <c r="AE98" i="10"/>
  <c r="AE98" i="9"/>
  <c r="AO98" i="7"/>
  <c r="W102" i="10"/>
  <c r="W102" i="9"/>
  <c r="X102" i="7"/>
  <c r="AR91" i="7"/>
  <c r="H100" i="10"/>
  <c r="H100" i="9"/>
  <c r="I100" i="7"/>
  <c r="J100" i="10"/>
  <c r="J100" i="9"/>
  <c r="K100" i="7"/>
  <c r="P100" i="10"/>
  <c r="P100" i="9"/>
  <c r="Q100" i="7"/>
  <c r="M100" i="10"/>
  <c r="M100" i="9"/>
  <c r="N100" i="7"/>
  <c r="L109" i="13"/>
  <c r="H111" i="13"/>
  <c r="E111" i="13"/>
  <c r="M110" i="13"/>
  <c r="I110" i="13"/>
  <c r="L110" i="13" s="1"/>
  <c r="G118" i="13"/>
  <c r="B118" i="13"/>
  <c r="F114" i="12"/>
  <c r="C118" i="12"/>
  <c r="AZ93" i="2"/>
  <c r="BA93" i="2"/>
  <c r="AE95" i="7"/>
  <c r="AD95" i="7"/>
  <c r="AY94" i="2"/>
  <c r="C93" i="3"/>
  <c r="B92" i="3"/>
  <c r="F91" i="3"/>
  <c r="E92" i="3"/>
  <c r="J99" i="3"/>
  <c r="G88" i="1"/>
  <c r="D91" i="1"/>
  <c r="D93" i="7" l="1"/>
  <c r="C93" i="9"/>
  <c r="W103" i="7"/>
  <c r="V103" i="9"/>
  <c r="B120" i="17"/>
  <c r="B120" i="16"/>
  <c r="B120" i="11"/>
  <c r="C120" i="15"/>
  <c r="AG120" i="2"/>
  <c r="AF120" i="15" s="1"/>
  <c r="AH120" i="2"/>
  <c r="AG120" i="15" s="1"/>
  <c r="AK120" i="2"/>
  <c r="AJ120" i="15" s="1"/>
  <c r="AR120" i="2"/>
  <c r="AE120" i="2"/>
  <c r="AD120" i="15" s="1"/>
  <c r="AF120" i="2"/>
  <c r="AE120" i="15" s="1"/>
  <c r="AD120" i="2"/>
  <c r="AC120" i="15" s="1"/>
  <c r="AC120" i="2"/>
  <c r="AB120" i="15" s="1"/>
  <c r="AL120" i="2"/>
  <c r="AI120" i="2"/>
  <c r="AH120" i="15" s="1"/>
  <c r="AJ120" i="2"/>
  <c r="AI120" i="15" s="1"/>
  <c r="AG119" i="17"/>
  <c r="AG119" i="16"/>
  <c r="AQ119" i="15"/>
  <c r="K117" i="11"/>
  <c r="AA119" i="17"/>
  <c r="AK119" i="15"/>
  <c r="AA119" i="16"/>
  <c r="Z119" i="14"/>
  <c r="AB119" i="14" s="1"/>
  <c r="D119" i="11"/>
  <c r="G119" i="11"/>
  <c r="J117" i="11"/>
  <c r="W118" i="14"/>
  <c r="Y118" i="14" s="1"/>
  <c r="H118" i="11"/>
  <c r="J118" i="11" s="1"/>
  <c r="G119" i="16"/>
  <c r="G119" i="17"/>
  <c r="H119" i="15"/>
  <c r="I120" i="2"/>
  <c r="O120" i="4"/>
  <c r="Q119" i="2"/>
  <c r="P103" i="17"/>
  <c r="P103" i="16"/>
  <c r="Q103" i="15"/>
  <c r="AS103" i="2"/>
  <c r="M103" i="17"/>
  <c r="AH103" i="17" s="1"/>
  <c r="N103" i="14" s="1"/>
  <c r="P103" i="14" s="1"/>
  <c r="M103" i="16"/>
  <c r="AH103" i="16" s="1"/>
  <c r="K103" i="14" s="1"/>
  <c r="M103" i="14" s="1"/>
  <c r="N103" i="15"/>
  <c r="AR103" i="15" s="1"/>
  <c r="E103" i="14" s="1"/>
  <c r="G103" i="14" s="1"/>
  <c r="Z104" i="2"/>
  <c r="X105" i="4"/>
  <c r="AA104" i="2"/>
  <c r="Y105" i="4"/>
  <c r="F118" i="17"/>
  <c r="F118" i="16"/>
  <c r="G118" i="15"/>
  <c r="R103" i="17"/>
  <c r="R103" i="16"/>
  <c r="S103" i="15"/>
  <c r="P105" i="4"/>
  <c r="R104" i="2"/>
  <c r="M105" i="4"/>
  <c r="O104" i="2"/>
  <c r="H102" i="14"/>
  <c r="J102" i="14" s="1"/>
  <c r="B102" i="14"/>
  <c r="D102" i="14" s="1"/>
  <c r="U103" i="16"/>
  <c r="U103" i="17"/>
  <c r="V103" i="15"/>
  <c r="X104" i="2"/>
  <c r="V104" i="9" s="1"/>
  <c r="V105" i="4"/>
  <c r="Y103" i="15"/>
  <c r="X103" i="16"/>
  <c r="X103" i="17"/>
  <c r="Z103" i="15"/>
  <c r="Y103" i="17"/>
  <c r="Y103" i="16"/>
  <c r="K118" i="17"/>
  <c r="K118" i="16"/>
  <c r="L118" i="15"/>
  <c r="E120" i="4"/>
  <c r="H119" i="2"/>
  <c r="H118" i="17"/>
  <c r="H118" i="16"/>
  <c r="I118" i="15"/>
  <c r="E118" i="17"/>
  <c r="E118" i="16"/>
  <c r="F118" i="15"/>
  <c r="T103" i="17"/>
  <c r="T103" i="16"/>
  <c r="U103" i="15"/>
  <c r="U105" i="4"/>
  <c r="W104" i="2"/>
  <c r="V103" i="16"/>
  <c r="W103" i="15"/>
  <c r="V103" i="17"/>
  <c r="Q103" i="16"/>
  <c r="Q103" i="17"/>
  <c r="R103" i="15"/>
  <c r="AT103" i="2"/>
  <c r="L118" i="17"/>
  <c r="L118" i="16"/>
  <c r="M118" i="15"/>
  <c r="AB104" i="2"/>
  <c r="Z105" i="4"/>
  <c r="J120" i="4"/>
  <c r="M119" i="2"/>
  <c r="J118" i="17"/>
  <c r="J118" i="16"/>
  <c r="K118" i="15"/>
  <c r="R105" i="4"/>
  <c r="T104" i="2"/>
  <c r="G120" i="4"/>
  <c r="J119" i="2"/>
  <c r="I118" i="17"/>
  <c r="I118" i="16"/>
  <c r="J118" i="15"/>
  <c r="D120" i="4"/>
  <c r="G119" i="2"/>
  <c r="T105" i="4"/>
  <c r="V104" i="2"/>
  <c r="N103" i="17"/>
  <c r="N103" i="16"/>
  <c r="O103" i="15"/>
  <c r="Q105" i="4"/>
  <c r="S104" i="2"/>
  <c r="K120" i="4"/>
  <c r="N119" i="2"/>
  <c r="Z103" i="16"/>
  <c r="AA103" i="15"/>
  <c r="Z103" i="17"/>
  <c r="Z103" i="10"/>
  <c r="Z103" i="9"/>
  <c r="AA103" i="7"/>
  <c r="I120" i="4"/>
  <c r="L119" i="2"/>
  <c r="C93" i="17"/>
  <c r="C93" i="16"/>
  <c r="D93" i="15"/>
  <c r="D118" i="17"/>
  <c r="D118" i="16"/>
  <c r="E118" i="15"/>
  <c r="H120" i="4"/>
  <c r="K119" i="2"/>
  <c r="N105" i="4"/>
  <c r="P104" i="2"/>
  <c r="S103" i="17"/>
  <c r="S103" i="16"/>
  <c r="T103" i="15"/>
  <c r="Y104" i="2"/>
  <c r="W105" i="4"/>
  <c r="O118" i="17"/>
  <c r="O118" i="16"/>
  <c r="P118" i="15"/>
  <c r="B95" i="4"/>
  <c r="E94" i="2"/>
  <c r="C94" i="9" s="1"/>
  <c r="C120" i="4"/>
  <c r="F119" i="2"/>
  <c r="S105" i="4"/>
  <c r="U105" i="2" s="1"/>
  <c r="W103" i="17"/>
  <c r="X103" i="15"/>
  <c r="W103" i="16"/>
  <c r="C120" i="2"/>
  <c r="B121" i="2"/>
  <c r="D121" i="2" s="1"/>
  <c r="AC95" i="7"/>
  <c r="BB93" i="2"/>
  <c r="AF95" i="7"/>
  <c r="AX101" i="2"/>
  <c r="AW101" i="2"/>
  <c r="AF102" i="10"/>
  <c r="AF102" i="9"/>
  <c r="AP102" i="7"/>
  <c r="E101" i="10"/>
  <c r="E101" i="9"/>
  <c r="F101" i="7"/>
  <c r="M101" i="10"/>
  <c r="M101" i="9"/>
  <c r="N101" i="7"/>
  <c r="D101" i="12"/>
  <c r="G101" i="12"/>
  <c r="Q101" i="14" s="1"/>
  <c r="S101" i="14" s="1"/>
  <c r="AB99" i="7"/>
  <c r="AH99" i="7"/>
  <c r="AH92" i="10"/>
  <c r="AB95" i="10"/>
  <c r="AB95" i="9"/>
  <c r="AL95" i="7"/>
  <c r="B102" i="12"/>
  <c r="T102" i="14" s="1"/>
  <c r="V102" i="14" s="1"/>
  <c r="B102" i="10"/>
  <c r="B102" i="9"/>
  <c r="C102" i="7"/>
  <c r="H101" i="10"/>
  <c r="H101" i="9"/>
  <c r="I101" i="7"/>
  <c r="U101" i="10"/>
  <c r="U101" i="9"/>
  <c r="V101" i="7"/>
  <c r="R101" i="10"/>
  <c r="R101" i="9"/>
  <c r="S101" i="7"/>
  <c r="W103" i="10"/>
  <c r="W103" i="9"/>
  <c r="X103" i="7"/>
  <c r="AD98" i="10"/>
  <c r="AD98" i="9"/>
  <c r="AN98" i="7"/>
  <c r="AG93" i="10"/>
  <c r="AG93" i="9"/>
  <c r="AQ93" i="7"/>
  <c r="AA93" i="10"/>
  <c r="AA93" i="9"/>
  <c r="AK93" i="7"/>
  <c r="X103" i="10"/>
  <c r="X103" i="9"/>
  <c r="Y103" i="7"/>
  <c r="AI99" i="7"/>
  <c r="AI98" i="7"/>
  <c r="G101" i="10"/>
  <c r="G101" i="9"/>
  <c r="H101" i="7"/>
  <c r="O101" i="10"/>
  <c r="O101" i="9"/>
  <c r="P101" i="7"/>
  <c r="Q101" i="10"/>
  <c r="Q101" i="9"/>
  <c r="R101" i="7"/>
  <c r="Y103" i="10"/>
  <c r="Y103" i="9"/>
  <c r="Z103" i="7"/>
  <c r="AG95" i="7"/>
  <c r="AG94" i="7"/>
  <c r="AJ99" i="7"/>
  <c r="J101" i="10"/>
  <c r="J101" i="9"/>
  <c r="K101" i="7"/>
  <c r="L101" i="10"/>
  <c r="L101" i="9"/>
  <c r="M101" i="7"/>
  <c r="T101" i="10"/>
  <c r="T101" i="9"/>
  <c r="U101" i="7"/>
  <c r="P101" i="10"/>
  <c r="P101" i="9"/>
  <c r="Q101" i="7"/>
  <c r="AC98" i="10"/>
  <c r="AC98" i="9"/>
  <c r="AM98" i="7"/>
  <c r="AE99" i="10"/>
  <c r="AE99" i="9"/>
  <c r="AO99" i="7"/>
  <c r="K100" i="12"/>
  <c r="H100" i="12"/>
  <c r="J100" i="12" s="1"/>
  <c r="D101" i="10"/>
  <c r="D101" i="9"/>
  <c r="E101" i="7"/>
  <c r="F101" i="10"/>
  <c r="F101" i="9"/>
  <c r="G101" i="7"/>
  <c r="N101" i="10"/>
  <c r="N101" i="9"/>
  <c r="O101" i="7"/>
  <c r="AR92" i="7"/>
  <c r="I101" i="10"/>
  <c r="I101" i="9"/>
  <c r="J101" i="7"/>
  <c r="K101" i="10"/>
  <c r="K101" i="9"/>
  <c r="L101" i="7"/>
  <c r="S101" i="10"/>
  <c r="S101" i="9"/>
  <c r="T101" i="7"/>
  <c r="AH92" i="9"/>
  <c r="K110" i="13"/>
  <c r="I111" i="13"/>
  <c r="L111" i="13" s="1"/>
  <c r="M111" i="13"/>
  <c r="E112" i="13"/>
  <c r="H112" i="13"/>
  <c r="G119" i="13"/>
  <c r="B119" i="13"/>
  <c r="F115" i="12"/>
  <c r="C119" i="12"/>
  <c r="AZ94" i="2"/>
  <c r="BA94" i="2"/>
  <c r="AE96" i="7"/>
  <c r="AD96" i="7"/>
  <c r="C94" i="3"/>
  <c r="B93" i="3"/>
  <c r="J100" i="3"/>
  <c r="F92" i="3"/>
  <c r="E93" i="3"/>
  <c r="G89" i="1"/>
  <c r="D92" i="1"/>
  <c r="D94" i="7" l="1"/>
  <c r="C94" i="10"/>
  <c r="W104" i="7"/>
  <c r="V104" i="10"/>
  <c r="B121" i="11"/>
  <c r="B121" i="17"/>
  <c r="B121" i="16"/>
  <c r="C121" i="15"/>
  <c r="AG121" i="2"/>
  <c r="AF121" i="15" s="1"/>
  <c r="AH121" i="2"/>
  <c r="AG121" i="15" s="1"/>
  <c r="AC121" i="2"/>
  <c r="AB121" i="15" s="1"/>
  <c r="AJ121" i="2"/>
  <c r="AI121" i="15" s="1"/>
  <c r="AR121" i="2"/>
  <c r="AI121" i="2"/>
  <c r="AH121" i="15" s="1"/>
  <c r="AF121" i="2"/>
  <c r="AE121" i="15" s="1"/>
  <c r="AL121" i="2"/>
  <c r="AE121" i="2"/>
  <c r="AD121" i="15" s="1"/>
  <c r="AK121" i="2"/>
  <c r="AJ121" i="15" s="1"/>
  <c r="AD121" i="2"/>
  <c r="AC121" i="15" s="1"/>
  <c r="Z120" i="14"/>
  <c r="AB120" i="14" s="1"/>
  <c r="D120" i="11"/>
  <c r="G120" i="11"/>
  <c r="H120" i="15"/>
  <c r="I121" i="2"/>
  <c r="G120" i="16"/>
  <c r="G120" i="17"/>
  <c r="AG120" i="16"/>
  <c r="AQ120" i="15"/>
  <c r="AG120" i="17"/>
  <c r="W119" i="14"/>
  <c r="Y119" i="14" s="1"/>
  <c r="H119" i="11"/>
  <c r="J119" i="11" s="1"/>
  <c r="AA120" i="17"/>
  <c r="AK120" i="15"/>
  <c r="AA120" i="16"/>
  <c r="S106" i="4"/>
  <c r="U106" i="2" s="1"/>
  <c r="I121" i="4"/>
  <c r="L120" i="2"/>
  <c r="J121" i="4"/>
  <c r="M120" i="2"/>
  <c r="F119" i="17"/>
  <c r="F119" i="16"/>
  <c r="G119" i="15"/>
  <c r="V104" i="16"/>
  <c r="W104" i="15"/>
  <c r="V104" i="17"/>
  <c r="AS104" i="2"/>
  <c r="M104" i="17"/>
  <c r="AH104" i="17" s="1"/>
  <c r="N104" i="14" s="1"/>
  <c r="P104" i="14" s="1"/>
  <c r="M104" i="16"/>
  <c r="AH104" i="16" s="1"/>
  <c r="K104" i="14" s="1"/>
  <c r="M104" i="14" s="1"/>
  <c r="N104" i="15"/>
  <c r="AR104" i="15" s="1"/>
  <c r="E104" i="14" s="1"/>
  <c r="G104" i="14" s="1"/>
  <c r="Y104" i="17"/>
  <c r="Z104" i="15"/>
  <c r="Y104" i="16"/>
  <c r="H103" i="14"/>
  <c r="J103" i="14" s="1"/>
  <c r="B103" i="14"/>
  <c r="D103" i="14" s="1"/>
  <c r="D119" i="17"/>
  <c r="D119" i="16"/>
  <c r="E119" i="15"/>
  <c r="N104" i="17"/>
  <c r="N104" i="16"/>
  <c r="O104" i="15"/>
  <c r="L119" i="17"/>
  <c r="L119" i="16"/>
  <c r="M119" i="15"/>
  <c r="R106" i="4"/>
  <c r="T105" i="2"/>
  <c r="AB105" i="2"/>
  <c r="Z106" i="4"/>
  <c r="U104" i="17"/>
  <c r="U104" i="16"/>
  <c r="V104" i="15"/>
  <c r="E121" i="4"/>
  <c r="H120" i="2"/>
  <c r="M106" i="4"/>
  <c r="O105" i="2"/>
  <c r="Z105" i="2"/>
  <c r="X106" i="4"/>
  <c r="C121" i="4"/>
  <c r="F120" i="2"/>
  <c r="Y105" i="2"/>
  <c r="W106" i="4"/>
  <c r="N106" i="4"/>
  <c r="P105" i="2"/>
  <c r="K121" i="4"/>
  <c r="N120" i="2"/>
  <c r="T104" i="16"/>
  <c r="T104" i="17"/>
  <c r="U104" i="15"/>
  <c r="Z104" i="17"/>
  <c r="AA104" i="15"/>
  <c r="Z104" i="16"/>
  <c r="Z104" i="10"/>
  <c r="Z104" i="9"/>
  <c r="AA104" i="7"/>
  <c r="U106" i="4"/>
  <c r="W105" i="2"/>
  <c r="P104" i="17"/>
  <c r="P104" i="16"/>
  <c r="Q104" i="15"/>
  <c r="X104" i="16"/>
  <c r="X104" i="17"/>
  <c r="Y104" i="15"/>
  <c r="C94" i="16"/>
  <c r="C94" i="17"/>
  <c r="D94" i="15"/>
  <c r="W104" i="17"/>
  <c r="W104" i="16"/>
  <c r="X104" i="15"/>
  <c r="I119" i="17"/>
  <c r="I119" i="16"/>
  <c r="J119" i="15"/>
  <c r="Q104" i="16"/>
  <c r="Q104" i="17"/>
  <c r="R104" i="15"/>
  <c r="AT104" i="2"/>
  <c r="T106" i="4"/>
  <c r="V105" i="2"/>
  <c r="H119" i="16"/>
  <c r="H119" i="17"/>
  <c r="I119" i="15"/>
  <c r="P106" i="4"/>
  <c r="R105" i="2"/>
  <c r="B96" i="4"/>
  <c r="E95" i="2"/>
  <c r="C95" i="10" s="1"/>
  <c r="H121" i="4"/>
  <c r="K120" i="2"/>
  <c r="Q106" i="4"/>
  <c r="S105" i="2"/>
  <c r="E119" i="17"/>
  <c r="E119" i="16"/>
  <c r="F119" i="15"/>
  <c r="G121" i="4"/>
  <c r="J120" i="2"/>
  <c r="O119" i="16"/>
  <c r="O119" i="17"/>
  <c r="P119" i="15"/>
  <c r="S104" i="17"/>
  <c r="S104" i="16"/>
  <c r="T104" i="15"/>
  <c r="J119" i="17"/>
  <c r="J119" i="16"/>
  <c r="K119" i="15"/>
  <c r="D121" i="4"/>
  <c r="G120" i="2"/>
  <c r="R104" i="17"/>
  <c r="R104" i="16"/>
  <c r="S104" i="15"/>
  <c r="K119" i="17"/>
  <c r="K119" i="16"/>
  <c r="L119" i="15"/>
  <c r="X105" i="2"/>
  <c r="W105" i="7" s="1"/>
  <c r="V106" i="4"/>
  <c r="AA105" i="2"/>
  <c r="Y106" i="4"/>
  <c r="O121" i="4"/>
  <c r="Q120" i="2"/>
  <c r="B122" i="2"/>
  <c r="D122" i="2" s="1"/>
  <c r="C121" i="2"/>
  <c r="AC96" i="7"/>
  <c r="BB94" i="2"/>
  <c r="AW102" i="2"/>
  <c r="AX102" i="2"/>
  <c r="AY95" i="2"/>
  <c r="AF96" i="7"/>
  <c r="AR93" i="7"/>
  <c r="AH93" i="9"/>
  <c r="AE100" i="10"/>
  <c r="AE100" i="9"/>
  <c r="AO100" i="7"/>
  <c r="AG94" i="10"/>
  <c r="AG94" i="9"/>
  <c r="AQ94" i="7"/>
  <c r="W104" i="10"/>
  <c r="W104" i="9"/>
  <c r="X104" i="7"/>
  <c r="F102" i="10"/>
  <c r="F102" i="9"/>
  <c r="G102" i="7"/>
  <c r="U102" i="10"/>
  <c r="U102" i="9"/>
  <c r="V102" i="7"/>
  <c r="K101" i="12"/>
  <c r="H101" i="12"/>
  <c r="J101" i="12" s="1"/>
  <c r="K102" i="10"/>
  <c r="K102" i="9"/>
  <c r="L102" i="7"/>
  <c r="H102" i="10"/>
  <c r="H102" i="9"/>
  <c r="I102" i="7"/>
  <c r="O102" i="10"/>
  <c r="O102" i="9"/>
  <c r="P102" i="7"/>
  <c r="AC99" i="10"/>
  <c r="AC99" i="9"/>
  <c r="AM99" i="7"/>
  <c r="AA94" i="10"/>
  <c r="AA94" i="9"/>
  <c r="AK94" i="7"/>
  <c r="E102" i="10"/>
  <c r="E102" i="9"/>
  <c r="F102" i="7"/>
  <c r="G102" i="10"/>
  <c r="G102" i="9"/>
  <c r="H102" i="7"/>
  <c r="T102" i="10"/>
  <c r="T102" i="9"/>
  <c r="U102" i="7"/>
  <c r="D102" i="12"/>
  <c r="L102" i="12" s="1"/>
  <c r="G102" i="12"/>
  <c r="Q102" i="14" s="1"/>
  <c r="S102" i="14" s="1"/>
  <c r="AH93" i="10"/>
  <c r="J102" i="10"/>
  <c r="J102" i="9"/>
  <c r="K102" i="7"/>
  <c r="R102" i="10"/>
  <c r="R102" i="9"/>
  <c r="S102" i="7"/>
  <c r="N102" i="10"/>
  <c r="N102" i="9"/>
  <c r="O102" i="7"/>
  <c r="AH100" i="7"/>
  <c r="AF103" i="10"/>
  <c r="AF103" i="9"/>
  <c r="AP103" i="7"/>
  <c r="AD99" i="10"/>
  <c r="AD99" i="9"/>
  <c r="AN99" i="7"/>
  <c r="AJ100" i="7"/>
  <c r="B103" i="12"/>
  <c r="T103" i="14" s="1"/>
  <c r="V103" i="14" s="1"/>
  <c r="B103" i="10"/>
  <c r="B103" i="9"/>
  <c r="C103" i="7"/>
  <c r="D102" i="10"/>
  <c r="D102" i="9"/>
  <c r="E102" i="7"/>
  <c r="Q102" i="10"/>
  <c r="Q102" i="9"/>
  <c r="R102" i="7"/>
  <c r="S102" i="10"/>
  <c r="S102" i="9"/>
  <c r="T102" i="7"/>
  <c r="AB96" i="10"/>
  <c r="AB96" i="9"/>
  <c r="AL96" i="7"/>
  <c r="Y104" i="10"/>
  <c r="Y104" i="9"/>
  <c r="Z104" i="7"/>
  <c r="X104" i="10"/>
  <c r="X104" i="9"/>
  <c r="Y104" i="7"/>
  <c r="L102" i="10"/>
  <c r="L102" i="9"/>
  <c r="M102" i="7"/>
  <c r="I102" i="10"/>
  <c r="I102" i="9"/>
  <c r="J102" i="7"/>
  <c r="P102" i="10"/>
  <c r="P102" i="9"/>
  <c r="Q102" i="7"/>
  <c r="M102" i="10"/>
  <c r="M102" i="9"/>
  <c r="N102" i="7"/>
  <c r="AB100" i="7"/>
  <c r="K111" i="13"/>
  <c r="Q112" i="13"/>
  <c r="P112" i="13"/>
  <c r="N112" i="13"/>
  <c r="H113" i="13"/>
  <c r="E113" i="13"/>
  <c r="M112" i="13"/>
  <c r="I112" i="13"/>
  <c r="L112" i="13" s="1"/>
  <c r="O112" i="13"/>
  <c r="G120" i="13"/>
  <c r="B120" i="13"/>
  <c r="C120" i="12"/>
  <c r="F116" i="12"/>
  <c r="AZ95" i="2"/>
  <c r="BA95" i="2"/>
  <c r="AE97" i="7"/>
  <c r="AD97" i="7"/>
  <c r="AY96" i="2"/>
  <c r="C95" i="3"/>
  <c r="B94" i="3"/>
  <c r="J101" i="3"/>
  <c r="F93" i="3"/>
  <c r="E94" i="3"/>
  <c r="G90" i="1"/>
  <c r="D93" i="1"/>
  <c r="V105" i="9" l="1"/>
  <c r="V105" i="10"/>
  <c r="C95" i="9"/>
  <c r="D95" i="7"/>
  <c r="W120" i="14"/>
  <c r="Y120" i="14" s="1"/>
  <c r="H120" i="11"/>
  <c r="J120" i="11" s="1"/>
  <c r="AA121" i="17"/>
  <c r="AA121" i="16"/>
  <c r="AK121" i="15"/>
  <c r="B122" i="17"/>
  <c r="B122" i="11"/>
  <c r="B122" i="16"/>
  <c r="AG122" i="2"/>
  <c r="AF122" i="15" s="1"/>
  <c r="C122" i="15"/>
  <c r="AH122" i="2"/>
  <c r="AG122" i="15" s="1"/>
  <c r="AC122" i="2"/>
  <c r="AB122" i="15" s="1"/>
  <c r="AD122" i="2"/>
  <c r="AC122" i="15" s="1"/>
  <c r="AK122" i="2"/>
  <c r="AJ122" i="15" s="1"/>
  <c r="AI122" i="2"/>
  <c r="AH122" i="15" s="1"/>
  <c r="AL122" i="2"/>
  <c r="AJ122" i="2"/>
  <c r="AI122" i="15" s="1"/>
  <c r="AE122" i="2"/>
  <c r="AD122" i="15" s="1"/>
  <c r="AR122" i="2"/>
  <c r="AF122" i="2"/>
  <c r="AE122" i="15" s="1"/>
  <c r="I122" i="2"/>
  <c r="AG121" i="16"/>
  <c r="AQ121" i="15"/>
  <c r="AG121" i="17"/>
  <c r="H121" i="15"/>
  <c r="G121" i="17"/>
  <c r="G121" i="16"/>
  <c r="Z121" i="14"/>
  <c r="AB121" i="14" s="1"/>
  <c r="D121" i="11"/>
  <c r="G121" i="11"/>
  <c r="X106" i="2"/>
  <c r="V106" i="10" s="1"/>
  <c r="V107" i="4"/>
  <c r="Q105" i="16"/>
  <c r="Q105" i="17"/>
  <c r="R105" i="15"/>
  <c r="AT105" i="2"/>
  <c r="P105" i="17"/>
  <c r="P105" i="16"/>
  <c r="Q105" i="15"/>
  <c r="T107" i="4"/>
  <c r="V106" i="2"/>
  <c r="W105" i="17"/>
  <c r="W105" i="16"/>
  <c r="X105" i="15"/>
  <c r="M107" i="4"/>
  <c r="O106" i="2"/>
  <c r="AB106" i="2"/>
  <c r="Z107" i="4"/>
  <c r="K120" i="17"/>
  <c r="K120" i="16"/>
  <c r="L120" i="15"/>
  <c r="V105" i="16"/>
  <c r="W105" i="15"/>
  <c r="V105" i="17"/>
  <c r="H120" i="16"/>
  <c r="H120" i="17"/>
  <c r="I120" i="15"/>
  <c r="Q107" i="4"/>
  <c r="S106" i="2"/>
  <c r="P107" i="4"/>
  <c r="R106" i="2"/>
  <c r="L120" i="17"/>
  <c r="L120" i="16"/>
  <c r="M120" i="15"/>
  <c r="D120" i="17"/>
  <c r="D120" i="16"/>
  <c r="E120" i="15"/>
  <c r="F120" i="16"/>
  <c r="F120" i="17"/>
  <c r="G120" i="15"/>
  <c r="AA105" i="15"/>
  <c r="Z105" i="16"/>
  <c r="Z105" i="17"/>
  <c r="Z105" i="10"/>
  <c r="Z105" i="9"/>
  <c r="AA105" i="7"/>
  <c r="J122" i="4"/>
  <c r="M122" i="2" s="1"/>
  <c r="M121" i="2"/>
  <c r="O120" i="17"/>
  <c r="O120" i="16"/>
  <c r="P120" i="15"/>
  <c r="E120" i="17"/>
  <c r="E120" i="16"/>
  <c r="F120" i="15"/>
  <c r="G122" i="4"/>
  <c r="J122" i="2" s="1"/>
  <c r="J121" i="2"/>
  <c r="I120" i="16"/>
  <c r="I120" i="17"/>
  <c r="J120" i="15"/>
  <c r="U105" i="17"/>
  <c r="U105" i="16"/>
  <c r="V105" i="15"/>
  <c r="K122" i="4"/>
  <c r="N122" i="2" s="1"/>
  <c r="N121" i="2"/>
  <c r="C122" i="4"/>
  <c r="F122" i="2" s="1"/>
  <c r="F121" i="2"/>
  <c r="E122" i="4"/>
  <c r="H122" i="2" s="1"/>
  <c r="H121" i="2"/>
  <c r="R105" i="17"/>
  <c r="R105" i="16"/>
  <c r="S105" i="15"/>
  <c r="J120" i="17"/>
  <c r="J120" i="16"/>
  <c r="K120" i="15"/>
  <c r="O122" i="4"/>
  <c r="Q122" i="2" s="1"/>
  <c r="Q121" i="2"/>
  <c r="D122" i="4"/>
  <c r="G122" i="2" s="1"/>
  <c r="G121" i="2"/>
  <c r="H122" i="4"/>
  <c r="K122" i="2" s="1"/>
  <c r="K121" i="2"/>
  <c r="U107" i="4"/>
  <c r="W106" i="2"/>
  <c r="N105" i="17"/>
  <c r="N105" i="16"/>
  <c r="O105" i="15"/>
  <c r="Z106" i="2"/>
  <c r="X107" i="4"/>
  <c r="I122" i="4"/>
  <c r="L122" i="2" s="1"/>
  <c r="L121" i="2"/>
  <c r="AA106" i="2"/>
  <c r="Y107" i="4"/>
  <c r="C95" i="17"/>
  <c r="C95" i="16"/>
  <c r="D95" i="15"/>
  <c r="N107" i="4"/>
  <c r="P106" i="2"/>
  <c r="X105" i="17"/>
  <c r="X105" i="16"/>
  <c r="Y105" i="15"/>
  <c r="R107" i="4"/>
  <c r="T106" i="2"/>
  <c r="B104" i="14"/>
  <c r="D104" i="14" s="1"/>
  <c r="H104" i="14"/>
  <c r="J104" i="14" s="1"/>
  <c r="S105" i="17"/>
  <c r="S105" i="16"/>
  <c r="T105" i="15"/>
  <c r="Y105" i="16"/>
  <c r="Z105" i="15"/>
  <c r="Y105" i="17"/>
  <c r="B97" i="4"/>
  <c r="E96" i="2"/>
  <c r="C96" i="9" s="1"/>
  <c r="T105" i="17"/>
  <c r="T105" i="16"/>
  <c r="U105" i="15"/>
  <c r="Y106" i="2"/>
  <c r="W107" i="4"/>
  <c r="AS105" i="2"/>
  <c r="M105" i="16"/>
  <c r="AH105" i="16" s="1"/>
  <c r="K105" i="14" s="1"/>
  <c r="M105" i="14" s="1"/>
  <c r="M105" i="17"/>
  <c r="AH105" i="17" s="1"/>
  <c r="N105" i="14" s="1"/>
  <c r="P105" i="14" s="1"/>
  <c r="N105" i="15"/>
  <c r="AR105" i="15" s="1"/>
  <c r="E105" i="14" s="1"/>
  <c r="G105" i="14" s="1"/>
  <c r="S107" i="4"/>
  <c r="U107" i="2" s="1"/>
  <c r="C122" i="2"/>
  <c r="AC97" i="7"/>
  <c r="BB95" i="2"/>
  <c r="AX103" i="2"/>
  <c r="AW103" i="2"/>
  <c r="AF97" i="7"/>
  <c r="AH94" i="10"/>
  <c r="AH94" i="9"/>
  <c r="F103" i="10"/>
  <c r="F103" i="9"/>
  <c r="G103" i="7"/>
  <c r="M103" i="10"/>
  <c r="M103" i="9"/>
  <c r="N103" i="7"/>
  <c r="D103" i="12"/>
  <c r="G103" i="12"/>
  <c r="Q103" i="14" s="1"/>
  <c r="S103" i="14" s="1"/>
  <c r="K102" i="12"/>
  <c r="H102" i="12"/>
  <c r="J102" i="12" s="1"/>
  <c r="AR94" i="7"/>
  <c r="W105" i="10"/>
  <c r="W105" i="9"/>
  <c r="X105" i="7"/>
  <c r="I103" i="10"/>
  <c r="I103" i="9"/>
  <c r="J103" i="7"/>
  <c r="AC100" i="10"/>
  <c r="AC100" i="9"/>
  <c r="AM100" i="7"/>
  <c r="AB101" i="7"/>
  <c r="B104" i="12"/>
  <c r="T104" i="14" s="1"/>
  <c r="V104" i="14" s="1"/>
  <c r="B104" i="10"/>
  <c r="B104" i="9"/>
  <c r="C104" i="7"/>
  <c r="K103" i="10"/>
  <c r="K103" i="9"/>
  <c r="L103" i="7"/>
  <c r="U103" i="10"/>
  <c r="U103" i="9"/>
  <c r="V103" i="7"/>
  <c r="R103" i="10"/>
  <c r="R103" i="9"/>
  <c r="S103" i="7"/>
  <c r="O102" i="12"/>
  <c r="N102" i="12"/>
  <c r="M102" i="12"/>
  <c r="Y105" i="10"/>
  <c r="Y105" i="9"/>
  <c r="Z105" i="7"/>
  <c r="AG97" i="7"/>
  <c r="AG96" i="7"/>
  <c r="X105" i="10"/>
  <c r="X105" i="9"/>
  <c r="Y105" i="7"/>
  <c r="E103" i="10"/>
  <c r="E103" i="9"/>
  <c r="F103" i="7"/>
  <c r="O103" i="10"/>
  <c r="O103" i="9"/>
  <c r="P103" i="7"/>
  <c r="Q103" i="10"/>
  <c r="Q103" i="9"/>
  <c r="R103" i="7"/>
  <c r="L103" i="10"/>
  <c r="L103" i="9"/>
  <c r="M103" i="7"/>
  <c r="AD100" i="10"/>
  <c r="AD100" i="9"/>
  <c r="AN100" i="7"/>
  <c r="AB97" i="10"/>
  <c r="AB97" i="9"/>
  <c r="AL97" i="7"/>
  <c r="H103" i="10"/>
  <c r="H103" i="9"/>
  <c r="I103" i="7"/>
  <c r="J103" i="10"/>
  <c r="J103" i="9"/>
  <c r="K103" i="7"/>
  <c r="T103" i="10"/>
  <c r="T103" i="9"/>
  <c r="U103" i="7"/>
  <c r="P103" i="10"/>
  <c r="P103" i="9"/>
  <c r="Q103" i="7"/>
  <c r="AI101" i="7"/>
  <c r="AI100" i="7"/>
  <c r="AF104" i="10"/>
  <c r="AF104" i="9"/>
  <c r="AP104" i="7"/>
  <c r="S103" i="10"/>
  <c r="S103" i="9"/>
  <c r="T103" i="7"/>
  <c r="AH101" i="7"/>
  <c r="AE101" i="10"/>
  <c r="AE101" i="9"/>
  <c r="AO101" i="7"/>
  <c r="AG95" i="10"/>
  <c r="AG95" i="9"/>
  <c r="AQ95" i="7"/>
  <c r="AA95" i="10"/>
  <c r="AA95" i="9"/>
  <c r="AK95" i="7"/>
  <c r="G103" i="10"/>
  <c r="G103" i="9"/>
  <c r="H103" i="7"/>
  <c r="D103" i="10"/>
  <c r="D103" i="9"/>
  <c r="E103" i="7"/>
  <c r="N103" i="10"/>
  <c r="N103" i="9"/>
  <c r="O103" i="7"/>
  <c r="AJ101" i="7"/>
  <c r="K112" i="13"/>
  <c r="E114" i="13"/>
  <c r="H114" i="13"/>
  <c r="I113" i="13"/>
  <c r="L113" i="13" s="1"/>
  <c r="M113" i="13"/>
  <c r="K113" i="13"/>
  <c r="B121" i="13"/>
  <c r="G121" i="13"/>
  <c r="F117" i="12"/>
  <c r="C121" i="12"/>
  <c r="AZ96" i="2"/>
  <c r="BA96" i="2"/>
  <c r="AE98" i="7"/>
  <c r="AD98" i="7"/>
  <c r="C96" i="3"/>
  <c r="B95" i="3"/>
  <c r="F94" i="3"/>
  <c r="E95" i="3"/>
  <c r="J102" i="3"/>
  <c r="G91" i="1"/>
  <c r="D94" i="1"/>
  <c r="W106" i="7" l="1"/>
  <c r="V106" i="9"/>
  <c r="W121" i="14"/>
  <c r="Y121" i="14" s="1"/>
  <c r="H121" i="11"/>
  <c r="J121" i="11" s="1"/>
  <c r="AA122" i="17"/>
  <c r="AA122" i="16"/>
  <c r="AK122" i="15"/>
  <c r="G122" i="17"/>
  <c r="G122" i="16"/>
  <c r="H122" i="15"/>
  <c r="AG122" i="17"/>
  <c r="AQ122" i="15"/>
  <c r="AG122" i="16"/>
  <c r="Z122" i="14"/>
  <c r="AB122" i="14" s="1"/>
  <c r="D122" i="11"/>
  <c r="G122" i="11"/>
  <c r="N108" i="4"/>
  <c r="P107" i="2"/>
  <c r="J121" i="17"/>
  <c r="J121" i="16"/>
  <c r="K121" i="15"/>
  <c r="E122" i="17"/>
  <c r="E122" i="16"/>
  <c r="F122" i="15"/>
  <c r="D122" i="17"/>
  <c r="D122" i="16"/>
  <c r="E122" i="15"/>
  <c r="K122" i="17"/>
  <c r="K122" i="16"/>
  <c r="L122" i="15"/>
  <c r="P108" i="4"/>
  <c r="R107" i="2"/>
  <c r="AB107" i="2"/>
  <c r="Z108" i="4"/>
  <c r="H105" i="14"/>
  <c r="J105" i="14" s="1"/>
  <c r="B105" i="14"/>
  <c r="D105" i="14" s="1"/>
  <c r="C96" i="16"/>
  <c r="C96" i="17"/>
  <c r="D96" i="15"/>
  <c r="R108" i="4"/>
  <c r="T107" i="2"/>
  <c r="J122" i="17"/>
  <c r="J122" i="16"/>
  <c r="K122" i="15"/>
  <c r="U106" i="16"/>
  <c r="U106" i="17"/>
  <c r="V106" i="15"/>
  <c r="O121" i="17"/>
  <c r="O121" i="16"/>
  <c r="P121" i="15"/>
  <c r="L121" i="17"/>
  <c r="L121" i="16"/>
  <c r="M121" i="15"/>
  <c r="Q106" i="16"/>
  <c r="Q106" i="17"/>
  <c r="R106" i="15"/>
  <c r="AT106" i="2"/>
  <c r="Z106" i="17"/>
  <c r="Z106" i="16"/>
  <c r="AA106" i="15"/>
  <c r="AA106" i="7"/>
  <c r="Z106" i="10"/>
  <c r="Z106" i="9"/>
  <c r="T106" i="17"/>
  <c r="T106" i="16"/>
  <c r="U106" i="15"/>
  <c r="S106" i="17"/>
  <c r="S106" i="16"/>
  <c r="T106" i="15"/>
  <c r="Y107" i="2"/>
  <c r="W108" i="4"/>
  <c r="B98" i="4"/>
  <c r="E97" i="2"/>
  <c r="D97" i="7" s="1"/>
  <c r="Z107" i="2"/>
  <c r="X108" i="4"/>
  <c r="U108" i="4"/>
  <c r="W107" i="2"/>
  <c r="O122" i="16"/>
  <c r="O122" i="17"/>
  <c r="P122" i="15"/>
  <c r="L122" i="17"/>
  <c r="L122" i="16"/>
  <c r="M122" i="15"/>
  <c r="Q108" i="4"/>
  <c r="S107" i="2"/>
  <c r="AS106" i="2"/>
  <c r="M106" i="17"/>
  <c r="AH106" i="17" s="1"/>
  <c r="N106" i="14" s="1"/>
  <c r="P106" i="14" s="1"/>
  <c r="M106" i="16"/>
  <c r="AH106" i="16" s="1"/>
  <c r="K106" i="14" s="1"/>
  <c r="M106" i="14" s="1"/>
  <c r="N106" i="15"/>
  <c r="AR106" i="15" s="1"/>
  <c r="E106" i="14" s="1"/>
  <c r="G106" i="14" s="1"/>
  <c r="T108" i="4"/>
  <c r="V107" i="2"/>
  <c r="D96" i="7"/>
  <c r="S108" i="4"/>
  <c r="U108" i="2" s="1"/>
  <c r="W106" i="17"/>
  <c r="W106" i="16"/>
  <c r="X106" i="15"/>
  <c r="X106" i="17"/>
  <c r="X106" i="16"/>
  <c r="Y106" i="15"/>
  <c r="I121" i="17"/>
  <c r="I121" i="16"/>
  <c r="J121" i="15"/>
  <c r="F121" i="16"/>
  <c r="F121" i="17"/>
  <c r="G121" i="15"/>
  <c r="H121" i="17"/>
  <c r="H121" i="16"/>
  <c r="I121" i="15"/>
  <c r="M108" i="4"/>
  <c r="O107" i="2"/>
  <c r="AA107" i="2"/>
  <c r="Y108" i="4"/>
  <c r="I122" i="16"/>
  <c r="I122" i="17"/>
  <c r="J122" i="15"/>
  <c r="F122" i="17"/>
  <c r="F122" i="16"/>
  <c r="G122" i="15"/>
  <c r="H122" i="17"/>
  <c r="H122" i="16"/>
  <c r="I122" i="15"/>
  <c r="X107" i="2"/>
  <c r="V107" i="10" s="1"/>
  <c r="V108" i="4"/>
  <c r="C96" i="10"/>
  <c r="R106" i="17"/>
  <c r="R106" i="16"/>
  <c r="S106" i="15"/>
  <c r="N106" i="17"/>
  <c r="N106" i="16"/>
  <c r="O106" i="15"/>
  <c r="Z106" i="15"/>
  <c r="Y106" i="17"/>
  <c r="Y106" i="16"/>
  <c r="E121" i="17"/>
  <c r="E121" i="16"/>
  <c r="F121" i="15"/>
  <c r="D121" i="17"/>
  <c r="D121" i="16"/>
  <c r="E121" i="15"/>
  <c r="K121" i="17"/>
  <c r="K121" i="16"/>
  <c r="L121" i="15"/>
  <c r="P106" i="17"/>
  <c r="P106" i="16"/>
  <c r="Q106" i="15"/>
  <c r="V106" i="16"/>
  <c r="W106" i="15"/>
  <c r="V106" i="17"/>
  <c r="AC98" i="7"/>
  <c r="BB96" i="2"/>
  <c r="AX104" i="2"/>
  <c r="AY97" i="2"/>
  <c r="AF98" i="7"/>
  <c r="AW104" i="2"/>
  <c r="AR95" i="7"/>
  <c r="AH95" i="10"/>
  <c r="AH95" i="9"/>
  <c r="AD101" i="10"/>
  <c r="AD101" i="9"/>
  <c r="AN101" i="7"/>
  <c r="W106" i="10"/>
  <c r="W106" i="9"/>
  <c r="X106" i="7"/>
  <c r="E104" i="10"/>
  <c r="E104" i="9"/>
  <c r="F104" i="7"/>
  <c r="T104" i="10"/>
  <c r="T104" i="9"/>
  <c r="U104" i="7"/>
  <c r="D104" i="12"/>
  <c r="G104" i="12"/>
  <c r="Q104" i="14" s="1"/>
  <c r="S104" i="14" s="1"/>
  <c r="V107" i="9"/>
  <c r="I104" i="10"/>
  <c r="I104" i="9"/>
  <c r="J104" i="7"/>
  <c r="H104" i="10"/>
  <c r="H104" i="9"/>
  <c r="I104" i="7"/>
  <c r="R104" i="10"/>
  <c r="R104" i="9"/>
  <c r="S104" i="7"/>
  <c r="N104" i="10"/>
  <c r="N104" i="9"/>
  <c r="O104" i="7"/>
  <c r="O104" i="10"/>
  <c r="O104" i="9"/>
  <c r="P104" i="7"/>
  <c r="AG96" i="10"/>
  <c r="AG96" i="9"/>
  <c r="AQ96" i="7"/>
  <c r="G104" i="10"/>
  <c r="G104" i="9"/>
  <c r="H104" i="7"/>
  <c r="Q104" i="10"/>
  <c r="Q104" i="9"/>
  <c r="R104" i="7"/>
  <c r="S104" i="10"/>
  <c r="S104" i="9"/>
  <c r="T104" i="7"/>
  <c r="X106" i="10"/>
  <c r="X106" i="9"/>
  <c r="Y106" i="7"/>
  <c r="K103" i="12"/>
  <c r="H103" i="12"/>
  <c r="J103" i="12" s="1"/>
  <c r="K104" i="10"/>
  <c r="K104" i="9"/>
  <c r="L104" i="7"/>
  <c r="AE102" i="10"/>
  <c r="AE102" i="9"/>
  <c r="AO102" i="7"/>
  <c r="AB98" i="10"/>
  <c r="AB98" i="9"/>
  <c r="AL98" i="7"/>
  <c r="AJ102" i="7"/>
  <c r="AH102" i="7"/>
  <c r="Y106" i="10"/>
  <c r="Y106" i="9"/>
  <c r="Z106" i="7"/>
  <c r="B105" i="12"/>
  <c r="T105" i="14" s="1"/>
  <c r="V105" i="14" s="1"/>
  <c r="B105" i="10"/>
  <c r="B105" i="9"/>
  <c r="C105" i="7"/>
  <c r="J104" i="10"/>
  <c r="J104" i="9"/>
  <c r="K104" i="7"/>
  <c r="L104" i="10"/>
  <c r="L104" i="9"/>
  <c r="M104" i="7"/>
  <c r="P104" i="10"/>
  <c r="P104" i="9"/>
  <c r="Q104" i="7"/>
  <c r="M104" i="10"/>
  <c r="M104" i="9"/>
  <c r="N104" i="7"/>
  <c r="AB102" i="7"/>
  <c r="AF105" i="10"/>
  <c r="AF105" i="9"/>
  <c r="AP105" i="7"/>
  <c r="AC101" i="10"/>
  <c r="AC101" i="9"/>
  <c r="AM101" i="7"/>
  <c r="AA96" i="10"/>
  <c r="AA96" i="9"/>
  <c r="AK96" i="7"/>
  <c r="D104" i="10"/>
  <c r="D104" i="9"/>
  <c r="E104" i="7"/>
  <c r="F104" i="10"/>
  <c r="F104" i="9"/>
  <c r="G104" i="7"/>
  <c r="U104" i="10"/>
  <c r="U104" i="9"/>
  <c r="V104" i="7"/>
  <c r="M114" i="13"/>
  <c r="I114" i="13"/>
  <c r="L114" i="13" s="1"/>
  <c r="E115" i="13"/>
  <c r="H115" i="13"/>
  <c r="G122" i="13"/>
  <c r="B122" i="13"/>
  <c r="C122" i="12"/>
  <c r="F118" i="12"/>
  <c r="AZ97" i="2"/>
  <c r="BA97" i="2"/>
  <c r="AE99" i="7"/>
  <c r="AD99" i="7"/>
  <c r="AY98" i="2"/>
  <c r="C97" i="3"/>
  <c r="B96" i="3"/>
  <c r="F95" i="3"/>
  <c r="E96" i="3"/>
  <c r="J103" i="3"/>
  <c r="G92" i="1"/>
  <c r="D95" i="1"/>
  <c r="C97" i="9" l="1"/>
  <c r="C97" i="10"/>
  <c r="W107" i="7"/>
  <c r="W122" i="14"/>
  <c r="Y122" i="14" s="1"/>
  <c r="H122" i="11"/>
  <c r="N122" i="11" s="1"/>
  <c r="M109" i="4"/>
  <c r="O108" i="2"/>
  <c r="S109" i="4"/>
  <c r="U109" i="2" s="1"/>
  <c r="Z108" i="2"/>
  <c r="X109" i="4"/>
  <c r="R109" i="4"/>
  <c r="T108" i="2"/>
  <c r="AB108" i="2"/>
  <c r="Z109" i="4"/>
  <c r="H106" i="14"/>
  <c r="J106" i="14" s="1"/>
  <c r="B106" i="14"/>
  <c r="D106" i="14" s="1"/>
  <c r="X107" i="16"/>
  <c r="Y107" i="15"/>
  <c r="X107" i="17"/>
  <c r="Z107" i="17"/>
  <c r="Z107" i="16"/>
  <c r="AA107" i="15"/>
  <c r="Z107" i="10"/>
  <c r="Z107" i="9"/>
  <c r="AA107" i="7"/>
  <c r="T107" i="17"/>
  <c r="T107" i="16"/>
  <c r="U107" i="15"/>
  <c r="Q107" i="16"/>
  <c r="Q107" i="17"/>
  <c r="R107" i="15"/>
  <c r="AT107" i="2"/>
  <c r="C97" i="16"/>
  <c r="C97" i="17"/>
  <c r="D97" i="15"/>
  <c r="P107" i="17"/>
  <c r="P107" i="16"/>
  <c r="Q107" i="15"/>
  <c r="X108" i="2"/>
  <c r="V108" i="10" s="1"/>
  <c r="V109" i="4"/>
  <c r="AA108" i="2"/>
  <c r="Y109" i="4"/>
  <c r="T109" i="4"/>
  <c r="V108" i="2"/>
  <c r="Q109" i="4"/>
  <c r="S108" i="2"/>
  <c r="B99" i="4"/>
  <c r="E98" i="2"/>
  <c r="C98" i="9" s="1"/>
  <c r="P109" i="4"/>
  <c r="R108" i="2"/>
  <c r="V107" i="16"/>
  <c r="W107" i="15"/>
  <c r="V107" i="17"/>
  <c r="Y107" i="17"/>
  <c r="Z107" i="15"/>
  <c r="Y107" i="16"/>
  <c r="U107" i="17"/>
  <c r="U107" i="16"/>
  <c r="V107" i="15"/>
  <c r="Y108" i="2"/>
  <c r="W109" i="4"/>
  <c r="R107" i="17"/>
  <c r="R107" i="16"/>
  <c r="S107" i="15"/>
  <c r="N107" i="17"/>
  <c r="N107" i="16"/>
  <c r="O107" i="15"/>
  <c r="AS107" i="2"/>
  <c r="M107" i="17"/>
  <c r="AH107" i="17" s="1"/>
  <c r="N107" i="14" s="1"/>
  <c r="P107" i="14" s="1"/>
  <c r="M107" i="16"/>
  <c r="AH107" i="16" s="1"/>
  <c r="K107" i="14" s="1"/>
  <c r="M107" i="14" s="1"/>
  <c r="N107" i="15"/>
  <c r="AR107" i="15" s="1"/>
  <c r="E107" i="14" s="1"/>
  <c r="G107" i="14" s="1"/>
  <c r="S107" i="17"/>
  <c r="S107" i="16"/>
  <c r="T107" i="15"/>
  <c r="U109" i="4"/>
  <c r="W108" i="2"/>
  <c r="W107" i="17"/>
  <c r="W107" i="16"/>
  <c r="X107" i="15"/>
  <c r="N109" i="4"/>
  <c r="P108" i="2"/>
  <c r="AC99" i="7"/>
  <c r="BB97" i="2"/>
  <c r="AW105" i="2"/>
  <c r="AF99" i="7"/>
  <c r="AX105" i="2"/>
  <c r="AH96" i="9"/>
  <c r="AR96" i="7"/>
  <c r="AH96" i="10"/>
  <c r="AA97" i="10"/>
  <c r="AA97" i="9"/>
  <c r="AK97" i="7"/>
  <c r="AB103" i="7"/>
  <c r="K105" i="10"/>
  <c r="K105" i="9"/>
  <c r="L105" i="7"/>
  <c r="H105" i="10"/>
  <c r="H105" i="9"/>
  <c r="I105" i="7"/>
  <c r="S105" i="10"/>
  <c r="S105" i="9"/>
  <c r="T105" i="7"/>
  <c r="AG97" i="10"/>
  <c r="AG97" i="9"/>
  <c r="AQ97" i="7"/>
  <c r="D98" i="7"/>
  <c r="K114" i="13"/>
  <c r="E105" i="10"/>
  <c r="E105" i="9"/>
  <c r="F105" i="7"/>
  <c r="G105" i="10"/>
  <c r="G105" i="9"/>
  <c r="H105" i="7"/>
  <c r="M105" i="10"/>
  <c r="M105" i="9"/>
  <c r="N105" i="7"/>
  <c r="D105" i="12"/>
  <c r="G105" i="12"/>
  <c r="Q105" i="14" s="1"/>
  <c r="S105" i="14" s="1"/>
  <c r="AH103" i="7"/>
  <c r="J105" i="10"/>
  <c r="J105" i="9"/>
  <c r="K105" i="7"/>
  <c r="U105" i="10"/>
  <c r="U105" i="9"/>
  <c r="V105" i="7"/>
  <c r="R105" i="10"/>
  <c r="R105" i="9"/>
  <c r="S105" i="7"/>
  <c r="AG99" i="7"/>
  <c r="AG98" i="7"/>
  <c r="AF106" i="10"/>
  <c r="AF106" i="9"/>
  <c r="AP106" i="7"/>
  <c r="AE103" i="10"/>
  <c r="AE103" i="9"/>
  <c r="AO103" i="7"/>
  <c r="X107" i="10"/>
  <c r="X107" i="9"/>
  <c r="Y107" i="7"/>
  <c r="D105" i="10"/>
  <c r="D105" i="9"/>
  <c r="E105" i="7"/>
  <c r="O105" i="10"/>
  <c r="O105" i="9"/>
  <c r="P105" i="7"/>
  <c r="Q105" i="10"/>
  <c r="Q105" i="9"/>
  <c r="R105" i="7"/>
  <c r="AI103" i="7"/>
  <c r="AI102" i="7"/>
  <c r="AC102" i="10"/>
  <c r="AC102" i="9"/>
  <c r="AM102" i="7"/>
  <c r="Y107" i="10"/>
  <c r="Y107" i="9"/>
  <c r="Z107" i="7"/>
  <c r="B106" i="12"/>
  <c r="T106" i="14" s="1"/>
  <c r="V106" i="14" s="1"/>
  <c r="B106" i="10"/>
  <c r="B106" i="9"/>
  <c r="C106" i="7"/>
  <c r="L105" i="10"/>
  <c r="L105" i="9"/>
  <c r="M105" i="7"/>
  <c r="I105" i="10"/>
  <c r="I105" i="9"/>
  <c r="J105" i="7"/>
  <c r="T105" i="10"/>
  <c r="T105" i="9"/>
  <c r="U105" i="7"/>
  <c r="P105" i="10"/>
  <c r="P105" i="9"/>
  <c r="Q105" i="7"/>
  <c r="AJ103" i="7"/>
  <c r="K104" i="12"/>
  <c r="H104" i="12"/>
  <c r="J104" i="12" s="1"/>
  <c r="AD102" i="10"/>
  <c r="AD102" i="9"/>
  <c r="AN102" i="7"/>
  <c r="AB99" i="10"/>
  <c r="AB99" i="9"/>
  <c r="AL99" i="7"/>
  <c r="F105" i="10"/>
  <c r="F105" i="9"/>
  <c r="G105" i="7"/>
  <c r="N105" i="10"/>
  <c r="N105" i="9"/>
  <c r="O105" i="7"/>
  <c r="W107" i="10"/>
  <c r="W107" i="9"/>
  <c r="X107" i="7"/>
  <c r="E116" i="13"/>
  <c r="H116" i="13"/>
  <c r="I115" i="13"/>
  <c r="K115" i="13" s="1"/>
  <c r="M115" i="13"/>
  <c r="F119" i="12"/>
  <c r="AZ98" i="2"/>
  <c r="BA98" i="2"/>
  <c r="AE100" i="7"/>
  <c r="AD100" i="7"/>
  <c r="C98" i="3"/>
  <c r="B97" i="3"/>
  <c r="F96" i="3"/>
  <c r="E97" i="3"/>
  <c r="J104" i="3"/>
  <c r="G93" i="1"/>
  <c r="D96" i="1"/>
  <c r="K122" i="11" l="1"/>
  <c r="W108" i="7"/>
  <c r="C98" i="10"/>
  <c r="L122" i="11"/>
  <c r="V108" i="9"/>
  <c r="M122" i="11"/>
  <c r="J122" i="11"/>
  <c r="N108" i="17"/>
  <c r="N108" i="16"/>
  <c r="O108" i="15"/>
  <c r="U110" i="4"/>
  <c r="W109" i="2"/>
  <c r="Q110" i="4"/>
  <c r="S109" i="2"/>
  <c r="V108" i="16"/>
  <c r="W108" i="15"/>
  <c r="V108" i="17"/>
  <c r="Z109" i="2"/>
  <c r="X110" i="4"/>
  <c r="N110" i="4"/>
  <c r="P109" i="2"/>
  <c r="H107" i="14"/>
  <c r="J107" i="14" s="1"/>
  <c r="B107" i="14"/>
  <c r="D107" i="14" s="1"/>
  <c r="P108" i="17"/>
  <c r="P108" i="16"/>
  <c r="Q108" i="15"/>
  <c r="T108" i="17"/>
  <c r="T108" i="16"/>
  <c r="U108" i="15"/>
  <c r="AB109" i="2"/>
  <c r="Z110" i="4"/>
  <c r="X108" i="16"/>
  <c r="Y108" i="15"/>
  <c r="X108" i="17"/>
  <c r="Y109" i="2"/>
  <c r="W110" i="4"/>
  <c r="P110" i="4"/>
  <c r="R109" i="2"/>
  <c r="T110" i="4"/>
  <c r="V109" i="2"/>
  <c r="AA108" i="15"/>
  <c r="Z108" i="16"/>
  <c r="Z108" i="17"/>
  <c r="Z108" i="10"/>
  <c r="Z108" i="9"/>
  <c r="AA108" i="7"/>
  <c r="S108" i="16"/>
  <c r="S108" i="17"/>
  <c r="T108" i="15"/>
  <c r="W108" i="17"/>
  <c r="W108" i="16"/>
  <c r="X108" i="15"/>
  <c r="C98" i="17"/>
  <c r="C98" i="16"/>
  <c r="D98" i="15"/>
  <c r="AA109" i="2"/>
  <c r="Y110" i="4"/>
  <c r="R108" i="17"/>
  <c r="R108" i="16"/>
  <c r="S108" i="15"/>
  <c r="S110" i="4"/>
  <c r="U110" i="2" s="1"/>
  <c r="B100" i="4"/>
  <c r="E99" i="2"/>
  <c r="C99" i="10" s="1"/>
  <c r="Z108" i="15"/>
  <c r="Y108" i="17"/>
  <c r="Y108" i="16"/>
  <c r="AS108" i="2"/>
  <c r="M108" i="16"/>
  <c r="AH108" i="16" s="1"/>
  <c r="K108" i="14" s="1"/>
  <c r="M108" i="14" s="1"/>
  <c r="M108" i="17"/>
  <c r="AH108" i="17" s="1"/>
  <c r="N108" i="14" s="1"/>
  <c r="P108" i="14" s="1"/>
  <c r="N108" i="15"/>
  <c r="AR108" i="15" s="1"/>
  <c r="E108" i="14" s="1"/>
  <c r="G108" i="14" s="1"/>
  <c r="U108" i="17"/>
  <c r="U108" i="16"/>
  <c r="V108" i="15"/>
  <c r="Q108" i="16"/>
  <c r="Q108" i="17"/>
  <c r="R108" i="15"/>
  <c r="AT108" i="2"/>
  <c r="X109" i="2"/>
  <c r="V110" i="4"/>
  <c r="R110" i="4"/>
  <c r="T109" i="2"/>
  <c r="M110" i="4"/>
  <c r="O109" i="2"/>
  <c r="AC100" i="7"/>
  <c r="BB98" i="2"/>
  <c r="AY99" i="2"/>
  <c r="AX106" i="2"/>
  <c r="AF100" i="7"/>
  <c r="AW106" i="2"/>
  <c r="AR97" i="7"/>
  <c r="AH97" i="10"/>
  <c r="H106" i="10"/>
  <c r="H106" i="9"/>
  <c r="I106" i="7"/>
  <c r="P106" i="10"/>
  <c r="P106" i="9"/>
  <c r="Q106" i="7"/>
  <c r="AH104" i="7"/>
  <c r="AC103" i="10"/>
  <c r="AC103" i="9"/>
  <c r="AM103" i="7"/>
  <c r="AJ104" i="7"/>
  <c r="G106" i="10"/>
  <c r="G106" i="9"/>
  <c r="H106" i="7"/>
  <c r="D106" i="10"/>
  <c r="D106" i="9"/>
  <c r="E106" i="7"/>
  <c r="U106" i="10"/>
  <c r="U106" i="9"/>
  <c r="V106" i="7"/>
  <c r="K105" i="12"/>
  <c r="H105" i="12"/>
  <c r="J105" i="12" s="1"/>
  <c r="J106" i="10"/>
  <c r="J106" i="9"/>
  <c r="K106" i="7"/>
  <c r="AD103" i="10"/>
  <c r="AD103" i="9"/>
  <c r="AN103" i="7"/>
  <c r="L106" i="10"/>
  <c r="L106" i="9"/>
  <c r="M106" i="7"/>
  <c r="I106" i="10"/>
  <c r="I106" i="9"/>
  <c r="J106" i="7"/>
  <c r="O106" i="10"/>
  <c r="O106" i="9"/>
  <c r="P106" i="7"/>
  <c r="AH97" i="9"/>
  <c r="AB104" i="7"/>
  <c r="B107" i="12"/>
  <c r="T107" i="14" s="1"/>
  <c r="V107" i="14" s="1"/>
  <c r="B107" i="10"/>
  <c r="B107" i="9"/>
  <c r="C107" i="7"/>
  <c r="F106" i="10"/>
  <c r="F106" i="9"/>
  <c r="G106" i="7"/>
  <c r="T106" i="10"/>
  <c r="T106" i="9"/>
  <c r="U106" i="7"/>
  <c r="D106" i="12"/>
  <c r="G106" i="12"/>
  <c r="Q106" i="14" s="1"/>
  <c r="S106" i="14" s="1"/>
  <c r="AE104" i="10"/>
  <c r="AE104" i="9"/>
  <c r="AO104" i="7"/>
  <c r="M106" i="10"/>
  <c r="M106" i="9"/>
  <c r="N106" i="7"/>
  <c r="AF107" i="10"/>
  <c r="AF107" i="9"/>
  <c r="AP107" i="7"/>
  <c r="AB100" i="10"/>
  <c r="AB100" i="9"/>
  <c r="AL100" i="7"/>
  <c r="Y108" i="10"/>
  <c r="Y108" i="9"/>
  <c r="Z108" i="7"/>
  <c r="K106" i="10"/>
  <c r="K106" i="9"/>
  <c r="L106" i="7"/>
  <c r="R106" i="10"/>
  <c r="R106" i="9"/>
  <c r="S106" i="7"/>
  <c r="N106" i="10"/>
  <c r="N106" i="9"/>
  <c r="O106" i="7"/>
  <c r="AG98" i="10"/>
  <c r="AG98" i="9"/>
  <c r="AQ98" i="7"/>
  <c r="AA98" i="10"/>
  <c r="AA98" i="9"/>
  <c r="AK98" i="7"/>
  <c r="E106" i="10"/>
  <c r="E106" i="9"/>
  <c r="F106" i="7"/>
  <c r="Q106" i="10"/>
  <c r="Q106" i="9"/>
  <c r="R106" i="7"/>
  <c r="S106" i="10"/>
  <c r="S106" i="9"/>
  <c r="T106" i="7"/>
  <c r="X108" i="10"/>
  <c r="X108" i="9"/>
  <c r="Y108" i="7"/>
  <c r="V109" i="10"/>
  <c r="V109" i="9"/>
  <c r="W109" i="7"/>
  <c r="W108" i="10"/>
  <c r="W108" i="9"/>
  <c r="X108" i="7"/>
  <c r="L115" i="13"/>
  <c r="M116" i="13"/>
  <c r="I116" i="13"/>
  <c r="K116" i="13" s="1"/>
  <c r="E117" i="13"/>
  <c r="N117" i="13" s="1"/>
  <c r="H117" i="13"/>
  <c r="F120" i="12"/>
  <c r="AZ99" i="2"/>
  <c r="BA99" i="2"/>
  <c r="AE101" i="7"/>
  <c r="AD101" i="7"/>
  <c r="AY100" i="2"/>
  <c r="C99" i="3"/>
  <c r="B98" i="3"/>
  <c r="J105" i="3"/>
  <c r="F97" i="3"/>
  <c r="E98" i="3"/>
  <c r="G94" i="1"/>
  <c r="D97" i="1"/>
  <c r="D99" i="7" l="1"/>
  <c r="C99" i="9"/>
  <c r="AS109" i="2"/>
  <c r="M109" i="17"/>
  <c r="AH109" i="17" s="1"/>
  <c r="N109" i="14" s="1"/>
  <c r="P109" i="14" s="1"/>
  <c r="M109" i="16"/>
  <c r="AH109" i="16" s="1"/>
  <c r="K109" i="14" s="1"/>
  <c r="M109" i="14" s="1"/>
  <c r="N109" i="15"/>
  <c r="AR109" i="15" s="1"/>
  <c r="E109" i="14" s="1"/>
  <c r="G109" i="14" s="1"/>
  <c r="V109" i="16"/>
  <c r="W109" i="15"/>
  <c r="V109" i="17"/>
  <c r="S111" i="4"/>
  <c r="U111" i="2" s="1"/>
  <c r="P111" i="4"/>
  <c r="R110" i="2"/>
  <c r="AB110" i="2"/>
  <c r="Z111" i="4"/>
  <c r="Z110" i="2"/>
  <c r="X111" i="4"/>
  <c r="Q111" i="4"/>
  <c r="S110" i="2"/>
  <c r="M111" i="4"/>
  <c r="O110" i="2"/>
  <c r="Y110" i="2"/>
  <c r="W111" i="4"/>
  <c r="Z109" i="16"/>
  <c r="Z109" i="17"/>
  <c r="AA109" i="15"/>
  <c r="Z109" i="10"/>
  <c r="Z109" i="9"/>
  <c r="AA109" i="7"/>
  <c r="X109" i="17"/>
  <c r="Y109" i="15"/>
  <c r="X109" i="16"/>
  <c r="U109" i="16"/>
  <c r="U109" i="17"/>
  <c r="V109" i="15"/>
  <c r="R109" i="16"/>
  <c r="R109" i="17"/>
  <c r="S109" i="15"/>
  <c r="W109" i="17"/>
  <c r="X109" i="15"/>
  <c r="W109" i="16"/>
  <c r="U111" i="4"/>
  <c r="W110" i="2"/>
  <c r="C99" i="17"/>
  <c r="C99" i="16"/>
  <c r="D99" i="15"/>
  <c r="T109" i="17"/>
  <c r="T109" i="16"/>
  <c r="U109" i="15"/>
  <c r="R111" i="4"/>
  <c r="T110" i="2"/>
  <c r="B101" i="4"/>
  <c r="E100" i="2"/>
  <c r="C100" i="10" s="1"/>
  <c r="AA110" i="2"/>
  <c r="Y111" i="4"/>
  <c r="T111" i="4"/>
  <c r="V110" i="2"/>
  <c r="N109" i="17"/>
  <c r="N109" i="16"/>
  <c r="O109" i="15"/>
  <c r="X110" i="2"/>
  <c r="V110" i="10" s="1"/>
  <c r="V111" i="4"/>
  <c r="H108" i="14"/>
  <c r="J108" i="14" s="1"/>
  <c r="B108" i="14"/>
  <c r="D108" i="14" s="1"/>
  <c r="S109" i="17"/>
  <c r="S109" i="16"/>
  <c r="T109" i="15"/>
  <c r="Z109" i="15"/>
  <c r="Y109" i="17"/>
  <c r="Y109" i="16"/>
  <c r="P109" i="17"/>
  <c r="P109" i="16"/>
  <c r="Q109" i="15"/>
  <c r="N111" i="4"/>
  <c r="P110" i="2"/>
  <c r="Q109" i="16"/>
  <c r="Q109" i="17"/>
  <c r="R109" i="15"/>
  <c r="AT109" i="2"/>
  <c r="AC101" i="7"/>
  <c r="BB99" i="2"/>
  <c r="AW107" i="2"/>
  <c r="AF101" i="7"/>
  <c r="AX107" i="2"/>
  <c r="AR98" i="7"/>
  <c r="Y109" i="10"/>
  <c r="Y109" i="9"/>
  <c r="Z109" i="7"/>
  <c r="P107" i="10"/>
  <c r="P107" i="9"/>
  <c r="Q107" i="7"/>
  <c r="AJ105" i="7"/>
  <c r="K106" i="12"/>
  <c r="H106" i="12"/>
  <c r="J106" i="12" s="1"/>
  <c r="D107" i="10"/>
  <c r="D107" i="9"/>
  <c r="E107" i="7"/>
  <c r="F107" i="10"/>
  <c r="F107" i="9"/>
  <c r="G107" i="7"/>
  <c r="N107" i="10"/>
  <c r="N107" i="9"/>
  <c r="O107" i="7"/>
  <c r="AB105" i="7"/>
  <c r="AG99" i="10"/>
  <c r="AG99" i="9"/>
  <c r="AQ99" i="7"/>
  <c r="X109" i="10"/>
  <c r="X109" i="9"/>
  <c r="Y109" i="7"/>
  <c r="B108" i="12"/>
  <c r="T108" i="14" s="1"/>
  <c r="V108" i="14" s="1"/>
  <c r="B108" i="10"/>
  <c r="B108" i="9"/>
  <c r="C108" i="7"/>
  <c r="I107" i="10"/>
  <c r="I107" i="9"/>
  <c r="J107" i="7"/>
  <c r="K107" i="10"/>
  <c r="K107" i="9"/>
  <c r="L107" i="7"/>
  <c r="S107" i="10"/>
  <c r="S107" i="9"/>
  <c r="T107" i="7"/>
  <c r="AF108" i="10"/>
  <c r="AF108" i="9"/>
  <c r="AP108" i="7"/>
  <c r="J107" i="10"/>
  <c r="J107" i="9"/>
  <c r="K107" i="7"/>
  <c r="AE105" i="10"/>
  <c r="AE105" i="9"/>
  <c r="AO105" i="7"/>
  <c r="AH98" i="9"/>
  <c r="E107" i="10"/>
  <c r="E107" i="9"/>
  <c r="F107" i="7"/>
  <c r="M107" i="10"/>
  <c r="M107" i="9"/>
  <c r="N107" i="7"/>
  <c r="D107" i="12"/>
  <c r="M107" i="12" s="1"/>
  <c r="G107" i="12"/>
  <c r="Q107" i="14" s="1"/>
  <c r="S107" i="14" s="1"/>
  <c r="L107" i="10"/>
  <c r="L107" i="9"/>
  <c r="M107" i="7"/>
  <c r="AC104" i="10"/>
  <c r="AC104" i="9"/>
  <c r="AM104" i="7"/>
  <c r="AB101" i="10"/>
  <c r="AB101" i="9"/>
  <c r="AL101" i="7"/>
  <c r="AH98" i="10"/>
  <c r="H107" i="10"/>
  <c r="H107" i="9"/>
  <c r="I107" i="7"/>
  <c r="U107" i="10"/>
  <c r="U107" i="9"/>
  <c r="V107" i="7"/>
  <c r="R107" i="10"/>
  <c r="R107" i="9"/>
  <c r="S107" i="7"/>
  <c r="W109" i="10"/>
  <c r="W109" i="9"/>
  <c r="X109" i="7"/>
  <c r="AG101" i="7"/>
  <c r="AG100" i="7"/>
  <c r="T107" i="10"/>
  <c r="T107" i="9"/>
  <c r="U107" i="7"/>
  <c r="AD104" i="10"/>
  <c r="AD104" i="9"/>
  <c r="AN104" i="7"/>
  <c r="AA99" i="10"/>
  <c r="AA99" i="9"/>
  <c r="AK99" i="7"/>
  <c r="G107" i="10"/>
  <c r="G107" i="9"/>
  <c r="H107" i="7"/>
  <c r="O107" i="10"/>
  <c r="O107" i="9"/>
  <c r="P107" i="7"/>
  <c r="Q107" i="10"/>
  <c r="Q107" i="9"/>
  <c r="R107" i="7"/>
  <c r="AI105" i="7"/>
  <c r="AI104" i="7"/>
  <c r="AH105" i="7"/>
  <c r="I117" i="13"/>
  <c r="L117" i="13" s="1"/>
  <c r="M117" i="13"/>
  <c r="L116" i="13"/>
  <c r="H118" i="13"/>
  <c r="E118" i="13"/>
  <c r="O117" i="13"/>
  <c r="F121" i="12"/>
  <c r="AZ100" i="2"/>
  <c r="BA100" i="2"/>
  <c r="AE102" i="7"/>
  <c r="AD102" i="7"/>
  <c r="C100" i="3"/>
  <c r="B99" i="3"/>
  <c r="F98" i="3"/>
  <c r="E99" i="3"/>
  <c r="J106" i="3"/>
  <c r="G95" i="1"/>
  <c r="D98" i="1"/>
  <c r="D100" i="7" l="1"/>
  <c r="C100" i="9"/>
  <c r="W110" i="7"/>
  <c r="V110" i="9"/>
  <c r="V110" i="16"/>
  <c r="W110" i="15"/>
  <c r="V110" i="17"/>
  <c r="AA111" i="2"/>
  <c r="Y112" i="4"/>
  <c r="R112" i="4"/>
  <c r="T111" i="2"/>
  <c r="M112" i="4"/>
  <c r="O111" i="2"/>
  <c r="AA110" i="15"/>
  <c r="Z110" i="17"/>
  <c r="Z110" i="16"/>
  <c r="Z110" i="9"/>
  <c r="AA110" i="7"/>
  <c r="Z110" i="10"/>
  <c r="Y110" i="17"/>
  <c r="Z110" i="15"/>
  <c r="Y110" i="16"/>
  <c r="U110" i="17"/>
  <c r="U110" i="16"/>
  <c r="V110" i="15"/>
  <c r="Q110" i="16"/>
  <c r="Q110" i="17"/>
  <c r="R110" i="15"/>
  <c r="AT110" i="2"/>
  <c r="P110" i="17"/>
  <c r="P110" i="16"/>
  <c r="Q110" i="15"/>
  <c r="C100" i="16"/>
  <c r="C100" i="17"/>
  <c r="D100" i="15"/>
  <c r="U112" i="4"/>
  <c r="W111" i="2"/>
  <c r="Q112" i="4"/>
  <c r="S111" i="2"/>
  <c r="P112" i="4"/>
  <c r="R111" i="2"/>
  <c r="B102" i="4"/>
  <c r="E101" i="2"/>
  <c r="C101" i="10" s="1"/>
  <c r="Y111" i="2"/>
  <c r="W112" i="4"/>
  <c r="Z111" i="2"/>
  <c r="X112" i="4"/>
  <c r="S110" i="17"/>
  <c r="S110" i="16"/>
  <c r="T110" i="15"/>
  <c r="N110" i="17"/>
  <c r="N110" i="16"/>
  <c r="O110" i="15"/>
  <c r="T110" i="17"/>
  <c r="T110" i="16"/>
  <c r="U110" i="15"/>
  <c r="R110" i="17"/>
  <c r="R110" i="16"/>
  <c r="S110" i="15"/>
  <c r="W110" i="17"/>
  <c r="W110" i="16"/>
  <c r="X110" i="15"/>
  <c r="Y110" i="15"/>
  <c r="X110" i="17"/>
  <c r="X110" i="16"/>
  <c r="S112" i="4"/>
  <c r="U112" i="2" s="1"/>
  <c r="N112" i="4"/>
  <c r="P111" i="2"/>
  <c r="X111" i="2"/>
  <c r="W111" i="7" s="1"/>
  <c r="V112" i="4"/>
  <c r="T112" i="4"/>
  <c r="V111" i="2"/>
  <c r="AS110" i="2"/>
  <c r="M110" i="16"/>
  <c r="AH110" i="16" s="1"/>
  <c r="K110" i="14" s="1"/>
  <c r="M110" i="14" s="1"/>
  <c r="M110" i="17"/>
  <c r="AH110" i="17" s="1"/>
  <c r="N110" i="14" s="1"/>
  <c r="P110" i="14" s="1"/>
  <c r="N110" i="15"/>
  <c r="AR110" i="15" s="1"/>
  <c r="E110" i="14" s="1"/>
  <c r="G110" i="14" s="1"/>
  <c r="AB111" i="2"/>
  <c r="Z112" i="4"/>
  <c r="B109" i="14"/>
  <c r="D109" i="14" s="1"/>
  <c r="H109" i="14"/>
  <c r="J109" i="14" s="1"/>
  <c r="AC102" i="7"/>
  <c r="BB100" i="2"/>
  <c r="AY101" i="2"/>
  <c r="AW108" i="2"/>
  <c r="AF102" i="7"/>
  <c r="AX108" i="2"/>
  <c r="AH99" i="9"/>
  <c r="AR99" i="7"/>
  <c r="K107" i="12"/>
  <c r="H107" i="12"/>
  <c r="J107" i="12" s="1"/>
  <c r="M108" i="10"/>
  <c r="M108" i="9"/>
  <c r="N108" i="7"/>
  <c r="AC105" i="10"/>
  <c r="AC105" i="9"/>
  <c r="AM105" i="7"/>
  <c r="AH99" i="10"/>
  <c r="F108" i="10"/>
  <c r="F108" i="9"/>
  <c r="G108" i="7"/>
  <c r="U108" i="10"/>
  <c r="U108" i="9"/>
  <c r="V108" i="7"/>
  <c r="Y110" i="10"/>
  <c r="Y110" i="9"/>
  <c r="Z110" i="7"/>
  <c r="P108" i="10"/>
  <c r="P108" i="9"/>
  <c r="Q108" i="7"/>
  <c r="K108" i="10"/>
  <c r="K108" i="9"/>
  <c r="L108" i="7"/>
  <c r="H108" i="10"/>
  <c r="H108" i="9"/>
  <c r="I108" i="7"/>
  <c r="O108" i="10"/>
  <c r="O108" i="9"/>
  <c r="P108" i="7"/>
  <c r="AB106" i="7"/>
  <c r="AD105" i="10"/>
  <c r="AD105" i="9"/>
  <c r="AN105" i="7"/>
  <c r="AB102" i="10"/>
  <c r="AB102" i="9"/>
  <c r="AL102" i="7"/>
  <c r="W110" i="10"/>
  <c r="W110" i="9"/>
  <c r="X110" i="7"/>
  <c r="E108" i="10"/>
  <c r="E108" i="9"/>
  <c r="F108" i="7"/>
  <c r="G108" i="10"/>
  <c r="G108" i="9"/>
  <c r="H108" i="7"/>
  <c r="T108" i="10"/>
  <c r="T108" i="9"/>
  <c r="U108" i="7"/>
  <c r="D108" i="12"/>
  <c r="G108" i="12"/>
  <c r="Q108" i="14" s="1"/>
  <c r="S108" i="14" s="1"/>
  <c r="AE106" i="10"/>
  <c r="AE106" i="9"/>
  <c r="AO106" i="7"/>
  <c r="AH106" i="7"/>
  <c r="L108" i="10"/>
  <c r="L108" i="9"/>
  <c r="M108" i="7"/>
  <c r="AG100" i="10"/>
  <c r="AG100" i="9"/>
  <c r="AQ100" i="7"/>
  <c r="AA100" i="10"/>
  <c r="AA100" i="9"/>
  <c r="AK100" i="7"/>
  <c r="X110" i="10"/>
  <c r="X110" i="9"/>
  <c r="Y110" i="7"/>
  <c r="J108" i="10"/>
  <c r="J108" i="9"/>
  <c r="K108" i="7"/>
  <c r="R108" i="10"/>
  <c r="R108" i="9"/>
  <c r="S108" i="7"/>
  <c r="N108" i="10"/>
  <c r="N108" i="9"/>
  <c r="O108" i="7"/>
  <c r="AJ106" i="7"/>
  <c r="I108" i="10"/>
  <c r="I108" i="9"/>
  <c r="J108" i="7"/>
  <c r="AF109" i="10"/>
  <c r="AF109" i="9"/>
  <c r="AP109" i="7"/>
  <c r="L107" i="12"/>
  <c r="B109" i="12"/>
  <c r="T109" i="14" s="1"/>
  <c r="V109" i="14" s="1"/>
  <c r="B109" i="10"/>
  <c r="B109" i="9"/>
  <c r="C109" i="7"/>
  <c r="D108" i="10"/>
  <c r="D108" i="9"/>
  <c r="E108" i="7"/>
  <c r="Q108" i="10"/>
  <c r="Q108" i="9"/>
  <c r="R108" i="7"/>
  <c r="S108" i="10"/>
  <c r="S108" i="9"/>
  <c r="T108" i="7"/>
  <c r="K117" i="13"/>
  <c r="H119" i="13"/>
  <c r="E119" i="13"/>
  <c r="I118" i="13"/>
  <c r="K118" i="13" s="1"/>
  <c r="M118" i="13"/>
  <c r="F122" i="12"/>
  <c r="AZ101" i="2"/>
  <c r="BA101" i="2"/>
  <c r="AE103" i="7"/>
  <c r="AD103" i="7"/>
  <c r="AY102" i="2"/>
  <c r="C101" i="3"/>
  <c r="G101" i="3" s="1"/>
  <c r="B100" i="3"/>
  <c r="J107" i="3"/>
  <c r="F99" i="3"/>
  <c r="E100" i="3"/>
  <c r="G96" i="1"/>
  <c r="D99" i="1"/>
  <c r="C101" i="9" l="1"/>
  <c r="D101" i="7"/>
  <c r="V111" i="9"/>
  <c r="V111" i="10"/>
  <c r="N111" i="17"/>
  <c r="N111" i="16"/>
  <c r="O111" i="15"/>
  <c r="Y112" i="2"/>
  <c r="W113" i="4"/>
  <c r="Q111" i="16"/>
  <c r="Q111" i="17"/>
  <c r="R111" i="15"/>
  <c r="AT111" i="2"/>
  <c r="R113" i="4"/>
  <c r="T112" i="2"/>
  <c r="H110" i="14"/>
  <c r="J110" i="14" s="1"/>
  <c r="B110" i="14"/>
  <c r="D110" i="14" s="1"/>
  <c r="N113" i="4"/>
  <c r="P112" i="2"/>
  <c r="W111" i="17"/>
  <c r="W111" i="16"/>
  <c r="X111" i="15"/>
  <c r="Q113" i="4"/>
  <c r="S112" i="2"/>
  <c r="AA112" i="2"/>
  <c r="Y113" i="4"/>
  <c r="AB112" i="2"/>
  <c r="Z113" i="4"/>
  <c r="T111" i="17"/>
  <c r="T111" i="16"/>
  <c r="U111" i="15"/>
  <c r="S111" i="16"/>
  <c r="S111" i="17"/>
  <c r="T111" i="15"/>
  <c r="C101" i="17"/>
  <c r="C101" i="16"/>
  <c r="D101" i="15"/>
  <c r="U111" i="17"/>
  <c r="U111" i="16"/>
  <c r="V111" i="15"/>
  <c r="AS111" i="2"/>
  <c r="M111" i="16"/>
  <c r="AH111" i="16" s="1"/>
  <c r="K111" i="14" s="1"/>
  <c r="M111" i="14" s="1"/>
  <c r="M111" i="17"/>
  <c r="AH111" i="17" s="1"/>
  <c r="N111" i="14" s="1"/>
  <c r="P111" i="14" s="1"/>
  <c r="N111" i="15"/>
  <c r="AR111" i="15" s="1"/>
  <c r="E111" i="14" s="1"/>
  <c r="G111" i="14" s="1"/>
  <c r="Z111" i="15"/>
  <c r="Y111" i="17"/>
  <c r="Y111" i="16"/>
  <c r="Z111" i="17"/>
  <c r="AA111" i="15"/>
  <c r="Z111" i="16"/>
  <c r="Z111" i="10"/>
  <c r="Z111" i="9"/>
  <c r="AA111" i="7"/>
  <c r="T113" i="4"/>
  <c r="V112" i="2"/>
  <c r="S113" i="4"/>
  <c r="U113" i="2" s="1"/>
  <c r="B103" i="4"/>
  <c r="E102" i="2"/>
  <c r="D102" i="7" s="1"/>
  <c r="U113" i="4"/>
  <c r="W112" i="2"/>
  <c r="M113" i="4"/>
  <c r="O112" i="2"/>
  <c r="X112" i="2"/>
  <c r="V112" i="9" s="1"/>
  <c r="V113" i="4"/>
  <c r="Z112" i="2"/>
  <c r="X113" i="4"/>
  <c r="P111" i="17"/>
  <c r="P111" i="16"/>
  <c r="Q111" i="15"/>
  <c r="R111" i="17"/>
  <c r="R111" i="16"/>
  <c r="S111" i="15"/>
  <c r="V111" i="16"/>
  <c r="W111" i="15"/>
  <c r="V111" i="17"/>
  <c r="X111" i="17"/>
  <c r="X111" i="16"/>
  <c r="Y111" i="15"/>
  <c r="P113" i="4"/>
  <c r="R112" i="2"/>
  <c r="AC103" i="7"/>
  <c r="BB101" i="2"/>
  <c r="AW109" i="2"/>
  <c r="AX109" i="2"/>
  <c r="AF103" i="7"/>
  <c r="AE107" i="10"/>
  <c r="AE107" i="9"/>
  <c r="AO107" i="7"/>
  <c r="AB107" i="7"/>
  <c r="L109" i="10"/>
  <c r="L109" i="9"/>
  <c r="M109" i="7"/>
  <c r="I109" i="10"/>
  <c r="I109" i="9"/>
  <c r="J109" i="7"/>
  <c r="S109" i="10"/>
  <c r="S109" i="9"/>
  <c r="T109" i="7"/>
  <c r="V112" i="10"/>
  <c r="W111" i="10"/>
  <c r="W111" i="9"/>
  <c r="X111" i="7"/>
  <c r="N109" i="10"/>
  <c r="N109" i="9"/>
  <c r="O109" i="7"/>
  <c r="AD106" i="10"/>
  <c r="AD106" i="9"/>
  <c r="AN106" i="7"/>
  <c r="AA101" i="10"/>
  <c r="AA101" i="9"/>
  <c r="AK101" i="7"/>
  <c r="F109" i="10"/>
  <c r="F109" i="9"/>
  <c r="G109" i="7"/>
  <c r="M109" i="10"/>
  <c r="M109" i="9"/>
  <c r="N109" i="7"/>
  <c r="D109" i="12"/>
  <c r="G109" i="12"/>
  <c r="Q109" i="14" s="1"/>
  <c r="S109" i="14" s="1"/>
  <c r="AH107" i="7"/>
  <c r="D109" i="10"/>
  <c r="D109" i="9"/>
  <c r="E109" i="7"/>
  <c r="AJ107" i="7"/>
  <c r="AC106" i="10"/>
  <c r="AC106" i="9"/>
  <c r="AM106" i="7"/>
  <c r="AB103" i="10"/>
  <c r="AB103" i="9"/>
  <c r="AL103" i="7"/>
  <c r="B110" i="12"/>
  <c r="T110" i="14" s="1"/>
  <c r="V110" i="14" s="1"/>
  <c r="B110" i="10"/>
  <c r="B110" i="9"/>
  <c r="C110" i="7"/>
  <c r="K109" i="10"/>
  <c r="K109" i="9"/>
  <c r="L109" i="7"/>
  <c r="U109" i="10"/>
  <c r="U109" i="9"/>
  <c r="V109" i="7"/>
  <c r="R109" i="10"/>
  <c r="R109" i="9"/>
  <c r="S109" i="7"/>
  <c r="AR100" i="7"/>
  <c r="K108" i="12"/>
  <c r="H108" i="12"/>
  <c r="J108" i="12" s="1"/>
  <c r="Y111" i="10"/>
  <c r="Y111" i="9"/>
  <c r="Z111" i="7"/>
  <c r="AG101" i="10"/>
  <c r="AG101" i="9"/>
  <c r="AQ101" i="7"/>
  <c r="G109" i="10"/>
  <c r="G109" i="9"/>
  <c r="H109" i="7"/>
  <c r="AG103" i="7"/>
  <c r="AG102" i="7"/>
  <c r="AF110" i="10"/>
  <c r="AF110" i="9"/>
  <c r="AP110" i="7"/>
  <c r="E109" i="10"/>
  <c r="E109" i="9"/>
  <c r="F109" i="7"/>
  <c r="O109" i="10"/>
  <c r="O109" i="9"/>
  <c r="P109" i="7"/>
  <c r="Q109" i="10"/>
  <c r="Q109" i="9"/>
  <c r="R109" i="7"/>
  <c r="X111" i="10"/>
  <c r="X111" i="9"/>
  <c r="Y111" i="7"/>
  <c r="AH100" i="9"/>
  <c r="H109" i="10"/>
  <c r="H109" i="9"/>
  <c r="I109" i="7"/>
  <c r="J109" i="10"/>
  <c r="J109" i="9"/>
  <c r="K109" i="7"/>
  <c r="T109" i="10"/>
  <c r="T109" i="9"/>
  <c r="U109" i="7"/>
  <c r="P109" i="10"/>
  <c r="P109" i="9"/>
  <c r="Q109" i="7"/>
  <c r="AI107" i="7"/>
  <c r="AI106" i="7"/>
  <c r="AH100" i="10"/>
  <c r="L118" i="13"/>
  <c r="I119" i="13"/>
  <c r="L119" i="13" s="1"/>
  <c r="M119" i="13"/>
  <c r="E120" i="13"/>
  <c r="H120" i="13"/>
  <c r="AZ102" i="2"/>
  <c r="BA102" i="2"/>
  <c r="AE104" i="7"/>
  <c r="AD104" i="7"/>
  <c r="C102" i="3"/>
  <c r="B101" i="3"/>
  <c r="F100" i="3"/>
  <c r="E101" i="3"/>
  <c r="J108" i="3"/>
  <c r="G97" i="1"/>
  <c r="D100" i="1"/>
  <c r="C102" i="9" l="1"/>
  <c r="C102" i="10"/>
  <c r="W112" i="7"/>
  <c r="P112" i="17"/>
  <c r="P112" i="16"/>
  <c r="Q112" i="15"/>
  <c r="AS112" i="2"/>
  <c r="M112" i="17"/>
  <c r="AH112" i="17" s="1"/>
  <c r="N112" i="14" s="1"/>
  <c r="P112" i="14" s="1"/>
  <c r="M112" i="16"/>
  <c r="AH112" i="16" s="1"/>
  <c r="K112" i="14" s="1"/>
  <c r="M112" i="14" s="1"/>
  <c r="N112" i="15"/>
  <c r="AR112" i="15" s="1"/>
  <c r="E112" i="14" s="1"/>
  <c r="G112" i="14" s="1"/>
  <c r="S112" i="17"/>
  <c r="S112" i="16"/>
  <c r="T112" i="15"/>
  <c r="AA112" i="15"/>
  <c r="Z112" i="17"/>
  <c r="Z112" i="16"/>
  <c r="Z112" i="10"/>
  <c r="Z112" i="9"/>
  <c r="AA112" i="7"/>
  <c r="R112" i="16"/>
  <c r="R112" i="17"/>
  <c r="S112" i="15"/>
  <c r="P114" i="4"/>
  <c r="R113" i="2"/>
  <c r="M114" i="4"/>
  <c r="O113" i="2"/>
  <c r="S114" i="4"/>
  <c r="U114" i="2" s="1"/>
  <c r="AA113" i="2"/>
  <c r="Y114" i="4"/>
  <c r="Y113" i="2"/>
  <c r="W114" i="4"/>
  <c r="Z113" i="2"/>
  <c r="X114" i="4"/>
  <c r="U112" i="16"/>
  <c r="U112" i="17"/>
  <c r="V112" i="15"/>
  <c r="T112" i="16"/>
  <c r="T112" i="17"/>
  <c r="U112" i="15"/>
  <c r="Z112" i="15"/>
  <c r="Y112" i="17"/>
  <c r="Y112" i="16"/>
  <c r="N112" i="16"/>
  <c r="N112" i="17"/>
  <c r="O112" i="15"/>
  <c r="R114" i="4"/>
  <c r="T113" i="2"/>
  <c r="W112" i="17"/>
  <c r="X112" i="15"/>
  <c r="W112" i="16"/>
  <c r="Y112" i="15"/>
  <c r="X112" i="16"/>
  <c r="X112" i="17"/>
  <c r="U114" i="4"/>
  <c r="W113" i="2"/>
  <c r="T114" i="4"/>
  <c r="V113" i="2"/>
  <c r="Q112" i="16"/>
  <c r="Q112" i="17"/>
  <c r="R112" i="15"/>
  <c r="AT112" i="2"/>
  <c r="N114" i="4"/>
  <c r="P113" i="2"/>
  <c r="X113" i="2"/>
  <c r="V113" i="10" s="1"/>
  <c r="V114" i="4"/>
  <c r="C102" i="17"/>
  <c r="C102" i="16"/>
  <c r="D102" i="15"/>
  <c r="H111" i="14"/>
  <c r="J111" i="14" s="1"/>
  <c r="B111" i="14"/>
  <c r="D111" i="14" s="1"/>
  <c r="Q114" i="4"/>
  <c r="S113" i="2"/>
  <c r="V112" i="16"/>
  <c r="W112" i="15"/>
  <c r="V112" i="17"/>
  <c r="B104" i="4"/>
  <c r="E103" i="2"/>
  <c r="C103" i="10" s="1"/>
  <c r="AB113" i="2"/>
  <c r="Z114" i="4"/>
  <c r="AC104" i="7"/>
  <c r="BB102" i="2"/>
  <c r="AW110" i="2"/>
  <c r="AY103" i="2"/>
  <c r="AX110" i="2"/>
  <c r="AF104" i="7"/>
  <c r="J110" i="10"/>
  <c r="J110" i="9"/>
  <c r="K110" i="7"/>
  <c r="L110" i="10"/>
  <c r="L110" i="9"/>
  <c r="M110" i="7"/>
  <c r="P110" i="10"/>
  <c r="P110" i="9"/>
  <c r="Q110" i="7"/>
  <c r="M110" i="10"/>
  <c r="M110" i="9"/>
  <c r="N110" i="7"/>
  <c r="AH108" i="7"/>
  <c r="AH101" i="10"/>
  <c r="AB108" i="7"/>
  <c r="AF111" i="10"/>
  <c r="AF111" i="9"/>
  <c r="AP111" i="7"/>
  <c r="D110" i="10"/>
  <c r="D110" i="9"/>
  <c r="E110" i="7"/>
  <c r="F110" i="10"/>
  <c r="F110" i="9"/>
  <c r="G110" i="7"/>
  <c r="U110" i="10"/>
  <c r="U110" i="9"/>
  <c r="V110" i="7"/>
  <c r="AJ108" i="7"/>
  <c r="W112" i="10"/>
  <c r="W112" i="9"/>
  <c r="X112" i="7"/>
  <c r="AB104" i="10"/>
  <c r="AB104" i="9"/>
  <c r="AL104" i="7"/>
  <c r="K110" i="10"/>
  <c r="K110" i="9"/>
  <c r="L110" i="7"/>
  <c r="AG102" i="10"/>
  <c r="AG102" i="9"/>
  <c r="AQ102" i="7"/>
  <c r="X112" i="10"/>
  <c r="X112" i="9"/>
  <c r="Y112" i="7"/>
  <c r="B111" i="12"/>
  <c r="T111" i="14" s="1"/>
  <c r="V111" i="14" s="1"/>
  <c r="B111" i="10"/>
  <c r="B111" i="9"/>
  <c r="C111" i="7"/>
  <c r="E110" i="10"/>
  <c r="E110" i="9"/>
  <c r="F110" i="7"/>
  <c r="T110" i="10"/>
  <c r="T110" i="9"/>
  <c r="U110" i="7"/>
  <c r="D110" i="12"/>
  <c r="G110" i="12"/>
  <c r="Q110" i="14" s="1"/>
  <c r="S110" i="14" s="1"/>
  <c r="AA102" i="10"/>
  <c r="AA102" i="9"/>
  <c r="AK102" i="7"/>
  <c r="I110" i="10"/>
  <c r="I110" i="9"/>
  <c r="J110" i="7"/>
  <c r="AD107" i="10"/>
  <c r="AD107" i="9"/>
  <c r="AN107" i="7"/>
  <c r="H110" i="10"/>
  <c r="H110" i="9"/>
  <c r="I110" i="7"/>
  <c r="R110" i="10"/>
  <c r="R110" i="9"/>
  <c r="S110" i="7"/>
  <c r="N110" i="10"/>
  <c r="N110" i="9"/>
  <c r="O110" i="7"/>
  <c r="AR101" i="7"/>
  <c r="AE108" i="10"/>
  <c r="AE108" i="9"/>
  <c r="AO108" i="7"/>
  <c r="O110" i="10"/>
  <c r="O110" i="9"/>
  <c r="P110" i="7"/>
  <c r="AC107" i="10"/>
  <c r="AC107" i="9"/>
  <c r="AM107" i="7"/>
  <c r="Y112" i="10"/>
  <c r="Y112" i="9"/>
  <c r="Z112" i="7"/>
  <c r="G110" i="10"/>
  <c r="G110" i="9"/>
  <c r="H110" i="7"/>
  <c r="Q110" i="10"/>
  <c r="Q110" i="9"/>
  <c r="R110" i="7"/>
  <c r="S110" i="10"/>
  <c r="S110" i="9"/>
  <c r="T110" i="7"/>
  <c r="K109" i="12"/>
  <c r="H109" i="12"/>
  <c r="J109" i="12" s="1"/>
  <c r="AH101" i="9"/>
  <c r="K119" i="13"/>
  <c r="E121" i="13"/>
  <c r="H121" i="13"/>
  <c r="I120" i="13"/>
  <c r="L120" i="13" s="1"/>
  <c r="M120" i="13"/>
  <c r="AZ103" i="2"/>
  <c r="BA103" i="2"/>
  <c r="AE105" i="7"/>
  <c r="AD105" i="7"/>
  <c r="AY104" i="2"/>
  <c r="C103" i="3"/>
  <c r="B102" i="3"/>
  <c r="E102" i="3"/>
  <c r="F101" i="3"/>
  <c r="J109" i="3"/>
  <c r="G98" i="1"/>
  <c r="D101" i="1"/>
  <c r="W113" i="7" l="1"/>
  <c r="V113" i="9"/>
  <c r="D103" i="7"/>
  <c r="C103" i="9"/>
  <c r="AB114" i="2"/>
  <c r="Z115" i="4"/>
  <c r="U113" i="17"/>
  <c r="U113" i="16"/>
  <c r="V113" i="15"/>
  <c r="X113" i="17"/>
  <c r="X113" i="16"/>
  <c r="Y113" i="15"/>
  <c r="S115" i="4"/>
  <c r="U115" i="2" s="1"/>
  <c r="Z113" i="17"/>
  <c r="Z113" i="16"/>
  <c r="AA113" i="15"/>
  <c r="AA113" i="7"/>
  <c r="Z113" i="10"/>
  <c r="Z113" i="9"/>
  <c r="Q113" i="16"/>
  <c r="Q113" i="17"/>
  <c r="R113" i="15"/>
  <c r="AT113" i="2"/>
  <c r="U115" i="4"/>
  <c r="W114" i="2"/>
  <c r="Y114" i="2"/>
  <c r="W115" i="4"/>
  <c r="AS113" i="2"/>
  <c r="M113" i="17"/>
  <c r="AH113" i="17" s="1"/>
  <c r="N113" i="14" s="1"/>
  <c r="P113" i="14" s="1"/>
  <c r="M113" i="16"/>
  <c r="AH113" i="16" s="1"/>
  <c r="K113" i="14" s="1"/>
  <c r="M113" i="14" s="1"/>
  <c r="N113" i="15"/>
  <c r="AR113" i="15" s="1"/>
  <c r="E113" i="14" s="1"/>
  <c r="G113" i="14" s="1"/>
  <c r="C103" i="16"/>
  <c r="C103" i="17"/>
  <c r="D103" i="15"/>
  <c r="Q115" i="4"/>
  <c r="S114" i="2"/>
  <c r="X114" i="2"/>
  <c r="V114" i="10" s="1"/>
  <c r="V115" i="4"/>
  <c r="R113" i="16"/>
  <c r="R113" i="17"/>
  <c r="S113" i="15"/>
  <c r="W113" i="17"/>
  <c r="W113" i="16"/>
  <c r="X113" i="15"/>
  <c r="M115" i="4"/>
  <c r="O114" i="2"/>
  <c r="B112" i="14"/>
  <c r="D112" i="14" s="1"/>
  <c r="H112" i="14"/>
  <c r="J112" i="14" s="1"/>
  <c r="B105" i="4"/>
  <c r="E104" i="2"/>
  <c r="C104" i="10" s="1"/>
  <c r="V113" i="16"/>
  <c r="W113" i="15"/>
  <c r="V113" i="17"/>
  <c r="AA114" i="2"/>
  <c r="Y115" i="4"/>
  <c r="P113" i="17"/>
  <c r="P113" i="16"/>
  <c r="Q113" i="15"/>
  <c r="N113" i="16"/>
  <c r="N113" i="17"/>
  <c r="O113" i="15"/>
  <c r="T113" i="16"/>
  <c r="T113" i="17"/>
  <c r="U113" i="15"/>
  <c r="R115" i="4"/>
  <c r="T114" i="2"/>
  <c r="Y113" i="16"/>
  <c r="Y113" i="17"/>
  <c r="Z113" i="15"/>
  <c r="P115" i="4"/>
  <c r="R114" i="2"/>
  <c r="N115" i="4"/>
  <c r="P114" i="2"/>
  <c r="T115" i="4"/>
  <c r="V114" i="2"/>
  <c r="Z114" i="2"/>
  <c r="X115" i="4"/>
  <c r="S113" i="17"/>
  <c r="S113" i="16"/>
  <c r="T113" i="15"/>
  <c r="AC105" i="7"/>
  <c r="BB103" i="2"/>
  <c r="AW111" i="2"/>
  <c r="AX111" i="2"/>
  <c r="AF105" i="7"/>
  <c r="AH102" i="9"/>
  <c r="AR102" i="7"/>
  <c r="AH102" i="10"/>
  <c r="AD108" i="10"/>
  <c r="AD108" i="9"/>
  <c r="AN108" i="7"/>
  <c r="X113" i="10"/>
  <c r="X113" i="9"/>
  <c r="Y113" i="7"/>
  <c r="J111" i="10"/>
  <c r="J111" i="9"/>
  <c r="K111" i="7"/>
  <c r="U111" i="10"/>
  <c r="U111" i="9"/>
  <c r="V111" i="7"/>
  <c r="R111" i="10"/>
  <c r="R111" i="9"/>
  <c r="S111" i="7"/>
  <c r="D111" i="10"/>
  <c r="D111" i="9"/>
  <c r="E111" i="7"/>
  <c r="O111" i="10"/>
  <c r="O111" i="9"/>
  <c r="P111" i="7"/>
  <c r="Q111" i="10"/>
  <c r="Q111" i="9"/>
  <c r="R111" i="7"/>
  <c r="AI109" i="7"/>
  <c r="AI108" i="7"/>
  <c r="AC108" i="10"/>
  <c r="AC108" i="9"/>
  <c r="AM108" i="7"/>
  <c r="AF112" i="10"/>
  <c r="AF112" i="9"/>
  <c r="AP112" i="7"/>
  <c r="B112" i="12"/>
  <c r="T112" i="14" s="1"/>
  <c r="V112" i="14" s="1"/>
  <c r="B112" i="10"/>
  <c r="B112" i="9"/>
  <c r="C112" i="7"/>
  <c r="L111" i="10"/>
  <c r="L111" i="9"/>
  <c r="M111" i="7"/>
  <c r="I111" i="10"/>
  <c r="I111" i="9"/>
  <c r="J111" i="7"/>
  <c r="T111" i="10"/>
  <c r="T111" i="9"/>
  <c r="U111" i="7"/>
  <c r="P111" i="10"/>
  <c r="P111" i="9"/>
  <c r="Q111" i="7"/>
  <c r="AJ109" i="7"/>
  <c r="AH109" i="7"/>
  <c r="AB105" i="10"/>
  <c r="AB105" i="9"/>
  <c r="AL105" i="7"/>
  <c r="K110" i="12"/>
  <c r="H110" i="12"/>
  <c r="J110" i="12" s="1"/>
  <c r="F111" i="10"/>
  <c r="F111" i="9"/>
  <c r="G111" i="7"/>
  <c r="N111" i="10"/>
  <c r="N111" i="9"/>
  <c r="O111" i="7"/>
  <c r="W113" i="10"/>
  <c r="W113" i="9"/>
  <c r="X113" i="7"/>
  <c r="AA103" i="10"/>
  <c r="AA103" i="9"/>
  <c r="AK103" i="7"/>
  <c r="AG105" i="7"/>
  <c r="AG104" i="7"/>
  <c r="AE109" i="10"/>
  <c r="AE109" i="9"/>
  <c r="AO109" i="7"/>
  <c r="Y113" i="10"/>
  <c r="Y113" i="9"/>
  <c r="Z113" i="7"/>
  <c r="K111" i="10"/>
  <c r="K111" i="9"/>
  <c r="L111" i="7"/>
  <c r="H111" i="10"/>
  <c r="H111" i="9"/>
  <c r="I111" i="7"/>
  <c r="S111" i="10"/>
  <c r="S111" i="9"/>
  <c r="T111" i="7"/>
  <c r="AG103" i="10"/>
  <c r="AG103" i="9"/>
  <c r="AQ103" i="7"/>
  <c r="E111" i="10"/>
  <c r="E111" i="9"/>
  <c r="F111" i="7"/>
  <c r="G111" i="10"/>
  <c r="G111" i="9"/>
  <c r="H111" i="7"/>
  <c r="M111" i="10"/>
  <c r="M111" i="9"/>
  <c r="N111" i="7"/>
  <c r="D111" i="12"/>
  <c r="G111" i="12"/>
  <c r="Q111" i="14" s="1"/>
  <c r="S111" i="14" s="1"/>
  <c r="AB109" i="7"/>
  <c r="K120" i="13"/>
  <c r="I121" i="13"/>
  <c r="K121" i="13" s="1"/>
  <c r="M121" i="13"/>
  <c r="E122" i="13"/>
  <c r="H122" i="13"/>
  <c r="AZ104" i="2"/>
  <c r="BA104" i="2"/>
  <c r="AE106" i="7"/>
  <c r="AD106" i="7"/>
  <c r="C104" i="3"/>
  <c r="B103" i="3"/>
  <c r="J110" i="3"/>
  <c r="F102" i="3"/>
  <c r="E103" i="3"/>
  <c r="G99" i="1"/>
  <c r="D102" i="1"/>
  <c r="W114" i="7" l="1"/>
  <c r="D104" i="7"/>
  <c r="C104" i="9"/>
  <c r="V114" i="9"/>
  <c r="T116" i="4"/>
  <c r="V115" i="2"/>
  <c r="M116" i="4"/>
  <c r="O115" i="2"/>
  <c r="Y115" i="2"/>
  <c r="W116" i="4"/>
  <c r="N114" i="17"/>
  <c r="N114" i="16"/>
  <c r="O114" i="15"/>
  <c r="C104" i="17"/>
  <c r="C104" i="16"/>
  <c r="D104" i="15"/>
  <c r="X115" i="2"/>
  <c r="V115" i="10" s="1"/>
  <c r="V116" i="4"/>
  <c r="W114" i="17"/>
  <c r="W114" i="16"/>
  <c r="X114" i="15"/>
  <c r="N116" i="4"/>
  <c r="P115" i="2"/>
  <c r="R114" i="16"/>
  <c r="R114" i="17"/>
  <c r="S114" i="15"/>
  <c r="AA115" i="2"/>
  <c r="Y116" i="4"/>
  <c r="B106" i="4"/>
  <c r="E105" i="2"/>
  <c r="C105" i="9" s="1"/>
  <c r="V114" i="16"/>
  <c r="W114" i="15"/>
  <c r="V114" i="17"/>
  <c r="U114" i="16"/>
  <c r="U114" i="17"/>
  <c r="V114" i="15"/>
  <c r="S114" i="17"/>
  <c r="S114" i="16"/>
  <c r="T114" i="15"/>
  <c r="Z115" i="2"/>
  <c r="X116" i="4"/>
  <c r="P114" i="17"/>
  <c r="P114" i="16"/>
  <c r="Q114" i="15"/>
  <c r="Y114" i="17"/>
  <c r="Y114" i="16"/>
  <c r="Z114" i="15"/>
  <c r="Q114" i="16"/>
  <c r="Q114" i="17"/>
  <c r="R114" i="15"/>
  <c r="AT114" i="2"/>
  <c r="U116" i="4"/>
  <c r="W115" i="2"/>
  <c r="S116" i="4"/>
  <c r="U116" i="2" s="1"/>
  <c r="X114" i="17"/>
  <c r="X114" i="16"/>
  <c r="Y114" i="15"/>
  <c r="P116" i="4"/>
  <c r="R115" i="2"/>
  <c r="R116" i="4"/>
  <c r="T115" i="2"/>
  <c r="Q116" i="4"/>
  <c r="S115" i="2"/>
  <c r="AB115" i="2"/>
  <c r="Z116" i="4"/>
  <c r="T114" i="17"/>
  <c r="T114" i="16"/>
  <c r="U114" i="15"/>
  <c r="AS114" i="2"/>
  <c r="M114" i="17"/>
  <c r="AH114" i="17" s="1"/>
  <c r="N114" i="14" s="1"/>
  <c r="P114" i="14" s="1"/>
  <c r="M114" i="16"/>
  <c r="AH114" i="16" s="1"/>
  <c r="K114" i="14" s="1"/>
  <c r="M114" i="14" s="1"/>
  <c r="N114" i="15"/>
  <c r="AR114" i="15" s="1"/>
  <c r="E114" i="14" s="1"/>
  <c r="G114" i="14" s="1"/>
  <c r="H113" i="14"/>
  <c r="J113" i="14" s="1"/>
  <c r="B113" i="14"/>
  <c r="D113" i="14" s="1"/>
  <c r="Z114" i="16"/>
  <c r="Z114" i="17"/>
  <c r="AA114" i="15"/>
  <c r="AA114" i="7"/>
  <c r="Z114" i="10"/>
  <c r="Z114" i="9"/>
  <c r="AC106" i="7"/>
  <c r="BB104" i="2"/>
  <c r="AY105" i="2"/>
  <c r="AF106" i="7"/>
  <c r="AX112" i="2"/>
  <c r="AW112" i="2"/>
  <c r="AA104" i="10"/>
  <c r="AA104" i="9"/>
  <c r="AK104" i="7"/>
  <c r="K111" i="12"/>
  <c r="H111" i="12"/>
  <c r="J111" i="12" s="1"/>
  <c r="G112" i="10"/>
  <c r="G112" i="9"/>
  <c r="H112" i="7"/>
  <c r="D112" i="10"/>
  <c r="D112" i="9"/>
  <c r="E112" i="7"/>
  <c r="U112" i="10"/>
  <c r="U112" i="9"/>
  <c r="V112" i="7"/>
  <c r="AG104" i="10"/>
  <c r="AG104" i="9"/>
  <c r="AQ104" i="7"/>
  <c r="Y114" i="10"/>
  <c r="Y114" i="9"/>
  <c r="Z114" i="7"/>
  <c r="AJ110" i="7"/>
  <c r="L112" i="10"/>
  <c r="L112" i="9"/>
  <c r="M112" i="7"/>
  <c r="I112" i="10"/>
  <c r="I112" i="9"/>
  <c r="J112" i="7"/>
  <c r="O112" i="10"/>
  <c r="O112" i="9"/>
  <c r="P112" i="7"/>
  <c r="AR103" i="7"/>
  <c r="F112" i="10"/>
  <c r="F112" i="9"/>
  <c r="G112" i="7"/>
  <c r="T112" i="10"/>
  <c r="T112" i="9"/>
  <c r="U112" i="7"/>
  <c r="D112" i="12"/>
  <c r="G112" i="12"/>
  <c r="Q112" i="14" s="1"/>
  <c r="S112" i="14" s="1"/>
  <c r="AD109" i="10"/>
  <c r="AD109" i="9"/>
  <c r="AN109" i="7"/>
  <c r="AF113" i="10"/>
  <c r="AF113" i="9"/>
  <c r="AP113" i="7"/>
  <c r="AB110" i="7"/>
  <c r="W114" i="10"/>
  <c r="W114" i="9"/>
  <c r="X114" i="7"/>
  <c r="AH103" i="9"/>
  <c r="K112" i="10"/>
  <c r="K112" i="9"/>
  <c r="L112" i="7"/>
  <c r="R112" i="10"/>
  <c r="R112" i="9"/>
  <c r="S112" i="7"/>
  <c r="N112" i="10"/>
  <c r="N112" i="9"/>
  <c r="O112" i="7"/>
  <c r="AC109" i="10"/>
  <c r="AC109" i="9"/>
  <c r="AM109" i="7"/>
  <c r="AH103" i="10"/>
  <c r="B113" i="12"/>
  <c r="T113" i="14" s="1"/>
  <c r="V113" i="14" s="1"/>
  <c r="B113" i="10"/>
  <c r="B113" i="9"/>
  <c r="C113" i="7"/>
  <c r="E112" i="10"/>
  <c r="E112" i="9"/>
  <c r="F112" i="7"/>
  <c r="Q112" i="10"/>
  <c r="Q112" i="9"/>
  <c r="R112" i="7"/>
  <c r="S112" i="10"/>
  <c r="S112" i="9"/>
  <c r="T112" i="7"/>
  <c r="X114" i="10"/>
  <c r="X114" i="9"/>
  <c r="Y114" i="7"/>
  <c r="AE110" i="10"/>
  <c r="AE110" i="9"/>
  <c r="AO110" i="7"/>
  <c r="AB106" i="10"/>
  <c r="AB106" i="9"/>
  <c r="AL106" i="7"/>
  <c r="AH110" i="7"/>
  <c r="H112" i="10"/>
  <c r="H112" i="9"/>
  <c r="I112" i="7"/>
  <c r="J112" i="10"/>
  <c r="J112" i="9"/>
  <c r="K112" i="7"/>
  <c r="P112" i="10"/>
  <c r="P112" i="9"/>
  <c r="Q112" i="7"/>
  <c r="M112" i="10"/>
  <c r="M112" i="9"/>
  <c r="N112" i="7"/>
  <c r="I122" i="13"/>
  <c r="K122" i="13" s="1"/>
  <c r="M122" i="13"/>
  <c r="L122" i="13"/>
  <c r="P122" i="13"/>
  <c r="Q122" i="13"/>
  <c r="N122" i="13"/>
  <c r="L121" i="13"/>
  <c r="O122" i="13"/>
  <c r="AZ105" i="2"/>
  <c r="BA105" i="2"/>
  <c r="AE107" i="7"/>
  <c r="AD107" i="7"/>
  <c r="AY106" i="2"/>
  <c r="C105" i="3"/>
  <c r="B104" i="3"/>
  <c r="F103" i="3"/>
  <c r="E104" i="3"/>
  <c r="J111" i="3"/>
  <c r="G100" i="1"/>
  <c r="D103" i="1"/>
  <c r="C105" i="10" l="1"/>
  <c r="W115" i="7"/>
  <c r="V115" i="9"/>
  <c r="D105" i="7"/>
  <c r="S116" i="2"/>
  <c r="Q117" i="4"/>
  <c r="U117" i="4"/>
  <c r="W116" i="2"/>
  <c r="X115" i="16"/>
  <c r="X115" i="17"/>
  <c r="Y115" i="15"/>
  <c r="AA116" i="2"/>
  <c r="Y117" i="4"/>
  <c r="N117" i="4"/>
  <c r="P116" i="2"/>
  <c r="Y116" i="2"/>
  <c r="W117" i="4"/>
  <c r="R115" i="17"/>
  <c r="R115" i="16"/>
  <c r="S115" i="15"/>
  <c r="Z115" i="15"/>
  <c r="Y115" i="17"/>
  <c r="Y115" i="16"/>
  <c r="W115" i="17"/>
  <c r="X115" i="15"/>
  <c r="W115" i="16"/>
  <c r="AS115" i="2"/>
  <c r="M115" i="16"/>
  <c r="AH115" i="16" s="1"/>
  <c r="K115" i="14" s="1"/>
  <c r="M115" i="14" s="1"/>
  <c r="M115" i="17"/>
  <c r="AH115" i="17" s="1"/>
  <c r="N115" i="14" s="1"/>
  <c r="P115" i="14" s="1"/>
  <c r="N115" i="15"/>
  <c r="AR115" i="15" s="1"/>
  <c r="E115" i="14" s="1"/>
  <c r="G115" i="14" s="1"/>
  <c r="AB116" i="2"/>
  <c r="Z117" i="4"/>
  <c r="R117" i="4"/>
  <c r="T116" i="2"/>
  <c r="S115" i="17"/>
  <c r="S115" i="16"/>
  <c r="T115" i="15"/>
  <c r="M117" i="4"/>
  <c r="O116" i="2"/>
  <c r="Z115" i="17"/>
  <c r="Z115" i="16"/>
  <c r="AA115" i="15"/>
  <c r="Z115" i="9"/>
  <c r="AA115" i="7"/>
  <c r="Z115" i="10"/>
  <c r="P115" i="17"/>
  <c r="P115" i="16"/>
  <c r="Q115" i="15"/>
  <c r="S117" i="4"/>
  <c r="U117" i="2" s="1"/>
  <c r="C105" i="17"/>
  <c r="C105" i="16"/>
  <c r="D105" i="15"/>
  <c r="X116" i="2"/>
  <c r="V116" i="10" s="1"/>
  <c r="V117" i="4"/>
  <c r="T115" i="16"/>
  <c r="T115" i="17"/>
  <c r="U115" i="15"/>
  <c r="H114" i="14"/>
  <c r="J114" i="14" s="1"/>
  <c r="B114" i="14"/>
  <c r="D114" i="14" s="1"/>
  <c r="Q115" i="16"/>
  <c r="Q115" i="17"/>
  <c r="R115" i="15"/>
  <c r="AT115" i="2"/>
  <c r="P117" i="4"/>
  <c r="R116" i="2"/>
  <c r="U115" i="16"/>
  <c r="U115" i="17"/>
  <c r="V115" i="15"/>
  <c r="Z116" i="2"/>
  <c r="X117" i="4"/>
  <c r="B107" i="4"/>
  <c r="E106" i="2"/>
  <c r="D106" i="7" s="1"/>
  <c r="N115" i="17"/>
  <c r="N115" i="16"/>
  <c r="O115" i="15"/>
  <c r="V115" i="16"/>
  <c r="W115" i="15"/>
  <c r="V115" i="17"/>
  <c r="T117" i="4"/>
  <c r="V116" i="2"/>
  <c r="AC107" i="7"/>
  <c r="BB105" i="2"/>
  <c r="AX113" i="2"/>
  <c r="AF107" i="7"/>
  <c r="AW113" i="2"/>
  <c r="B114" i="12"/>
  <c r="T114" i="14" s="1"/>
  <c r="V114" i="14" s="1"/>
  <c r="B114" i="10"/>
  <c r="B114" i="9"/>
  <c r="C114" i="7"/>
  <c r="I113" i="10"/>
  <c r="I113" i="9"/>
  <c r="J113" i="7"/>
  <c r="K113" i="10"/>
  <c r="K113" i="9"/>
  <c r="L113" i="7"/>
  <c r="S113" i="10"/>
  <c r="S113" i="9"/>
  <c r="T113" i="7"/>
  <c r="O112" i="12"/>
  <c r="N112" i="12"/>
  <c r="M112" i="12"/>
  <c r="AI111" i="7"/>
  <c r="AI110" i="7"/>
  <c r="AD110" i="10"/>
  <c r="AD110" i="9"/>
  <c r="AN110" i="7"/>
  <c r="AB107" i="10"/>
  <c r="AB107" i="9"/>
  <c r="AL107" i="7"/>
  <c r="X115" i="10"/>
  <c r="X115" i="9"/>
  <c r="Y115" i="7"/>
  <c r="E113" i="10"/>
  <c r="E113" i="9"/>
  <c r="F113" i="7"/>
  <c r="M113" i="10"/>
  <c r="M113" i="9"/>
  <c r="N113" i="7"/>
  <c r="D113" i="12"/>
  <c r="G113" i="12"/>
  <c r="Q113" i="14" s="1"/>
  <c r="S113" i="14" s="1"/>
  <c r="AJ111" i="7"/>
  <c r="AR104" i="7"/>
  <c r="AF114" i="10"/>
  <c r="AF114" i="9"/>
  <c r="AP114" i="7"/>
  <c r="AA105" i="10"/>
  <c r="AA105" i="9"/>
  <c r="AK105" i="7"/>
  <c r="H113" i="10"/>
  <c r="H113" i="9"/>
  <c r="I113" i="7"/>
  <c r="U113" i="10"/>
  <c r="U113" i="9"/>
  <c r="V113" i="7"/>
  <c r="R113" i="10"/>
  <c r="R113" i="9"/>
  <c r="S113" i="7"/>
  <c r="AH104" i="9"/>
  <c r="AE111" i="10"/>
  <c r="AE111" i="9"/>
  <c r="AO111" i="7"/>
  <c r="G113" i="10"/>
  <c r="G113" i="9"/>
  <c r="H113" i="7"/>
  <c r="O113" i="10"/>
  <c r="O113" i="9"/>
  <c r="P113" i="7"/>
  <c r="Q113" i="10"/>
  <c r="Q113" i="9"/>
  <c r="R113" i="7"/>
  <c r="AH104" i="10"/>
  <c r="AG107" i="7"/>
  <c r="AG106" i="7"/>
  <c r="J113" i="10"/>
  <c r="J113" i="9"/>
  <c r="K113" i="7"/>
  <c r="L113" i="10"/>
  <c r="L113" i="9"/>
  <c r="M113" i="7"/>
  <c r="T113" i="10"/>
  <c r="T113" i="9"/>
  <c r="U113" i="7"/>
  <c r="P113" i="10"/>
  <c r="P113" i="9"/>
  <c r="Q113" i="7"/>
  <c r="W115" i="10"/>
  <c r="W115" i="9"/>
  <c r="X115" i="7"/>
  <c r="AB111" i="7"/>
  <c r="L112" i="12"/>
  <c r="Y115" i="10"/>
  <c r="Y115" i="9"/>
  <c r="Z115" i="7"/>
  <c r="AG105" i="10"/>
  <c r="AG105" i="9"/>
  <c r="AQ105" i="7"/>
  <c r="AC110" i="10"/>
  <c r="AC110" i="9"/>
  <c r="AM110" i="7"/>
  <c r="AH111" i="7"/>
  <c r="D113" i="10"/>
  <c r="D113" i="9"/>
  <c r="E113" i="7"/>
  <c r="F113" i="10"/>
  <c r="F113" i="9"/>
  <c r="G113" i="7"/>
  <c r="N113" i="10"/>
  <c r="N113" i="9"/>
  <c r="O113" i="7"/>
  <c r="K112" i="12"/>
  <c r="H112" i="12"/>
  <c r="J112" i="12" s="1"/>
  <c r="AZ106" i="2"/>
  <c r="BA106" i="2"/>
  <c r="AE108" i="7"/>
  <c r="AD108" i="7"/>
  <c r="C106" i="3"/>
  <c r="B105" i="3"/>
  <c r="F104" i="3"/>
  <c r="E105" i="3"/>
  <c r="J112" i="3"/>
  <c r="G101" i="1"/>
  <c r="D104" i="1"/>
  <c r="W116" i="7" l="1"/>
  <c r="C106" i="9"/>
  <c r="C106" i="10"/>
  <c r="V116" i="9"/>
  <c r="T116" i="17"/>
  <c r="T116" i="16"/>
  <c r="U116" i="15"/>
  <c r="AS116" i="2"/>
  <c r="M116" i="17"/>
  <c r="AH116" i="17" s="1"/>
  <c r="N116" i="14" s="1"/>
  <c r="P116" i="14" s="1"/>
  <c r="M116" i="16"/>
  <c r="AH116" i="16" s="1"/>
  <c r="K116" i="14" s="1"/>
  <c r="M116" i="14" s="1"/>
  <c r="N116" i="15"/>
  <c r="AR116" i="15" s="1"/>
  <c r="E116" i="14" s="1"/>
  <c r="G116" i="14" s="1"/>
  <c r="W116" i="17"/>
  <c r="W116" i="16"/>
  <c r="X116" i="15"/>
  <c r="T118" i="4"/>
  <c r="V117" i="2"/>
  <c r="S116" i="17"/>
  <c r="S116" i="16"/>
  <c r="T116" i="15"/>
  <c r="M118" i="4"/>
  <c r="O117" i="2"/>
  <c r="R118" i="4"/>
  <c r="T117" i="2"/>
  <c r="B115" i="14"/>
  <c r="D115" i="14" s="1"/>
  <c r="H115" i="14"/>
  <c r="J115" i="14" s="1"/>
  <c r="N116" i="17"/>
  <c r="N116" i="16"/>
  <c r="O116" i="15"/>
  <c r="C106" i="16"/>
  <c r="C106" i="17"/>
  <c r="D106" i="15"/>
  <c r="X117" i="2"/>
  <c r="V117" i="9" s="1"/>
  <c r="V118" i="4"/>
  <c r="S118" i="4"/>
  <c r="U118" i="2" s="1"/>
  <c r="AB117" i="2"/>
  <c r="Z118" i="4"/>
  <c r="N118" i="4"/>
  <c r="P117" i="2"/>
  <c r="U116" i="17"/>
  <c r="U116" i="16"/>
  <c r="V116" i="15"/>
  <c r="B108" i="4"/>
  <c r="E107" i="2"/>
  <c r="C107" i="9" s="1"/>
  <c r="P116" i="17"/>
  <c r="P116" i="16"/>
  <c r="Q116" i="15"/>
  <c r="V116" i="16"/>
  <c r="W116" i="15"/>
  <c r="V116" i="17"/>
  <c r="Z116" i="17"/>
  <c r="Z116" i="16"/>
  <c r="AA116" i="15"/>
  <c r="Z116" i="10"/>
  <c r="Z116" i="9"/>
  <c r="AA116" i="7"/>
  <c r="AA117" i="2"/>
  <c r="Y118" i="4"/>
  <c r="U118" i="4"/>
  <c r="W117" i="2"/>
  <c r="Z117" i="2"/>
  <c r="X118" i="4"/>
  <c r="P118" i="4"/>
  <c r="R117" i="2"/>
  <c r="Y116" i="16"/>
  <c r="Y116" i="17"/>
  <c r="Z116" i="15"/>
  <c r="S117" i="2"/>
  <c r="Q118" i="4"/>
  <c r="X116" i="17"/>
  <c r="X116" i="16"/>
  <c r="Y116" i="15"/>
  <c r="R116" i="17"/>
  <c r="R116" i="16"/>
  <c r="S116" i="15"/>
  <c r="Y117" i="2"/>
  <c r="W118" i="4"/>
  <c r="Q116" i="16"/>
  <c r="Q116" i="17"/>
  <c r="R116" i="15"/>
  <c r="AT116" i="2"/>
  <c r="AC108" i="7"/>
  <c r="BB106" i="2"/>
  <c r="AX114" i="2"/>
  <c r="AF108" i="7"/>
  <c r="AW114" i="2"/>
  <c r="AY107" i="2"/>
  <c r="AH105" i="9"/>
  <c r="AH112" i="7"/>
  <c r="AC111" i="10"/>
  <c r="AC111" i="9"/>
  <c r="AM111" i="7"/>
  <c r="AE112" i="10"/>
  <c r="AE112" i="9"/>
  <c r="AO112" i="7"/>
  <c r="AB108" i="10"/>
  <c r="AB108" i="9"/>
  <c r="AL108" i="7"/>
  <c r="K113" i="12"/>
  <c r="H113" i="12"/>
  <c r="J113" i="12" s="1"/>
  <c r="L114" i="10"/>
  <c r="L114" i="9"/>
  <c r="M114" i="7"/>
  <c r="I114" i="10"/>
  <c r="I114" i="9"/>
  <c r="J114" i="7"/>
  <c r="P114" i="10"/>
  <c r="P114" i="9"/>
  <c r="Q114" i="7"/>
  <c r="M114" i="10"/>
  <c r="M114" i="9"/>
  <c r="N114" i="7"/>
  <c r="AG106" i="10"/>
  <c r="AG106" i="9"/>
  <c r="AQ106" i="7"/>
  <c r="C107" i="10"/>
  <c r="Y116" i="10"/>
  <c r="Y116" i="9"/>
  <c r="Z116" i="7"/>
  <c r="W116" i="10"/>
  <c r="W116" i="9"/>
  <c r="X116" i="7"/>
  <c r="AR105" i="7"/>
  <c r="F114" i="10"/>
  <c r="F114" i="9"/>
  <c r="G114" i="7"/>
  <c r="U114" i="10"/>
  <c r="U114" i="9"/>
  <c r="V114" i="7"/>
  <c r="H114" i="10"/>
  <c r="H114" i="9"/>
  <c r="I114" i="7"/>
  <c r="AH105" i="10"/>
  <c r="AJ112" i="7"/>
  <c r="B115" i="12"/>
  <c r="T115" i="14" s="1"/>
  <c r="V115" i="14" s="1"/>
  <c r="B115" i="10"/>
  <c r="B115" i="9"/>
  <c r="C115" i="7"/>
  <c r="E114" i="10"/>
  <c r="E114" i="9"/>
  <c r="F114" i="7"/>
  <c r="G114" i="10"/>
  <c r="G114" i="9"/>
  <c r="H114" i="7"/>
  <c r="T114" i="10"/>
  <c r="T114" i="9"/>
  <c r="U114" i="7"/>
  <c r="D114" i="12"/>
  <c r="G114" i="12"/>
  <c r="Q114" i="14" s="1"/>
  <c r="S114" i="14" s="1"/>
  <c r="AB112" i="7"/>
  <c r="W117" i="7"/>
  <c r="J114" i="10"/>
  <c r="J114" i="9"/>
  <c r="K114" i="7"/>
  <c r="R114" i="10"/>
  <c r="R114" i="9"/>
  <c r="S114" i="7"/>
  <c r="N114" i="10"/>
  <c r="N114" i="9"/>
  <c r="O114" i="7"/>
  <c r="K114" i="10"/>
  <c r="K114" i="9"/>
  <c r="L114" i="7"/>
  <c r="O114" i="10"/>
  <c r="O114" i="9"/>
  <c r="P114" i="7"/>
  <c r="AD111" i="10"/>
  <c r="AD111" i="9"/>
  <c r="AN111" i="7"/>
  <c r="AF115" i="10"/>
  <c r="AF115" i="9"/>
  <c r="AP115" i="7"/>
  <c r="AA106" i="10"/>
  <c r="AA106" i="9"/>
  <c r="AK106" i="7"/>
  <c r="X116" i="10"/>
  <c r="X116" i="9"/>
  <c r="Y116" i="7"/>
  <c r="D114" i="10"/>
  <c r="D114" i="9"/>
  <c r="E114" i="7"/>
  <c r="Q114" i="10"/>
  <c r="Q114" i="9"/>
  <c r="R114" i="7"/>
  <c r="S114" i="10"/>
  <c r="S114" i="9"/>
  <c r="T114" i="7"/>
  <c r="AZ107" i="2"/>
  <c r="BA107" i="2"/>
  <c r="AE109" i="7"/>
  <c r="AD109" i="7"/>
  <c r="AY108" i="2"/>
  <c r="C107" i="3"/>
  <c r="B106" i="3"/>
  <c r="J113" i="3"/>
  <c r="F105" i="3"/>
  <c r="E106" i="3"/>
  <c r="G102" i="1"/>
  <c r="D105" i="1"/>
  <c r="V117" i="10" l="1"/>
  <c r="Q119" i="4"/>
  <c r="S118" i="2"/>
  <c r="P119" i="4"/>
  <c r="R118" i="2"/>
  <c r="Y117" i="17"/>
  <c r="Y117" i="16"/>
  <c r="Z117" i="15"/>
  <c r="N117" i="17"/>
  <c r="N117" i="16"/>
  <c r="O117" i="15"/>
  <c r="X118" i="2"/>
  <c r="V118" i="10" s="1"/>
  <c r="V119" i="4"/>
  <c r="R119" i="4"/>
  <c r="T118" i="2"/>
  <c r="T117" i="16"/>
  <c r="T117" i="17"/>
  <c r="U117" i="15"/>
  <c r="Q117" i="16"/>
  <c r="Q117" i="17"/>
  <c r="R117" i="15"/>
  <c r="AT117" i="2"/>
  <c r="Z118" i="2"/>
  <c r="X119" i="4"/>
  <c r="C107" i="17"/>
  <c r="C107" i="16"/>
  <c r="D107" i="15"/>
  <c r="N119" i="4"/>
  <c r="P118" i="2"/>
  <c r="V117" i="16"/>
  <c r="W117" i="15"/>
  <c r="V117" i="17"/>
  <c r="AS117" i="2"/>
  <c r="M117" i="17"/>
  <c r="AH117" i="17" s="1"/>
  <c r="N117" i="14" s="1"/>
  <c r="P117" i="14" s="1"/>
  <c r="M117" i="16"/>
  <c r="AH117" i="16" s="1"/>
  <c r="K117" i="14" s="1"/>
  <c r="M117" i="14" s="1"/>
  <c r="N117" i="15"/>
  <c r="AR117" i="15" s="1"/>
  <c r="E117" i="14" s="1"/>
  <c r="G117" i="14" s="1"/>
  <c r="T119" i="4"/>
  <c r="V118" i="2"/>
  <c r="X117" i="17"/>
  <c r="X117" i="16"/>
  <c r="Y117" i="15"/>
  <c r="B109" i="4"/>
  <c r="E108" i="2"/>
  <c r="C108" i="9" s="1"/>
  <c r="AB118" i="2"/>
  <c r="Z119" i="4"/>
  <c r="M119" i="4"/>
  <c r="O118" i="2"/>
  <c r="B116" i="14"/>
  <c r="D116" i="14" s="1"/>
  <c r="H116" i="14"/>
  <c r="J116" i="14" s="1"/>
  <c r="U117" i="17"/>
  <c r="U117" i="16"/>
  <c r="V117" i="15"/>
  <c r="AA117" i="15"/>
  <c r="Z117" i="16"/>
  <c r="Z117" i="17"/>
  <c r="Z117" i="9"/>
  <c r="AA117" i="7"/>
  <c r="Z117" i="10"/>
  <c r="Y118" i="2"/>
  <c r="W119" i="4"/>
  <c r="U119" i="4"/>
  <c r="W118" i="2"/>
  <c r="S117" i="17"/>
  <c r="S117" i="16"/>
  <c r="T117" i="15"/>
  <c r="R117" i="17"/>
  <c r="R117" i="16"/>
  <c r="S117" i="15"/>
  <c r="D107" i="7"/>
  <c r="W117" i="17"/>
  <c r="X117" i="15"/>
  <c r="W117" i="16"/>
  <c r="P117" i="17"/>
  <c r="P117" i="16"/>
  <c r="Q117" i="15"/>
  <c r="AA118" i="2"/>
  <c r="Y119" i="4"/>
  <c r="S119" i="4"/>
  <c r="U119" i="2" s="1"/>
  <c r="AC109" i="7"/>
  <c r="AW115" i="2"/>
  <c r="BB107" i="2"/>
  <c r="AX115" i="2"/>
  <c r="AF109" i="7"/>
  <c r="AH106" i="10"/>
  <c r="AH106" i="9"/>
  <c r="AR106" i="7"/>
  <c r="AB113" i="7"/>
  <c r="F115" i="10"/>
  <c r="F115" i="9"/>
  <c r="G115" i="7"/>
  <c r="M115" i="10"/>
  <c r="M115" i="9"/>
  <c r="N115" i="7"/>
  <c r="D115" i="12"/>
  <c r="G115" i="12"/>
  <c r="Q115" i="14" s="1"/>
  <c r="S115" i="14" s="1"/>
  <c r="AB109" i="10"/>
  <c r="AB109" i="9"/>
  <c r="AL109" i="7"/>
  <c r="K114" i="12"/>
  <c r="H114" i="12"/>
  <c r="J114" i="12" s="1"/>
  <c r="K115" i="10"/>
  <c r="K115" i="9"/>
  <c r="L115" i="7"/>
  <c r="U115" i="10"/>
  <c r="U115" i="9"/>
  <c r="V115" i="7"/>
  <c r="R115" i="10"/>
  <c r="R115" i="9"/>
  <c r="S115" i="7"/>
  <c r="W117" i="10"/>
  <c r="W117" i="9"/>
  <c r="X117" i="7"/>
  <c r="AD112" i="10"/>
  <c r="AD112" i="9"/>
  <c r="AN112" i="7"/>
  <c r="E115" i="10"/>
  <c r="E115" i="9"/>
  <c r="F115" i="7"/>
  <c r="O115" i="10"/>
  <c r="O115" i="9"/>
  <c r="P115" i="7"/>
  <c r="Q115" i="10"/>
  <c r="Q115" i="9"/>
  <c r="R115" i="7"/>
  <c r="X117" i="10"/>
  <c r="X117" i="9"/>
  <c r="Y117" i="7"/>
  <c r="AH113" i="7"/>
  <c r="AE113" i="10"/>
  <c r="AE113" i="9"/>
  <c r="AO113" i="7"/>
  <c r="AF116" i="10"/>
  <c r="AF116" i="9"/>
  <c r="AP116" i="7"/>
  <c r="B116" i="12"/>
  <c r="T116" i="14" s="1"/>
  <c r="V116" i="14" s="1"/>
  <c r="B116" i="10"/>
  <c r="B116" i="9"/>
  <c r="C116" i="7"/>
  <c r="H115" i="10"/>
  <c r="H115" i="9"/>
  <c r="I115" i="7"/>
  <c r="J115" i="10"/>
  <c r="J115" i="9"/>
  <c r="K115" i="7"/>
  <c r="T115" i="10"/>
  <c r="T115" i="9"/>
  <c r="U115" i="7"/>
  <c r="P115" i="10"/>
  <c r="P115" i="9"/>
  <c r="Q115" i="7"/>
  <c r="AI113" i="7"/>
  <c r="AI112" i="7"/>
  <c r="Y117" i="10"/>
  <c r="Y117" i="9"/>
  <c r="Z117" i="7"/>
  <c r="G115" i="10"/>
  <c r="G115" i="9"/>
  <c r="H115" i="7"/>
  <c r="D115" i="10"/>
  <c r="D115" i="9"/>
  <c r="E115" i="7"/>
  <c r="N115" i="10"/>
  <c r="N115" i="9"/>
  <c r="O115" i="7"/>
  <c r="AJ113" i="7"/>
  <c r="AA107" i="10"/>
  <c r="AA107" i="9"/>
  <c r="AK107" i="7"/>
  <c r="AG109" i="7"/>
  <c r="AG108" i="7"/>
  <c r="AG107" i="10"/>
  <c r="AG107" i="9"/>
  <c r="AQ107" i="7"/>
  <c r="AC112" i="10"/>
  <c r="AC112" i="9"/>
  <c r="AM112" i="7"/>
  <c r="L115" i="10"/>
  <c r="L115" i="9"/>
  <c r="M115" i="7"/>
  <c r="I115" i="10"/>
  <c r="I115" i="9"/>
  <c r="J115" i="7"/>
  <c r="S115" i="10"/>
  <c r="S115" i="9"/>
  <c r="T115" i="7"/>
  <c r="AZ108" i="2"/>
  <c r="BA108" i="2"/>
  <c r="AE110" i="7"/>
  <c r="AD110" i="7"/>
  <c r="C108" i="3"/>
  <c r="B107" i="3"/>
  <c r="F106" i="3"/>
  <c r="E107" i="3"/>
  <c r="J114" i="3"/>
  <c r="G103" i="1"/>
  <c r="D106" i="1"/>
  <c r="W118" i="7" l="1"/>
  <c r="V118" i="9"/>
  <c r="C108" i="10"/>
  <c r="D108" i="7"/>
  <c r="S120" i="4"/>
  <c r="U120" i="2" s="1"/>
  <c r="Y119" i="2"/>
  <c r="W120" i="4"/>
  <c r="B110" i="4"/>
  <c r="E109" i="2"/>
  <c r="C109" i="10" s="1"/>
  <c r="Z119" i="2"/>
  <c r="X120" i="4"/>
  <c r="X119" i="2"/>
  <c r="V119" i="10" s="1"/>
  <c r="V120" i="4"/>
  <c r="AA119" i="2"/>
  <c r="Y120" i="4"/>
  <c r="W118" i="17"/>
  <c r="X118" i="15"/>
  <c r="W118" i="16"/>
  <c r="AS118" i="2"/>
  <c r="M118" i="16"/>
  <c r="AH118" i="16" s="1"/>
  <c r="K118" i="14" s="1"/>
  <c r="M118" i="14" s="1"/>
  <c r="M118" i="17"/>
  <c r="AH118" i="17" s="1"/>
  <c r="N118" i="14" s="1"/>
  <c r="P118" i="14" s="1"/>
  <c r="N118" i="15"/>
  <c r="AR118" i="15" s="1"/>
  <c r="E118" i="14" s="1"/>
  <c r="G118" i="14" s="1"/>
  <c r="N118" i="17"/>
  <c r="N118" i="16"/>
  <c r="O118" i="15"/>
  <c r="X118" i="16"/>
  <c r="X118" i="17"/>
  <c r="Y118" i="15"/>
  <c r="V118" i="16"/>
  <c r="W118" i="15"/>
  <c r="V118" i="17"/>
  <c r="Z118" i="15"/>
  <c r="Y118" i="17"/>
  <c r="Y118" i="16"/>
  <c r="M120" i="4"/>
  <c r="O119" i="2"/>
  <c r="N120" i="4"/>
  <c r="P119" i="2"/>
  <c r="P118" i="17"/>
  <c r="P118" i="16"/>
  <c r="Q118" i="15"/>
  <c r="AB119" i="2"/>
  <c r="Z120" i="4"/>
  <c r="B117" i="14"/>
  <c r="D117" i="14" s="1"/>
  <c r="H117" i="14"/>
  <c r="J117" i="14" s="1"/>
  <c r="R118" i="17"/>
  <c r="R118" i="16"/>
  <c r="S118" i="15"/>
  <c r="P120" i="4"/>
  <c r="R119" i="2"/>
  <c r="U118" i="16"/>
  <c r="U118" i="17"/>
  <c r="V118" i="15"/>
  <c r="Z118" i="16"/>
  <c r="AA118" i="15"/>
  <c r="Z118" i="17"/>
  <c r="AA118" i="7"/>
  <c r="Z118" i="10"/>
  <c r="Z118" i="9"/>
  <c r="T118" i="17"/>
  <c r="T118" i="16"/>
  <c r="U118" i="15"/>
  <c r="Q118" i="16"/>
  <c r="Q118" i="17"/>
  <c r="R118" i="15"/>
  <c r="AT118" i="2"/>
  <c r="S118" i="16"/>
  <c r="S118" i="17"/>
  <c r="T118" i="15"/>
  <c r="U120" i="4"/>
  <c r="W119" i="2"/>
  <c r="C108" i="16"/>
  <c r="C108" i="17"/>
  <c r="D108" i="15"/>
  <c r="T120" i="4"/>
  <c r="V119" i="2"/>
  <c r="R120" i="4"/>
  <c r="T119" i="2"/>
  <c r="Q120" i="4"/>
  <c r="S119" i="2"/>
  <c r="AC110" i="7"/>
  <c r="BB108" i="2"/>
  <c r="AY109" i="2"/>
  <c r="AF110" i="7"/>
  <c r="AX116" i="2"/>
  <c r="AW116" i="2"/>
  <c r="AH107" i="10"/>
  <c r="AC113" i="10"/>
  <c r="AC113" i="9"/>
  <c r="AM113" i="7"/>
  <c r="AB110" i="10"/>
  <c r="AB110" i="9"/>
  <c r="AL110" i="7"/>
  <c r="X118" i="10"/>
  <c r="X118" i="9"/>
  <c r="Y118" i="7"/>
  <c r="H116" i="10"/>
  <c r="H116" i="9"/>
  <c r="I116" i="7"/>
  <c r="R116" i="10"/>
  <c r="R116" i="9"/>
  <c r="S116" i="7"/>
  <c r="N116" i="10"/>
  <c r="N116" i="9"/>
  <c r="O116" i="7"/>
  <c r="AG108" i="10"/>
  <c r="AG108" i="9"/>
  <c r="AQ108" i="7"/>
  <c r="AR107" i="7"/>
  <c r="AJ114" i="7"/>
  <c r="G116" i="10"/>
  <c r="G116" i="9"/>
  <c r="H116" i="7"/>
  <c r="Q116" i="10"/>
  <c r="Q116" i="9"/>
  <c r="R116" i="7"/>
  <c r="S116" i="10"/>
  <c r="S116" i="9"/>
  <c r="T116" i="7"/>
  <c r="AE114" i="10"/>
  <c r="AE114" i="9"/>
  <c r="AO114" i="7"/>
  <c r="AH107" i="9"/>
  <c r="J116" i="10"/>
  <c r="J116" i="9"/>
  <c r="K116" i="7"/>
  <c r="L116" i="10"/>
  <c r="L116" i="9"/>
  <c r="M116" i="7"/>
  <c r="P116" i="10"/>
  <c r="P116" i="9"/>
  <c r="Q116" i="7"/>
  <c r="M116" i="10"/>
  <c r="M116" i="9"/>
  <c r="N116" i="7"/>
  <c r="AF117" i="10"/>
  <c r="AF117" i="9"/>
  <c r="AP117" i="7"/>
  <c r="B117" i="12"/>
  <c r="T117" i="14" s="1"/>
  <c r="V117" i="14" s="1"/>
  <c r="B117" i="10"/>
  <c r="B117" i="9"/>
  <c r="C117" i="7"/>
  <c r="D116" i="10"/>
  <c r="D116" i="9"/>
  <c r="E116" i="7"/>
  <c r="F116" i="10"/>
  <c r="F116" i="9"/>
  <c r="G116" i="7"/>
  <c r="U116" i="10"/>
  <c r="U116" i="9"/>
  <c r="V116" i="7"/>
  <c r="W118" i="10"/>
  <c r="W118" i="9"/>
  <c r="X118" i="7"/>
  <c r="AD113" i="10"/>
  <c r="AD113" i="9"/>
  <c r="AN113" i="7"/>
  <c r="Y118" i="10"/>
  <c r="Y118" i="9"/>
  <c r="Z118" i="7"/>
  <c r="I116" i="10"/>
  <c r="I116" i="9"/>
  <c r="J116" i="7"/>
  <c r="K116" i="10"/>
  <c r="K116" i="9"/>
  <c r="L116" i="7"/>
  <c r="O116" i="10"/>
  <c r="O116" i="9"/>
  <c r="P116" i="7"/>
  <c r="AA108" i="10"/>
  <c r="AA108" i="9"/>
  <c r="AK108" i="7"/>
  <c r="E116" i="10"/>
  <c r="E116" i="9"/>
  <c r="F116" i="7"/>
  <c r="T116" i="10"/>
  <c r="T116" i="9"/>
  <c r="U116" i="7"/>
  <c r="D116" i="12"/>
  <c r="G116" i="12"/>
  <c r="Q116" i="14" s="1"/>
  <c r="S116" i="14" s="1"/>
  <c r="AH114" i="7"/>
  <c r="K115" i="12"/>
  <c r="H115" i="12"/>
  <c r="J115" i="12" s="1"/>
  <c r="AB114" i="7"/>
  <c r="AZ109" i="2"/>
  <c r="BA109" i="2"/>
  <c r="AE111" i="7"/>
  <c r="AD111" i="7"/>
  <c r="AY110" i="2"/>
  <c r="C109" i="3"/>
  <c r="B108" i="3"/>
  <c r="J115" i="3"/>
  <c r="F107" i="3"/>
  <c r="E108" i="3"/>
  <c r="G104" i="1"/>
  <c r="D107" i="1"/>
  <c r="D109" i="7" l="1"/>
  <c r="C109" i="9"/>
  <c r="W119" i="7"/>
  <c r="V119" i="9"/>
  <c r="Q119" i="16"/>
  <c r="Q119" i="17"/>
  <c r="R119" i="15"/>
  <c r="AT119" i="2"/>
  <c r="T121" i="4"/>
  <c r="V120" i="2"/>
  <c r="AA120" i="2"/>
  <c r="Y121" i="4"/>
  <c r="C109" i="16"/>
  <c r="C109" i="17"/>
  <c r="D109" i="15"/>
  <c r="Q121" i="4"/>
  <c r="S120" i="2"/>
  <c r="P119" i="17"/>
  <c r="P119" i="16"/>
  <c r="Q119" i="15"/>
  <c r="N119" i="17"/>
  <c r="N119" i="16"/>
  <c r="O119" i="15"/>
  <c r="Y119" i="17"/>
  <c r="Z119" i="15"/>
  <c r="Y119" i="16"/>
  <c r="B111" i="4"/>
  <c r="E110" i="2"/>
  <c r="C110" i="10" s="1"/>
  <c r="R119" i="17"/>
  <c r="R119" i="16"/>
  <c r="S119" i="15"/>
  <c r="P121" i="4"/>
  <c r="R120" i="2"/>
  <c r="AB120" i="2"/>
  <c r="Z121" i="4"/>
  <c r="N121" i="4"/>
  <c r="P120" i="2"/>
  <c r="H118" i="14"/>
  <c r="J118" i="14" s="1"/>
  <c r="B118" i="14"/>
  <c r="D118" i="14" s="1"/>
  <c r="X120" i="2"/>
  <c r="V120" i="9" s="1"/>
  <c r="V121" i="4"/>
  <c r="Y120" i="2"/>
  <c r="W121" i="4"/>
  <c r="AA119" i="15"/>
  <c r="Z119" i="17"/>
  <c r="Z119" i="16"/>
  <c r="Z119" i="10"/>
  <c r="Z119" i="9"/>
  <c r="AA119" i="7"/>
  <c r="AS119" i="2"/>
  <c r="M119" i="17"/>
  <c r="AH119" i="17" s="1"/>
  <c r="N119" i="14" s="1"/>
  <c r="P119" i="14" s="1"/>
  <c r="M119" i="16"/>
  <c r="AH119" i="16" s="1"/>
  <c r="K119" i="14" s="1"/>
  <c r="M119" i="14" s="1"/>
  <c r="N119" i="15"/>
  <c r="AR119" i="15" s="1"/>
  <c r="E119" i="14" s="1"/>
  <c r="G119" i="14" s="1"/>
  <c r="V119" i="16"/>
  <c r="W119" i="15"/>
  <c r="V119" i="17"/>
  <c r="W119" i="17"/>
  <c r="W119" i="16"/>
  <c r="X119" i="15"/>
  <c r="R121" i="4"/>
  <c r="T120" i="2"/>
  <c r="U119" i="17"/>
  <c r="U119" i="16"/>
  <c r="V119" i="15"/>
  <c r="M121" i="4"/>
  <c r="O120" i="2"/>
  <c r="Z120" i="2"/>
  <c r="X121" i="4"/>
  <c r="S119" i="17"/>
  <c r="S119" i="16"/>
  <c r="T119" i="15"/>
  <c r="T119" i="17"/>
  <c r="T119" i="16"/>
  <c r="U119" i="15"/>
  <c r="U121" i="4"/>
  <c r="W120" i="2"/>
  <c r="X119" i="16"/>
  <c r="X119" i="17"/>
  <c r="Y119" i="15"/>
  <c r="S121" i="4"/>
  <c r="U121" i="2" s="1"/>
  <c r="AH108" i="9"/>
  <c r="AR108" i="7"/>
  <c r="AC111" i="7"/>
  <c r="AH108" i="10"/>
  <c r="BB109" i="2"/>
  <c r="AX117" i="2"/>
  <c r="AF111" i="7"/>
  <c r="AW117" i="2"/>
  <c r="AE115" i="10"/>
  <c r="AE115" i="9"/>
  <c r="AO115" i="7"/>
  <c r="AH115" i="7"/>
  <c r="E117" i="10"/>
  <c r="E117" i="9"/>
  <c r="F117" i="7"/>
  <c r="D117" i="12"/>
  <c r="M117" i="12" s="1"/>
  <c r="G117" i="12"/>
  <c r="Q117" i="14" s="1"/>
  <c r="S117" i="14" s="1"/>
  <c r="AG111" i="7"/>
  <c r="AG110" i="7"/>
  <c r="K116" i="12"/>
  <c r="H116" i="12"/>
  <c r="J116" i="12" s="1"/>
  <c r="J117" i="10"/>
  <c r="J117" i="9"/>
  <c r="K117" i="7"/>
  <c r="U117" i="10"/>
  <c r="U117" i="9"/>
  <c r="V117" i="7"/>
  <c r="R117" i="10"/>
  <c r="R117" i="9"/>
  <c r="S117" i="7"/>
  <c r="X119" i="10"/>
  <c r="X119" i="9"/>
  <c r="Y119" i="7"/>
  <c r="AA109" i="10"/>
  <c r="AA109" i="9"/>
  <c r="AK109" i="7"/>
  <c r="M117" i="10"/>
  <c r="M117" i="9"/>
  <c r="N117" i="7"/>
  <c r="AC114" i="10"/>
  <c r="AC114" i="9"/>
  <c r="AM114" i="7"/>
  <c r="D117" i="10"/>
  <c r="D117" i="9"/>
  <c r="E117" i="7"/>
  <c r="O117" i="10"/>
  <c r="O117" i="9"/>
  <c r="P117" i="7"/>
  <c r="Q117" i="10"/>
  <c r="Q117" i="9"/>
  <c r="R117" i="7"/>
  <c r="AB115" i="7"/>
  <c r="AD114" i="10"/>
  <c r="AD114" i="9"/>
  <c r="AN114" i="7"/>
  <c r="L117" i="10"/>
  <c r="L117" i="9"/>
  <c r="M117" i="7"/>
  <c r="I117" i="10"/>
  <c r="I117" i="9"/>
  <c r="J117" i="7"/>
  <c r="T117" i="10"/>
  <c r="T117" i="9"/>
  <c r="U117" i="7"/>
  <c r="P117" i="10"/>
  <c r="P117" i="9"/>
  <c r="Q117" i="7"/>
  <c r="AF118" i="10"/>
  <c r="AF118" i="9"/>
  <c r="AP118" i="7"/>
  <c r="G117" i="10"/>
  <c r="G117" i="9"/>
  <c r="H117" i="7"/>
  <c r="AG109" i="10"/>
  <c r="AG109" i="9"/>
  <c r="AQ109" i="7"/>
  <c r="Y119" i="10"/>
  <c r="Y119" i="9"/>
  <c r="Z119" i="7"/>
  <c r="B118" i="12"/>
  <c r="T118" i="14" s="1"/>
  <c r="V118" i="14" s="1"/>
  <c r="B118" i="10"/>
  <c r="B118" i="9"/>
  <c r="C118" i="7"/>
  <c r="F117" i="10"/>
  <c r="F117" i="9"/>
  <c r="G117" i="7"/>
  <c r="N117" i="10"/>
  <c r="N117" i="9"/>
  <c r="O117" i="7"/>
  <c r="AI115" i="7"/>
  <c r="AI114" i="7"/>
  <c r="W119" i="10"/>
  <c r="W119" i="9"/>
  <c r="X119" i="7"/>
  <c r="AB111" i="10"/>
  <c r="AB111" i="9"/>
  <c r="AL111" i="7"/>
  <c r="K117" i="10"/>
  <c r="K117" i="9"/>
  <c r="L117" i="7"/>
  <c r="H117" i="10"/>
  <c r="H117" i="9"/>
  <c r="I117" i="7"/>
  <c r="S117" i="10"/>
  <c r="S117" i="9"/>
  <c r="T117" i="7"/>
  <c r="AJ115" i="7"/>
  <c r="AZ110" i="2"/>
  <c r="BA110" i="2"/>
  <c r="AE112" i="7"/>
  <c r="AD112" i="7"/>
  <c r="C110" i="3"/>
  <c r="B109" i="3"/>
  <c r="F108" i="3"/>
  <c r="E109" i="3"/>
  <c r="J116" i="3"/>
  <c r="G105" i="1"/>
  <c r="D108" i="1"/>
  <c r="V120" i="10" l="1"/>
  <c r="D110" i="7"/>
  <c r="W120" i="7"/>
  <c r="C110" i="9"/>
  <c r="S120" i="16"/>
  <c r="S120" i="17"/>
  <c r="T120" i="15"/>
  <c r="U122" i="4"/>
  <c r="W122" i="2" s="1"/>
  <c r="W121" i="2"/>
  <c r="V120" i="16"/>
  <c r="W120" i="15"/>
  <c r="V120" i="17"/>
  <c r="Z120" i="17"/>
  <c r="AA120" i="15"/>
  <c r="Z120" i="16"/>
  <c r="AA120" i="7"/>
  <c r="Z120" i="10"/>
  <c r="Z120" i="9"/>
  <c r="C110" i="17"/>
  <c r="C110" i="16"/>
  <c r="D110" i="15"/>
  <c r="Q122" i="4"/>
  <c r="S122" i="2" s="1"/>
  <c r="S121" i="2"/>
  <c r="T120" i="16"/>
  <c r="T120" i="17"/>
  <c r="U120" i="15"/>
  <c r="S122" i="4"/>
  <c r="U122" i="2" s="1"/>
  <c r="Z121" i="2"/>
  <c r="X122" i="4"/>
  <c r="Z122" i="2" s="1"/>
  <c r="P120" i="17"/>
  <c r="P120" i="16"/>
  <c r="Q120" i="15"/>
  <c r="B112" i="4"/>
  <c r="E111" i="2"/>
  <c r="C111" i="10" s="1"/>
  <c r="T122" i="4"/>
  <c r="V122" i="2" s="1"/>
  <c r="V121" i="2"/>
  <c r="X120" i="16"/>
  <c r="X120" i="17"/>
  <c r="Y120" i="15"/>
  <c r="R120" i="16"/>
  <c r="R120" i="17"/>
  <c r="S120" i="15"/>
  <c r="B119" i="14"/>
  <c r="D119" i="14" s="1"/>
  <c r="H119" i="14"/>
  <c r="J119" i="14" s="1"/>
  <c r="P122" i="4"/>
  <c r="R122" i="2" s="1"/>
  <c r="R121" i="2"/>
  <c r="AS120" i="2"/>
  <c r="M120" i="17"/>
  <c r="AH120" i="17" s="1"/>
  <c r="N120" i="14" s="1"/>
  <c r="P120" i="14" s="1"/>
  <c r="M120" i="16"/>
  <c r="AH120" i="16" s="1"/>
  <c r="K120" i="14" s="1"/>
  <c r="M120" i="14" s="1"/>
  <c r="N120" i="15"/>
  <c r="AR120" i="15" s="1"/>
  <c r="E120" i="14" s="1"/>
  <c r="G120" i="14" s="1"/>
  <c r="Y121" i="2"/>
  <c r="W122" i="4"/>
  <c r="Y122" i="2" s="1"/>
  <c r="N120" i="16"/>
  <c r="N120" i="17"/>
  <c r="O120" i="15"/>
  <c r="M122" i="4"/>
  <c r="O122" i="2" s="1"/>
  <c r="O121" i="2"/>
  <c r="R122" i="4"/>
  <c r="T121" i="2"/>
  <c r="W120" i="17"/>
  <c r="W120" i="16"/>
  <c r="X120" i="15"/>
  <c r="N122" i="4"/>
  <c r="P122" i="2" s="1"/>
  <c r="P121" i="2"/>
  <c r="AA121" i="2"/>
  <c r="Y122" i="4"/>
  <c r="AA122" i="2" s="1"/>
  <c r="U120" i="17"/>
  <c r="U120" i="16"/>
  <c r="V120" i="15"/>
  <c r="X121" i="2"/>
  <c r="V121" i="9" s="1"/>
  <c r="V122" i="4"/>
  <c r="X122" i="2" s="1"/>
  <c r="W122" i="7" s="1"/>
  <c r="AB121" i="2"/>
  <c r="Z122" i="4"/>
  <c r="AB122" i="2" s="1"/>
  <c r="Q120" i="16"/>
  <c r="Q120" i="17"/>
  <c r="R120" i="15"/>
  <c r="AT120" i="2"/>
  <c r="Z120" i="15"/>
  <c r="Y120" i="17"/>
  <c r="Y120" i="16"/>
  <c r="AC112" i="7"/>
  <c r="BB110" i="2"/>
  <c r="AX118" i="2"/>
  <c r="AF112" i="7"/>
  <c r="AW118" i="2"/>
  <c r="AY111" i="2"/>
  <c r="AH109" i="10"/>
  <c r="Y120" i="10"/>
  <c r="Y120" i="9"/>
  <c r="Z120" i="7"/>
  <c r="E118" i="10"/>
  <c r="E118" i="9"/>
  <c r="F118" i="7"/>
  <c r="Q118" i="10"/>
  <c r="Q118" i="9"/>
  <c r="R118" i="7"/>
  <c r="S118" i="10"/>
  <c r="S118" i="9"/>
  <c r="T118" i="7"/>
  <c r="V121" i="10"/>
  <c r="X120" i="10"/>
  <c r="X120" i="9"/>
  <c r="Y120" i="7"/>
  <c r="W120" i="10"/>
  <c r="W120" i="9"/>
  <c r="X120" i="7"/>
  <c r="K117" i="12"/>
  <c r="H117" i="12"/>
  <c r="J117" i="12" s="1"/>
  <c r="AA110" i="10"/>
  <c r="AA110" i="9"/>
  <c r="AK110" i="7"/>
  <c r="H118" i="10"/>
  <c r="H118" i="9"/>
  <c r="I118" i="7"/>
  <c r="J118" i="10"/>
  <c r="J118" i="9"/>
  <c r="K118" i="7"/>
  <c r="P118" i="10"/>
  <c r="P118" i="9"/>
  <c r="Q118" i="7"/>
  <c r="M118" i="10"/>
  <c r="M118" i="9"/>
  <c r="N118" i="7"/>
  <c r="AH116" i="7"/>
  <c r="AB112" i="10"/>
  <c r="AB112" i="9"/>
  <c r="AL112" i="7"/>
  <c r="G118" i="10"/>
  <c r="G118" i="9"/>
  <c r="H118" i="7"/>
  <c r="D118" i="10"/>
  <c r="D118" i="9"/>
  <c r="E118" i="7"/>
  <c r="U118" i="10"/>
  <c r="U118" i="9"/>
  <c r="V118" i="7"/>
  <c r="AD115" i="10"/>
  <c r="AD115" i="9"/>
  <c r="AN115" i="7"/>
  <c r="AG110" i="10"/>
  <c r="AG110" i="9"/>
  <c r="AQ110" i="7"/>
  <c r="AE116" i="10"/>
  <c r="AE116" i="9"/>
  <c r="AO116" i="7"/>
  <c r="B119" i="12"/>
  <c r="T119" i="14" s="1"/>
  <c r="V119" i="14" s="1"/>
  <c r="B119" i="10"/>
  <c r="B119" i="9"/>
  <c r="C119" i="7"/>
  <c r="L118" i="10"/>
  <c r="L118" i="9"/>
  <c r="M118" i="7"/>
  <c r="I118" i="10"/>
  <c r="I118" i="9"/>
  <c r="J118" i="7"/>
  <c r="O118" i="10"/>
  <c r="O118" i="9"/>
  <c r="P118" i="7"/>
  <c r="F118" i="10"/>
  <c r="F118" i="9"/>
  <c r="G118" i="7"/>
  <c r="T118" i="10"/>
  <c r="T118" i="9"/>
  <c r="U118" i="7"/>
  <c r="D118" i="12"/>
  <c r="G118" i="12"/>
  <c r="Q118" i="14" s="1"/>
  <c r="S118" i="14" s="1"/>
  <c r="AR109" i="7"/>
  <c r="AJ116" i="7"/>
  <c r="AC115" i="10"/>
  <c r="AC115" i="9"/>
  <c r="AM115" i="7"/>
  <c r="AF119" i="10"/>
  <c r="AF119" i="9"/>
  <c r="AP119" i="7"/>
  <c r="K118" i="10"/>
  <c r="K118" i="9"/>
  <c r="L118" i="7"/>
  <c r="R118" i="10"/>
  <c r="R118" i="9"/>
  <c r="S118" i="7"/>
  <c r="N118" i="10"/>
  <c r="N118" i="9"/>
  <c r="O118" i="7"/>
  <c r="AB116" i="7"/>
  <c r="AH109" i="9"/>
  <c r="L117" i="12"/>
  <c r="BA111" i="2"/>
  <c r="AE113" i="7"/>
  <c r="AD113" i="7"/>
  <c r="AY112" i="2"/>
  <c r="C111" i="3"/>
  <c r="G111" i="3" s="1"/>
  <c r="B110" i="3"/>
  <c r="F109" i="3"/>
  <c r="E110" i="3"/>
  <c r="J117" i="3"/>
  <c r="G106" i="1"/>
  <c r="D109" i="1"/>
  <c r="V122" i="9" l="1"/>
  <c r="V122" i="10"/>
  <c r="W121" i="7"/>
  <c r="D111" i="7"/>
  <c r="C111" i="9"/>
  <c r="AS121" i="2"/>
  <c r="M121" i="16"/>
  <c r="AH121" i="16" s="1"/>
  <c r="K121" i="14" s="1"/>
  <c r="M121" i="14" s="1"/>
  <c r="M121" i="17"/>
  <c r="AH121" i="17" s="1"/>
  <c r="N121" i="14" s="1"/>
  <c r="P121" i="14" s="1"/>
  <c r="N121" i="15"/>
  <c r="AR121" i="15" s="1"/>
  <c r="E121" i="14" s="1"/>
  <c r="G121" i="14" s="1"/>
  <c r="W121" i="17"/>
  <c r="X121" i="15"/>
  <c r="W121" i="16"/>
  <c r="P122" i="17"/>
  <c r="P122" i="16"/>
  <c r="Q122" i="15"/>
  <c r="B113" i="4"/>
  <c r="E112" i="2"/>
  <c r="C112" i="9" s="1"/>
  <c r="S121" i="17"/>
  <c r="S121" i="16"/>
  <c r="T121" i="15"/>
  <c r="Q122" i="16"/>
  <c r="Q122" i="17"/>
  <c r="R122" i="15"/>
  <c r="Z122" i="16"/>
  <c r="Z122" i="17"/>
  <c r="AA122" i="15"/>
  <c r="Z122" i="10"/>
  <c r="Z122" i="9"/>
  <c r="AA122" i="7"/>
  <c r="AS122" i="2"/>
  <c r="M122" i="17"/>
  <c r="AH122" i="17" s="1"/>
  <c r="N122" i="14" s="1"/>
  <c r="P122" i="14" s="1"/>
  <c r="M122" i="16"/>
  <c r="AH122" i="16" s="1"/>
  <c r="K122" i="14" s="1"/>
  <c r="M122" i="14" s="1"/>
  <c r="N122" i="15"/>
  <c r="AR122" i="15" s="1"/>
  <c r="E122" i="14" s="1"/>
  <c r="G122" i="14" s="1"/>
  <c r="S122" i="17"/>
  <c r="S122" i="16"/>
  <c r="T122" i="15"/>
  <c r="U121" i="16"/>
  <c r="U121" i="17"/>
  <c r="V121" i="15"/>
  <c r="Z121" i="17"/>
  <c r="Z121" i="16"/>
  <c r="AA121" i="15"/>
  <c r="AA121" i="7"/>
  <c r="Z121" i="10"/>
  <c r="Z121" i="9"/>
  <c r="Y122" i="17"/>
  <c r="Z122" i="15"/>
  <c r="Y122" i="16"/>
  <c r="U122" i="17"/>
  <c r="U122" i="16"/>
  <c r="V122" i="15"/>
  <c r="V122" i="16"/>
  <c r="W122" i="15"/>
  <c r="V122" i="17"/>
  <c r="Y121" i="16"/>
  <c r="Y121" i="17"/>
  <c r="Z121" i="15"/>
  <c r="R121" i="16"/>
  <c r="R121" i="17"/>
  <c r="S121" i="15"/>
  <c r="T121" i="17"/>
  <c r="T121" i="16"/>
  <c r="U121" i="15"/>
  <c r="V121" i="16"/>
  <c r="W121" i="15"/>
  <c r="V121" i="17"/>
  <c r="N121" i="17"/>
  <c r="N121" i="16"/>
  <c r="O121" i="15"/>
  <c r="H120" i="14"/>
  <c r="J120" i="14" s="1"/>
  <c r="B120" i="14"/>
  <c r="D120" i="14" s="1"/>
  <c r="T122" i="17"/>
  <c r="T122" i="16"/>
  <c r="U122" i="15"/>
  <c r="X122" i="17"/>
  <c r="Y122" i="15"/>
  <c r="X122" i="16"/>
  <c r="N122" i="16"/>
  <c r="N122" i="17"/>
  <c r="O122" i="15"/>
  <c r="T122" i="2"/>
  <c r="W122" i="17"/>
  <c r="W122" i="16"/>
  <c r="X122" i="15"/>
  <c r="P121" i="17"/>
  <c r="P121" i="16"/>
  <c r="Q121" i="15"/>
  <c r="C111" i="17"/>
  <c r="C111" i="16"/>
  <c r="D111" i="15"/>
  <c r="X121" i="17"/>
  <c r="Y121" i="15"/>
  <c r="X121" i="16"/>
  <c r="Q121" i="16"/>
  <c r="Q121" i="17"/>
  <c r="R121" i="15"/>
  <c r="AT121" i="2"/>
  <c r="AC113" i="7"/>
  <c r="AZ111" i="2"/>
  <c r="BB111" i="2"/>
  <c r="AF113" i="7"/>
  <c r="AX119" i="2"/>
  <c r="AW119" i="2"/>
  <c r="AB113" i="10"/>
  <c r="AB113" i="9"/>
  <c r="AL113" i="7"/>
  <c r="AI117" i="7"/>
  <c r="AI116" i="7"/>
  <c r="H119" i="10"/>
  <c r="H119" i="9"/>
  <c r="I119" i="7"/>
  <c r="U119" i="10"/>
  <c r="U119" i="9"/>
  <c r="V119" i="7"/>
  <c r="R119" i="10"/>
  <c r="R119" i="9"/>
  <c r="S119" i="7"/>
  <c r="X121" i="10"/>
  <c r="X121" i="9"/>
  <c r="Y121" i="7"/>
  <c r="Y121" i="10"/>
  <c r="Y121" i="9"/>
  <c r="Z121" i="7"/>
  <c r="AG111" i="10"/>
  <c r="AG111" i="9"/>
  <c r="AQ111" i="7"/>
  <c r="AJ117" i="7"/>
  <c r="B120" i="12"/>
  <c r="T120" i="14" s="1"/>
  <c r="V120" i="14" s="1"/>
  <c r="B120" i="10"/>
  <c r="B120" i="9"/>
  <c r="C120" i="7"/>
  <c r="G119" i="10"/>
  <c r="G119" i="9"/>
  <c r="H119" i="7"/>
  <c r="O119" i="10"/>
  <c r="O119" i="9"/>
  <c r="P119" i="7"/>
  <c r="Q119" i="10"/>
  <c r="Q119" i="9"/>
  <c r="R119" i="7"/>
  <c r="X122" i="10"/>
  <c r="X122" i="9"/>
  <c r="Y122" i="7"/>
  <c r="Y122" i="10"/>
  <c r="Y122" i="9"/>
  <c r="Z122" i="7"/>
  <c r="AF120" i="10"/>
  <c r="AF120" i="9"/>
  <c r="AP120" i="7"/>
  <c r="J119" i="10"/>
  <c r="J119" i="9"/>
  <c r="K119" i="7"/>
  <c r="L119" i="10"/>
  <c r="L119" i="9"/>
  <c r="M119" i="7"/>
  <c r="T119" i="10"/>
  <c r="T119" i="9"/>
  <c r="U119" i="7"/>
  <c r="P119" i="10"/>
  <c r="P119" i="9"/>
  <c r="Q119" i="7"/>
  <c r="AR110" i="7"/>
  <c r="AG113" i="7"/>
  <c r="AG112" i="7"/>
  <c r="AB117" i="7"/>
  <c r="AD116" i="10"/>
  <c r="AD116" i="9"/>
  <c r="AN116" i="7"/>
  <c r="D119" i="10"/>
  <c r="D119" i="9"/>
  <c r="E119" i="7"/>
  <c r="F119" i="10"/>
  <c r="F119" i="9"/>
  <c r="G119" i="7"/>
  <c r="N119" i="10"/>
  <c r="N119" i="9"/>
  <c r="O119" i="7"/>
  <c r="AH117" i="7"/>
  <c r="AH110" i="9"/>
  <c r="K118" i="12"/>
  <c r="H118" i="12"/>
  <c r="I119" i="10"/>
  <c r="I119" i="9"/>
  <c r="J119" i="7"/>
  <c r="K119" i="10"/>
  <c r="K119" i="9"/>
  <c r="L119" i="7"/>
  <c r="S119" i="10"/>
  <c r="S119" i="9"/>
  <c r="T119" i="7"/>
  <c r="W121" i="10"/>
  <c r="W121" i="9"/>
  <c r="X121" i="7"/>
  <c r="AH110" i="10"/>
  <c r="AA111" i="10"/>
  <c r="AA111" i="9"/>
  <c r="AK111" i="7"/>
  <c r="AC116" i="10"/>
  <c r="AC116" i="9"/>
  <c r="AM116" i="7"/>
  <c r="AE117" i="10"/>
  <c r="AE117" i="9"/>
  <c r="AO117" i="7"/>
  <c r="E119" i="10"/>
  <c r="E119" i="9"/>
  <c r="F119" i="7"/>
  <c r="M119" i="10"/>
  <c r="M119" i="9"/>
  <c r="N119" i="7"/>
  <c r="D119" i="12"/>
  <c r="G119" i="12"/>
  <c r="Q119" i="14" s="1"/>
  <c r="S119" i="14" s="1"/>
  <c r="W122" i="10"/>
  <c r="W122" i="9"/>
  <c r="X122" i="7"/>
  <c r="AZ112" i="2"/>
  <c r="BA112" i="2"/>
  <c r="AE114" i="7"/>
  <c r="AD114" i="7"/>
  <c r="C112" i="3"/>
  <c r="B111" i="3"/>
  <c r="E111" i="3"/>
  <c r="F110" i="3"/>
  <c r="J118" i="3"/>
  <c r="G107" i="1"/>
  <c r="D110" i="1"/>
  <c r="C112" i="10" l="1"/>
  <c r="D112" i="7"/>
  <c r="R122" i="17"/>
  <c r="R122" i="16"/>
  <c r="S122" i="15"/>
  <c r="C112" i="16"/>
  <c r="C112" i="17"/>
  <c r="D112" i="15"/>
  <c r="B114" i="4"/>
  <c r="E113" i="2"/>
  <c r="D113" i="7" s="1"/>
  <c r="H122" i="14"/>
  <c r="J122" i="14" s="1"/>
  <c r="B122" i="14"/>
  <c r="D122" i="14" s="1"/>
  <c r="AT122" i="2"/>
  <c r="H121" i="14"/>
  <c r="J121" i="14" s="1"/>
  <c r="B121" i="14"/>
  <c r="D121" i="14" s="1"/>
  <c r="AC114" i="7"/>
  <c r="AH111" i="9"/>
  <c r="BB112" i="2"/>
  <c r="AX120" i="2"/>
  <c r="AH111" i="10"/>
  <c r="AY113" i="2"/>
  <c r="AF114" i="7"/>
  <c r="AW120" i="2"/>
  <c r="AR111" i="7"/>
  <c r="AC117" i="10"/>
  <c r="AC117" i="9"/>
  <c r="AM117" i="7"/>
  <c r="AA112" i="10"/>
  <c r="AA112" i="9"/>
  <c r="AK112" i="7"/>
  <c r="J120" i="10"/>
  <c r="J120" i="9"/>
  <c r="K120" i="7"/>
  <c r="R120" i="10"/>
  <c r="R120" i="9"/>
  <c r="S120" i="7"/>
  <c r="N120" i="10"/>
  <c r="N120" i="9"/>
  <c r="O120" i="7"/>
  <c r="AB114" i="10"/>
  <c r="AB114" i="9"/>
  <c r="AL114" i="7"/>
  <c r="D120" i="10"/>
  <c r="D120" i="9"/>
  <c r="E120" i="7"/>
  <c r="Q120" i="10"/>
  <c r="Q120" i="9"/>
  <c r="R120" i="7"/>
  <c r="S120" i="10"/>
  <c r="S120" i="9"/>
  <c r="T120" i="7"/>
  <c r="AE118" i="10"/>
  <c r="AE118" i="9"/>
  <c r="AO118" i="7"/>
  <c r="AF121" i="10"/>
  <c r="AF121" i="9"/>
  <c r="AP121" i="7"/>
  <c r="C113" i="10"/>
  <c r="K119" i="12"/>
  <c r="H119" i="12"/>
  <c r="J119" i="12" s="1"/>
  <c r="L120" i="10"/>
  <c r="L120" i="9"/>
  <c r="M120" i="7"/>
  <c r="I120" i="10"/>
  <c r="I120" i="9"/>
  <c r="J120" i="7"/>
  <c r="P120" i="10"/>
  <c r="P120" i="9"/>
  <c r="Q120" i="7"/>
  <c r="M120" i="10"/>
  <c r="M120" i="9"/>
  <c r="N120" i="7"/>
  <c r="AJ118" i="7"/>
  <c r="AF122" i="10"/>
  <c r="AF122" i="9"/>
  <c r="AP122" i="7"/>
  <c r="B121" i="12"/>
  <c r="T121" i="14" s="1"/>
  <c r="V121" i="14" s="1"/>
  <c r="B121" i="10"/>
  <c r="B121" i="9"/>
  <c r="C121" i="7"/>
  <c r="F120" i="10"/>
  <c r="F120" i="9"/>
  <c r="G120" i="7"/>
  <c r="U120" i="10"/>
  <c r="U120" i="9"/>
  <c r="V120" i="7"/>
  <c r="AD117" i="10"/>
  <c r="AD117" i="9"/>
  <c r="AN117" i="7"/>
  <c r="J118" i="12"/>
  <c r="AH118" i="7"/>
  <c r="K120" i="10"/>
  <c r="K120" i="9"/>
  <c r="L120" i="7"/>
  <c r="H120" i="10"/>
  <c r="H120" i="9"/>
  <c r="I120" i="7"/>
  <c r="O120" i="10"/>
  <c r="O120" i="9"/>
  <c r="P120" i="7"/>
  <c r="AG112" i="10"/>
  <c r="AG112" i="9"/>
  <c r="AQ112" i="7"/>
  <c r="AB118" i="7"/>
  <c r="E120" i="10"/>
  <c r="E120" i="9"/>
  <c r="F120" i="7"/>
  <c r="G120" i="10"/>
  <c r="G120" i="9"/>
  <c r="H120" i="7"/>
  <c r="T120" i="10"/>
  <c r="T120" i="9"/>
  <c r="U120" i="7"/>
  <c r="D120" i="12"/>
  <c r="G120" i="12"/>
  <c r="Q120" i="14" s="1"/>
  <c r="S120" i="14" s="1"/>
  <c r="AZ113" i="2"/>
  <c r="BA113" i="2"/>
  <c r="AE115" i="7"/>
  <c r="AD115" i="7"/>
  <c r="AY114" i="2"/>
  <c r="C113" i="3"/>
  <c r="B112" i="3"/>
  <c r="J119" i="3"/>
  <c r="F111" i="3"/>
  <c r="E112" i="3"/>
  <c r="G108" i="1"/>
  <c r="D111" i="1"/>
  <c r="C113" i="9" l="1"/>
  <c r="C113" i="17"/>
  <c r="C113" i="16"/>
  <c r="D113" i="15"/>
  <c r="B115" i="4"/>
  <c r="E114" i="2"/>
  <c r="C114" i="9" s="1"/>
  <c r="AC115" i="7"/>
  <c r="BB113" i="2"/>
  <c r="AX121" i="2"/>
  <c r="AF115" i="7"/>
  <c r="AW121" i="2"/>
  <c r="B122" i="12"/>
  <c r="T122" i="14" s="1"/>
  <c r="V122" i="14" s="1"/>
  <c r="B122" i="10"/>
  <c r="B122" i="9"/>
  <c r="C122" i="7"/>
  <c r="G121" i="10"/>
  <c r="G121" i="9"/>
  <c r="H121" i="7"/>
  <c r="D121" i="10"/>
  <c r="D121" i="9"/>
  <c r="E121" i="7"/>
  <c r="N121" i="10"/>
  <c r="N121" i="9"/>
  <c r="O121" i="7"/>
  <c r="K120" i="12"/>
  <c r="H120" i="12"/>
  <c r="J120" i="12" s="1"/>
  <c r="AH119" i="7"/>
  <c r="L121" i="10"/>
  <c r="L121" i="9"/>
  <c r="M121" i="7"/>
  <c r="I121" i="10"/>
  <c r="I121" i="9"/>
  <c r="J121" i="7"/>
  <c r="S121" i="10"/>
  <c r="S121" i="9"/>
  <c r="T121" i="7"/>
  <c r="F121" i="10"/>
  <c r="F121" i="9"/>
  <c r="G121" i="7"/>
  <c r="M121" i="10"/>
  <c r="M121" i="9"/>
  <c r="N121" i="7"/>
  <c r="D121" i="12"/>
  <c r="G121" i="12"/>
  <c r="Q121" i="14" s="1"/>
  <c r="S121" i="14" s="1"/>
  <c r="AI119" i="7"/>
  <c r="AI118" i="7"/>
  <c r="AR112" i="7"/>
  <c r="AC118" i="10"/>
  <c r="AC118" i="9"/>
  <c r="AM118" i="7"/>
  <c r="AB115" i="10"/>
  <c r="AB115" i="9"/>
  <c r="AL115" i="7"/>
  <c r="AB119" i="7"/>
  <c r="K121" i="10"/>
  <c r="K121" i="9"/>
  <c r="L121" i="7"/>
  <c r="U121" i="10"/>
  <c r="U121" i="9"/>
  <c r="V121" i="7"/>
  <c r="R121" i="10"/>
  <c r="R121" i="9"/>
  <c r="S121" i="7"/>
  <c r="AJ119" i="7"/>
  <c r="AH112" i="9"/>
  <c r="AD118" i="10"/>
  <c r="AD118" i="9"/>
  <c r="AN118" i="7"/>
  <c r="AA113" i="10"/>
  <c r="AA113" i="9"/>
  <c r="AK113" i="7"/>
  <c r="C114" i="10"/>
  <c r="E121" i="10"/>
  <c r="E121" i="9"/>
  <c r="F121" i="7"/>
  <c r="O121" i="10"/>
  <c r="O121" i="9"/>
  <c r="P121" i="7"/>
  <c r="Q121" i="10"/>
  <c r="Q121" i="9"/>
  <c r="R121" i="7"/>
  <c r="AH112" i="10"/>
  <c r="AG115" i="7"/>
  <c r="AG114" i="7"/>
  <c r="AE119" i="10"/>
  <c r="AE119" i="9"/>
  <c r="AO119" i="7"/>
  <c r="AG113" i="10"/>
  <c r="AG113" i="9"/>
  <c r="AQ113" i="7"/>
  <c r="H121" i="10"/>
  <c r="H121" i="9"/>
  <c r="I121" i="7"/>
  <c r="J121" i="10"/>
  <c r="J121" i="9"/>
  <c r="K121" i="7"/>
  <c r="T121" i="10"/>
  <c r="T121" i="9"/>
  <c r="U121" i="7"/>
  <c r="P121" i="10"/>
  <c r="P121" i="9"/>
  <c r="Q121" i="7"/>
  <c r="AZ114" i="2"/>
  <c r="BA114" i="2"/>
  <c r="AE116" i="7"/>
  <c r="AD116" i="7"/>
  <c r="C114" i="3"/>
  <c r="B113" i="3"/>
  <c r="F112" i="3"/>
  <c r="E113" i="3"/>
  <c r="J120" i="3"/>
  <c r="G109" i="1"/>
  <c r="D112" i="1"/>
  <c r="C114" i="17" l="1"/>
  <c r="C114" i="16"/>
  <c r="D114" i="15"/>
  <c r="B116" i="4"/>
  <c r="E115" i="2"/>
  <c r="C115" i="10" s="1"/>
  <c r="D114" i="7"/>
  <c r="AC116" i="7"/>
  <c r="BB114" i="2"/>
  <c r="AF116" i="7"/>
  <c r="AX122" i="2"/>
  <c r="AY115" i="2"/>
  <c r="AW122" i="2"/>
  <c r="AH113" i="9"/>
  <c r="G122" i="10"/>
  <c r="G122" i="9"/>
  <c r="H122" i="7"/>
  <c r="Q122" i="10"/>
  <c r="Q122" i="9"/>
  <c r="R122" i="7"/>
  <c r="S122" i="10"/>
  <c r="S122" i="9"/>
  <c r="T122" i="7"/>
  <c r="AA114" i="10"/>
  <c r="AA114" i="9"/>
  <c r="AK114" i="7"/>
  <c r="AE120" i="10"/>
  <c r="AE120" i="9"/>
  <c r="AO120" i="7"/>
  <c r="AB116" i="10"/>
  <c r="AB116" i="9"/>
  <c r="AL116" i="7"/>
  <c r="AH113" i="10"/>
  <c r="AJ120" i="7"/>
  <c r="AH120" i="7"/>
  <c r="J122" i="10"/>
  <c r="J122" i="9"/>
  <c r="K122" i="7"/>
  <c r="L122" i="10"/>
  <c r="L122" i="9"/>
  <c r="M122" i="7"/>
  <c r="P122" i="10"/>
  <c r="P122" i="9"/>
  <c r="Q122" i="7"/>
  <c r="M122" i="10"/>
  <c r="M122" i="9"/>
  <c r="N122" i="7"/>
  <c r="D122" i="10"/>
  <c r="D122" i="9"/>
  <c r="E122" i="7"/>
  <c r="F122" i="10"/>
  <c r="F122" i="9"/>
  <c r="G122" i="7"/>
  <c r="U122" i="10"/>
  <c r="U122" i="9"/>
  <c r="V122" i="7"/>
  <c r="AC119" i="10"/>
  <c r="AC119" i="9"/>
  <c r="AM119" i="7"/>
  <c r="AB120" i="7"/>
  <c r="K121" i="12"/>
  <c r="H121" i="12"/>
  <c r="J121" i="12" s="1"/>
  <c r="I122" i="10"/>
  <c r="I122" i="9"/>
  <c r="J122" i="7"/>
  <c r="K122" i="10"/>
  <c r="K122" i="9"/>
  <c r="L122" i="7"/>
  <c r="O122" i="10"/>
  <c r="O122" i="9"/>
  <c r="P122" i="7"/>
  <c r="AG114" i="10"/>
  <c r="AG114" i="9"/>
  <c r="AQ114" i="7"/>
  <c r="E122" i="10"/>
  <c r="E122" i="9"/>
  <c r="F122" i="7"/>
  <c r="T122" i="10"/>
  <c r="T122" i="9"/>
  <c r="U122" i="7"/>
  <c r="D122" i="12"/>
  <c r="L122" i="12" s="1"/>
  <c r="G122" i="12"/>
  <c r="Q122" i="14" s="1"/>
  <c r="S122" i="14" s="1"/>
  <c r="C115" i="9"/>
  <c r="D115" i="7"/>
  <c r="AD119" i="10"/>
  <c r="AD119" i="9"/>
  <c r="AN119" i="7"/>
  <c r="AR113" i="7"/>
  <c r="H122" i="10"/>
  <c r="H122" i="9"/>
  <c r="I122" i="7"/>
  <c r="R122" i="10"/>
  <c r="R122" i="9"/>
  <c r="S122" i="7"/>
  <c r="N122" i="10"/>
  <c r="N122" i="9"/>
  <c r="O122" i="7"/>
  <c r="AZ115" i="2"/>
  <c r="BA115" i="2"/>
  <c r="AE117" i="7"/>
  <c r="AD117" i="7"/>
  <c r="AY116" i="2"/>
  <c r="C115" i="3"/>
  <c r="B114" i="3"/>
  <c r="F113" i="3"/>
  <c r="E114" i="3"/>
  <c r="J121" i="3"/>
  <c r="G110" i="1"/>
  <c r="D113" i="1"/>
  <c r="C115" i="16" l="1"/>
  <c r="C115" i="17"/>
  <c r="D115" i="15"/>
  <c r="B117" i="4"/>
  <c r="E116" i="2"/>
  <c r="C116" i="10" s="1"/>
  <c r="AC117" i="7"/>
  <c r="BB115" i="2"/>
  <c r="AF117" i="7"/>
  <c r="AH114" i="10"/>
  <c r="AD120" i="10"/>
  <c r="AD120" i="9"/>
  <c r="AN120" i="7"/>
  <c r="AE121" i="10"/>
  <c r="AE121" i="9"/>
  <c r="AO121" i="7"/>
  <c r="AI121" i="7"/>
  <c r="AI120" i="7"/>
  <c r="AJ121" i="7"/>
  <c r="AG117" i="7"/>
  <c r="AG116" i="7"/>
  <c r="AA115" i="10"/>
  <c r="AA115" i="9"/>
  <c r="AK115" i="7"/>
  <c r="K122" i="12"/>
  <c r="H122" i="12"/>
  <c r="J122" i="12" s="1"/>
  <c r="AB121" i="7"/>
  <c r="AR114" i="7"/>
  <c r="AE122" i="10"/>
  <c r="AE122" i="9"/>
  <c r="AO122" i="7"/>
  <c r="AG115" i="10"/>
  <c r="AG115" i="9"/>
  <c r="AQ115" i="7"/>
  <c r="AB117" i="10"/>
  <c r="AB117" i="9"/>
  <c r="AL117" i="7"/>
  <c r="AC120" i="10"/>
  <c r="AC120" i="9"/>
  <c r="AM120" i="7"/>
  <c r="N122" i="12"/>
  <c r="O122" i="12"/>
  <c r="M122" i="12"/>
  <c r="AH122" i="7"/>
  <c r="AH121" i="7"/>
  <c r="AH114" i="9"/>
  <c r="AZ116" i="2"/>
  <c r="BA116" i="2"/>
  <c r="AE118" i="7"/>
  <c r="AD118" i="7"/>
  <c r="C116" i="3"/>
  <c r="B115" i="3"/>
  <c r="F114" i="3"/>
  <c r="E115" i="3"/>
  <c r="G111" i="1"/>
  <c r="D114" i="1"/>
  <c r="D116" i="7" l="1"/>
  <c r="C116" i="9"/>
  <c r="C116" i="17"/>
  <c r="C116" i="16"/>
  <c r="D116" i="15"/>
  <c r="B118" i="4"/>
  <c r="E117" i="2"/>
  <c r="AC118" i="7"/>
  <c r="AB122" i="7"/>
  <c r="BB116" i="2"/>
  <c r="AY117" i="2"/>
  <c r="AF118" i="7"/>
  <c r="AH115" i="9"/>
  <c r="AR115" i="7"/>
  <c r="AG116" i="10"/>
  <c r="AG116" i="9"/>
  <c r="AQ116" i="7"/>
  <c r="AI122" i="7"/>
  <c r="AJ122" i="7"/>
  <c r="AD122" i="10"/>
  <c r="AD122" i="9"/>
  <c r="AN122" i="7"/>
  <c r="AA116" i="10"/>
  <c r="AA116" i="9"/>
  <c r="AK116" i="7"/>
  <c r="AH115" i="10"/>
  <c r="AC121" i="10"/>
  <c r="AC121" i="9"/>
  <c r="AM121" i="7"/>
  <c r="AB118" i="10"/>
  <c r="AB118" i="9"/>
  <c r="AL118" i="7"/>
  <c r="AD121" i="10"/>
  <c r="AD121" i="9"/>
  <c r="AN121" i="7"/>
  <c r="AC122" i="10"/>
  <c r="AC122" i="9"/>
  <c r="AM122" i="7"/>
  <c r="AZ117" i="2"/>
  <c r="BA117" i="2"/>
  <c r="AE119" i="7"/>
  <c r="AD119" i="7"/>
  <c r="AY118" i="2"/>
  <c r="C117" i="3"/>
  <c r="B116" i="3"/>
  <c r="F115" i="3"/>
  <c r="E116" i="3"/>
  <c r="G112" i="1"/>
  <c r="D115" i="1"/>
  <c r="C117" i="17" l="1"/>
  <c r="C117" i="16"/>
  <c r="D117" i="15"/>
  <c r="B119" i="4"/>
  <c r="E118" i="2"/>
  <c r="C118" i="10" s="1"/>
  <c r="C117" i="9"/>
  <c r="D117" i="7"/>
  <c r="C117" i="10"/>
  <c r="AC119" i="7"/>
  <c r="BB117" i="2"/>
  <c r="AF119" i="7"/>
  <c r="AR116" i="7"/>
  <c r="AH116" i="9"/>
  <c r="AH116" i="10"/>
  <c r="AB119" i="10"/>
  <c r="AB119" i="9"/>
  <c r="AL119" i="7"/>
  <c r="AG117" i="10"/>
  <c r="AG117" i="9"/>
  <c r="AQ117" i="7"/>
  <c r="AA117" i="10"/>
  <c r="AA117" i="9"/>
  <c r="AK117" i="7"/>
  <c r="AG119" i="7"/>
  <c r="AG118" i="7"/>
  <c r="AZ118" i="2"/>
  <c r="BA118" i="2"/>
  <c r="AE120" i="7"/>
  <c r="AD120" i="7"/>
  <c r="C118" i="3"/>
  <c r="B117" i="3"/>
  <c r="F116" i="3"/>
  <c r="E117" i="3"/>
  <c r="G113" i="1"/>
  <c r="D116" i="1"/>
  <c r="C118" i="16" l="1"/>
  <c r="C118" i="17"/>
  <c r="D118" i="15"/>
  <c r="B120" i="4"/>
  <c r="E119" i="2"/>
  <c r="C119" i="10" s="1"/>
  <c r="D118" i="7"/>
  <c r="C118" i="9"/>
  <c r="AC120" i="7"/>
  <c r="BB118" i="2"/>
  <c r="AF120" i="7"/>
  <c r="AY119" i="2"/>
  <c r="AH117" i="10"/>
  <c r="AB120" i="10"/>
  <c r="AB120" i="9"/>
  <c r="AL120" i="7"/>
  <c r="AA118" i="10"/>
  <c r="AA118" i="9"/>
  <c r="AK118" i="7"/>
  <c r="AR117" i="7"/>
  <c r="AG118" i="10"/>
  <c r="AG118" i="9"/>
  <c r="AQ118" i="7"/>
  <c r="AH117" i="9"/>
  <c r="AZ119" i="2"/>
  <c r="BA119" i="2"/>
  <c r="AE121" i="7"/>
  <c r="AD121" i="7"/>
  <c r="AY120" i="2"/>
  <c r="C119" i="3"/>
  <c r="B118" i="3"/>
  <c r="F117" i="3"/>
  <c r="E118" i="3"/>
  <c r="G114" i="1"/>
  <c r="D117" i="1"/>
  <c r="C119" i="9" l="1"/>
  <c r="C119" i="17"/>
  <c r="C119" i="16"/>
  <c r="D119" i="15"/>
  <c r="B121" i="4"/>
  <c r="E120" i="2"/>
  <c r="D120" i="7" s="1"/>
  <c r="D119" i="7"/>
  <c r="AC121" i="7"/>
  <c r="BB119" i="2"/>
  <c r="AF121" i="7"/>
  <c r="AH118" i="10"/>
  <c r="AG119" i="10"/>
  <c r="AG119" i="9"/>
  <c r="AQ119" i="7"/>
  <c r="AG121" i="7"/>
  <c r="AG120" i="7"/>
  <c r="AA119" i="10"/>
  <c r="AA119" i="9"/>
  <c r="AK119" i="7"/>
  <c r="AB121" i="10"/>
  <c r="AB121" i="9"/>
  <c r="AL121" i="7"/>
  <c r="AB122" i="10"/>
  <c r="AB122" i="9"/>
  <c r="AL122" i="7"/>
  <c r="AR118" i="7"/>
  <c r="AH118" i="9"/>
  <c r="AZ120" i="2"/>
  <c r="BA120" i="2"/>
  <c r="AE122" i="7"/>
  <c r="AD122" i="7"/>
  <c r="C120" i="3"/>
  <c r="B119" i="3"/>
  <c r="F118" i="3"/>
  <c r="E119" i="3"/>
  <c r="G115" i="1"/>
  <c r="D118" i="1"/>
  <c r="C120" i="16" l="1"/>
  <c r="C120" i="17"/>
  <c r="D120" i="15"/>
  <c r="B122" i="4"/>
  <c r="E122" i="2" s="1"/>
  <c r="E121" i="2"/>
  <c r="C121" i="9" s="1"/>
  <c r="C120" i="9"/>
  <c r="C120" i="10"/>
  <c r="AC122" i="7"/>
  <c r="AY121" i="2"/>
  <c r="BB120" i="2"/>
  <c r="AH119" i="10"/>
  <c r="AF122" i="7"/>
  <c r="AR119" i="7"/>
  <c r="AH119" i="9"/>
  <c r="AG120" i="10"/>
  <c r="AG120" i="9"/>
  <c r="AQ120" i="7"/>
  <c r="AA120" i="10"/>
  <c r="AA120" i="9"/>
  <c r="AK120" i="7"/>
  <c r="AZ121" i="2"/>
  <c r="BA121" i="2"/>
  <c r="AG122" i="7"/>
  <c r="C121" i="3"/>
  <c r="B121" i="3" s="1"/>
  <c r="B120" i="3"/>
  <c r="F119" i="3"/>
  <c r="E120" i="3"/>
  <c r="G116" i="1"/>
  <c r="D119" i="1"/>
  <c r="C122" i="17" l="1"/>
  <c r="C122" i="16"/>
  <c r="D122" i="15"/>
  <c r="D121" i="7"/>
  <c r="C121" i="16"/>
  <c r="C121" i="17"/>
  <c r="D121" i="15"/>
  <c r="C121" i="10"/>
  <c r="BB121" i="2"/>
  <c r="AY122" i="2"/>
  <c r="AR120" i="7"/>
  <c r="AH120" i="9"/>
  <c r="AG121" i="10"/>
  <c r="AG121" i="9"/>
  <c r="AQ121" i="7"/>
  <c r="AH120" i="10"/>
  <c r="AA121" i="10"/>
  <c r="AA121" i="9"/>
  <c r="AK121" i="7"/>
  <c r="C122" i="10"/>
  <c r="C122" i="9"/>
  <c r="D122" i="7"/>
  <c r="BA122" i="2"/>
  <c r="G121" i="3"/>
  <c r="H2" i="3" s="1"/>
  <c r="I2" i="3" s="1"/>
  <c r="B122" i="3"/>
  <c r="F120" i="3"/>
  <c r="E121" i="3"/>
  <c r="F121" i="3" s="1"/>
  <c r="G117" i="1"/>
  <c r="D121" i="1"/>
  <c r="D120" i="1"/>
  <c r="AZ122" i="2" l="1"/>
  <c r="BB122" i="2"/>
  <c r="AR121" i="7"/>
  <c r="AA122" i="10"/>
  <c r="AA122" i="9"/>
  <c r="AK122" i="7"/>
  <c r="AH121" i="9"/>
  <c r="AG122" i="10"/>
  <c r="AG122" i="9"/>
  <c r="AQ122" i="7"/>
  <c r="AH121" i="10"/>
  <c r="G118" i="1"/>
  <c r="K2" i="1"/>
  <c r="D122" i="1"/>
  <c r="AR122" i="7" l="1"/>
  <c r="AH122" i="9"/>
  <c r="AH122" i="10"/>
  <c r="G119" i="1"/>
  <c r="G120" i="1" l="1"/>
  <c r="G121" i="1"/>
</calcChain>
</file>

<file path=xl/comments1.xml><?xml version="1.0" encoding="utf-8"?>
<comments xmlns="http://schemas.openxmlformats.org/spreadsheetml/2006/main">
  <authors>
    <author>Administrator</author>
  </authors>
  <commentList>
    <comment ref="AS2" authorId="0" shapeId="0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基础属性+突破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AR2" authorId="0" shapeId="0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基础属性+突破
</t>
        </r>
      </text>
    </comment>
  </commentList>
</comments>
</file>

<file path=xl/comments3.xml><?xml version="1.0" encoding="utf-8"?>
<comments xmlns="http://schemas.openxmlformats.org/spreadsheetml/2006/main">
  <authors>
    <author>Administrator</author>
  </authors>
  <commentList>
    <comment ref="AR2" authorId="0" shapeId="0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基础属性+突破
</t>
        </r>
      </text>
    </comment>
  </commentList>
</comments>
</file>

<file path=xl/sharedStrings.xml><?xml version="1.0" encoding="utf-8"?>
<sst xmlns="http://schemas.openxmlformats.org/spreadsheetml/2006/main" count="513" uniqueCount="121">
  <si>
    <t>等级</t>
    <phoneticPr fontId="2" type="noConversion"/>
  </si>
  <si>
    <t>所需经验</t>
    <phoneticPr fontId="2" type="noConversion"/>
  </si>
  <si>
    <t>关卡经验</t>
    <phoneticPr fontId="2" type="noConversion"/>
  </si>
  <si>
    <t>关卡时长（分）</t>
    <phoneticPr fontId="2" type="noConversion"/>
  </si>
  <si>
    <t>小计时长（分）</t>
    <phoneticPr fontId="2" type="noConversion"/>
  </si>
  <si>
    <t>总计（分）</t>
    <phoneticPr fontId="2" type="noConversion"/>
  </si>
  <si>
    <t>总计（时）</t>
    <phoneticPr fontId="2" type="noConversion"/>
  </si>
  <si>
    <t>累计关卡次数</t>
    <phoneticPr fontId="2" type="noConversion"/>
  </si>
  <si>
    <t>体力消耗</t>
    <phoneticPr fontId="2" type="noConversion"/>
  </si>
  <si>
    <t>累计消耗体力</t>
    <phoneticPr fontId="2" type="noConversion"/>
  </si>
  <si>
    <t>需完成关卡数</t>
    <phoneticPr fontId="2" type="noConversion"/>
  </si>
  <si>
    <t>武将</t>
    <phoneticPr fontId="2" type="noConversion"/>
  </si>
  <si>
    <t>绿</t>
    <phoneticPr fontId="2" type="noConversion"/>
  </si>
  <si>
    <t>蓝</t>
    <phoneticPr fontId="2" type="noConversion"/>
  </si>
  <si>
    <t>紫</t>
    <phoneticPr fontId="2" type="noConversion"/>
  </si>
  <si>
    <t>橙</t>
    <phoneticPr fontId="2" type="noConversion"/>
  </si>
  <si>
    <t>红</t>
    <phoneticPr fontId="2" type="noConversion"/>
  </si>
  <si>
    <t>突破</t>
    <phoneticPr fontId="2" type="noConversion"/>
  </si>
  <si>
    <t>培养</t>
    <phoneticPr fontId="2" type="noConversion"/>
  </si>
  <si>
    <t>天命</t>
    <phoneticPr fontId="2" type="noConversion"/>
  </si>
  <si>
    <t>魂引</t>
    <phoneticPr fontId="2" type="noConversion"/>
  </si>
  <si>
    <t>觉醒</t>
    <phoneticPr fontId="2" type="noConversion"/>
  </si>
  <si>
    <t>装备</t>
    <phoneticPr fontId="2" type="noConversion"/>
  </si>
  <si>
    <t>精炼</t>
    <phoneticPr fontId="2" type="noConversion"/>
  </si>
  <si>
    <t>宝物</t>
    <phoneticPr fontId="2" type="noConversion"/>
  </si>
  <si>
    <t>战宠</t>
    <phoneticPr fontId="2" type="noConversion"/>
  </si>
  <si>
    <t>升级</t>
    <phoneticPr fontId="2" type="noConversion"/>
  </si>
  <si>
    <t>命星</t>
    <phoneticPr fontId="2" type="noConversion"/>
  </si>
  <si>
    <t>关卡成长步长</t>
    <phoneticPr fontId="2" type="noConversion"/>
  </si>
  <si>
    <t>命星分赃</t>
    <phoneticPr fontId="2" type="noConversion"/>
  </si>
  <si>
    <t>2星</t>
    <phoneticPr fontId="2" type="noConversion"/>
  </si>
  <si>
    <t>3星</t>
  </si>
  <si>
    <t>4星</t>
  </si>
  <si>
    <t>5星</t>
  </si>
  <si>
    <t>最低攻击</t>
    <phoneticPr fontId="2" type="noConversion"/>
  </si>
  <si>
    <t>最高攻击</t>
    <phoneticPr fontId="2" type="noConversion"/>
  </si>
  <si>
    <t>武将分赃</t>
    <phoneticPr fontId="2" type="noConversion"/>
  </si>
  <si>
    <t>装备分赃</t>
    <phoneticPr fontId="2" type="noConversion"/>
  </si>
  <si>
    <t>宝物分赃</t>
    <phoneticPr fontId="2" type="noConversion"/>
  </si>
  <si>
    <t>战宠分赃</t>
    <phoneticPr fontId="2" type="noConversion"/>
  </si>
  <si>
    <t>总分赃值</t>
    <phoneticPr fontId="2" type="noConversion"/>
  </si>
  <si>
    <t>缘份</t>
    <phoneticPr fontId="2" type="noConversion"/>
  </si>
  <si>
    <t>强化套</t>
    <phoneticPr fontId="2" type="noConversion"/>
  </si>
  <si>
    <t>精练套</t>
    <phoneticPr fontId="2" type="noConversion"/>
  </si>
  <si>
    <t>1星</t>
    <phoneticPr fontId="2" type="noConversion"/>
  </si>
  <si>
    <t>指数</t>
    <phoneticPr fontId="2" type="noConversion"/>
  </si>
  <si>
    <t>累计关卡数</t>
    <phoneticPr fontId="2" type="noConversion"/>
  </si>
  <si>
    <t>套装</t>
    <phoneticPr fontId="2" type="noConversion"/>
  </si>
  <si>
    <t>统计</t>
  </si>
  <si>
    <t>蓝</t>
  </si>
  <si>
    <t>紫</t>
  </si>
  <si>
    <t>橙</t>
  </si>
  <si>
    <t>红</t>
  </si>
  <si>
    <t>突破</t>
  </si>
  <si>
    <t>培养</t>
  </si>
  <si>
    <t>天命</t>
  </si>
  <si>
    <t>魂引</t>
  </si>
  <si>
    <t>觉醒</t>
  </si>
  <si>
    <t>精炼</t>
  </si>
  <si>
    <t>命星</t>
  </si>
  <si>
    <t>绿</t>
    <phoneticPr fontId="2" type="noConversion"/>
  </si>
  <si>
    <t>基本值</t>
    <phoneticPr fontId="2" type="noConversion"/>
  </si>
  <si>
    <t>强化套</t>
    <phoneticPr fontId="2" type="noConversion"/>
  </si>
  <si>
    <t>精练套</t>
    <phoneticPr fontId="2" type="noConversion"/>
  </si>
  <si>
    <t>强化套</t>
    <phoneticPr fontId="2" type="noConversion"/>
  </si>
  <si>
    <t>精练套</t>
    <phoneticPr fontId="2" type="noConversion"/>
  </si>
  <si>
    <t>例子</t>
    <phoneticPr fontId="2" type="noConversion"/>
  </si>
  <si>
    <t>刀数</t>
    <phoneticPr fontId="2" type="noConversion"/>
  </si>
  <si>
    <t>武将</t>
    <phoneticPr fontId="2" type="noConversion"/>
  </si>
  <si>
    <t>符印</t>
    <phoneticPr fontId="2" type="noConversion"/>
  </si>
  <si>
    <t>符印指数</t>
    <phoneticPr fontId="2" type="noConversion"/>
  </si>
  <si>
    <t>基本值</t>
    <phoneticPr fontId="2" type="noConversion"/>
  </si>
  <si>
    <t>暴击</t>
    <phoneticPr fontId="2" type="noConversion"/>
  </si>
  <si>
    <t>暴击率规划</t>
    <phoneticPr fontId="2" type="noConversion"/>
  </si>
  <si>
    <t>抗暴</t>
    <phoneticPr fontId="2" type="noConversion"/>
  </si>
  <si>
    <t>检测</t>
    <phoneticPr fontId="2" type="noConversion"/>
  </si>
  <si>
    <t>同级最大暴击</t>
    <phoneticPr fontId="2" type="noConversion"/>
  </si>
  <si>
    <t>5级常规</t>
    <phoneticPr fontId="2" type="noConversion"/>
  </si>
  <si>
    <t>5级最大</t>
    <phoneticPr fontId="2" type="noConversion"/>
  </si>
  <si>
    <t>10级常规</t>
    <phoneticPr fontId="2" type="noConversion"/>
  </si>
  <si>
    <t>10级最大</t>
    <phoneticPr fontId="2" type="noConversion"/>
  </si>
  <si>
    <t>命中</t>
  </si>
  <si>
    <t>命中率规划</t>
  </si>
  <si>
    <t>同级最大命中</t>
  </si>
  <si>
    <t>闪避</t>
    <phoneticPr fontId="2" type="noConversion"/>
  </si>
  <si>
    <t>同级最小命中</t>
    <phoneticPr fontId="2" type="noConversion"/>
  </si>
  <si>
    <t>同级命中</t>
    <phoneticPr fontId="2" type="noConversion"/>
  </si>
  <si>
    <t>5级最小</t>
    <phoneticPr fontId="2" type="noConversion"/>
  </si>
  <si>
    <t>10级最小</t>
    <phoneticPr fontId="2" type="noConversion"/>
  </si>
  <si>
    <t>5级差</t>
    <phoneticPr fontId="2" type="noConversion"/>
  </si>
  <si>
    <t>10级差</t>
    <phoneticPr fontId="2" type="noConversion"/>
  </si>
  <si>
    <t>引用</t>
    <phoneticPr fontId="2" type="noConversion"/>
  </si>
  <si>
    <t>攻击</t>
    <phoneticPr fontId="2" type="noConversion"/>
  </si>
  <si>
    <t>指数</t>
    <phoneticPr fontId="2" type="noConversion"/>
  </si>
  <si>
    <t>最低HP</t>
    <phoneticPr fontId="2" type="noConversion"/>
  </si>
  <si>
    <t>最低霸气</t>
    <phoneticPr fontId="2" type="noConversion"/>
  </si>
  <si>
    <t>最低防御</t>
    <phoneticPr fontId="2" type="noConversion"/>
  </si>
  <si>
    <t>玩家最低攻击</t>
    <phoneticPr fontId="2" type="noConversion"/>
  </si>
  <si>
    <t>HP</t>
  </si>
  <si>
    <t>玩家最低HP</t>
  </si>
  <si>
    <t>霸气</t>
  </si>
  <si>
    <t>玩家最低霸气</t>
  </si>
  <si>
    <t>防御</t>
  </si>
  <si>
    <t>玩家最低防御</t>
    <phoneticPr fontId="2" type="noConversion"/>
  </si>
  <si>
    <t>闪避</t>
  </si>
  <si>
    <t>暴击</t>
  </si>
  <si>
    <t>抗暴</t>
  </si>
  <si>
    <t>基本命中</t>
  </si>
  <si>
    <t>基本闪避</t>
  </si>
  <si>
    <t>基本暴击</t>
  </si>
  <si>
    <t>基本抗暴</t>
  </si>
  <si>
    <t>武将统计</t>
    <phoneticPr fontId="2" type="noConversion"/>
  </si>
  <si>
    <t>装备统计</t>
    <phoneticPr fontId="2" type="noConversion"/>
  </si>
  <si>
    <t>宝物统计</t>
    <phoneticPr fontId="2" type="noConversion"/>
  </si>
  <si>
    <t>战宠统计</t>
    <phoneticPr fontId="2" type="noConversion"/>
  </si>
  <si>
    <t>命星统计</t>
    <phoneticPr fontId="2" type="noConversion"/>
  </si>
  <si>
    <t>最高攻击比</t>
    <phoneticPr fontId="2" type="noConversion"/>
  </si>
  <si>
    <t>玩家最低攻击</t>
    <phoneticPr fontId="2" type="noConversion"/>
  </si>
  <si>
    <t>武将</t>
    <phoneticPr fontId="2" type="noConversion"/>
  </si>
  <si>
    <t>武将</t>
    <phoneticPr fontId="2" type="noConversion"/>
  </si>
  <si>
    <t>武将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</si>
</sst>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0_);[Red]\(0.00\)"/>
  </numFmts>
  <fonts count="19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rgb="FFFFC000"/>
      <name val="等线"/>
      <family val="3"/>
      <charset val="134"/>
      <scheme val="minor"/>
    </font>
    <font>
      <sz val="11"/>
      <color rgb="FFFFFF00"/>
      <name val="等线"/>
      <family val="3"/>
      <charset val="134"/>
      <scheme val="minor"/>
    </font>
    <font>
      <b/>
      <sz val="11"/>
      <color rgb="FFFFFF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name val="等线"/>
      <family val="3"/>
      <charset val="134"/>
      <scheme val="minor"/>
    </font>
    <font>
      <b/>
      <sz val="10"/>
      <color rgb="FFFFFF00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/>
      <top/>
      <bottom style="thin">
        <color indexed="64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medium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</borders>
  <cellStyleXfs count="1"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76" fontId="16" fillId="0" borderId="1" xfId="0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/>
    </xf>
    <xf numFmtId="176" fontId="16" fillId="0" borderId="0" xfId="0" applyNumberFormat="1" applyFont="1" applyAlignment="1">
      <alignment horizontal="center" vertical="center"/>
    </xf>
    <xf numFmtId="176" fontId="14" fillId="4" borderId="0" xfId="0" applyNumberFormat="1" applyFont="1" applyFill="1" applyAlignment="1">
      <alignment horizontal="center" vertical="center"/>
    </xf>
    <xf numFmtId="9" fontId="16" fillId="0" borderId="0" xfId="0" applyNumberFormat="1" applyFont="1" applyAlignment="1">
      <alignment horizontal="center" vertical="center"/>
    </xf>
    <xf numFmtId="176" fontId="16" fillId="0" borderId="0" xfId="0" applyNumberFormat="1" applyFont="1" applyBorder="1" applyAlignment="1">
      <alignment horizontal="center" vertical="center"/>
    </xf>
    <xf numFmtId="177" fontId="8" fillId="3" borderId="8" xfId="0" applyNumberFormat="1" applyFont="1" applyFill="1" applyBorder="1" applyAlignment="1">
      <alignment horizontal="center" vertical="center"/>
    </xf>
    <xf numFmtId="177" fontId="8" fillId="3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177" fontId="8" fillId="5" borderId="1" xfId="0" applyNumberFormat="1" applyFont="1" applyFill="1" applyBorder="1" applyAlignment="1">
      <alignment horizontal="center" vertical="center"/>
    </xf>
    <xf numFmtId="177" fontId="12" fillId="5" borderId="1" xfId="0" applyNumberFormat="1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177" fontId="0" fillId="5" borderId="1" xfId="0" applyNumberFormat="1" applyFill="1" applyBorder="1" applyAlignment="1">
      <alignment horizontal="center" vertical="center"/>
    </xf>
    <xf numFmtId="177" fontId="4" fillId="5" borderId="1" xfId="0" applyNumberFormat="1" applyFont="1" applyFill="1" applyBorder="1" applyAlignment="1">
      <alignment horizontal="center" vertical="center"/>
    </xf>
    <xf numFmtId="177" fontId="4" fillId="5" borderId="0" xfId="0" applyNumberFormat="1" applyFont="1" applyFill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176" fontId="16" fillId="0" borderId="10" xfId="0" applyNumberFormat="1" applyFont="1" applyBorder="1" applyAlignment="1">
      <alignment horizontal="center" vertical="center"/>
    </xf>
    <xf numFmtId="176" fontId="13" fillId="6" borderId="11" xfId="0" applyNumberFormat="1" applyFont="1" applyFill="1" applyBorder="1" applyAlignment="1">
      <alignment horizontal="center" vertical="center"/>
    </xf>
    <xf numFmtId="176" fontId="13" fillId="6" borderId="12" xfId="0" applyNumberFormat="1" applyFont="1" applyFill="1" applyBorder="1" applyAlignment="1">
      <alignment horizontal="center" vertical="center"/>
    </xf>
    <xf numFmtId="176" fontId="13" fillId="6" borderId="13" xfId="0" applyNumberFormat="1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176" fontId="13" fillId="6" borderId="14" xfId="0" applyNumberFormat="1" applyFont="1" applyFill="1" applyBorder="1" applyAlignment="1">
      <alignment horizontal="center" vertical="center"/>
    </xf>
    <xf numFmtId="9" fontId="13" fillId="6" borderId="14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6" fontId="14" fillId="4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12" fillId="4" borderId="1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13" fillId="6" borderId="12" xfId="0" applyNumberFormat="1" applyFont="1" applyFill="1" applyBorder="1" applyAlignment="1">
      <alignment horizontal="center" vertical="center"/>
    </xf>
    <xf numFmtId="176" fontId="13" fillId="6" borderId="11" xfId="0" applyNumberFormat="1" applyFont="1" applyFill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176" fontId="13" fillId="6" borderId="12" xfId="0" applyNumberFormat="1" applyFont="1" applyFill="1" applyBorder="1" applyAlignment="1">
      <alignment horizontal="center" vertical="center"/>
    </xf>
    <xf numFmtId="176" fontId="13" fillId="6" borderId="11" xfId="0" applyNumberFormat="1" applyFont="1" applyFill="1" applyBorder="1" applyAlignment="1">
      <alignment horizontal="center" vertical="center"/>
    </xf>
    <xf numFmtId="176" fontId="13" fillId="5" borderId="14" xfId="0" applyNumberFormat="1" applyFont="1" applyFill="1" applyBorder="1" applyAlignment="1">
      <alignment horizontal="center" vertical="center"/>
    </xf>
    <xf numFmtId="176" fontId="16" fillId="5" borderId="1" xfId="0" applyNumberFormat="1" applyFont="1" applyFill="1" applyBorder="1" applyAlignment="1">
      <alignment horizontal="center" vertical="center"/>
    </xf>
    <xf numFmtId="176" fontId="16" fillId="5" borderId="0" xfId="0" applyNumberFormat="1" applyFont="1" applyFill="1" applyAlignment="1">
      <alignment horizontal="center" vertical="center"/>
    </xf>
    <xf numFmtId="176" fontId="16" fillId="6" borderId="0" xfId="0" applyNumberFormat="1" applyFont="1" applyFill="1" applyAlignment="1">
      <alignment horizontal="center" vertical="center"/>
    </xf>
    <xf numFmtId="176" fontId="14" fillId="4" borderId="10" xfId="0" applyNumberFormat="1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76" fontId="16" fillId="5" borderId="10" xfId="0" applyNumberFormat="1" applyFont="1" applyFill="1" applyBorder="1" applyAlignment="1">
      <alignment horizontal="center" vertical="center"/>
    </xf>
    <xf numFmtId="9" fontId="16" fillId="0" borderId="10" xfId="0" applyNumberFormat="1" applyFont="1" applyBorder="1" applyAlignment="1">
      <alignment horizontal="center" vertical="center"/>
    </xf>
    <xf numFmtId="176" fontId="16" fillId="5" borderId="23" xfId="0" applyNumberFormat="1" applyFont="1" applyFill="1" applyBorder="1" applyAlignment="1">
      <alignment horizontal="center" vertical="center"/>
    </xf>
    <xf numFmtId="176" fontId="16" fillId="6" borderId="23" xfId="0" applyNumberFormat="1" applyFont="1" applyFill="1" applyBorder="1" applyAlignment="1">
      <alignment horizontal="center" vertical="center"/>
    </xf>
    <xf numFmtId="176" fontId="13" fillId="6" borderId="25" xfId="0" applyNumberFormat="1" applyFont="1" applyFill="1" applyBorder="1" applyAlignment="1">
      <alignment horizontal="center" vertical="center"/>
    </xf>
    <xf numFmtId="176" fontId="13" fillId="5" borderId="25" xfId="0" applyNumberFormat="1" applyFont="1" applyFill="1" applyBorder="1" applyAlignment="1">
      <alignment horizontal="center" vertical="center"/>
    </xf>
    <xf numFmtId="9" fontId="13" fillId="6" borderId="25" xfId="0" applyNumberFormat="1" applyFont="1" applyFill="1" applyBorder="1" applyAlignment="1">
      <alignment horizontal="center" vertical="center"/>
    </xf>
    <xf numFmtId="9" fontId="13" fillId="6" borderId="18" xfId="0" applyNumberFormat="1" applyFont="1" applyFill="1" applyBorder="1" applyAlignment="1">
      <alignment vertical="center"/>
    </xf>
    <xf numFmtId="9" fontId="13" fillId="6" borderId="19" xfId="0" applyNumberFormat="1" applyFont="1" applyFill="1" applyBorder="1" applyAlignment="1">
      <alignment vertical="center"/>
    </xf>
    <xf numFmtId="9" fontId="13" fillId="6" borderId="20" xfId="0" applyNumberFormat="1" applyFont="1" applyFill="1" applyBorder="1" applyAlignment="1">
      <alignment vertical="center"/>
    </xf>
    <xf numFmtId="0" fontId="16" fillId="0" borderId="1" xfId="0" applyNumberFormat="1" applyFont="1" applyBorder="1" applyAlignment="1">
      <alignment horizontal="center" vertical="center"/>
    </xf>
    <xf numFmtId="0" fontId="13" fillId="6" borderId="14" xfId="0" applyNumberFormat="1" applyFont="1" applyFill="1" applyBorder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17" fillId="0" borderId="1" xfId="0" applyNumberFormat="1" applyFont="1" applyBorder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176" fontId="16" fillId="0" borderId="0" xfId="0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13" fillId="6" borderId="12" xfId="0" applyNumberFormat="1" applyFont="1" applyFill="1" applyBorder="1" applyAlignment="1">
      <alignment horizontal="center" vertical="center"/>
    </xf>
    <xf numFmtId="176" fontId="13" fillId="6" borderId="12" xfId="0" applyNumberFormat="1" applyFont="1" applyFill="1" applyBorder="1" applyAlignment="1">
      <alignment horizontal="center" vertical="center"/>
    </xf>
    <xf numFmtId="176" fontId="13" fillId="6" borderId="16" xfId="0" applyNumberFormat="1" applyFont="1" applyFill="1" applyBorder="1" applyAlignment="1">
      <alignment horizontal="center" vertical="center"/>
    </xf>
    <xf numFmtId="176" fontId="13" fillId="6" borderId="11" xfId="0" applyNumberFormat="1" applyFont="1" applyFill="1" applyBorder="1" applyAlignment="1">
      <alignment horizontal="center" vertical="center"/>
    </xf>
    <xf numFmtId="177" fontId="8" fillId="5" borderId="1" xfId="0" applyNumberFormat="1" applyFont="1" applyFill="1" applyBorder="1" applyAlignment="1">
      <alignment horizontal="left" vertical="center"/>
    </xf>
    <xf numFmtId="177" fontId="4" fillId="5" borderId="1" xfId="0" applyNumberFormat="1" applyFont="1" applyFill="1" applyBorder="1" applyAlignment="1">
      <alignment horizontal="left" vertical="center"/>
    </xf>
    <xf numFmtId="177" fontId="0" fillId="5" borderId="1" xfId="0" applyNumberFormat="1" applyFill="1" applyBorder="1" applyAlignment="1">
      <alignment horizontal="left" vertical="center"/>
    </xf>
    <xf numFmtId="177" fontId="4" fillId="5" borderId="0" xfId="0" applyNumberFormat="1" applyFont="1" applyFill="1" applyAlignment="1">
      <alignment horizontal="left" vertical="center"/>
    </xf>
    <xf numFmtId="177" fontId="5" fillId="5" borderId="1" xfId="0" applyNumberFormat="1" applyFont="1" applyFill="1" applyBorder="1" applyAlignment="1">
      <alignment horizontal="left" vertical="center"/>
    </xf>
    <xf numFmtId="9" fontId="0" fillId="0" borderId="1" xfId="0" applyNumberFormat="1" applyBorder="1" applyAlignment="1">
      <alignment horizontal="center" vertical="center"/>
    </xf>
    <xf numFmtId="0" fontId="13" fillId="6" borderId="12" xfId="0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18" fillId="4" borderId="1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76" fontId="13" fillId="6" borderId="12" xfId="0" applyNumberFormat="1" applyFont="1" applyFill="1" applyBorder="1" applyAlignment="1">
      <alignment horizontal="center" vertical="center"/>
    </xf>
    <xf numFmtId="176" fontId="13" fillId="6" borderId="15" xfId="0" applyNumberFormat="1" applyFont="1" applyFill="1" applyBorder="1" applyAlignment="1">
      <alignment horizontal="center" vertical="center"/>
    </xf>
    <xf numFmtId="176" fontId="13" fillId="6" borderId="16" xfId="0" applyNumberFormat="1" applyFont="1" applyFill="1" applyBorder="1" applyAlignment="1">
      <alignment horizontal="center" vertical="center"/>
    </xf>
    <xf numFmtId="176" fontId="13" fillId="6" borderId="1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3" borderId="6" xfId="0" applyNumberFormat="1" applyFont="1" applyFill="1" applyBorder="1" applyAlignment="1">
      <alignment horizontal="center" vertical="center"/>
    </xf>
    <xf numFmtId="176" fontId="7" fillId="3" borderId="3" xfId="0" applyNumberFormat="1" applyFont="1" applyFill="1" applyBorder="1" applyAlignment="1">
      <alignment horizontal="center" vertical="center"/>
    </xf>
    <xf numFmtId="176" fontId="13" fillId="6" borderId="21" xfId="0" applyNumberFormat="1" applyFont="1" applyFill="1" applyBorder="1" applyAlignment="1">
      <alignment horizontal="center" vertical="center"/>
    </xf>
    <xf numFmtId="176" fontId="13" fillId="6" borderId="24" xfId="0" applyNumberFormat="1" applyFont="1" applyFill="1" applyBorder="1" applyAlignment="1">
      <alignment horizontal="center" vertical="center"/>
    </xf>
    <xf numFmtId="176" fontId="13" fillId="6" borderId="22" xfId="0" applyNumberFormat="1" applyFont="1" applyFill="1" applyBorder="1" applyAlignment="1">
      <alignment horizontal="center" vertical="center"/>
    </xf>
    <xf numFmtId="9" fontId="13" fillId="6" borderId="22" xfId="0" applyNumberFormat="1" applyFont="1" applyFill="1" applyBorder="1" applyAlignment="1">
      <alignment horizontal="center" vertical="center"/>
    </xf>
    <xf numFmtId="176" fontId="13" fillId="6" borderId="0" xfId="0" applyNumberFormat="1" applyFont="1" applyFill="1" applyBorder="1" applyAlignment="1">
      <alignment horizontal="center" vertical="center"/>
    </xf>
    <xf numFmtId="176" fontId="13" fillId="6" borderId="17" xfId="0" applyNumberFormat="1" applyFont="1" applyFill="1" applyBorder="1" applyAlignment="1">
      <alignment horizontal="center" vertical="center"/>
    </xf>
    <xf numFmtId="176" fontId="13" fillId="6" borderId="18" xfId="0" applyNumberFormat="1" applyFont="1" applyFill="1" applyBorder="1" applyAlignment="1">
      <alignment horizontal="center" vertical="center"/>
    </xf>
    <xf numFmtId="176" fontId="13" fillId="6" borderId="19" xfId="0" applyNumberFormat="1" applyFont="1" applyFill="1" applyBorder="1" applyAlignment="1">
      <alignment horizontal="center" vertical="center"/>
    </xf>
    <xf numFmtId="176" fontId="13" fillId="6" borderId="20" xfId="0" applyNumberFormat="1" applyFont="1" applyFill="1" applyBorder="1" applyAlignment="1">
      <alignment horizontal="center" vertical="center"/>
    </xf>
    <xf numFmtId="9" fontId="13" fillId="6" borderId="18" xfId="0" applyNumberFormat="1" applyFont="1" applyFill="1" applyBorder="1" applyAlignment="1">
      <alignment horizontal="center" vertical="center"/>
    </xf>
    <xf numFmtId="9" fontId="13" fillId="6" borderId="19" xfId="0" applyNumberFormat="1" applyFont="1" applyFill="1" applyBorder="1" applyAlignment="1">
      <alignment horizontal="center" vertical="center"/>
    </xf>
    <xf numFmtId="9" fontId="13" fillId="6" borderId="2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workbookViewId="0">
      <pane ySplit="2" topLeftCell="A3" activePane="bottomLeft" state="frozen"/>
      <selection pane="bottomLeft" activeCell="G9" sqref="G9"/>
    </sheetView>
  </sheetViews>
  <sheetFormatPr defaultRowHeight="14.25"/>
  <cols>
    <col min="1" max="1" width="5.25" style="1" bestFit="1" customWidth="1"/>
    <col min="2" max="2" width="13" style="2" bestFit="1" customWidth="1"/>
    <col min="3" max="3" width="9" style="2"/>
    <col min="4" max="4" width="9" style="2" bestFit="1" customWidth="1"/>
    <col min="5" max="5" width="11" style="2" bestFit="1" customWidth="1"/>
    <col min="6" max="6" width="9" style="1"/>
    <col min="7" max="7" width="13" style="3" bestFit="1" customWidth="1"/>
    <col min="8" max="9" width="15.125" style="1" bestFit="1" customWidth="1"/>
    <col min="10" max="11" width="11" style="1" bestFit="1" customWidth="1"/>
    <col min="12" max="17" width="9" style="1"/>
    <col min="18" max="18" width="6.5" style="1" bestFit="1" customWidth="1"/>
    <col min="19" max="19" width="4.5" style="1" bestFit="1" customWidth="1"/>
    <col min="20" max="16384" width="9" style="1"/>
  </cols>
  <sheetData>
    <row r="1" spans="1:11">
      <c r="A1" s="6" t="s">
        <v>0</v>
      </c>
      <c r="B1" s="6" t="s">
        <v>10</v>
      </c>
      <c r="C1" s="6" t="s">
        <v>2</v>
      </c>
      <c r="D1" s="6" t="s">
        <v>1</v>
      </c>
      <c r="E1" s="6" t="s">
        <v>46</v>
      </c>
      <c r="F1" s="6" t="s">
        <v>8</v>
      </c>
      <c r="G1" s="6" t="s">
        <v>9</v>
      </c>
      <c r="H1" s="6" t="s">
        <v>3</v>
      </c>
      <c r="I1" s="6" t="s">
        <v>4</v>
      </c>
      <c r="J1" s="6" t="s">
        <v>5</v>
      </c>
      <c r="K1" s="6" t="s">
        <v>6</v>
      </c>
    </row>
    <row r="2" spans="1:11">
      <c r="A2" s="1">
        <v>1</v>
      </c>
      <c r="B2" s="4">
        <v>1</v>
      </c>
      <c r="C2" s="4">
        <v>500</v>
      </c>
      <c r="D2" s="3">
        <f t="shared" ref="D2:D33" si="0">B2*C2</f>
        <v>500</v>
      </c>
      <c r="E2" s="3">
        <f>B2</f>
        <v>1</v>
      </c>
      <c r="F2" s="5">
        <v>6</v>
      </c>
      <c r="G2" s="3">
        <f t="shared" ref="G2:G33" si="1">E2*F2</f>
        <v>6</v>
      </c>
      <c r="H2" s="5">
        <v>1</v>
      </c>
      <c r="J2" s="1">
        <f>SUM(I2:I121)</f>
        <v>17829</v>
      </c>
      <c r="K2" s="1">
        <f>J2/60</f>
        <v>297.14999999999998</v>
      </c>
    </row>
    <row r="3" spans="1:11">
      <c r="A3" s="1">
        <v>2</v>
      </c>
      <c r="B3" s="3">
        <f>B2</f>
        <v>1</v>
      </c>
      <c r="C3" s="3">
        <f>C2</f>
        <v>500</v>
      </c>
      <c r="D3" s="3">
        <f t="shared" si="0"/>
        <v>500</v>
      </c>
      <c r="E3" s="3">
        <f t="shared" ref="E3:E34" si="2">B3+E2</f>
        <v>2</v>
      </c>
      <c r="F3" s="1">
        <v>6</v>
      </c>
      <c r="G3" s="3">
        <f t="shared" si="1"/>
        <v>12</v>
      </c>
    </row>
    <row r="4" spans="1:11">
      <c r="A4" s="1">
        <v>3</v>
      </c>
      <c r="B4" s="3">
        <f t="shared" ref="B4:B67" si="3">B3</f>
        <v>1</v>
      </c>
      <c r="C4" s="3">
        <f t="shared" ref="C4:C67" si="4">C3</f>
        <v>500</v>
      </c>
      <c r="D4" s="3">
        <f t="shared" si="0"/>
        <v>500</v>
      </c>
      <c r="E4" s="3">
        <f t="shared" si="2"/>
        <v>3</v>
      </c>
      <c r="F4" s="1">
        <v>6</v>
      </c>
      <c r="G4" s="3">
        <f t="shared" si="1"/>
        <v>18</v>
      </c>
    </row>
    <row r="5" spans="1:11">
      <c r="A5" s="1">
        <v>4</v>
      </c>
      <c r="B5" s="3">
        <f t="shared" si="3"/>
        <v>1</v>
      </c>
      <c r="C5" s="3">
        <f t="shared" si="4"/>
        <v>500</v>
      </c>
      <c r="D5" s="3">
        <f t="shared" si="0"/>
        <v>500</v>
      </c>
      <c r="E5" s="3">
        <f t="shared" si="2"/>
        <v>4</v>
      </c>
      <c r="F5" s="1">
        <v>6</v>
      </c>
      <c r="G5" s="3">
        <f t="shared" si="1"/>
        <v>24</v>
      </c>
    </row>
    <row r="6" spans="1:11">
      <c r="A6" s="1">
        <v>5</v>
      </c>
      <c r="B6" s="4">
        <v>5</v>
      </c>
      <c r="C6" s="3">
        <f t="shared" si="4"/>
        <v>500</v>
      </c>
      <c r="D6" s="3">
        <f t="shared" si="0"/>
        <v>2500</v>
      </c>
      <c r="E6" s="3">
        <f t="shared" si="2"/>
        <v>9</v>
      </c>
      <c r="F6" s="1">
        <v>6</v>
      </c>
      <c r="G6" s="3">
        <f t="shared" si="1"/>
        <v>54</v>
      </c>
    </row>
    <row r="7" spans="1:11">
      <c r="A7" s="1">
        <v>6</v>
      </c>
      <c r="B7" s="3">
        <f t="shared" si="3"/>
        <v>5</v>
      </c>
      <c r="C7" s="3">
        <f t="shared" si="4"/>
        <v>500</v>
      </c>
      <c r="D7" s="3">
        <f t="shared" si="0"/>
        <v>2500</v>
      </c>
      <c r="E7" s="3">
        <f t="shared" si="2"/>
        <v>14</v>
      </c>
      <c r="F7" s="1">
        <v>6</v>
      </c>
      <c r="G7" s="3">
        <f t="shared" si="1"/>
        <v>84</v>
      </c>
    </row>
    <row r="8" spans="1:11">
      <c r="A8" s="1">
        <v>7</v>
      </c>
      <c r="B8" s="3">
        <f t="shared" si="3"/>
        <v>5</v>
      </c>
      <c r="C8" s="3">
        <f t="shared" si="4"/>
        <v>500</v>
      </c>
      <c r="D8" s="3">
        <f t="shared" si="0"/>
        <v>2500</v>
      </c>
      <c r="E8" s="3">
        <f t="shared" si="2"/>
        <v>19</v>
      </c>
      <c r="F8" s="1">
        <v>6</v>
      </c>
      <c r="G8" s="3">
        <f t="shared" si="1"/>
        <v>114</v>
      </c>
    </row>
    <row r="9" spans="1:11">
      <c r="A9" s="1">
        <v>8</v>
      </c>
      <c r="B9" s="3">
        <f t="shared" si="3"/>
        <v>5</v>
      </c>
      <c r="C9" s="3">
        <f t="shared" si="4"/>
        <v>500</v>
      </c>
      <c r="D9" s="3">
        <f t="shared" si="0"/>
        <v>2500</v>
      </c>
      <c r="E9" s="3">
        <f t="shared" si="2"/>
        <v>24</v>
      </c>
      <c r="F9" s="1">
        <v>6</v>
      </c>
      <c r="G9" s="3">
        <f t="shared" si="1"/>
        <v>144</v>
      </c>
    </row>
    <row r="10" spans="1:11">
      <c r="A10" s="1">
        <v>9</v>
      </c>
      <c r="B10" s="3">
        <f t="shared" si="3"/>
        <v>5</v>
      </c>
      <c r="C10" s="3">
        <f t="shared" si="4"/>
        <v>500</v>
      </c>
      <c r="D10" s="3">
        <f t="shared" si="0"/>
        <v>2500</v>
      </c>
      <c r="E10" s="3">
        <f t="shared" si="2"/>
        <v>29</v>
      </c>
      <c r="F10" s="1">
        <v>6</v>
      </c>
      <c r="G10" s="3">
        <f t="shared" si="1"/>
        <v>174</v>
      </c>
    </row>
    <row r="11" spans="1:11">
      <c r="A11" s="1">
        <v>10</v>
      </c>
      <c r="B11" s="4">
        <v>10</v>
      </c>
      <c r="C11" s="3">
        <f t="shared" si="4"/>
        <v>500</v>
      </c>
      <c r="D11" s="3">
        <f t="shared" si="0"/>
        <v>5000</v>
      </c>
      <c r="E11" s="3">
        <f t="shared" si="2"/>
        <v>39</v>
      </c>
      <c r="F11" s="1">
        <v>6</v>
      </c>
      <c r="G11" s="3">
        <f t="shared" si="1"/>
        <v>234</v>
      </c>
      <c r="I11" s="1">
        <f>SUM(B2:B11)*H2</f>
        <v>39</v>
      </c>
    </row>
    <row r="12" spans="1:11">
      <c r="A12" s="1">
        <v>11</v>
      </c>
      <c r="B12" s="3">
        <f t="shared" si="3"/>
        <v>10</v>
      </c>
      <c r="C12" s="3">
        <f t="shared" si="4"/>
        <v>500</v>
      </c>
      <c r="D12" s="3">
        <f t="shared" si="0"/>
        <v>5000</v>
      </c>
      <c r="E12" s="3">
        <f t="shared" si="2"/>
        <v>49</v>
      </c>
      <c r="F12" s="1">
        <v>6</v>
      </c>
      <c r="G12" s="3">
        <f t="shared" si="1"/>
        <v>294</v>
      </c>
    </row>
    <row r="13" spans="1:11">
      <c r="A13" s="1">
        <v>12</v>
      </c>
      <c r="B13" s="3">
        <f t="shared" si="3"/>
        <v>10</v>
      </c>
      <c r="C13" s="3">
        <f t="shared" si="4"/>
        <v>500</v>
      </c>
      <c r="D13" s="3">
        <f t="shared" si="0"/>
        <v>5000</v>
      </c>
      <c r="E13" s="3">
        <f t="shared" si="2"/>
        <v>59</v>
      </c>
      <c r="F13" s="1">
        <v>6</v>
      </c>
      <c r="G13" s="3">
        <f t="shared" si="1"/>
        <v>354</v>
      </c>
    </row>
    <row r="14" spans="1:11">
      <c r="A14" s="1">
        <v>13</v>
      </c>
      <c r="B14" s="3">
        <f t="shared" si="3"/>
        <v>10</v>
      </c>
      <c r="C14" s="3">
        <f t="shared" si="4"/>
        <v>500</v>
      </c>
      <c r="D14" s="3">
        <f t="shared" si="0"/>
        <v>5000</v>
      </c>
      <c r="E14" s="3">
        <f t="shared" si="2"/>
        <v>69</v>
      </c>
      <c r="F14" s="1">
        <v>6</v>
      </c>
      <c r="G14" s="3">
        <f t="shared" si="1"/>
        <v>414</v>
      </c>
    </row>
    <row r="15" spans="1:11">
      <c r="A15" s="1">
        <v>14</v>
      </c>
      <c r="B15" s="3">
        <f t="shared" si="3"/>
        <v>10</v>
      </c>
      <c r="C15" s="3">
        <f t="shared" si="4"/>
        <v>500</v>
      </c>
      <c r="D15" s="3">
        <f t="shared" si="0"/>
        <v>5000</v>
      </c>
      <c r="E15" s="3">
        <f t="shared" si="2"/>
        <v>79</v>
      </c>
      <c r="F15" s="1">
        <v>6</v>
      </c>
      <c r="G15" s="3">
        <f t="shared" si="1"/>
        <v>474</v>
      </c>
    </row>
    <row r="16" spans="1:11">
      <c r="A16" s="1">
        <v>15</v>
      </c>
      <c r="B16" s="4">
        <v>20</v>
      </c>
      <c r="C16" s="3">
        <f t="shared" si="4"/>
        <v>500</v>
      </c>
      <c r="D16" s="3">
        <f t="shared" si="0"/>
        <v>10000</v>
      </c>
      <c r="E16" s="3">
        <f t="shared" si="2"/>
        <v>99</v>
      </c>
      <c r="F16" s="1">
        <v>6</v>
      </c>
      <c r="G16" s="3">
        <f t="shared" si="1"/>
        <v>594</v>
      </c>
    </row>
    <row r="17" spans="1:9">
      <c r="A17" s="1">
        <v>16</v>
      </c>
      <c r="B17" s="3">
        <f t="shared" si="3"/>
        <v>20</v>
      </c>
      <c r="C17" s="3">
        <f t="shared" si="4"/>
        <v>500</v>
      </c>
      <c r="D17" s="3">
        <f t="shared" si="0"/>
        <v>10000</v>
      </c>
      <c r="E17" s="3">
        <f t="shared" si="2"/>
        <v>119</v>
      </c>
      <c r="F17" s="1">
        <v>6</v>
      </c>
      <c r="G17" s="3">
        <f t="shared" si="1"/>
        <v>714</v>
      </c>
    </row>
    <row r="18" spans="1:9">
      <c r="A18" s="1">
        <v>17</v>
      </c>
      <c r="B18" s="3">
        <f t="shared" si="3"/>
        <v>20</v>
      </c>
      <c r="C18" s="3">
        <f t="shared" si="4"/>
        <v>500</v>
      </c>
      <c r="D18" s="3">
        <f t="shared" si="0"/>
        <v>10000</v>
      </c>
      <c r="E18" s="3">
        <f t="shared" si="2"/>
        <v>139</v>
      </c>
      <c r="F18" s="1">
        <v>6</v>
      </c>
      <c r="G18" s="3">
        <f t="shared" si="1"/>
        <v>834</v>
      </c>
    </row>
    <row r="19" spans="1:9">
      <c r="A19" s="1">
        <v>18</v>
      </c>
      <c r="B19" s="3">
        <f t="shared" si="3"/>
        <v>20</v>
      </c>
      <c r="C19" s="3">
        <f t="shared" si="4"/>
        <v>500</v>
      </c>
      <c r="D19" s="3">
        <f t="shared" si="0"/>
        <v>10000</v>
      </c>
      <c r="E19" s="3">
        <f t="shared" si="2"/>
        <v>159</v>
      </c>
      <c r="F19" s="1">
        <v>6</v>
      </c>
      <c r="G19" s="3">
        <f t="shared" si="1"/>
        <v>954</v>
      </c>
    </row>
    <row r="20" spans="1:9">
      <c r="A20" s="1">
        <v>19</v>
      </c>
      <c r="B20" s="3">
        <f t="shared" si="3"/>
        <v>20</v>
      </c>
      <c r="C20" s="3">
        <f t="shared" si="4"/>
        <v>500</v>
      </c>
      <c r="D20" s="3">
        <f t="shared" si="0"/>
        <v>10000</v>
      </c>
      <c r="E20" s="3">
        <f t="shared" si="2"/>
        <v>179</v>
      </c>
      <c r="F20" s="1">
        <v>6</v>
      </c>
      <c r="G20" s="3">
        <f t="shared" si="1"/>
        <v>1074</v>
      </c>
    </row>
    <row r="21" spans="1:9">
      <c r="A21" s="1">
        <v>20</v>
      </c>
      <c r="B21" s="4">
        <v>30</v>
      </c>
      <c r="C21" s="3">
        <f t="shared" si="4"/>
        <v>500</v>
      </c>
      <c r="D21" s="3">
        <f t="shared" si="0"/>
        <v>15000</v>
      </c>
      <c r="E21" s="3">
        <f t="shared" si="2"/>
        <v>209</v>
      </c>
      <c r="F21" s="1">
        <v>6</v>
      </c>
      <c r="G21" s="3">
        <f t="shared" si="1"/>
        <v>1254</v>
      </c>
      <c r="I21" s="1">
        <f>SUM(B12:B21)*H2</f>
        <v>170</v>
      </c>
    </row>
    <row r="22" spans="1:9">
      <c r="A22" s="1">
        <v>21</v>
      </c>
      <c r="B22" s="3">
        <f t="shared" si="3"/>
        <v>30</v>
      </c>
      <c r="C22" s="3">
        <f t="shared" si="4"/>
        <v>500</v>
      </c>
      <c r="D22" s="3">
        <f t="shared" si="0"/>
        <v>15000</v>
      </c>
      <c r="E22" s="3">
        <f t="shared" si="2"/>
        <v>239</v>
      </c>
      <c r="F22" s="1">
        <v>6</v>
      </c>
      <c r="G22" s="3">
        <f t="shared" si="1"/>
        <v>1434</v>
      </c>
    </row>
    <row r="23" spans="1:9">
      <c r="A23" s="1">
        <v>22</v>
      </c>
      <c r="B23" s="3">
        <f t="shared" si="3"/>
        <v>30</v>
      </c>
      <c r="C23" s="3">
        <f t="shared" si="4"/>
        <v>500</v>
      </c>
      <c r="D23" s="3">
        <f t="shared" si="0"/>
        <v>15000</v>
      </c>
      <c r="E23" s="3">
        <f t="shared" si="2"/>
        <v>269</v>
      </c>
      <c r="F23" s="1">
        <v>6</v>
      </c>
      <c r="G23" s="3">
        <f t="shared" si="1"/>
        <v>1614</v>
      </c>
    </row>
    <row r="24" spans="1:9">
      <c r="A24" s="1">
        <v>23</v>
      </c>
      <c r="B24" s="3">
        <f t="shared" si="3"/>
        <v>30</v>
      </c>
      <c r="C24" s="3">
        <f t="shared" si="4"/>
        <v>500</v>
      </c>
      <c r="D24" s="3">
        <f t="shared" si="0"/>
        <v>15000</v>
      </c>
      <c r="E24" s="3">
        <f t="shared" si="2"/>
        <v>299</v>
      </c>
      <c r="F24" s="1">
        <v>6</v>
      </c>
      <c r="G24" s="3">
        <f t="shared" si="1"/>
        <v>1794</v>
      </c>
    </row>
    <row r="25" spans="1:9">
      <c r="A25" s="1">
        <v>24</v>
      </c>
      <c r="B25" s="3">
        <f t="shared" si="3"/>
        <v>30</v>
      </c>
      <c r="C25" s="3">
        <f t="shared" si="4"/>
        <v>500</v>
      </c>
      <c r="D25" s="3">
        <f t="shared" si="0"/>
        <v>15000</v>
      </c>
      <c r="E25" s="3">
        <f t="shared" si="2"/>
        <v>329</v>
      </c>
      <c r="F25" s="1">
        <v>6</v>
      </c>
      <c r="G25" s="3">
        <f t="shared" si="1"/>
        <v>1974</v>
      </c>
    </row>
    <row r="26" spans="1:9">
      <c r="A26" s="1">
        <v>25</v>
      </c>
      <c r="B26" s="3">
        <f t="shared" si="3"/>
        <v>30</v>
      </c>
      <c r="C26" s="3">
        <f t="shared" si="4"/>
        <v>500</v>
      </c>
      <c r="D26" s="3">
        <f t="shared" si="0"/>
        <v>15000</v>
      </c>
      <c r="E26" s="3">
        <f t="shared" si="2"/>
        <v>359</v>
      </c>
      <c r="F26" s="1">
        <v>6</v>
      </c>
      <c r="G26" s="3">
        <f t="shared" si="1"/>
        <v>2154</v>
      </c>
    </row>
    <row r="27" spans="1:9">
      <c r="A27" s="1">
        <v>26</v>
      </c>
      <c r="B27" s="3">
        <f t="shared" si="3"/>
        <v>30</v>
      </c>
      <c r="C27" s="3">
        <f t="shared" si="4"/>
        <v>500</v>
      </c>
      <c r="D27" s="3">
        <f t="shared" si="0"/>
        <v>15000</v>
      </c>
      <c r="E27" s="3">
        <f t="shared" si="2"/>
        <v>389</v>
      </c>
      <c r="F27" s="1">
        <v>6</v>
      </c>
      <c r="G27" s="3">
        <f t="shared" si="1"/>
        <v>2334</v>
      </c>
    </row>
    <row r="28" spans="1:9">
      <c r="A28" s="1">
        <v>27</v>
      </c>
      <c r="B28" s="3">
        <f t="shared" si="3"/>
        <v>30</v>
      </c>
      <c r="C28" s="3">
        <f t="shared" si="4"/>
        <v>500</v>
      </c>
      <c r="D28" s="3">
        <f t="shared" si="0"/>
        <v>15000</v>
      </c>
      <c r="E28" s="3">
        <f t="shared" si="2"/>
        <v>419</v>
      </c>
      <c r="F28" s="1">
        <v>6</v>
      </c>
      <c r="G28" s="3">
        <f t="shared" si="1"/>
        <v>2514</v>
      </c>
    </row>
    <row r="29" spans="1:9">
      <c r="A29" s="1">
        <v>28</v>
      </c>
      <c r="B29" s="3">
        <f t="shared" si="3"/>
        <v>30</v>
      </c>
      <c r="C29" s="3">
        <f t="shared" si="4"/>
        <v>500</v>
      </c>
      <c r="D29" s="3">
        <f t="shared" si="0"/>
        <v>15000</v>
      </c>
      <c r="E29" s="3">
        <f t="shared" si="2"/>
        <v>449</v>
      </c>
      <c r="F29" s="1">
        <v>6</v>
      </c>
      <c r="G29" s="3">
        <f t="shared" si="1"/>
        <v>2694</v>
      </c>
    </row>
    <row r="30" spans="1:9">
      <c r="A30" s="1">
        <v>29</v>
      </c>
      <c r="B30" s="3">
        <f t="shared" si="3"/>
        <v>30</v>
      </c>
      <c r="C30" s="3">
        <f t="shared" si="4"/>
        <v>500</v>
      </c>
      <c r="D30" s="3">
        <f t="shared" si="0"/>
        <v>15000</v>
      </c>
      <c r="E30" s="3">
        <f t="shared" si="2"/>
        <v>479</v>
      </c>
      <c r="F30" s="1">
        <v>6</v>
      </c>
      <c r="G30" s="3">
        <f t="shared" si="1"/>
        <v>2874</v>
      </c>
    </row>
    <row r="31" spans="1:9">
      <c r="A31" s="1">
        <v>30</v>
      </c>
      <c r="B31" s="4">
        <v>50</v>
      </c>
      <c r="C31" s="3">
        <f t="shared" si="4"/>
        <v>500</v>
      </c>
      <c r="D31" s="3">
        <f t="shared" si="0"/>
        <v>25000</v>
      </c>
      <c r="E31" s="3">
        <f t="shared" si="2"/>
        <v>529</v>
      </c>
      <c r="F31" s="1">
        <v>6</v>
      </c>
      <c r="G31" s="3">
        <f t="shared" si="1"/>
        <v>3174</v>
      </c>
      <c r="I31" s="1">
        <f>SUM(B22:B31)*H2</f>
        <v>320</v>
      </c>
    </row>
    <row r="32" spans="1:9">
      <c r="A32" s="1">
        <v>31</v>
      </c>
      <c r="B32" s="3">
        <f t="shared" si="3"/>
        <v>50</v>
      </c>
      <c r="C32" s="3">
        <f t="shared" si="4"/>
        <v>500</v>
      </c>
      <c r="D32" s="3">
        <f t="shared" si="0"/>
        <v>25000</v>
      </c>
      <c r="E32" s="3">
        <f t="shared" si="2"/>
        <v>579</v>
      </c>
      <c r="F32" s="1">
        <v>6</v>
      </c>
      <c r="G32" s="3">
        <f t="shared" si="1"/>
        <v>3474</v>
      </c>
    </row>
    <row r="33" spans="1:9">
      <c r="A33" s="1">
        <v>32</v>
      </c>
      <c r="B33" s="3">
        <f t="shared" si="3"/>
        <v>50</v>
      </c>
      <c r="C33" s="3">
        <f t="shared" si="4"/>
        <v>500</v>
      </c>
      <c r="D33" s="3">
        <f t="shared" si="0"/>
        <v>25000</v>
      </c>
      <c r="E33" s="3">
        <f t="shared" si="2"/>
        <v>629</v>
      </c>
      <c r="F33" s="1">
        <v>6</v>
      </c>
      <c r="G33" s="3">
        <f t="shared" si="1"/>
        <v>3774</v>
      </c>
    </row>
    <row r="34" spans="1:9">
      <c r="A34" s="1">
        <v>33</v>
      </c>
      <c r="B34" s="3">
        <f t="shared" si="3"/>
        <v>50</v>
      </c>
      <c r="C34" s="3">
        <f t="shared" si="4"/>
        <v>500</v>
      </c>
      <c r="D34" s="3">
        <f t="shared" ref="D34:D65" si="5">B34*C34</f>
        <v>25000</v>
      </c>
      <c r="E34" s="3">
        <f t="shared" si="2"/>
        <v>679</v>
      </c>
      <c r="F34" s="1">
        <v>6</v>
      </c>
      <c r="G34" s="3">
        <f t="shared" ref="G34:G65" si="6">E34*F34</f>
        <v>4074</v>
      </c>
    </row>
    <row r="35" spans="1:9">
      <c r="A35" s="1">
        <v>34</v>
      </c>
      <c r="B35" s="3">
        <f t="shared" si="3"/>
        <v>50</v>
      </c>
      <c r="C35" s="3">
        <f t="shared" si="4"/>
        <v>500</v>
      </c>
      <c r="D35" s="3">
        <f t="shared" si="5"/>
        <v>25000</v>
      </c>
      <c r="E35" s="3">
        <f t="shared" ref="E35:E66" si="7">B35+E34</f>
        <v>729</v>
      </c>
      <c r="F35" s="1">
        <v>6</v>
      </c>
      <c r="G35" s="3">
        <f t="shared" si="6"/>
        <v>4374</v>
      </c>
    </row>
    <row r="36" spans="1:9">
      <c r="A36" s="1">
        <v>35</v>
      </c>
      <c r="B36" s="3">
        <f t="shared" si="3"/>
        <v>50</v>
      </c>
      <c r="C36" s="3">
        <f t="shared" si="4"/>
        <v>500</v>
      </c>
      <c r="D36" s="3">
        <f t="shared" si="5"/>
        <v>25000</v>
      </c>
      <c r="E36" s="3">
        <f t="shared" si="7"/>
        <v>779</v>
      </c>
      <c r="F36" s="1">
        <v>6</v>
      </c>
      <c r="G36" s="3">
        <f t="shared" si="6"/>
        <v>4674</v>
      </c>
    </row>
    <row r="37" spans="1:9">
      <c r="A37" s="1">
        <v>36</v>
      </c>
      <c r="B37" s="3">
        <f t="shared" si="3"/>
        <v>50</v>
      </c>
      <c r="C37" s="3">
        <f t="shared" si="4"/>
        <v>500</v>
      </c>
      <c r="D37" s="3">
        <f t="shared" si="5"/>
        <v>25000</v>
      </c>
      <c r="E37" s="3">
        <f t="shared" si="7"/>
        <v>829</v>
      </c>
      <c r="F37" s="1">
        <v>6</v>
      </c>
      <c r="G37" s="3">
        <f t="shared" si="6"/>
        <v>4974</v>
      </c>
    </row>
    <row r="38" spans="1:9">
      <c r="A38" s="1">
        <v>37</v>
      </c>
      <c r="B38" s="3">
        <f t="shared" si="3"/>
        <v>50</v>
      </c>
      <c r="C38" s="3">
        <f t="shared" si="4"/>
        <v>500</v>
      </c>
      <c r="D38" s="3">
        <f t="shared" si="5"/>
        <v>25000</v>
      </c>
      <c r="E38" s="3">
        <f t="shared" si="7"/>
        <v>879</v>
      </c>
      <c r="F38" s="1">
        <v>6</v>
      </c>
      <c r="G38" s="3">
        <f t="shared" si="6"/>
        <v>5274</v>
      </c>
    </row>
    <row r="39" spans="1:9">
      <c r="A39" s="1">
        <v>38</v>
      </c>
      <c r="B39" s="3">
        <f t="shared" si="3"/>
        <v>50</v>
      </c>
      <c r="C39" s="3">
        <f t="shared" si="4"/>
        <v>500</v>
      </c>
      <c r="D39" s="3">
        <f t="shared" si="5"/>
        <v>25000</v>
      </c>
      <c r="E39" s="3">
        <f t="shared" si="7"/>
        <v>929</v>
      </c>
      <c r="F39" s="1">
        <v>6</v>
      </c>
      <c r="G39" s="3">
        <f t="shared" si="6"/>
        <v>5574</v>
      </c>
    </row>
    <row r="40" spans="1:9">
      <c r="A40" s="1">
        <v>39</v>
      </c>
      <c r="B40" s="3">
        <f t="shared" si="3"/>
        <v>50</v>
      </c>
      <c r="C40" s="3">
        <f t="shared" si="4"/>
        <v>500</v>
      </c>
      <c r="D40" s="3">
        <f t="shared" si="5"/>
        <v>25000</v>
      </c>
      <c r="E40" s="3">
        <f t="shared" si="7"/>
        <v>979</v>
      </c>
      <c r="F40" s="1">
        <v>6</v>
      </c>
      <c r="G40" s="3">
        <f t="shared" si="6"/>
        <v>5874</v>
      </c>
    </row>
    <row r="41" spans="1:9">
      <c r="A41" s="1">
        <v>40</v>
      </c>
      <c r="B41" s="4">
        <v>80</v>
      </c>
      <c r="C41" s="3">
        <f t="shared" si="4"/>
        <v>500</v>
      </c>
      <c r="D41" s="3">
        <f t="shared" si="5"/>
        <v>40000</v>
      </c>
      <c r="E41" s="3">
        <f t="shared" si="7"/>
        <v>1059</v>
      </c>
      <c r="F41" s="1">
        <v>6</v>
      </c>
      <c r="G41" s="3">
        <f t="shared" si="6"/>
        <v>6354</v>
      </c>
      <c r="I41" s="1">
        <f>SUM(B32:B41)*H2</f>
        <v>530</v>
      </c>
    </row>
    <row r="42" spans="1:9">
      <c r="A42" s="1">
        <v>41</v>
      </c>
      <c r="B42" s="3">
        <f t="shared" si="3"/>
        <v>80</v>
      </c>
      <c r="C42" s="3">
        <f t="shared" si="4"/>
        <v>500</v>
      </c>
      <c r="D42" s="3">
        <f t="shared" si="5"/>
        <v>40000</v>
      </c>
      <c r="E42" s="3">
        <f t="shared" si="7"/>
        <v>1139</v>
      </c>
      <c r="F42" s="1">
        <v>6</v>
      </c>
      <c r="G42" s="3">
        <f t="shared" si="6"/>
        <v>6834</v>
      </c>
    </row>
    <row r="43" spans="1:9">
      <c r="A43" s="1">
        <v>42</v>
      </c>
      <c r="B43" s="3">
        <f t="shared" si="3"/>
        <v>80</v>
      </c>
      <c r="C43" s="3">
        <f t="shared" si="4"/>
        <v>500</v>
      </c>
      <c r="D43" s="3">
        <f t="shared" si="5"/>
        <v>40000</v>
      </c>
      <c r="E43" s="3">
        <f t="shared" si="7"/>
        <v>1219</v>
      </c>
      <c r="F43" s="1">
        <v>6</v>
      </c>
      <c r="G43" s="3">
        <f t="shared" si="6"/>
        <v>7314</v>
      </c>
    </row>
    <row r="44" spans="1:9">
      <c r="A44" s="1">
        <v>43</v>
      </c>
      <c r="B44" s="3">
        <f t="shared" si="3"/>
        <v>80</v>
      </c>
      <c r="C44" s="3">
        <f t="shared" si="4"/>
        <v>500</v>
      </c>
      <c r="D44" s="3">
        <f t="shared" si="5"/>
        <v>40000</v>
      </c>
      <c r="E44" s="3">
        <f t="shared" si="7"/>
        <v>1299</v>
      </c>
      <c r="F44" s="1">
        <v>6</v>
      </c>
      <c r="G44" s="3">
        <f t="shared" si="6"/>
        <v>7794</v>
      </c>
    </row>
    <row r="45" spans="1:9">
      <c r="A45" s="1">
        <v>44</v>
      </c>
      <c r="B45" s="3">
        <f t="shared" si="3"/>
        <v>80</v>
      </c>
      <c r="C45" s="3">
        <f t="shared" si="4"/>
        <v>500</v>
      </c>
      <c r="D45" s="3">
        <f t="shared" si="5"/>
        <v>40000</v>
      </c>
      <c r="E45" s="3">
        <f t="shared" si="7"/>
        <v>1379</v>
      </c>
      <c r="F45" s="1">
        <v>6</v>
      </c>
      <c r="G45" s="3">
        <f t="shared" si="6"/>
        <v>8274</v>
      </c>
    </row>
    <row r="46" spans="1:9">
      <c r="A46" s="1">
        <v>45</v>
      </c>
      <c r="B46" s="3">
        <f t="shared" si="3"/>
        <v>80</v>
      </c>
      <c r="C46" s="3">
        <f t="shared" si="4"/>
        <v>500</v>
      </c>
      <c r="D46" s="3">
        <f t="shared" si="5"/>
        <v>40000</v>
      </c>
      <c r="E46" s="3">
        <f t="shared" si="7"/>
        <v>1459</v>
      </c>
      <c r="F46" s="1">
        <v>6</v>
      </c>
      <c r="G46" s="3">
        <f t="shared" si="6"/>
        <v>8754</v>
      </c>
    </row>
    <row r="47" spans="1:9">
      <c r="A47" s="1">
        <v>46</v>
      </c>
      <c r="B47" s="3">
        <f t="shared" si="3"/>
        <v>80</v>
      </c>
      <c r="C47" s="3">
        <f t="shared" si="4"/>
        <v>500</v>
      </c>
      <c r="D47" s="3">
        <f t="shared" si="5"/>
        <v>40000</v>
      </c>
      <c r="E47" s="3">
        <f t="shared" si="7"/>
        <v>1539</v>
      </c>
      <c r="F47" s="1">
        <v>6</v>
      </c>
      <c r="G47" s="3">
        <f t="shared" si="6"/>
        <v>9234</v>
      </c>
    </row>
    <row r="48" spans="1:9">
      <c r="A48" s="1">
        <v>47</v>
      </c>
      <c r="B48" s="3">
        <f t="shared" si="3"/>
        <v>80</v>
      </c>
      <c r="C48" s="3">
        <f t="shared" si="4"/>
        <v>500</v>
      </c>
      <c r="D48" s="3">
        <f t="shared" si="5"/>
        <v>40000</v>
      </c>
      <c r="E48" s="3">
        <f t="shared" si="7"/>
        <v>1619</v>
      </c>
      <c r="F48" s="1">
        <v>6</v>
      </c>
      <c r="G48" s="3">
        <f t="shared" si="6"/>
        <v>9714</v>
      </c>
    </row>
    <row r="49" spans="1:9">
      <c r="A49" s="1">
        <v>48</v>
      </c>
      <c r="B49" s="3">
        <f t="shared" si="3"/>
        <v>80</v>
      </c>
      <c r="C49" s="3">
        <f t="shared" si="4"/>
        <v>500</v>
      </c>
      <c r="D49" s="3">
        <f t="shared" si="5"/>
        <v>40000</v>
      </c>
      <c r="E49" s="3">
        <f t="shared" si="7"/>
        <v>1699</v>
      </c>
      <c r="F49" s="1">
        <v>6</v>
      </c>
      <c r="G49" s="3">
        <f t="shared" si="6"/>
        <v>10194</v>
      </c>
    </row>
    <row r="50" spans="1:9">
      <c r="A50" s="1">
        <v>49</v>
      </c>
      <c r="B50" s="3">
        <f t="shared" si="3"/>
        <v>80</v>
      </c>
      <c r="C50" s="3">
        <f t="shared" si="4"/>
        <v>500</v>
      </c>
      <c r="D50" s="3">
        <f t="shared" si="5"/>
        <v>40000</v>
      </c>
      <c r="E50" s="3">
        <f t="shared" si="7"/>
        <v>1779</v>
      </c>
      <c r="F50" s="1">
        <v>6</v>
      </c>
      <c r="G50" s="3">
        <f t="shared" si="6"/>
        <v>10674</v>
      </c>
    </row>
    <row r="51" spans="1:9">
      <c r="A51" s="1">
        <v>50</v>
      </c>
      <c r="B51" s="4">
        <v>120</v>
      </c>
      <c r="C51" s="3">
        <f t="shared" si="4"/>
        <v>500</v>
      </c>
      <c r="D51" s="3">
        <f t="shared" si="5"/>
        <v>60000</v>
      </c>
      <c r="E51" s="3">
        <f t="shared" si="7"/>
        <v>1899</v>
      </c>
      <c r="F51" s="1">
        <v>6</v>
      </c>
      <c r="G51" s="3">
        <f t="shared" si="6"/>
        <v>11394</v>
      </c>
      <c r="I51" s="1">
        <f>SUM(B42:B51)*H2</f>
        <v>840</v>
      </c>
    </row>
    <row r="52" spans="1:9">
      <c r="A52" s="1">
        <v>51</v>
      </c>
      <c r="B52" s="3">
        <f t="shared" si="3"/>
        <v>120</v>
      </c>
      <c r="C52" s="3">
        <f t="shared" si="4"/>
        <v>500</v>
      </c>
      <c r="D52" s="3">
        <f t="shared" si="5"/>
        <v>60000</v>
      </c>
      <c r="E52" s="3">
        <f t="shared" si="7"/>
        <v>2019</v>
      </c>
      <c r="F52" s="1">
        <v>6</v>
      </c>
      <c r="G52" s="3">
        <f t="shared" si="6"/>
        <v>12114</v>
      </c>
    </row>
    <row r="53" spans="1:9">
      <c r="A53" s="1">
        <v>52</v>
      </c>
      <c r="B53" s="3">
        <f t="shared" si="3"/>
        <v>120</v>
      </c>
      <c r="C53" s="3">
        <f t="shared" si="4"/>
        <v>500</v>
      </c>
      <c r="D53" s="3">
        <f t="shared" si="5"/>
        <v>60000</v>
      </c>
      <c r="E53" s="3">
        <f t="shared" si="7"/>
        <v>2139</v>
      </c>
      <c r="F53" s="1">
        <v>6</v>
      </c>
      <c r="G53" s="3">
        <f t="shared" si="6"/>
        <v>12834</v>
      </c>
    </row>
    <row r="54" spans="1:9">
      <c r="A54" s="1">
        <v>53</v>
      </c>
      <c r="B54" s="3">
        <f t="shared" si="3"/>
        <v>120</v>
      </c>
      <c r="C54" s="3">
        <f t="shared" si="4"/>
        <v>500</v>
      </c>
      <c r="D54" s="3">
        <f t="shared" si="5"/>
        <v>60000</v>
      </c>
      <c r="E54" s="3">
        <f t="shared" si="7"/>
        <v>2259</v>
      </c>
      <c r="F54" s="1">
        <v>6</v>
      </c>
      <c r="G54" s="3">
        <f t="shared" si="6"/>
        <v>13554</v>
      </c>
    </row>
    <row r="55" spans="1:9">
      <c r="A55" s="1">
        <v>54</v>
      </c>
      <c r="B55" s="3">
        <f t="shared" si="3"/>
        <v>120</v>
      </c>
      <c r="C55" s="3">
        <f t="shared" si="4"/>
        <v>500</v>
      </c>
      <c r="D55" s="3">
        <f t="shared" si="5"/>
        <v>60000</v>
      </c>
      <c r="E55" s="3">
        <f t="shared" si="7"/>
        <v>2379</v>
      </c>
      <c r="F55" s="1">
        <v>6</v>
      </c>
      <c r="G55" s="3">
        <f t="shared" si="6"/>
        <v>14274</v>
      </c>
    </row>
    <row r="56" spans="1:9">
      <c r="A56" s="1">
        <v>55</v>
      </c>
      <c r="B56" s="3">
        <f t="shared" si="3"/>
        <v>120</v>
      </c>
      <c r="C56" s="3">
        <f t="shared" si="4"/>
        <v>500</v>
      </c>
      <c r="D56" s="3">
        <f t="shared" si="5"/>
        <v>60000</v>
      </c>
      <c r="E56" s="3">
        <f t="shared" si="7"/>
        <v>2499</v>
      </c>
      <c r="F56" s="1">
        <v>6</v>
      </c>
      <c r="G56" s="3">
        <f t="shared" si="6"/>
        <v>14994</v>
      </c>
    </row>
    <row r="57" spans="1:9">
      <c r="A57" s="1">
        <v>56</v>
      </c>
      <c r="B57" s="3">
        <f t="shared" si="3"/>
        <v>120</v>
      </c>
      <c r="C57" s="3">
        <f t="shared" si="4"/>
        <v>500</v>
      </c>
      <c r="D57" s="3">
        <f t="shared" si="5"/>
        <v>60000</v>
      </c>
      <c r="E57" s="3">
        <f t="shared" si="7"/>
        <v>2619</v>
      </c>
      <c r="F57" s="1">
        <v>6</v>
      </c>
      <c r="G57" s="3">
        <f t="shared" si="6"/>
        <v>15714</v>
      </c>
    </row>
    <row r="58" spans="1:9">
      <c r="A58" s="1">
        <v>57</v>
      </c>
      <c r="B58" s="3">
        <f t="shared" si="3"/>
        <v>120</v>
      </c>
      <c r="C58" s="3">
        <f t="shared" si="4"/>
        <v>500</v>
      </c>
      <c r="D58" s="3">
        <f t="shared" si="5"/>
        <v>60000</v>
      </c>
      <c r="E58" s="3">
        <f t="shared" si="7"/>
        <v>2739</v>
      </c>
      <c r="F58" s="1">
        <v>6</v>
      </c>
      <c r="G58" s="3">
        <f t="shared" si="6"/>
        <v>16434</v>
      </c>
    </row>
    <row r="59" spans="1:9">
      <c r="A59" s="1">
        <v>58</v>
      </c>
      <c r="B59" s="3">
        <f t="shared" si="3"/>
        <v>120</v>
      </c>
      <c r="C59" s="3">
        <f t="shared" si="4"/>
        <v>500</v>
      </c>
      <c r="D59" s="3">
        <f t="shared" si="5"/>
        <v>60000</v>
      </c>
      <c r="E59" s="3">
        <f t="shared" si="7"/>
        <v>2859</v>
      </c>
      <c r="F59" s="1">
        <v>6</v>
      </c>
      <c r="G59" s="3">
        <f t="shared" si="6"/>
        <v>17154</v>
      </c>
    </row>
    <row r="60" spans="1:9">
      <c r="A60" s="1">
        <v>59</v>
      </c>
      <c r="B60" s="3">
        <f t="shared" si="3"/>
        <v>120</v>
      </c>
      <c r="C60" s="3">
        <f t="shared" si="4"/>
        <v>500</v>
      </c>
      <c r="D60" s="3">
        <f t="shared" si="5"/>
        <v>60000</v>
      </c>
      <c r="E60" s="3">
        <f t="shared" si="7"/>
        <v>2979</v>
      </c>
      <c r="F60" s="1">
        <v>6</v>
      </c>
      <c r="G60" s="3">
        <f t="shared" si="6"/>
        <v>17874</v>
      </c>
    </row>
    <row r="61" spans="1:9">
      <c r="A61" s="1">
        <v>60</v>
      </c>
      <c r="B61" s="4">
        <v>150</v>
      </c>
      <c r="C61" s="3">
        <f t="shared" si="4"/>
        <v>500</v>
      </c>
      <c r="D61" s="3">
        <f t="shared" si="5"/>
        <v>75000</v>
      </c>
      <c r="E61" s="3">
        <f t="shared" si="7"/>
        <v>3129</v>
      </c>
      <c r="F61" s="1">
        <v>6</v>
      </c>
      <c r="G61" s="3">
        <f t="shared" si="6"/>
        <v>18774</v>
      </c>
      <c r="I61" s="1">
        <f>SUM(B52:B61)*H2</f>
        <v>1230</v>
      </c>
    </row>
    <row r="62" spans="1:9">
      <c r="A62" s="1">
        <v>61</v>
      </c>
      <c r="B62" s="3">
        <f t="shared" si="3"/>
        <v>150</v>
      </c>
      <c r="C62" s="3">
        <f t="shared" si="4"/>
        <v>500</v>
      </c>
      <c r="D62" s="3">
        <f t="shared" si="5"/>
        <v>75000</v>
      </c>
      <c r="E62" s="3">
        <f t="shared" si="7"/>
        <v>3279</v>
      </c>
      <c r="F62" s="1">
        <v>6</v>
      </c>
      <c r="G62" s="3">
        <f t="shared" si="6"/>
        <v>19674</v>
      </c>
    </row>
    <row r="63" spans="1:9">
      <c r="A63" s="1">
        <v>62</v>
      </c>
      <c r="B63" s="3">
        <f t="shared" si="3"/>
        <v>150</v>
      </c>
      <c r="C63" s="3">
        <f t="shared" si="4"/>
        <v>500</v>
      </c>
      <c r="D63" s="3">
        <f t="shared" si="5"/>
        <v>75000</v>
      </c>
      <c r="E63" s="3">
        <f t="shared" si="7"/>
        <v>3429</v>
      </c>
      <c r="F63" s="1">
        <v>6</v>
      </c>
      <c r="G63" s="3">
        <f t="shared" si="6"/>
        <v>20574</v>
      </c>
    </row>
    <row r="64" spans="1:9">
      <c r="A64" s="1">
        <v>63</v>
      </c>
      <c r="B64" s="3">
        <f t="shared" si="3"/>
        <v>150</v>
      </c>
      <c r="C64" s="3">
        <f t="shared" si="4"/>
        <v>500</v>
      </c>
      <c r="D64" s="3">
        <f t="shared" si="5"/>
        <v>75000</v>
      </c>
      <c r="E64" s="3">
        <f t="shared" si="7"/>
        <v>3579</v>
      </c>
      <c r="F64" s="1">
        <v>6</v>
      </c>
      <c r="G64" s="3">
        <f t="shared" si="6"/>
        <v>21474</v>
      </c>
    </row>
    <row r="65" spans="1:9">
      <c r="A65" s="1">
        <v>64</v>
      </c>
      <c r="B65" s="3">
        <f t="shared" si="3"/>
        <v>150</v>
      </c>
      <c r="C65" s="3">
        <f t="shared" si="4"/>
        <v>500</v>
      </c>
      <c r="D65" s="3">
        <f t="shared" si="5"/>
        <v>75000</v>
      </c>
      <c r="E65" s="3">
        <f t="shared" si="7"/>
        <v>3729</v>
      </c>
      <c r="F65" s="1">
        <v>6</v>
      </c>
      <c r="G65" s="3">
        <f t="shared" si="6"/>
        <v>22374</v>
      </c>
    </row>
    <row r="66" spans="1:9">
      <c r="A66" s="1">
        <v>65</v>
      </c>
      <c r="B66" s="3">
        <f t="shared" si="3"/>
        <v>150</v>
      </c>
      <c r="C66" s="3">
        <f t="shared" si="4"/>
        <v>500</v>
      </c>
      <c r="D66" s="3">
        <f t="shared" ref="D66:D97" si="8">B66*C66</f>
        <v>75000</v>
      </c>
      <c r="E66" s="3">
        <f t="shared" si="7"/>
        <v>3879</v>
      </c>
      <c r="F66" s="1">
        <v>6</v>
      </c>
      <c r="G66" s="3">
        <f t="shared" ref="G66:G97" si="9">E66*F66</f>
        <v>23274</v>
      </c>
    </row>
    <row r="67" spans="1:9">
      <c r="A67" s="1">
        <v>66</v>
      </c>
      <c r="B67" s="3">
        <f t="shared" si="3"/>
        <v>150</v>
      </c>
      <c r="C67" s="3">
        <f t="shared" si="4"/>
        <v>500</v>
      </c>
      <c r="D67" s="3">
        <f t="shared" si="8"/>
        <v>75000</v>
      </c>
      <c r="E67" s="3">
        <f t="shared" ref="E67:E98" si="10">B67+E66</f>
        <v>4029</v>
      </c>
      <c r="F67" s="1">
        <v>6</v>
      </c>
      <c r="G67" s="3">
        <f t="shared" si="9"/>
        <v>24174</v>
      </c>
    </row>
    <row r="68" spans="1:9">
      <c r="A68" s="1">
        <v>67</v>
      </c>
      <c r="B68" s="3">
        <f t="shared" ref="B68:B121" si="11">B67</f>
        <v>150</v>
      </c>
      <c r="C68" s="3">
        <f t="shared" ref="C68:C121" si="12">C67</f>
        <v>500</v>
      </c>
      <c r="D68" s="3">
        <f t="shared" si="8"/>
        <v>75000</v>
      </c>
      <c r="E68" s="3">
        <f t="shared" si="10"/>
        <v>4179</v>
      </c>
      <c r="F68" s="1">
        <v>6</v>
      </c>
      <c r="G68" s="3">
        <f t="shared" si="9"/>
        <v>25074</v>
      </c>
    </row>
    <row r="69" spans="1:9">
      <c r="A69" s="1">
        <v>68</v>
      </c>
      <c r="B69" s="3">
        <f t="shared" si="11"/>
        <v>150</v>
      </c>
      <c r="C69" s="3">
        <f t="shared" si="12"/>
        <v>500</v>
      </c>
      <c r="D69" s="3">
        <f t="shared" si="8"/>
        <v>75000</v>
      </c>
      <c r="E69" s="3">
        <f t="shared" si="10"/>
        <v>4329</v>
      </c>
      <c r="F69" s="1">
        <v>6</v>
      </c>
      <c r="G69" s="3">
        <f t="shared" si="9"/>
        <v>25974</v>
      </c>
    </row>
    <row r="70" spans="1:9">
      <c r="A70" s="1">
        <v>69</v>
      </c>
      <c r="B70" s="3">
        <f t="shared" si="11"/>
        <v>150</v>
      </c>
      <c r="C70" s="3">
        <f t="shared" si="12"/>
        <v>500</v>
      </c>
      <c r="D70" s="3">
        <f t="shared" si="8"/>
        <v>75000</v>
      </c>
      <c r="E70" s="3">
        <f t="shared" si="10"/>
        <v>4479</v>
      </c>
      <c r="F70" s="1">
        <v>6</v>
      </c>
      <c r="G70" s="3">
        <f t="shared" si="9"/>
        <v>26874</v>
      </c>
    </row>
    <row r="71" spans="1:9">
      <c r="A71" s="1">
        <v>70</v>
      </c>
      <c r="B71" s="4">
        <v>180</v>
      </c>
      <c r="C71" s="3">
        <f t="shared" si="12"/>
        <v>500</v>
      </c>
      <c r="D71" s="3">
        <f t="shared" si="8"/>
        <v>90000</v>
      </c>
      <c r="E71" s="3">
        <f t="shared" si="10"/>
        <v>4659</v>
      </c>
      <c r="F71" s="1">
        <v>6</v>
      </c>
      <c r="G71" s="3">
        <f t="shared" si="9"/>
        <v>27954</v>
      </c>
      <c r="I71" s="1">
        <f>SUM(B62:B71)*H2</f>
        <v>1530</v>
      </c>
    </row>
    <row r="72" spans="1:9">
      <c r="A72" s="1">
        <v>71</v>
      </c>
      <c r="B72" s="3">
        <f t="shared" si="11"/>
        <v>180</v>
      </c>
      <c r="C72" s="3">
        <f t="shared" si="12"/>
        <v>500</v>
      </c>
      <c r="D72" s="3">
        <f t="shared" si="8"/>
        <v>90000</v>
      </c>
      <c r="E72" s="3">
        <f t="shared" si="10"/>
        <v>4839</v>
      </c>
      <c r="F72" s="1">
        <v>6</v>
      </c>
      <c r="G72" s="3">
        <f t="shared" si="9"/>
        <v>29034</v>
      </c>
    </row>
    <row r="73" spans="1:9">
      <c r="A73" s="1">
        <v>72</v>
      </c>
      <c r="B73" s="3">
        <f t="shared" si="11"/>
        <v>180</v>
      </c>
      <c r="C73" s="3">
        <f t="shared" si="12"/>
        <v>500</v>
      </c>
      <c r="D73" s="3">
        <f t="shared" si="8"/>
        <v>90000</v>
      </c>
      <c r="E73" s="3">
        <f t="shared" si="10"/>
        <v>5019</v>
      </c>
      <c r="F73" s="1">
        <v>6</v>
      </c>
      <c r="G73" s="3">
        <f t="shared" si="9"/>
        <v>30114</v>
      </c>
    </row>
    <row r="74" spans="1:9">
      <c r="A74" s="1">
        <v>73</v>
      </c>
      <c r="B74" s="3">
        <f t="shared" si="11"/>
        <v>180</v>
      </c>
      <c r="C74" s="3">
        <f t="shared" si="12"/>
        <v>500</v>
      </c>
      <c r="D74" s="3">
        <f t="shared" si="8"/>
        <v>90000</v>
      </c>
      <c r="E74" s="3">
        <f t="shared" si="10"/>
        <v>5199</v>
      </c>
      <c r="F74" s="1">
        <v>6</v>
      </c>
      <c r="G74" s="3">
        <f t="shared" si="9"/>
        <v>31194</v>
      </c>
    </row>
    <row r="75" spans="1:9">
      <c r="A75" s="1">
        <v>74</v>
      </c>
      <c r="B75" s="3">
        <f t="shared" si="11"/>
        <v>180</v>
      </c>
      <c r="C75" s="3">
        <f t="shared" si="12"/>
        <v>500</v>
      </c>
      <c r="D75" s="3">
        <f t="shared" si="8"/>
        <v>90000</v>
      </c>
      <c r="E75" s="3">
        <f t="shared" si="10"/>
        <v>5379</v>
      </c>
      <c r="F75" s="1">
        <v>6</v>
      </c>
      <c r="G75" s="3">
        <f t="shared" si="9"/>
        <v>32274</v>
      </c>
    </row>
    <row r="76" spans="1:9">
      <c r="A76" s="1">
        <v>75</v>
      </c>
      <c r="B76" s="3">
        <f t="shared" si="11"/>
        <v>180</v>
      </c>
      <c r="C76" s="3">
        <f t="shared" si="12"/>
        <v>500</v>
      </c>
      <c r="D76" s="3">
        <f t="shared" si="8"/>
        <v>90000</v>
      </c>
      <c r="E76" s="3">
        <f t="shared" si="10"/>
        <v>5559</v>
      </c>
      <c r="F76" s="1">
        <v>6</v>
      </c>
      <c r="G76" s="3">
        <f t="shared" si="9"/>
        <v>33354</v>
      </c>
    </row>
    <row r="77" spans="1:9">
      <c r="A77" s="1">
        <v>76</v>
      </c>
      <c r="B77" s="3">
        <f t="shared" si="11"/>
        <v>180</v>
      </c>
      <c r="C77" s="3">
        <f t="shared" si="12"/>
        <v>500</v>
      </c>
      <c r="D77" s="3">
        <f t="shared" si="8"/>
        <v>90000</v>
      </c>
      <c r="E77" s="3">
        <f t="shared" si="10"/>
        <v>5739</v>
      </c>
      <c r="F77" s="1">
        <v>6</v>
      </c>
      <c r="G77" s="3">
        <f t="shared" si="9"/>
        <v>34434</v>
      </c>
    </row>
    <row r="78" spans="1:9">
      <c r="A78" s="1">
        <v>77</v>
      </c>
      <c r="B78" s="3">
        <f t="shared" si="11"/>
        <v>180</v>
      </c>
      <c r="C78" s="3">
        <f t="shared" si="12"/>
        <v>500</v>
      </c>
      <c r="D78" s="3">
        <f t="shared" si="8"/>
        <v>90000</v>
      </c>
      <c r="E78" s="3">
        <f t="shared" si="10"/>
        <v>5919</v>
      </c>
      <c r="F78" s="1">
        <v>6</v>
      </c>
      <c r="G78" s="3">
        <f t="shared" si="9"/>
        <v>35514</v>
      </c>
    </row>
    <row r="79" spans="1:9">
      <c r="A79" s="1">
        <v>78</v>
      </c>
      <c r="B79" s="3">
        <f t="shared" si="11"/>
        <v>180</v>
      </c>
      <c r="C79" s="3">
        <f t="shared" si="12"/>
        <v>500</v>
      </c>
      <c r="D79" s="3">
        <f t="shared" si="8"/>
        <v>90000</v>
      </c>
      <c r="E79" s="3">
        <f t="shared" si="10"/>
        <v>6099</v>
      </c>
      <c r="F79" s="1">
        <v>6</v>
      </c>
      <c r="G79" s="3">
        <f t="shared" si="9"/>
        <v>36594</v>
      </c>
    </row>
    <row r="80" spans="1:9">
      <c r="A80" s="1">
        <v>79</v>
      </c>
      <c r="B80" s="3">
        <f t="shared" si="11"/>
        <v>180</v>
      </c>
      <c r="C80" s="3">
        <f t="shared" si="12"/>
        <v>500</v>
      </c>
      <c r="D80" s="3">
        <f t="shared" si="8"/>
        <v>90000</v>
      </c>
      <c r="E80" s="3">
        <f t="shared" si="10"/>
        <v>6279</v>
      </c>
      <c r="F80" s="1">
        <v>6</v>
      </c>
      <c r="G80" s="3">
        <f t="shared" si="9"/>
        <v>37674</v>
      </c>
    </row>
    <row r="81" spans="1:9">
      <c r="A81" s="1">
        <v>80</v>
      </c>
      <c r="B81" s="4">
        <v>220</v>
      </c>
      <c r="C81" s="3">
        <f t="shared" si="12"/>
        <v>500</v>
      </c>
      <c r="D81" s="3">
        <f t="shared" si="8"/>
        <v>110000</v>
      </c>
      <c r="E81" s="3">
        <f t="shared" si="10"/>
        <v>6499</v>
      </c>
      <c r="F81" s="1">
        <v>6</v>
      </c>
      <c r="G81" s="3">
        <f t="shared" si="9"/>
        <v>38994</v>
      </c>
      <c r="I81" s="1">
        <f>SUM(B72:B81)*H2</f>
        <v>1840</v>
      </c>
    </row>
    <row r="82" spans="1:9">
      <c r="A82" s="1">
        <v>81</v>
      </c>
      <c r="B82" s="3">
        <f t="shared" si="11"/>
        <v>220</v>
      </c>
      <c r="C82" s="3">
        <f t="shared" si="12"/>
        <v>500</v>
      </c>
      <c r="D82" s="3">
        <f t="shared" si="8"/>
        <v>110000</v>
      </c>
      <c r="E82" s="3">
        <f t="shared" si="10"/>
        <v>6719</v>
      </c>
      <c r="F82" s="1">
        <v>6</v>
      </c>
      <c r="G82" s="3">
        <f t="shared" si="9"/>
        <v>40314</v>
      </c>
    </row>
    <row r="83" spans="1:9">
      <c r="A83" s="1">
        <v>82</v>
      </c>
      <c r="B83" s="3">
        <f t="shared" si="11"/>
        <v>220</v>
      </c>
      <c r="C83" s="3">
        <f t="shared" si="12"/>
        <v>500</v>
      </c>
      <c r="D83" s="3">
        <f t="shared" si="8"/>
        <v>110000</v>
      </c>
      <c r="E83" s="3">
        <f t="shared" si="10"/>
        <v>6939</v>
      </c>
      <c r="F83" s="1">
        <v>6</v>
      </c>
      <c r="G83" s="3">
        <f t="shared" si="9"/>
        <v>41634</v>
      </c>
    </row>
    <row r="84" spans="1:9">
      <c r="A84" s="1">
        <v>83</v>
      </c>
      <c r="B84" s="3">
        <f t="shared" si="11"/>
        <v>220</v>
      </c>
      <c r="C84" s="3">
        <f t="shared" si="12"/>
        <v>500</v>
      </c>
      <c r="D84" s="3">
        <f t="shared" si="8"/>
        <v>110000</v>
      </c>
      <c r="E84" s="3">
        <f t="shared" si="10"/>
        <v>7159</v>
      </c>
      <c r="F84" s="1">
        <v>6</v>
      </c>
      <c r="G84" s="3">
        <f t="shared" si="9"/>
        <v>42954</v>
      </c>
    </row>
    <row r="85" spans="1:9">
      <c r="A85" s="1">
        <v>84</v>
      </c>
      <c r="B85" s="3">
        <f t="shared" si="11"/>
        <v>220</v>
      </c>
      <c r="C85" s="3">
        <f t="shared" si="12"/>
        <v>500</v>
      </c>
      <c r="D85" s="3">
        <f t="shared" si="8"/>
        <v>110000</v>
      </c>
      <c r="E85" s="3">
        <f t="shared" si="10"/>
        <v>7379</v>
      </c>
      <c r="F85" s="1">
        <v>6</v>
      </c>
      <c r="G85" s="3">
        <f t="shared" si="9"/>
        <v>44274</v>
      </c>
    </row>
    <row r="86" spans="1:9">
      <c r="A86" s="1">
        <v>85</v>
      </c>
      <c r="B86" s="3">
        <f t="shared" si="11"/>
        <v>220</v>
      </c>
      <c r="C86" s="3">
        <f t="shared" si="12"/>
        <v>500</v>
      </c>
      <c r="D86" s="3">
        <f t="shared" si="8"/>
        <v>110000</v>
      </c>
      <c r="E86" s="3">
        <f t="shared" si="10"/>
        <v>7599</v>
      </c>
      <c r="F86" s="1">
        <v>6</v>
      </c>
      <c r="G86" s="3">
        <f t="shared" si="9"/>
        <v>45594</v>
      </c>
    </row>
    <row r="87" spans="1:9">
      <c r="A87" s="1">
        <v>86</v>
      </c>
      <c r="B87" s="3">
        <f t="shared" si="11"/>
        <v>220</v>
      </c>
      <c r="C87" s="3">
        <f t="shared" si="12"/>
        <v>500</v>
      </c>
      <c r="D87" s="3">
        <f t="shared" si="8"/>
        <v>110000</v>
      </c>
      <c r="E87" s="3">
        <f t="shared" si="10"/>
        <v>7819</v>
      </c>
      <c r="F87" s="1">
        <v>6</v>
      </c>
      <c r="G87" s="3">
        <f t="shared" si="9"/>
        <v>46914</v>
      </c>
    </row>
    <row r="88" spans="1:9">
      <c r="A88" s="1">
        <v>87</v>
      </c>
      <c r="B88" s="3">
        <f t="shared" si="11"/>
        <v>220</v>
      </c>
      <c r="C88" s="3">
        <f t="shared" si="12"/>
        <v>500</v>
      </c>
      <c r="D88" s="3">
        <f t="shared" si="8"/>
        <v>110000</v>
      </c>
      <c r="E88" s="3">
        <f t="shared" si="10"/>
        <v>8039</v>
      </c>
      <c r="F88" s="1">
        <v>6</v>
      </c>
      <c r="G88" s="3">
        <f t="shared" si="9"/>
        <v>48234</v>
      </c>
    </row>
    <row r="89" spans="1:9">
      <c r="A89" s="1">
        <v>88</v>
      </c>
      <c r="B89" s="3">
        <f t="shared" si="11"/>
        <v>220</v>
      </c>
      <c r="C89" s="3">
        <f t="shared" si="12"/>
        <v>500</v>
      </c>
      <c r="D89" s="3">
        <f t="shared" si="8"/>
        <v>110000</v>
      </c>
      <c r="E89" s="3">
        <f t="shared" si="10"/>
        <v>8259</v>
      </c>
      <c r="F89" s="1">
        <v>6</v>
      </c>
      <c r="G89" s="3">
        <f t="shared" si="9"/>
        <v>49554</v>
      </c>
    </row>
    <row r="90" spans="1:9">
      <c r="A90" s="1">
        <v>89</v>
      </c>
      <c r="B90" s="3">
        <f t="shared" si="11"/>
        <v>220</v>
      </c>
      <c r="C90" s="3">
        <f t="shared" si="12"/>
        <v>500</v>
      </c>
      <c r="D90" s="3">
        <f t="shared" si="8"/>
        <v>110000</v>
      </c>
      <c r="E90" s="3">
        <f t="shared" si="10"/>
        <v>8479</v>
      </c>
      <c r="F90" s="1">
        <v>6</v>
      </c>
      <c r="G90" s="3">
        <f t="shared" si="9"/>
        <v>50874</v>
      </c>
    </row>
    <row r="91" spans="1:9">
      <c r="A91" s="1">
        <v>90</v>
      </c>
      <c r="B91" s="4">
        <v>250</v>
      </c>
      <c r="C91" s="3">
        <f t="shared" si="12"/>
        <v>500</v>
      </c>
      <c r="D91" s="3">
        <f t="shared" si="8"/>
        <v>125000</v>
      </c>
      <c r="E91" s="3">
        <f t="shared" si="10"/>
        <v>8729</v>
      </c>
      <c r="F91" s="1">
        <v>6</v>
      </c>
      <c r="G91" s="3">
        <f t="shared" si="9"/>
        <v>52374</v>
      </c>
      <c r="I91" s="1">
        <f>SUM(B82:B91)*H2</f>
        <v>2230</v>
      </c>
    </row>
    <row r="92" spans="1:9">
      <c r="A92" s="1">
        <v>91</v>
      </c>
      <c r="B92" s="3">
        <f t="shared" si="11"/>
        <v>250</v>
      </c>
      <c r="C92" s="3">
        <f t="shared" si="12"/>
        <v>500</v>
      </c>
      <c r="D92" s="3">
        <f t="shared" si="8"/>
        <v>125000</v>
      </c>
      <c r="E92" s="3">
        <f t="shared" si="10"/>
        <v>8979</v>
      </c>
      <c r="F92" s="1">
        <v>6</v>
      </c>
      <c r="G92" s="3">
        <f t="shared" si="9"/>
        <v>53874</v>
      </c>
    </row>
    <row r="93" spans="1:9">
      <c r="A93" s="1">
        <v>92</v>
      </c>
      <c r="B93" s="3">
        <f t="shared" si="11"/>
        <v>250</v>
      </c>
      <c r="C93" s="3">
        <f t="shared" si="12"/>
        <v>500</v>
      </c>
      <c r="D93" s="3">
        <f t="shared" si="8"/>
        <v>125000</v>
      </c>
      <c r="E93" s="3">
        <f t="shared" si="10"/>
        <v>9229</v>
      </c>
      <c r="F93" s="1">
        <v>6</v>
      </c>
      <c r="G93" s="3">
        <f t="shared" si="9"/>
        <v>55374</v>
      </c>
    </row>
    <row r="94" spans="1:9">
      <c r="A94" s="1">
        <v>93</v>
      </c>
      <c r="B94" s="3">
        <f t="shared" si="11"/>
        <v>250</v>
      </c>
      <c r="C94" s="3">
        <f t="shared" si="12"/>
        <v>500</v>
      </c>
      <c r="D94" s="3">
        <f t="shared" si="8"/>
        <v>125000</v>
      </c>
      <c r="E94" s="3">
        <f t="shared" si="10"/>
        <v>9479</v>
      </c>
      <c r="F94" s="1">
        <v>6</v>
      </c>
      <c r="G94" s="3">
        <f t="shared" si="9"/>
        <v>56874</v>
      </c>
    </row>
    <row r="95" spans="1:9">
      <c r="A95" s="1">
        <v>94</v>
      </c>
      <c r="B95" s="3">
        <f t="shared" si="11"/>
        <v>250</v>
      </c>
      <c r="C95" s="3">
        <f t="shared" si="12"/>
        <v>500</v>
      </c>
      <c r="D95" s="3">
        <f t="shared" si="8"/>
        <v>125000</v>
      </c>
      <c r="E95" s="3">
        <f t="shared" si="10"/>
        <v>9729</v>
      </c>
      <c r="F95" s="1">
        <v>6</v>
      </c>
      <c r="G95" s="3">
        <f t="shared" si="9"/>
        <v>58374</v>
      </c>
    </row>
    <row r="96" spans="1:9">
      <c r="A96" s="1">
        <v>95</v>
      </c>
      <c r="B96" s="3">
        <f t="shared" si="11"/>
        <v>250</v>
      </c>
      <c r="C96" s="3">
        <f t="shared" si="12"/>
        <v>500</v>
      </c>
      <c r="D96" s="3">
        <f t="shared" si="8"/>
        <v>125000</v>
      </c>
      <c r="E96" s="3">
        <f t="shared" si="10"/>
        <v>9979</v>
      </c>
      <c r="F96" s="1">
        <v>6</v>
      </c>
      <c r="G96" s="3">
        <f t="shared" si="9"/>
        <v>59874</v>
      </c>
    </row>
    <row r="97" spans="1:9">
      <c r="A97" s="1">
        <v>96</v>
      </c>
      <c r="B97" s="3">
        <f t="shared" si="11"/>
        <v>250</v>
      </c>
      <c r="C97" s="3">
        <f t="shared" si="12"/>
        <v>500</v>
      </c>
      <c r="D97" s="3">
        <f t="shared" si="8"/>
        <v>125000</v>
      </c>
      <c r="E97" s="3">
        <f t="shared" si="10"/>
        <v>10229</v>
      </c>
      <c r="F97" s="1">
        <v>6</v>
      </c>
      <c r="G97" s="3">
        <f t="shared" si="9"/>
        <v>61374</v>
      </c>
    </row>
    <row r="98" spans="1:9">
      <c r="A98" s="1">
        <v>97</v>
      </c>
      <c r="B98" s="3">
        <f t="shared" si="11"/>
        <v>250</v>
      </c>
      <c r="C98" s="3">
        <f t="shared" si="12"/>
        <v>500</v>
      </c>
      <c r="D98" s="3">
        <f t="shared" ref="D98:D121" si="13">B98*C98</f>
        <v>125000</v>
      </c>
      <c r="E98" s="3">
        <f t="shared" si="10"/>
        <v>10479</v>
      </c>
      <c r="F98" s="1">
        <v>6</v>
      </c>
      <c r="G98" s="3">
        <f t="shared" ref="G98:G121" si="14">E98*F98</f>
        <v>62874</v>
      </c>
    </row>
    <row r="99" spans="1:9">
      <c r="A99" s="1">
        <v>98</v>
      </c>
      <c r="B99" s="3">
        <f t="shared" si="11"/>
        <v>250</v>
      </c>
      <c r="C99" s="3">
        <f t="shared" si="12"/>
        <v>500</v>
      </c>
      <c r="D99" s="3">
        <f t="shared" si="13"/>
        <v>125000</v>
      </c>
      <c r="E99" s="3">
        <f t="shared" ref="E99:E121" si="15">B99+E98</f>
        <v>10729</v>
      </c>
      <c r="F99" s="1">
        <v>6</v>
      </c>
      <c r="G99" s="3">
        <f t="shared" si="14"/>
        <v>64374</v>
      </c>
    </row>
    <row r="100" spans="1:9">
      <c r="A100" s="1">
        <v>99</v>
      </c>
      <c r="B100" s="3">
        <f t="shared" si="11"/>
        <v>250</v>
      </c>
      <c r="C100" s="3">
        <f t="shared" si="12"/>
        <v>500</v>
      </c>
      <c r="D100" s="3">
        <f t="shared" si="13"/>
        <v>125000</v>
      </c>
      <c r="E100" s="3">
        <f t="shared" si="15"/>
        <v>10979</v>
      </c>
      <c r="F100" s="1">
        <v>6</v>
      </c>
      <c r="G100" s="3">
        <f t="shared" si="14"/>
        <v>65874</v>
      </c>
    </row>
    <row r="101" spans="1:9">
      <c r="A101" s="1">
        <v>100</v>
      </c>
      <c r="B101" s="4">
        <v>300</v>
      </c>
      <c r="C101" s="3">
        <f t="shared" si="12"/>
        <v>500</v>
      </c>
      <c r="D101" s="3">
        <f t="shared" si="13"/>
        <v>150000</v>
      </c>
      <c r="E101" s="3">
        <f t="shared" si="15"/>
        <v>11279</v>
      </c>
      <c r="F101" s="1">
        <v>6</v>
      </c>
      <c r="G101" s="3">
        <f t="shared" si="14"/>
        <v>67674</v>
      </c>
      <c r="I101" s="1">
        <f>SUM(B92:B101)*H2</f>
        <v>2550</v>
      </c>
    </row>
    <row r="102" spans="1:9">
      <c r="A102" s="1">
        <v>101</v>
      </c>
      <c r="B102" s="3">
        <f t="shared" si="11"/>
        <v>300</v>
      </c>
      <c r="C102" s="3">
        <f t="shared" si="12"/>
        <v>500</v>
      </c>
      <c r="D102" s="3">
        <f t="shared" si="13"/>
        <v>150000</v>
      </c>
      <c r="E102" s="3">
        <f t="shared" si="15"/>
        <v>11579</v>
      </c>
      <c r="F102" s="1">
        <v>6</v>
      </c>
      <c r="G102" s="3">
        <f t="shared" si="14"/>
        <v>69474</v>
      </c>
    </row>
    <row r="103" spans="1:9">
      <c r="A103" s="1">
        <v>102</v>
      </c>
      <c r="B103" s="3">
        <f t="shared" si="11"/>
        <v>300</v>
      </c>
      <c r="C103" s="3">
        <f t="shared" si="12"/>
        <v>500</v>
      </c>
      <c r="D103" s="3">
        <f t="shared" si="13"/>
        <v>150000</v>
      </c>
      <c r="E103" s="3">
        <f t="shared" si="15"/>
        <v>11879</v>
      </c>
      <c r="F103" s="1">
        <v>6</v>
      </c>
      <c r="G103" s="3">
        <f t="shared" si="14"/>
        <v>71274</v>
      </c>
    </row>
    <row r="104" spans="1:9">
      <c r="A104" s="1">
        <v>103</v>
      </c>
      <c r="B104" s="3">
        <f t="shared" si="11"/>
        <v>300</v>
      </c>
      <c r="C104" s="3">
        <f t="shared" si="12"/>
        <v>500</v>
      </c>
      <c r="D104" s="3">
        <f t="shared" si="13"/>
        <v>150000</v>
      </c>
      <c r="E104" s="3">
        <f t="shared" si="15"/>
        <v>12179</v>
      </c>
      <c r="F104" s="1">
        <v>6</v>
      </c>
      <c r="G104" s="3">
        <f t="shared" si="14"/>
        <v>73074</v>
      </c>
    </row>
    <row r="105" spans="1:9">
      <c r="A105" s="1">
        <v>104</v>
      </c>
      <c r="B105" s="3">
        <f t="shared" si="11"/>
        <v>300</v>
      </c>
      <c r="C105" s="3">
        <f t="shared" si="12"/>
        <v>500</v>
      </c>
      <c r="D105" s="3">
        <f t="shared" si="13"/>
        <v>150000</v>
      </c>
      <c r="E105" s="3">
        <f t="shared" si="15"/>
        <v>12479</v>
      </c>
      <c r="F105" s="1">
        <v>6</v>
      </c>
      <c r="G105" s="3">
        <f t="shared" si="14"/>
        <v>74874</v>
      </c>
    </row>
    <row r="106" spans="1:9">
      <c r="A106" s="1">
        <v>105</v>
      </c>
      <c r="B106" s="3">
        <f t="shared" si="11"/>
        <v>300</v>
      </c>
      <c r="C106" s="3">
        <f t="shared" si="12"/>
        <v>500</v>
      </c>
      <c r="D106" s="3">
        <f t="shared" si="13"/>
        <v>150000</v>
      </c>
      <c r="E106" s="3">
        <f t="shared" si="15"/>
        <v>12779</v>
      </c>
      <c r="F106" s="1">
        <v>6</v>
      </c>
      <c r="G106" s="3">
        <f t="shared" si="14"/>
        <v>76674</v>
      </c>
    </row>
    <row r="107" spans="1:9">
      <c r="A107" s="1">
        <v>106</v>
      </c>
      <c r="B107" s="3">
        <f t="shared" si="11"/>
        <v>300</v>
      </c>
      <c r="C107" s="3">
        <f t="shared" si="12"/>
        <v>500</v>
      </c>
      <c r="D107" s="3">
        <f t="shared" si="13"/>
        <v>150000</v>
      </c>
      <c r="E107" s="3">
        <f t="shared" si="15"/>
        <v>13079</v>
      </c>
      <c r="F107" s="1">
        <v>6</v>
      </c>
      <c r="G107" s="3">
        <f t="shared" si="14"/>
        <v>78474</v>
      </c>
    </row>
    <row r="108" spans="1:9">
      <c r="A108" s="1">
        <v>107</v>
      </c>
      <c r="B108" s="3">
        <f t="shared" si="11"/>
        <v>300</v>
      </c>
      <c r="C108" s="3">
        <f t="shared" si="12"/>
        <v>500</v>
      </c>
      <c r="D108" s="3">
        <f t="shared" si="13"/>
        <v>150000</v>
      </c>
      <c r="E108" s="3">
        <f t="shared" si="15"/>
        <v>13379</v>
      </c>
      <c r="F108" s="1">
        <v>6</v>
      </c>
      <c r="G108" s="3">
        <f t="shared" si="14"/>
        <v>80274</v>
      </c>
    </row>
    <row r="109" spans="1:9">
      <c r="A109" s="1">
        <v>108</v>
      </c>
      <c r="B109" s="3">
        <f t="shared" si="11"/>
        <v>300</v>
      </c>
      <c r="C109" s="3">
        <f t="shared" si="12"/>
        <v>500</v>
      </c>
      <c r="D109" s="3">
        <f t="shared" si="13"/>
        <v>150000</v>
      </c>
      <c r="E109" s="3">
        <f t="shared" si="15"/>
        <v>13679</v>
      </c>
      <c r="F109" s="1">
        <v>6</v>
      </c>
      <c r="G109" s="3">
        <f t="shared" si="14"/>
        <v>82074</v>
      </c>
    </row>
    <row r="110" spans="1:9">
      <c r="A110" s="1">
        <v>109</v>
      </c>
      <c r="B110" s="3">
        <f t="shared" si="11"/>
        <v>300</v>
      </c>
      <c r="C110" s="3">
        <f t="shared" si="12"/>
        <v>500</v>
      </c>
      <c r="D110" s="3">
        <f t="shared" si="13"/>
        <v>150000</v>
      </c>
      <c r="E110" s="3">
        <f t="shared" si="15"/>
        <v>13979</v>
      </c>
      <c r="F110" s="1">
        <v>6</v>
      </c>
      <c r="G110" s="3">
        <f t="shared" si="14"/>
        <v>83874</v>
      </c>
    </row>
    <row r="111" spans="1:9">
      <c r="A111" s="1">
        <v>110</v>
      </c>
      <c r="B111" s="4">
        <v>350</v>
      </c>
      <c r="C111" s="3">
        <f t="shared" si="12"/>
        <v>500</v>
      </c>
      <c r="D111" s="3">
        <f t="shared" si="13"/>
        <v>175000</v>
      </c>
      <c r="E111" s="3">
        <f t="shared" si="15"/>
        <v>14329</v>
      </c>
      <c r="F111" s="1">
        <v>6</v>
      </c>
      <c r="G111" s="3">
        <f t="shared" si="14"/>
        <v>85974</v>
      </c>
      <c r="I111" s="1">
        <f>SUM(B102:B111)*H2</f>
        <v>3050</v>
      </c>
    </row>
    <row r="112" spans="1:9">
      <c r="A112" s="1">
        <v>111</v>
      </c>
      <c r="B112" s="3">
        <f t="shared" si="11"/>
        <v>350</v>
      </c>
      <c r="C112" s="3">
        <f t="shared" si="12"/>
        <v>500</v>
      </c>
      <c r="D112" s="3">
        <f t="shared" si="13"/>
        <v>175000</v>
      </c>
      <c r="E112" s="3">
        <f t="shared" si="15"/>
        <v>14679</v>
      </c>
      <c r="F112" s="1">
        <v>6</v>
      </c>
      <c r="G112" s="3">
        <f t="shared" si="14"/>
        <v>88074</v>
      </c>
    </row>
    <row r="113" spans="1:9">
      <c r="A113" s="1">
        <v>112</v>
      </c>
      <c r="B113" s="3">
        <f t="shared" si="11"/>
        <v>350</v>
      </c>
      <c r="C113" s="3">
        <f t="shared" si="12"/>
        <v>500</v>
      </c>
      <c r="D113" s="3">
        <f t="shared" si="13"/>
        <v>175000</v>
      </c>
      <c r="E113" s="3">
        <f t="shared" si="15"/>
        <v>15029</v>
      </c>
      <c r="F113" s="1">
        <v>6</v>
      </c>
      <c r="G113" s="3">
        <f t="shared" si="14"/>
        <v>90174</v>
      </c>
    </row>
    <row r="114" spans="1:9">
      <c r="A114" s="1">
        <v>113</v>
      </c>
      <c r="B114" s="3">
        <f t="shared" si="11"/>
        <v>350</v>
      </c>
      <c r="C114" s="3">
        <f t="shared" si="12"/>
        <v>500</v>
      </c>
      <c r="D114" s="3">
        <f t="shared" si="13"/>
        <v>175000</v>
      </c>
      <c r="E114" s="3">
        <f t="shared" si="15"/>
        <v>15379</v>
      </c>
      <c r="F114" s="1">
        <v>6</v>
      </c>
      <c r="G114" s="3">
        <f t="shared" si="14"/>
        <v>92274</v>
      </c>
    </row>
    <row r="115" spans="1:9">
      <c r="A115" s="1">
        <v>114</v>
      </c>
      <c r="B115" s="3">
        <f t="shared" si="11"/>
        <v>350</v>
      </c>
      <c r="C115" s="3">
        <f t="shared" si="12"/>
        <v>500</v>
      </c>
      <c r="D115" s="3">
        <f t="shared" si="13"/>
        <v>175000</v>
      </c>
      <c r="E115" s="3">
        <f t="shared" si="15"/>
        <v>15729</v>
      </c>
      <c r="F115" s="1">
        <v>6</v>
      </c>
      <c r="G115" s="3">
        <f t="shared" si="14"/>
        <v>94374</v>
      </c>
    </row>
    <row r="116" spans="1:9">
      <c r="A116" s="1">
        <v>115</v>
      </c>
      <c r="B116" s="3">
        <f t="shared" si="11"/>
        <v>350</v>
      </c>
      <c r="C116" s="3">
        <f t="shared" si="12"/>
        <v>500</v>
      </c>
      <c r="D116" s="3">
        <f t="shared" si="13"/>
        <v>175000</v>
      </c>
      <c r="E116" s="3">
        <f t="shared" si="15"/>
        <v>16079</v>
      </c>
      <c r="F116" s="1">
        <v>6</v>
      </c>
      <c r="G116" s="3">
        <f t="shared" si="14"/>
        <v>96474</v>
      </c>
    </row>
    <row r="117" spans="1:9">
      <c r="A117" s="1">
        <v>116</v>
      </c>
      <c r="B117" s="3">
        <f t="shared" si="11"/>
        <v>350</v>
      </c>
      <c r="C117" s="3">
        <f t="shared" si="12"/>
        <v>500</v>
      </c>
      <c r="D117" s="3">
        <f t="shared" si="13"/>
        <v>175000</v>
      </c>
      <c r="E117" s="3">
        <f t="shared" si="15"/>
        <v>16429</v>
      </c>
      <c r="F117" s="1">
        <v>6</v>
      </c>
      <c r="G117" s="3">
        <f t="shared" si="14"/>
        <v>98574</v>
      </c>
    </row>
    <row r="118" spans="1:9">
      <c r="A118" s="1">
        <v>117</v>
      </c>
      <c r="B118" s="3">
        <f t="shared" si="11"/>
        <v>350</v>
      </c>
      <c r="C118" s="3">
        <f t="shared" si="12"/>
        <v>500</v>
      </c>
      <c r="D118" s="3">
        <f t="shared" si="13"/>
        <v>175000</v>
      </c>
      <c r="E118" s="3">
        <f t="shared" si="15"/>
        <v>16779</v>
      </c>
      <c r="F118" s="1">
        <v>6</v>
      </c>
      <c r="G118" s="3">
        <f t="shared" si="14"/>
        <v>100674</v>
      </c>
    </row>
    <row r="119" spans="1:9">
      <c r="A119" s="1">
        <v>118</v>
      </c>
      <c r="B119" s="3">
        <f t="shared" si="11"/>
        <v>350</v>
      </c>
      <c r="C119" s="3">
        <f t="shared" si="12"/>
        <v>500</v>
      </c>
      <c r="D119" s="3">
        <f t="shared" si="13"/>
        <v>175000</v>
      </c>
      <c r="E119" s="3">
        <f t="shared" si="15"/>
        <v>17129</v>
      </c>
      <c r="F119" s="1">
        <v>6</v>
      </c>
      <c r="G119" s="3">
        <f t="shared" si="14"/>
        <v>102774</v>
      </c>
    </row>
    <row r="120" spans="1:9">
      <c r="A120" s="1">
        <v>119</v>
      </c>
      <c r="B120" s="3">
        <f t="shared" si="11"/>
        <v>350</v>
      </c>
      <c r="C120" s="3">
        <f t="shared" si="12"/>
        <v>500</v>
      </c>
      <c r="D120" s="3">
        <f t="shared" si="13"/>
        <v>175000</v>
      </c>
      <c r="E120" s="3">
        <f t="shared" si="15"/>
        <v>17479</v>
      </c>
      <c r="F120" s="1">
        <v>6</v>
      </c>
      <c r="G120" s="3">
        <f t="shared" si="14"/>
        <v>104874</v>
      </c>
    </row>
    <row r="121" spans="1:9">
      <c r="A121" s="1">
        <v>120</v>
      </c>
      <c r="B121" s="3">
        <f t="shared" si="11"/>
        <v>350</v>
      </c>
      <c r="C121" s="3">
        <f t="shared" si="12"/>
        <v>500</v>
      </c>
      <c r="D121" s="3">
        <f t="shared" si="13"/>
        <v>175000</v>
      </c>
      <c r="E121" s="3">
        <f t="shared" si="15"/>
        <v>17829</v>
      </c>
      <c r="F121" s="1">
        <v>6</v>
      </c>
      <c r="G121" s="3">
        <f t="shared" si="14"/>
        <v>106974</v>
      </c>
      <c r="I121" s="1">
        <f>SUM(B112:B121)*H2</f>
        <v>3500</v>
      </c>
    </row>
    <row r="122" spans="1:9">
      <c r="D122" s="2">
        <f>SUM(D2:D121)</f>
        <v>8914500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2"/>
  <sheetViews>
    <sheetView workbookViewId="0">
      <pane xSplit="1" ySplit="2" topLeftCell="B9" activePane="bottomRight" state="frozen"/>
      <selection pane="topRight" activeCell="B1" sqref="B1"/>
      <selection pane="bottomLeft" activeCell="A3" sqref="A3"/>
      <selection pane="bottomRight" activeCell="B43" sqref="B43"/>
    </sheetView>
  </sheetViews>
  <sheetFormatPr defaultRowHeight="14.25"/>
  <cols>
    <col min="1" max="1" width="5.25" style="17" bestFit="1" customWidth="1"/>
    <col min="2" max="2" width="9" style="2" bestFit="1"/>
    <col min="3" max="3" width="13" style="2" bestFit="1" customWidth="1"/>
    <col min="4" max="4" width="13" style="2" customWidth="1"/>
    <col min="5" max="5" width="13" style="2" bestFit="1" customWidth="1"/>
    <col min="6" max="6" width="13" style="3" bestFit="1" customWidth="1"/>
    <col min="7" max="7" width="15.125" style="1" bestFit="1" customWidth="1"/>
    <col min="8" max="8" width="11" style="1" bestFit="1" customWidth="1"/>
    <col min="9" max="9" width="12.75" style="1" bestFit="1" customWidth="1"/>
    <col min="10" max="10" width="9" style="2"/>
    <col min="11" max="11" width="15.125" style="1" bestFit="1" customWidth="1"/>
    <col min="12" max="18" width="9" style="1"/>
    <col min="19" max="19" width="6.5" style="1" bestFit="1" customWidth="1"/>
    <col min="20" max="20" width="4.5" style="1" bestFit="1" customWidth="1"/>
    <col min="21" max="16384" width="9" style="1"/>
  </cols>
  <sheetData>
    <row r="1" spans="1:12">
      <c r="A1" s="16" t="s">
        <v>0</v>
      </c>
      <c r="B1" s="16" t="s">
        <v>1</v>
      </c>
      <c r="C1" s="16" t="s">
        <v>10</v>
      </c>
      <c r="D1" s="16" t="s">
        <v>28</v>
      </c>
      <c r="E1" s="16" t="s">
        <v>7</v>
      </c>
      <c r="F1" s="16" t="s">
        <v>9</v>
      </c>
      <c r="G1" s="16" t="s">
        <v>4</v>
      </c>
      <c r="H1" s="16" t="s">
        <v>5</v>
      </c>
      <c r="I1" s="16" t="s">
        <v>6</v>
      </c>
      <c r="J1" s="16" t="s">
        <v>2</v>
      </c>
      <c r="K1" s="16" t="s">
        <v>3</v>
      </c>
      <c r="L1" s="16" t="s">
        <v>8</v>
      </c>
    </row>
    <row r="2" spans="1:12">
      <c r="A2" s="12">
        <v>1</v>
      </c>
      <c r="B2" s="11">
        <f t="shared" ref="B2:B65" si="0">C2*J2</f>
        <v>500</v>
      </c>
      <c r="C2" s="10">
        <v>1</v>
      </c>
      <c r="D2" s="10">
        <v>1</v>
      </c>
      <c r="E2" s="11">
        <v>1</v>
      </c>
      <c r="F2" s="11">
        <f t="shared" ref="F2:F65" si="1">E2*L2</f>
        <v>6</v>
      </c>
      <c r="G2" s="8"/>
      <c r="H2" s="8">
        <f>SUM(G2:G121)</f>
        <v>19470</v>
      </c>
      <c r="I2" s="8">
        <f>H2/60</f>
        <v>324.5</v>
      </c>
      <c r="J2" s="10">
        <v>500</v>
      </c>
      <c r="K2" s="9">
        <v>1</v>
      </c>
      <c r="L2" s="9">
        <v>6</v>
      </c>
    </row>
    <row r="3" spans="1:12">
      <c r="A3" s="12">
        <v>2</v>
      </c>
      <c r="B3" s="11">
        <f t="shared" si="0"/>
        <v>1000</v>
      </c>
      <c r="C3" s="11">
        <f>C2+D2</f>
        <v>2</v>
      </c>
      <c r="D3" s="11">
        <f>D2</f>
        <v>1</v>
      </c>
      <c r="E3" s="11">
        <f>C3+E2</f>
        <v>3</v>
      </c>
      <c r="F3" s="11">
        <f t="shared" si="1"/>
        <v>18</v>
      </c>
      <c r="G3" s="8"/>
      <c r="H3" s="8"/>
      <c r="I3" s="8"/>
      <c r="J3" s="11">
        <f>J2</f>
        <v>500</v>
      </c>
      <c r="K3" s="8"/>
      <c r="L3" s="8">
        <v>6</v>
      </c>
    </row>
    <row r="4" spans="1:12">
      <c r="A4" s="12">
        <v>3</v>
      </c>
      <c r="B4" s="11">
        <f t="shared" si="0"/>
        <v>1500</v>
      </c>
      <c r="C4" s="11">
        <f t="shared" ref="C4:C67" si="2">C3+D3</f>
        <v>3</v>
      </c>
      <c r="D4" s="11">
        <f t="shared" ref="D4:D67" si="3">D3</f>
        <v>1</v>
      </c>
      <c r="E4" s="11">
        <f t="shared" ref="E4:E67" si="4">C4+E3</f>
        <v>6</v>
      </c>
      <c r="F4" s="11">
        <f t="shared" si="1"/>
        <v>36</v>
      </c>
      <c r="G4" s="8"/>
      <c r="H4" s="8"/>
      <c r="I4" s="8"/>
      <c r="J4" s="11">
        <f t="shared" ref="J4:J67" si="5">J3</f>
        <v>500</v>
      </c>
      <c r="K4" s="8"/>
      <c r="L4" s="8">
        <v>6</v>
      </c>
    </row>
    <row r="5" spans="1:12">
      <c r="A5" s="12">
        <v>4</v>
      </c>
      <c r="B5" s="11">
        <f t="shared" si="0"/>
        <v>2000</v>
      </c>
      <c r="C5" s="11">
        <f t="shared" si="2"/>
        <v>4</v>
      </c>
      <c r="D5" s="11">
        <f t="shared" si="3"/>
        <v>1</v>
      </c>
      <c r="E5" s="11">
        <f t="shared" si="4"/>
        <v>10</v>
      </c>
      <c r="F5" s="11">
        <f t="shared" si="1"/>
        <v>60</v>
      </c>
      <c r="G5" s="8"/>
      <c r="H5" s="8"/>
      <c r="I5" s="8"/>
      <c r="J5" s="11">
        <f t="shared" si="5"/>
        <v>500</v>
      </c>
      <c r="K5" s="8"/>
      <c r="L5" s="8">
        <v>6</v>
      </c>
    </row>
    <row r="6" spans="1:12">
      <c r="A6" s="12">
        <v>5</v>
      </c>
      <c r="B6" s="11">
        <f t="shared" si="0"/>
        <v>2500</v>
      </c>
      <c r="C6" s="11">
        <f t="shared" si="2"/>
        <v>5</v>
      </c>
      <c r="D6" s="11">
        <f t="shared" si="3"/>
        <v>1</v>
      </c>
      <c r="E6" s="11">
        <f t="shared" si="4"/>
        <v>15</v>
      </c>
      <c r="F6" s="11">
        <f t="shared" si="1"/>
        <v>90</v>
      </c>
      <c r="G6" s="8"/>
      <c r="H6" s="8"/>
      <c r="I6" s="8"/>
      <c r="J6" s="11">
        <f t="shared" si="5"/>
        <v>500</v>
      </c>
      <c r="K6" s="8"/>
      <c r="L6" s="8">
        <v>6</v>
      </c>
    </row>
    <row r="7" spans="1:12">
      <c r="A7" s="12">
        <v>6</v>
      </c>
      <c r="B7" s="11">
        <f t="shared" si="0"/>
        <v>3000</v>
      </c>
      <c r="C7" s="11">
        <f t="shared" si="2"/>
        <v>6</v>
      </c>
      <c r="D7" s="11">
        <f t="shared" si="3"/>
        <v>1</v>
      </c>
      <c r="E7" s="11">
        <f t="shared" si="4"/>
        <v>21</v>
      </c>
      <c r="F7" s="11">
        <f t="shared" si="1"/>
        <v>126</v>
      </c>
      <c r="G7" s="8"/>
      <c r="H7" s="8"/>
      <c r="I7" s="8"/>
      <c r="J7" s="11">
        <f t="shared" si="5"/>
        <v>500</v>
      </c>
      <c r="K7" s="8"/>
      <c r="L7" s="8">
        <v>6</v>
      </c>
    </row>
    <row r="8" spans="1:12">
      <c r="A8" s="12">
        <v>7</v>
      </c>
      <c r="B8" s="11">
        <f t="shared" si="0"/>
        <v>3500</v>
      </c>
      <c r="C8" s="11">
        <f t="shared" si="2"/>
        <v>7</v>
      </c>
      <c r="D8" s="11">
        <f t="shared" si="3"/>
        <v>1</v>
      </c>
      <c r="E8" s="11">
        <f t="shared" si="4"/>
        <v>28</v>
      </c>
      <c r="F8" s="11">
        <f t="shared" si="1"/>
        <v>168</v>
      </c>
      <c r="G8" s="8"/>
      <c r="H8" s="8"/>
      <c r="I8" s="8"/>
      <c r="J8" s="11">
        <f t="shared" si="5"/>
        <v>500</v>
      </c>
      <c r="K8" s="8"/>
      <c r="L8" s="8">
        <v>6</v>
      </c>
    </row>
    <row r="9" spans="1:12">
      <c r="A9" s="12">
        <v>8</v>
      </c>
      <c r="B9" s="11">
        <f t="shared" si="0"/>
        <v>4000</v>
      </c>
      <c r="C9" s="11">
        <f t="shared" si="2"/>
        <v>8</v>
      </c>
      <c r="D9" s="11">
        <f t="shared" si="3"/>
        <v>1</v>
      </c>
      <c r="E9" s="11">
        <f t="shared" si="4"/>
        <v>36</v>
      </c>
      <c r="F9" s="11">
        <f t="shared" si="1"/>
        <v>216</v>
      </c>
      <c r="G9" s="8"/>
      <c r="H9" s="8"/>
      <c r="I9" s="8"/>
      <c r="J9" s="11">
        <f t="shared" si="5"/>
        <v>500</v>
      </c>
      <c r="K9" s="8"/>
      <c r="L9" s="8">
        <v>6</v>
      </c>
    </row>
    <row r="10" spans="1:12">
      <c r="A10" s="12">
        <v>9</v>
      </c>
      <c r="B10" s="11">
        <f t="shared" si="0"/>
        <v>4500</v>
      </c>
      <c r="C10" s="11">
        <f t="shared" si="2"/>
        <v>9</v>
      </c>
      <c r="D10" s="11">
        <f t="shared" si="3"/>
        <v>1</v>
      </c>
      <c r="E10" s="11">
        <f t="shared" si="4"/>
        <v>45</v>
      </c>
      <c r="F10" s="11">
        <f t="shared" si="1"/>
        <v>270</v>
      </c>
      <c r="G10" s="8"/>
      <c r="H10" s="8"/>
      <c r="I10" s="8"/>
      <c r="J10" s="11">
        <f t="shared" si="5"/>
        <v>500</v>
      </c>
      <c r="K10" s="8"/>
      <c r="L10" s="8">
        <v>6</v>
      </c>
    </row>
    <row r="11" spans="1:12">
      <c r="A11" s="12">
        <v>10</v>
      </c>
      <c r="B11" s="11">
        <f t="shared" si="0"/>
        <v>5000</v>
      </c>
      <c r="C11" s="11">
        <f t="shared" si="2"/>
        <v>10</v>
      </c>
      <c r="D11" s="10">
        <v>3</v>
      </c>
      <c r="E11" s="11">
        <f t="shared" si="4"/>
        <v>55</v>
      </c>
      <c r="F11" s="11">
        <f t="shared" si="1"/>
        <v>330</v>
      </c>
      <c r="G11" s="8">
        <f>SUM(C2:C11)*K2</f>
        <v>55</v>
      </c>
      <c r="H11" s="8"/>
      <c r="I11" s="8"/>
      <c r="J11" s="11">
        <f t="shared" si="5"/>
        <v>500</v>
      </c>
      <c r="K11" s="8"/>
      <c r="L11" s="8">
        <v>6</v>
      </c>
    </row>
    <row r="12" spans="1:12">
      <c r="A12" s="12">
        <v>11</v>
      </c>
      <c r="B12" s="11">
        <f t="shared" si="0"/>
        <v>6500</v>
      </c>
      <c r="C12" s="11">
        <f t="shared" si="2"/>
        <v>13</v>
      </c>
      <c r="D12" s="11">
        <f t="shared" si="3"/>
        <v>3</v>
      </c>
      <c r="E12" s="11">
        <f t="shared" si="4"/>
        <v>68</v>
      </c>
      <c r="F12" s="11">
        <f t="shared" si="1"/>
        <v>408</v>
      </c>
      <c r="G12" s="8"/>
      <c r="H12" s="8"/>
      <c r="I12" s="8"/>
      <c r="J12" s="11">
        <f t="shared" si="5"/>
        <v>500</v>
      </c>
      <c r="K12" s="8"/>
      <c r="L12" s="8">
        <v>6</v>
      </c>
    </row>
    <row r="13" spans="1:12">
      <c r="A13" s="12">
        <v>12</v>
      </c>
      <c r="B13" s="11">
        <f t="shared" si="0"/>
        <v>8000</v>
      </c>
      <c r="C13" s="11">
        <f t="shared" si="2"/>
        <v>16</v>
      </c>
      <c r="D13" s="11">
        <f t="shared" si="3"/>
        <v>3</v>
      </c>
      <c r="E13" s="11">
        <f t="shared" si="4"/>
        <v>84</v>
      </c>
      <c r="F13" s="11">
        <f t="shared" si="1"/>
        <v>504</v>
      </c>
      <c r="G13" s="8"/>
      <c r="H13" s="8"/>
      <c r="I13" s="8"/>
      <c r="J13" s="11">
        <f t="shared" si="5"/>
        <v>500</v>
      </c>
      <c r="K13" s="8"/>
      <c r="L13" s="8">
        <v>6</v>
      </c>
    </row>
    <row r="14" spans="1:12">
      <c r="A14" s="12">
        <v>13</v>
      </c>
      <c r="B14" s="11">
        <f t="shared" si="0"/>
        <v>9500</v>
      </c>
      <c r="C14" s="11">
        <f t="shared" si="2"/>
        <v>19</v>
      </c>
      <c r="D14" s="11">
        <f t="shared" si="3"/>
        <v>3</v>
      </c>
      <c r="E14" s="11">
        <f t="shared" si="4"/>
        <v>103</v>
      </c>
      <c r="F14" s="11">
        <f t="shared" si="1"/>
        <v>618</v>
      </c>
      <c r="G14" s="8"/>
      <c r="H14" s="8"/>
      <c r="I14" s="8"/>
      <c r="J14" s="11">
        <f t="shared" si="5"/>
        <v>500</v>
      </c>
      <c r="K14" s="8"/>
      <c r="L14" s="8">
        <v>6</v>
      </c>
    </row>
    <row r="15" spans="1:12">
      <c r="A15" s="12">
        <v>14</v>
      </c>
      <c r="B15" s="11">
        <f t="shared" si="0"/>
        <v>11000</v>
      </c>
      <c r="C15" s="11">
        <f t="shared" si="2"/>
        <v>22</v>
      </c>
      <c r="D15" s="11">
        <f t="shared" si="3"/>
        <v>3</v>
      </c>
      <c r="E15" s="11">
        <f t="shared" si="4"/>
        <v>125</v>
      </c>
      <c r="F15" s="11">
        <f t="shared" si="1"/>
        <v>750</v>
      </c>
      <c r="G15" s="8"/>
      <c r="H15" s="8"/>
      <c r="I15" s="8"/>
      <c r="J15" s="11">
        <f t="shared" si="5"/>
        <v>500</v>
      </c>
      <c r="K15" s="8"/>
      <c r="L15" s="8">
        <v>6</v>
      </c>
    </row>
    <row r="16" spans="1:12">
      <c r="A16" s="12">
        <v>15</v>
      </c>
      <c r="B16" s="11">
        <f t="shared" si="0"/>
        <v>12500</v>
      </c>
      <c r="C16" s="11">
        <f t="shared" si="2"/>
        <v>25</v>
      </c>
      <c r="D16" s="11">
        <f t="shared" si="3"/>
        <v>3</v>
      </c>
      <c r="E16" s="11">
        <f t="shared" si="4"/>
        <v>150</v>
      </c>
      <c r="F16" s="11">
        <f t="shared" si="1"/>
        <v>900</v>
      </c>
      <c r="G16" s="8"/>
      <c r="H16" s="8"/>
      <c r="I16" s="8"/>
      <c r="J16" s="11">
        <f t="shared" si="5"/>
        <v>500</v>
      </c>
      <c r="K16" s="8"/>
      <c r="L16" s="8">
        <v>6</v>
      </c>
    </row>
    <row r="17" spans="1:12">
      <c r="A17" s="12">
        <v>16</v>
      </c>
      <c r="B17" s="11">
        <f t="shared" si="0"/>
        <v>14000</v>
      </c>
      <c r="C17" s="11">
        <f t="shared" si="2"/>
        <v>28</v>
      </c>
      <c r="D17" s="11">
        <f t="shared" si="3"/>
        <v>3</v>
      </c>
      <c r="E17" s="11">
        <f t="shared" si="4"/>
        <v>178</v>
      </c>
      <c r="F17" s="11">
        <f t="shared" si="1"/>
        <v>1068</v>
      </c>
      <c r="G17" s="8"/>
      <c r="H17" s="8"/>
      <c r="I17" s="8"/>
      <c r="J17" s="11">
        <f t="shared" si="5"/>
        <v>500</v>
      </c>
      <c r="K17" s="8"/>
      <c r="L17" s="8">
        <v>6</v>
      </c>
    </row>
    <row r="18" spans="1:12">
      <c r="A18" s="12">
        <v>17</v>
      </c>
      <c r="B18" s="11">
        <f t="shared" si="0"/>
        <v>15500</v>
      </c>
      <c r="C18" s="11">
        <f t="shared" si="2"/>
        <v>31</v>
      </c>
      <c r="D18" s="11">
        <f t="shared" si="3"/>
        <v>3</v>
      </c>
      <c r="E18" s="11">
        <f t="shared" si="4"/>
        <v>209</v>
      </c>
      <c r="F18" s="11">
        <f t="shared" si="1"/>
        <v>1254</v>
      </c>
      <c r="G18" s="8"/>
      <c r="H18" s="8"/>
      <c r="I18" s="8"/>
      <c r="J18" s="11">
        <f t="shared" si="5"/>
        <v>500</v>
      </c>
      <c r="K18" s="8"/>
      <c r="L18" s="8">
        <v>6</v>
      </c>
    </row>
    <row r="19" spans="1:12">
      <c r="A19" s="12">
        <v>18</v>
      </c>
      <c r="B19" s="11">
        <f t="shared" si="0"/>
        <v>17000</v>
      </c>
      <c r="C19" s="11">
        <f t="shared" si="2"/>
        <v>34</v>
      </c>
      <c r="D19" s="11">
        <f t="shared" si="3"/>
        <v>3</v>
      </c>
      <c r="E19" s="11">
        <f t="shared" si="4"/>
        <v>243</v>
      </c>
      <c r="F19" s="11">
        <f t="shared" si="1"/>
        <v>1458</v>
      </c>
      <c r="G19" s="8"/>
      <c r="H19" s="8"/>
      <c r="I19" s="8"/>
      <c r="J19" s="11">
        <f t="shared" si="5"/>
        <v>500</v>
      </c>
      <c r="K19" s="8"/>
      <c r="L19" s="8">
        <v>6</v>
      </c>
    </row>
    <row r="20" spans="1:12">
      <c r="A20" s="12">
        <v>19</v>
      </c>
      <c r="B20" s="11">
        <f t="shared" si="0"/>
        <v>18500</v>
      </c>
      <c r="C20" s="11">
        <f t="shared" si="2"/>
        <v>37</v>
      </c>
      <c r="D20" s="11">
        <f t="shared" si="3"/>
        <v>3</v>
      </c>
      <c r="E20" s="11">
        <f t="shared" si="4"/>
        <v>280</v>
      </c>
      <c r="F20" s="11">
        <f t="shared" si="1"/>
        <v>1680</v>
      </c>
      <c r="G20" s="8"/>
      <c r="H20" s="8"/>
      <c r="I20" s="8"/>
      <c r="J20" s="11">
        <f t="shared" si="5"/>
        <v>500</v>
      </c>
      <c r="K20" s="8"/>
      <c r="L20" s="8">
        <v>6</v>
      </c>
    </row>
    <row r="21" spans="1:12">
      <c r="A21" s="12">
        <v>20</v>
      </c>
      <c r="B21" s="11">
        <f t="shared" si="0"/>
        <v>20000</v>
      </c>
      <c r="C21" s="11">
        <f t="shared" si="2"/>
        <v>40</v>
      </c>
      <c r="D21" s="11">
        <f t="shared" si="3"/>
        <v>3</v>
      </c>
      <c r="E21" s="11">
        <f t="shared" si="4"/>
        <v>320</v>
      </c>
      <c r="F21" s="11">
        <f t="shared" si="1"/>
        <v>1920</v>
      </c>
      <c r="G21" s="8">
        <f>SUM(C12:C21)*K2</f>
        <v>265</v>
      </c>
      <c r="H21" s="8"/>
      <c r="I21" s="8"/>
      <c r="J21" s="11">
        <f t="shared" si="5"/>
        <v>500</v>
      </c>
      <c r="K21" s="8"/>
      <c r="L21" s="8">
        <v>6</v>
      </c>
    </row>
    <row r="22" spans="1:12">
      <c r="A22" s="12">
        <v>21</v>
      </c>
      <c r="B22" s="11">
        <f t="shared" si="0"/>
        <v>21500</v>
      </c>
      <c r="C22" s="11">
        <f t="shared" si="2"/>
        <v>43</v>
      </c>
      <c r="D22" s="11">
        <f t="shared" si="3"/>
        <v>3</v>
      </c>
      <c r="E22" s="11">
        <f t="shared" si="4"/>
        <v>363</v>
      </c>
      <c r="F22" s="11">
        <f t="shared" si="1"/>
        <v>2178</v>
      </c>
      <c r="G22" s="8"/>
      <c r="H22" s="8"/>
      <c r="I22" s="8"/>
      <c r="J22" s="11">
        <f t="shared" si="5"/>
        <v>500</v>
      </c>
      <c r="K22" s="8"/>
      <c r="L22" s="8">
        <v>6</v>
      </c>
    </row>
    <row r="23" spans="1:12">
      <c r="A23" s="12">
        <v>22</v>
      </c>
      <c r="B23" s="11">
        <f t="shared" si="0"/>
        <v>23000</v>
      </c>
      <c r="C23" s="11">
        <f t="shared" si="2"/>
        <v>46</v>
      </c>
      <c r="D23" s="11">
        <f t="shared" si="3"/>
        <v>3</v>
      </c>
      <c r="E23" s="11">
        <f t="shared" si="4"/>
        <v>409</v>
      </c>
      <c r="F23" s="11">
        <f t="shared" si="1"/>
        <v>2454</v>
      </c>
      <c r="G23" s="8"/>
      <c r="H23" s="8"/>
      <c r="I23" s="8"/>
      <c r="J23" s="11">
        <f t="shared" si="5"/>
        <v>500</v>
      </c>
      <c r="K23" s="8"/>
      <c r="L23" s="8">
        <v>6</v>
      </c>
    </row>
    <row r="24" spans="1:12">
      <c r="A24" s="12">
        <v>23</v>
      </c>
      <c r="B24" s="11">
        <f t="shared" si="0"/>
        <v>24500</v>
      </c>
      <c r="C24" s="11">
        <f t="shared" si="2"/>
        <v>49</v>
      </c>
      <c r="D24" s="11">
        <f t="shared" si="3"/>
        <v>3</v>
      </c>
      <c r="E24" s="11">
        <f t="shared" si="4"/>
        <v>458</v>
      </c>
      <c r="F24" s="11">
        <f t="shared" si="1"/>
        <v>2748</v>
      </c>
      <c r="G24" s="8"/>
      <c r="H24" s="8"/>
      <c r="I24" s="8"/>
      <c r="J24" s="11">
        <f t="shared" si="5"/>
        <v>500</v>
      </c>
      <c r="K24" s="8"/>
      <c r="L24" s="8">
        <v>6</v>
      </c>
    </row>
    <row r="25" spans="1:12">
      <c r="A25" s="12">
        <v>24</v>
      </c>
      <c r="B25" s="11">
        <f t="shared" si="0"/>
        <v>26000</v>
      </c>
      <c r="C25" s="11">
        <f t="shared" si="2"/>
        <v>52</v>
      </c>
      <c r="D25" s="11">
        <f t="shared" si="3"/>
        <v>3</v>
      </c>
      <c r="E25" s="11">
        <f t="shared" si="4"/>
        <v>510</v>
      </c>
      <c r="F25" s="11">
        <f t="shared" si="1"/>
        <v>3060</v>
      </c>
      <c r="G25" s="8"/>
      <c r="H25" s="8"/>
      <c r="I25" s="8"/>
      <c r="J25" s="11">
        <f t="shared" si="5"/>
        <v>500</v>
      </c>
      <c r="K25" s="8"/>
      <c r="L25" s="8">
        <v>6</v>
      </c>
    </row>
    <row r="26" spans="1:12">
      <c r="A26" s="12">
        <v>25</v>
      </c>
      <c r="B26" s="11">
        <f t="shared" si="0"/>
        <v>27500</v>
      </c>
      <c r="C26" s="11">
        <f t="shared" si="2"/>
        <v>55</v>
      </c>
      <c r="D26" s="11">
        <f t="shared" si="3"/>
        <v>3</v>
      </c>
      <c r="E26" s="11">
        <f t="shared" si="4"/>
        <v>565</v>
      </c>
      <c r="F26" s="11">
        <f t="shared" si="1"/>
        <v>3390</v>
      </c>
      <c r="G26" s="8"/>
      <c r="H26" s="8"/>
      <c r="I26" s="8"/>
      <c r="J26" s="11">
        <f t="shared" si="5"/>
        <v>500</v>
      </c>
      <c r="K26" s="8"/>
      <c r="L26" s="8">
        <v>6</v>
      </c>
    </row>
    <row r="27" spans="1:12">
      <c r="A27" s="12">
        <v>26</v>
      </c>
      <c r="B27" s="11">
        <f t="shared" si="0"/>
        <v>29000</v>
      </c>
      <c r="C27" s="11">
        <f t="shared" si="2"/>
        <v>58</v>
      </c>
      <c r="D27" s="11">
        <f t="shared" si="3"/>
        <v>3</v>
      </c>
      <c r="E27" s="11">
        <f t="shared" si="4"/>
        <v>623</v>
      </c>
      <c r="F27" s="11">
        <f t="shared" si="1"/>
        <v>3738</v>
      </c>
      <c r="G27" s="8"/>
      <c r="H27" s="8"/>
      <c r="I27" s="8"/>
      <c r="J27" s="11">
        <f t="shared" si="5"/>
        <v>500</v>
      </c>
      <c r="K27" s="8"/>
      <c r="L27" s="8">
        <v>6</v>
      </c>
    </row>
    <row r="28" spans="1:12">
      <c r="A28" s="12">
        <v>27</v>
      </c>
      <c r="B28" s="11">
        <f t="shared" si="0"/>
        <v>30500</v>
      </c>
      <c r="C28" s="11">
        <f t="shared" si="2"/>
        <v>61</v>
      </c>
      <c r="D28" s="11">
        <f t="shared" si="3"/>
        <v>3</v>
      </c>
      <c r="E28" s="11">
        <f t="shared" si="4"/>
        <v>684</v>
      </c>
      <c r="F28" s="11">
        <f t="shared" si="1"/>
        <v>4104</v>
      </c>
      <c r="G28" s="8"/>
      <c r="H28" s="8"/>
      <c r="I28" s="8"/>
      <c r="J28" s="11">
        <f t="shared" si="5"/>
        <v>500</v>
      </c>
      <c r="K28" s="8"/>
      <c r="L28" s="8">
        <v>6</v>
      </c>
    </row>
    <row r="29" spans="1:12">
      <c r="A29" s="12">
        <v>28</v>
      </c>
      <c r="B29" s="11">
        <f t="shared" si="0"/>
        <v>32000</v>
      </c>
      <c r="C29" s="11">
        <f t="shared" si="2"/>
        <v>64</v>
      </c>
      <c r="D29" s="11">
        <f t="shared" si="3"/>
        <v>3</v>
      </c>
      <c r="E29" s="11">
        <f t="shared" si="4"/>
        <v>748</v>
      </c>
      <c r="F29" s="11">
        <f t="shared" si="1"/>
        <v>4488</v>
      </c>
      <c r="G29" s="8"/>
      <c r="H29" s="8"/>
      <c r="I29" s="8"/>
      <c r="J29" s="11">
        <f t="shared" si="5"/>
        <v>500</v>
      </c>
      <c r="K29" s="8"/>
      <c r="L29" s="8">
        <v>6</v>
      </c>
    </row>
    <row r="30" spans="1:12">
      <c r="A30" s="12">
        <v>29</v>
      </c>
      <c r="B30" s="11">
        <f t="shared" si="0"/>
        <v>33500</v>
      </c>
      <c r="C30" s="11">
        <f t="shared" si="2"/>
        <v>67</v>
      </c>
      <c r="D30" s="11">
        <f t="shared" si="3"/>
        <v>3</v>
      </c>
      <c r="E30" s="11">
        <f t="shared" si="4"/>
        <v>815</v>
      </c>
      <c r="F30" s="11">
        <f t="shared" si="1"/>
        <v>4890</v>
      </c>
      <c r="G30" s="8"/>
      <c r="H30" s="8"/>
      <c r="I30" s="8"/>
      <c r="J30" s="11">
        <f t="shared" si="5"/>
        <v>500</v>
      </c>
      <c r="K30" s="8"/>
      <c r="L30" s="8">
        <v>6</v>
      </c>
    </row>
    <row r="31" spans="1:12">
      <c r="A31" s="12">
        <v>30</v>
      </c>
      <c r="B31" s="11">
        <f t="shared" si="0"/>
        <v>35000</v>
      </c>
      <c r="C31" s="11">
        <f t="shared" si="2"/>
        <v>70</v>
      </c>
      <c r="D31" s="11">
        <f t="shared" si="3"/>
        <v>3</v>
      </c>
      <c r="E31" s="11">
        <f t="shared" si="4"/>
        <v>885</v>
      </c>
      <c r="F31" s="11">
        <f t="shared" si="1"/>
        <v>5310</v>
      </c>
      <c r="G31" s="8">
        <f>SUM(C22:C31)*K2</f>
        <v>565</v>
      </c>
      <c r="H31" s="8"/>
      <c r="I31" s="8"/>
      <c r="J31" s="11">
        <f t="shared" si="5"/>
        <v>500</v>
      </c>
      <c r="K31" s="8"/>
      <c r="L31" s="8">
        <v>6</v>
      </c>
    </row>
    <row r="32" spans="1:12">
      <c r="A32" s="12">
        <v>31</v>
      </c>
      <c r="B32" s="11">
        <f t="shared" si="0"/>
        <v>36500</v>
      </c>
      <c r="C32" s="11">
        <f t="shared" si="2"/>
        <v>73</v>
      </c>
      <c r="D32" s="11">
        <f t="shared" si="3"/>
        <v>3</v>
      </c>
      <c r="E32" s="11">
        <f t="shared" si="4"/>
        <v>958</v>
      </c>
      <c r="F32" s="11">
        <f t="shared" si="1"/>
        <v>5748</v>
      </c>
      <c r="G32" s="8"/>
      <c r="H32" s="8"/>
      <c r="I32" s="8"/>
      <c r="J32" s="11">
        <f t="shared" si="5"/>
        <v>500</v>
      </c>
      <c r="K32" s="8"/>
      <c r="L32" s="8">
        <v>6</v>
      </c>
    </row>
    <row r="33" spans="1:12">
      <c r="A33" s="12">
        <v>32</v>
      </c>
      <c r="B33" s="11">
        <f t="shared" si="0"/>
        <v>38000</v>
      </c>
      <c r="C33" s="11">
        <f t="shared" si="2"/>
        <v>76</v>
      </c>
      <c r="D33" s="11">
        <f t="shared" si="3"/>
        <v>3</v>
      </c>
      <c r="E33" s="11">
        <f t="shared" si="4"/>
        <v>1034</v>
      </c>
      <c r="F33" s="11">
        <f t="shared" si="1"/>
        <v>6204</v>
      </c>
      <c r="G33" s="8"/>
      <c r="H33" s="8"/>
      <c r="I33" s="8"/>
      <c r="J33" s="11">
        <f t="shared" si="5"/>
        <v>500</v>
      </c>
      <c r="K33" s="8"/>
      <c r="L33" s="8">
        <v>6</v>
      </c>
    </row>
    <row r="34" spans="1:12">
      <c r="A34" s="12">
        <v>33</v>
      </c>
      <c r="B34" s="11">
        <f t="shared" si="0"/>
        <v>39500</v>
      </c>
      <c r="C34" s="11">
        <f t="shared" si="2"/>
        <v>79</v>
      </c>
      <c r="D34" s="11">
        <f t="shared" si="3"/>
        <v>3</v>
      </c>
      <c r="E34" s="11">
        <f t="shared" si="4"/>
        <v>1113</v>
      </c>
      <c r="F34" s="11">
        <f t="shared" si="1"/>
        <v>6678</v>
      </c>
      <c r="G34" s="8"/>
      <c r="H34" s="8"/>
      <c r="I34" s="8"/>
      <c r="J34" s="11">
        <f t="shared" si="5"/>
        <v>500</v>
      </c>
      <c r="K34" s="8"/>
      <c r="L34" s="8">
        <v>6</v>
      </c>
    </row>
    <row r="35" spans="1:12">
      <c r="A35" s="12">
        <v>34</v>
      </c>
      <c r="B35" s="11">
        <f t="shared" si="0"/>
        <v>41000</v>
      </c>
      <c r="C35" s="11">
        <f t="shared" si="2"/>
        <v>82</v>
      </c>
      <c r="D35" s="11">
        <f t="shared" si="3"/>
        <v>3</v>
      </c>
      <c r="E35" s="11">
        <f t="shared" si="4"/>
        <v>1195</v>
      </c>
      <c r="F35" s="11">
        <f t="shared" si="1"/>
        <v>7170</v>
      </c>
      <c r="G35" s="8"/>
      <c r="H35" s="8"/>
      <c r="I35" s="8"/>
      <c r="J35" s="11">
        <f t="shared" si="5"/>
        <v>500</v>
      </c>
      <c r="K35" s="8"/>
      <c r="L35" s="8">
        <v>6</v>
      </c>
    </row>
    <row r="36" spans="1:12">
      <c r="A36" s="12">
        <v>35</v>
      </c>
      <c r="B36" s="11">
        <f t="shared" si="0"/>
        <v>42500</v>
      </c>
      <c r="C36" s="11">
        <f t="shared" si="2"/>
        <v>85</v>
      </c>
      <c r="D36" s="11">
        <f t="shared" si="3"/>
        <v>3</v>
      </c>
      <c r="E36" s="11">
        <f t="shared" si="4"/>
        <v>1280</v>
      </c>
      <c r="F36" s="11">
        <f t="shared" si="1"/>
        <v>7680</v>
      </c>
      <c r="G36" s="8"/>
      <c r="H36" s="8"/>
      <c r="I36" s="8"/>
      <c r="J36" s="11">
        <f t="shared" si="5"/>
        <v>500</v>
      </c>
      <c r="K36" s="8"/>
      <c r="L36" s="8">
        <v>6</v>
      </c>
    </row>
    <row r="37" spans="1:12">
      <c r="A37" s="12">
        <v>36</v>
      </c>
      <c r="B37" s="11">
        <f t="shared" si="0"/>
        <v>44000</v>
      </c>
      <c r="C37" s="11">
        <f t="shared" si="2"/>
        <v>88</v>
      </c>
      <c r="D37" s="11">
        <f t="shared" si="3"/>
        <v>3</v>
      </c>
      <c r="E37" s="11">
        <f t="shared" si="4"/>
        <v>1368</v>
      </c>
      <c r="F37" s="11">
        <f t="shared" si="1"/>
        <v>8208</v>
      </c>
      <c r="G37" s="8"/>
      <c r="H37" s="8"/>
      <c r="I37" s="8"/>
      <c r="J37" s="11">
        <f t="shared" si="5"/>
        <v>500</v>
      </c>
      <c r="K37" s="8"/>
      <c r="L37" s="8">
        <v>6</v>
      </c>
    </row>
    <row r="38" spans="1:12">
      <c r="A38" s="12">
        <v>37</v>
      </c>
      <c r="B38" s="11">
        <f t="shared" si="0"/>
        <v>45500</v>
      </c>
      <c r="C38" s="11">
        <f t="shared" si="2"/>
        <v>91</v>
      </c>
      <c r="D38" s="11">
        <f t="shared" si="3"/>
        <v>3</v>
      </c>
      <c r="E38" s="11">
        <f t="shared" si="4"/>
        <v>1459</v>
      </c>
      <c r="F38" s="11">
        <f t="shared" si="1"/>
        <v>8754</v>
      </c>
      <c r="G38" s="8"/>
      <c r="H38" s="8"/>
      <c r="I38" s="8"/>
      <c r="J38" s="11">
        <f t="shared" si="5"/>
        <v>500</v>
      </c>
      <c r="K38" s="8"/>
      <c r="L38" s="8">
        <v>6</v>
      </c>
    </row>
    <row r="39" spans="1:12">
      <c r="A39" s="12">
        <v>38</v>
      </c>
      <c r="B39" s="11">
        <f t="shared" si="0"/>
        <v>47000</v>
      </c>
      <c r="C39" s="11">
        <f t="shared" si="2"/>
        <v>94</v>
      </c>
      <c r="D39" s="11">
        <f t="shared" si="3"/>
        <v>3</v>
      </c>
      <c r="E39" s="11">
        <f t="shared" si="4"/>
        <v>1553</v>
      </c>
      <c r="F39" s="11">
        <f t="shared" si="1"/>
        <v>9318</v>
      </c>
      <c r="G39" s="8"/>
      <c r="H39" s="8"/>
      <c r="I39" s="8"/>
      <c r="J39" s="11">
        <f t="shared" si="5"/>
        <v>500</v>
      </c>
      <c r="K39" s="8"/>
      <c r="L39" s="8">
        <v>6</v>
      </c>
    </row>
    <row r="40" spans="1:12">
      <c r="A40" s="12">
        <v>39</v>
      </c>
      <c r="B40" s="11">
        <f t="shared" si="0"/>
        <v>48500</v>
      </c>
      <c r="C40" s="11">
        <f t="shared" si="2"/>
        <v>97</v>
      </c>
      <c r="D40" s="11">
        <f t="shared" si="3"/>
        <v>3</v>
      </c>
      <c r="E40" s="11">
        <f t="shared" si="4"/>
        <v>1650</v>
      </c>
      <c r="F40" s="11">
        <f t="shared" si="1"/>
        <v>9900</v>
      </c>
      <c r="G40" s="8"/>
      <c r="H40" s="8"/>
      <c r="I40" s="8"/>
      <c r="J40" s="11">
        <f t="shared" si="5"/>
        <v>500</v>
      </c>
      <c r="K40" s="8"/>
      <c r="L40" s="8">
        <v>6</v>
      </c>
    </row>
    <row r="41" spans="1:12">
      <c r="A41" s="12">
        <v>40</v>
      </c>
      <c r="B41" s="11">
        <f t="shared" si="0"/>
        <v>50000</v>
      </c>
      <c r="C41" s="11">
        <f t="shared" si="2"/>
        <v>100</v>
      </c>
      <c r="D41" s="11">
        <f t="shared" si="3"/>
        <v>3</v>
      </c>
      <c r="E41" s="11">
        <f t="shared" si="4"/>
        <v>1750</v>
      </c>
      <c r="F41" s="11">
        <f t="shared" si="1"/>
        <v>10500</v>
      </c>
      <c r="G41" s="8">
        <f>SUM(C32:C41)*K2</f>
        <v>865</v>
      </c>
      <c r="H41" s="8"/>
      <c r="I41" s="8"/>
      <c r="J41" s="11">
        <f t="shared" si="5"/>
        <v>500</v>
      </c>
      <c r="K41" s="8"/>
      <c r="L41" s="8">
        <v>6</v>
      </c>
    </row>
    <row r="42" spans="1:12">
      <c r="A42" s="12">
        <v>41</v>
      </c>
      <c r="B42" s="11">
        <f t="shared" si="0"/>
        <v>51500</v>
      </c>
      <c r="C42" s="11">
        <f t="shared" si="2"/>
        <v>103</v>
      </c>
      <c r="D42" s="11">
        <f t="shared" si="3"/>
        <v>3</v>
      </c>
      <c r="E42" s="11">
        <f t="shared" si="4"/>
        <v>1853</v>
      </c>
      <c r="F42" s="11">
        <f t="shared" si="1"/>
        <v>11118</v>
      </c>
      <c r="G42" s="8"/>
      <c r="H42" s="8"/>
      <c r="I42" s="8"/>
      <c r="J42" s="11">
        <f t="shared" si="5"/>
        <v>500</v>
      </c>
      <c r="K42" s="8"/>
      <c r="L42" s="8">
        <v>6</v>
      </c>
    </row>
    <row r="43" spans="1:12">
      <c r="A43" s="12">
        <v>42</v>
      </c>
      <c r="B43" s="11">
        <f t="shared" si="0"/>
        <v>53000</v>
      </c>
      <c r="C43" s="11">
        <f t="shared" si="2"/>
        <v>106</v>
      </c>
      <c r="D43" s="11">
        <f t="shared" si="3"/>
        <v>3</v>
      </c>
      <c r="E43" s="11">
        <f t="shared" si="4"/>
        <v>1959</v>
      </c>
      <c r="F43" s="11">
        <f t="shared" si="1"/>
        <v>11754</v>
      </c>
      <c r="G43" s="8"/>
      <c r="H43" s="8"/>
      <c r="I43" s="8"/>
      <c r="J43" s="11">
        <f t="shared" si="5"/>
        <v>500</v>
      </c>
      <c r="K43" s="8"/>
      <c r="L43" s="8">
        <v>6</v>
      </c>
    </row>
    <row r="44" spans="1:12">
      <c r="A44" s="12">
        <v>43</v>
      </c>
      <c r="B44" s="11">
        <f t="shared" si="0"/>
        <v>54500</v>
      </c>
      <c r="C44" s="11">
        <f t="shared" si="2"/>
        <v>109</v>
      </c>
      <c r="D44" s="11">
        <f t="shared" si="3"/>
        <v>3</v>
      </c>
      <c r="E44" s="11">
        <f t="shared" si="4"/>
        <v>2068</v>
      </c>
      <c r="F44" s="11">
        <f t="shared" si="1"/>
        <v>12408</v>
      </c>
      <c r="G44" s="8"/>
      <c r="H44" s="8"/>
      <c r="I44" s="8"/>
      <c r="J44" s="11">
        <f t="shared" si="5"/>
        <v>500</v>
      </c>
      <c r="K44" s="8"/>
      <c r="L44" s="8">
        <v>6</v>
      </c>
    </row>
    <row r="45" spans="1:12">
      <c r="A45" s="12">
        <v>44</v>
      </c>
      <c r="B45" s="11">
        <f t="shared" si="0"/>
        <v>56000</v>
      </c>
      <c r="C45" s="11">
        <f t="shared" si="2"/>
        <v>112</v>
      </c>
      <c r="D45" s="11">
        <f t="shared" si="3"/>
        <v>3</v>
      </c>
      <c r="E45" s="11">
        <f t="shared" si="4"/>
        <v>2180</v>
      </c>
      <c r="F45" s="11">
        <f t="shared" si="1"/>
        <v>13080</v>
      </c>
      <c r="G45" s="8"/>
      <c r="H45" s="8"/>
      <c r="I45" s="8"/>
      <c r="J45" s="11">
        <f t="shared" si="5"/>
        <v>500</v>
      </c>
      <c r="K45" s="8"/>
      <c r="L45" s="8">
        <v>6</v>
      </c>
    </row>
    <row r="46" spans="1:12">
      <c r="A46" s="12">
        <v>45</v>
      </c>
      <c r="B46" s="11">
        <f t="shared" si="0"/>
        <v>57500</v>
      </c>
      <c r="C46" s="11">
        <f t="shared" si="2"/>
        <v>115</v>
      </c>
      <c r="D46" s="11">
        <f t="shared" si="3"/>
        <v>3</v>
      </c>
      <c r="E46" s="11">
        <f t="shared" si="4"/>
        <v>2295</v>
      </c>
      <c r="F46" s="11">
        <f t="shared" si="1"/>
        <v>13770</v>
      </c>
      <c r="G46" s="8"/>
      <c r="H46" s="8"/>
      <c r="I46" s="8"/>
      <c r="J46" s="11">
        <f t="shared" si="5"/>
        <v>500</v>
      </c>
      <c r="K46" s="8"/>
      <c r="L46" s="8">
        <v>6</v>
      </c>
    </row>
    <row r="47" spans="1:12">
      <c r="A47" s="12">
        <v>46</v>
      </c>
      <c r="B47" s="11">
        <f t="shared" si="0"/>
        <v>59000</v>
      </c>
      <c r="C47" s="11">
        <f t="shared" si="2"/>
        <v>118</v>
      </c>
      <c r="D47" s="11">
        <f t="shared" si="3"/>
        <v>3</v>
      </c>
      <c r="E47" s="11">
        <f t="shared" si="4"/>
        <v>2413</v>
      </c>
      <c r="F47" s="11">
        <f t="shared" si="1"/>
        <v>14478</v>
      </c>
      <c r="G47" s="8"/>
      <c r="H47" s="8"/>
      <c r="I47" s="8"/>
      <c r="J47" s="11">
        <f t="shared" si="5"/>
        <v>500</v>
      </c>
      <c r="K47" s="8"/>
      <c r="L47" s="8">
        <v>6</v>
      </c>
    </row>
    <row r="48" spans="1:12">
      <c r="A48" s="12">
        <v>47</v>
      </c>
      <c r="B48" s="11">
        <f t="shared" si="0"/>
        <v>60500</v>
      </c>
      <c r="C48" s="11">
        <f t="shared" si="2"/>
        <v>121</v>
      </c>
      <c r="D48" s="11">
        <f t="shared" si="3"/>
        <v>3</v>
      </c>
      <c r="E48" s="11">
        <f t="shared" si="4"/>
        <v>2534</v>
      </c>
      <c r="F48" s="11">
        <f t="shared" si="1"/>
        <v>15204</v>
      </c>
      <c r="G48" s="8"/>
      <c r="H48" s="8"/>
      <c r="I48" s="8"/>
      <c r="J48" s="11">
        <f t="shared" si="5"/>
        <v>500</v>
      </c>
      <c r="K48" s="8"/>
      <c r="L48" s="8">
        <v>6</v>
      </c>
    </row>
    <row r="49" spans="1:12">
      <c r="A49" s="12">
        <v>48</v>
      </c>
      <c r="B49" s="11">
        <f t="shared" si="0"/>
        <v>62000</v>
      </c>
      <c r="C49" s="11">
        <f t="shared" si="2"/>
        <v>124</v>
      </c>
      <c r="D49" s="11">
        <f t="shared" si="3"/>
        <v>3</v>
      </c>
      <c r="E49" s="11">
        <f t="shared" si="4"/>
        <v>2658</v>
      </c>
      <c r="F49" s="11">
        <f t="shared" si="1"/>
        <v>15948</v>
      </c>
      <c r="G49" s="8"/>
      <c r="H49" s="8"/>
      <c r="I49" s="8"/>
      <c r="J49" s="11">
        <f t="shared" si="5"/>
        <v>500</v>
      </c>
      <c r="K49" s="8"/>
      <c r="L49" s="8">
        <v>6</v>
      </c>
    </row>
    <row r="50" spans="1:12">
      <c r="A50" s="12">
        <v>49</v>
      </c>
      <c r="B50" s="11">
        <f t="shared" si="0"/>
        <v>63500</v>
      </c>
      <c r="C50" s="11">
        <f t="shared" si="2"/>
        <v>127</v>
      </c>
      <c r="D50" s="11">
        <f t="shared" si="3"/>
        <v>3</v>
      </c>
      <c r="E50" s="11">
        <f t="shared" si="4"/>
        <v>2785</v>
      </c>
      <c r="F50" s="11">
        <f t="shared" si="1"/>
        <v>16710</v>
      </c>
      <c r="G50" s="8"/>
      <c r="H50" s="8"/>
      <c r="I50" s="8"/>
      <c r="J50" s="11">
        <f t="shared" si="5"/>
        <v>500</v>
      </c>
      <c r="K50" s="8"/>
      <c r="L50" s="8">
        <v>6</v>
      </c>
    </row>
    <row r="51" spans="1:12">
      <c r="A51" s="12">
        <v>50</v>
      </c>
      <c r="B51" s="11">
        <f t="shared" si="0"/>
        <v>65000</v>
      </c>
      <c r="C51" s="11">
        <f t="shared" si="2"/>
        <v>130</v>
      </c>
      <c r="D51" s="11">
        <f t="shared" si="3"/>
        <v>3</v>
      </c>
      <c r="E51" s="11">
        <f t="shared" si="4"/>
        <v>2915</v>
      </c>
      <c r="F51" s="11">
        <f t="shared" si="1"/>
        <v>17490</v>
      </c>
      <c r="G51" s="8">
        <f>SUM(C42:C51)*K2</f>
        <v>1165</v>
      </c>
      <c r="H51" s="8"/>
      <c r="I51" s="8"/>
      <c r="J51" s="11">
        <f t="shared" si="5"/>
        <v>500</v>
      </c>
      <c r="K51" s="8"/>
      <c r="L51" s="8">
        <v>6</v>
      </c>
    </row>
    <row r="52" spans="1:12">
      <c r="A52" s="12">
        <v>51</v>
      </c>
      <c r="B52" s="11">
        <f t="shared" si="0"/>
        <v>66500</v>
      </c>
      <c r="C52" s="11">
        <f t="shared" si="2"/>
        <v>133</v>
      </c>
      <c r="D52" s="11">
        <f t="shared" si="3"/>
        <v>3</v>
      </c>
      <c r="E52" s="11">
        <f t="shared" si="4"/>
        <v>3048</v>
      </c>
      <c r="F52" s="11">
        <f t="shared" si="1"/>
        <v>18288</v>
      </c>
      <c r="G52" s="8"/>
      <c r="H52" s="8"/>
      <c r="I52" s="8"/>
      <c r="J52" s="11">
        <f t="shared" si="5"/>
        <v>500</v>
      </c>
      <c r="K52" s="8"/>
      <c r="L52" s="8">
        <v>6</v>
      </c>
    </row>
    <row r="53" spans="1:12">
      <c r="A53" s="12">
        <v>52</v>
      </c>
      <c r="B53" s="11">
        <f t="shared" si="0"/>
        <v>68000</v>
      </c>
      <c r="C53" s="11">
        <f t="shared" si="2"/>
        <v>136</v>
      </c>
      <c r="D53" s="11">
        <f t="shared" si="3"/>
        <v>3</v>
      </c>
      <c r="E53" s="11">
        <f t="shared" si="4"/>
        <v>3184</v>
      </c>
      <c r="F53" s="11">
        <f t="shared" si="1"/>
        <v>19104</v>
      </c>
      <c r="G53" s="8"/>
      <c r="H53" s="8"/>
      <c r="I53" s="8"/>
      <c r="J53" s="11">
        <f t="shared" si="5"/>
        <v>500</v>
      </c>
      <c r="K53" s="8"/>
      <c r="L53" s="8">
        <v>6</v>
      </c>
    </row>
    <row r="54" spans="1:12">
      <c r="A54" s="12">
        <v>53</v>
      </c>
      <c r="B54" s="11">
        <f t="shared" si="0"/>
        <v>69500</v>
      </c>
      <c r="C54" s="11">
        <f t="shared" si="2"/>
        <v>139</v>
      </c>
      <c r="D54" s="11">
        <f t="shared" si="3"/>
        <v>3</v>
      </c>
      <c r="E54" s="11">
        <f t="shared" si="4"/>
        <v>3323</v>
      </c>
      <c r="F54" s="11">
        <f t="shared" si="1"/>
        <v>19938</v>
      </c>
      <c r="G54" s="8"/>
      <c r="H54" s="8"/>
      <c r="I54" s="8"/>
      <c r="J54" s="11">
        <f t="shared" si="5"/>
        <v>500</v>
      </c>
      <c r="K54" s="8"/>
      <c r="L54" s="8">
        <v>6</v>
      </c>
    </row>
    <row r="55" spans="1:12">
      <c r="A55" s="12">
        <v>54</v>
      </c>
      <c r="B55" s="11">
        <f t="shared" si="0"/>
        <v>71000</v>
      </c>
      <c r="C55" s="11">
        <f t="shared" si="2"/>
        <v>142</v>
      </c>
      <c r="D55" s="11">
        <f t="shared" si="3"/>
        <v>3</v>
      </c>
      <c r="E55" s="11">
        <f t="shared" si="4"/>
        <v>3465</v>
      </c>
      <c r="F55" s="11">
        <f t="shared" si="1"/>
        <v>20790</v>
      </c>
      <c r="G55" s="8"/>
      <c r="H55" s="8"/>
      <c r="I55" s="8"/>
      <c r="J55" s="11">
        <f t="shared" si="5"/>
        <v>500</v>
      </c>
      <c r="K55" s="8"/>
      <c r="L55" s="8">
        <v>6</v>
      </c>
    </row>
    <row r="56" spans="1:12">
      <c r="A56" s="12">
        <v>55</v>
      </c>
      <c r="B56" s="11">
        <f t="shared" si="0"/>
        <v>72500</v>
      </c>
      <c r="C56" s="11">
        <f t="shared" si="2"/>
        <v>145</v>
      </c>
      <c r="D56" s="11">
        <f t="shared" si="3"/>
        <v>3</v>
      </c>
      <c r="E56" s="11">
        <f t="shared" si="4"/>
        <v>3610</v>
      </c>
      <c r="F56" s="11">
        <f t="shared" si="1"/>
        <v>21660</v>
      </c>
      <c r="G56" s="8"/>
      <c r="H56" s="8"/>
      <c r="I56" s="8"/>
      <c r="J56" s="11">
        <f t="shared" si="5"/>
        <v>500</v>
      </c>
      <c r="K56" s="8"/>
      <c r="L56" s="8">
        <v>6</v>
      </c>
    </row>
    <row r="57" spans="1:12">
      <c r="A57" s="12">
        <v>56</v>
      </c>
      <c r="B57" s="11">
        <f t="shared" si="0"/>
        <v>74000</v>
      </c>
      <c r="C57" s="11">
        <f t="shared" si="2"/>
        <v>148</v>
      </c>
      <c r="D57" s="11">
        <f t="shared" si="3"/>
        <v>3</v>
      </c>
      <c r="E57" s="11">
        <f t="shared" si="4"/>
        <v>3758</v>
      </c>
      <c r="F57" s="11">
        <f t="shared" si="1"/>
        <v>22548</v>
      </c>
      <c r="G57" s="8"/>
      <c r="H57" s="8"/>
      <c r="I57" s="8"/>
      <c r="J57" s="11">
        <f t="shared" si="5"/>
        <v>500</v>
      </c>
      <c r="K57" s="8"/>
      <c r="L57" s="8">
        <v>6</v>
      </c>
    </row>
    <row r="58" spans="1:12">
      <c r="A58" s="12">
        <v>57</v>
      </c>
      <c r="B58" s="11">
        <f t="shared" si="0"/>
        <v>75500</v>
      </c>
      <c r="C58" s="11">
        <f t="shared" si="2"/>
        <v>151</v>
      </c>
      <c r="D58" s="11">
        <f t="shared" si="3"/>
        <v>3</v>
      </c>
      <c r="E58" s="11">
        <f t="shared" si="4"/>
        <v>3909</v>
      </c>
      <c r="F58" s="11">
        <f t="shared" si="1"/>
        <v>23454</v>
      </c>
      <c r="G58" s="8"/>
      <c r="H58" s="8"/>
      <c r="I58" s="8"/>
      <c r="J58" s="11">
        <f t="shared" si="5"/>
        <v>500</v>
      </c>
      <c r="K58" s="8"/>
      <c r="L58" s="8">
        <v>6</v>
      </c>
    </row>
    <row r="59" spans="1:12">
      <c r="A59" s="12">
        <v>58</v>
      </c>
      <c r="B59" s="11">
        <f t="shared" si="0"/>
        <v>77000</v>
      </c>
      <c r="C59" s="11">
        <f t="shared" si="2"/>
        <v>154</v>
      </c>
      <c r="D59" s="11">
        <f t="shared" si="3"/>
        <v>3</v>
      </c>
      <c r="E59" s="11">
        <f t="shared" si="4"/>
        <v>4063</v>
      </c>
      <c r="F59" s="11">
        <f t="shared" si="1"/>
        <v>24378</v>
      </c>
      <c r="G59" s="8"/>
      <c r="H59" s="8"/>
      <c r="I59" s="8"/>
      <c r="J59" s="11">
        <f t="shared" si="5"/>
        <v>500</v>
      </c>
      <c r="K59" s="8"/>
      <c r="L59" s="8">
        <v>6</v>
      </c>
    </row>
    <row r="60" spans="1:12">
      <c r="A60" s="12">
        <v>59</v>
      </c>
      <c r="B60" s="11">
        <f t="shared" si="0"/>
        <v>78500</v>
      </c>
      <c r="C60" s="11">
        <f t="shared" si="2"/>
        <v>157</v>
      </c>
      <c r="D60" s="11">
        <f t="shared" si="3"/>
        <v>3</v>
      </c>
      <c r="E60" s="11">
        <f t="shared" si="4"/>
        <v>4220</v>
      </c>
      <c r="F60" s="11">
        <f t="shared" si="1"/>
        <v>25320</v>
      </c>
      <c r="G60" s="8"/>
      <c r="H60" s="8"/>
      <c r="I60" s="8"/>
      <c r="J60" s="11">
        <f t="shared" si="5"/>
        <v>500</v>
      </c>
      <c r="K60" s="8"/>
      <c r="L60" s="8">
        <v>6</v>
      </c>
    </row>
    <row r="61" spans="1:12">
      <c r="A61" s="12">
        <v>60</v>
      </c>
      <c r="B61" s="11">
        <f t="shared" si="0"/>
        <v>80000</v>
      </c>
      <c r="C61" s="11">
        <f t="shared" si="2"/>
        <v>160</v>
      </c>
      <c r="D61" s="11">
        <f t="shared" si="3"/>
        <v>3</v>
      </c>
      <c r="E61" s="11">
        <f t="shared" si="4"/>
        <v>4380</v>
      </c>
      <c r="F61" s="11">
        <f t="shared" si="1"/>
        <v>26280</v>
      </c>
      <c r="G61" s="8">
        <f>SUM(C52:C61)*K2</f>
        <v>1465</v>
      </c>
      <c r="H61" s="8"/>
      <c r="I61" s="8"/>
      <c r="J61" s="11">
        <f t="shared" si="5"/>
        <v>500</v>
      </c>
      <c r="K61" s="8"/>
      <c r="L61" s="8">
        <v>6</v>
      </c>
    </row>
    <row r="62" spans="1:12">
      <c r="A62" s="12">
        <v>61</v>
      </c>
      <c r="B62" s="11">
        <f t="shared" si="0"/>
        <v>81500</v>
      </c>
      <c r="C62" s="11">
        <f t="shared" si="2"/>
        <v>163</v>
      </c>
      <c r="D62" s="11">
        <f t="shared" si="3"/>
        <v>3</v>
      </c>
      <c r="E62" s="11">
        <f t="shared" si="4"/>
        <v>4543</v>
      </c>
      <c r="F62" s="11">
        <f t="shared" si="1"/>
        <v>27258</v>
      </c>
      <c r="G62" s="8"/>
      <c r="H62" s="8"/>
      <c r="I62" s="8"/>
      <c r="J62" s="11">
        <f t="shared" si="5"/>
        <v>500</v>
      </c>
      <c r="K62" s="8"/>
      <c r="L62" s="8">
        <v>6</v>
      </c>
    </row>
    <row r="63" spans="1:12">
      <c r="A63" s="12">
        <v>62</v>
      </c>
      <c r="B63" s="11">
        <f t="shared" si="0"/>
        <v>83000</v>
      </c>
      <c r="C63" s="11">
        <f t="shared" si="2"/>
        <v>166</v>
      </c>
      <c r="D63" s="11">
        <f t="shared" si="3"/>
        <v>3</v>
      </c>
      <c r="E63" s="11">
        <f t="shared" si="4"/>
        <v>4709</v>
      </c>
      <c r="F63" s="11">
        <f t="shared" si="1"/>
        <v>28254</v>
      </c>
      <c r="G63" s="8"/>
      <c r="H63" s="8"/>
      <c r="I63" s="8"/>
      <c r="J63" s="11">
        <f t="shared" si="5"/>
        <v>500</v>
      </c>
      <c r="K63" s="8"/>
      <c r="L63" s="8">
        <v>6</v>
      </c>
    </row>
    <row r="64" spans="1:12">
      <c r="A64" s="12">
        <v>63</v>
      </c>
      <c r="B64" s="11">
        <f t="shared" si="0"/>
        <v>84500</v>
      </c>
      <c r="C64" s="11">
        <f t="shared" si="2"/>
        <v>169</v>
      </c>
      <c r="D64" s="11">
        <f t="shared" si="3"/>
        <v>3</v>
      </c>
      <c r="E64" s="11">
        <f t="shared" si="4"/>
        <v>4878</v>
      </c>
      <c r="F64" s="11">
        <f t="shared" si="1"/>
        <v>29268</v>
      </c>
      <c r="G64" s="8"/>
      <c r="H64" s="8"/>
      <c r="I64" s="8"/>
      <c r="J64" s="11">
        <f t="shared" si="5"/>
        <v>500</v>
      </c>
      <c r="K64" s="8"/>
      <c r="L64" s="8">
        <v>6</v>
      </c>
    </row>
    <row r="65" spans="1:12">
      <c r="A65" s="12">
        <v>64</v>
      </c>
      <c r="B65" s="11">
        <f t="shared" si="0"/>
        <v>86000</v>
      </c>
      <c r="C65" s="11">
        <f t="shared" si="2"/>
        <v>172</v>
      </c>
      <c r="D65" s="11">
        <f t="shared" si="3"/>
        <v>3</v>
      </c>
      <c r="E65" s="11">
        <f t="shared" si="4"/>
        <v>5050</v>
      </c>
      <c r="F65" s="11">
        <f t="shared" si="1"/>
        <v>30300</v>
      </c>
      <c r="G65" s="8"/>
      <c r="H65" s="8"/>
      <c r="I65" s="8"/>
      <c r="J65" s="11">
        <f t="shared" si="5"/>
        <v>500</v>
      </c>
      <c r="K65" s="8"/>
      <c r="L65" s="8">
        <v>6</v>
      </c>
    </row>
    <row r="66" spans="1:12">
      <c r="A66" s="12">
        <v>65</v>
      </c>
      <c r="B66" s="11">
        <f t="shared" ref="B66:B121" si="6">C66*J66</f>
        <v>87500</v>
      </c>
      <c r="C66" s="11">
        <f t="shared" si="2"/>
        <v>175</v>
      </c>
      <c r="D66" s="11">
        <f t="shared" si="3"/>
        <v>3</v>
      </c>
      <c r="E66" s="11">
        <f t="shared" si="4"/>
        <v>5225</v>
      </c>
      <c r="F66" s="11">
        <f t="shared" ref="F66:F121" si="7">E66*L66</f>
        <v>31350</v>
      </c>
      <c r="G66" s="8"/>
      <c r="H66" s="8"/>
      <c r="I66" s="8"/>
      <c r="J66" s="11">
        <f t="shared" si="5"/>
        <v>500</v>
      </c>
      <c r="K66" s="8"/>
      <c r="L66" s="8">
        <v>6</v>
      </c>
    </row>
    <row r="67" spans="1:12">
      <c r="A67" s="12">
        <v>66</v>
      </c>
      <c r="B67" s="11">
        <f t="shared" si="6"/>
        <v>89000</v>
      </c>
      <c r="C67" s="11">
        <f t="shared" si="2"/>
        <v>178</v>
      </c>
      <c r="D67" s="11">
        <f t="shared" si="3"/>
        <v>3</v>
      </c>
      <c r="E67" s="11">
        <f t="shared" si="4"/>
        <v>5403</v>
      </c>
      <c r="F67" s="11">
        <f t="shared" si="7"/>
        <v>32418</v>
      </c>
      <c r="G67" s="8"/>
      <c r="H67" s="8"/>
      <c r="I67" s="8"/>
      <c r="J67" s="11">
        <f t="shared" si="5"/>
        <v>500</v>
      </c>
      <c r="K67" s="8"/>
      <c r="L67" s="8">
        <v>6</v>
      </c>
    </row>
    <row r="68" spans="1:12">
      <c r="A68" s="12">
        <v>67</v>
      </c>
      <c r="B68" s="11">
        <f t="shared" si="6"/>
        <v>90500</v>
      </c>
      <c r="C68" s="11">
        <f t="shared" ref="C68:C121" si="8">C67+D67</f>
        <v>181</v>
      </c>
      <c r="D68" s="11">
        <f t="shared" ref="D68:D121" si="9">D67</f>
        <v>3</v>
      </c>
      <c r="E68" s="11">
        <f t="shared" ref="E68:E121" si="10">C68+E67</f>
        <v>5584</v>
      </c>
      <c r="F68" s="11">
        <f t="shared" si="7"/>
        <v>33504</v>
      </c>
      <c r="G68" s="8"/>
      <c r="H68" s="8"/>
      <c r="I68" s="8"/>
      <c r="J68" s="11">
        <f t="shared" ref="J68:J121" si="11">J67</f>
        <v>500</v>
      </c>
      <c r="K68" s="8"/>
      <c r="L68" s="8">
        <v>6</v>
      </c>
    </row>
    <row r="69" spans="1:12">
      <c r="A69" s="12">
        <v>68</v>
      </c>
      <c r="B69" s="11">
        <f t="shared" si="6"/>
        <v>92000</v>
      </c>
      <c r="C69" s="11">
        <f t="shared" si="8"/>
        <v>184</v>
      </c>
      <c r="D69" s="11">
        <f t="shared" si="9"/>
        <v>3</v>
      </c>
      <c r="E69" s="11">
        <f t="shared" si="10"/>
        <v>5768</v>
      </c>
      <c r="F69" s="11">
        <f t="shared" si="7"/>
        <v>34608</v>
      </c>
      <c r="G69" s="8"/>
      <c r="H69" s="8"/>
      <c r="I69" s="8"/>
      <c r="J69" s="11">
        <f t="shared" si="11"/>
        <v>500</v>
      </c>
      <c r="K69" s="8"/>
      <c r="L69" s="8">
        <v>6</v>
      </c>
    </row>
    <row r="70" spans="1:12">
      <c r="A70" s="12">
        <v>69</v>
      </c>
      <c r="B70" s="11">
        <f t="shared" si="6"/>
        <v>93500</v>
      </c>
      <c r="C70" s="11">
        <f t="shared" si="8"/>
        <v>187</v>
      </c>
      <c r="D70" s="11">
        <f t="shared" si="9"/>
        <v>3</v>
      </c>
      <c r="E70" s="11">
        <f t="shared" si="10"/>
        <v>5955</v>
      </c>
      <c r="F70" s="11">
        <f t="shared" si="7"/>
        <v>35730</v>
      </c>
      <c r="G70" s="8"/>
      <c r="H70" s="8"/>
      <c r="I70" s="8"/>
      <c r="J70" s="11">
        <f t="shared" si="11"/>
        <v>500</v>
      </c>
      <c r="K70" s="8"/>
      <c r="L70" s="8">
        <v>6</v>
      </c>
    </row>
    <row r="71" spans="1:12">
      <c r="A71" s="12">
        <v>70</v>
      </c>
      <c r="B71" s="11">
        <f t="shared" si="6"/>
        <v>95000</v>
      </c>
      <c r="C71" s="11">
        <f t="shared" si="8"/>
        <v>190</v>
      </c>
      <c r="D71" s="11">
        <f t="shared" si="9"/>
        <v>3</v>
      </c>
      <c r="E71" s="11">
        <f t="shared" si="10"/>
        <v>6145</v>
      </c>
      <c r="F71" s="11">
        <f t="shared" si="7"/>
        <v>36870</v>
      </c>
      <c r="G71" s="8">
        <f>SUM(C62:C71)*K2</f>
        <v>1765</v>
      </c>
      <c r="H71" s="8"/>
      <c r="I71" s="8"/>
      <c r="J71" s="11">
        <f t="shared" si="11"/>
        <v>500</v>
      </c>
      <c r="K71" s="8"/>
      <c r="L71" s="8">
        <v>6</v>
      </c>
    </row>
    <row r="72" spans="1:12">
      <c r="A72" s="12">
        <v>71</v>
      </c>
      <c r="B72" s="11">
        <f t="shared" si="6"/>
        <v>96500</v>
      </c>
      <c r="C72" s="11">
        <f t="shared" si="8"/>
        <v>193</v>
      </c>
      <c r="D72" s="11">
        <f t="shared" si="9"/>
        <v>3</v>
      </c>
      <c r="E72" s="11">
        <f t="shared" si="10"/>
        <v>6338</v>
      </c>
      <c r="F72" s="11">
        <f t="shared" si="7"/>
        <v>38028</v>
      </c>
      <c r="G72" s="8"/>
      <c r="H72" s="8"/>
      <c r="I72" s="8"/>
      <c r="J72" s="11">
        <f t="shared" si="11"/>
        <v>500</v>
      </c>
      <c r="K72" s="8"/>
      <c r="L72" s="8">
        <v>6</v>
      </c>
    </row>
    <row r="73" spans="1:12">
      <c r="A73" s="12">
        <v>72</v>
      </c>
      <c r="B73" s="11">
        <f t="shared" si="6"/>
        <v>98000</v>
      </c>
      <c r="C73" s="11">
        <f t="shared" si="8"/>
        <v>196</v>
      </c>
      <c r="D73" s="11">
        <f t="shared" si="9"/>
        <v>3</v>
      </c>
      <c r="E73" s="11">
        <f t="shared" si="10"/>
        <v>6534</v>
      </c>
      <c r="F73" s="11">
        <f t="shared" si="7"/>
        <v>39204</v>
      </c>
      <c r="G73" s="8"/>
      <c r="H73" s="8"/>
      <c r="I73" s="8"/>
      <c r="J73" s="11">
        <f t="shared" si="11"/>
        <v>500</v>
      </c>
      <c r="K73" s="8"/>
      <c r="L73" s="8">
        <v>6</v>
      </c>
    </row>
    <row r="74" spans="1:12">
      <c r="A74" s="12">
        <v>73</v>
      </c>
      <c r="B74" s="11">
        <f t="shared" si="6"/>
        <v>99500</v>
      </c>
      <c r="C74" s="11">
        <f t="shared" si="8"/>
        <v>199</v>
      </c>
      <c r="D74" s="11">
        <f t="shared" si="9"/>
        <v>3</v>
      </c>
      <c r="E74" s="11">
        <f t="shared" si="10"/>
        <v>6733</v>
      </c>
      <c r="F74" s="11">
        <f t="shared" si="7"/>
        <v>40398</v>
      </c>
      <c r="G74" s="8"/>
      <c r="H74" s="8"/>
      <c r="I74" s="8"/>
      <c r="J74" s="11">
        <f t="shared" si="11"/>
        <v>500</v>
      </c>
      <c r="K74" s="8"/>
      <c r="L74" s="8">
        <v>6</v>
      </c>
    </row>
    <row r="75" spans="1:12">
      <c r="A75" s="12">
        <v>74</v>
      </c>
      <c r="B75" s="11">
        <f t="shared" si="6"/>
        <v>101000</v>
      </c>
      <c r="C75" s="11">
        <f t="shared" si="8"/>
        <v>202</v>
      </c>
      <c r="D75" s="11">
        <f t="shared" si="9"/>
        <v>3</v>
      </c>
      <c r="E75" s="11">
        <f t="shared" si="10"/>
        <v>6935</v>
      </c>
      <c r="F75" s="11">
        <f t="shared" si="7"/>
        <v>41610</v>
      </c>
      <c r="G75" s="8"/>
      <c r="H75" s="8"/>
      <c r="I75" s="8"/>
      <c r="J75" s="11">
        <f t="shared" si="11"/>
        <v>500</v>
      </c>
      <c r="K75" s="8"/>
      <c r="L75" s="8">
        <v>6</v>
      </c>
    </row>
    <row r="76" spans="1:12">
      <c r="A76" s="12">
        <v>75</v>
      </c>
      <c r="B76" s="11">
        <f t="shared" si="6"/>
        <v>102500</v>
      </c>
      <c r="C76" s="11">
        <f t="shared" si="8"/>
        <v>205</v>
      </c>
      <c r="D76" s="11">
        <f t="shared" si="9"/>
        <v>3</v>
      </c>
      <c r="E76" s="11">
        <f t="shared" si="10"/>
        <v>7140</v>
      </c>
      <c r="F76" s="11">
        <f t="shared" si="7"/>
        <v>42840</v>
      </c>
      <c r="G76" s="8"/>
      <c r="H76" s="8"/>
      <c r="I76" s="8"/>
      <c r="J76" s="11">
        <f t="shared" si="11"/>
        <v>500</v>
      </c>
      <c r="K76" s="8"/>
      <c r="L76" s="8">
        <v>6</v>
      </c>
    </row>
    <row r="77" spans="1:12">
      <c r="A77" s="12">
        <v>76</v>
      </c>
      <c r="B77" s="11">
        <f t="shared" si="6"/>
        <v>104000</v>
      </c>
      <c r="C77" s="11">
        <f t="shared" si="8"/>
        <v>208</v>
      </c>
      <c r="D77" s="11">
        <f t="shared" si="9"/>
        <v>3</v>
      </c>
      <c r="E77" s="11">
        <f t="shared" si="10"/>
        <v>7348</v>
      </c>
      <c r="F77" s="11">
        <f t="shared" si="7"/>
        <v>44088</v>
      </c>
      <c r="G77" s="8"/>
      <c r="H77" s="8"/>
      <c r="I77" s="8"/>
      <c r="J77" s="11">
        <f t="shared" si="11"/>
        <v>500</v>
      </c>
      <c r="K77" s="8"/>
      <c r="L77" s="8">
        <v>6</v>
      </c>
    </row>
    <row r="78" spans="1:12">
      <c r="A78" s="12">
        <v>77</v>
      </c>
      <c r="B78" s="11">
        <f t="shared" si="6"/>
        <v>105500</v>
      </c>
      <c r="C78" s="11">
        <f t="shared" si="8"/>
        <v>211</v>
      </c>
      <c r="D78" s="11">
        <f t="shared" si="9"/>
        <v>3</v>
      </c>
      <c r="E78" s="11">
        <f t="shared" si="10"/>
        <v>7559</v>
      </c>
      <c r="F78" s="11">
        <f t="shared" si="7"/>
        <v>45354</v>
      </c>
      <c r="G78" s="8"/>
      <c r="H78" s="8"/>
      <c r="I78" s="8"/>
      <c r="J78" s="11">
        <f t="shared" si="11"/>
        <v>500</v>
      </c>
      <c r="K78" s="8"/>
      <c r="L78" s="8">
        <v>6</v>
      </c>
    </row>
    <row r="79" spans="1:12">
      <c r="A79" s="12">
        <v>78</v>
      </c>
      <c r="B79" s="11">
        <f t="shared" si="6"/>
        <v>107000</v>
      </c>
      <c r="C79" s="11">
        <f t="shared" si="8"/>
        <v>214</v>
      </c>
      <c r="D79" s="11">
        <f t="shared" si="9"/>
        <v>3</v>
      </c>
      <c r="E79" s="11">
        <f t="shared" si="10"/>
        <v>7773</v>
      </c>
      <c r="F79" s="11">
        <f t="shared" si="7"/>
        <v>46638</v>
      </c>
      <c r="G79" s="8"/>
      <c r="H79" s="8"/>
      <c r="I79" s="8"/>
      <c r="J79" s="11">
        <f t="shared" si="11"/>
        <v>500</v>
      </c>
      <c r="K79" s="8"/>
      <c r="L79" s="8">
        <v>6</v>
      </c>
    </row>
    <row r="80" spans="1:12">
      <c r="A80" s="12">
        <v>79</v>
      </c>
      <c r="B80" s="11">
        <f t="shared" si="6"/>
        <v>108500</v>
      </c>
      <c r="C80" s="11">
        <f t="shared" si="8"/>
        <v>217</v>
      </c>
      <c r="D80" s="11">
        <f t="shared" si="9"/>
        <v>3</v>
      </c>
      <c r="E80" s="11">
        <f t="shared" si="10"/>
        <v>7990</v>
      </c>
      <c r="F80" s="11">
        <f t="shared" si="7"/>
        <v>47940</v>
      </c>
      <c r="G80" s="8"/>
      <c r="H80" s="8"/>
      <c r="I80" s="8"/>
      <c r="J80" s="11">
        <f t="shared" si="11"/>
        <v>500</v>
      </c>
      <c r="K80" s="8"/>
      <c r="L80" s="8">
        <v>6</v>
      </c>
    </row>
    <row r="81" spans="1:12">
      <c r="A81" s="12">
        <v>80</v>
      </c>
      <c r="B81" s="11">
        <f t="shared" si="6"/>
        <v>110000</v>
      </c>
      <c r="C81" s="11">
        <f t="shared" si="8"/>
        <v>220</v>
      </c>
      <c r="D81" s="11">
        <f t="shared" si="9"/>
        <v>3</v>
      </c>
      <c r="E81" s="11">
        <f t="shared" si="10"/>
        <v>8210</v>
      </c>
      <c r="F81" s="11">
        <f t="shared" si="7"/>
        <v>49260</v>
      </c>
      <c r="G81" s="8">
        <f>SUM(C72:C81)*K2</f>
        <v>2065</v>
      </c>
      <c r="H81" s="8"/>
      <c r="I81" s="8"/>
      <c r="J81" s="11">
        <f t="shared" si="11"/>
        <v>500</v>
      </c>
      <c r="K81" s="8"/>
      <c r="L81" s="8">
        <v>6</v>
      </c>
    </row>
    <row r="82" spans="1:12">
      <c r="A82" s="12">
        <v>81</v>
      </c>
      <c r="B82" s="11">
        <f t="shared" si="6"/>
        <v>111500</v>
      </c>
      <c r="C82" s="11">
        <f t="shared" si="8"/>
        <v>223</v>
      </c>
      <c r="D82" s="11">
        <f t="shared" si="9"/>
        <v>3</v>
      </c>
      <c r="E82" s="11">
        <f t="shared" si="10"/>
        <v>8433</v>
      </c>
      <c r="F82" s="11">
        <f t="shared" si="7"/>
        <v>50598</v>
      </c>
      <c r="G82" s="8"/>
      <c r="H82" s="8"/>
      <c r="I82" s="8"/>
      <c r="J82" s="11">
        <f t="shared" si="11"/>
        <v>500</v>
      </c>
      <c r="K82" s="8"/>
      <c r="L82" s="8">
        <v>6</v>
      </c>
    </row>
    <row r="83" spans="1:12">
      <c r="A83" s="12">
        <v>82</v>
      </c>
      <c r="B83" s="11">
        <f t="shared" si="6"/>
        <v>113000</v>
      </c>
      <c r="C83" s="11">
        <f t="shared" si="8"/>
        <v>226</v>
      </c>
      <c r="D83" s="11">
        <f t="shared" si="9"/>
        <v>3</v>
      </c>
      <c r="E83" s="11">
        <f t="shared" si="10"/>
        <v>8659</v>
      </c>
      <c r="F83" s="11">
        <f t="shared" si="7"/>
        <v>51954</v>
      </c>
      <c r="G83" s="8"/>
      <c r="H83" s="8"/>
      <c r="I83" s="8"/>
      <c r="J83" s="11">
        <f t="shared" si="11"/>
        <v>500</v>
      </c>
      <c r="K83" s="8"/>
      <c r="L83" s="8">
        <v>6</v>
      </c>
    </row>
    <row r="84" spans="1:12">
      <c r="A84" s="12">
        <v>83</v>
      </c>
      <c r="B84" s="11">
        <f t="shared" si="6"/>
        <v>114500</v>
      </c>
      <c r="C84" s="11">
        <f t="shared" si="8"/>
        <v>229</v>
      </c>
      <c r="D84" s="11">
        <f t="shared" si="9"/>
        <v>3</v>
      </c>
      <c r="E84" s="11">
        <f t="shared" si="10"/>
        <v>8888</v>
      </c>
      <c r="F84" s="11">
        <f t="shared" si="7"/>
        <v>53328</v>
      </c>
      <c r="G84" s="8"/>
      <c r="H84" s="8"/>
      <c r="I84" s="8"/>
      <c r="J84" s="11">
        <f t="shared" si="11"/>
        <v>500</v>
      </c>
      <c r="K84" s="8"/>
      <c r="L84" s="8">
        <v>6</v>
      </c>
    </row>
    <row r="85" spans="1:12">
      <c r="A85" s="12">
        <v>84</v>
      </c>
      <c r="B85" s="11">
        <f t="shared" si="6"/>
        <v>116000</v>
      </c>
      <c r="C85" s="11">
        <f t="shared" si="8"/>
        <v>232</v>
      </c>
      <c r="D85" s="11">
        <f t="shared" si="9"/>
        <v>3</v>
      </c>
      <c r="E85" s="11">
        <f t="shared" si="10"/>
        <v>9120</v>
      </c>
      <c r="F85" s="11">
        <f t="shared" si="7"/>
        <v>54720</v>
      </c>
      <c r="G85" s="8"/>
      <c r="H85" s="8"/>
      <c r="I85" s="8"/>
      <c r="J85" s="11">
        <f t="shared" si="11"/>
        <v>500</v>
      </c>
      <c r="K85" s="8"/>
      <c r="L85" s="8">
        <v>6</v>
      </c>
    </row>
    <row r="86" spans="1:12">
      <c r="A86" s="12">
        <v>85</v>
      </c>
      <c r="B86" s="11">
        <f t="shared" si="6"/>
        <v>117500</v>
      </c>
      <c r="C86" s="11">
        <f t="shared" si="8"/>
        <v>235</v>
      </c>
      <c r="D86" s="11">
        <f t="shared" si="9"/>
        <v>3</v>
      </c>
      <c r="E86" s="11">
        <f t="shared" si="10"/>
        <v>9355</v>
      </c>
      <c r="F86" s="11">
        <f t="shared" si="7"/>
        <v>56130</v>
      </c>
      <c r="G86" s="8"/>
      <c r="H86" s="8"/>
      <c r="I86" s="8"/>
      <c r="J86" s="11">
        <f t="shared" si="11"/>
        <v>500</v>
      </c>
      <c r="K86" s="8"/>
      <c r="L86" s="8">
        <v>6</v>
      </c>
    </row>
    <row r="87" spans="1:12">
      <c r="A87" s="12">
        <v>86</v>
      </c>
      <c r="B87" s="11">
        <f t="shared" si="6"/>
        <v>119000</v>
      </c>
      <c r="C87" s="11">
        <f t="shared" si="8"/>
        <v>238</v>
      </c>
      <c r="D87" s="11">
        <f t="shared" si="9"/>
        <v>3</v>
      </c>
      <c r="E87" s="11">
        <f t="shared" si="10"/>
        <v>9593</v>
      </c>
      <c r="F87" s="11">
        <f t="shared" si="7"/>
        <v>57558</v>
      </c>
      <c r="G87" s="8"/>
      <c r="H87" s="8"/>
      <c r="I87" s="8"/>
      <c r="J87" s="11">
        <f t="shared" si="11"/>
        <v>500</v>
      </c>
      <c r="K87" s="8"/>
      <c r="L87" s="8">
        <v>6</v>
      </c>
    </row>
    <row r="88" spans="1:12">
      <c r="A88" s="12">
        <v>87</v>
      </c>
      <c r="B88" s="11">
        <f t="shared" si="6"/>
        <v>120500</v>
      </c>
      <c r="C88" s="11">
        <f t="shared" si="8"/>
        <v>241</v>
      </c>
      <c r="D88" s="11">
        <f t="shared" si="9"/>
        <v>3</v>
      </c>
      <c r="E88" s="11">
        <f t="shared" si="10"/>
        <v>9834</v>
      </c>
      <c r="F88" s="11">
        <f t="shared" si="7"/>
        <v>59004</v>
      </c>
      <c r="G88" s="8"/>
      <c r="H88" s="8"/>
      <c r="I88" s="8"/>
      <c r="J88" s="11">
        <f t="shared" si="11"/>
        <v>500</v>
      </c>
      <c r="K88" s="8"/>
      <c r="L88" s="8">
        <v>6</v>
      </c>
    </row>
    <row r="89" spans="1:12">
      <c r="A89" s="12">
        <v>88</v>
      </c>
      <c r="B89" s="11">
        <f t="shared" si="6"/>
        <v>122000</v>
      </c>
      <c r="C89" s="11">
        <f t="shared" si="8"/>
        <v>244</v>
      </c>
      <c r="D89" s="11">
        <f t="shared" si="9"/>
        <v>3</v>
      </c>
      <c r="E89" s="11">
        <f t="shared" si="10"/>
        <v>10078</v>
      </c>
      <c r="F89" s="11">
        <f t="shared" si="7"/>
        <v>60468</v>
      </c>
      <c r="G89" s="8"/>
      <c r="H89" s="8"/>
      <c r="I89" s="8"/>
      <c r="J89" s="11">
        <f t="shared" si="11"/>
        <v>500</v>
      </c>
      <c r="K89" s="8"/>
      <c r="L89" s="8">
        <v>6</v>
      </c>
    </row>
    <row r="90" spans="1:12">
      <c r="A90" s="12">
        <v>89</v>
      </c>
      <c r="B90" s="11">
        <f t="shared" si="6"/>
        <v>123500</v>
      </c>
      <c r="C90" s="11">
        <f t="shared" si="8"/>
        <v>247</v>
      </c>
      <c r="D90" s="11">
        <f t="shared" si="9"/>
        <v>3</v>
      </c>
      <c r="E90" s="11">
        <f t="shared" si="10"/>
        <v>10325</v>
      </c>
      <c r="F90" s="11">
        <f t="shared" si="7"/>
        <v>61950</v>
      </c>
      <c r="G90" s="8"/>
      <c r="H90" s="8"/>
      <c r="I90" s="8"/>
      <c r="J90" s="11">
        <f t="shared" si="11"/>
        <v>500</v>
      </c>
      <c r="K90" s="8"/>
      <c r="L90" s="8">
        <v>6</v>
      </c>
    </row>
    <row r="91" spans="1:12">
      <c r="A91" s="12">
        <v>90</v>
      </c>
      <c r="B91" s="11">
        <f t="shared" si="6"/>
        <v>125000</v>
      </c>
      <c r="C91" s="11">
        <f t="shared" si="8"/>
        <v>250</v>
      </c>
      <c r="D91" s="11">
        <f t="shared" si="9"/>
        <v>3</v>
      </c>
      <c r="E91" s="11">
        <f t="shared" si="10"/>
        <v>10575</v>
      </c>
      <c r="F91" s="11">
        <f t="shared" si="7"/>
        <v>63450</v>
      </c>
      <c r="G91" s="8">
        <f>SUM(C82:C91)*K2</f>
        <v>2365</v>
      </c>
      <c r="H91" s="8"/>
      <c r="I91" s="8"/>
      <c r="J91" s="11">
        <f t="shared" si="11"/>
        <v>500</v>
      </c>
      <c r="K91" s="8"/>
      <c r="L91" s="8">
        <v>6</v>
      </c>
    </row>
    <row r="92" spans="1:12">
      <c r="A92" s="12">
        <v>91</v>
      </c>
      <c r="B92" s="11">
        <f t="shared" si="6"/>
        <v>126500</v>
      </c>
      <c r="C92" s="11">
        <f t="shared" si="8"/>
        <v>253</v>
      </c>
      <c r="D92" s="11">
        <f t="shared" si="9"/>
        <v>3</v>
      </c>
      <c r="E92" s="11">
        <f t="shared" si="10"/>
        <v>10828</v>
      </c>
      <c r="F92" s="11">
        <f t="shared" si="7"/>
        <v>64968</v>
      </c>
      <c r="G92" s="8"/>
      <c r="H92" s="8"/>
      <c r="I92" s="8"/>
      <c r="J92" s="11">
        <f t="shared" si="11"/>
        <v>500</v>
      </c>
      <c r="K92" s="8"/>
      <c r="L92" s="8">
        <v>6</v>
      </c>
    </row>
    <row r="93" spans="1:12">
      <c r="A93" s="12">
        <v>92</v>
      </c>
      <c r="B93" s="11">
        <f t="shared" si="6"/>
        <v>128000</v>
      </c>
      <c r="C93" s="11">
        <f t="shared" si="8"/>
        <v>256</v>
      </c>
      <c r="D93" s="11">
        <f t="shared" si="9"/>
        <v>3</v>
      </c>
      <c r="E93" s="11">
        <f t="shared" si="10"/>
        <v>11084</v>
      </c>
      <c r="F93" s="11">
        <f t="shared" si="7"/>
        <v>66504</v>
      </c>
      <c r="G93" s="8"/>
      <c r="H93" s="8"/>
      <c r="I93" s="8"/>
      <c r="J93" s="11">
        <f t="shared" si="11"/>
        <v>500</v>
      </c>
      <c r="K93" s="8"/>
      <c r="L93" s="8">
        <v>6</v>
      </c>
    </row>
    <row r="94" spans="1:12">
      <c r="A94" s="12">
        <v>93</v>
      </c>
      <c r="B94" s="11">
        <f t="shared" si="6"/>
        <v>129500</v>
      </c>
      <c r="C94" s="11">
        <f t="shared" si="8"/>
        <v>259</v>
      </c>
      <c r="D94" s="11">
        <f t="shared" si="9"/>
        <v>3</v>
      </c>
      <c r="E94" s="11">
        <f t="shared" si="10"/>
        <v>11343</v>
      </c>
      <c r="F94" s="11">
        <f t="shared" si="7"/>
        <v>68058</v>
      </c>
      <c r="G94" s="8"/>
      <c r="H94" s="8"/>
      <c r="I94" s="8"/>
      <c r="J94" s="11">
        <f t="shared" si="11"/>
        <v>500</v>
      </c>
      <c r="K94" s="8"/>
      <c r="L94" s="8">
        <v>6</v>
      </c>
    </row>
    <row r="95" spans="1:12">
      <c r="A95" s="12">
        <v>94</v>
      </c>
      <c r="B95" s="11">
        <f t="shared" si="6"/>
        <v>131000</v>
      </c>
      <c r="C95" s="11">
        <f t="shared" si="8"/>
        <v>262</v>
      </c>
      <c r="D95" s="11">
        <f t="shared" si="9"/>
        <v>3</v>
      </c>
      <c r="E95" s="11">
        <f t="shared" si="10"/>
        <v>11605</v>
      </c>
      <c r="F95" s="11">
        <f t="shared" si="7"/>
        <v>69630</v>
      </c>
      <c r="G95" s="8"/>
      <c r="H95" s="8"/>
      <c r="I95" s="8"/>
      <c r="J95" s="11">
        <f t="shared" si="11"/>
        <v>500</v>
      </c>
      <c r="K95" s="8"/>
      <c r="L95" s="8">
        <v>6</v>
      </c>
    </row>
    <row r="96" spans="1:12">
      <c r="A96" s="12">
        <v>95</v>
      </c>
      <c r="B96" s="11">
        <f t="shared" si="6"/>
        <v>132500</v>
      </c>
      <c r="C96" s="11">
        <f t="shared" si="8"/>
        <v>265</v>
      </c>
      <c r="D96" s="11">
        <f t="shared" si="9"/>
        <v>3</v>
      </c>
      <c r="E96" s="11">
        <f t="shared" si="10"/>
        <v>11870</v>
      </c>
      <c r="F96" s="11">
        <f t="shared" si="7"/>
        <v>71220</v>
      </c>
      <c r="G96" s="8"/>
      <c r="H96" s="8"/>
      <c r="I96" s="8"/>
      <c r="J96" s="11">
        <f t="shared" si="11"/>
        <v>500</v>
      </c>
      <c r="K96" s="8"/>
      <c r="L96" s="8">
        <v>6</v>
      </c>
    </row>
    <row r="97" spans="1:12">
      <c r="A97" s="12">
        <v>96</v>
      </c>
      <c r="B97" s="11">
        <f t="shared" si="6"/>
        <v>134000</v>
      </c>
      <c r="C97" s="11">
        <f t="shared" si="8"/>
        <v>268</v>
      </c>
      <c r="D97" s="11">
        <f t="shared" si="9"/>
        <v>3</v>
      </c>
      <c r="E97" s="11">
        <f t="shared" si="10"/>
        <v>12138</v>
      </c>
      <c r="F97" s="11">
        <f t="shared" si="7"/>
        <v>72828</v>
      </c>
      <c r="G97" s="8"/>
      <c r="H97" s="8"/>
      <c r="I97" s="8"/>
      <c r="J97" s="11">
        <f t="shared" si="11"/>
        <v>500</v>
      </c>
      <c r="K97" s="8"/>
      <c r="L97" s="8">
        <v>6</v>
      </c>
    </row>
    <row r="98" spans="1:12">
      <c r="A98" s="12">
        <v>97</v>
      </c>
      <c r="B98" s="11">
        <f t="shared" si="6"/>
        <v>135500</v>
      </c>
      <c r="C98" s="11">
        <f t="shared" si="8"/>
        <v>271</v>
      </c>
      <c r="D98" s="11">
        <f t="shared" si="9"/>
        <v>3</v>
      </c>
      <c r="E98" s="11">
        <f t="shared" si="10"/>
        <v>12409</v>
      </c>
      <c r="F98" s="11">
        <f t="shared" si="7"/>
        <v>74454</v>
      </c>
      <c r="G98" s="8"/>
      <c r="H98" s="8"/>
      <c r="I98" s="8"/>
      <c r="J98" s="11">
        <f t="shared" si="11"/>
        <v>500</v>
      </c>
      <c r="K98" s="8"/>
      <c r="L98" s="8">
        <v>6</v>
      </c>
    </row>
    <row r="99" spans="1:12">
      <c r="A99" s="12">
        <v>98</v>
      </c>
      <c r="B99" s="11">
        <f t="shared" si="6"/>
        <v>137000</v>
      </c>
      <c r="C99" s="11">
        <f t="shared" si="8"/>
        <v>274</v>
      </c>
      <c r="D99" s="11">
        <f t="shared" si="9"/>
        <v>3</v>
      </c>
      <c r="E99" s="11">
        <f t="shared" si="10"/>
        <v>12683</v>
      </c>
      <c r="F99" s="11">
        <f t="shared" si="7"/>
        <v>76098</v>
      </c>
      <c r="G99" s="8"/>
      <c r="H99" s="8"/>
      <c r="I99" s="8"/>
      <c r="J99" s="11">
        <f t="shared" si="11"/>
        <v>500</v>
      </c>
      <c r="K99" s="8"/>
      <c r="L99" s="8">
        <v>6</v>
      </c>
    </row>
    <row r="100" spans="1:12">
      <c r="A100" s="12">
        <v>99</v>
      </c>
      <c r="B100" s="11">
        <f t="shared" si="6"/>
        <v>138500</v>
      </c>
      <c r="C100" s="11">
        <f t="shared" si="8"/>
        <v>277</v>
      </c>
      <c r="D100" s="11">
        <f t="shared" si="9"/>
        <v>3</v>
      </c>
      <c r="E100" s="11">
        <f t="shared" si="10"/>
        <v>12960</v>
      </c>
      <c r="F100" s="11">
        <f t="shared" si="7"/>
        <v>77760</v>
      </c>
      <c r="G100" s="8"/>
      <c r="H100" s="8"/>
      <c r="I100" s="8"/>
      <c r="J100" s="11">
        <f t="shared" si="11"/>
        <v>500</v>
      </c>
      <c r="K100" s="8"/>
      <c r="L100" s="8">
        <v>6</v>
      </c>
    </row>
    <row r="101" spans="1:12">
      <c r="A101" s="12">
        <v>100</v>
      </c>
      <c r="B101" s="11">
        <f t="shared" si="6"/>
        <v>140000</v>
      </c>
      <c r="C101" s="11">
        <f t="shared" si="8"/>
        <v>280</v>
      </c>
      <c r="D101" s="11">
        <f t="shared" si="9"/>
        <v>3</v>
      </c>
      <c r="E101" s="11">
        <f t="shared" si="10"/>
        <v>13240</v>
      </c>
      <c r="F101" s="11">
        <f t="shared" si="7"/>
        <v>79440</v>
      </c>
      <c r="G101" s="8">
        <f>SUM(C92:C101)*K2</f>
        <v>2665</v>
      </c>
      <c r="H101" s="8"/>
      <c r="I101" s="8"/>
      <c r="J101" s="11">
        <f t="shared" si="11"/>
        <v>500</v>
      </c>
      <c r="K101" s="8"/>
      <c r="L101" s="8">
        <v>6</v>
      </c>
    </row>
    <row r="102" spans="1:12">
      <c r="A102" s="12">
        <v>101</v>
      </c>
      <c r="B102" s="11">
        <f t="shared" si="6"/>
        <v>141500</v>
      </c>
      <c r="C102" s="11">
        <f t="shared" si="8"/>
        <v>283</v>
      </c>
      <c r="D102" s="11">
        <f t="shared" si="9"/>
        <v>3</v>
      </c>
      <c r="E102" s="11">
        <f t="shared" si="10"/>
        <v>13523</v>
      </c>
      <c r="F102" s="11">
        <f t="shared" si="7"/>
        <v>81138</v>
      </c>
      <c r="G102" s="8"/>
      <c r="H102" s="8"/>
      <c r="I102" s="8"/>
      <c r="J102" s="11">
        <f t="shared" si="11"/>
        <v>500</v>
      </c>
      <c r="K102" s="8"/>
      <c r="L102" s="8">
        <v>6</v>
      </c>
    </row>
    <row r="103" spans="1:12">
      <c r="A103" s="12">
        <v>102</v>
      </c>
      <c r="B103" s="11">
        <f t="shared" si="6"/>
        <v>143000</v>
      </c>
      <c r="C103" s="11">
        <f t="shared" si="8"/>
        <v>286</v>
      </c>
      <c r="D103" s="11">
        <f t="shared" si="9"/>
        <v>3</v>
      </c>
      <c r="E103" s="11">
        <f t="shared" si="10"/>
        <v>13809</v>
      </c>
      <c r="F103" s="11">
        <f t="shared" si="7"/>
        <v>82854</v>
      </c>
      <c r="G103" s="8"/>
      <c r="H103" s="8"/>
      <c r="I103" s="8"/>
      <c r="J103" s="11">
        <f t="shared" si="11"/>
        <v>500</v>
      </c>
      <c r="K103" s="8"/>
      <c r="L103" s="8">
        <v>6</v>
      </c>
    </row>
    <row r="104" spans="1:12">
      <c r="A104" s="12">
        <v>103</v>
      </c>
      <c r="B104" s="11">
        <f t="shared" si="6"/>
        <v>144500</v>
      </c>
      <c r="C104" s="11">
        <f t="shared" si="8"/>
        <v>289</v>
      </c>
      <c r="D104" s="11">
        <f t="shared" si="9"/>
        <v>3</v>
      </c>
      <c r="E104" s="11">
        <f t="shared" si="10"/>
        <v>14098</v>
      </c>
      <c r="F104" s="11">
        <f t="shared" si="7"/>
        <v>84588</v>
      </c>
      <c r="G104" s="8"/>
      <c r="H104" s="8"/>
      <c r="I104" s="8"/>
      <c r="J104" s="11">
        <f t="shared" si="11"/>
        <v>500</v>
      </c>
      <c r="K104" s="8"/>
      <c r="L104" s="8">
        <v>6</v>
      </c>
    </row>
    <row r="105" spans="1:12">
      <c r="A105" s="12">
        <v>104</v>
      </c>
      <c r="B105" s="11">
        <f t="shared" si="6"/>
        <v>146000</v>
      </c>
      <c r="C105" s="11">
        <f t="shared" si="8"/>
        <v>292</v>
      </c>
      <c r="D105" s="11">
        <f t="shared" si="9"/>
        <v>3</v>
      </c>
      <c r="E105" s="11">
        <f t="shared" si="10"/>
        <v>14390</v>
      </c>
      <c r="F105" s="11">
        <f t="shared" si="7"/>
        <v>86340</v>
      </c>
      <c r="G105" s="8"/>
      <c r="H105" s="8"/>
      <c r="I105" s="8"/>
      <c r="J105" s="11">
        <f t="shared" si="11"/>
        <v>500</v>
      </c>
      <c r="K105" s="8"/>
      <c r="L105" s="8">
        <v>6</v>
      </c>
    </row>
    <row r="106" spans="1:12">
      <c r="A106" s="12">
        <v>105</v>
      </c>
      <c r="B106" s="11">
        <f t="shared" si="6"/>
        <v>147500</v>
      </c>
      <c r="C106" s="11">
        <f t="shared" si="8"/>
        <v>295</v>
      </c>
      <c r="D106" s="11">
        <f t="shared" si="9"/>
        <v>3</v>
      </c>
      <c r="E106" s="11">
        <f t="shared" si="10"/>
        <v>14685</v>
      </c>
      <c r="F106" s="11">
        <f t="shared" si="7"/>
        <v>88110</v>
      </c>
      <c r="G106" s="8"/>
      <c r="H106" s="8"/>
      <c r="I106" s="8"/>
      <c r="J106" s="11">
        <f t="shared" si="11"/>
        <v>500</v>
      </c>
      <c r="K106" s="8"/>
      <c r="L106" s="8">
        <v>6</v>
      </c>
    </row>
    <row r="107" spans="1:12">
      <c r="A107" s="12">
        <v>106</v>
      </c>
      <c r="B107" s="11">
        <f t="shared" si="6"/>
        <v>149000</v>
      </c>
      <c r="C107" s="11">
        <f t="shared" si="8"/>
        <v>298</v>
      </c>
      <c r="D107" s="11">
        <f t="shared" si="9"/>
        <v>3</v>
      </c>
      <c r="E107" s="11">
        <f t="shared" si="10"/>
        <v>14983</v>
      </c>
      <c r="F107" s="11">
        <f t="shared" si="7"/>
        <v>89898</v>
      </c>
      <c r="G107" s="8"/>
      <c r="H107" s="8"/>
      <c r="I107" s="8"/>
      <c r="J107" s="11">
        <f t="shared" si="11"/>
        <v>500</v>
      </c>
      <c r="K107" s="8"/>
      <c r="L107" s="8">
        <v>6</v>
      </c>
    </row>
    <row r="108" spans="1:12">
      <c r="A108" s="12">
        <v>107</v>
      </c>
      <c r="B108" s="11">
        <f t="shared" si="6"/>
        <v>150500</v>
      </c>
      <c r="C108" s="11">
        <f t="shared" si="8"/>
        <v>301</v>
      </c>
      <c r="D108" s="11">
        <f t="shared" si="9"/>
        <v>3</v>
      </c>
      <c r="E108" s="11">
        <f t="shared" si="10"/>
        <v>15284</v>
      </c>
      <c r="F108" s="11">
        <f t="shared" si="7"/>
        <v>91704</v>
      </c>
      <c r="G108" s="8"/>
      <c r="H108" s="8"/>
      <c r="I108" s="8"/>
      <c r="J108" s="11">
        <f t="shared" si="11"/>
        <v>500</v>
      </c>
      <c r="K108" s="8"/>
      <c r="L108" s="8">
        <v>6</v>
      </c>
    </row>
    <row r="109" spans="1:12">
      <c r="A109" s="12">
        <v>108</v>
      </c>
      <c r="B109" s="11">
        <f t="shared" si="6"/>
        <v>152000</v>
      </c>
      <c r="C109" s="11">
        <f t="shared" si="8"/>
        <v>304</v>
      </c>
      <c r="D109" s="11">
        <f t="shared" si="9"/>
        <v>3</v>
      </c>
      <c r="E109" s="11">
        <f t="shared" si="10"/>
        <v>15588</v>
      </c>
      <c r="F109" s="11">
        <f t="shared" si="7"/>
        <v>93528</v>
      </c>
      <c r="G109" s="8"/>
      <c r="H109" s="8"/>
      <c r="I109" s="8"/>
      <c r="J109" s="11">
        <f t="shared" si="11"/>
        <v>500</v>
      </c>
      <c r="K109" s="8"/>
      <c r="L109" s="8">
        <v>6</v>
      </c>
    </row>
    <row r="110" spans="1:12">
      <c r="A110" s="12">
        <v>109</v>
      </c>
      <c r="B110" s="11">
        <f t="shared" si="6"/>
        <v>153500</v>
      </c>
      <c r="C110" s="11">
        <f t="shared" si="8"/>
        <v>307</v>
      </c>
      <c r="D110" s="11">
        <f t="shared" si="9"/>
        <v>3</v>
      </c>
      <c r="E110" s="11">
        <f t="shared" si="10"/>
        <v>15895</v>
      </c>
      <c r="F110" s="11">
        <f t="shared" si="7"/>
        <v>95370</v>
      </c>
      <c r="G110" s="8"/>
      <c r="H110" s="8"/>
      <c r="I110" s="8"/>
      <c r="J110" s="11">
        <f t="shared" si="11"/>
        <v>500</v>
      </c>
      <c r="K110" s="8"/>
      <c r="L110" s="8">
        <v>6</v>
      </c>
    </row>
    <row r="111" spans="1:12">
      <c r="A111" s="12">
        <v>110</v>
      </c>
      <c r="B111" s="11">
        <f t="shared" si="6"/>
        <v>155000</v>
      </c>
      <c r="C111" s="11">
        <f t="shared" si="8"/>
        <v>310</v>
      </c>
      <c r="D111" s="11">
        <f t="shared" si="9"/>
        <v>3</v>
      </c>
      <c r="E111" s="11">
        <f t="shared" si="10"/>
        <v>16205</v>
      </c>
      <c r="F111" s="11">
        <f t="shared" si="7"/>
        <v>97230</v>
      </c>
      <c r="G111" s="8">
        <f>SUM(C102:C111)*K2</f>
        <v>2965</v>
      </c>
      <c r="H111" s="8"/>
      <c r="I111" s="8"/>
      <c r="J111" s="11">
        <f t="shared" si="11"/>
        <v>500</v>
      </c>
      <c r="K111" s="8"/>
      <c r="L111" s="8">
        <v>6</v>
      </c>
    </row>
    <row r="112" spans="1:12">
      <c r="A112" s="12">
        <v>111</v>
      </c>
      <c r="B112" s="11">
        <f t="shared" si="6"/>
        <v>156500</v>
      </c>
      <c r="C112" s="11">
        <f t="shared" si="8"/>
        <v>313</v>
      </c>
      <c r="D112" s="11">
        <f t="shared" si="9"/>
        <v>3</v>
      </c>
      <c r="E112" s="11">
        <f t="shared" si="10"/>
        <v>16518</v>
      </c>
      <c r="F112" s="11">
        <f t="shared" si="7"/>
        <v>99108</v>
      </c>
      <c r="G112" s="8"/>
      <c r="H112" s="8"/>
      <c r="I112" s="8"/>
      <c r="J112" s="11">
        <f t="shared" si="11"/>
        <v>500</v>
      </c>
      <c r="K112" s="8"/>
      <c r="L112" s="8">
        <v>6</v>
      </c>
    </row>
    <row r="113" spans="1:12">
      <c r="A113" s="12">
        <v>112</v>
      </c>
      <c r="B113" s="11">
        <f t="shared" si="6"/>
        <v>158000</v>
      </c>
      <c r="C113" s="11">
        <f t="shared" si="8"/>
        <v>316</v>
      </c>
      <c r="D113" s="11">
        <f t="shared" si="9"/>
        <v>3</v>
      </c>
      <c r="E113" s="11">
        <f t="shared" si="10"/>
        <v>16834</v>
      </c>
      <c r="F113" s="11">
        <f t="shared" si="7"/>
        <v>101004</v>
      </c>
      <c r="G113" s="8"/>
      <c r="H113" s="8"/>
      <c r="I113" s="8"/>
      <c r="J113" s="11">
        <f t="shared" si="11"/>
        <v>500</v>
      </c>
      <c r="K113" s="8"/>
      <c r="L113" s="8">
        <v>6</v>
      </c>
    </row>
    <row r="114" spans="1:12">
      <c r="A114" s="12">
        <v>113</v>
      </c>
      <c r="B114" s="11">
        <f t="shared" si="6"/>
        <v>159500</v>
      </c>
      <c r="C114" s="11">
        <f t="shared" si="8"/>
        <v>319</v>
      </c>
      <c r="D114" s="11">
        <f t="shared" si="9"/>
        <v>3</v>
      </c>
      <c r="E114" s="11">
        <f t="shared" si="10"/>
        <v>17153</v>
      </c>
      <c r="F114" s="11">
        <f t="shared" si="7"/>
        <v>102918</v>
      </c>
      <c r="G114" s="8"/>
      <c r="H114" s="8"/>
      <c r="I114" s="8"/>
      <c r="J114" s="11">
        <f t="shared" si="11"/>
        <v>500</v>
      </c>
      <c r="K114" s="8"/>
      <c r="L114" s="8">
        <v>6</v>
      </c>
    </row>
    <row r="115" spans="1:12">
      <c r="A115" s="12">
        <v>114</v>
      </c>
      <c r="B115" s="11">
        <f t="shared" si="6"/>
        <v>161000</v>
      </c>
      <c r="C115" s="11">
        <f t="shared" si="8"/>
        <v>322</v>
      </c>
      <c r="D115" s="11">
        <f t="shared" si="9"/>
        <v>3</v>
      </c>
      <c r="E115" s="11">
        <f t="shared" si="10"/>
        <v>17475</v>
      </c>
      <c r="F115" s="11">
        <f t="shared" si="7"/>
        <v>104850</v>
      </c>
      <c r="G115" s="8"/>
      <c r="H115" s="8"/>
      <c r="I115" s="8"/>
      <c r="J115" s="11">
        <f t="shared" si="11"/>
        <v>500</v>
      </c>
      <c r="K115" s="8"/>
      <c r="L115" s="8">
        <v>6</v>
      </c>
    </row>
    <row r="116" spans="1:12">
      <c r="A116" s="12">
        <v>115</v>
      </c>
      <c r="B116" s="11">
        <f t="shared" si="6"/>
        <v>162500</v>
      </c>
      <c r="C116" s="11">
        <f t="shared" si="8"/>
        <v>325</v>
      </c>
      <c r="D116" s="11">
        <f t="shared" si="9"/>
        <v>3</v>
      </c>
      <c r="E116" s="11">
        <f t="shared" si="10"/>
        <v>17800</v>
      </c>
      <c r="F116" s="11">
        <f t="shared" si="7"/>
        <v>106800</v>
      </c>
      <c r="G116" s="8"/>
      <c r="H116" s="8"/>
      <c r="I116" s="8"/>
      <c r="J116" s="11">
        <f t="shared" si="11"/>
        <v>500</v>
      </c>
      <c r="K116" s="8"/>
      <c r="L116" s="8">
        <v>6</v>
      </c>
    </row>
    <row r="117" spans="1:12">
      <c r="A117" s="12">
        <v>116</v>
      </c>
      <c r="B117" s="11">
        <f t="shared" si="6"/>
        <v>164000</v>
      </c>
      <c r="C117" s="11">
        <f t="shared" si="8"/>
        <v>328</v>
      </c>
      <c r="D117" s="11">
        <f t="shared" si="9"/>
        <v>3</v>
      </c>
      <c r="E117" s="11">
        <f t="shared" si="10"/>
        <v>18128</v>
      </c>
      <c r="F117" s="11">
        <f t="shared" si="7"/>
        <v>108768</v>
      </c>
      <c r="G117" s="8"/>
      <c r="H117" s="8"/>
      <c r="I117" s="8"/>
      <c r="J117" s="11">
        <f t="shared" si="11"/>
        <v>500</v>
      </c>
      <c r="K117" s="8"/>
      <c r="L117" s="8">
        <v>6</v>
      </c>
    </row>
    <row r="118" spans="1:12">
      <c r="A118" s="12">
        <v>117</v>
      </c>
      <c r="B118" s="11">
        <f t="shared" si="6"/>
        <v>165500</v>
      </c>
      <c r="C118" s="11">
        <f t="shared" si="8"/>
        <v>331</v>
      </c>
      <c r="D118" s="11">
        <f t="shared" si="9"/>
        <v>3</v>
      </c>
      <c r="E118" s="11">
        <f t="shared" si="10"/>
        <v>18459</v>
      </c>
      <c r="F118" s="11">
        <f t="shared" si="7"/>
        <v>110754</v>
      </c>
      <c r="G118" s="8"/>
      <c r="H118" s="8"/>
      <c r="I118" s="8"/>
      <c r="J118" s="11">
        <f t="shared" si="11"/>
        <v>500</v>
      </c>
      <c r="K118" s="8"/>
      <c r="L118" s="8">
        <v>6</v>
      </c>
    </row>
    <row r="119" spans="1:12">
      <c r="A119" s="12">
        <v>118</v>
      </c>
      <c r="B119" s="11">
        <f t="shared" si="6"/>
        <v>167000</v>
      </c>
      <c r="C119" s="11">
        <f t="shared" si="8"/>
        <v>334</v>
      </c>
      <c r="D119" s="11">
        <f t="shared" si="9"/>
        <v>3</v>
      </c>
      <c r="E119" s="11">
        <f t="shared" si="10"/>
        <v>18793</v>
      </c>
      <c r="F119" s="11">
        <f t="shared" si="7"/>
        <v>112758</v>
      </c>
      <c r="G119" s="8"/>
      <c r="H119" s="8"/>
      <c r="I119" s="8"/>
      <c r="J119" s="11">
        <f t="shared" si="11"/>
        <v>500</v>
      </c>
      <c r="K119" s="8"/>
      <c r="L119" s="8">
        <v>6</v>
      </c>
    </row>
    <row r="120" spans="1:12">
      <c r="A120" s="12">
        <v>119</v>
      </c>
      <c r="B120" s="11">
        <f t="shared" si="6"/>
        <v>168500</v>
      </c>
      <c r="C120" s="11">
        <f t="shared" si="8"/>
        <v>337</v>
      </c>
      <c r="D120" s="11">
        <f t="shared" si="9"/>
        <v>3</v>
      </c>
      <c r="E120" s="11">
        <f t="shared" si="10"/>
        <v>19130</v>
      </c>
      <c r="F120" s="11">
        <f t="shared" si="7"/>
        <v>114780</v>
      </c>
      <c r="G120" s="8"/>
      <c r="H120" s="8"/>
      <c r="I120" s="8"/>
      <c r="J120" s="11">
        <f t="shared" si="11"/>
        <v>500</v>
      </c>
      <c r="K120" s="8"/>
      <c r="L120" s="8">
        <v>6</v>
      </c>
    </row>
    <row r="121" spans="1:12">
      <c r="A121" s="12">
        <v>120</v>
      </c>
      <c r="B121" s="11">
        <f t="shared" si="6"/>
        <v>170000</v>
      </c>
      <c r="C121" s="11">
        <f t="shared" si="8"/>
        <v>340</v>
      </c>
      <c r="D121" s="11">
        <f t="shared" si="9"/>
        <v>3</v>
      </c>
      <c r="E121" s="11">
        <f t="shared" si="10"/>
        <v>19470</v>
      </c>
      <c r="F121" s="11">
        <f t="shared" si="7"/>
        <v>116820</v>
      </c>
      <c r="G121" s="8">
        <f>SUM(C112:C121)*K2</f>
        <v>3265</v>
      </c>
      <c r="H121" s="8"/>
      <c r="I121" s="8"/>
      <c r="J121" s="11">
        <f t="shared" si="11"/>
        <v>500</v>
      </c>
      <c r="K121" s="8"/>
      <c r="L121" s="8">
        <v>6</v>
      </c>
    </row>
    <row r="122" spans="1:12">
      <c r="B122" s="2">
        <f>SUM(B2:B121)</f>
        <v>9735000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2"/>
  <sheetViews>
    <sheetView zoomScale="98" zoomScaleNormal="98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R2" sqref="R1:R1048576"/>
    </sheetView>
  </sheetViews>
  <sheetFormatPr defaultRowHeight="14.25"/>
  <cols>
    <col min="1" max="1" width="5.25" style="13" bestFit="1" customWidth="1"/>
    <col min="2" max="3" width="4.5" style="1" bestFit="1" customWidth="1"/>
    <col min="4" max="4" width="3.375" style="1" bestFit="1" customWidth="1"/>
    <col min="5" max="5" width="4.5" style="1" bestFit="1" customWidth="1"/>
    <col min="6" max="11" width="5.25" style="3" bestFit="1" customWidth="1"/>
    <col min="12" max="12" width="5.375" style="36" bestFit="1" customWidth="1"/>
    <col min="13" max="13" width="4.5" bestFit="1" customWidth="1"/>
    <col min="14" max="14" width="3.375" style="3" bestFit="1" customWidth="1"/>
    <col min="15" max="15" width="4.5" style="80" bestFit="1" customWidth="1"/>
    <col min="16" max="16" width="3.375" style="3" bestFit="1" customWidth="1"/>
    <col min="17" max="17" width="4.5" style="3" bestFit="1" customWidth="1"/>
    <col min="18" max="18" width="5.5" style="3" bestFit="1" customWidth="1"/>
    <col min="19" max="20" width="7.125" style="3" bestFit="1" customWidth="1"/>
    <col min="21" max="21" width="5.375" style="30" bestFit="1" customWidth="1"/>
    <col min="22" max="25" width="4.5" style="3" bestFit="1" customWidth="1"/>
    <col min="26" max="26" width="5.5" style="3" bestFit="1" customWidth="1"/>
    <col min="27" max="27" width="5.375" style="36" bestFit="1" customWidth="1"/>
    <col min="28" max="28" width="3.375" style="3" bestFit="1" customWidth="1"/>
    <col min="29" max="30" width="4.5" style="3" bestFit="1" customWidth="1"/>
    <col min="31" max="31" width="3.375" style="3" bestFit="1" customWidth="1"/>
    <col min="32" max="32" width="4.5" style="3" bestFit="1" customWidth="1"/>
    <col min="33" max="33" width="5.25" style="3" bestFit="1" customWidth="1"/>
    <col min="34" max="35" width="7.125" style="3" bestFit="1" customWidth="1"/>
    <col min="36" max="36" width="5.375" style="30" bestFit="1" customWidth="1"/>
    <col min="37" max="37" width="5.375" style="89" bestFit="1" customWidth="1"/>
    <col min="38" max="38" width="5.25" style="3" bestFit="1" customWidth="1"/>
    <col min="39" max="42" width="4.5" style="3" bestFit="1" customWidth="1"/>
    <col min="43" max="43" width="5.5" style="3" bestFit="1" customWidth="1"/>
    <col min="44" max="44" width="5.375" style="36" bestFit="1" customWidth="1"/>
    <col min="45" max="45" width="9" style="3" bestFit="1" customWidth="1"/>
    <col min="46" max="46" width="9" style="36" bestFit="1" customWidth="1"/>
    <col min="47" max="16384" width="9" style="1"/>
  </cols>
  <sheetData>
    <row r="1" spans="1:46" s="18" customFormat="1" ht="15" thickBot="1">
      <c r="B1" s="96" t="s">
        <v>36</v>
      </c>
      <c r="C1" s="97"/>
      <c r="D1" s="97"/>
      <c r="E1" s="97"/>
      <c r="F1" s="97"/>
      <c r="G1" s="97"/>
      <c r="H1" s="97"/>
      <c r="I1" s="97"/>
      <c r="J1" s="97"/>
      <c r="K1" s="98"/>
      <c r="L1" s="31"/>
      <c r="M1" s="99" t="s">
        <v>37</v>
      </c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1"/>
      <c r="AA1" s="31"/>
      <c r="AB1" s="99" t="s">
        <v>38</v>
      </c>
      <c r="AC1" s="100"/>
      <c r="AD1" s="100"/>
      <c r="AE1" s="100"/>
      <c r="AF1" s="100"/>
      <c r="AG1" s="100"/>
      <c r="AH1" s="100"/>
      <c r="AI1" s="101"/>
      <c r="AJ1" s="26"/>
      <c r="AK1" s="86"/>
      <c r="AL1" s="96" t="s">
        <v>39</v>
      </c>
      <c r="AM1" s="97"/>
      <c r="AN1" s="97"/>
      <c r="AO1" s="97"/>
      <c r="AP1" s="97"/>
      <c r="AQ1" s="98"/>
      <c r="AR1" s="31"/>
      <c r="AS1" s="18" t="s">
        <v>29</v>
      </c>
      <c r="AT1" s="31"/>
    </row>
    <row r="2" spans="1:46" s="18" customFormat="1">
      <c r="A2" s="18" t="s">
        <v>0</v>
      </c>
      <c r="B2" s="18" t="s">
        <v>49</v>
      </c>
      <c r="C2" s="18" t="s">
        <v>50</v>
      </c>
      <c r="D2" s="18" t="s">
        <v>51</v>
      </c>
      <c r="E2" s="18" t="s">
        <v>52</v>
      </c>
      <c r="F2" s="18" t="s">
        <v>53</v>
      </c>
      <c r="G2" s="18" t="s">
        <v>54</v>
      </c>
      <c r="H2" s="18" t="s">
        <v>55</v>
      </c>
      <c r="I2" s="18" t="s">
        <v>56</v>
      </c>
      <c r="J2" s="18" t="s">
        <v>57</v>
      </c>
      <c r="K2" s="18" t="s">
        <v>41</v>
      </c>
      <c r="L2" s="32" t="s">
        <v>48</v>
      </c>
      <c r="M2" s="18" t="s">
        <v>60</v>
      </c>
      <c r="N2" s="18" t="s">
        <v>49</v>
      </c>
      <c r="O2" s="18" t="s">
        <v>50</v>
      </c>
      <c r="P2" s="18" t="s">
        <v>51</v>
      </c>
      <c r="Q2" s="18" t="s">
        <v>52</v>
      </c>
      <c r="R2" s="18" t="s">
        <v>58</v>
      </c>
      <c r="S2" s="14" t="s">
        <v>62</v>
      </c>
      <c r="T2" s="14" t="s">
        <v>63</v>
      </c>
      <c r="U2" s="27" t="s">
        <v>47</v>
      </c>
      <c r="V2" s="18" t="s">
        <v>44</v>
      </c>
      <c r="W2" s="18" t="s">
        <v>30</v>
      </c>
      <c r="X2" s="18" t="s">
        <v>31</v>
      </c>
      <c r="Y2" s="18" t="s">
        <v>32</v>
      </c>
      <c r="Z2" s="18" t="s">
        <v>33</v>
      </c>
      <c r="AA2" s="32" t="s">
        <v>48</v>
      </c>
      <c r="AB2" s="18" t="s">
        <v>12</v>
      </c>
      <c r="AC2" s="18" t="s">
        <v>49</v>
      </c>
      <c r="AD2" s="18" t="s">
        <v>50</v>
      </c>
      <c r="AE2" s="18" t="s">
        <v>51</v>
      </c>
      <c r="AF2" s="18" t="s">
        <v>52</v>
      </c>
      <c r="AG2" s="18" t="s">
        <v>58</v>
      </c>
      <c r="AH2" s="14" t="s">
        <v>64</v>
      </c>
      <c r="AI2" s="14" t="s">
        <v>65</v>
      </c>
      <c r="AJ2" s="27" t="s">
        <v>47</v>
      </c>
      <c r="AK2" s="32" t="s">
        <v>48</v>
      </c>
      <c r="AL2" s="18" t="s">
        <v>45</v>
      </c>
      <c r="AM2" s="18" t="s">
        <v>44</v>
      </c>
      <c r="AN2" s="18" t="s">
        <v>30</v>
      </c>
      <c r="AO2" s="18" t="s">
        <v>31</v>
      </c>
      <c r="AP2" s="18" t="s">
        <v>32</v>
      </c>
      <c r="AQ2" s="18" t="s">
        <v>33</v>
      </c>
      <c r="AR2" s="32" t="s">
        <v>48</v>
      </c>
      <c r="AS2" s="18" t="s">
        <v>59</v>
      </c>
      <c r="AT2" s="32" t="s">
        <v>40</v>
      </c>
    </row>
    <row r="3" spans="1:46">
      <c r="A3" s="12">
        <v>1</v>
      </c>
      <c r="B3" s="9">
        <v>1.2</v>
      </c>
      <c r="C3" s="9">
        <v>1.5</v>
      </c>
      <c r="D3" s="9">
        <v>2</v>
      </c>
      <c r="E3" s="9">
        <v>2.5</v>
      </c>
      <c r="F3" s="10">
        <v>0.5</v>
      </c>
      <c r="G3" s="10">
        <v>0.3</v>
      </c>
      <c r="H3" s="10">
        <v>0.6</v>
      </c>
      <c r="I3" s="10">
        <v>0.3</v>
      </c>
      <c r="J3" s="10">
        <v>0.8</v>
      </c>
      <c r="K3" s="10">
        <v>1.2</v>
      </c>
      <c r="L3" s="33">
        <f>SUM(K3,J3,I3,H3,G3,F3,E3)</f>
        <v>6.1999999999999993</v>
      </c>
      <c r="M3" s="37">
        <v>1.5</v>
      </c>
      <c r="N3" s="9">
        <v>2</v>
      </c>
      <c r="O3" s="81">
        <v>2.5</v>
      </c>
      <c r="P3" s="9">
        <v>3</v>
      </c>
      <c r="Q3" s="9">
        <v>3.5</v>
      </c>
      <c r="R3" s="10">
        <v>0.75</v>
      </c>
      <c r="S3" s="10">
        <v>0.3</v>
      </c>
      <c r="T3" s="10">
        <v>0.3</v>
      </c>
      <c r="U3" s="28">
        <v>0.05</v>
      </c>
      <c r="V3" s="15">
        <v>0.2</v>
      </c>
      <c r="W3" s="15">
        <v>0.3</v>
      </c>
      <c r="X3" s="15">
        <v>0.5</v>
      </c>
      <c r="Y3" s="15">
        <v>0.8</v>
      </c>
      <c r="Z3" s="15">
        <v>1.2</v>
      </c>
      <c r="AA3" s="33">
        <f>Q3*(1+Z3)+R3+S3+T3+U3</f>
        <v>9.1000000000000032</v>
      </c>
      <c r="AB3" s="4">
        <v>1</v>
      </c>
      <c r="AC3" s="10">
        <v>1.2</v>
      </c>
      <c r="AD3" s="10">
        <v>1.5</v>
      </c>
      <c r="AE3" s="10">
        <v>2</v>
      </c>
      <c r="AF3" s="10">
        <v>2.5</v>
      </c>
      <c r="AG3" s="10">
        <v>0.5</v>
      </c>
      <c r="AH3" s="10">
        <v>0.2</v>
      </c>
      <c r="AI3" s="10">
        <v>0.2</v>
      </c>
      <c r="AJ3" s="28">
        <v>0.03</v>
      </c>
      <c r="AK3" s="90">
        <f>AF3+AG3+AH3+AI3+AJ3</f>
        <v>3.43</v>
      </c>
      <c r="AL3" s="9">
        <v>1.2</v>
      </c>
      <c r="AM3" s="15">
        <v>0.2</v>
      </c>
      <c r="AN3" s="15">
        <v>0.3</v>
      </c>
      <c r="AO3" s="15">
        <v>0.5</v>
      </c>
      <c r="AP3" s="15">
        <v>0.8</v>
      </c>
      <c r="AQ3" s="15">
        <v>1.2</v>
      </c>
      <c r="AR3" s="90">
        <f>AL3*(1+AQ3)</f>
        <v>2.64</v>
      </c>
      <c r="AS3" s="10">
        <v>0.2</v>
      </c>
      <c r="AT3" s="33">
        <f>SUM(L3,AA3,AK3,AR3,AS3)</f>
        <v>21.570000000000004</v>
      </c>
    </row>
    <row r="4" spans="1:46">
      <c r="A4" s="12">
        <v>2</v>
      </c>
      <c r="B4" s="8">
        <f>B3</f>
        <v>1.2</v>
      </c>
      <c r="C4" s="8">
        <f>C3</f>
        <v>1.5</v>
      </c>
      <c r="D4" s="8">
        <f>D3</f>
        <v>2</v>
      </c>
      <c r="E4" s="8">
        <f t="shared" ref="E4:Q4" si="0">E3</f>
        <v>2.5</v>
      </c>
      <c r="F4" s="8">
        <f t="shared" si="0"/>
        <v>0.5</v>
      </c>
      <c r="G4" s="8">
        <f t="shared" si="0"/>
        <v>0.3</v>
      </c>
      <c r="H4" s="8">
        <f t="shared" si="0"/>
        <v>0.6</v>
      </c>
      <c r="I4" s="8">
        <f t="shared" si="0"/>
        <v>0.3</v>
      </c>
      <c r="J4" s="8">
        <f t="shared" si="0"/>
        <v>0.8</v>
      </c>
      <c r="K4" s="8">
        <f>K3</f>
        <v>1.2</v>
      </c>
      <c r="L4" s="34"/>
      <c r="M4" s="8">
        <f>M3</f>
        <v>1.5</v>
      </c>
      <c r="N4" s="8">
        <f>N3</f>
        <v>2</v>
      </c>
      <c r="O4" s="79">
        <f>O3</f>
        <v>2.5</v>
      </c>
      <c r="P4" s="8">
        <f t="shared" si="0"/>
        <v>3</v>
      </c>
      <c r="Q4" s="8">
        <f t="shared" si="0"/>
        <v>3.5</v>
      </c>
      <c r="R4" s="11">
        <f t="shared" ref="R4" si="1">R3</f>
        <v>0.75</v>
      </c>
      <c r="S4" s="11">
        <f>S3</f>
        <v>0.3</v>
      </c>
      <c r="T4" s="11">
        <f>T3</f>
        <v>0.3</v>
      </c>
      <c r="U4" s="29">
        <f>U3</f>
        <v>0.05</v>
      </c>
      <c r="V4" s="19">
        <f>V3</f>
        <v>0.2</v>
      </c>
      <c r="W4" s="19">
        <f t="shared" ref="W4:Z4" si="2">W3</f>
        <v>0.3</v>
      </c>
      <c r="X4" s="19">
        <f t="shared" si="2"/>
        <v>0.5</v>
      </c>
      <c r="Y4" s="19">
        <f t="shared" si="2"/>
        <v>0.8</v>
      </c>
      <c r="Z4" s="19">
        <f t="shared" si="2"/>
        <v>1.2</v>
      </c>
      <c r="AA4" s="34"/>
      <c r="AB4" s="8">
        <f t="shared" ref="AB4:AJ4" si="3">AB3</f>
        <v>1</v>
      </c>
      <c r="AC4" s="8">
        <f t="shared" si="3"/>
        <v>1.2</v>
      </c>
      <c r="AD4" s="8">
        <f t="shared" si="3"/>
        <v>1.5</v>
      </c>
      <c r="AE4" s="8">
        <f t="shared" si="3"/>
        <v>2</v>
      </c>
      <c r="AF4" s="8">
        <f t="shared" si="3"/>
        <v>2.5</v>
      </c>
      <c r="AG4" s="8">
        <f t="shared" si="3"/>
        <v>0.5</v>
      </c>
      <c r="AH4" s="8">
        <f t="shared" si="3"/>
        <v>0.2</v>
      </c>
      <c r="AI4" s="8">
        <f t="shared" si="3"/>
        <v>0.2</v>
      </c>
      <c r="AJ4" s="8">
        <f t="shared" si="3"/>
        <v>0.03</v>
      </c>
      <c r="AK4" s="88"/>
      <c r="AL4" s="8">
        <f t="shared" ref="AL4" si="4">AL3</f>
        <v>1.2</v>
      </c>
      <c r="AM4" s="91">
        <f t="shared" ref="AM4" si="5">AM3</f>
        <v>0.2</v>
      </c>
      <c r="AN4" s="91">
        <f t="shared" ref="AN4" si="6">AN3</f>
        <v>0.3</v>
      </c>
      <c r="AO4" s="91">
        <f t="shared" ref="AO4" si="7">AO3</f>
        <v>0.5</v>
      </c>
      <c r="AP4" s="91">
        <f t="shared" ref="AP4" si="8">AP3</f>
        <v>0.8</v>
      </c>
      <c r="AQ4" s="91">
        <f t="shared" ref="AQ4" si="9">AQ3</f>
        <v>1.2</v>
      </c>
      <c r="AR4" s="34"/>
      <c r="AS4" s="8">
        <f t="shared" ref="AS4:AS67" si="10">AS3</f>
        <v>0.2</v>
      </c>
      <c r="AT4" s="34"/>
    </row>
    <row r="5" spans="1:46">
      <c r="A5" s="12">
        <v>3</v>
      </c>
      <c r="B5" s="8">
        <f t="shared" ref="B5:B68" si="11">B4</f>
        <v>1.2</v>
      </c>
      <c r="C5" s="8">
        <f t="shared" ref="C5:C68" si="12">C4</f>
        <v>1.5</v>
      </c>
      <c r="D5" s="8">
        <f t="shared" ref="D5:J36" si="13">D4</f>
        <v>2</v>
      </c>
      <c r="E5" s="8">
        <f t="shared" si="13"/>
        <v>2.5</v>
      </c>
      <c r="F5" s="8">
        <f t="shared" si="13"/>
        <v>0.5</v>
      </c>
      <c r="G5" s="8">
        <f t="shared" si="13"/>
        <v>0.3</v>
      </c>
      <c r="H5" s="8">
        <f t="shared" si="13"/>
        <v>0.6</v>
      </c>
      <c r="I5" s="8">
        <f t="shared" si="13"/>
        <v>0.3</v>
      </c>
      <c r="J5" s="8">
        <f t="shared" si="13"/>
        <v>0.8</v>
      </c>
      <c r="K5" s="8">
        <f t="shared" ref="K5:K68" si="14">K4</f>
        <v>1.2</v>
      </c>
      <c r="L5" s="35"/>
      <c r="M5" s="8">
        <f t="shared" ref="M5:M68" si="15">M4</f>
        <v>1.5</v>
      </c>
      <c r="N5" s="8">
        <f t="shared" ref="N5:N68" si="16">N4</f>
        <v>2</v>
      </c>
      <c r="O5" s="79">
        <f t="shared" ref="O5:R36" si="17">O4</f>
        <v>2.5</v>
      </c>
      <c r="P5" s="8">
        <f t="shared" si="17"/>
        <v>3</v>
      </c>
      <c r="Q5" s="8">
        <f t="shared" si="17"/>
        <v>3.5</v>
      </c>
      <c r="R5" s="11">
        <f t="shared" si="17"/>
        <v>0.75</v>
      </c>
      <c r="S5" s="11">
        <f t="shared" ref="S5:S68" si="18">S4</f>
        <v>0.3</v>
      </c>
      <c r="T5" s="11">
        <f t="shared" ref="T5:T68" si="19">T4</f>
        <v>0.3</v>
      </c>
      <c r="U5" s="29">
        <f t="shared" ref="U5:U68" si="20">U4</f>
        <v>0.05</v>
      </c>
      <c r="V5" s="19">
        <f t="shared" ref="V5:Z36" si="21">V4</f>
        <v>0.2</v>
      </c>
      <c r="W5" s="19">
        <f t="shared" si="21"/>
        <v>0.3</v>
      </c>
      <c r="X5" s="19">
        <f t="shared" si="21"/>
        <v>0.5</v>
      </c>
      <c r="Y5" s="19">
        <f t="shared" si="21"/>
        <v>0.8</v>
      </c>
      <c r="Z5" s="19">
        <f t="shared" si="21"/>
        <v>1.2</v>
      </c>
      <c r="AA5" s="35"/>
      <c r="AB5" s="8">
        <f t="shared" ref="AB5:AB68" si="22">AB4</f>
        <v>1</v>
      </c>
      <c r="AC5" s="8">
        <f t="shared" ref="AC5:AC68" si="23">AC4</f>
        <v>1.2</v>
      </c>
      <c r="AD5" s="8">
        <f t="shared" ref="AD5:AD68" si="24">AD4</f>
        <v>1.5</v>
      </c>
      <c r="AE5" s="8">
        <f t="shared" ref="AE5:AE68" si="25">AE4</f>
        <v>2</v>
      </c>
      <c r="AF5" s="8">
        <f t="shared" ref="AF5:AF68" si="26">AF4</f>
        <v>2.5</v>
      </c>
      <c r="AG5" s="8">
        <f t="shared" ref="AG5:AG68" si="27">AG4</f>
        <v>0.5</v>
      </c>
      <c r="AH5" s="8">
        <f t="shared" ref="AH5:AH68" si="28">AH4</f>
        <v>0.2</v>
      </c>
      <c r="AI5" s="8">
        <f t="shared" ref="AI5:AI68" si="29">AI4</f>
        <v>0.2</v>
      </c>
      <c r="AJ5" s="8">
        <f t="shared" ref="AJ5:AJ68" si="30">AJ4</f>
        <v>0.03</v>
      </c>
      <c r="AK5" s="87"/>
      <c r="AL5" s="8">
        <f t="shared" ref="AL5:AL68" si="31">AL4</f>
        <v>1.2</v>
      </c>
      <c r="AM5" s="91">
        <f t="shared" ref="AM5:AM68" si="32">AM4</f>
        <v>0.2</v>
      </c>
      <c r="AN5" s="91">
        <f t="shared" ref="AN5:AN68" si="33">AN4</f>
        <v>0.3</v>
      </c>
      <c r="AO5" s="91">
        <f t="shared" ref="AO5:AO68" si="34">AO4</f>
        <v>0.5</v>
      </c>
      <c r="AP5" s="91">
        <f t="shared" ref="AP5:AP68" si="35">AP4</f>
        <v>0.8</v>
      </c>
      <c r="AQ5" s="91">
        <f t="shared" ref="AQ5:AQ68" si="36">AQ4</f>
        <v>1.2</v>
      </c>
      <c r="AR5" s="35"/>
      <c r="AS5" s="8">
        <f t="shared" si="10"/>
        <v>0.2</v>
      </c>
      <c r="AT5" s="35"/>
    </row>
    <row r="6" spans="1:46">
      <c r="A6" s="12">
        <v>4</v>
      </c>
      <c r="B6" s="8">
        <f t="shared" si="11"/>
        <v>1.2</v>
      </c>
      <c r="C6" s="8">
        <f t="shared" si="12"/>
        <v>1.5</v>
      </c>
      <c r="D6" s="8">
        <f t="shared" si="13"/>
        <v>2</v>
      </c>
      <c r="E6" s="8">
        <f t="shared" si="13"/>
        <v>2.5</v>
      </c>
      <c r="F6" s="8">
        <f t="shared" si="13"/>
        <v>0.5</v>
      </c>
      <c r="G6" s="8">
        <f t="shared" si="13"/>
        <v>0.3</v>
      </c>
      <c r="H6" s="8">
        <f t="shared" si="13"/>
        <v>0.6</v>
      </c>
      <c r="I6" s="8">
        <f t="shared" si="13"/>
        <v>0.3</v>
      </c>
      <c r="J6" s="8">
        <f t="shared" si="13"/>
        <v>0.8</v>
      </c>
      <c r="K6" s="8">
        <f t="shared" si="14"/>
        <v>1.2</v>
      </c>
      <c r="L6" s="35"/>
      <c r="M6" s="8">
        <f t="shared" si="15"/>
        <v>1.5</v>
      </c>
      <c r="N6" s="8">
        <f t="shared" si="16"/>
        <v>2</v>
      </c>
      <c r="O6" s="79">
        <f t="shared" si="17"/>
        <v>2.5</v>
      </c>
      <c r="P6" s="8">
        <f t="shared" si="17"/>
        <v>3</v>
      </c>
      <c r="Q6" s="8">
        <f t="shared" si="17"/>
        <v>3.5</v>
      </c>
      <c r="R6" s="11">
        <f t="shared" si="17"/>
        <v>0.75</v>
      </c>
      <c r="S6" s="11">
        <f t="shared" si="18"/>
        <v>0.3</v>
      </c>
      <c r="T6" s="11">
        <f t="shared" si="19"/>
        <v>0.3</v>
      </c>
      <c r="U6" s="29">
        <f t="shared" si="20"/>
        <v>0.05</v>
      </c>
      <c r="V6" s="19">
        <f t="shared" si="21"/>
        <v>0.2</v>
      </c>
      <c r="W6" s="19">
        <f t="shared" si="21"/>
        <v>0.3</v>
      </c>
      <c r="X6" s="19">
        <f t="shared" si="21"/>
        <v>0.5</v>
      </c>
      <c r="Y6" s="19">
        <f t="shared" si="21"/>
        <v>0.8</v>
      </c>
      <c r="Z6" s="19">
        <f t="shared" si="21"/>
        <v>1.2</v>
      </c>
      <c r="AA6" s="35"/>
      <c r="AB6" s="8">
        <f t="shared" si="22"/>
        <v>1</v>
      </c>
      <c r="AC6" s="8">
        <f t="shared" si="23"/>
        <v>1.2</v>
      </c>
      <c r="AD6" s="8">
        <f t="shared" si="24"/>
        <v>1.5</v>
      </c>
      <c r="AE6" s="8">
        <f t="shared" si="25"/>
        <v>2</v>
      </c>
      <c r="AF6" s="8">
        <f t="shared" si="26"/>
        <v>2.5</v>
      </c>
      <c r="AG6" s="8">
        <f t="shared" si="27"/>
        <v>0.5</v>
      </c>
      <c r="AH6" s="8">
        <f t="shared" si="28"/>
        <v>0.2</v>
      </c>
      <c r="AI6" s="8">
        <f t="shared" si="29"/>
        <v>0.2</v>
      </c>
      <c r="AJ6" s="8">
        <f t="shared" si="30"/>
        <v>0.03</v>
      </c>
      <c r="AK6" s="87"/>
      <c r="AL6" s="8">
        <f t="shared" si="31"/>
        <v>1.2</v>
      </c>
      <c r="AM6" s="91">
        <f t="shared" si="32"/>
        <v>0.2</v>
      </c>
      <c r="AN6" s="91">
        <f t="shared" si="33"/>
        <v>0.3</v>
      </c>
      <c r="AO6" s="91">
        <f t="shared" si="34"/>
        <v>0.5</v>
      </c>
      <c r="AP6" s="91">
        <f t="shared" si="35"/>
        <v>0.8</v>
      </c>
      <c r="AQ6" s="91">
        <f t="shared" si="36"/>
        <v>1.2</v>
      </c>
      <c r="AR6" s="35"/>
      <c r="AS6" s="8">
        <f t="shared" si="10"/>
        <v>0.2</v>
      </c>
      <c r="AT6" s="35"/>
    </row>
    <row r="7" spans="1:46">
      <c r="A7" s="12">
        <v>5</v>
      </c>
      <c r="B7" s="8">
        <f t="shared" si="11"/>
        <v>1.2</v>
      </c>
      <c r="C7" s="8">
        <f t="shared" si="12"/>
        <v>1.5</v>
      </c>
      <c r="D7" s="8">
        <f t="shared" si="13"/>
        <v>2</v>
      </c>
      <c r="E7" s="8">
        <f t="shared" si="13"/>
        <v>2.5</v>
      </c>
      <c r="F7" s="8">
        <f t="shared" si="13"/>
        <v>0.5</v>
      </c>
      <c r="G7" s="8">
        <f t="shared" si="13"/>
        <v>0.3</v>
      </c>
      <c r="H7" s="8">
        <f t="shared" si="13"/>
        <v>0.6</v>
      </c>
      <c r="I7" s="8">
        <f t="shared" si="13"/>
        <v>0.3</v>
      </c>
      <c r="J7" s="8">
        <f t="shared" si="13"/>
        <v>0.8</v>
      </c>
      <c r="K7" s="8">
        <f t="shared" si="14"/>
        <v>1.2</v>
      </c>
      <c r="L7" s="35"/>
      <c r="M7" s="8">
        <f t="shared" si="15"/>
        <v>1.5</v>
      </c>
      <c r="N7" s="8">
        <f t="shared" si="16"/>
        <v>2</v>
      </c>
      <c r="O7" s="79">
        <f t="shared" si="17"/>
        <v>2.5</v>
      </c>
      <c r="P7" s="8">
        <f t="shared" si="17"/>
        <v>3</v>
      </c>
      <c r="Q7" s="8">
        <f t="shared" si="17"/>
        <v>3.5</v>
      </c>
      <c r="R7" s="11">
        <f t="shared" si="17"/>
        <v>0.75</v>
      </c>
      <c r="S7" s="11">
        <f t="shared" si="18"/>
        <v>0.3</v>
      </c>
      <c r="T7" s="11">
        <f t="shared" si="19"/>
        <v>0.3</v>
      </c>
      <c r="U7" s="29">
        <f t="shared" si="20"/>
        <v>0.05</v>
      </c>
      <c r="V7" s="19">
        <f t="shared" si="21"/>
        <v>0.2</v>
      </c>
      <c r="W7" s="19">
        <f t="shared" si="21"/>
        <v>0.3</v>
      </c>
      <c r="X7" s="19">
        <f t="shared" si="21"/>
        <v>0.5</v>
      </c>
      <c r="Y7" s="19">
        <f t="shared" si="21"/>
        <v>0.8</v>
      </c>
      <c r="Z7" s="19">
        <f t="shared" si="21"/>
        <v>1.2</v>
      </c>
      <c r="AA7" s="35"/>
      <c r="AB7" s="8">
        <f t="shared" si="22"/>
        <v>1</v>
      </c>
      <c r="AC7" s="8">
        <f t="shared" si="23"/>
        <v>1.2</v>
      </c>
      <c r="AD7" s="8">
        <f t="shared" si="24"/>
        <v>1.5</v>
      </c>
      <c r="AE7" s="8">
        <f t="shared" si="25"/>
        <v>2</v>
      </c>
      <c r="AF7" s="8">
        <f t="shared" si="26"/>
        <v>2.5</v>
      </c>
      <c r="AG7" s="8">
        <f t="shared" si="27"/>
        <v>0.5</v>
      </c>
      <c r="AH7" s="8">
        <f t="shared" si="28"/>
        <v>0.2</v>
      </c>
      <c r="AI7" s="8">
        <f t="shared" si="29"/>
        <v>0.2</v>
      </c>
      <c r="AJ7" s="8">
        <f t="shared" si="30"/>
        <v>0.03</v>
      </c>
      <c r="AK7" s="87"/>
      <c r="AL7" s="8">
        <f t="shared" si="31"/>
        <v>1.2</v>
      </c>
      <c r="AM7" s="91">
        <f t="shared" si="32"/>
        <v>0.2</v>
      </c>
      <c r="AN7" s="91">
        <f t="shared" si="33"/>
        <v>0.3</v>
      </c>
      <c r="AO7" s="91">
        <f t="shared" si="34"/>
        <v>0.5</v>
      </c>
      <c r="AP7" s="91">
        <f t="shared" si="35"/>
        <v>0.8</v>
      </c>
      <c r="AQ7" s="91">
        <f t="shared" si="36"/>
        <v>1.2</v>
      </c>
      <c r="AR7" s="35"/>
      <c r="AS7" s="8">
        <f t="shared" si="10"/>
        <v>0.2</v>
      </c>
      <c r="AT7" s="35"/>
    </row>
    <row r="8" spans="1:46">
      <c r="A8" s="12">
        <v>6</v>
      </c>
      <c r="B8" s="8">
        <f t="shared" si="11"/>
        <v>1.2</v>
      </c>
      <c r="C8" s="8">
        <f t="shared" si="12"/>
        <v>1.5</v>
      </c>
      <c r="D8" s="8">
        <f t="shared" si="13"/>
        <v>2</v>
      </c>
      <c r="E8" s="8">
        <f t="shared" si="13"/>
        <v>2.5</v>
      </c>
      <c r="F8" s="8">
        <f t="shared" si="13"/>
        <v>0.5</v>
      </c>
      <c r="G8" s="8">
        <f t="shared" si="13"/>
        <v>0.3</v>
      </c>
      <c r="H8" s="8">
        <f t="shared" si="13"/>
        <v>0.6</v>
      </c>
      <c r="I8" s="8">
        <f t="shared" si="13"/>
        <v>0.3</v>
      </c>
      <c r="J8" s="8">
        <f t="shared" si="13"/>
        <v>0.8</v>
      </c>
      <c r="K8" s="8">
        <f t="shared" si="14"/>
        <v>1.2</v>
      </c>
      <c r="L8" s="35"/>
      <c r="M8" s="8">
        <f t="shared" si="15"/>
        <v>1.5</v>
      </c>
      <c r="N8" s="8">
        <f t="shared" si="16"/>
        <v>2</v>
      </c>
      <c r="O8" s="79">
        <f t="shared" si="17"/>
        <v>2.5</v>
      </c>
      <c r="P8" s="8">
        <f t="shared" si="17"/>
        <v>3</v>
      </c>
      <c r="Q8" s="8">
        <f t="shared" si="17"/>
        <v>3.5</v>
      </c>
      <c r="R8" s="11">
        <f t="shared" si="17"/>
        <v>0.75</v>
      </c>
      <c r="S8" s="11">
        <f t="shared" si="18"/>
        <v>0.3</v>
      </c>
      <c r="T8" s="11">
        <f t="shared" si="19"/>
        <v>0.3</v>
      </c>
      <c r="U8" s="29">
        <f t="shared" si="20"/>
        <v>0.05</v>
      </c>
      <c r="V8" s="19">
        <f t="shared" si="21"/>
        <v>0.2</v>
      </c>
      <c r="W8" s="19">
        <f t="shared" si="21"/>
        <v>0.3</v>
      </c>
      <c r="X8" s="19">
        <f t="shared" si="21"/>
        <v>0.5</v>
      </c>
      <c r="Y8" s="19">
        <f t="shared" si="21"/>
        <v>0.8</v>
      </c>
      <c r="Z8" s="19">
        <f t="shared" si="21"/>
        <v>1.2</v>
      </c>
      <c r="AA8" s="35"/>
      <c r="AB8" s="8">
        <f t="shared" si="22"/>
        <v>1</v>
      </c>
      <c r="AC8" s="8">
        <f t="shared" si="23"/>
        <v>1.2</v>
      </c>
      <c r="AD8" s="8">
        <f t="shared" si="24"/>
        <v>1.5</v>
      </c>
      <c r="AE8" s="8">
        <f t="shared" si="25"/>
        <v>2</v>
      </c>
      <c r="AF8" s="8">
        <f t="shared" si="26"/>
        <v>2.5</v>
      </c>
      <c r="AG8" s="8">
        <f t="shared" si="27"/>
        <v>0.5</v>
      </c>
      <c r="AH8" s="8">
        <f t="shared" si="28"/>
        <v>0.2</v>
      </c>
      <c r="AI8" s="8">
        <f t="shared" si="29"/>
        <v>0.2</v>
      </c>
      <c r="AJ8" s="8">
        <f t="shared" si="30"/>
        <v>0.03</v>
      </c>
      <c r="AK8" s="87"/>
      <c r="AL8" s="8">
        <f t="shared" si="31"/>
        <v>1.2</v>
      </c>
      <c r="AM8" s="91">
        <f t="shared" si="32"/>
        <v>0.2</v>
      </c>
      <c r="AN8" s="91">
        <f t="shared" si="33"/>
        <v>0.3</v>
      </c>
      <c r="AO8" s="91">
        <f t="shared" si="34"/>
        <v>0.5</v>
      </c>
      <c r="AP8" s="91">
        <f t="shared" si="35"/>
        <v>0.8</v>
      </c>
      <c r="AQ8" s="91">
        <f t="shared" si="36"/>
        <v>1.2</v>
      </c>
      <c r="AR8" s="35"/>
      <c r="AS8" s="8">
        <f t="shared" si="10"/>
        <v>0.2</v>
      </c>
      <c r="AT8" s="35"/>
    </row>
    <row r="9" spans="1:46">
      <c r="A9" s="12">
        <v>7</v>
      </c>
      <c r="B9" s="8">
        <f t="shared" si="11"/>
        <v>1.2</v>
      </c>
      <c r="C9" s="8">
        <f t="shared" si="12"/>
        <v>1.5</v>
      </c>
      <c r="D9" s="8">
        <f t="shared" si="13"/>
        <v>2</v>
      </c>
      <c r="E9" s="8">
        <f t="shared" si="13"/>
        <v>2.5</v>
      </c>
      <c r="F9" s="8">
        <f t="shared" si="13"/>
        <v>0.5</v>
      </c>
      <c r="G9" s="8">
        <f t="shared" si="13"/>
        <v>0.3</v>
      </c>
      <c r="H9" s="8">
        <f t="shared" si="13"/>
        <v>0.6</v>
      </c>
      <c r="I9" s="8">
        <f t="shared" si="13"/>
        <v>0.3</v>
      </c>
      <c r="J9" s="8">
        <f t="shared" si="13"/>
        <v>0.8</v>
      </c>
      <c r="K9" s="8">
        <f t="shared" si="14"/>
        <v>1.2</v>
      </c>
      <c r="L9" s="35"/>
      <c r="M9" s="8">
        <f t="shared" si="15"/>
        <v>1.5</v>
      </c>
      <c r="N9" s="8">
        <f t="shared" si="16"/>
        <v>2</v>
      </c>
      <c r="O9" s="79">
        <f t="shared" si="17"/>
        <v>2.5</v>
      </c>
      <c r="P9" s="8">
        <f t="shared" si="17"/>
        <v>3</v>
      </c>
      <c r="Q9" s="8">
        <f t="shared" si="17"/>
        <v>3.5</v>
      </c>
      <c r="R9" s="11">
        <f t="shared" si="17"/>
        <v>0.75</v>
      </c>
      <c r="S9" s="11">
        <f t="shared" si="18"/>
        <v>0.3</v>
      </c>
      <c r="T9" s="11">
        <f t="shared" si="19"/>
        <v>0.3</v>
      </c>
      <c r="U9" s="29">
        <f t="shared" si="20"/>
        <v>0.05</v>
      </c>
      <c r="V9" s="19">
        <f t="shared" si="21"/>
        <v>0.2</v>
      </c>
      <c r="W9" s="19">
        <f t="shared" si="21"/>
        <v>0.3</v>
      </c>
      <c r="X9" s="19">
        <f t="shared" si="21"/>
        <v>0.5</v>
      </c>
      <c r="Y9" s="19">
        <f t="shared" si="21"/>
        <v>0.8</v>
      </c>
      <c r="Z9" s="19">
        <f t="shared" si="21"/>
        <v>1.2</v>
      </c>
      <c r="AA9" s="35"/>
      <c r="AB9" s="8">
        <f t="shared" si="22"/>
        <v>1</v>
      </c>
      <c r="AC9" s="8">
        <f t="shared" si="23"/>
        <v>1.2</v>
      </c>
      <c r="AD9" s="8">
        <f t="shared" si="24"/>
        <v>1.5</v>
      </c>
      <c r="AE9" s="8">
        <f t="shared" si="25"/>
        <v>2</v>
      </c>
      <c r="AF9" s="8">
        <f t="shared" si="26"/>
        <v>2.5</v>
      </c>
      <c r="AG9" s="8">
        <f t="shared" si="27"/>
        <v>0.5</v>
      </c>
      <c r="AH9" s="8">
        <f t="shared" si="28"/>
        <v>0.2</v>
      </c>
      <c r="AI9" s="8">
        <f t="shared" si="29"/>
        <v>0.2</v>
      </c>
      <c r="AJ9" s="8">
        <f t="shared" si="30"/>
        <v>0.03</v>
      </c>
      <c r="AK9" s="87"/>
      <c r="AL9" s="8">
        <f t="shared" si="31"/>
        <v>1.2</v>
      </c>
      <c r="AM9" s="91">
        <f t="shared" si="32"/>
        <v>0.2</v>
      </c>
      <c r="AN9" s="91">
        <f t="shared" si="33"/>
        <v>0.3</v>
      </c>
      <c r="AO9" s="91">
        <f t="shared" si="34"/>
        <v>0.5</v>
      </c>
      <c r="AP9" s="91">
        <f t="shared" si="35"/>
        <v>0.8</v>
      </c>
      <c r="AQ9" s="91">
        <f t="shared" si="36"/>
        <v>1.2</v>
      </c>
      <c r="AR9" s="35"/>
      <c r="AS9" s="8">
        <f t="shared" si="10"/>
        <v>0.2</v>
      </c>
      <c r="AT9" s="35"/>
    </row>
    <row r="10" spans="1:46">
      <c r="A10" s="12">
        <v>8</v>
      </c>
      <c r="B10" s="8">
        <f t="shared" si="11"/>
        <v>1.2</v>
      </c>
      <c r="C10" s="8">
        <f t="shared" si="12"/>
        <v>1.5</v>
      </c>
      <c r="D10" s="8">
        <f t="shared" si="13"/>
        <v>2</v>
      </c>
      <c r="E10" s="8">
        <f t="shared" si="13"/>
        <v>2.5</v>
      </c>
      <c r="F10" s="8">
        <f t="shared" si="13"/>
        <v>0.5</v>
      </c>
      <c r="G10" s="8">
        <f t="shared" si="13"/>
        <v>0.3</v>
      </c>
      <c r="H10" s="8">
        <f t="shared" si="13"/>
        <v>0.6</v>
      </c>
      <c r="I10" s="8">
        <f t="shared" si="13"/>
        <v>0.3</v>
      </c>
      <c r="J10" s="8">
        <f t="shared" si="13"/>
        <v>0.8</v>
      </c>
      <c r="K10" s="8">
        <f t="shared" si="14"/>
        <v>1.2</v>
      </c>
      <c r="L10" s="35"/>
      <c r="M10" s="8">
        <f t="shared" si="15"/>
        <v>1.5</v>
      </c>
      <c r="N10" s="8">
        <f t="shared" si="16"/>
        <v>2</v>
      </c>
      <c r="O10" s="79">
        <f t="shared" si="17"/>
        <v>2.5</v>
      </c>
      <c r="P10" s="8">
        <f t="shared" si="17"/>
        <v>3</v>
      </c>
      <c r="Q10" s="8">
        <f t="shared" si="17"/>
        <v>3.5</v>
      </c>
      <c r="R10" s="11">
        <f t="shared" si="17"/>
        <v>0.75</v>
      </c>
      <c r="S10" s="11">
        <f t="shared" si="18"/>
        <v>0.3</v>
      </c>
      <c r="T10" s="11">
        <f t="shared" si="19"/>
        <v>0.3</v>
      </c>
      <c r="U10" s="29">
        <f t="shared" si="20"/>
        <v>0.05</v>
      </c>
      <c r="V10" s="19">
        <f t="shared" si="21"/>
        <v>0.2</v>
      </c>
      <c r="W10" s="19">
        <f t="shared" si="21"/>
        <v>0.3</v>
      </c>
      <c r="X10" s="19">
        <f t="shared" si="21"/>
        <v>0.5</v>
      </c>
      <c r="Y10" s="19">
        <f t="shared" si="21"/>
        <v>0.8</v>
      </c>
      <c r="Z10" s="19">
        <f t="shared" si="21"/>
        <v>1.2</v>
      </c>
      <c r="AA10" s="35"/>
      <c r="AB10" s="8">
        <f t="shared" si="22"/>
        <v>1</v>
      </c>
      <c r="AC10" s="8">
        <f t="shared" si="23"/>
        <v>1.2</v>
      </c>
      <c r="AD10" s="8">
        <f t="shared" si="24"/>
        <v>1.5</v>
      </c>
      <c r="AE10" s="8">
        <f t="shared" si="25"/>
        <v>2</v>
      </c>
      <c r="AF10" s="8">
        <f t="shared" si="26"/>
        <v>2.5</v>
      </c>
      <c r="AG10" s="8">
        <f t="shared" si="27"/>
        <v>0.5</v>
      </c>
      <c r="AH10" s="8">
        <f t="shared" si="28"/>
        <v>0.2</v>
      </c>
      <c r="AI10" s="8">
        <f t="shared" si="29"/>
        <v>0.2</v>
      </c>
      <c r="AJ10" s="8">
        <f t="shared" si="30"/>
        <v>0.03</v>
      </c>
      <c r="AK10" s="87"/>
      <c r="AL10" s="8">
        <f t="shared" si="31"/>
        <v>1.2</v>
      </c>
      <c r="AM10" s="91">
        <f t="shared" si="32"/>
        <v>0.2</v>
      </c>
      <c r="AN10" s="91">
        <f t="shared" si="33"/>
        <v>0.3</v>
      </c>
      <c r="AO10" s="91">
        <f t="shared" si="34"/>
        <v>0.5</v>
      </c>
      <c r="AP10" s="91">
        <f t="shared" si="35"/>
        <v>0.8</v>
      </c>
      <c r="AQ10" s="91">
        <f t="shared" si="36"/>
        <v>1.2</v>
      </c>
      <c r="AR10" s="35"/>
      <c r="AS10" s="8">
        <f t="shared" si="10"/>
        <v>0.2</v>
      </c>
      <c r="AT10" s="35"/>
    </row>
    <row r="11" spans="1:46">
      <c r="A11" s="12">
        <v>9</v>
      </c>
      <c r="B11" s="8">
        <f t="shared" si="11"/>
        <v>1.2</v>
      </c>
      <c r="C11" s="8">
        <f t="shared" si="12"/>
        <v>1.5</v>
      </c>
      <c r="D11" s="8">
        <f t="shared" si="13"/>
        <v>2</v>
      </c>
      <c r="E11" s="8">
        <f t="shared" si="13"/>
        <v>2.5</v>
      </c>
      <c r="F11" s="8">
        <f t="shared" si="13"/>
        <v>0.5</v>
      </c>
      <c r="G11" s="8">
        <f t="shared" si="13"/>
        <v>0.3</v>
      </c>
      <c r="H11" s="8">
        <f t="shared" si="13"/>
        <v>0.6</v>
      </c>
      <c r="I11" s="8">
        <f t="shared" si="13"/>
        <v>0.3</v>
      </c>
      <c r="J11" s="8">
        <f t="shared" si="13"/>
        <v>0.8</v>
      </c>
      <c r="K11" s="8">
        <f t="shared" si="14"/>
        <v>1.2</v>
      </c>
      <c r="L11" s="35"/>
      <c r="M11" s="8">
        <f t="shared" si="15"/>
        <v>1.5</v>
      </c>
      <c r="N11" s="8">
        <f t="shared" si="16"/>
        <v>2</v>
      </c>
      <c r="O11" s="79">
        <f t="shared" si="17"/>
        <v>2.5</v>
      </c>
      <c r="P11" s="8">
        <f t="shared" si="17"/>
        <v>3</v>
      </c>
      <c r="Q11" s="8">
        <f t="shared" si="17"/>
        <v>3.5</v>
      </c>
      <c r="R11" s="11">
        <f t="shared" si="17"/>
        <v>0.75</v>
      </c>
      <c r="S11" s="11">
        <f t="shared" si="18"/>
        <v>0.3</v>
      </c>
      <c r="T11" s="11">
        <f t="shared" si="19"/>
        <v>0.3</v>
      </c>
      <c r="U11" s="29">
        <f t="shared" si="20"/>
        <v>0.05</v>
      </c>
      <c r="V11" s="19">
        <f t="shared" si="21"/>
        <v>0.2</v>
      </c>
      <c r="W11" s="19">
        <f t="shared" si="21"/>
        <v>0.3</v>
      </c>
      <c r="X11" s="19">
        <f t="shared" si="21"/>
        <v>0.5</v>
      </c>
      <c r="Y11" s="19">
        <f t="shared" si="21"/>
        <v>0.8</v>
      </c>
      <c r="Z11" s="19">
        <f t="shared" si="21"/>
        <v>1.2</v>
      </c>
      <c r="AA11" s="35"/>
      <c r="AB11" s="8">
        <f t="shared" si="22"/>
        <v>1</v>
      </c>
      <c r="AC11" s="8">
        <f t="shared" si="23"/>
        <v>1.2</v>
      </c>
      <c r="AD11" s="8">
        <f t="shared" si="24"/>
        <v>1.5</v>
      </c>
      <c r="AE11" s="8">
        <f t="shared" si="25"/>
        <v>2</v>
      </c>
      <c r="AF11" s="8">
        <f t="shared" si="26"/>
        <v>2.5</v>
      </c>
      <c r="AG11" s="8">
        <f t="shared" si="27"/>
        <v>0.5</v>
      </c>
      <c r="AH11" s="8">
        <f t="shared" si="28"/>
        <v>0.2</v>
      </c>
      <c r="AI11" s="8">
        <f t="shared" si="29"/>
        <v>0.2</v>
      </c>
      <c r="AJ11" s="8">
        <f t="shared" si="30"/>
        <v>0.03</v>
      </c>
      <c r="AK11" s="87"/>
      <c r="AL11" s="8">
        <f t="shared" si="31"/>
        <v>1.2</v>
      </c>
      <c r="AM11" s="91">
        <f t="shared" si="32"/>
        <v>0.2</v>
      </c>
      <c r="AN11" s="91">
        <f t="shared" si="33"/>
        <v>0.3</v>
      </c>
      <c r="AO11" s="91">
        <f t="shared" si="34"/>
        <v>0.5</v>
      </c>
      <c r="AP11" s="91">
        <f t="shared" si="35"/>
        <v>0.8</v>
      </c>
      <c r="AQ11" s="91">
        <f t="shared" si="36"/>
        <v>1.2</v>
      </c>
      <c r="AR11" s="35"/>
      <c r="AS11" s="8">
        <f t="shared" si="10"/>
        <v>0.2</v>
      </c>
      <c r="AT11" s="35"/>
    </row>
    <row r="12" spans="1:46">
      <c r="A12" s="12">
        <v>10</v>
      </c>
      <c r="B12" s="8">
        <f t="shared" si="11"/>
        <v>1.2</v>
      </c>
      <c r="C12" s="8">
        <f t="shared" si="12"/>
        <v>1.5</v>
      </c>
      <c r="D12" s="8">
        <f t="shared" si="13"/>
        <v>2</v>
      </c>
      <c r="E12" s="8">
        <f t="shared" si="13"/>
        <v>2.5</v>
      </c>
      <c r="F12" s="8">
        <f t="shared" si="13"/>
        <v>0.5</v>
      </c>
      <c r="G12" s="8">
        <f t="shared" si="13"/>
        <v>0.3</v>
      </c>
      <c r="H12" s="8">
        <f t="shared" si="13"/>
        <v>0.6</v>
      </c>
      <c r="I12" s="8">
        <f t="shared" si="13"/>
        <v>0.3</v>
      </c>
      <c r="J12" s="8">
        <f t="shared" si="13"/>
        <v>0.8</v>
      </c>
      <c r="K12" s="8">
        <f t="shared" si="14"/>
        <v>1.2</v>
      </c>
      <c r="L12" s="35"/>
      <c r="M12" s="8">
        <f t="shared" si="15"/>
        <v>1.5</v>
      </c>
      <c r="N12" s="8">
        <f t="shared" si="16"/>
        <v>2</v>
      </c>
      <c r="O12" s="79">
        <f t="shared" si="17"/>
        <v>2.5</v>
      </c>
      <c r="P12" s="8">
        <f t="shared" si="17"/>
        <v>3</v>
      </c>
      <c r="Q12" s="8">
        <f t="shared" si="17"/>
        <v>3.5</v>
      </c>
      <c r="R12" s="11">
        <f t="shared" si="17"/>
        <v>0.75</v>
      </c>
      <c r="S12" s="11">
        <f t="shared" si="18"/>
        <v>0.3</v>
      </c>
      <c r="T12" s="11">
        <f t="shared" si="19"/>
        <v>0.3</v>
      </c>
      <c r="U12" s="29">
        <f t="shared" si="20"/>
        <v>0.05</v>
      </c>
      <c r="V12" s="19">
        <f t="shared" si="21"/>
        <v>0.2</v>
      </c>
      <c r="W12" s="19">
        <f t="shared" si="21"/>
        <v>0.3</v>
      </c>
      <c r="X12" s="19">
        <f t="shared" si="21"/>
        <v>0.5</v>
      </c>
      <c r="Y12" s="19">
        <f t="shared" si="21"/>
        <v>0.8</v>
      </c>
      <c r="Z12" s="19">
        <f t="shared" si="21"/>
        <v>1.2</v>
      </c>
      <c r="AA12" s="35"/>
      <c r="AB12" s="8">
        <f t="shared" si="22"/>
        <v>1</v>
      </c>
      <c r="AC12" s="8">
        <f t="shared" si="23"/>
        <v>1.2</v>
      </c>
      <c r="AD12" s="8">
        <f t="shared" si="24"/>
        <v>1.5</v>
      </c>
      <c r="AE12" s="8">
        <f t="shared" si="25"/>
        <v>2</v>
      </c>
      <c r="AF12" s="8">
        <f t="shared" si="26"/>
        <v>2.5</v>
      </c>
      <c r="AG12" s="8">
        <f t="shared" si="27"/>
        <v>0.5</v>
      </c>
      <c r="AH12" s="8">
        <f t="shared" si="28"/>
        <v>0.2</v>
      </c>
      <c r="AI12" s="8">
        <f t="shared" si="29"/>
        <v>0.2</v>
      </c>
      <c r="AJ12" s="8">
        <f t="shared" si="30"/>
        <v>0.03</v>
      </c>
      <c r="AK12" s="87"/>
      <c r="AL12" s="8">
        <f t="shared" si="31"/>
        <v>1.2</v>
      </c>
      <c r="AM12" s="91">
        <f t="shared" si="32"/>
        <v>0.2</v>
      </c>
      <c r="AN12" s="91">
        <f t="shared" si="33"/>
        <v>0.3</v>
      </c>
      <c r="AO12" s="91">
        <f t="shared" si="34"/>
        <v>0.5</v>
      </c>
      <c r="AP12" s="91">
        <f t="shared" si="35"/>
        <v>0.8</v>
      </c>
      <c r="AQ12" s="91">
        <f t="shared" si="36"/>
        <v>1.2</v>
      </c>
      <c r="AR12" s="35"/>
      <c r="AS12" s="8">
        <f t="shared" si="10"/>
        <v>0.2</v>
      </c>
      <c r="AT12" s="35"/>
    </row>
    <row r="13" spans="1:46">
      <c r="A13" s="12">
        <v>11</v>
      </c>
      <c r="B13" s="8">
        <f t="shared" si="11"/>
        <v>1.2</v>
      </c>
      <c r="C13" s="8">
        <f t="shared" si="12"/>
        <v>1.5</v>
      </c>
      <c r="D13" s="8">
        <f t="shared" si="13"/>
        <v>2</v>
      </c>
      <c r="E13" s="8">
        <f t="shared" si="13"/>
        <v>2.5</v>
      </c>
      <c r="F13" s="8">
        <f t="shared" si="13"/>
        <v>0.5</v>
      </c>
      <c r="G13" s="8">
        <f t="shared" si="13"/>
        <v>0.3</v>
      </c>
      <c r="H13" s="8">
        <f t="shared" si="13"/>
        <v>0.6</v>
      </c>
      <c r="I13" s="8">
        <f t="shared" si="13"/>
        <v>0.3</v>
      </c>
      <c r="J13" s="8">
        <f t="shared" si="13"/>
        <v>0.8</v>
      </c>
      <c r="K13" s="8">
        <f t="shared" si="14"/>
        <v>1.2</v>
      </c>
      <c r="L13" s="35"/>
      <c r="M13" s="8">
        <f t="shared" si="15"/>
        <v>1.5</v>
      </c>
      <c r="N13" s="8">
        <f t="shared" si="16"/>
        <v>2</v>
      </c>
      <c r="O13" s="79">
        <f t="shared" si="17"/>
        <v>2.5</v>
      </c>
      <c r="P13" s="8">
        <f t="shared" si="17"/>
        <v>3</v>
      </c>
      <c r="Q13" s="8">
        <f t="shared" si="17"/>
        <v>3.5</v>
      </c>
      <c r="R13" s="11">
        <f t="shared" si="17"/>
        <v>0.75</v>
      </c>
      <c r="S13" s="11">
        <f t="shared" si="18"/>
        <v>0.3</v>
      </c>
      <c r="T13" s="11">
        <f t="shared" si="19"/>
        <v>0.3</v>
      </c>
      <c r="U13" s="29">
        <f t="shared" si="20"/>
        <v>0.05</v>
      </c>
      <c r="V13" s="19">
        <f t="shared" si="21"/>
        <v>0.2</v>
      </c>
      <c r="W13" s="19">
        <f t="shared" si="21"/>
        <v>0.3</v>
      </c>
      <c r="X13" s="19">
        <f t="shared" si="21"/>
        <v>0.5</v>
      </c>
      <c r="Y13" s="19">
        <f t="shared" si="21"/>
        <v>0.8</v>
      </c>
      <c r="Z13" s="19">
        <f t="shared" si="21"/>
        <v>1.2</v>
      </c>
      <c r="AA13" s="35"/>
      <c r="AB13" s="8">
        <f t="shared" si="22"/>
        <v>1</v>
      </c>
      <c r="AC13" s="8">
        <f t="shared" si="23"/>
        <v>1.2</v>
      </c>
      <c r="AD13" s="8">
        <f t="shared" si="24"/>
        <v>1.5</v>
      </c>
      <c r="AE13" s="8">
        <f t="shared" si="25"/>
        <v>2</v>
      </c>
      <c r="AF13" s="8">
        <f t="shared" si="26"/>
        <v>2.5</v>
      </c>
      <c r="AG13" s="8">
        <f t="shared" si="27"/>
        <v>0.5</v>
      </c>
      <c r="AH13" s="8">
        <f t="shared" si="28"/>
        <v>0.2</v>
      </c>
      <c r="AI13" s="8">
        <f t="shared" si="29"/>
        <v>0.2</v>
      </c>
      <c r="AJ13" s="8">
        <f t="shared" si="30"/>
        <v>0.03</v>
      </c>
      <c r="AK13" s="87"/>
      <c r="AL13" s="8">
        <f t="shared" si="31"/>
        <v>1.2</v>
      </c>
      <c r="AM13" s="91">
        <f t="shared" si="32"/>
        <v>0.2</v>
      </c>
      <c r="AN13" s="91">
        <f t="shared" si="33"/>
        <v>0.3</v>
      </c>
      <c r="AO13" s="91">
        <f t="shared" si="34"/>
        <v>0.5</v>
      </c>
      <c r="AP13" s="91">
        <f t="shared" si="35"/>
        <v>0.8</v>
      </c>
      <c r="AQ13" s="91">
        <f t="shared" si="36"/>
        <v>1.2</v>
      </c>
      <c r="AR13" s="35"/>
      <c r="AS13" s="8">
        <f t="shared" si="10"/>
        <v>0.2</v>
      </c>
      <c r="AT13" s="35"/>
    </row>
    <row r="14" spans="1:46">
      <c r="A14" s="12">
        <v>12</v>
      </c>
      <c r="B14" s="8">
        <f t="shared" si="11"/>
        <v>1.2</v>
      </c>
      <c r="C14" s="8">
        <f t="shared" si="12"/>
        <v>1.5</v>
      </c>
      <c r="D14" s="8">
        <f t="shared" si="13"/>
        <v>2</v>
      </c>
      <c r="E14" s="8">
        <f t="shared" si="13"/>
        <v>2.5</v>
      </c>
      <c r="F14" s="8">
        <f t="shared" si="13"/>
        <v>0.5</v>
      </c>
      <c r="G14" s="8">
        <f t="shared" si="13"/>
        <v>0.3</v>
      </c>
      <c r="H14" s="8">
        <f t="shared" si="13"/>
        <v>0.6</v>
      </c>
      <c r="I14" s="8">
        <f t="shared" si="13"/>
        <v>0.3</v>
      </c>
      <c r="J14" s="8">
        <f t="shared" si="13"/>
        <v>0.8</v>
      </c>
      <c r="K14" s="8">
        <f t="shared" si="14"/>
        <v>1.2</v>
      </c>
      <c r="L14" s="35"/>
      <c r="M14" s="8">
        <f t="shared" si="15"/>
        <v>1.5</v>
      </c>
      <c r="N14" s="8">
        <f t="shared" si="16"/>
        <v>2</v>
      </c>
      <c r="O14" s="79">
        <f t="shared" si="17"/>
        <v>2.5</v>
      </c>
      <c r="P14" s="8">
        <f t="shared" si="17"/>
        <v>3</v>
      </c>
      <c r="Q14" s="8">
        <f t="shared" si="17"/>
        <v>3.5</v>
      </c>
      <c r="R14" s="11">
        <f t="shared" si="17"/>
        <v>0.75</v>
      </c>
      <c r="S14" s="11">
        <f t="shared" si="18"/>
        <v>0.3</v>
      </c>
      <c r="T14" s="11">
        <f t="shared" si="19"/>
        <v>0.3</v>
      </c>
      <c r="U14" s="29">
        <f t="shared" si="20"/>
        <v>0.05</v>
      </c>
      <c r="V14" s="19">
        <f t="shared" si="21"/>
        <v>0.2</v>
      </c>
      <c r="W14" s="19">
        <f t="shared" si="21"/>
        <v>0.3</v>
      </c>
      <c r="X14" s="19">
        <f t="shared" si="21"/>
        <v>0.5</v>
      </c>
      <c r="Y14" s="19">
        <f t="shared" si="21"/>
        <v>0.8</v>
      </c>
      <c r="Z14" s="19">
        <f t="shared" si="21"/>
        <v>1.2</v>
      </c>
      <c r="AA14" s="35"/>
      <c r="AB14" s="8">
        <f t="shared" si="22"/>
        <v>1</v>
      </c>
      <c r="AC14" s="8">
        <f t="shared" si="23"/>
        <v>1.2</v>
      </c>
      <c r="AD14" s="8">
        <f t="shared" si="24"/>
        <v>1.5</v>
      </c>
      <c r="AE14" s="8">
        <f t="shared" si="25"/>
        <v>2</v>
      </c>
      <c r="AF14" s="8">
        <f t="shared" si="26"/>
        <v>2.5</v>
      </c>
      <c r="AG14" s="8">
        <f t="shared" si="27"/>
        <v>0.5</v>
      </c>
      <c r="AH14" s="8">
        <f t="shared" si="28"/>
        <v>0.2</v>
      </c>
      <c r="AI14" s="8">
        <f t="shared" si="29"/>
        <v>0.2</v>
      </c>
      <c r="AJ14" s="8">
        <f t="shared" si="30"/>
        <v>0.03</v>
      </c>
      <c r="AK14" s="87"/>
      <c r="AL14" s="8">
        <f t="shared" si="31"/>
        <v>1.2</v>
      </c>
      <c r="AM14" s="91">
        <f t="shared" si="32"/>
        <v>0.2</v>
      </c>
      <c r="AN14" s="91">
        <f t="shared" si="33"/>
        <v>0.3</v>
      </c>
      <c r="AO14" s="91">
        <f t="shared" si="34"/>
        <v>0.5</v>
      </c>
      <c r="AP14" s="91">
        <f t="shared" si="35"/>
        <v>0.8</v>
      </c>
      <c r="AQ14" s="91">
        <f t="shared" si="36"/>
        <v>1.2</v>
      </c>
      <c r="AR14" s="35"/>
      <c r="AS14" s="8">
        <f t="shared" si="10"/>
        <v>0.2</v>
      </c>
      <c r="AT14" s="35"/>
    </row>
    <row r="15" spans="1:46">
      <c r="A15" s="12">
        <v>13</v>
      </c>
      <c r="B15" s="8">
        <f t="shared" si="11"/>
        <v>1.2</v>
      </c>
      <c r="C15" s="8">
        <f t="shared" si="12"/>
        <v>1.5</v>
      </c>
      <c r="D15" s="8">
        <f t="shared" si="13"/>
        <v>2</v>
      </c>
      <c r="E15" s="8">
        <f t="shared" si="13"/>
        <v>2.5</v>
      </c>
      <c r="F15" s="8">
        <f t="shared" si="13"/>
        <v>0.5</v>
      </c>
      <c r="G15" s="8">
        <f t="shared" si="13"/>
        <v>0.3</v>
      </c>
      <c r="H15" s="8">
        <f t="shared" si="13"/>
        <v>0.6</v>
      </c>
      <c r="I15" s="8">
        <f t="shared" si="13"/>
        <v>0.3</v>
      </c>
      <c r="J15" s="8">
        <f t="shared" si="13"/>
        <v>0.8</v>
      </c>
      <c r="K15" s="8">
        <f t="shared" si="14"/>
        <v>1.2</v>
      </c>
      <c r="L15" s="35"/>
      <c r="M15" s="8">
        <f t="shared" si="15"/>
        <v>1.5</v>
      </c>
      <c r="N15" s="8">
        <f t="shared" si="16"/>
        <v>2</v>
      </c>
      <c r="O15" s="79">
        <f t="shared" si="17"/>
        <v>2.5</v>
      </c>
      <c r="P15" s="8">
        <f t="shared" si="17"/>
        <v>3</v>
      </c>
      <c r="Q15" s="8">
        <f t="shared" si="17"/>
        <v>3.5</v>
      </c>
      <c r="R15" s="11">
        <f t="shared" si="17"/>
        <v>0.75</v>
      </c>
      <c r="S15" s="11">
        <f t="shared" si="18"/>
        <v>0.3</v>
      </c>
      <c r="T15" s="11">
        <f t="shared" si="19"/>
        <v>0.3</v>
      </c>
      <c r="U15" s="29">
        <f t="shared" si="20"/>
        <v>0.05</v>
      </c>
      <c r="V15" s="19">
        <f t="shared" si="21"/>
        <v>0.2</v>
      </c>
      <c r="W15" s="19">
        <f t="shared" si="21"/>
        <v>0.3</v>
      </c>
      <c r="X15" s="19">
        <f t="shared" si="21"/>
        <v>0.5</v>
      </c>
      <c r="Y15" s="19">
        <f t="shared" si="21"/>
        <v>0.8</v>
      </c>
      <c r="Z15" s="19">
        <f t="shared" si="21"/>
        <v>1.2</v>
      </c>
      <c r="AA15" s="35"/>
      <c r="AB15" s="8">
        <f t="shared" si="22"/>
        <v>1</v>
      </c>
      <c r="AC15" s="8">
        <f t="shared" si="23"/>
        <v>1.2</v>
      </c>
      <c r="AD15" s="8">
        <f t="shared" si="24"/>
        <v>1.5</v>
      </c>
      <c r="AE15" s="8">
        <f t="shared" si="25"/>
        <v>2</v>
      </c>
      <c r="AF15" s="8">
        <f t="shared" si="26"/>
        <v>2.5</v>
      </c>
      <c r="AG15" s="8">
        <f t="shared" si="27"/>
        <v>0.5</v>
      </c>
      <c r="AH15" s="8">
        <f t="shared" si="28"/>
        <v>0.2</v>
      </c>
      <c r="AI15" s="8">
        <f t="shared" si="29"/>
        <v>0.2</v>
      </c>
      <c r="AJ15" s="8">
        <f t="shared" si="30"/>
        <v>0.03</v>
      </c>
      <c r="AK15" s="87"/>
      <c r="AL15" s="8">
        <f t="shared" si="31"/>
        <v>1.2</v>
      </c>
      <c r="AM15" s="91">
        <f t="shared" si="32"/>
        <v>0.2</v>
      </c>
      <c r="AN15" s="91">
        <f t="shared" si="33"/>
        <v>0.3</v>
      </c>
      <c r="AO15" s="91">
        <f t="shared" si="34"/>
        <v>0.5</v>
      </c>
      <c r="AP15" s="91">
        <f t="shared" si="35"/>
        <v>0.8</v>
      </c>
      <c r="AQ15" s="91">
        <f t="shared" si="36"/>
        <v>1.2</v>
      </c>
      <c r="AR15" s="35"/>
      <c r="AS15" s="8">
        <f t="shared" si="10"/>
        <v>0.2</v>
      </c>
      <c r="AT15" s="35"/>
    </row>
    <row r="16" spans="1:46">
      <c r="A16" s="12">
        <v>14</v>
      </c>
      <c r="B16" s="8">
        <f t="shared" si="11"/>
        <v>1.2</v>
      </c>
      <c r="C16" s="8">
        <f t="shared" si="12"/>
        <v>1.5</v>
      </c>
      <c r="D16" s="8">
        <f t="shared" si="13"/>
        <v>2</v>
      </c>
      <c r="E16" s="8">
        <f t="shared" si="13"/>
        <v>2.5</v>
      </c>
      <c r="F16" s="8">
        <f t="shared" si="13"/>
        <v>0.5</v>
      </c>
      <c r="G16" s="8">
        <f t="shared" si="13"/>
        <v>0.3</v>
      </c>
      <c r="H16" s="8">
        <f t="shared" si="13"/>
        <v>0.6</v>
      </c>
      <c r="I16" s="8">
        <f t="shared" si="13"/>
        <v>0.3</v>
      </c>
      <c r="J16" s="8">
        <f t="shared" si="13"/>
        <v>0.8</v>
      </c>
      <c r="K16" s="8">
        <f t="shared" si="14"/>
        <v>1.2</v>
      </c>
      <c r="L16" s="35"/>
      <c r="M16" s="8">
        <f t="shared" si="15"/>
        <v>1.5</v>
      </c>
      <c r="N16" s="8">
        <f t="shared" si="16"/>
        <v>2</v>
      </c>
      <c r="O16" s="79">
        <f t="shared" si="17"/>
        <v>2.5</v>
      </c>
      <c r="P16" s="8">
        <f t="shared" si="17"/>
        <v>3</v>
      </c>
      <c r="Q16" s="8">
        <f t="shared" si="17"/>
        <v>3.5</v>
      </c>
      <c r="R16" s="11">
        <f t="shared" si="17"/>
        <v>0.75</v>
      </c>
      <c r="S16" s="11">
        <f t="shared" si="18"/>
        <v>0.3</v>
      </c>
      <c r="T16" s="11">
        <f t="shared" si="19"/>
        <v>0.3</v>
      </c>
      <c r="U16" s="29">
        <f t="shared" si="20"/>
        <v>0.05</v>
      </c>
      <c r="V16" s="19">
        <f t="shared" si="21"/>
        <v>0.2</v>
      </c>
      <c r="W16" s="19">
        <f t="shared" si="21"/>
        <v>0.3</v>
      </c>
      <c r="X16" s="19">
        <f t="shared" si="21"/>
        <v>0.5</v>
      </c>
      <c r="Y16" s="19">
        <f t="shared" si="21"/>
        <v>0.8</v>
      </c>
      <c r="Z16" s="19">
        <f t="shared" si="21"/>
        <v>1.2</v>
      </c>
      <c r="AA16" s="35"/>
      <c r="AB16" s="8">
        <f t="shared" si="22"/>
        <v>1</v>
      </c>
      <c r="AC16" s="8">
        <f t="shared" si="23"/>
        <v>1.2</v>
      </c>
      <c r="AD16" s="8">
        <f t="shared" si="24"/>
        <v>1.5</v>
      </c>
      <c r="AE16" s="8">
        <f t="shared" si="25"/>
        <v>2</v>
      </c>
      <c r="AF16" s="8">
        <f t="shared" si="26"/>
        <v>2.5</v>
      </c>
      <c r="AG16" s="8">
        <f t="shared" si="27"/>
        <v>0.5</v>
      </c>
      <c r="AH16" s="8">
        <f t="shared" si="28"/>
        <v>0.2</v>
      </c>
      <c r="AI16" s="8">
        <f t="shared" si="29"/>
        <v>0.2</v>
      </c>
      <c r="AJ16" s="8">
        <f t="shared" si="30"/>
        <v>0.03</v>
      </c>
      <c r="AK16" s="87"/>
      <c r="AL16" s="8">
        <f t="shared" si="31"/>
        <v>1.2</v>
      </c>
      <c r="AM16" s="91">
        <f t="shared" si="32"/>
        <v>0.2</v>
      </c>
      <c r="AN16" s="91">
        <f t="shared" si="33"/>
        <v>0.3</v>
      </c>
      <c r="AO16" s="91">
        <f t="shared" si="34"/>
        <v>0.5</v>
      </c>
      <c r="AP16" s="91">
        <f t="shared" si="35"/>
        <v>0.8</v>
      </c>
      <c r="AQ16" s="91">
        <f t="shared" si="36"/>
        <v>1.2</v>
      </c>
      <c r="AR16" s="35"/>
      <c r="AS16" s="8">
        <f t="shared" si="10"/>
        <v>0.2</v>
      </c>
      <c r="AT16" s="35"/>
    </row>
    <row r="17" spans="1:46">
      <c r="A17" s="12">
        <v>15</v>
      </c>
      <c r="B17" s="8">
        <f t="shared" si="11"/>
        <v>1.2</v>
      </c>
      <c r="C17" s="8">
        <f t="shared" si="12"/>
        <v>1.5</v>
      </c>
      <c r="D17" s="8">
        <f t="shared" si="13"/>
        <v>2</v>
      </c>
      <c r="E17" s="8">
        <f t="shared" si="13"/>
        <v>2.5</v>
      </c>
      <c r="F17" s="8">
        <f t="shared" si="13"/>
        <v>0.5</v>
      </c>
      <c r="G17" s="8">
        <f t="shared" si="13"/>
        <v>0.3</v>
      </c>
      <c r="H17" s="8">
        <f t="shared" si="13"/>
        <v>0.6</v>
      </c>
      <c r="I17" s="8">
        <f t="shared" si="13"/>
        <v>0.3</v>
      </c>
      <c r="J17" s="8">
        <f t="shared" si="13"/>
        <v>0.8</v>
      </c>
      <c r="K17" s="8">
        <f t="shared" si="14"/>
        <v>1.2</v>
      </c>
      <c r="L17" s="35"/>
      <c r="M17" s="8">
        <f t="shared" si="15"/>
        <v>1.5</v>
      </c>
      <c r="N17" s="8">
        <f t="shared" si="16"/>
        <v>2</v>
      </c>
      <c r="O17" s="79">
        <f t="shared" si="17"/>
        <v>2.5</v>
      </c>
      <c r="P17" s="8">
        <f t="shared" si="17"/>
        <v>3</v>
      </c>
      <c r="Q17" s="8">
        <f t="shared" si="17"/>
        <v>3.5</v>
      </c>
      <c r="R17" s="11">
        <f t="shared" si="17"/>
        <v>0.75</v>
      </c>
      <c r="S17" s="11">
        <f t="shared" si="18"/>
        <v>0.3</v>
      </c>
      <c r="T17" s="11">
        <f t="shared" si="19"/>
        <v>0.3</v>
      </c>
      <c r="U17" s="29">
        <f t="shared" si="20"/>
        <v>0.05</v>
      </c>
      <c r="V17" s="19">
        <f t="shared" si="21"/>
        <v>0.2</v>
      </c>
      <c r="W17" s="19">
        <f t="shared" si="21"/>
        <v>0.3</v>
      </c>
      <c r="X17" s="19">
        <f t="shared" si="21"/>
        <v>0.5</v>
      </c>
      <c r="Y17" s="19">
        <f t="shared" si="21"/>
        <v>0.8</v>
      </c>
      <c r="Z17" s="19">
        <f t="shared" si="21"/>
        <v>1.2</v>
      </c>
      <c r="AA17" s="35"/>
      <c r="AB17" s="8">
        <f t="shared" si="22"/>
        <v>1</v>
      </c>
      <c r="AC17" s="8">
        <f t="shared" si="23"/>
        <v>1.2</v>
      </c>
      <c r="AD17" s="8">
        <f t="shared" si="24"/>
        <v>1.5</v>
      </c>
      <c r="AE17" s="8">
        <f t="shared" si="25"/>
        <v>2</v>
      </c>
      <c r="AF17" s="8">
        <f t="shared" si="26"/>
        <v>2.5</v>
      </c>
      <c r="AG17" s="8">
        <f t="shared" si="27"/>
        <v>0.5</v>
      </c>
      <c r="AH17" s="8">
        <f t="shared" si="28"/>
        <v>0.2</v>
      </c>
      <c r="AI17" s="8">
        <f t="shared" si="29"/>
        <v>0.2</v>
      </c>
      <c r="AJ17" s="8">
        <f t="shared" si="30"/>
        <v>0.03</v>
      </c>
      <c r="AK17" s="87"/>
      <c r="AL17" s="8">
        <f t="shared" si="31"/>
        <v>1.2</v>
      </c>
      <c r="AM17" s="91">
        <f t="shared" si="32"/>
        <v>0.2</v>
      </c>
      <c r="AN17" s="91">
        <f t="shared" si="33"/>
        <v>0.3</v>
      </c>
      <c r="AO17" s="91">
        <f t="shared" si="34"/>
        <v>0.5</v>
      </c>
      <c r="AP17" s="91">
        <f t="shared" si="35"/>
        <v>0.8</v>
      </c>
      <c r="AQ17" s="91">
        <f t="shared" si="36"/>
        <v>1.2</v>
      </c>
      <c r="AR17" s="35"/>
      <c r="AS17" s="8">
        <f t="shared" si="10"/>
        <v>0.2</v>
      </c>
      <c r="AT17" s="35"/>
    </row>
    <row r="18" spans="1:46">
      <c r="A18" s="12">
        <v>16</v>
      </c>
      <c r="B18" s="8">
        <f t="shared" si="11"/>
        <v>1.2</v>
      </c>
      <c r="C18" s="8">
        <f t="shared" si="12"/>
        <v>1.5</v>
      </c>
      <c r="D18" s="8">
        <f t="shared" si="13"/>
        <v>2</v>
      </c>
      <c r="E18" s="8">
        <f t="shared" si="13"/>
        <v>2.5</v>
      </c>
      <c r="F18" s="8">
        <f t="shared" si="13"/>
        <v>0.5</v>
      </c>
      <c r="G18" s="8">
        <f t="shared" si="13"/>
        <v>0.3</v>
      </c>
      <c r="H18" s="8">
        <f t="shared" si="13"/>
        <v>0.6</v>
      </c>
      <c r="I18" s="8">
        <f t="shared" si="13"/>
        <v>0.3</v>
      </c>
      <c r="J18" s="8">
        <f t="shared" si="13"/>
        <v>0.8</v>
      </c>
      <c r="K18" s="8">
        <f t="shared" si="14"/>
        <v>1.2</v>
      </c>
      <c r="L18" s="35"/>
      <c r="M18" s="8">
        <f t="shared" si="15"/>
        <v>1.5</v>
      </c>
      <c r="N18" s="8">
        <f t="shared" si="16"/>
        <v>2</v>
      </c>
      <c r="O18" s="79">
        <f t="shared" si="17"/>
        <v>2.5</v>
      </c>
      <c r="P18" s="8">
        <f t="shared" si="17"/>
        <v>3</v>
      </c>
      <c r="Q18" s="8">
        <f t="shared" si="17"/>
        <v>3.5</v>
      </c>
      <c r="R18" s="11">
        <f t="shared" si="17"/>
        <v>0.75</v>
      </c>
      <c r="S18" s="11">
        <f t="shared" si="18"/>
        <v>0.3</v>
      </c>
      <c r="T18" s="11">
        <f t="shared" si="19"/>
        <v>0.3</v>
      </c>
      <c r="U18" s="29">
        <f t="shared" si="20"/>
        <v>0.05</v>
      </c>
      <c r="V18" s="19">
        <f t="shared" si="21"/>
        <v>0.2</v>
      </c>
      <c r="W18" s="19">
        <f t="shared" si="21"/>
        <v>0.3</v>
      </c>
      <c r="X18" s="19">
        <f t="shared" si="21"/>
        <v>0.5</v>
      </c>
      <c r="Y18" s="19">
        <f t="shared" si="21"/>
        <v>0.8</v>
      </c>
      <c r="Z18" s="19">
        <f t="shared" si="21"/>
        <v>1.2</v>
      </c>
      <c r="AA18" s="35"/>
      <c r="AB18" s="8">
        <f t="shared" si="22"/>
        <v>1</v>
      </c>
      <c r="AC18" s="8">
        <f t="shared" si="23"/>
        <v>1.2</v>
      </c>
      <c r="AD18" s="8">
        <f t="shared" si="24"/>
        <v>1.5</v>
      </c>
      <c r="AE18" s="8">
        <f t="shared" si="25"/>
        <v>2</v>
      </c>
      <c r="AF18" s="8">
        <f t="shared" si="26"/>
        <v>2.5</v>
      </c>
      <c r="AG18" s="8">
        <f t="shared" si="27"/>
        <v>0.5</v>
      </c>
      <c r="AH18" s="8">
        <f t="shared" si="28"/>
        <v>0.2</v>
      </c>
      <c r="AI18" s="8">
        <f t="shared" si="29"/>
        <v>0.2</v>
      </c>
      <c r="AJ18" s="8">
        <f t="shared" si="30"/>
        <v>0.03</v>
      </c>
      <c r="AK18" s="87"/>
      <c r="AL18" s="8">
        <f t="shared" si="31"/>
        <v>1.2</v>
      </c>
      <c r="AM18" s="91">
        <f t="shared" si="32"/>
        <v>0.2</v>
      </c>
      <c r="AN18" s="91">
        <f t="shared" si="33"/>
        <v>0.3</v>
      </c>
      <c r="AO18" s="91">
        <f t="shared" si="34"/>
        <v>0.5</v>
      </c>
      <c r="AP18" s="91">
        <f t="shared" si="35"/>
        <v>0.8</v>
      </c>
      <c r="AQ18" s="91">
        <f t="shared" si="36"/>
        <v>1.2</v>
      </c>
      <c r="AR18" s="35"/>
      <c r="AS18" s="8">
        <f t="shared" si="10"/>
        <v>0.2</v>
      </c>
      <c r="AT18" s="35"/>
    </row>
    <row r="19" spans="1:46">
      <c r="A19" s="12">
        <v>17</v>
      </c>
      <c r="B19" s="8">
        <f t="shared" si="11"/>
        <v>1.2</v>
      </c>
      <c r="C19" s="8">
        <f t="shared" si="12"/>
        <v>1.5</v>
      </c>
      <c r="D19" s="8">
        <f t="shared" si="13"/>
        <v>2</v>
      </c>
      <c r="E19" s="8">
        <f t="shared" si="13"/>
        <v>2.5</v>
      </c>
      <c r="F19" s="8">
        <f t="shared" si="13"/>
        <v>0.5</v>
      </c>
      <c r="G19" s="8">
        <f t="shared" si="13"/>
        <v>0.3</v>
      </c>
      <c r="H19" s="8">
        <f t="shared" si="13"/>
        <v>0.6</v>
      </c>
      <c r="I19" s="8">
        <f t="shared" si="13"/>
        <v>0.3</v>
      </c>
      <c r="J19" s="8">
        <f t="shared" si="13"/>
        <v>0.8</v>
      </c>
      <c r="K19" s="8">
        <f t="shared" si="14"/>
        <v>1.2</v>
      </c>
      <c r="L19" s="35"/>
      <c r="M19" s="8">
        <f t="shared" si="15"/>
        <v>1.5</v>
      </c>
      <c r="N19" s="8">
        <f t="shared" si="16"/>
        <v>2</v>
      </c>
      <c r="O19" s="79">
        <f t="shared" si="17"/>
        <v>2.5</v>
      </c>
      <c r="P19" s="8">
        <f t="shared" si="17"/>
        <v>3</v>
      </c>
      <c r="Q19" s="8">
        <f t="shared" si="17"/>
        <v>3.5</v>
      </c>
      <c r="R19" s="11">
        <f t="shared" si="17"/>
        <v>0.75</v>
      </c>
      <c r="S19" s="11">
        <f t="shared" si="18"/>
        <v>0.3</v>
      </c>
      <c r="T19" s="11">
        <f t="shared" si="19"/>
        <v>0.3</v>
      </c>
      <c r="U19" s="29">
        <f t="shared" si="20"/>
        <v>0.05</v>
      </c>
      <c r="V19" s="19">
        <f t="shared" si="21"/>
        <v>0.2</v>
      </c>
      <c r="W19" s="19">
        <f t="shared" si="21"/>
        <v>0.3</v>
      </c>
      <c r="X19" s="19">
        <f t="shared" si="21"/>
        <v>0.5</v>
      </c>
      <c r="Y19" s="19">
        <f t="shared" si="21"/>
        <v>0.8</v>
      </c>
      <c r="Z19" s="19">
        <f t="shared" si="21"/>
        <v>1.2</v>
      </c>
      <c r="AA19" s="35"/>
      <c r="AB19" s="8">
        <f t="shared" si="22"/>
        <v>1</v>
      </c>
      <c r="AC19" s="8">
        <f t="shared" si="23"/>
        <v>1.2</v>
      </c>
      <c r="AD19" s="8">
        <f t="shared" si="24"/>
        <v>1.5</v>
      </c>
      <c r="AE19" s="8">
        <f t="shared" si="25"/>
        <v>2</v>
      </c>
      <c r="AF19" s="8">
        <f t="shared" si="26"/>
        <v>2.5</v>
      </c>
      <c r="AG19" s="8">
        <f t="shared" si="27"/>
        <v>0.5</v>
      </c>
      <c r="AH19" s="8">
        <f t="shared" si="28"/>
        <v>0.2</v>
      </c>
      <c r="AI19" s="8">
        <f t="shared" si="29"/>
        <v>0.2</v>
      </c>
      <c r="AJ19" s="8">
        <f t="shared" si="30"/>
        <v>0.03</v>
      </c>
      <c r="AK19" s="87"/>
      <c r="AL19" s="8">
        <f t="shared" si="31"/>
        <v>1.2</v>
      </c>
      <c r="AM19" s="91">
        <f t="shared" si="32"/>
        <v>0.2</v>
      </c>
      <c r="AN19" s="91">
        <f t="shared" si="33"/>
        <v>0.3</v>
      </c>
      <c r="AO19" s="91">
        <f t="shared" si="34"/>
        <v>0.5</v>
      </c>
      <c r="AP19" s="91">
        <f t="shared" si="35"/>
        <v>0.8</v>
      </c>
      <c r="AQ19" s="91">
        <f t="shared" si="36"/>
        <v>1.2</v>
      </c>
      <c r="AR19" s="35"/>
      <c r="AS19" s="8">
        <f t="shared" si="10"/>
        <v>0.2</v>
      </c>
      <c r="AT19" s="35"/>
    </row>
    <row r="20" spans="1:46">
      <c r="A20" s="12">
        <v>18</v>
      </c>
      <c r="B20" s="8">
        <f t="shared" si="11"/>
        <v>1.2</v>
      </c>
      <c r="C20" s="8">
        <f t="shared" si="12"/>
        <v>1.5</v>
      </c>
      <c r="D20" s="8">
        <f t="shared" si="13"/>
        <v>2</v>
      </c>
      <c r="E20" s="8">
        <f t="shared" si="13"/>
        <v>2.5</v>
      </c>
      <c r="F20" s="8">
        <f t="shared" si="13"/>
        <v>0.5</v>
      </c>
      <c r="G20" s="8">
        <f t="shared" si="13"/>
        <v>0.3</v>
      </c>
      <c r="H20" s="8">
        <f t="shared" si="13"/>
        <v>0.6</v>
      </c>
      <c r="I20" s="8">
        <f t="shared" si="13"/>
        <v>0.3</v>
      </c>
      <c r="J20" s="8">
        <f t="shared" si="13"/>
        <v>0.8</v>
      </c>
      <c r="K20" s="8">
        <f t="shared" si="14"/>
        <v>1.2</v>
      </c>
      <c r="L20" s="35"/>
      <c r="M20" s="8">
        <f t="shared" si="15"/>
        <v>1.5</v>
      </c>
      <c r="N20" s="8">
        <f t="shared" si="16"/>
        <v>2</v>
      </c>
      <c r="O20" s="79">
        <f t="shared" si="17"/>
        <v>2.5</v>
      </c>
      <c r="P20" s="8">
        <f t="shared" si="17"/>
        <v>3</v>
      </c>
      <c r="Q20" s="8">
        <f t="shared" si="17"/>
        <v>3.5</v>
      </c>
      <c r="R20" s="11">
        <f t="shared" si="17"/>
        <v>0.75</v>
      </c>
      <c r="S20" s="11">
        <f t="shared" si="18"/>
        <v>0.3</v>
      </c>
      <c r="T20" s="11">
        <f t="shared" si="19"/>
        <v>0.3</v>
      </c>
      <c r="U20" s="29">
        <f t="shared" si="20"/>
        <v>0.05</v>
      </c>
      <c r="V20" s="19">
        <f t="shared" si="21"/>
        <v>0.2</v>
      </c>
      <c r="W20" s="19">
        <f t="shared" si="21"/>
        <v>0.3</v>
      </c>
      <c r="X20" s="19">
        <f t="shared" si="21"/>
        <v>0.5</v>
      </c>
      <c r="Y20" s="19">
        <f t="shared" si="21"/>
        <v>0.8</v>
      </c>
      <c r="Z20" s="19">
        <f t="shared" si="21"/>
        <v>1.2</v>
      </c>
      <c r="AA20" s="35"/>
      <c r="AB20" s="8">
        <f t="shared" si="22"/>
        <v>1</v>
      </c>
      <c r="AC20" s="8">
        <f t="shared" si="23"/>
        <v>1.2</v>
      </c>
      <c r="AD20" s="8">
        <f t="shared" si="24"/>
        <v>1.5</v>
      </c>
      <c r="AE20" s="8">
        <f t="shared" si="25"/>
        <v>2</v>
      </c>
      <c r="AF20" s="8">
        <f t="shared" si="26"/>
        <v>2.5</v>
      </c>
      <c r="AG20" s="8">
        <f t="shared" si="27"/>
        <v>0.5</v>
      </c>
      <c r="AH20" s="8">
        <f t="shared" si="28"/>
        <v>0.2</v>
      </c>
      <c r="AI20" s="8">
        <f t="shared" si="29"/>
        <v>0.2</v>
      </c>
      <c r="AJ20" s="8">
        <f t="shared" si="30"/>
        <v>0.03</v>
      </c>
      <c r="AK20" s="87"/>
      <c r="AL20" s="8">
        <f t="shared" si="31"/>
        <v>1.2</v>
      </c>
      <c r="AM20" s="91">
        <f t="shared" si="32"/>
        <v>0.2</v>
      </c>
      <c r="AN20" s="91">
        <f t="shared" si="33"/>
        <v>0.3</v>
      </c>
      <c r="AO20" s="91">
        <f t="shared" si="34"/>
        <v>0.5</v>
      </c>
      <c r="AP20" s="91">
        <f t="shared" si="35"/>
        <v>0.8</v>
      </c>
      <c r="AQ20" s="91">
        <f t="shared" si="36"/>
        <v>1.2</v>
      </c>
      <c r="AR20" s="35"/>
      <c r="AS20" s="8">
        <f t="shared" si="10"/>
        <v>0.2</v>
      </c>
      <c r="AT20" s="35"/>
    </row>
    <row r="21" spans="1:46">
      <c r="A21" s="12">
        <v>19</v>
      </c>
      <c r="B21" s="8">
        <f t="shared" si="11"/>
        <v>1.2</v>
      </c>
      <c r="C21" s="8">
        <f t="shared" si="12"/>
        <v>1.5</v>
      </c>
      <c r="D21" s="8">
        <f t="shared" si="13"/>
        <v>2</v>
      </c>
      <c r="E21" s="8">
        <f t="shared" si="13"/>
        <v>2.5</v>
      </c>
      <c r="F21" s="8">
        <f t="shared" si="13"/>
        <v>0.5</v>
      </c>
      <c r="G21" s="8">
        <f t="shared" si="13"/>
        <v>0.3</v>
      </c>
      <c r="H21" s="8">
        <f t="shared" si="13"/>
        <v>0.6</v>
      </c>
      <c r="I21" s="8">
        <f t="shared" si="13"/>
        <v>0.3</v>
      </c>
      <c r="J21" s="8">
        <f t="shared" si="13"/>
        <v>0.8</v>
      </c>
      <c r="K21" s="8">
        <f t="shared" si="14"/>
        <v>1.2</v>
      </c>
      <c r="L21" s="35"/>
      <c r="M21" s="8">
        <f t="shared" si="15"/>
        <v>1.5</v>
      </c>
      <c r="N21" s="8">
        <f t="shared" si="16"/>
        <v>2</v>
      </c>
      <c r="O21" s="79">
        <f t="shared" si="17"/>
        <v>2.5</v>
      </c>
      <c r="P21" s="8">
        <f t="shared" si="17"/>
        <v>3</v>
      </c>
      <c r="Q21" s="8">
        <f t="shared" si="17"/>
        <v>3.5</v>
      </c>
      <c r="R21" s="11">
        <f t="shared" si="17"/>
        <v>0.75</v>
      </c>
      <c r="S21" s="11">
        <f t="shared" si="18"/>
        <v>0.3</v>
      </c>
      <c r="T21" s="11">
        <f t="shared" si="19"/>
        <v>0.3</v>
      </c>
      <c r="U21" s="29">
        <f t="shared" si="20"/>
        <v>0.05</v>
      </c>
      <c r="V21" s="19">
        <f t="shared" si="21"/>
        <v>0.2</v>
      </c>
      <c r="W21" s="19">
        <f t="shared" si="21"/>
        <v>0.3</v>
      </c>
      <c r="X21" s="19">
        <f t="shared" si="21"/>
        <v>0.5</v>
      </c>
      <c r="Y21" s="19">
        <f t="shared" si="21"/>
        <v>0.8</v>
      </c>
      <c r="Z21" s="19">
        <f t="shared" si="21"/>
        <v>1.2</v>
      </c>
      <c r="AA21" s="35"/>
      <c r="AB21" s="8">
        <f t="shared" si="22"/>
        <v>1</v>
      </c>
      <c r="AC21" s="8">
        <f t="shared" si="23"/>
        <v>1.2</v>
      </c>
      <c r="AD21" s="8">
        <f t="shared" si="24"/>
        <v>1.5</v>
      </c>
      <c r="AE21" s="8">
        <f t="shared" si="25"/>
        <v>2</v>
      </c>
      <c r="AF21" s="8">
        <f t="shared" si="26"/>
        <v>2.5</v>
      </c>
      <c r="AG21" s="8">
        <f t="shared" si="27"/>
        <v>0.5</v>
      </c>
      <c r="AH21" s="8">
        <f t="shared" si="28"/>
        <v>0.2</v>
      </c>
      <c r="AI21" s="8">
        <f t="shared" si="29"/>
        <v>0.2</v>
      </c>
      <c r="AJ21" s="8">
        <f t="shared" si="30"/>
        <v>0.03</v>
      </c>
      <c r="AK21" s="87"/>
      <c r="AL21" s="8">
        <f t="shared" si="31"/>
        <v>1.2</v>
      </c>
      <c r="AM21" s="91">
        <f t="shared" si="32"/>
        <v>0.2</v>
      </c>
      <c r="AN21" s="91">
        <f t="shared" si="33"/>
        <v>0.3</v>
      </c>
      <c r="AO21" s="91">
        <f t="shared" si="34"/>
        <v>0.5</v>
      </c>
      <c r="AP21" s="91">
        <f t="shared" si="35"/>
        <v>0.8</v>
      </c>
      <c r="AQ21" s="91">
        <f t="shared" si="36"/>
        <v>1.2</v>
      </c>
      <c r="AR21" s="35"/>
      <c r="AS21" s="8">
        <f t="shared" si="10"/>
        <v>0.2</v>
      </c>
      <c r="AT21" s="35"/>
    </row>
    <row r="22" spans="1:46">
      <c r="A22" s="12">
        <v>20</v>
      </c>
      <c r="B22" s="8">
        <f t="shared" si="11"/>
        <v>1.2</v>
      </c>
      <c r="C22" s="8">
        <f t="shared" si="12"/>
        <v>1.5</v>
      </c>
      <c r="D22" s="8">
        <f t="shared" si="13"/>
        <v>2</v>
      </c>
      <c r="E22" s="8">
        <f t="shared" si="13"/>
        <v>2.5</v>
      </c>
      <c r="F22" s="8">
        <f t="shared" si="13"/>
        <v>0.5</v>
      </c>
      <c r="G22" s="8">
        <f t="shared" si="13"/>
        <v>0.3</v>
      </c>
      <c r="H22" s="8">
        <f t="shared" si="13"/>
        <v>0.6</v>
      </c>
      <c r="I22" s="8">
        <f t="shared" si="13"/>
        <v>0.3</v>
      </c>
      <c r="J22" s="8">
        <f t="shared" si="13"/>
        <v>0.8</v>
      </c>
      <c r="K22" s="8">
        <f t="shared" si="14"/>
        <v>1.2</v>
      </c>
      <c r="L22" s="35"/>
      <c r="M22" s="8">
        <f t="shared" si="15"/>
        <v>1.5</v>
      </c>
      <c r="N22" s="8">
        <f t="shared" si="16"/>
        <v>2</v>
      </c>
      <c r="O22" s="79">
        <f t="shared" si="17"/>
        <v>2.5</v>
      </c>
      <c r="P22" s="8">
        <f t="shared" si="17"/>
        <v>3</v>
      </c>
      <c r="Q22" s="8">
        <f t="shared" si="17"/>
        <v>3.5</v>
      </c>
      <c r="R22" s="11">
        <f t="shared" si="17"/>
        <v>0.75</v>
      </c>
      <c r="S22" s="11">
        <f t="shared" si="18"/>
        <v>0.3</v>
      </c>
      <c r="T22" s="11">
        <f t="shared" si="19"/>
        <v>0.3</v>
      </c>
      <c r="U22" s="29">
        <f t="shared" si="20"/>
        <v>0.05</v>
      </c>
      <c r="V22" s="19">
        <f t="shared" si="21"/>
        <v>0.2</v>
      </c>
      <c r="W22" s="19">
        <f t="shared" si="21"/>
        <v>0.3</v>
      </c>
      <c r="X22" s="19">
        <f t="shared" si="21"/>
        <v>0.5</v>
      </c>
      <c r="Y22" s="19">
        <f t="shared" si="21"/>
        <v>0.8</v>
      </c>
      <c r="Z22" s="19">
        <f t="shared" si="21"/>
        <v>1.2</v>
      </c>
      <c r="AA22" s="35"/>
      <c r="AB22" s="8">
        <f t="shared" si="22"/>
        <v>1</v>
      </c>
      <c r="AC22" s="8">
        <f t="shared" si="23"/>
        <v>1.2</v>
      </c>
      <c r="AD22" s="8">
        <f t="shared" si="24"/>
        <v>1.5</v>
      </c>
      <c r="AE22" s="8">
        <f t="shared" si="25"/>
        <v>2</v>
      </c>
      <c r="AF22" s="8">
        <f t="shared" si="26"/>
        <v>2.5</v>
      </c>
      <c r="AG22" s="8">
        <f t="shared" si="27"/>
        <v>0.5</v>
      </c>
      <c r="AH22" s="8">
        <f t="shared" si="28"/>
        <v>0.2</v>
      </c>
      <c r="AI22" s="8">
        <f t="shared" si="29"/>
        <v>0.2</v>
      </c>
      <c r="AJ22" s="8">
        <f t="shared" si="30"/>
        <v>0.03</v>
      </c>
      <c r="AK22" s="87"/>
      <c r="AL22" s="8">
        <f t="shared" si="31"/>
        <v>1.2</v>
      </c>
      <c r="AM22" s="91">
        <f t="shared" si="32"/>
        <v>0.2</v>
      </c>
      <c r="AN22" s="91">
        <f t="shared" si="33"/>
        <v>0.3</v>
      </c>
      <c r="AO22" s="91">
        <f t="shared" si="34"/>
        <v>0.5</v>
      </c>
      <c r="AP22" s="91">
        <f t="shared" si="35"/>
        <v>0.8</v>
      </c>
      <c r="AQ22" s="91">
        <f t="shared" si="36"/>
        <v>1.2</v>
      </c>
      <c r="AR22" s="35"/>
      <c r="AS22" s="8">
        <f t="shared" si="10"/>
        <v>0.2</v>
      </c>
      <c r="AT22" s="35"/>
    </row>
    <row r="23" spans="1:46">
      <c r="A23" s="12">
        <v>21</v>
      </c>
      <c r="B23" s="8">
        <f t="shared" si="11"/>
        <v>1.2</v>
      </c>
      <c r="C23" s="8">
        <f t="shared" si="12"/>
        <v>1.5</v>
      </c>
      <c r="D23" s="8">
        <f t="shared" si="13"/>
        <v>2</v>
      </c>
      <c r="E23" s="8">
        <f t="shared" si="13"/>
        <v>2.5</v>
      </c>
      <c r="F23" s="8">
        <f t="shared" si="13"/>
        <v>0.5</v>
      </c>
      <c r="G23" s="8">
        <f t="shared" si="13"/>
        <v>0.3</v>
      </c>
      <c r="H23" s="8">
        <f t="shared" si="13"/>
        <v>0.6</v>
      </c>
      <c r="I23" s="8">
        <f t="shared" si="13"/>
        <v>0.3</v>
      </c>
      <c r="J23" s="8">
        <f t="shared" si="13"/>
        <v>0.8</v>
      </c>
      <c r="K23" s="8">
        <f t="shared" si="14"/>
        <v>1.2</v>
      </c>
      <c r="L23" s="35"/>
      <c r="M23" s="8">
        <f t="shared" si="15"/>
        <v>1.5</v>
      </c>
      <c r="N23" s="8">
        <f t="shared" si="16"/>
        <v>2</v>
      </c>
      <c r="O23" s="79">
        <f t="shared" si="17"/>
        <v>2.5</v>
      </c>
      <c r="P23" s="8">
        <f t="shared" si="17"/>
        <v>3</v>
      </c>
      <c r="Q23" s="8">
        <f t="shared" si="17"/>
        <v>3.5</v>
      </c>
      <c r="R23" s="11">
        <f t="shared" si="17"/>
        <v>0.75</v>
      </c>
      <c r="S23" s="11">
        <f t="shared" si="18"/>
        <v>0.3</v>
      </c>
      <c r="T23" s="11">
        <f t="shared" si="19"/>
        <v>0.3</v>
      </c>
      <c r="U23" s="29">
        <f t="shared" si="20"/>
        <v>0.05</v>
      </c>
      <c r="V23" s="19">
        <f t="shared" si="21"/>
        <v>0.2</v>
      </c>
      <c r="W23" s="19">
        <f t="shared" si="21"/>
        <v>0.3</v>
      </c>
      <c r="X23" s="19">
        <f t="shared" si="21"/>
        <v>0.5</v>
      </c>
      <c r="Y23" s="19">
        <f t="shared" si="21"/>
        <v>0.8</v>
      </c>
      <c r="Z23" s="19">
        <f t="shared" si="21"/>
        <v>1.2</v>
      </c>
      <c r="AA23" s="35"/>
      <c r="AB23" s="8">
        <f t="shared" si="22"/>
        <v>1</v>
      </c>
      <c r="AC23" s="8">
        <f t="shared" si="23"/>
        <v>1.2</v>
      </c>
      <c r="AD23" s="8">
        <f t="shared" si="24"/>
        <v>1.5</v>
      </c>
      <c r="AE23" s="8">
        <f t="shared" si="25"/>
        <v>2</v>
      </c>
      <c r="AF23" s="8">
        <f t="shared" si="26"/>
        <v>2.5</v>
      </c>
      <c r="AG23" s="8">
        <f t="shared" si="27"/>
        <v>0.5</v>
      </c>
      <c r="AH23" s="8">
        <f t="shared" si="28"/>
        <v>0.2</v>
      </c>
      <c r="AI23" s="8">
        <f t="shared" si="29"/>
        <v>0.2</v>
      </c>
      <c r="AJ23" s="8">
        <f t="shared" si="30"/>
        <v>0.03</v>
      </c>
      <c r="AK23" s="87"/>
      <c r="AL23" s="8">
        <f t="shared" si="31"/>
        <v>1.2</v>
      </c>
      <c r="AM23" s="91">
        <f t="shared" si="32"/>
        <v>0.2</v>
      </c>
      <c r="AN23" s="91">
        <f t="shared" si="33"/>
        <v>0.3</v>
      </c>
      <c r="AO23" s="91">
        <f t="shared" si="34"/>
        <v>0.5</v>
      </c>
      <c r="AP23" s="91">
        <f t="shared" si="35"/>
        <v>0.8</v>
      </c>
      <c r="AQ23" s="91">
        <f t="shared" si="36"/>
        <v>1.2</v>
      </c>
      <c r="AR23" s="35"/>
      <c r="AS23" s="8">
        <f t="shared" si="10"/>
        <v>0.2</v>
      </c>
      <c r="AT23" s="35"/>
    </row>
    <row r="24" spans="1:46">
      <c r="A24" s="12">
        <v>22</v>
      </c>
      <c r="B24" s="8">
        <f t="shared" si="11"/>
        <v>1.2</v>
      </c>
      <c r="C24" s="8">
        <f t="shared" si="12"/>
        <v>1.5</v>
      </c>
      <c r="D24" s="8">
        <f t="shared" si="13"/>
        <v>2</v>
      </c>
      <c r="E24" s="8">
        <f t="shared" si="13"/>
        <v>2.5</v>
      </c>
      <c r="F24" s="8">
        <f t="shared" si="13"/>
        <v>0.5</v>
      </c>
      <c r="G24" s="8">
        <f t="shared" si="13"/>
        <v>0.3</v>
      </c>
      <c r="H24" s="8">
        <f t="shared" si="13"/>
        <v>0.6</v>
      </c>
      <c r="I24" s="8">
        <f t="shared" si="13"/>
        <v>0.3</v>
      </c>
      <c r="J24" s="8">
        <f t="shared" si="13"/>
        <v>0.8</v>
      </c>
      <c r="K24" s="8">
        <f t="shared" si="14"/>
        <v>1.2</v>
      </c>
      <c r="L24" s="35"/>
      <c r="M24" s="8">
        <f t="shared" si="15"/>
        <v>1.5</v>
      </c>
      <c r="N24" s="8">
        <f t="shared" si="16"/>
        <v>2</v>
      </c>
      <c r="O24" s="79">
        <f t="shared" si="17"/>
        <v>2.5</v>
      </c>
      <c r="P24" s="8">
        <f t="shared" si="17"/>
        <v>3</v>
      </c>
      <c r="Q24" s="8">
        <f t="shared" si="17"/>
        <v>3.5</v>
      </c>
      <c r="R24" s="11">
        <f t="shared" si="17"/>
        <v>0.75</v>
      </c>
      <c r="S24" s="11">
        <f t="shared" si="18"/>
        <v>0.3</v>
      </c>
      <c r="T24" s="11">
        <f t="shared" si="19"/>
        <v>0.3</v>
      </c>
      <c r="U24" s="29">
        <f t="shared" si="20"/>
        <v>0.05</v>
      </c>
      <c r="V24" s="19">
        <f t="shared" si="21"/>
        <v>0.2</v>
      </c>
      <c r="W24" s="19">
        <f t="shared" si="21"/>
        <v>0.3</v>
      </c>
      <c r="X24" s="19">
        <f t="shared" si="21"/>
        <v>0.5</v>
      </c>
      <c r="Y24" s="19">
        <f t="shared" si="21"/>
        <v>0.8</v>
      </c>
      <c r="Z24" s="19">
        <f t="shared" si="21"/>
        <v>1.2</v>
      </c>
      <c r="AA24" s="35"/>
      <c r="AB24" s="8">
        <f t="shared" si="22"/>
        <v>1</v>
      </c>
      <c r="AC24" s="8">
        <f t="shared" si="23"/>
        <v>1.2</v>
      </c>
      <c r="AD24" s="8">
        <f t="shared" si="24"/>
        <v>1.5</v>
      </c>
      <c r="AE24" s="8">
        <f t="shared" si="25"/>
        <v>2</v>
      </c>
      <c r="AF24" s="8">
        <f t="shared" si="26"/>
        <v>2.5</v>
      </c>
      <c r="AG24" s="8">
        <f t="shared" si="27"/>
        <v>0.5</v>
      </c>
      <c r="AH24" s="8">
        <f t="shared" si="28"/>
        <v>0.2</v>
      </c>
      <c r="AI24" s="8">
        <f t="shared" si="29"/>
        <v>0.2</v>
      </c>
      <c r="AJ24" s="8">
        <f t="shared" si="30"/>
        <v>0.03</v>
      </c>
      <c r="AK24" s="87"/>
      <c r="AL24" s="8">
        <f t="shared" si="31"/>
        <v>1.2</v>
      </c>
      <c r="AM24" s="91">
        <f t="shared" si="32"/>
        <v>0.2</v>
      </c>
      <c r="AN24" s="91">
        <f t="shared" si="33"/>
        <v>0.3</v>
      </c>
      <c r="AO24" s="91">
        <f t="shared" si="34"/>
        <v>0.5</v>
      </c>
      <c r="AP24" s="91">
        <f t="shared" si="35"/>
        <v>0.8</v>
      </c>
      <c r="AQ24" s="91">
        <f t="shared" si="36"/>
        <v>1.2</v>
      </c>
      <c r="AR24" s="35"/>
      <c r="AS24" s="8">
        <f t="shared" si="10"/>
        <v>0.2</v>
      </c>
      <c r="AT24" s="35"/>
    </row>
    <row r="25" spans="1:46">
      <c r="A25" s="12">
        <v>23</v>
      </c>
      <c r="B25" s="8">
        <f t="shared" si="11"/>
        <v>1.2</v>
      </c>
      <c r="C25" s="8">
        <f t="shared" si="12"/>
        <v>1.5</v>
      </c>
      <c r="D25" s="8">
        <f t="shared" si="13"/>
        <v>2</v>
      </c>
      <c r="E25" s="8">
        <f t="shared" si="13"/>
        <v>2.5</v>
      </c>
      <c r="F25" s="8">
        <f t="shared" si="13"/>
        <v>0.5</v>
      </c>
      <c r="G25" s="8">
        <f t="shared" si="13"/>
        <v>0.3</v>
      </c>
      <c r="H25" s="8">
        <f t="shared" si="13"/>
        <v>0.6</v>
      </c>
      <c r="I25" s="8">
        <f t="shared" si="13"/>
        <v>0.3</v>
      </c>
      <c r="J25" s="8">
        <f t="shared" si="13"/>
        <v>0.8</v>
      </c>
      <c r="K25" s="8">
        <f t="shared" si="14"/>
        <v>1.2</v>
      </c>
      <c r="L25" s="35"/>
      <c r="M25" s="8">
        <f t="shared" si="15"/>
        <v>1.5</v>
      </c>
      <c r="N25" s="8">
        <f t="shared" si="16"/>
        <v>2</v>
      </c>
      <c r="O25" s="79">
        <f t="shared" si="17"/>
        <v>2.5</v>
      </c>
      <c r="P25" s="8">
        <f t="shared" si="17"/>
        <v>3</v>
      </c>
      <c r="Q25" s="8">
        <f t="shared" si="17"/>
        <v>3.5</v>
      </c>
      <c r="R25" s="11">
        <f t="shared" si="17"/>
        <v>0.75</v>
      </c>
      <c r="S25" s="11">
        <f t="shared" si="18"/>
        <v>0.3</v>
      </c>
      <c r="T25" s="11">
        <f t="shared" si="19"/>
        <v>0.3</v>
      </c>
      <c r="U25" s="29">
        <f t="shared" si="20"/>
        <v>0.05</v>
      </c>
      <c r="V25" s="19">
        <f t="shared" si="21"/>
        <v>0.2</v>
      </c>
      <c r="W25" s="19">
        <f t="shared" si="21"/>
        <v>0.3</v>
      </c>
      <c r="X25" s="19">
        <f t="shared" si="21"/>
        <v>0.5</v>
      </c>
      <c r="Y25" s="19">
        <f t="shared" si="21"/>
        <v>0.8</v>
      </c>
      <c r="Z25" s="19">
        <f t="shared" si="21"/>
        <v>1.2</v>
      </c>
      <c r="AA25" s="35"/>
      <c r="AB25" s="8">
        <f t="shared" si="22"/>
        <v>1</v>
      </c>
      <c r="AC25" s="8">
        <f t="shared" si="23"/>
        <v>1.2</v>
      </c>
      <c r="AD25" s="8">
        <f t="shared" si="24"/>
        <v>1.5</v>
      </c>
      <c r="AE25" s="8">
        <f t="shared" si="25"/>
        <v>2</v>
      </c>
      <c r="AF25" s="8">
        <f t="shared" si="26"/>
        <v>2.5</v>
      </c>
      <c r="AG25" s="8">
        <f t="shared" si="27"/>
        <v>0.5</v>
      </c>
      <c r="AH25" s="8">
        <f t="shared" si="28"/>
        <v>0.2</v>
      </c>
      <c r="AI25" s="8">
        <f t="shared" si="29"/>
        <v>0.2</v>
      </c>
      <c r="AJ25" s="8">
        <f t="shared" si="30"/>
        <v>0.03</v>
      </c>
      <c r="AK25" s="87"/>
      <c r="AL25" s="8">
        <f t="shared" si="31"/>
        <v>1.2</v>
      </c>
      <c r="AM25" s="91">
        <f t="shared" si="32"/>
        <v>0.2</v>
      </c>
      <c r="AN25" s="91">
        <f t="shared" si="33"/>
        <v>0.3</v>
      </c>
      <c r="AO25" s="91">
        <f t="shared" si="34"/>
        <v>0.5</v>
      </c>
      <c r="AP25" s="91">
        <f t="shared" si="35"/>
        <v>0.8</v>
      </c>
      <c r="AQ25" s="91">
        <f t="shared" si="36"/>
        <v>1.2</v>
      </c>
      <c r="AR25" s="35"/>
      <c r="AS25" s="8">
        <f t="shared" si="10"/>
        <v>0.2</v>
      </c>
      <c r="AT25" s="35"/>
    </row>
    <row r="26" spans="1:46">
      <c r="A26" s="12">
        <v>24</v>
      </c>
      <c r="B26" s="8">
        <f t="shared" si="11"/>
        <v>1.2</v>
      </c>
      <c r="C26" s="8">
        <f t="shared" si="12"/>
        <v>1.5</v>
      </c>
      <c r="D26" s="8">
        <f t="shared" si="13"/>
        <v>2</v>
      </c>
      <c r="E26" s="8">
        <f t="shared" si="13"/>
        <v>2.5</v>
      </c>
      <c r="F26" s="8">
        <f t="shared" si="13"/>
        <v>0.5</v>
      </c>
      <c r="G26" s="8">
        <f t="shared" si="13"/>
        <v>0.3</v>
      </c>
      <c r="H26" s="8">
        <f t="shared" si="13"/>
        <v>0.6</v>
      </c>
      <c r="I26" s="8">
        <f t="shared" si="13"/>
        <v>0.3</v>
      </c>
      <c r="J26" s="8">
        <f t="shared" si="13"/>
        <v>0.8</v>
      </c>
      <c r="K26" s="8">
        <f t="shared" si="14"/>
        <v>1.2</v>
      </c>
      <c r="L26" s="35"/>
      <c r="M26" s="8">
        <f t="shared" si="15"/>
        <v>1.5</v>
      </c>
      <c r="N26" s="8">
        <f t="shared" si="16"/>
        <v>2</v>
      </c>
      <c r="O26" s="79">
        <f t="shared" si="17"/>
        <v>2.5</v>
      </c>
      <c r="P26" s="8">
        <f t="shared" si="17"/>
        <v>3</v>
      </c>
      <c r="Q26" s="8">
        <f t="shared" si="17"/>
        <v>3.5</v>
      </c>
      <c r="R26" s="11">
        <f t="shared" si="17"/>
        <v>0.75</v>
      </c>
      <c r="S26" s="11">
        <f t="shared" si="18"/>
        <v>0.3</v>
      </c>
      <c r="T26" s="11">
        <f t="shared" si="19"/>
        <v>0.3</v>
      </c>
      <c r="U26" s="29">
        <f t="shared" si="20"/>
        <v>0.05</v>
      </c>
      <c r="V26" s="19">
        <f t="shared" si="21"/>
        <v>0.2</v>
      </c>
      <c r="W26" s="19">
        <f t="shared" si="21"/>
        <v>0.3</v>
      </c>
      <c r="X26" s="19">
        <f t="shared" si="21"/>
        <v>0.5</v>
      </c>
      <c r="Y26" s="19">
        <f t="shared" si="21"/>
        <v>0.8</v>
      </c>
      <c r="Z26" s="19">
        <f t="shared" si="21"/>
        <v>1.2</v>
      </c>
      <c r="AA26" s="35"/>
      <c r="AB26" s="8">
        <f t="shared" si="22"/>
        <v>1</v>
      </c>
      <c r="AC26" s="8">
        <f t="shared" si="23"/>
        <v>1.2</v>
      </c>
      <c r="AD26" s="8">
        <f t="shared" si="24"/>
        <v>1.5</v>
      </c>
      <c r="AE26" s="8">
        <f t="shared" si="25"/>
        <v>2</v>
      </c>
      <c r="AF26" s="8">
        <f t="shared" si="26"/>
        <v>2.5</v>
      </c>
      <c r="AG26" s="8">
        <f t="shared" si="27"/>
        <v>0.5</v>
      </c>
      <c r="AH26" s="8">
        <f t="shared" si="28"/>
        <v>0.2</v>
      </c>
      <c r="AI26" s="8">
        <f t="shared" si="29"/>
        <v>0.2</v>
      </c>
      <c r="AJ26" s="8">
        <f t="shared" si="30"/>
        <v>0.03</v>
      </c>
      <c r="AK26" s="87"/>
      <c r="AL26" s="8">
        <f t="shared" si="31"/>
        <v>1.2</v>
      </c>
      <c r="AM26" s="91">
        <f t="shared" si="32"/>
        <v>0.2</v>
      </c>
      <c r="AN26" s="91">
        <f t="shared" si="33"/>
        <v>0.3</v>
      </c>
      <c r="AO26" s="91">
        <f t="shared" si="34"/>
        <v>0.5</v>
      </c>
      <c r="AP26" s="91">
        <f t="shared" si="35"/>
        <v>0.8</v>
      </c>
      <c r="AQ26" s="91">
        <f t="shared" si="36"/>
        <v>1.2</v>
      </c>
      <c r="AR26" s="35"/>
      <c r="AS26" s="8">
        <f t="shared" si="10"/>
        <v>0.2</v>
      </c>
      <c r="AT26" s="35"/>
    </row>
    <row r="27" spans="1:46">
      <c r="A27" s="12">
        <v>25</v>
      </c>
      <c r="B27" s="8">
        <f t="shared" si="11"/>
        <v>1.2</v>
      </c>
      <c r="C27" s="8">
        <f t="shared" si="12"/>
        <v>1.5</v>
      </c>
      <c r="D27" s="8">
        <f t="shared" si="13"/>
        <v>2</v>
      </c>
      <c r="E27" s="8">
        <f t="shared" si="13"/>
        <v>2.5</v>
      </c>
      <c r="F27" s="8">
        <f t="shared" si="13"/>
        <v>0.5</v>
      </c>
      <c r="G27" s="8">
        <f t="shared" si="13"/>
        <v>0.3</v>
      </c>
      <c r="H27" s="8">
        <f t="shared" si="13"/>
        <v>0.6</v>
      </c>
      <c r="I27" s="8">
        <f t="shared" si="13"/>
        <v>0.3</v>
      </c>
      <c r="J27" s="8">
        <f t="shared" si="13"/>
        <v>0.8</v>
      </c>
      <c r="K27" s="8">
        <f t="shared" si="14"/>
        <v>1.2</v>
      </c>
      <c r="L27" s="35"/>
      <c r="M27" s="8">
        <f t="shared" si="15"/>
        <v>1.5</v>
      </c>
      <c r="N27" s="8">
        <f t="shared" si="16"/>
        <v>2</v>
      </c>
      <c r="O27" s="79">
        <f t="shared" si="17"/>
        <v>2.5</v>
      </c>
      <c r="P27" s="8">
        <f t="shared" si="17"/>
        <v>3</v>
      </c>
      <c r="Q27" s="8">
        <f t="shared" si="17"/>
        <v>3.5</v>
      </c>
      <c r="R27" s="11">
        <f t="shared" si="17"/>
        <v>0.75</v>
      </c>
      <c r="S27" s="11">
        <f t="shared" si="18"/>
        <v>0.3</v>
      </c>
      <c r="T27" s="11">
        <f t="shared" si="19"/>
        <v>0.3</v>
      </c>
      <c r="U27" s="29">
        <f t="shared" si="20"/>
        <v>0.05</v>
      </c>
      <c r="V27" s="19">
        <f t="shared" si="21"/>
        <v>0.2</v>
      </c>
      <c r="W27" s="19">
        <f t="shared" si="21"/>
        <v>0.3</v>
      </c>
      <c r="X27" s="19">
        <f t="shared" si="21"/>
        <v>0.5</v>
      </c>
      <c r="Y27" s="19">
        <f t="shared" si="21"/>
        <v>0.8</v>
      </c>
      <c r="Z27" s="19">
        <f t="shared" si="21"/>
        <v>1.2</v>
      </c>
      <c r="AA27" s="35"/>
      <c r="AB27" s="8">
        <f t="shared" si="22"/>
        <v>1</v>
      </c>
      <c r="AC27" s="8">
        <f t="shared" si="23"/>
        <v>1.2</v>
      </c>
      <c r="AD27" s="8">
        <f t="shared" si="24"/>
        <v>1.5</v>
      </c>
      <c r="AE27" s="8">
        <f t="shared" si="25"/>
        <v>2</v>
      </c>
      <c r="AF27" s="8">
        <f t="shared" si="26"/>
        <v>2.5</v>
      </c>
      <c r="AG27" s="8">
        <f t="shared" si="27"/>
        <v>0.5</v>
      </c>
      <c r="AH27" s="8">
        <f t="shared" si="28"/>
        <v>0.2</v>
      </c>
      <c r="AI27" s="8">
        <f t="shared" si="29"/>
        <v>0.2</v>
      </c>
      <c r="AJ27" s="8">
        <f t="shared" si="30"/>
        <v>0.03</v>
      </c>
      <c r="AK27" s="87"/>
      <c r="AL27" s="8">
        <f t="shared" si="31"/>
        <v>1.2</v>
      </c>
      <c r="AM27" s="91">
        <f t="shared" si="32"/>
        <v>0.2</v>
      </c>
      <c r="AN27" s="91">
        <f t="shared" si="33"/>
        <v>0.3</v>
      </c>
      <c r="AO27" s="91">
        <f t="shared" si="34"/>
        <v>0.5</v>
      </c>
      <c r="AP27" s="91">
        <f t="shared" si="35"/>
        <v>0.8</v>
      </c>
      <c r="AQ27" s="91">
        <f t="shared" si="36"/>
        <v>1.2</v>
      </c>
      <c r="AR27" s="35"/>
      <c r="AS27" s="8">
        <f t="shared" si="10"/>
        <v>0.2</v>
      </c>
      <c r="AT27" s="35"/>
    </row>
    <row r="28" spans="1:46">
      <c r="A28" s="12">
        <v>26</v>
      </c>
      <c r="B28" s="8">
        <f t="shared" si="11"/>
        <v>1.2</v>
      </c>
      <c r="C28" s="8">
        <f t="shared" si="12"/>
        <v>1.5</v>
      </c>
      <c r="D28" s="8">
        <f t="shared" si="13"/>
        <v>2</v>
      </c>
      <c r="E28" s="8">
        <f t="shared" si="13"/>
        <v>2.5</v>
      </c>
      <c r="F28" s="8">
        <f t="shared" si="13"/>
        <v>0.5</v>
      </c>
      <c r="G28" s="8">
        <f t="shared" si="13"/>
        <v>0.3</v>
      </c>
      <c r="H28" s="8">
        <f t="shared" si="13"/>
        <v>0.6</v>
      </c>
      <c r="I28" s="8">
        <f t="shared" si="13"/>
        <v>0.3</v>
      </c>
      <c r="J28" s="8">
        <f t="shared" si="13"/>
        <v>0.8</v>
      </c>
      <c r="K28" s="8">
        <f t="shared" si="14"/>
        <v>1.2</v>
      </c>
      <c r="L28" s="35"/>
      <c r="M28" s="8">
        <f t="shared" si="15"/>
        <v>1.5</v>
      </c>
      <c r="N28" s="8">
        <f t="shared" si="16"/>
        <v>2</v>
      </c>
      <c r="O28" s="79">
        <f t="shared" si="17"/>
        <v>2.5</v>
      </c>
      <c r="P28" s="8">
        <f t="shared" si="17"/>
        <v>3</v>
      </c>
      <c r="Q28" s="8">
        <f t="shared" si="17"/>
        <v>3.5</v>
      </c>
      <c r="R28" s="11">
        <f t="shared" si="17"/>
        <v>0.75</v>
      </c>
      <c r="S28" s="11">
        <f t="shared" si="18"/>
        <v>0.3</v>
      </c>
      <c r="T28" s="11">
        <f t="shared" si="19"/>
        <v>0.3</v>
      </c>
      <c r="U28" s="29">
        <f t="shared" si="20"/>
        <v>0.05</v>
      </c>
      <c r="V28" s="19">
        <f t="shared" si="21"/>
        <v>0.2</v>
      </c>
      <c r="W28" s="19">
        <f t="shared" si="21"/>
        <v>0.3</v>
      </c>
      <c r="X28" s="19">
        <f t="shared" si="21"/>
        <v>0.5</v>
      </c>
      <c r="Y28" s="19">
        <f t="shared" si="21"/>
        <v>0.8</v>
      </c>
      <c r="Z28" s="19">
        <f t="shared" si="21"/>
        <v>1.2</v>
      </c>
      <c r="AA28" s="35"/>
      <c r="AB28" s="8">
        <f t="shared" si="22"/>
        <v>1</v>
      </c>
      <c r="AC28" s="8">
        <f t="shared" si="23"/>
        <v>1.2</v>
      </c>
      <c r="AD28" s="8">
        <f t="shared" si="24"/>
        <v>1.5</v>
      </c>
      <c r="AE28" s="8">
        <f t="shared" si="25"/>
        <v>2</v>
      </c>
      <c r="AF28" s="8">
        <f t="shared" si="26"/>
        <v>2.5</v>
      </c>
      <c r="AG28" s="8">
        <f t="shared" si="27"/>
        <v>0.5</v>
      </c>
      <c r="AH28" s="8">
        <f t="shared" si="28"/>
        <v>0.2</v>
      </c>
      <c r="AI28" s="8">
        <f t="shared" si="29"/>
        <v>0.2</v>
      </c>
      <c r="AJ28" s="8">
        <f t="shared" si="30"/>
        <v>0.03</v>
      </c>
      <c r="AK28" s="87"/>
      <c r="AL28" s="8">
        <f t="shared" si="31"/>
        <v>1.2</v>
      </c>
      <c r="AM28" s="91">
        <f t="shared" si="32"/>
        <v>0.2</v>
      </c>
      <c r="AN28" s="91">
        <f t="shared" si="33"/>
        <v>0.3</v>
      </c>
      <c r="AO28" s="91">
        <f t="shared" si="34"/>
        <v>0.5</v>
      </c>
      <c r="AP28" s="91">
        <f t="shared" si="35"/>
        <v>0.8</v>
      </c>
      <c r="AQ28" s="91">
        <f t="shared" si="36"/>
        <v>1.2</v>
      </c>
      <c r="AR28" s="35"/>
      <c r="AS28" s="8">
        <f t="shared" si="10"/>
        <v>0.2</v>
      </c>
      <c r="AT28" s="35"/>
    </row>
    <row r="29" spans="1:46">
      <c r="A29" s="12">
        <v>27</v>
      </c>
      <c r="B29" s="8">
        <f t="shared" si="11"/>
        <v>1.2</v>
      </c>
      <c r="C29" s="8">
        <f t="shared" si="12"/>
        <v>1.5</v>
      </c>
      <c r="D29" s="8">
        <f t="shared" si="13"/>
        <v>2</v>
      </c>
      <c r="E29" s="8">
        <f t="shared" si="13"/>
        <v>2.5</v>
      </c>
      <c r="F29" s="8">
        <f t="shared" si="13"/>
        <v>0.5</v>
      </c>
      <c r="G29" s="8">
        <f t="shared" si="13"/>
        <v>0.3</v>
      </c>
      <c r="H29" s="8">
        <f t="shared" si="13"/>
        <v>0.6</v>
      </c>
      <c r="I29" s="8">
        <f t="shared" si="13"/>
        <v>0.3</v>
      </c>
      <c r="J29" s="8">
        <f t="shared" si="13"/>
        <v>0.8</v>
      </c>
      <c r="K29" s="8">
        <f t="shared" si="14"/>
        <v>1.2</v>
      </c>
      <c r="L29" s="35"/>
      <c r="M29" s="8">
        <f t="shared" si="15"/>
        <v>1.5</v>
      </c>
      <c r="N29" s="8">
        <f t="shared" si="16"/>
        <v>2</v>
      </c>
      <c r="O29" s="79">
        <f t="shared" si="17"/>
        <v>2.5</v>
      </c>
      <c r="P29" s="8">
        <f t="shared" si="17"/>
        <v>3</v>
      </c>
      <c r="Q29" s="8">
        <f t="shared" si="17"/>
        <v>3.5</v>
      </c>
      <c r="R29" s="11">
        <f t="shared" si="17"/>
        <v>0.75</v>
      </c>
      <c r="S29" s="11">
        <f t="shared" si="18"/>
        <v>0.3</v>
      </c>
      <c r="T29" s="11">
        <f t="shared" si="19"/>
        <v>0.3</v>
      </c>
      <c r="U29" s="29">
        <f t="shared" si="20"/>
        <v>0.05</v>
      </c>
      <c r="V29" s="19">
        <f t="shared" si="21"/>
        <v>0.2</v>
      </c>
      <c r="W29" s="19">
        <f t="shared" si="21"/>
        <v>0.3</v>
      </c>
      <c r="X29" s="19">
        <f t="shared" si="21"/>
        <v>0.5</v>
      </c>
      <c r="Y29" s="19">
        <f t="shared" si="21"/>
        <v>0.8</v>
      </c>
      <c r="Z29" s="19">
        <f t="shared" si="21"/>
        <v>1.2</v>
      </c>
      <c r="AA29" s="35"/>
      <c r="AB29" s="8">
        <f t="shared" si="22"/>
        <v>1</v>
      </c>
      <c r="AC29" s="8">
        <f t="shared" si="23"/>
        <v>1.2</v>
      </c>
      <c r="AD29" s="8">
        <f t="shared" si="24"/>
        <v>1.5</v>
      </c>
      <c r="AE29" s="8">
        <f t="shared" si="25"/>
        <v>2</v>
      </c>
      <c r="AF29" s="8">
        <f t="shared" si="26"/>
        <v>2.5</v>
      </c>
      <c r="AG29" s="8">
        <f t="shared" si="27"/>
        <v>0.5</v>
      </c>
      <c r="AH29" s="8">
        <f t="shared" si="28"/>
        <v>0.2</v>
      </c>
      <c r="AI29" s="8">
        <f t="shared" si="29"/>
        <v>0.2</v>
      </c>
      <c r="AJ29" s="8">
        <f t="shared" si="30"/>
        <v>0.03</v>
      </c>
      <c r="AK29" s="87"/>
      <c r="AL29" s="8">
        <f t="shared" si="31"/>
        <v>1.2</v>
      </c>
      <c r="AM29" s="91">
        <f t="shared" si="32"/>
        <v>0.2</v>
      </c>
      <c r="AN29" s="91">
        <f t="shared" si="33"/>
        <v>0.3</v>
      </c>
      <c r="AO29" s="91">
        <f t="shared" si="34"/>
        <v>0.5</v>
      </c>
      <c r="AP29" s="91">
        <f t="shared" si="35"/>
        <v>0.8</v>
      </c>
      <c r="AQ29" s="91">
        <f t="shared" si="36"/>
        <v>1.2</v>
      </c>
      <c r="AR29" s="35"/>
      <c r="AS29" s="8">
        <f t="shared" si="10"/>
        <v>0.2</v>
      </c>
      <c r="AT29" s="35"/>
    </row>
    <row r="30" spans="1:46">
      <c r="A30" s="12">
        <v>28</v>
      </c>
      <c r="B30" s="8">
        <f t="shared" si="11"/>
        <v>1.2</v>
      </c>
      <c r="C30" s="8">
        <f t="shared" si="12"/>
        <v>1.5</v>
      </c>
      <c r="D30" s="8">
        <f t="shared" si="13"/>
        <v>2</v>
      </c>
      <c r="E30" s="8">
        <f t="shared" si="13"/>
        <v>2.5</v>
      </c>
      <c r="F30" s="8">
        <f t="shared" si="13"/>
        <v>0.5</v>
      </c>
      <c r="G30" s="8">
        <f t="shared" si="13"/>
        <v>0.3</v>
      </c>
      <c r="H30" s="8">
        <f t="shared" si="13"/>
        <v>0.6</v>
      </c>
      <c r="I30" s="8">
        <f t="shared" si="13"/>
        <v>0.3</v>
      </c>
      <c r="J30" s="8">
        <f t="shared" si="13"/>
        <v>0.8</v>
      </c>
      <c r="K30" s="8">
        <f t="shared" si="14"/>
        <v>1.2</v>
      </c>
      <c r="L30" s="35"/>
      <c r="M30" s="8">
        <f t="shared" si="15"/>
        <v>1.5</v>
      </c>
      <c r="N30" s="8">
        <f t="shared" si="16"/>
        <v>2</v>
      </c>
      <c r="O30" s="79">
        <f t="shared" si="17"/>
        <v>2.5</v>
      </c>
      <c r="P30" s="8">
        <f t="shared" si="17"/>
        <v>3</v>
      </c>
      <c r="Q30" s="8">
        <f t="shared" si="17"/>
        <v>3.5</v>
      </c>
      <c r="R30" s="11">
        <f t="shared" si="17"/>
        <v>0.75</v>
      </c>
      <c r="S30" s="11">
        <f t="shared" si="18"/>
        <v>0.3</v>
      </c>
      <c r="T30" s="11">
        <f t="shared" si="19"/>
        <v>0.3</v>
      </c>
      <c r="U30" s="29">
        <f t="shared" si="20"/>
        <v>0.05</v>
      </c>
      <c r="V30" s="19">
        <f t="shared" si="21"/>
        <v>0.2</v>
      </c>
      <c r="W30" s="19">
        <f t="shared" si="21"/>
        <v>0.3</v>
      </c>
      <c r="X30" s="19">
        <f t="shared" si="21"/>
        <v>0.5</v>
      </c>
      <c r="Y30" s="19">
        <f t="shared" si="21"/>
        <v>0.8</v>
      </c>
      <c r="Z30" s="19">
        <f t="shared" si="21"/>
        <v>1.2</v>
      </c>
      <c r="AA30" s="35"/>
      <c r="AB30" s="8">
        <f t="shared" si="22"/>
        <v>1</v>
      </c>
      <c r="AC30" s="8">
        <f t="shared" si="23"/>
        <v>1.2</v>
      </c>
      <c r="AD30" s="8">
        <f t="shared" si="24"/>
        <v>1.5</v>
      </c>
      <c r="AE30" s="8">
        <f t="shared" si="25"/>
        <v>2</v>
      </c>
      <c r="AF30" s="8">
        <f t="shared" si="26"/>
        <v>2.5</v>
      </c>
      <c r="AG30" s="8">
        <f t="shared" si="27"/>
        <v>0.5</v>
      </c>
      <c r="AH30" s="8">
        <f t="shared" si="28"/>
        <v>0.2</v>
      </c>
      <c r="AI30" s="8">
        <f t="shared" si="29"/>
        <v>0.2</v>
      </c>
      <c r="AJ30" s="8">
        <f t="shared" si="30"/>
        <v>0.03</v>
      </c>
      <c r="AK30" s="87"/>
      <c r="AL30" s="8">
        <f t="shared" si="31"/>
        <v>1.2</v>
      </c>
      <c r="AM30" s="91">
        <f t="shared" si="32"/>
        <v>0.2</v>
      </c>
      <c r="AN30" s="91">
        <f t="shared" si="33"/>
        <v>0.3</v>
      </c>
      <c r="AO30" s="91">
        <f t="shared" si="34"/>
        <v>0.5</v>
      </c>
      <c r="AP30" s="91">
        <f t="shared" si="35"/>
        <v>0.8</v>
      </c>
      <c r="AQ30" s="91">
        <f t="shared" si="36"/>
        <v>1.2</v>
      </c>
      <c r="AR30" s="35"/>
      <c r="AS30" s="8">
        <f t="shared" si="10"/>
        <v>0.2</v>
      </c>
      <c r="AT30" s="35"/>
    </row>
    <row r="31" spans="1:46">
      <c r="A31" s="12">
        <v>29</v>
      </c>
      <c r="B31" s="8">
        <f t="shared" si="11"/>
        <v>1.2</v>
      </c>
      <c r="C31" s="8">
        <f t="shared" si="12"/>
        <v>1.5</v>
      </c>
      <c r="D31" s="8">
        <f t="shared" si="13"/>
        <v>2</v>
      </c>
      <c r="E31" s="8">
        <f t="shared" si="13"/>
        <v>2.5</v>
      </c>
      <c r="F31" s="8">
        <f t="shared" si="13"/>
        <v>0.5</v>
      </c>
      <c r="G31" s="8">
        <f t="shared" si="13"/>
        <v>0.3</v>
      </c>
      <c r="H31" s="8">
        <f t="shared" si="13"/>
        <v>0.6</v>
      </c>
      <c r="I31" s="8">
        <f t="shared" si="13"/>
        <v>0.3</v>
      </c>
      <c r="J31" s="8">
        <f t="shared" si="13"/>
        <v>0.8</v>
      </c>
      <c r="K31" s="8">
        <f t="shared" si="14"/>
        <v>1.2</v>
      </c>
      <c r="L31" s="35"/>
      <c r="M31" s="8">
        <f t="shared" si="15"/>
        <v>1.5</v>
      </c>
      <c r="N31" s="8">
        <f t="shared" si="16"/>
        <v>2</v>
      </c>
      <c r="O31" s="79">
        <f t="shared" si="17"/>
        <v>2.5</v>
      </c>
      <c r="P31" s="8">
        <f t="shared" si="17"/>
        <v>3</v>
      </c>
      <c r="Q31" s="8">
        <f t="shared" si="17"/>
        <v>3.5</v>
      </c>
      <c r="R31" s="11">
        <f t="shared" si="17"/>
        <v>0.75</v>
      </c>
      <c r="S31" s="11">
        <f t="shared" si="18"/>
        <v>0.3</v>
      </c>
      <c r="T31" s="11">
        <f t="shared" si="19"/>
        <v>0.3</v>
      </c>
      <c r="U31" s="29">
        <f t="shared" si="20"/>
        <v>0.05</v>
      </c>
      <c r="V31" s="19">
        <f t="shared" si="21"/>
        <v>0.2</v>
      </c>
      <c r="W31" s="19">
        <f t="shared" si="21"/>
        <v>0.3</v>
      </c>
      <c r="X31" s="19">
        <f t="shared" si="21"/>
        <v>0.5</v>
      </c>
      <c r="Y31" s="19">
        <f t="shared" si="21"/>
        <v>0.8</v>
      </c>
      <c r="Z31" s="19">
        <f t="shared" si="21"/>
        <v>1.2</v>
      </c>
      <c r="AA31" s="35"/>
      <c r="AB31" s="8">
        <f t="shared" si="22"/>
        <v>1</v>
      </c>
      <c r="AC31" s="8">
        <f t="shared" si="23"/>
        <v>1.2</v>
      </c>
      <c r="AD31" s="8">
        <f t="shared" si="24"/>
        <v>1.5</v>
      </c>
      <c r="AE31" s="8">
        <f t="shared" si="25"/>
        <v>2</v>
      </c>
      <c r="AF31" s="8">
        <f t="shared" si="26"/>
        <v>2.5</v>
      </c>
      <c r="AG31" s="8">
        <f t="shared" si="27"/>
        <v>0.5</v>
      </c>
      <c r="AH31" s="8">
        <f t="shared" si="28"/>
        <v>0.2</v>
      </c>
      <c r="AI31" s="8">
        <f t="shared" si="29"/>
        <v>0.2</v>
      </c>
      <c r="AJ31" s="8">
        <f t="shared" si="30"/>
        <v>0.03</v>
      </c>
      <c r="AK31" s="87"/>
      <c r="AL31" s="8">
        <f t="shared" si="31"/>
        <v>1.2</v>
      </c>
      <c r="AM31" s="91">
        <f t="shared" si="32"/>
        <v>0.2</v>
      </c>
      <c r="AN31" s="91">
        <f t="shared" si="33"/>
        <v>0.3</v>
      </c>
      <c r="AO31" s="91">
        <f t="shared" si="34"/>
        <v>0.5</v>
      </c>
      <c r="AP31" s="91">
        <f t="shared" si="35"/>
        <v>0.8</v>
      </c>
      <c r="AQ31" s="91">
        <f t="shared" si="36"/>
        <v>1.2</v>
      </c>
      <c r="AR31" s="35"/>
      <c r="AS31" s="8">
        <f t="shared" si="10"/>
        <v>0.2</v>
      </c>
      <c r="AT31" s="35"/>
    </row>
    <row r="32" spans="1:46">
      <c r="A32" s="12">
        <v>30</v>
      </c>
      <c r="B32" s="8">
        <f t="shared" si="11"/>
        <v>1.2</v>
      </c>
      <c r="C32" s="8">
        <f t="shared" si="12"/>
        <v>1.5</v>
      </c>
      <c r="D32" s="8">
        <f t="shared" si="13"/>
        <v>2</v>
      </c>
      <c r="E32" s="8">
        <f t="shared" si="13"/>
        <v>2.5</v>
      </c>
      <c r="F32" s="8">
        <f t="shared" si="13"/>
        <v>0.5</v>
      </c>
      <c r="G32" s="8">
        <f t="shared" si="13"/>
        <v>0.3</v>
      </c>
      <c r="H32" s="8">
        <f t="shared" si="13"/>
        <v>0.6</v>
      </c>
      <c r="I32" s="8">
        <f t="shared" si="13"/>
        <v>0.3</v>
      </c>
      <c r="J32" s="8">
        <f t="shared" si="13"/>
        <v>0.8</v>
      </c>
      <c r="K32" s="8">
        <f t="shared" si="14"/>
        <v>1.2</v>
      </c>
      <c r="L32" s="35"/>
      <c r="M32" s="8">
        <f t="shared" si="15"/>
        <v>1.5</v>
      </c>
      <c r="N32" s="8">
        <f t="shared" si="16"/>
        <v>2</v>
      </c>
      <c r="O32" s="79">
        <f t="shared" si="17"/>
        <v>2.5</v>
      </c>
      <c r="P32" s="8">
        <f t="shared" si="17"/>
        <v>3</v>
      </c>
      <c r="Q32" s="8">
        <f t="shared" si="17"/>
        <v>3.5</v>
      </c>
      <c r="R32" s="11">
        <f t="shared" si="17"/>
        <v>0.75</v>
      </c>
      <c r="S32" s="11">
        <f t="shared" si="18"/>
        <v>0.3</v>
      </c>
      <c r="T32" s="11">
        <f t="shared" si="19"/>
        <v>0.3</v>
      </c>
      <c r="U32" s="29">
        <f t="shared" si="20"/>
        <v>0.05</v>
      </c>
      <c r="V32" s="19">
        <f t="shared" si="21"/>
        <v>0.2</v>
      </c>
      <c r="W32" s="19">
        <f t="shared" si="21"/>
        <v>0.3</v>
      </c>
      <c r="X32" s="19">
        <f t="shared" si="21"/>
        <v>0.5</v>
      </c>
      <c r="Y32" s="19">
        <f t="shared" si="21"/>
        <v>0.8</v>
      </c>
      <c r="Z32" s="19">
        <f t="shared" si="21"/>
        <v>1.2</v>
      </c>
      <c r="AA32" s="35"/>
      <c r="AB32" s="8">
        <f t="shared" si="22"/>
        <v>1</v>
      </c>
      <c r="AC32" s="8">
        <f t="shared" si="23"/>
        <v>1.2</v>
      </c>
      <c r="AD32" s="8">
        <f t="shared" si="24"/>
        <v>1.5</v>
      </c>
      <c r="AE32" s="8">
        <f t="shared" si="25"/>
        <v>2</v>
      </c>
      <c r="AF32" s="8">
        <f t="shared" si="26"/>
        <v>2.5</v>
      </c>
      <c r="AG32" s="8">
        <f t="shared" si="27"/>
        <v>0.5</v>
      </c>
      <c r="AH32" s="8">
        <f t="shared" si="28"/>
        <v>0.2</v>
      </c>
      <c r="AI32" s="8">
        <f t="shared" si="29"/>
        <v>0.2</v>
      </c>
      <c r="AJ32" s="8">
        <f t="shared" si="30"/>
        <v>0.03</v>
      </c>
      <c r="AK32" s="87"/>
      <c r="AL32" s="8">
        <f t="shared" si="31"/>
        <v>1.2</v>
      </c>
      <c r="AM32" s="91">
        <f t="shared" si="32"/>
        <v>0.2</v>
      </c>
      <c r="AN32" s="91">
        <f t="shared" si="33"/>
        <v>0.3</v>
      </c>
      <c r="AO32" s="91">
        <f t="shared" si="34"/>
        <v>0.5</v>
      </c>
      <c r="AP32" s="91">
        <f t="shared" si="35"/>
        <v>0.8</v>
      </c>
      <c r="AQ32" s="91">
        <f t="shared" si="36"/>
        <v>1.2</v>
      </c>
      <c r="AR32" s="35"/>
      <c r="AS32" s="8">
        <f t="shared" si="10"/>
        <v>0.2</v>
      </c>
      <c r="AT32" s="35"/>
    </row>
    <row r="33" spans="1:46">
      <c r="A33" s="12">
        <v>31</v>
      </c>
      <c r="B33" s="8">
        <f t="shared" si="11"/>
        <v>1.2</v>
      </c>
      <c r="C33" s="8">
        <f t="shared" si="12"/>
        <v>1.5</v>
      </c>
      <c r="D33" s="8">
        <f t="shared" si="13"/>
        <v>2</v>
      </c>
      <c r="E33" s="8">
        <f t="shared" si="13"/>
        <v>2.5</v>
      </c>
      <c r="F33" s="8">
        <f t="shared" si="13"/>
        <v>0.5</v>
      </c>
      <c r="G33" s="8">
        <f t="shared" si="13"/>
        <v>0.3</v>
      </c>
      <c r="H33" s="8">
        <f t="shared" si="13"/>
        <v>0.6</v>
      </c>
      <c r="I33" s="8">
        <f t="shared" si="13"/>
        <v>0.3</v>
      </c>
      <c r="J33" s="8">
        <f t="shared" si="13"/>
        <v>0.8</v>
      </c>
      <c r="K33" s="8">
        <f t="shared" si="14"/>
        <v>1.2</v>
      </c>
      <c r="L33" s="35"/>
      <c r="M33" s="8">
        <f t="shared" si="15"/>
        <v>1.5</v>
      </c>
      <c r="N33" s="8">
        <f t="shared" si="16"/>
        <v>2</v>
      </c>
      <c r="O33" s="79">
        <f t="shared" si="17"/>
        <v>2.5</v>
      </c>
      <c r="P33" s="8">
        <f t="shared" si="17"/>
        <v>3</v>
      </c>
      <c r="Q33" s="8">
        <f t="shared" si="17"/>
        <v>3.5</v>
      </c>
      <c r="R33" s="11">
        <f t="shared" si="17"/>
        <v>0.75</v>
      </c>
      <c r="S33" s="11">
        <f t="shared" si="18"/>
        <v>0.3</v>
      </c>
      <c r="T33" s="11">
        <f t="shared" si="19"/>
        <v>0.3</v>
      </c>
      <c r="U33" s="29">
        <f t="shared" si="20"/>
        <v>0.05</v>
      </c>
      <c r="V33" s="19">
        <f t="shared" si="21"/>
        <v>0.2</v>
      </c>
      <c r="W33" s="19">
        <f t="shared" si="21"/>
        <v>0.3</v>
      </c>
      <c r="X33" s="19">
        <f t="shared" si="21"/>
        <v>0.5</v>
      </c>
      <c r="Y33" s="19">
        <f t="shared" si="21"/>
        <v>0.8</v>
      </c>
      <c r="Z33" s="19">
        <f t="shared" si="21"/>
        <v>1.2</v>
      </c>
      <c r="AA33" s="35"/>
      <c r="AB33" s="8">
        <f t="shared" si="22"/>
        <v>1</v>
      </c>
      <c r="AC33" s="8">
        <f t="shared" si="23"/>
        <v>1.2</v>
      </c>
      <c r="AD33" s="8">
        <f t="shared" si="24"/>
        <v>1.5</v>
      </c>
      <c r="AE33" s="8">
        <f t="shared" si="25"/>
        <v>2</v>
      </c>
      <c r="AF33" s="8">
        <f t="shared" si="26"/>
        <v>2.5</v>
      </c>
      <c r="AG33" s="8">
        <f t="shared" si="27"/>
        <v>0.5</v>
      </c>
      <c r="AH33" s="8">
        <f t="shared" si="28"/>
        <v>0.2</v>
      </c>
      <c r="AI33" s="8">
        <f t="shared" si="29"/>
        <v>0.2</v>
      </c>
      <c r="AJ33" s="8">
        <f t="shared" si="30"/>
        <v>0.03</v>
      </c>
      <c r="AK33" s="87"/>
      <c r="AL33" s="8">
        <f t="shared" si="31"/>
        <v>1.2</v>
      </c>
      <c r="AM33" s="91">
        <f t="shared" si="32"/>
        <v>0.2</v>
      </c>
      <c r="AN33" s="91">
        <f t="shared" si="33"/>
        <v>0.3</v>
      </c>
      <c r="AO33" s="91">
        <f t="shared" si="34"/>
        <v>0.5</v>
      </c>
      <c r="AP33" s="91">
        <f t="shared" si="35"/>
        <v>0.8</v>
      </c>
      <c r="AQ33" s="91">
        <f t="shared" si="36"/>
        <v>1.2</v>
      </c>
      <c r="AR33" s="35"/>
      <c r="AS33" s="8">
        <f t="shared" si="10"/>
        <v>0.2</v>
      </c>
      <c r="AT33" s="35"/>
    </row>
    <row r="34" spans="1:46">
      <c r="A34" s="12">
        <v>32</v>
      </c>
      <c r="B34" s="8">
        <f t="shared" si="11"/>
        <v>1.2</v>
      </c>
      <c r="C34" s="8">
        <f t="shared" si="12"/>
        <v>1.5</v>
      </c>
      <c r="D34" s="8">
        <f t="shared" si="13"/>
        <v>2</v>
      </c>
      <c r="E34" s="8">
        <f t="shared" si="13"/>
        <v>2.5</v>
      </c>
      <c r="F34" s="8">
        <f t="shared" si="13"/>
        <v>0.5</v>
      </c>
      <c r="G34" s="8">
        <f t="shared" si="13"/>
        <v>0.3</v>
      </c>
      <c r="H34" s="8">
        <f t="shared" si="13"/>
        <v>0.6</v>
      </c>
      <c r="I34" s="8">
        <f t="shared" si="13"/>
        <v>0.3</v>
      </c>
      <c r="J34" s="8">
        <f t="shared" si="13"/>
        <v>0.8</v>
      </c>
      <c r="K34" s="8">
        <f t="shared" si="14"/>
        <v>1.2</v>
      </c>
      <c r="L34" s="35"/>
      <c r="M34" s="8">
        <f t="shared" si="15"/>
        <v>1.5</v>
      </c>
      <c r="N34" s="8">
        <f t="shared" si="16"/>
        <v>2</v>
      </c>
      <c r="O34" s="79">
        <f t="shared" si="17"/>
        <v>2.5</v>
      </c>
      <c r="P34" s="8">
        <f t="shared" si="17"/>
        <v>3</v>
      </c>
      <c r="Q34" s="8">
        <f t="shared" si="17"/>
        <v>3.5</v>
      </c>
      <c r="R34" s="11">
        <f t="shared" si="17"/>
        <v>0.75</v>
      </c>
      <c r="S34" s="11">
        <f t="shared" si="18"/>
        <v>0.3</v>
      </c>
      <c r="T34" s="11">
        <f t="shared" si="19"/>
        <v>0.3</v>
      </c>
      <c r="U34" s="29">
        <f t="shared" si="20"/>
        <v>0.05</v>
      </c>
      <c r="V34" s="19">
        <f t="shared" si="21"/>
        <v>0.2</v>
      </c>
      <c r="W34" s="19">
        <f t="shared" si="21"/>
        <v>0.3</v>
      </c>
      <c r="X34" s="19">
        <f t="shared" si="21"/>
        <v>0.5</v>
      </c>
      <c r="Y34" s="19">
        <f t="shared" si="21"/>
        <v>0.8</v>
      </c>
      <c r="Z34" s="19">
        <f t="shared" si="21"/>
        <v>1.2</v>
      </c>
      <c r="AA34" s="35"/>
      <c r="AB34" s="8">
        <f t="shared" si="22"/>
        <v>1</v>
      </c>
      <c r="AC34" s="8">
        <f t="shared" si="23"/>
        <v>1.2</v>
      </c>
      <c r="AD34" s="8">
        <f t="shared" si="24"/>
        <v>1.5</v>
      </c>
      <c r="AE34" s="8">
        <f t="shared" si="25"/>
        <v>2</v>
      </c>
      <c r="AF34" s="8">
        <f t="shared" si="26"/>
        <v>2.5</v>
      </c>
      <c r="AG34" s="8">
        <f t="shared" si="27"/>
        <v>0.5</v>
      </c>
      <c r="AH34" s="8">
        <f t="shared" si="28"/>
        <v>0.2</v>
      </c>
      <c r="AI34" s="8">
        <f t="shared" si="29"/>
        <v>0.2</v>
      </c>
      <c r="AJ34" s="8">
        <f t="shared" si="30"/>
        <v>0.03</v>
      </c>
      <c r="AK34" s="87"/>
      <c r="AL34" s="8">
        <f t="shared" si="31"/>
        <v>1.2</v>
      </c>
      <c r="AM34" s="91">
        <f t="shared" si="32"/>
        <v>0.2</v>
      </c>
      <c r="AN34" s="91">
        <f t="shared" si="33"/>
        <v>0.3</v>
      </c>
      <c r="AO34" s="91">
        <f t="shared" si="34"/>
        <v>0.5</v>
      </c>
      <c r="AP34" s="91">
        <f t="shared" si="35"/>
        <v>0.8</v>
      </c>
      <c r="AQ34" s="91">
        <f t="shared" si="36"/>
        <v>1.2</v>
      </c>
      <c r="AR34" s="35"/>
      <c r="AS34" s="8">
        <f t="shared" si="10"/>
        <v>0.2</v>
      </c>
      <c r="AT34" s="35"/>
    </row>
    <row r="35" spans="1:46">
      <c r="A35" s="12">
        <v>33</v>
      </c>
      <c r="B35" s="8">
        <f t="shared" si="11"/>
        <v>1.2</v>
      </c>
      <c r="C35" s="8">
        <f t="shared" si="12"/>
        <v>1.5</v>
      </c>
      <c r="D35" s="8">
        <f t="shared" si="13"/>
        <v>2</v>
      </c>
      <c r="E35" s="8">
        <f t="shared" si="13"/>
        <v>2.5</v>
      </c>
      <c r="F35" s="8">
        <f t="shared" si="13"/>
        <v>0.5</v>
      </c>
      <c r="G35" s="8">
        <f t="shared" si="13"/>
        <v>0.3</v>
      </c>
      <c r="H35" s="8">
        <f t="shared" si="13"/>
        <v>0.6</v>
      </c>
      <c r="I35" s="8">
        <f t="shared" si="13"/>
        <v>0.3</v>
      </c>
      <c r="J35" s="8">
        <f t="shared" si="13"/>
        <v>0.8</v>
      </c>
      <c r="K35" s="8">
        <f t="shared" si="14"/>
        <v>1.2</v>
      </c>
      <c r="L35" s="35"/>
      <c r="M35" s="8">
        <f t="shared" si="15"/>
        <v>1.5</v>
      </c>
      <c r="N35" s="8">
        <f t="shared" si="16"/>
        <v>2</v>
      </c>
      <c r="O35" s="79">
        <f t="shared" si="17"/>
        <v>2.5</v>
      </c>
      <c r="P35" s="8">
        <f t="shared" si="17"/>
        <v>3</v>
      </c>
      <c r="Q35" s="8">
        <f t="shared" si="17"/>
        <v>3.5</v>
      </c>
      <c r="R35" s="11">
        <f t="shared" si="17"/>
        <v>0.75</v>
      </c>
      <c r="S35" s="11">
        <f t="shared" si="18"/>
        <v>0.3</v>
      </c>
      <c r="T35" s="11">
        <f t="shared" si="19"/>
        <v>0.3</v>
      </c>
      <c r="U35" s="29">
        <f t="shared" si="20"/>
        <v>0.05</v>
      </c>
      <c r="V35" s="19">
        <f t="shared" si="21"/>
        <v>0.2</v>
      </c>
      <c r="W35" s="19">
        <f t="shared" si="21"/>
        <v>0.3</v>
      </c>
      <c r="X35" s="19">
        <f t="shared" si="21"/>
        <v>0.5</v>
      </c>
      <c r="Y35" s="19">
        <f t="shared" si="21"/>
        <v>0.8</v>
      </c>
      <c r="Z35" s="19">
        <f t="shared" si="21"/>
        <v>1.2</v>
      </c>
      <c r="AA35" s="35"/>
      <c r="AB35" s="8">
        <f t="shared" si="22"/>
        <v>1</v>
      </c>
      <c r="AC35" s="8">
        <f t="shared" si="23"/>
        <v>1.2</v>
      </c>
      <c r="AD35" s="8">
        <f t="shared" si="24"/>
        <v>1.5</v>
      </c>
      <c r="AE35" s="8">
        <f t="shared" si="25"/>
        <v>2</v>
      </c>
      <c r="AF35" s="8">
        <f t="shared" si="26"/>
        <v>2.5</v>
      </c>
      <c r="AG35" s="8">
        <f t="shared" si="27"/>
        <v>0.5</v>
      </c>
      <c r="AH35" s="8">
        <f t="shared" si="28"/>
        <v>0.2</v>
      </c>
      <c r="AI35" s="8">
        <f t="shared" si="29"/>
        <v>0.2</v>
      </c>
      <c r="AJ35" s="8">
        <f t="shared" si="30"/>
        <v>0.03</v>
      </c>
      <c r="AK35" s="87"/>
      <c r="AL35" s="8">
        <f t="shared" si="31"/>
        <v>1.2</v>
      </c>
      <c r="AM35" s="91">
        <f t="shared" si="32"/>
        <v>0.2</v>
      </c>
      <c r="AN35" s="91">
        <f t="shared" si="33"/>
        <v>0.3</v>
      </c>
      <c r="AO35" s="91">
        <f t="shared" si="34"/>
        <v>0.5</v>
      </c>
      <c r="AP35" s="91">
        <f t="shared" si="35"/>
        <v>0.8</v>
      </c>
      <c r="AQ35" s="91">
        <f t="shared" si="36"/>
        <v>1.2</v>
      </c>
      <c r="AR35" s="35"/>
      <c r="AS35" s="8">
        <f t="shared" si="10"/>
        <v>0.2</v>
      </c>
      <c r="AT35" s="35"/>
    </row>
    <row r="36" spans="1:46">
      <c r="A36" s="12">
        <v>34</v>
      </c>
      <c r="B36" s="8">
        <f t="shared" si="11"/>
        <v>1.2</v>
      </c>
      <c r="C36" s="8">
        <f t="shared" si="12"/>
        <v>1.5</v>
      </c>
      <c r="D36" s="8">
        <f t="shared" si="13"/>
        <v>2</v>
      </c>
      <c r="E36" s="8">
        <f t="shared" si="13"/>
        <v>2.5</v>
      </c>
      <c r="F36" s="8">
        <f t="shared" si="13"/>
        <v>0.5</v>
      </c>
      <c r="G36" s="8">
        <f t="shared" si="13"/>
        <v>0.3</v>
      </c>
      <c r="H36" s="8">
        <f t="shared" si="13"/>
        <v>0.6</v>
      </c>
      <c r="I36" s="8">
        <f t="shared" si="13"/>
        <v>0.3</v>
      </c>
      <c r="J36" s="8">
        <f t="shared" si="13"/>
        <v>0.8</v>
      </c>
      <c r="K36" s="8">
        <f t="shared" si="14"/>
        <v>1.2</v>
      </c>
      <c r="L36" s="35"/>
      <c r="M36" s="8">
        <f t="shared" si="15"/>
        <v>1.5</v>
      </c>
      <c r="N36" s="8">
        <f t="shared" si="16"/>
        <v>2</v>
      </c>
      <c r="O36" s="79">
        <f t="shared" si="17"/>
        <v>2.5</v>
      </c>
      <c r="P36" s="8">
        <f t="shared" si="17"/>
        <v>3</v>
      </c>
      <c r="Q36" s="8">
        <f t="shared" si="17"/>
        <v>3.5</v>
      </c>
      <c r="R36" s="11">
        <f t="shared" si="17"/>
        <v>0.75</v>
      </c>
      <c r="S36" s="11">
        <f t="shared" si="18"/>
        <v>0.3</v>
      </c>
      <c r="T36" s="11">
        <f t="shared" si="19"/>
        <v>0.3</v>
      </c>
      <c r="U36" s="29">
        <f t="shared" si="20"/>
        <v>0.05</v>
      </c>
      <c r="V36" s="19">
        <f t="shared" si="21"/>
        <v>0.2</v>
      </c>
      <c r="W36" s="19">
        <f t="shared" si="21"/>
        <v>0.3</v>
      </c>
      <c r="X36" s="19">
        <f t="shared" si="21"/>
        <v>0.5</v>
      </c>
      <c r="Y36" s="19">
        <f t="shared" si="21"/>
        <v>0.8</v>
      </c>
      <c r="Z36" s="19">
        <f t="shared" si="21"/>
        <v>1.2</v>
      </c>
      <c r="AA36" s="35"/>
      <c r="AB36" s="8">
        <f t="shared" si="22"/>
        <v>1</v>
      </c>
      <c r="AC36" s="8">
        <f t="shared" si="23"/>
        <v>1.2</v>
      </c>
      <c r="AD36" s="8">
        <f t="shared" si="24"/>
        <v>1.5</v>
      </c>
      <c r="AE36" s="8">
        <f t="shared" si="25"/>
        <v>2</v>
      </c>
      <c r="AF36" s="8">
        <f t="shared" si="26"/>
        <v>2.5</v>
      </c>
      <c r="AG36" s="8">
        <f t="shared" si="27"/>
        <v>0.5</v>
      </c>
      <c r="AH36" s="8">
        <f t="shared" si="28"/>
        <v>0.2</v>
      </c>
      <c r="AI36" s="8">
        <f t="shared" si="29"/>
        <v>0.2</v>
      </c>
      <c r="AJ36" s="8">
        <f t="shared" si="30"/>
        <v>0.03</v>
      </c>
      <c r="AK36" s="87"/>
      <c r="AL36" s="8">
        <f t="shared" si="31"/>
        <v>1.2</v>
      </c>
      <c r="AM36" s="91">
        <f t="shared" si="32"/>
        <v>0.2</v>
      </c>
      <c r="AN36" s="91">
        <f t="shared" si="33"/>
        <v>0.3</v>
      </c>
      <c r="AO36" s="91">
        <f t="shared" si="34"/>
        <v>0.5</v>
      </c>
      <c r="AP36" s="91">
        <f t="shared" si="35"/>
        <v>0.8</v>
      </c>
      <c r="AQ36" s="91">
        <f t="shared" si="36"/>
        <v>1.2</v>
      </c>
      <c r="AR36" s="35"/>
      <c r="AS36" s="8">
        <f t="shared" si="10"/>
        <v>0.2</v>
      </c>
      <c r="AT36" s="35"/>
    </row>
    <row r="37" spans="1:46">
      <c r="A37" s="12">
        <v>35</v>
      </c>
      <c r="B37" s="8">
        <f t="shared" si="11"/>
        <v>1.2</v>
      </c>
      <c r="C37" s="8">
        <f t="shared" si="12"/>
        <v>1.5</v>
      </c>
      <c r="D37" s="8">
        <f t="shared" ref="D37:J68" si="37">D36</f>
        <v>2</v>
      </c>
      <c r="E37" s="8">
        <f t="shared" si="37"/>
        <v>2.5</v>
      </c>
      <c r="F37" s="8">
        <f t="shared" si="37"/>
        <v>0.5</v>
      </c>
      <c r="G37" s="8">
        <f t="shared" si="37"/>
        <v>0.3</v>
      </c>
      <c r="H37" s="8">
        <f t="shared" si="37"/>
        <v>0.6</v>
      </c>
      <c r="I37" s="8">
        <f t="shared" si="37"/>
        <v>0.3</v>
      </c>
      <c r="J37" s="8">
        <f t="shared" si="37"/>
        <v>0.8</v>
      </c>
      <c r="K37" s="8">
        <f t="shared" si="14"/>
        <v>1.2</v>
      </c>
      <c r="L37" s="35"/>
      <c r="M37" s="8">
        <f t="shared" si="15"/>
        <v>1.5</v>
      </c>
      <c r="N37" s="8">
        <f t="shared" si="16"/>
        <v>2</v>
      </c>
      <c r="O37" s="79">
        <f t="shared" ref="O37:R68" si="38">O36</f>
        <v>2.5</v>
      </c>
      <c r="P37" s="8">
        <f t="shared" si="38"/>
        <v>3</v>
      </c>
      <c r="Q37" s="8">
        <f t="shared" si="38"/>
        <v>3.5</v>
      </c>
      <c r="R37" s="11">
        <f t="shared" si="38"/>
        <v>0.75</v>
      </c>
      <c r="S37" s="11">
        <f t="shared" si="18"/>
        <v>0.3</v>
      </c>
      <c r="T37" s="11">
        <f t="shared" si="19"/>
        <v>0.3</v>
      </c>
      <c r="U37" s="29">
        <f t="shared" si="20"/>
        <v>0.05</v>
      </c>
      <c r="V37" s="19">
        <f t="shared" ref="V37:Z68" si="39">V36</f>
        <v>0.2</v>
      </c>
      <c r="W37" s="19">
        <f t="shared" si="39"/>
        <v>0.3</v>
      </c>
      <c r="X37" s="19">
        <f t="shared" si="39"/>
        <v>0.5</v>
      </c>
      <c r="Y37" s="19">
        <f t="shared" si="39"/>
        <v>0.8</v>
      </c>
      <c r="Z37" s="19">
        <f t="shared" si="39"/>
        <v>1.2</v>
      </c>
      <c r="AA37" s="35"/>
      <c r="AB37" s="8">
        <f t="shared" si="22"/>
        <v>1</v>
      </c>
      <c r="AC37" s="8">
        <f t="shared" si="23"/>
        <v>1.2</v>
      </c>
      <c r="AD37" s="8">
        <f t="shared" si="24"/>
        <v>1.5</v>
      </c>
      <c r="AE37" s="8">
        <f t="shared" si="25"/>
        <v>2</v>
      </c>
      <c r="AF37" s="8">
        <f t="shared" si="26"/>
        <v>2.5</v>
      </c>
      <c r="AG37" s="8">
        <f t="shared" si="27"/>
        <v>0.5</v>
      </c>
      <c r="AH37" s="8">
        <f t="shared" si="28"/>
        <v>0.2</v>
      </c>
      <c r="AI37" s="8">
        <f t="shared" si="29"/>
        <v>0.2</v>
      </c>
      <c r="AJ37" s="8">
        <f t="shared" si="30"/>
        <v>0.03</v>
      </c>
      <c r="AK37" s="87"/>
      <c r="AL37" s="8">
        <f t="shared" si="31"/>
        <v>1.2</v>
      </c>
      <c r="AM37" s="91">
        <f t="shared" si="32"/>
        <v>0.2</v>
      </c>
      <c r="AN37" s="91">
        <f t="shared" si="33"/>
        <v>0.3</v>
      </c>
      <c r="AO37" s="91">
        <f t="shared" si="34"/>
        <v>0.5</v>
      </c>
      <c r="AP37" s="91">
        <f t="shared" si="35"/>
        <v>0.8</v>
      </c>
      <c r="AQ37" s="91">
        <f t="shared" si="36"/>
        <v>1.2</v>
      </c>
      <c r="AR37" s="35"/>
      <c r="AS37" s="8">
        <f t="shared" si="10"/>
        <v>0.2</v>
      </c>
      <c r="AT37" s="35"/>
    </row>
    <row r="38" spans="1:46">
      <c r="A38" s="12">
        <v>36</v>
      </c>
      <c r="B38" s="8">
        <f t="shared" si="11"/>
        <v>1.2</v>
      </c>
      <c r="C38" s="8">
        <f t="shared" si="12"/>
        <v>1.5</v>
      </c>
      <c r="D38" s="8">
        <f t="shared" si="37"/>
        <v>2</v>
      </c>
      <c r="E38" s="8">
        <f t="shared" si="37"/>
        <v>2.5</v>
      </c>
      <c r="F38" s="8">
        <f t="shared" si="37"/>
        <v>0.5</v>
      </c>
      <c r="G38" s="8">
        <f t="shared" si="37"/>
        <v>0.3</v>
      </c>
      <c r="H38" s="8">
        <f t="shared" si="37"/>
        <v>0.6</v>
      </c>
      <c r="I38" s="8">
        <f t="shared" si="37"/>
        <v>0.3</v>
      </c>
      <c r="J38" s="8">
        <f t="shared" si="37"/>
        <v>0.8</v>
      </c>
      <c r="K38" s="8">
        <f t="shared" si="14"/>
        <v>1.2</v>
      </c>
      <c r="L38" s="35"/>
      <c r="M38" s="8">
        <f t="shared" si="15"/>
        <v>1.5</v>
      </c>
      <c r="N38" s="8">
        <f t="shared" si="16"/>
        <v>2</v>
      </c>
      <c r="O38" s="79">
        <f t="shared" si="38"/>
        <v>2.5</v>
      </c>
      <c r="P38" s="8">
        <f t="shared" si="38"/>
        <v>3</v>
      </c>
      <c r="Q38" s="8">
        <f t="shared" si="38"/>
        <v>3.5</v>
      </c>
      <c r="R38" s="11">
        <f t="shared" si="38"/>
        <v>0.75</v>
      </c>
      <c r="S38" s="11">
        <f t="shared" si="18"/>
        <v>0.3</v>
      </c>
      <c r="T38" s="11">
        <f t="shared" si="19"/>
        <v>0.3</v>
      </c>
      <c r="U38" s="29">
        <f t="shared" si="20"/>
        <v>0.05</v>
      </c>
      <c r="V38" s="19">
        <f t="shared" si="39"/>
        <v>0.2</v>
      </c>
      <c r="W38" s="19">
        <f t="shared" si="39"/>
        <v>0.3</v>
      </c>
      <c r="X38" s="19">
        <f t="shared" si="39"/>
        <v>0.5</v>
      </c>
      <c r="Y38" s="19">
        <f t="shared" si="39"/>
        <v>0.8</v>
      </c>
      <c r="Z38" s="19">
        <f t="shared" si="39"/>
        <v>1.2</v>
      </c>
      <c r="AA38" s="35"/>
      <c r="AB38" s="8">
        <f t="shared" si="22"/>
        <v>1</v>
      </c>
      <c r="AC38" s="8">
        <f t="shared" si="23"/>
        <v>1.2</v>
      </c>
      <c r="AD38" s="8">
        <f t="shared" si="24"/>
        <v>1.5</v>
      </c>
      <c r="AE38" s="8">
        <f t="shared" si="25"/>
        <v>2</v>
      </c>
      <c r="AF38" s="8">
        <f t="shared" si="26"/>
        <v>2.5</v>
      </c>
      <c r="AG38" s="8">
        <f t="shared" si="27"/>
        <v>0.5</v>
      </c>
      <c r="AH38" s="8">
        <f t="shared" si="28"/>
        <v>0.2</v>
      </c>
      <c r="AI38" s="8">
        <f t="shared" si="29"/>
        <v>0.2</v>
      </c>
      <c r="AJ38" s="8">
        <f t="shared" si="30"/>
        <v>0.03</v>
      </c>
      <c r="AK38" s="87"/>
      <c r="AL38" s="8">
        <f t="shared" si="31"/>
        <v>1.2</v>
      </c>
      <c r="AM38" s="91">
        <f t="shared" si="32"/>
        <v>0.2</v>
      </c>
      <c r="AN38" s="91">
        <f t="shared" si="33"/>
        <v>0.3</v>
      </c>
      <c r="AO38" s="91">
        <f t="shared" si="34"/>
        <v>0.5</v>
      </c>
      <c r="AP38" s="91">
        <f t="shared" si="35"/>
        <v>0.8</v>
      </c>
      <c r="AQ38" s="91">
        <f t="shared" si="36"/>
        <v>1.2</v>
      </c>
      <c r="AR38" s="35"/>
      <c r="AS38" s="8">
        <f t="shared" si="10"/>
        <v>0.2</v>
      </c>
      <c r="AT38" s="35"/>
    </row>
    <row r="39" spans="1:46">
      <c r="A39" s="12">
        <v>37</v>
      </c>
      <c r="B39" s="8">
        <f t="shared" si="11"/>
        <v>1.2</v>
      </c>
      <c r="C39" s="8">
        <f t="shared" si="12"/>
        <v>1.5</v>
      </c>
      <c r="D39" s="8">
        <f t="shared" si="37"/>
        <v>2</v>
      </c>
      <c r="E39" s="8">
        <f t="shared" si="37"/>
        <v>2.5</v>
      </c>
      <c r="F39" s="8">
        <f t="shared" si="37"/>
        <v>0.5</v>
      </c>
      <c r="G39" s="8">
        <f t="shared" si="37"/>
        <v>0.3</v>
      </c>
      <c r="H39" s="8">
        <f t="shared" si="37"/>
        <v>0.6</v>
      </c>
      <c r="I39" s="8">
        <f t="shared" si="37"/>
        <v>0.3</v>
      </c>
      <c r="J39" s="8">
        <f t="shared" si="37"/>
        <v>0.8</v>
      </c>
      <c r="K39" s="8">
        <f t="shared" si="14"/>
        <v>1.2</v>
      </c>
      <c r="L39" s="35"/>
      <c r="M39" s="8">
        <f t="shared" si="15"/>
        <v>1.5</v>
      </c>
      <c r="N39" s="8">
        <f t="shared" si="16"/>
        <v>2</v>
      </c>
      <c r="O39" s="79">
        <f t="shared" si="38"/>
        <v>2.5</v>
      </c>
      <c r="P39" s="8">
        <f t="shared" si="38"/>
        <v>3</v>
      </c>
      <c r="Q39" s="8">
        <f t="shared" si="38"/>
        <v>3.5</v>
      </c>
      <c r="R39" s="11">
        <f t="shared" si="38"/>
        <v>0.75</v>
      </c>
      <c r="S39" s="11">
        <f t="shared" si="18"/>
        <v>0.3</v>
      </c>
      <c r="T39" s="11">
        <f t="shared" si="19"/>
        <v>0.3</v>
      </c>
      <c r="U39" s="29">
        <f t="shared" si="20"/>
        <v>0.05</v>
      </c>
      <c r="V39" s="19">
        <f t="shared" si="39"/>
        <v>0.2</v>
      </c>
      <c r="W39" s="19">
        <f t="shared" si="39"/>
        <v>0.3</v>
      </c>
      <c r="X39" s="19">
        <f t="shared" si="39"/>
        <v>0.5</v>
      </c>
      <c r="Y39" s="19">
        <f t="shared" si="39"/>
        <v>0.8</v>
      </c>
      <c r="Z39" s="19">
        <f t="shared" si="39"/>
        <v>1.2</v>
      </c>
      <c r="AA39" s="35"/>
      <c r="AB39" s="8">
        <f t="shared" si="22"/>
        <v>1</v>
      </c>
      <c r="AC39" s="8">
        <f t="shared" si="23"/>
        <v>1.2</v>
      </c>
      <c r="AD39" s="8">
        <f t="shared" si="24"/>
        <v>1.5</v>
      </c>
      <c r="AE39" s="8">
        <f t="shared" si="25"/>
        <v>2</v>
      </c>
      <c r="AF39" s="8">
        <f t="shared" si="26"/>
        <v>2.5</v>
      </c>
      <c r="AG39" s="8">
        <f t="shared" si="27"/>
        <v>0.5</v>
      </c>
      <c r="AH39" s="8">
        <f t="shared" si="28"/>
        <v>0.2</v>
      </c>
      <c r="AI39" s="8">
        <f t="shared" si="29"/>
        <v>0.2</v>
      </c>
      <c r="AJ39" s="8">
        <f t="shared" si="30"/>
        <v>0.03</v>
      </c>
      <c r="AK39" s="87"/>
      <c r="AL39" s="8">
        <f t="shared" si="31"/>
        <v>1.2</v>
      </c>
      <c r="AM39" s="91">
        <f t="shared" si="32"/>
        <v>0.2</v>
      </c>
      <c r="AN39" s="91">
        <f t="shared" si="33"/>
        <v>0.3</v>
      </c>
      <c r="AO39" s="91">
        <f t="shared" si="34"/>
        <v>0.5</v>
      </c>
      <c r="AP39" s="91">
        <f t="shared" si="35"/>
        <v>0.8</v>
      </c>
      <c r="AQ39" s="91">
        <f t="shared" si="36"/>
        <v>1.2</v>
      </c>
      <c r="AR39" s="35"/>
      <c r="AS39" s="8">
        <f t="shared" si="10"/>
        <v>0.2</v>
      </c>
      <c r="AT39" s="35"/>
    </row>
    <row r="40" spans="1:46">
      <c r="A40" s="12">
        <v>38</v>
      </c>
      <c r="B40" s="8">
        <f t="shared" si="11"/>
        <v>1.2</v>
      </c>
      <c r="C40" s="8">
        <f t="shared" si="12"/>
        <v>1.5</v>
      </c>
      <c r="D40" s="8">
        <f t="shared" si="37"/>
        <v>2</v>
      </c>
      <c r="E40" s="8">
        <f t="shared" si="37"/>
        <v>2.5</v>
      </c>
      <c r="F40" s="8">
        <f t="shared" si="37"/>
        <v>0.5</v>
      </c>
      <c r="G40" s="8">
        <f t="shared" si="37"/>
        <v>0.3</v>
      </c>
      <c r="H40" s="8">
        <f t="shared" si="37"/>
        <v>0.6</v>
      </c>
      <c r="I40" s="8">
        <f t="shared" si="37"/>
        <v>0.3</v>
      </c>
      <c r="J40" s="8">
        <f t="shared" si="37"/>
        <v>0.8</v>
      </c>
      <c r="K40" s="8">
        <f t="shared" si="14"/>
        <v>1.2</v>
      </c>
      <c r="L40" s="35"/>
      <c r="M40" s="8">
        <f t="shared" si="15"/>
        <v>1.5</v>
      </c>
      <c r="N40" s="8">
        <f t="shared" si="16"/>
        <v>2</v>
      </c>
      <c r="O40" s="79">
        <f t="shared" si="38"/>
        <v>2.5</v>
      </c>
      <c r="P40" s="8">
        <f t="shared" si="38"/>
        <v>3</v>
      </c>
      <c r="Q40" s="8">
        <f t="shared" si="38"/>
        <v>3.5</v>
      </c>
      <c r="R40" s="11">
        <f t="shared" si="38"/>
        <v>0.75</v>
      </c>
      <c r="S40" s="11">
        <f t="shared" si="18"/>
        <v>0.3</v>
      </c>
      <c r="T40" s="11">
        <f t="shared" si="19"/>
        <v>0.3</v>
      </c>
      <c r="U40" s="29">
        <f t="shared" si="20"/>
        <v>0.05</v>
      </c>
      <c r="V40" s="19">
        <f t="shared" si="39"/>
        <v>0.2</v>
      </c>
      <c r="W40" s="19">
        <f t="shared" si="39"/>
        <v>0.3</v>
      </c>
      <c r="X40" s="19">
        <f t="shared" si="39"/>
        <v>0.5</v>
      </c>
      <c r="Y40" s="19">
        <f t="shared" si="39"/>
        <v>0.8</v>
      </c>
      <c r="Z40" s="19">
        <f t="shared" si="39"/>
        <v>1.2</v>
      </c>
      <c r="AA40" s="35"/>
      <c r="AB40" s="8">
        <f t="shared" si="22"/>
        <v>1</v>
      </c>
      <c r="AC40" s="8">
        <f t="shared" si="23"/>
        <v>1.2</v>
      </c>
      <c r="AD40" s="8">
        <f t="shared" si="24"/>
        <v>1.5</v>
      </c>
      <c r="AE40" s="8">
        <f t="shared" si="25"/>
        <v>2</v>
      </c>
      <c r="AF40" s="8">
        <f t="shared" si="26"/>
        <v>2.5</v>
      </c>
      <c r="AG40" s="8">
        <f t="shared" si="27"/>
        <v>0.5</v>
      </c>
      <c r="AH40" s="8">
        <f t="shared" si="28"/>
        <v>0.2</v>
      </c>
      <c r="AI40" s="8">
        <f t="shared" si="29"/>
        <v>0.2</v>
      </c>
      <c r="AJ40" s="8">
        <f t="shared" si="30"/>
        <v>0.03</v>
      </c>
      <c r="AK40" s="87"/>
      <c r="AL40" s="8">
        <f t="shared" si="31"/>
        <v>1.2</v>
      </c>
      <c r="AM40" s="91">
        <f t="shared" si="32"/>
        <v>0.2</v>
      </c>
      <c r="AN40" s="91">
        <f t="shared" si="33"/>
        <v>0.3</v>
      </c>
      <c r="AO40" s="91">
        <f t="shared" si="34"/>
        <v>0.5</v>
      </c>
      <c r="AP40" s="91">
        <f t="shared" si="35"/>
        <v>0.8</v>
      </c>
      <c r="AQ40" s="91">
        <f t="shared" si="36"/>
        <v>1.2</v>
      </c>
      <c r="AR40" s="35"/>
      <c r="AS40" s="8">
        <f t="shared" si="10"/>
        <v>0.2</v>
      </c>
      <c r="AT40" s="35"/>
    </row>
    <row r="41" spans="1:46">
      <c r="A41" s="12">
        <v>39</v>
      </c>
      <c r="B41" s="8">
        <f t="shared" si="11"/>
        <v>1.2</v>
      </c>
      <c r="C41" s="8">
        <f t="shared" si="12"/>
        <v>1.5</v>
      </c>
      <c r="D41" s="8">
        <f t="shared" si="37"/>
        <v>2</v>
      </c>
      <c r="E41" s="8">
        <f t="shared" si="37"/>
        <v>2.5</v>
      </c>
      <c r="F41" s="8">
        <f t="shared" si="37"/>
        <v>0.5</v>
      </c>
      <c r="G41" s="8">
        <f t="shared" si="37"/>
        <v>0.3</v>
      </c>
      <c r="H41" s="8">
        <f t="shared" si="37"/>
        <v>0.6</v>
      </c>
      <c r="I41" s="8">
        <f t="shared" si="37"/>
        <v>0.3</v>
      </c>
      <c r="J41" s="8">
        <f t="shared" si="37"/>
        <v>0.8</v>
      </c>
      <c r="K41" s="8">
        <f t="shared" si="14"/>
        <v>1.2</v>
      </c>
      <c r="L41" s="35"/>
      <c r="M41" s="8">
        <f t="shared" si="15"/>
        <v>1.5</v>
      </c>
      <c r="N41" s="8">
        <f t="shared" si="16"/>
        <v>2</v>
      </c>
      <c r="O41" s="79">
        <f t="shared" si="38"/>
        <v>2.5</v>
      </c>
      <c r="P41" s="8">
        <f t="shared" si="38"/>
        <v>3</v>
      </c>
      <c r="Q41" s="8">
        <f t="shared" si="38"/>
        <v>3.5</v>
      </c>
      <c r="R41" s="11">
        <f t="shared" si="38"/>
        <v>0.75</v>
      </c>
      <c r="S41" s="11">
        <f t="shared" si="18"/>
        <v>0.3</v>
      </c>
      <c r="T41" s="11">
        <f t="shared" si="19"/>
        <v>0.3</v>
      </c>
      <c r="U41" s="29">
        <f t="shared" si="20"/>
        <v>0.05</v>
      </c>
      <c r="V41" s="19">
        <f t="shared" si="39"/>
        <v>0.2</v>
      </c>
      <c r="W41" s="19">
        <f t="shared" si="39"/>
        <v>0.3</v>
      </c>
      <c r="X41" s="19">
        <f t="shared" si="39"/>
        <v>0.5</v>
      </c>
      <c r="Y41" s="19">
        <f t="shared" si="39"/>
        <v>0.8</v>
      </c>
      <c r="Z41" s="19">
        <f t="shared" si="39"/>
        <v>1.2</v>
      </c>
      <c r="AA41" s="35"/>
      <c r="AB41" s="8">
        <f t="shared" si="22"/>
        <v>1</v>
      </c>
      <c r="AC41" s="8">
        <f t="shared" si="23"/>
        <v>1.2</v>
      </c>
      <c r="AD41" s="8">
        <f t="shared" si="24"/>
        <v>1.5</v>
      </c>
      <c r="AE41" s="8">
        <f t="shared" si="25"/>
        <v>2</v>
      </c>
      <c r="AF41" s="8">
        <f t="shared" si="26"/>
        <v>2.5</v>
      </c>
      <c r="AG41" s="8">
        <f t="shared" si="27"/>
        <v>0.5</v>
      </c>
      <c r="AH41" s="8">
        <f t="shared" si="28"/>
        <v>0.2</v>
      </c>
      <c r="AI41" s="8">
        <f t="shared" si="29"/>
        <v>0.2</v>
      </c>
      <c r="AJ41" s="8">
        <f t="shared" si="30"/>
        <v>0.03</v>
      </c>
      <c r="AK41" s="87"/>
      <c r="AL41" s="8">
        <f t="shared" si="31"/>
        <v>1.2</v>
      </c>
      <c r="AM41" s="91">
        <f t="shared" si="32"/>
        <v>0.2</v>
      </c>
      <c r="AN41" s="91">
        <f t="shared" si="33"/>
        <v>0.3</v>
      </c>
      <c r="AO41" s="91">
        <f t="shared" si="34"/>
        <v>0.5</v>
      </c>
      <c r="AP41" s="91">
        <f t="shared" si="35"/>
        <v>0.8</v>
      </c>
      <c r="AQ41" s="91">
        <f t="shared" si="36"/>
        <v>1.2</v>
      </c>
      <c r="AR41" s="35"/>
      <c r="AS41" s="8">
        <f t="shared" si="10"/>
        <v>0.2</v>
      </c>
      <c r="AT41" s="35"/>
    </row>
    <row r="42" spans="1:46">
      <c r="A42" s="12">
        <v>40</v>
      </c>
      <c r="B42" s="8">
        <f t="shared" si="11"/>
        <v>1.2</v>
      </c>
      <c r="C42" s="8">
        <f t="shared" si="12"/>
        <v>1.5</v>
      </c>
      <c r="D42" s="8">
        <f t="shared" si="37"/>
        <v>2</v>
      </c>
      <c r="E42" s="8">
        <f t="shared" si="37"/>
        <v>2.5</v>
      </c>
      <c r="F42" s="8">
        <f t="shared" si="37"/>
        <v>0.5</v>
      </c>
      <c r="G42" s="8">
        <f t="shared" si="37"/>
        <v>0.3</v>
      </c>
      <c r="H42" s="8">
        <f t="shared" si="37"/>
        <v>0.6</v>
      </c>
      <c r="I42" s="8">
        <f t="shared" si="37"/>
        <v>0.3</v>
      </c>
      <c r="J42" s="8">
        <f t="shared" si="37"/>
        <v>0.8</v>
      </c>
      <c r="K42" s="8">
        <f t="shared" si="14"/>
        <v>1.2</v>
      </c>
      <c r="L42" s="35"/>
      <c r="M42" s="8">
        <f t="shared" si="15"/>
        <v>1.5</v>
      </c>
      <c r="N42" s="8">
        <f t="shared" si="16"/>
        <v>2</v>
      </c>
      <c r="O42" s="79">
        <f t="shared" si="38"/>
        <v>2.5</v>
      </c>
      <c r="P42" s="8">
        <f t="shared" si="38"/>
        <v>3</v>
      </c>
      <c r="Q42" s="8">
        <f t="shared" si="38"/>
        <v>3.5</v>
      </c>
      <c r="R42" s="11">
        <f t="shared" si="38"/>
        <v>0.75</v>
      </c>
      <c r="S42" s="11">
        <f t="shared" si="18"/>
        <v>0.3</v>
      </c>
      <c r="T42" s="11">
        <f t="shared" si="19"/>
        <v>0.3</v>
      </c>
      <c r="U42" s="29">
        <f t="shared" si="20"/>
        <v>0.05</v>
      </c>
      <c r="V42" s="19">
        <f t="shared" si="39"/>
        <v>0.2</v>
      </c>
      <c r="W42" s="19">
        <f t="shared" si="39"/>
        <v>0.3</v>
      </c>
      <c r="X42" s="19">
        <f t="shared" si="39"/>
        <v>0.5</v>
      </c>
      <c r="Y42" s="19">
        <f t="shared" si="39"/>
        <v>0.8</v>
      </c>
      <c r="Z42" s="19">
        <f t="shared" si="39"/>
        <v>1.2</v>
      </c>
      <c r="AA42" s="35"/>
      <c r="AB42" s="8">
        <f t="shared" si="22"/>
        <v>1</v>
      </c>
      <c r="AC42" s="8">
        <f t="shared" si="23"/>
        <v>1.2</v>
      </c>
      <c r="AD42" s="8">
        <f t="shared" si="24"/>
        <v>1.5</v>
      </c>
      <c r="AE42" s="8">
        <f t="shared" si="25"/>
        <v>2</v>
      </c>
      <c r="AF42" s="8">
        <f t="shared" si="26"/>
        <v>2.5</v>
      </c>
      <c r="AG42" s="8">
        <f t="shared" si="27"/>
        <v>0.5</v>
      </c>
      <c r="AH42" s="8">
        <f t="shared" si="28"/>
        <v>0.2</v>
      </c>
      <c r="AI42" s="8">
        <f t="shared" si="29"/>
        <v>0.2</v>
      </c>
      <c r="AJ42" s="8">
        <f t="shared" si="30"/>
        <v>0.03</v>
      </c>
      <c r="AK42" s="87"/>
      <c r="AL42" s="8">
        <f t="shared" si="31"/>
        <v>1.2</v>
      </c>
      <c r="AM42" s="91">
        <f t="shared" si="32"/>
        <v>0.2</v>
      </c>
      <c r="AN42" s="91">
        <f t="shared" si="33"/>
        <v>0.3</v>
      </c>
      <c r="AO42" s="91">
        <f t="shared" si="34"/>
        <v>0.5</v>
      </c>
      <c r="AP42" s="91">
        <f t="shared" si="35"/>
        <v>0.8</v>
      </c>
      <c r="AQ42" s="91">
        <f t="shared" si="36"/>
        <v>1.2</v>
      </c>
      <c r="AR42" s="35"/>
      <c r="AS42" s="8">
        <f t="shared" si="10"/>
        <v>0.2</v>
      </c>
      <c r="AT42" s="35"/>
    </row>
    <row r="43" spans="1:46">
      <c r="A43" s="12">
        <v>41</v>
      </c>
      <c r="B43" s="8">
        <f t="shared" si="11"/>
        <v>1.2</v>
      </c>
      <c r="C43" s="8">
        <f t="shared" si="12"/>
        <v>1.5</v>
      </c>
      <c r="D43" s="8">
        <f t="shared" si="37"/>
        <v>2</v>
      </c>
      <c r="E43" s="8">
        <f t="shared" si="37"/>
        <v>2.5</v>
      </c>
      <c r="F43" s="8">
        <f t="shared" si="37"/>
        <v>0.5</v>
      </c>
      <c r="G43" s="8">
        <f t="shared" si="37"/>
        <v>0.3</v>
      </c>
      <c r="H43" s="8">
        <f t="shared" si="37"/>
        <v>0.6</v>
      </c>
      <c r="I43" s="8">
        <f t="shared" si="37"/>
        <v>0.3</v>
      </c>
      <c r="J43" s="8">
        <f t="shared" si="37"/>
        <v>0.8</v>
      </c>
      <c r="K43" s="8">
        <f t="shared" si="14"/>
        <v>1.2</v>
      </c>
      <c r="L43" s="35"/>
      <c r="M43" s="8">
        <f t="shared" si="15"/>
        <v>1.5</v>
      </c>
      <c r="N43" s="8">
        <f t="shared" si="16"/>
        <v>2</v>
      </c>
      <c r="O43" s="79">
        <f t="shared" si="38"/>
        <v>2.5</v>
      </c>
      <c r="P43" s="8">
        <f t="shared" si="38"/>
        <v>3</v>
      </c>
      <c r="Q43" s="8">
        <f t="shared" si="38"/>
        <v>3.5</v>
      </c>
      <c r="R43" s="11">
        <f t="shared" si="38"/>
        <v>0.75</v>
      </c>
      <c r="S43" s="11">
        <f t="shared" si="18"/>
        <v>0.3</v>
      </c>
      <c r="T43" s="11">
        <f t="shared" si="19"/>
        <v>0.3</v>
      </c>
      <c r="U43" s="29">
        <f t="shared" si="20"/>
        <v>0.05</v>
      </c>
      <c r="V43" s="19">
        <f t="shared" si="39"/>
        <v>0.2</v>
      </c>
      <c r="W43" s="19">
        <f t="shared" si="39"/>
        <v>0.3</v>
      </c>
      <c r="X43" s="19">
        <f t="shared" si="39"/>
        <v>0.5</v>
      </c>
      <c r="Y43" s="19">
        <f t="shared" si="39"/>
        <v>0.8</v>
      </c>
      <c r="Z43" s="19">
        <f t="shared" si="39"/>
        <v>1.2</v>
      </c>
      <c r="AA43" s="35"/>
      <c r="AB43" s="8">
        <f t="shared" si="22"/>
        <v>1</v>
      </c>
      <c r="AC43" s="8">
        <f t="shared" si="23"/>
        <v>1.2</v>
      </c>
      <c r="AD43" s="8">
        <f t="shared" si="24"/>
        <v>1.5</v>
      </c>
      <c r="AE43" s="8">
        <f t="shared" si="25"/>
        <v>2</v>
      </c>
      <c r="AF43" s="8">
        <f t="shared" si="26"/>
        <v>2.5</v>
      </c>
      <c r="AG43" s="8">
        <f t="shared" si="27"/>
        <v>0.5</v>
      </c>
      <c r="AH43" s="8">
        <f t="shared" si="28"/>
        <v>0.2</v>
      </c>
      <c r="AI43" s="8">
        <f t="shared" si="29"/>
        <v>0.2</v>
      </c>
      <c r="AJ43" s="8">
        <f t="shared" si="30"/>
        <v>0.03</v>
      </c>
      <c r="AK43" s="87"/>
      <c r="AL43" s="8">
        <f t="shared" si="31"/>
        <v>1.2</v>
      </c>
      <c r="AM43" s="91">
        <f t="shared" si="32"/>
        <v>0.2</v>
      </c>
      <c r="AN43" s="91">
        <f t="shared" si="33"/>
        <v>0.3</v>
      </c>
      <c r="AO43" s="91">
        <f t="shared" si="34"/>
        <v>0.5</v>
      </c>
      <c r="AP43" s="91">
        <f t="shared" si="35"/>
        <v>0.8</v>
      </c>
      <c r="AQ43" s="91">
        <f t="shared" si="36"/>
        <v>1.2</v>
      </c>
      <c r="AR43" s="35"/>
      <c r="AS43" s="8">
        <f t="shared" si="10"/>
        <v>0.2</v>
      </c>
      <c r="AT43" s="35"/>
    </row>
    <row r="44" spans="1:46">
      <c r="A44" s="12">
        <v>42</v>
      </c>
      <c r="B44" s="8">
        <f t="shared" si="11"/>
        <v>1.2</v>
      </c>
      <c r="C44" s="8">
        <f t="shared" si="12"/>
        <v>1.5</v>
      </c>
      <c r="D44" s="8">
        <f t="shared" si="37"/>
        <v>2</v>
      </c>
      <c r="E44" s="8">
        <f t="shared" si="37"/>
        <v>2.5</v>
      </c>
      <c r="F44" s="8">
        <f t="shared" si="37"/>
        <v>0.5</v>
      </c>
      <c r="G44" s="8">
        <f t="shared" si="37"/>
        <v>0.3</v>
      </c>
      <c r="H44" s="8">
        <f t="shared" si="37"/>
        <v>0.6</v>
      </c>
      <c r="I44" s="8">
        <f t="shared" si="37"/>
        <v>0.3</v>
      </c>
      <c r="J44" s="8">
        <f t="shared" si="37"/>
        <v>0.8</v>
      </c>
      <c r="K44" s="8">
        <f t="shared" si="14"/>
        <v>1.2</v>
      </c>
      <c r="L44" s="35"/>
      <c r="M44" s="8">
        <f t="shared" si="15"/>
        <v>1.5</v>
      </c>
      <c r="N44" s="8">
        <f t="shared" si="16"/>
        <v>2</v>
      </c>
      <c r="O44" s="79">
        <f t="shared" si="38"/>
        <v>2.5</v>
      </c>
      <c r="P44" s="8">
        <f t="shared" si="38"/>
        <v>3</v>
      </c>
      <c r="Q44" s="8">
        <f t="shared" si="38"/>
        <v>3.5</v>
      </c>
      <c r="R44" s="11">
        <f t="shared" si="38"/>
        <v>0.75</v>
      </c>
      <c r="S44" s="11">
        <f t="shared" si="18"/>
        <v>0.3</v>
      </c>
      <c r="T44" s="11">
        <f t="shared" si="19"/>
        <v>0.3</v>
      </c>
      <c r="U44" s="29">
        <f t="shared" si="20"/>
        <v>0.05</v>
      </c>
      <c r="V44" s="19">
        <f t="shared" si="39"/>
        <v>0.2</v>
      </c>
      <c r="W44" s="19">
        <f t="shared" si="39"/>
        <v>0.3</v>
      </c>
      <c r="X44" s="19">
        <f t="shared" si="39"/>
        <v>0.5</v>
      </c>
      <c r="Y44" s="19">
        <f t="shared" si="39"/>
        <v>0.8</v>
      </c>
      <c r="Z44" s="19">
        <f t="shared" si="39"/>
        <v>1.2</v>
      </c>
      <c r="AA44" s="35"/>
      <c r="AB44" s="8">
        <f t="shared" si="22"/>
        <v>1</v>
      </c>
      <c r="AC44" s="8">
        <f t="shared" si="23"/>
        <v>1.2</v>
      </c>
      <c r="AD44" s="8">
        <f t="shared" si="24"/>
        <v>1.5</v>
      </c>
      <c r="AE44" s="8">
        <f t="shared" si="25"/>
        <v>2</v>
      </c>
      <c r="AF44" s="8">
        <f t="shared" si="26"/>
        <v>2.5</v>
      </c>
      <c r="AG44" s="8">
        <f t="shared" si="27"/>
        <v>0.5</v>
      </c>
      <c r="AH44" s="8">
        <f t="shared" si="28"/>
        <v>0.2</v>
      </c>
      <c r="AI44" s="8">
        <f t="shared" si="29"/>
        <v>0.2</v>
      </c>
      <c r="AJ44" s="8">
        <f t="shared" si="30"/>
        <v>0.03</v>
      </c>
      <c r="AK44" s="87"/>
      <c r="AL44" s="8">
        <f t="shared" si="31"/>
        <v>1.2</v>
      </c>
      <c r="AM44" s="91">
        <f t="shared" si="32"/>
        <v>0.2</v>
      </c>
      <c r="AN44" s="91">
        <f t="shared" si="33"/>
        <v>0.3</v>
      </c>
      <c r="AO44" s="91">
        <f t="shared" si="34"/>
        <v>0.5</v>
      </c>
      <c r="AP44" s="91">
        <f t="shared" si="35"/>
        <v>0.8</v>
      </c>
      <c r="AQ44" s="91">
        <f t="shared" si="36"/>
        <v>1.2</v>
      </c>
      <c r="AR44" s="35"/>
      <c r="AS44" s="8">
        <f t="shared" si="10"/>
        <v>0.2</v>
      </c>
      <c r="AT44" s="35"/>
    </row>
    <row r="45" spans="1:46">
      <c r="A45" s="12">
        <v>43</v>
      </c>
      <c r="B45" s="8">
        <f t="shared" si="11"/>
        <v>1.2</v>
      </c>
      <c r="C45" s="8">
        <f t="shared" si="12"/>
        <v>1.5</v>
      </c>
      <c r="D45" s="8">
        <f t="shared" si="37"/>
        <v>2</v>
      </c>
      <c r="E45" s="8">
        <f t="shared" si="37"/>
        <v>2.5</v>
      </c>
      <c r="F45" s="8">
        <f t="shared" si="37"/>
        <v>0.5</v>
      </c>
      <c r="G45" s="8">
        <f t="shared" si="37"/>
        <v>0.3</v>
      </c>
      <c r="H45" s="8">
        <f t="shared" si="37"/>
        <v>0.6</v>
      </c>
      <c r="I45" s="8">
        <f t="shared" si="37"/>
        <v>0.3</v>
      </c>
      <c r="J45" s="8">
        <f t="shared" si="37"/>
        <v>0.8</v>
      </c>
      <c r="K45" s="8">
        <f t="shared" si="14"/>
        <v>1.2</v>
      </c>
      <c r="L45" s="35"/>
      <c r="M45" s="8">
        <f t="shared" si="15"/>
        <v>1.5</v>
      </c>
      <c r="N45" s="8">
        <f t="shared" si="16"/>
        <v>2</v>
      </c>
      <c r="O45" s="79">
        <f t="shared" si="38"/>
        <v>2.5</v>
      </c>
      <c r="P45" s="8">
        <f t="shared" si="38"/>
        <v>3</v>
      </c>
      <c r="Q45" s="8">
        <f t="shared" si="38"/>
        <v>3.5</v>
      </c>
      <c r="R45" s="11">
        <f t="shared" si="38"/>
        <v>0.75</v>
      </c>
      <c r="S45" s="11">
        <f t="shared" si="18"/>
        <v>0.3</v>
      </c>
      <c r="T45" s="11">
        <f t="shared" si="19"/>
        <v>0.3</v>
      </c>
      <c r="U45" s="29">
        <f t="shared" si="20"/>
        <v>0.05</v>
      </c>
      <c r="V45" s="19">
        <f t="shared" si="39"/>
        <v>0.2</v>
      </c>
      <c r="W45" s="19">
        <f t="shared" si="39"/>
        <v>0.3</v>
      </c>
      <c r="X45" s="19">
        <f t="shared" si="39"/>
        <v>0.5</v>
      </c>
      <c r="Y45" s="19">
        <f t="shared" si="39"/>
        <v>0.8</v>
      </c>
      <c r="Z45" s="19">
        <f t="shared" si="39"/>
        <v>1.2</v>
      </c>
      <c r="AA45" s="35"/>
      <c r="AB45" s="8">
        <f t="shared" si="22"/>
        <v>1</v>
      </c>
      <c r="AC45" s="8">
        <f t="shared" si="23"/>
        <v>1.2</v>
      </c>
      <c r="AD45" s="8">
        <f t="shared" si="24"/>
        <v>1.5</v>
      </c>
      <c r="AE45" s="8">
        <f t="shared" si="25"/>
        <v>2</v>
      </c>
      <c r="AF45" s="8">
        <f t="shared" si="26"/>
        <v>2.5</v>
      </c>
      <c r="AG45" s="8">
        <f t="shared" si="27"/>
        <v>0.5</v>
      </c>
      <c r="AH45" s="8">
        <f t="shared" si="28"/>
        <v>0.2</v>
      </c>
      <c r="AI45" s="8">
        <f t="shared" si="29"/>
        <v>0.2</v>
      </c>
      <c r="AJ45" s="8">
        <f t="shared" si="30"/>
        <v>0.03</v>
      </c>
      <c r="AK45" s="87"/>
      <c r="AL45" s="8">
        <f t="shared" si="31"/>
        <v>1.2</v>
      </c>
      <c r="AM45" s="91">
        <f t="shared" si="32"/>
        <v>0.2</v>
      </c>
      <c r="AN45" s="91">
        <f t="shared" si="33"/>
        <v>0.3</v>
      </c>
      <c r="AO45" s="91">
        <f t="shared" si="34"/>
        <v>0.5</v>
      </c>
      <c r="AP45" s="91">
        <f t="shared" si="35"/>
        <v>0.8</v>
      </c>
      <c r="AQ45" s="91">
        <f t="shared" si="36"/>
        <v>1.2</v>
      </c>
      <c r="AR45" s="35"/>
      <c r="AS45" s="8">
        <f t="shared" si="10"/>
        <v>0.2</v>
      </c>
      <c r="AT45" s="35"/>
    </row>
    <row r="46" spans="1:46">
      <c r="A46" s="12">
        <v>44</v>
      </c>
      <c r="B46" s="8">
        <f t="shared" si="11"/>
        <v>1.2</v>
      </c>
      <c r="C46" s="8">
        <f t="shared" si="12"/>
        <v>1.5</v>
      </c>
      <c r="D46" s="8">
        <f t="shared" si="37"/>
        <v>2</v>
      </c>
      <c r="E46" s="8">
        <f t="shared" si="37"/>
        <v>2.5</v>
      </c>
      <c r="F46" s="8">
        <f t="shared" si="37"/>
        <v>0.5</v>
      </c>
      <c r="G46" s="8">
        <f t="shared" si="37"/>
        <v>0.3</v>
      </c>
      <c r="H46" s="8">
        <f t="shared" si="37"/>
        <v>0.6</v>
      </c>
      <c r="I46" s="8">
        <f t="shared" si="37"/>
        <v>0.3</v>
      </c>
      <c r="J46" s="8">
        <f t="shared" si="37"/>
        <v>0.8</v>
      </c>
      <c r="K46" s="8">
        <f t="shared" si="14"/>
        <v>1.2</v>
      </c>
      <c r="L46" s="35"/>
      <c r="M46" s="8">
        <f t="shared" si="15"/>
        <v>1.5</v>
      </c>
      <c r="N46" s="8">
        <f t="shared" si="16"/>
        <v>2</v>
      </c>
      <c r="O46" s="79">
        <f t="shared" si="38"/>
        <v>2.5</v>
      </c>
      <c r="P46" s="8">
        <f t="shared" si="38"/>
        <v>3</v>
      </c>
      <c r="Q46" s="8">
        <f t="shared" si="38"/>
        <v>3.5</v>
      </c>
      <c r="R46" s="11">
        <f t="shared" si="38"/>
        <v>0.75</v>
      </c>
      <c r="S46" s="11">
        <f t="shared" si="18"/>
        <v>0.3</v>
      </c>
      <c r="T46" s="11">
        <f t="shared" si="19"/>
        <v>0.3</v>
      </c>
      <c r="U46" s="29">
        <f t="shared" si="20"/>
        <v>0.05</v>
      </c>
      <c r="V46" s="19">
        <f t="shared" si="39"/>
        <v>0.2</v>
      </c>
      <c r="W46" s="19">
        <f t="shared" si="39"/>
        <v>0.3</v>
      </c>
      <c r="X46" s="19">
        <f t="shared" si="39"/>
        <v>0.5</v>
      </c>
      <c r="Y46" s="19">
        <f t="shared" si="39"/>
        <v>0.8</v>
      </c>
      <c r="Z46" s="19">
        <f t="shared" si="39"/>
        <v>1.2</v>
      </c>
      <c r="AA46" s="35"/>
      <c r="AB46" s="8">
        <f t="shared" si="22"/>
        <v>1</v>
      </c>
      <c r="AC46" s="8">
        <f t="shared" si="23"/>
        <v>1.2</v>
      </c>
      <c r="AD46" s="8">
        <f t="shared" si="24"/>
        <v>1.5</v>
      </c>
      <c r="AE46" s="8">
        <f t="shared" si="25"/>
        <v>2</v>
      </c>
      <c r="AF46" s="8">
        <f t="shared" si="26"/>
        <v>2.5</v>
      </c>
      <c r="AG46" s="8">
        <f t="shared" si="27"/>
        <v>0.5</v>
      </c>
      <c r="AH46" s="8">
        <f t="shared" si="28"/>
        <v>0.2</v>
      </c>
      <c r="AI46" s="8">
        <f t="shared" si="29"/>
        <v>0.2</v>
      </c>
      <c r="AJ46" s="8">
        <f t="shared" si="30"/>
        <v>0.03</v>
      </c>
      <c r="AK46" s="87"/>
      <c r="AL46" s="8">
        <f t="shared" si="31"/>
        <v>1.2</v>
      </c>
      <c r="AM46" s="91">
        <f t="shared" si="32"/>
        <v>0.2</v>
      </c>
      <c r="AN46" s="91">
        <f t="shared" si="33"/>
        <v>0.3</v>
      </c>
      <c r="AO46" s="91">
        <f t="shared" si="34"/>
        <v>0.5</v>
      </c>
      <c r="AP46" s="91">
        <f t="shared" si="35"/>
        <v>0.8</v>
      </c>
      <c r="AQ46" s="91">
        <f t="shared" si="36"/>
        <v>1.2</v>
      </c>
      <c r="AR46" s="35"/>
      <c r="AS46" s="8">
        <f t="shared" si="10"/>
        <v>0.2</v>
      </c>
      <c r="AT46" s="35"/>
    </row>
    <row r="47" spans="1:46">
      <c r="A47" s="12">
        <v>45</v>
      </c>
      <c r="B47" s="8">
        <f t="shared" si="11"/>
        <v>1.2</v>
      </c>
      <c r="C47" s="8">
        <f t="shared" si="12"/>
        <v>1.5</v>
      </c>
      <c r="D47" s="8">
        <f t="shared" si="37"/>
        <v>2</v>
      </c>
      <c r="E47" s="8">
        <f t="shared" si="37"/>
        <v>2.5</v>
      </c>
      <c r="F47" s="8">
        <f t="shared" si="37"/>
        <v>0.5</v>
      </c>
      <c r="G47" s="8">
        <f t="shared" si="37"/>
        <v>0.3</v>
      </c>
      <c r="H47" s="8">
        <f t="shared" si="37"/>
        <v>0.6</v>
      </c>
      <c r="I47" s="8">
        <f t="shared" si="37"/>
        <v>0.3</v>
      </c>
      <c r="J47" s="8">
        <f t="shared" si="37"/>
        <v>0.8</v>
      </c>
      <c r="K47" s="8">
        <f t="shared" si="14"/>
        <v>1.2</v>
      </c>
      <c r="L47" s="35"/>
      <c r="M47" s="8">
        <f t="shared" si="15"/>
        <v>1.5</v>
      </c>
      <c r="N47" s="8">
        <f t="shared" si="16"/>
        <v>2</v>
      </c>
      <c r="O47" s="79">
        <f t="shared" si="38"/>
        <v>2.5</v>
      </c>
      <c r="P47" s="8">
        <f t="shared" si="38"/>
        <v>3</v>
      </c>
      <c r="Q47" s="8">
        <f t="shared" si="38"/>
        <v>3.5</v>
      </c>
      <c r="R47" s="11">
        <f t="shared" si="38"/>
        <v>0.75</v>
      </c>
      <c r="S47" s="11">
        <f t="shared" si="18"/>
        <v>0.3</v>
      </c>
      <c r="T47" s="11">
        <f t="shared" si="19"/>
        <v>0.3</v>
      </c>
      <c r="U47" s="29">
        <f t="shared" si="20"/>
        <v>0.05</v>
      </c>
      <c r="V47" s="19">
        <f t="shared" si="39"/>
        <v>0.2</v>
      </c>
      <c r="W47" s="19">
        <f t="shared" si="39"/>
        <v>0.3</v>
      </c>
      <c r="X47" s="19">
        <f t="shared" si="39"/>
        <v>0.5</v>
      </c>
      <c r="Y47" s="19">
        <f t="shared" si="39"/>
        <v>0.8</v>
      </c>
      <c r="Z47" s="19">
        <f t="shared" si="39"/>
        <v>1.2</v>
      </c>
      <c r="AA47" s="35"/>
      <c r="AB47" s="8">
        <f t="shared" si="22"/>
        <v>1</v>
      </c>
      <c r="AC47" s="8">
        <f t="shared" si="23"/>
        <v>1.2</v>
      </c>
      <c r="AD47" s="8">
        <f t="shared" si="24"/>
        <v>1.5</v>
      </c>
      <c r="AE47" s="8">
        <f t="shared" si="25"/>
        <v>2</v>
      </c>
      <c r="AF47" s="8">
        <f t="shared" si="26"/>
        <v>2.5</v>
      </c>
      <c r="AG47" s="8">
        <f t="shared" si="27"/>
        <v>0.5</v>
      </c>
      <c r="AH47" s="8">
        <f t="shared" si="28"/>
        <v>0.2</v>
      </c>
      <c r="AI47" s="8">
        <f t="shared" si="29"/>
        <v>0.2</v>
      </c>
      <c r="AJ47" s="8">
        <f t="shared" si="30"/>
        <v>0.03</v>
      </c>
      <c r="AK47" s="87"/>
      <c r="AL47" s="8">
        <f t="shared" si="31"/>
        <v>1.2</v>
      </c>
      <c r="AM47" s="91">
        <f t="shared" si="32"/>
        <v>0.2</v>
      </c>
      <c r="AN47" s="91">
        <f t="shared" si="33"/>
        <v>0.3</v>
      </c>
      <c r="AO47" s="91">
        <f t="shared" si="34"/>
        <v>0.5</v>
      </c>
      <c r="AP47" s="91">
        <f t="shared" si="35"/>
        <v>0.8</v>
      </c>
      <c r="AQ47" s="91">
        <f t="shared" si="36"/>
        <v>1.2</v>
      </c>
      <c r="AR47" s="35"/>
      <c r="AS47" s="8">
        <f t="shared" si="10"/>
        <v>0.2</v>
      </c>
      <c r="AT47" s="35"/>
    </row>
    <row r="48" spans="1:46">
      <c r="A48" s="12">
        <v>46</v>
      </c>
      <c r="B48" s="8">
        <f t="shared" si="11"/>
        <v>1.2</v>
      </c>
      <c r="C48" s="8">
        <f t="shared" si="12"/>
        <v>1.5</v>
      </c>
      <c r="D48" s="8">
        <f t="shared" si="37"/>
        <v>2</v>
      </c>
      <c r="E48" s="8">
        <f t="shared" si="37"/>
        <v>2.5</v>
      </c>
      <c r="F48" s="8">
        <f t="shared" si="37"/>
        <v>0.5</v>
      </c>
      <c r="G48" s="8">
        <f t="shared" si="37"/>
        <v>0.3</v>
      </c>
      <c r="H48" s="8">
        <f t="shared" si="37"/>
        <v>0.6</v>
      </c>
      <c r="I48" s="8">
        <f t="shared" si="37"/>
        <v>0.3</v>
      </c>
      <c r="J48" s="8">
        <f t="shared" si="37"/>
        <v>0.8</v>
      </c>
      <c r="K48" s="8">
        <f t="shared" si="14"/>
        <v>1.2</v>
      </c>
      <c r="L48" s="35"/>
      <c r="M48" s="8">
        <f t="shared" si="15"/>
        <v>1.5</v>
      </c>
      <c r="N48" s="8">
        <f t="shared" si="16"/>
        <v>2</v>
      </c>
      <c r="O48" s="79">
        <f t="shared" si="38"/>
        <v>2.5</v>
      </c>
      <c r="P48" s="8">
        <f t="shared" si="38"/>
        <v>3</v>
      </c>
      <c r="Q48" s="8">
        <f t="shared" si="38"/>
        <v>3.5</v>
      </c>
      <c r="R48" s="11">
        <f t="shared" si="38"/>
        <v>0.75</v>
      </c>
      <c r="S48" s="11">
        <f t="shared" si="18"/>
        <v>0.3</v>
      </c>
      <c r="T48" s="11">
        <f t="shared" si="19"/>
        <v>0.3</v>
      </c>
      <c r="U48" s="29">
        <f t="shared" si="20"/>
        <v>0.05</v>
      </c>
      <c r="V48" s="19">
        <f t="shared" si="39"/>
        <v>0.2</v>
      </c>
      <c r="W48" s="19">
        <f t="shared" si="39"/>
        <v>0.3</v>
      </c>
      <c r="X48" s="19">
        <f t="shared" si="39"/>
        <v>0.5</v>
      </c>
      <c r="Y48" s="19">
        <f t="shared" si="39"/>
        <v>0.8</v>
      </c>
      <c r="Z48" s="19">
        <f t="shared" si="39"/>
        <v>1.2</v>
      </c>
      <c r="AA48" s="35"/>
      <c r="AB48" s="8">
        <f t="shared" si="22"/>
        <v>1</v>
      </c>
      <c r="AC48" s="8">
        <f t="shared" si="23"/>
        <v>1.2</v>
      </c>
      <c r="AD48" s="8">
        <f t="shared" si="24"/>
        <v>1.5</v>
      </c>
      <c r="AE48" s="8">
        <f t="shared" si="25"/>
        <v>2</v>
      </c>
      <c r="AF48" s="8">
        <f t="shared" si="26"/>
        <v>2.5</v>
      </c>
      <c r="AG48" s="8">
        <f t="shared" si="27"/>
        <v>0.5</v>
      </c>
      <c r="AH48" s="8">
        <f t="shared" si="28"/>
        <v>0.2</v>
      </c>
      <c r="AI48" s="8">
        <f t="shared" si="29"/>
        <v>0.2</v>
      </c>
      <c r="AJ48" s="8">
        <f t="shared" si="30"/>
        <v>0.03</v>
      </c>
      <c r="AK48" s="87"/>
      <c r="AL48" s="8">
        <f t="shared" si="31"/>
        <v>1.2</v>
      </c>
      <c r="AM48" s="91">
        <f t="shared" si="32"/>
        <v>0.2</v>
      </c>
      <c r="AN48" s="91">
        <f t="shared" si="33"/>
        <v>0.3</v>
      </c>
      <c r="AO48" s="91">
        <f t="shared" si="34"/>
        <v>0.5</v>
      </c>
      <c r="AP48" s="91">
        <f t="shared" si="35"/>
        <v>0.8</v>
      </c>
      <c r="AQ48" s="91">
        <f t="shared" si="36"/>
        <v>1.2</v>
      </c>
      <c r="AR48" s="35"/>
      <c r="AS48" s="8">
        <f t="shared" si="10"/>
        <v>0.2</v>
      </c>
      <c r="AT48" s="35"/>
    </row>
    <row r="49" spans="1:46">
      <c r="A49" s="12">
        <v>47</v>
      </c>
      <c r="B49" s="8">
        <f t="shared" si="11"/>
        <v>1.2</v>
      </c>
      <c r="C49" s="8">
        <f t="shared" si="12"/>
        <v>1.5</v>
      </c>
      <c r="D49" s="8">
        <f t="shared" si="37"/>
        <v>2</v>
      </c>
      <c r="E49" s="8">
        <f t="shared" si="37"/>
        <v>2.5</v>
      </c>
      <c r="F49" s="8">
        <f t="shared" si="37"/>
        <v>0.5</v>
      </c>
      <c r="G49" s="8">
        <f t="shared" si="37"/>
        <v>0.3</v>
      </c>
      <c r="H49" s="8">
        <f t="shared" si="37"/>
        <v>0.6</v>
      </c>
      <c r="I49" s="8">
        <f t="shared" si="37"/>
        <v>0.3</v>
      </c>
      <c r="J49" s="8">
        <f t="shared" si="37"/>
        <v>0.8</v>
      </c>
      <c r="K49" s="8">
        <f t="shared" si="14"/>
        <v>1.2</v>
      </c>
      <c r="L49" s="35"/>
      <c r="M49" s="8">
        <f t="shared" si="15"/>
        <v>1.5</v>
      </c>
      <c r="N49" s="8">
        <f t="shared" si="16"/>
        <v>2</v>
      </c>
      <c r="O49" s="79">
        <f t="shared" si="38"/>
        <v>2.5</v>
      </c>
      <c r="P49" s="8">
        <f t="shared" si="38"/>
        <v>3</v>
      </c>
      <c r="Q49" s="8">
        <f t="shared" si="38"/>
        <v>3.5</v>
      </c>
      <c r="R49" s="11">
        <f t="shared" si="38"/>
        <v>0.75</v>
      </c>
      <c r="S49" s="11">
        <f t="shared" si="18"/>
        <v>0.3</v>
      </c>
      <c r="T49" s="11">
        <f t="shared" si="19"/>
        <v>0.3</v>
      </c>
      <c r="U49" s="29">
        <f t="shared" si="20"/>
        <v>0.05</v>
      </c>
      <c r="V49" s="19">
        <f t="shared" si="39"/>
        <v>0.2</v>
      </c>
      <c r="W49" s="19">
        <f t="shared" si="39"/>
        <v>0.3</v>
      </c>
      <c r="X49" s="19">
        <f t="shared" si="39"/>
        <v>0.5</v>
      </c>
      <c r="Y49" s="19">
        <f t="shared" si="39"/>
        <v>0.8</v>
      </c>
      <c r="Z49" s="19">
        <f t="shared" si="39"/>
        <v>1.2</v>
      </c>
      <c r="AA49" s="35"/>
      <c r="AB49" s="8">
        <f t="shared" si="22"/>
        <v>1</v>
      </c>
      <c r="AC49" s="8">
        <f t="shared" si="23"/>
        <v>1.2</v>
      </c>
      <c r="AD49" s="8">
        <f t="shared" si="24"/>
        <v>1.5</v>
      </c>
      <c r="AE49" s="8">
        <f t="shared" si="25"/>
        <v>2</v>
      </c>
      <c r="AF49" s="8">
        <f t="shared" si="26"/>
        <v>2.5</v>
      </c>
      <c r="AG49" s="8">
        <f t="shared" si="27"/>
        <v>0.5</v>
      </c>
      <c r="AH49" s="8">
        <f t="shared" si="28"/>
        <v>0.2</v>
      </c>
      <c r="AI49" s="8">
        <f t="shared" si="29"/>
        <v>0.2</v>
      </c>
      <c r="AJ49" s="8">
        <f t="shared" si="30"/>
        <v>0.03</v>
      </c>
      <c r="AK49" s="87"/>
      <c r="AL49" s="8">
        <f t="shared" si="31"/>
        <v>1.2</v>
      </c>
      <c r="AM49" s="91">
        <f t="shared" si="32"/>
        <v>0.2</v>
      </c>
      <c r="AN49" s="91">
        <f t="shared" si="33"/>
        <v>0.3</v>
      </c>
      <c r="AO49" s="91">
        <f t="shared" si="34"/>
        <v>0.5</v>
      </c>
      <c r="AP49" s="91">
        <f t="shared" si="35"/>
        <v>0.8</v>
      </c>
      <c r="AQ49" s="91">
        <f t="shared" si="36"/>
        <v>1.2</v>
      </c>
      <c r="AR49" s="35"/>
      <c r="AS49" s="8">
        <f t="shared" si="10"/>
        <v>0.2</v>
      </c>
      <c r="AT49" s="35"/>
    </row>
    <row r="50" spans="1:46">
      <c r="A50" s="12">
        <v>48</v>
      </c>
      <c r="B50" s="8">
        <f t="shared" si="11"/>
        <v>1.2</v>
      </c>
      <c r="C50" s="8">
        <f t="shared" si="12"/>
        <v>1.5</v>
      </c>
      <c r="D50" s="8">
        <f t="shared" si="37"/>
        <v>2</v>
      </c>
      <c r="E50" s="8">
        <f t="shared" si="37"/>
        <v>2.5</v>
      </c>
      <c r="F50" s="8">
        <f t="shared" si="37"/>
        <v>0.5</v>
      </c>
      <c r="G50" s="8">
        <f t="shared" si="37"/>
        <v>0.3</v>
      </c>
      <c r="H50" s="8">
        <f t="shared" si="37"/>
        <v>0.6</v>
      </c>
      <c r="I50" s="8">
        <f t="shared" si="37"/>
        <v>0.3</v>
      </c>
      <c r="J50" s="8">
        <f t="shared" si="37"/>
        <v>0.8</v>
      </c>
      <c r="K50" s="8">
        <f t="shared" si="14"/>
        <v>1.2</v>
      </c>
      <c r="L50" s="35"/>
      <c r="M50" s="8">
        <f t="shared" si="15"/>
        <v>1.5</v>
      </c>
      <c r="N50" s="8">
        <f t="shared" si="16"/>
        <v>2</v>
      </c>
      <c r="O50" s="79">
        <f t="shared" si="38"/>
        <v>2.5</v>
      </c>
      <c r="P50" s="8">
        <f t="shared" si="38"/>
        <v>3</v>
      </c>
      <c r="Q50" s="8">
        <f t="shared" si="38"/>
        <v>3.5</v>
      </c>
      <c r="R50" s="11">
        <f t="shared" si="38"/>
        <v>0.75</v>
      </c>
      <c r="S50" s="11">
        <f t="shared" si="18"/>
        <v>0.3</v>
      </c>
      <c r="T50" s="11">
        <f t="shared" si="19"/>
        <v>0.3</v>
      </c>
      <c r="U50" s="29">
        <f t="shared" si="20"/>
        <v>0.05</v>
      </c>
      <c r="V50" s="19">
        <f t="shared" si="39"/>
        <v>0.2</v>
      </c>
      <c r="W50" s="19">
        <f t="shared" si="39"/>
        <v>0.3</v>
      </c>
      <c r="X50" s="19">
        <f t="shared" si="39"/>
        <v>0.5</v>
      </c>
      <c r="Y50" s="19">
        <f t="shared" si="39"/>
        <v>0.8</v>
      </c>
      <c r="Z50" s="19">
        <f t="shared" si="39"/>
        <v>1.2</v>
      </c>
      <c r="AA50" s="35"/>
      <c r="AB50" s="8">
        <f t="shared" si="22"/>
        <v>1</v>
      </c>
      <c r="AC50" s="8">
        <f t="shared" si="23"/>
        <v>1.2</v>
      </c>
      <c r="AD50" s="8">
        <f t="shared" si="24"/>
        <v>1.5</v>
      </c>
      <c r="AE50" s="8">
        <f t="shared" si="25"/>
        <v>2</v>
      </c>
      <c r="AF50" s="8">
        <f t="shared" si="26"/>
        <v>2.5</v>
      </c>
      <c r="AG50" s="8">
        <f t="shared" si="27"/>
        <v>0.5</v>
      </c>
      <c r="AH50" s="8">
        <f t="shared" si="28"/>
        <v>0.2</v>
      </c>
      <c r="AI50" s="8">
        <f t="shared" si="29"/>
        <v>0.2</v>
      </c>
      <c r="AJ50" s="8">
        <f t="shared" si="30"/>
        <v>0.03</v>
      </c>
      <c r="AK50" s="87"/>
      <c r="AL50" s="8">
        <f t="shared" si="31"/>
        <v>1.2</v>
      </c>
      <c r="AM50" s="91">
        <f t="shared" si="32"/>
        <v>0.2</v>
      </c>
      <c r="AN50" s="91">
        <f t="shared" si="33"/>
        <v>0.3</v>
      </c>
      <c r="AO50" s="91">
        <f t="shared" si="34"/>
        <v>0.5</v>
      </c>
      <c r="AP50" s="91">
        <f t="shared" si="35"/>
        <v>0.8</v>
      </c>
      <c r="AQ50" s="91">
        <f t="shared" si="36"/>
        <v>1.2</v>
      </c>
      <c r="AR50" s="35"/>
      <c r="AS50" s="8">
        <f t="shared" si="10"/>
        <v>0.2</v>
      </c>
      <c r="AT50" s="35"/>
    </row>
    <row r="51" spans="1:46">
      <c r="A51" s="12">
        <v>49</v>
      </c>
      <c r="B51" s="8">
        <f t="shared" si="11"/>
        <v>1.2</v>
      </c>
      <c r="C51" s="8">
        <f t="shared" si="12"/>
        <v>1.5</v>
      </c>
      <c r="D51" s="8">
        <f t="shared" si="37"/>
        <v>2</v>
      </c>
      <c r="E51" s="8">
        <f t="shared" si="37"/>
        <v>2.5</v>
      </c>
      <c r="F51" s="8">
        <f t="shared" si="37"/>
        <v>0.5</v>
      </c>
      <c r="G51" s="8">
        <f t="shared" si="37"/>
        <v>0.3</v>
      </c>
      <c r="H51" s="8">
        <f t="shared" si="37"/>
        <v>0.6</v>
      </c>
      <c r="I51" s="8">
        <f t="shared" si="37"/>
        <v>0.3</v>
      </c>
      <c r="J51" s="8">
        <f t="shared" si="37"/>
        <v>0.8</v>
      </c>
      <c r="K51" s="8">
        <f t="shared" si="14"/>
        <v>1.2</v>
      </c>
      <c r="L51" s="35"/>
      <c r="M51" s="8">
        <f t="shared" si="15"/>
        <v>1.5</v>
      </c>
      <c r="N51" s="8">
        <f t="shared" si="16"/>
        <v>2</v>
      </c>
      <c r="O51" s="79">
        <f t="shared" si="38"/>
        <v>2.5</v>
      </c>
      <c r="P51" s="8">
        <f t="shared" si="38"/>
        <v>3</v>
      </c>
      <c r="Q51" s="8">
        <f t="shared" si="38"/>
        <v>3.5</v>
      </c>
      <c r="R51" s="11">
        <f t="shared" si="38"/>
        <v>0.75</v>
      </c>
      <c r="S51" s="11">
        <f t="shared" si="18"/>
        <v>0.3</v>
      </c>
      <c r="T51" s="11">
        <f t="shared" si="19"/>
        <v>0.3</v>
      </c>
      <c r="U51" s="29">
        <f t="shared" si="20"/>
        <v>0.05</v>
      </c>
      <c r="V51" s="19">
        <f t="shared" si="39"/>
        <v>0.2</v>
      </c>
      <c r="W51" s="19">
        <f t="shared" si="39"/>
        <v>0.3</v>
      </c>
      <c r="X51" s="19">
        <f t="shared" si="39"/>
        <v>0.5</v>
      </c>
      <c r="Y51" s="19">
        <f t="shared" si="39"/>
        <v>0.8</v>
      </c>
      <c r="Z51" s="19">
        <f t="shared" si="39"/>
        <v>1.2</v>
      </c>
      <c r="AA51" s="35"/>
      <c r="AB51" s="8">
        <f t="shared" si="22"/>
        <v>1</v>
      </c>
      <c r="AC51" s="8">
        <f t="shared" si="23"/>
        <v>1.2</v>
      </c>
      <c r="AD51" s="8">
        <f t="shared" si="24"/>
        <v>1.5</v>
      </c>
      <c r="AE51" s="8">
        <f t="shared" si="25"/>
        <v>2</v>
      </c>
      <c r="AF51" s="8">
        <f t="shared" si="26"/>
        <v>2.5</v>
      </c>
      <c r="AG51" s="8">
        <f t="shared" si="27"/>
        <v>0.5</v>
      </c>
      <c r="AH51" s="8">
        <f t="shared" si="28"/>
        <v>0.2</v>
      </c>
      <c r="AI51" s="8">
        <f t="shared" si="29"/>
        <v>0.2</v>
      </c>
      <c r="AJ51" s="8">
        <f t="shared" si="30"/>
        <v>0.03</v>
      </c>
      <c r="AK51" s="87"/>
      <c r="AL51" s="8">
        <f t="shared" si="31"/>
        <v>1.2</v>
      </c>
      <c r="AM51" s="91">
        <f t="shared" si="32"/>
        <v>0.2</v>
      </c>
      <c r="AN51" s="91">
        <f t="shared" si="33"/>
        <v>0.3</v>
      </c>
      <c r="AO51" s="91">
        <f t="shared" si="34"/>
        <v>0.5</v>
      </c>
      <c r="AP51" s="91">
        <f t="shared" si="35"/>
        <v>0.8</v>
      </c>
      <c r="AQ51" s="91">
        <f t="shared" si="36"/>
        <v>1.2</v>
      </c>
      <c r="AR51" s="35"/>
      <c r="AS51" s="8">
        <f t="shared" si="10"/>
        <v>0.2</v>
      </c>
      <c r="AT51" s="35"/>
    </row>
    <row r="52" spans="1:46">
      <c r="A52" s="12">
        <v>50</v>
      </c>
      <c r="B52" s="8">
        <f t="shared" si="11"/>
        <v>1.2</v>
      </c>
      <c r="C52" s="8">
        <f t="shared" si="12"/>
        <v>1.5</v>
      </c>
      <c r="D52" s="8">
        <f t="shared" si="37"/>
        <v>2</v>
      </c>
      <c r="E52" s="8">
        <f t="shared" si="37"/>
        <v>2.5</v>
      </c>
      <c r="F52" s="8">
        <f t="shared" si="37"/>
        <v>0.5</v>
      </c>
      <c r="G52" s="8">
        <f t="shared" si="37"/>
        <v>0.3</v>
      </c>
      <c r="H52" s="8">
        <f t="shared" si="37"/>
        <v>0.6</v>
      </c>
      <c r="I52" s="8">
        <f t="shared" si="37"/>
        <v>0.3</v>
      </c>
      <c r="J52" s="8">
        <f t="shared" si="37"/>
        <v>0.8</v>
      </c>
      <c r="K52" s="8">
        <f t="shared" si="14"/>
        <v>1.2</v>
      </c>
      <c r="L52" s="35"/>
      <c r="M52" s="8">
        <f t="shared" si="15"/>
        <v>1.5</v>
      </c>
      <c r="N52" s="8">
        <f t="shared" si="16"/>
        <v>2</v>
      </c>
      <c r="O52" s="79">
        <f t="shared" si="38"/>
        <v>2.5</v>
      </c>
      <c r="P52" s="8">
        <f t="shared" si="38"/>
        <v>3</v>
      </c>
      <c r="Q52" s="8">
        <f t="shared" si="38"/>
        <v>3.5</v>
      </c>
      <c r="R52" s="11">
        <f t="shared" si="38"/>
        <v>0.75</v>
      </c>
      <c r="S52" s="11">
        <f t="shared" si="18"/>
        <v>0.3</v>
      </c>
      <c r="T52" s="11">
        <f t="shared" si="19"/>
        <v>0.3</v>
      </c>
      <c r="U52" s="29">
        <f t="shared" si="20"/>
        <v>0.05</v>
      </c>
      <c r="V52" s="19">
        <f t="shared" si="39"/>
        <v>0.2</v>
      </c>
      <c r="W52" s="19">
        <f t="shared" si="39"/>
        <v>0.3</v>
      </c>
      <c r="X52" s="19">
        <f t="shared" si="39"/>
        <v>0.5</v>
      </c>
      <c r="Y52" s="19">
        <f t="shared" si="39"/>
        <v>0.8</v>
      </c>
      <c r="Z52" s="19">
        <f t="shared" si="39"/>
        <v>1.2</v>
      </c>
      <c r="AA52" s="35"/>
      <c r="AB52" s="8">
        <f t="shared" si="22"/>
        <v>1</v>
      </c>
      <c r="AC52" s="8">
        <f t="shared" si="23"/>
        <v>1.2</v>
      </c>
      <c r="AD52" s="8">
        <f t="shared" si="24"/>
        <v>1.5</v>
      </c>
      <c r="AE52" s="8">
        <f t="shared" si="25"/>
        <v>2</v>
      </c>
      <c r="AF52" s="8">
        <f t="shared" si="26"/>
        <v>2.5</v>
      </c>
      <c r="AG52" s="8">
        <f t="shared" si="27"/>
        <v>0.5</v>
      </c>
      <c r="AH52" s="8">
        <f t="shared" si="28"/>
        <v>0.2</v>
      </c>
      <c r="AI52" s="8">
        <f t="shared" si="29"/>
        <v>0.2</v>
      </c>
      <c r="AJ52" s="8">
        <f t="shared" si="30"/>
        <v>0.03</v>
      </c>
      <c r="AK52" s="87"/>
      <c r="AL52" s="8">
        <f t="shared" si="31"/>
        <v>1.2</v>
      </c>
      <c r="AM52" s="91">
        <f t="shared" si="32"/>
        <v>0.2</v>
      </c>
      <c r="AN52" s="91">
        <f t="shared" si="33"/>
        <v>0.3</v>
      </c>
      <c r="AO52" s="91">
        <f t="shared" si="34"/>
        <v>0.5</v>
      </c>
      <c r="AP52" s="91">
        <f t="shared" si="35"/>
        <v>0.8</v>
      </c>
      <c r="AQ52" s="91">
        <f t="shared" si="36"/>
        <v>1.2</v>
      </c>
      <c r="AR52" s="35"/>
      <c r="AS52" s="8">
        <f t="shared" si="10"/>
        <v>0.2</v>
      </c>
      <c r="AT52" s="35"/>
    </row>
    <row r="53" spans="1:46">
      <c r="A53" s="12">
        <v>51</v>
      </c>
      <c r="B53" s="8">
        <f t="shared" si="11"/>
        <v>1.2</v>
      </c>
      <c r="C53" s="8">
        <f t="shared" si="12"/>
        <v>1.5</v>
      </c>
      <c r="D53" s="8">
        <f t="shared" si="37"/>
        <v>2</v>
      </c>
      <c r="E53" s="8">
        <f t="shared" si="37"/>
        <v>2.5</v>
      </c>
      <c r="F53" s="8">
        <f t="shared" si="37"/>
        <v>0.5</v>
      </c>
      <c r="G53" s="8">
        <f t="shared" si="37"/>
        <v>0.3</v>
      </c>
      <c r="H53" s="8">
        <f t="shared" si="37"/>
        <v>0.6</v>
      </c>
      <c r="I53" s="8">
        <f t="shared" si="37"/>
        <v>0.3</v>
      </c>
      <c r="J53" s="8">
        <f t="shared" si="37"/>
        <v>0.8</v>
      </c>
      <c r="K53" s="8">
        <f t="shared" si="14"/>
        <v>1.2</v>
      </c>
      <c r="L53" s="35"/>
      <c r="M53" s="8">
        <f t="shared" si="15"/>
        <v>1.5</v>
      </c>
      <c r="N53" s="8">
        <f t="shared" si="16"/>
        <v>2</v>
      </c>
      <c r="O53" s="79">
        <f t="shared" si="38"/>
        <v>2.5</v>
      </c>
      <c r="P53" s="8">
        <f t="shared" si="38"/>
        <v>3</v>
      </c>
      <c r="Q53" s="8">
        <f t="shared" si="38"/>
        <v>3.5</v>
      </c>
      <c r="R53" s="11">
        <f t="shared" si="38"/>
        <v>0.75</v>
      </c>
      <c r="S53" s="11">
        <f t="shared" si="18"/>
        <v>0.3</v>
      </c>
      <c r="T53" s="11">
        <f t="shared" si="19"/>
        <v>0.3</v>
      </c>
      <c r="U53" s="29">
        <f t="shared" si="20"/>
        <v>0.05</v>
      </c>
      <c r="V53" s="19">
        <f t="shared" si="39"/>
        <v>0.2</v>
      </c>
      <c r="W53" s="19">
        <f t="shared" si="39"/>
        <v>0.3</v>
      </c>
      <c r="X53" s="19">
        <f t="shared" si="39"/>
        <v>0.5</v>
      </c>
      <c r="Y53" s="19">
        <f t="shared" si="39"/>
        <v>0.8</v>
      </c>
      <c r="Z53" s="19">
        <f t="shared" si="39"/>
        <v>1.2</v>
      </c>
      <c r="AA53" s="35"/>
      <c r="AB53" s="8">
        <f t="shared" si="22"/>
        <v>1</v>
      </c>
      <c r="AC53" s="8">
        <f t="shared" si="23"/>
        <v>1.2</v>
      </c>
      <c r="AD53" s="8">
        <f t="shared" si="24"/>
        <v>1.5</v>
      </c>
      <c r="AE53" s="8">
        <f t="shared" si="25"/>
        <v>2</v>
      </c>
      <c r="AF53" s="8">
        <f t="shared" si="26"/>
        <v>2.5</v>
      </c>
      <c r="AG53" s="8">
        <f t="shared" si="27"/>
        <v>0.5</v>
      </c>
      <c r="AH53" s="8">
        <f t="shared" si="28"/>
        <v>0.2</v>
      </c>
      <c r="AI53" s="8">
        <f t="shared" si="29"/>
        <v>0.2</v>
      </c>
      <c r="AJ53" s="8">
        <f t="shared" si="30"/>
        <v>0.03</v>
      </c>
      <c r="AK53" s="87"/>
      <c r="AL53" s="8">
        <f t="shared" si="31"/>
        <v>1.2</v>
      </c>
      <c r="AM53" s="91">
        <f t="shared" si="32"/>
        <v>0.2</v>
      </c>
      <c r="AN53" s="91">
        <f t="shared" si="33"/>
        <v>0.3</v>
      </c>
      <c r="AO53" s="91">
        <f t="shared" si="34"/>
        <v>0.5</v>
      </c>
      <c r="AP53" s="91">
        <f t="shared" si="35"/>
        <v>0.8</v>
      </c>
      <c r="AQ53" s="91">
        <f t="shared" si="36"/>
        <v>1.2</v>
      </c>
      <c r="AR53" s="35"/>
      <c r="AS53" s="8">
        <f t="shared" si="10"/>
        <v>0.2</v>
      </c>
      <c r="AT53" s="35"/>
    </row>
    <row r="54" spans="1:46">
      <c r="A54" s="12">
        <v>52</v>
      </c>
      <c r="B54" s="8">
        <f t="shared" si="11"/>
        <v>1.2</v>
      </c>
      <c r="C54" s="8">
        <f t="shared" si="12"/>
        <v>1.5</v>
      </c>
      <c r="D54" s="8">
        <f t="shared" si="37"/>
        <v>2</v>
      </c>
      <c r="E54" s="8">
        <f t="shared" si="37"/>
        <v>2.5</v>
      </c>
      <c r="F54" s="8">
        <f t="shared" si="37"/>
        <v>0.5</v>
      </c>
      <c r="G54" s="8">
        <f t="shared" si="37"/>
        <v>0.3</v>
      </c>
      <c r="H54" s="8">
        <f t="shared" si="37"/>
        <v>0.6</v>
      </c>
      <c r="I54" s="8">
        <f t="shared" si="37"/>
        <v>0.3</v>
      </c>
      <c r="J54" s="8">
        <f t="shared" si="37"/>
        <v>0.8</v>
      </c>
      <c r="K54" s="8">
        <f t="shared" si="14"/>
        <v>1.2</v>
      </c>
      <c r="L54" s="35"/>
      <c r="M54" s="8">
        <f t="shared" si="15"/>
        <v>1.5</v>
      </c>
      <c r="N54" s="8">
        <f t="shared" si="16"/>
        <v>2</v>
      </c>
      <c r="O54" s="79">
        <f t="shared" si="38"/>
        <v>2.5</v>
      </c>
      <c r="P54" s="8">
        <f t="shared" si="38"/>
        <v>3</v>
      </c>
      <c r="Q54" s="8">
        <f t="shared" si="38"/>
        <v>3.5</v>
      </c>
      <c r="R54" s="11">
        <f t="shared" si="38"/>
        <v>0.75</v>
      </c>
      <c r="S54" s="11">
        <f t="shared" si="18"/>
        <v>0.3</v>
      </c>
      <c r="T54" s="11">
        <f t="shared" si="19"/>
        <v>0.3</v>
      </c>
      <c r="U54" s="29">
        <f t="shared" si="20"/>
        <v>0.05</v>
      </c>
      <c r="V54" s="19">
        <f t="shared" si="39"/>
        <v>0.2</v>
      </c>
      <c r="W54" s="19">
        <f t="shared" si="39"/>
        <v>0.3</v>
      </c>
      <c r="X54" s="19">
        <f t="shared" si="39"/>
        <v>0.5</v>
      </c>
      <c r="Y54" s="19">
        <f t="shared" si="39"/>
        <v>0.8</v>
      </c>
      <c r="Z54" s="19">
        <f t="shared" si="39"/>
        <v>1.2</v>
      </c>
      <c r="AA54" s="35"/>
      <c r="AB54" s="8">
        <f t="shared" si="22"/>
        <v>1</v>
      </c>
      <c r="AC54" s="8">
        <f t="shared" si="23"/>
        <v>1.2</v>
      </c>
      <c r="AD54" s="8">
        <f t="shared" si="24"/>
        <v>1.5</v>
      </c>
      <c r="AE54" s="8">
        <f t="shared" si="25"/>
        <v>2</v>
      </c>
      <c r="AF54" s="8">
        <f t="shared" si="26"/>
        <v>2.5</v>
      </c>
      <c r="AG54" s="8">
        <f t="shared" si="27"/>
        <v>0.5</v>
      </c>
      <c r="AH54" s="8">
        <f t="shared" si="28"/>
        <v>0.2</v>
      </c>
      <c r="AI54" s="8">
        <f t="shared" si="29"/>
        <v>0.2</v>
      </c>
      <c r="AJ54" s="8">
        <f t="shared" si="30"/>
        <v>0.03</v>
      </c>
      <c r="AK54" s="87"/>
      <c r="AL54" s="8">
        <f t="shared" si="31"/>
        <v>1.2</v>
      </c>
      <c r="AM54" s="91">
        <f t="shared" si="32"/>
        <v>0.2</v>
      </c>
      <c r="AN54" s="91">
        <f t="shared" si="33"/>
        <v>0.3</v>
      </c>
      <c r="AO54" s="91">
        <f t="shared" si="34"/>
        <v>0.5</v>
      </c>
      <c r="AP54" s="91">
        <f t="shared" si="35"/>
        <v>0.8</v>
      </c>
      <c r="AQ54" s="91">
        <f t="shared" si="36"/>
        <v>1.2</v>
      </c>
      <c r="AR54" s="35"/>
      <c r="AS54" s="8">
        <f t="shared" si="10"/>
        <v>0.2</v>
      </c>
      <c r="AT54" s="35"/>
    </row>
    <row r="55" spans="1:46">
      <c r="A55" s="12">
        <v>53</v>
      </c>
      <c r="B55" s="8">
        <f t="shared" si="11"/>
        <v>1.2</v>
      </c>
      <c r="C55" s="8">
        <f t="shared" si="12"/>
        <v>1.5</v>
      </c>
      <c r="D55" s="8">
        <f t="shared" si="37"/>
        <v>2</v>
      </c>
      <c r="E55" s="8">
        <f t="shared" si="37"/>
        <v>2.5</v>
      </c>
      <c r="F55" s="8">
        <f t="shared" si="37"/>
        <v>0.5</v>
      </c>
      <c r="G55" s="8">
        <f t="shared" si="37"/>
        <v>0.3</v>
      </c>
      <c r="H55" s="8">
        <f t="shared" si="37"/>
        <v>0.6</v>
      </c>
      <c r="I55" s="8">
        <f t="shared" si="37"/>
        <v>0.3</v>
      </c>
      <c r="J55" s="8">
        <f t="shared" si="37"/>
        <v>0.8</v>
      </c>
      <c r="K55" s="8">
        <f t="shared" si="14"/>
        <v>1.2</v>
      </c>
      <c r="L55" s="35"/>
      <c r="M55" s="8">
        <f t="shared" si="15"/>
        <v>1.5</v>
      </c>
      <c r="N55" s="8">
        <f t="shared" si="16"/>
        <v>2</v>
      </c>
      <c r="O55" s="79">
        <f t="shared" si="38"/>
        <v>2.5</v>
      </c>
      <c r="P55" s="8">
        <f t="shared" si="38"/>
        <v>3</v>
      </c>
      <c r="Q55" s="8">
        <f t="shared" si="38"/>
        <v>3.5</v>
      </c>
      <c r="R55" s="11">
        <f t="shared" si="38"/>
        <v>0.75</v>
      </c>
      <c r="S55" s="11">
        <f t="shared" si="18"/>
        <v>0.3</v>
      </c>
      <c r="T55" s="11">
        <f t="shared" si="19"/>
        <v>0.3</v>
      </c>
      <c r="U55" s="29">
        <f t="shared" si="20"/>
        <v>0.05</v>
      </c>
      <c r="V55" s="19">
        <f t="shared" si="39"/>
        <v>0.2</v>
      </c>
      <c r="W55" s="19">
        <f t="shared" si="39"/>
        <v>0.3</v>
      </c>
      <c r="X55" s="19">
        <f t="shared" si="39"/>
        <v>0.5</v>
      </c>
      <c r="Y55" s="19">
        <f t="shared" si="39"/>
        <v>0.8</v>
      </c>
      <c r="Z55" s="19">
        <f t="shared" si="39"/>
        <v>1.2</v>
      </c>
      <c r="AA55" s="35"/>
      <c r="AB55" s="8">
        <f t="shared" si="22"/>
        <v>1</v>
      </c>
      <c r="AC55" s="8">
        <f t="shared" si="23"/>
        <v>1.2</v>
      </c>
      <c r="AD55" s="8">
        <f t="shared" si="24"/>
        <v>1.5</v>
      </c>
      <c r="AE55" s="8">
        <f t="shared" si="25"/>
        <v>2</v>
      </c>
      <c r="AF55" s="8">
        <f t="shared" si="26"/>
        <v>2.5</v>
      </c>
      <c r="AG55" s="8">
        <f t="shared" si="27"/>
        <v>0.5</v>
      </c>
      <c r="AH55" s="8">
        <f t="shared" si="28"/>
        <v>0.2</v>
      </c>
      <c r="AI55" s="8">
        <f t="shared" si="29"/>
        <v>0.2</v>
      </c>
      <c r="AJ55" s="8">
        <f t="shared" si="30"/>
        <v>0.03</v>
      </c>
      <c r="AK55" s="87"/>
      <c r="AL55" s="8">
        <f t="shared" si="31"/>
        <v>1.2</v>
      </c>
      <c r="AM55" s="91">
        <f t="shared" si="32"/>
        <v>0.2</v>
      </c>
      <c r="AN55" s="91">
        <f t="shared" si="33"/>
        <v>0.3</v>
      </c>
      <c r="AO55" s="91">
        <f t="shared" si="34"/>
        <v>0.5</v>
      </c>
      <c r="AP55" s="91">
        <f t="shared" si="35"/>
        <v>0.8</v>
      </c>
      <c r="AQ55" s="91">
        <f t="shared" si="36"/>
        <v>1.2</v>
      </c>
      <c r="AR55" s="35"/>
      <c r="AS55" s="8">
        <f t="shared" si="10"/>
        <v>0.2</v>
      </c>
      <c r="AT55" s="35"/>
    </row>
    <row r="56" spans="1:46">
      <c r="A56" s="12">
        <v>54</v>
      </c>
      <c r="B56" s="8">
        <f t="shared" si="11"/>
        <v>1.2</v>
      </c>
      <c r="C56" s="8">
        <f t="shared" si="12"/>
        <v>1.5</v>
      </c>
      <c r="D56" s="8">
        <f t="shared" si="37"/>
        <v>2</v>
      </c>
      <c r="E56" s="8">
        <f t="shared" si="37"/>
        <v>2.5</v>
      </c>
      <c r="F56" s="8">
        <f t="shared" si="37"/>
        <v>0.5</v>
      </c>
      <c r="G56" s="8">
        <f t="shared" si="37"/>
        <v>0.3</v>
      </c>
      <c r="H56" s="8">
        <f t="shared" si="37"/>
        <v>0.6</v>
      </c>
      <c r="I56" s="8">
        <f t="shared" si="37"/>
        <v>0.3</v>
      </c>
      <c r="J56" s="8">
        <f t="shared" si="37"/>
        <v>0.8</v>
      </c>
      <c r="K56" s="8">
        <f t="shared" si="14"/>
        <v>1.2</v>
      </c>
      <c r="L56" s="35"/>
      <c r="M56" s="8">
        <f t="shared" si="15"/>
        <v>1.5</v>
      </c>
      <c r="N56" s="8">
        <f t="shared" si="16"/>
        <v>2</v>
      </c>
      <c r="O56" s="79">
        <f t="shared" si="38"/>
        <v>2.5</v>
      </c>
      <c r="P56" s="8">
        <f t="shared" si="38"/>
        <v>3</v>
      </c>
      <c r="Q56" s="8">
        <f t="shared" si="38"/>
        <v>3.5</v>
      </c>
      <c r="R56" s="11">
        <f t="shared" si="38"/>
        <v>0.75</v>
      </c>
      <c r="S56" s="11">
        <f t="shared" si="18"/>
        <v>0.3</v>
      </c>
      <c r="T56" s="11">
        <f t="shared" si="19"/>
        <v>0.3</v>
      </c>
      <c r="U56" s="29">
        <f t="shared" si="20"/>
        <v>0.05</v>
      </c>
      <c r="V56" s="19">
        <f t="shared" si="39"/>
        <v>0.2</v>
      </c>
      <c r="W56" s="19">
        <f t="shared" si="39"/>
        <v>0.3</v>
      </c>
      <c r="X56" s="19">
        <f t="shared" si="39"/>
        <v>0.5</v>
      </c>
      <c r="Y56" s="19">
        <f t="shared" si="39"/>
        <v>0.8</v>
      </c>
      <c r="Z56" s="19">
        <f t="shared" si="39"/>
        <v>1.2</v>
      </c>
      <c r="AA56" s="35"/>
      <c r="AB56" s="8">
        <f t="shared" si="22"/>
        <v>1</v>
      </c>
      <c r="AC56" s="8">
        <f t="shared" si="23"/>
        <v>1.2</v>
      </c>
      <c r="AD56" s="8">
        <f t="shared" si="24"/>
        <v>1.5</v>
      </c>
      <c r="AE56" s="8">
        <f t="shared" si="25"/>
        <v>2</v>
      </c>
      <c r="AF56" s="8">
        <f t="shared" si="26"/>
        <v>2.5</v>
      </c>
      <c r="AG56" s="8">
        <f t="shared" si="27"/>
        <v>0.5</v>
      </c>
      <c r="AH56" s="8">
        <f t="shared" si="28"/>
        <v>0.2</v>
      </c>
      <c r="AI56" s="8">
        <f t="shared" si="29"/>
        <v>0.2</v>
      </c>
      <c r="AJ56" s="8">
        <f t="shared" si="30"/>
        <v>0.03</v>
      </c>
      <c r="AK56" s="87"/>
      <c r="AL56" s="8">
        <f t="shared" si="31"/>
        <v>1.2</v>
      </c>
      <c r="AM56" s="91">
        <f t="shared" si="32"/>
        <v>0.2</v>
      </c>
      <c r="AN56" s="91">
        <f t="shared" si="33"/>
        <v>0.3</v>
      </c>
      <c r="AO56" s="91">
        <f t="shared" si="34"/>
        <v>0.5</v>
      </c>
      <c r="AP56" s="91">
        <f t="shared" si="35"/>
        <v>0.8</v>
      </c>
      <c r="AQ56" s="91">
        <f t="shared" si="36"/>
        <v>1.2</v>
      </c>
      <c r="AR56" s="35"/>
      <c r="AS56" s="8">
        <f t="shared" si="10"/>
        <v>0.2</v>
      </c>
      <c r="AT56" s="35"/>
    </row>
    <row r="57" spans="1:46">
      <c r="A57" s="12">
        <v>55</v>
      </c>
      <c r="B57" s="8">
        <f t="shared" si="11"/>
        <v>1.2</v>
      </c>
      <c r="C57" s="8">
        <f t="shared" si="12"/>
        <v>1.5</v>
      </c>
      <c r="D57" s="8">
        <f t="shared" si="37"/>
        <v>2</v>
      </c>
      <c r="E57" s="8">
        <f t="shared" si="37"/>
        <v>2.5</v>
      </c>
      <c r="F57" s="8">
        <f t="shared" si="37"/>
        <v>0.5</v>
      </c>
      <c r="G57" s="8">
        <f t="shared" si="37"/>
        <v>0.3</v>
      </c>
      <c r="H57" s="8">
        <f t="shared" si="37"/>
        <v>0.6</v>
      </c>
      <c r="I57" s="8">
        <f t="shared" si="37"/>
        <v>0.3</v>
      </c>
      <c r="J57" s="8">
        <f t="shared" si="37"/>
        <v>0.8</v>
      </c>
      <c r="K57" s="8">
        <f t="shared" si="14"/>
        <v>1.2</v>
      </c>
      <c r="L57" s="35"/>
      <c r="M57" s="8">
        <f t="shared" si="15"/>
        <v>1.5</v>
      </c>
      <c r="N57" s="8">
        <f t="shared" si="16"/>
        <v>2</v>
      </c>
      <c r="O57" s="79">
        <f t="shared" si="38"/>
        <v>2.5</v>
      </c>
      <c r="P57" s="8">
        <f t="shared" si="38"/>
        <v>3</v>
      </c>
      <c r="Q57" s="8">
        <f t="shared" si="38"/>
        <v>3.5</v>
      </c>
      <c r="R57" s="11">
        <f t="shared" si="38"/>
        <v>0.75</v>
      </c>
      <c r="S57" s="11">
        <f t="shared" si="18"/>
        <v>0.3</v>
      </c>
      <c r="T57" s="11">
        <f t="shared" si="19"/>
        <v>0.3</v>
      </c>
      <c r="U57" s="29">
        <f t="shared" si="20"/>
        <v>0.05</v>
      </c>
      <c r="V57" s="19">
        <f t="shared" si="39"/>
        <v>0.2</v>
      </c>
      <c r="W57" s="19">
        <f t="shared" si="39"/>
        <v>0.3</v>
      </c>
      <c r="X57" s="19">
        <f t="shared" si="39"/>
        <v>0.5</v>
      </c>
      <c r="Y57" s="19">
        <f t="shared" si="39"/>
        <v>0.8</v>
      </c>
      <c r="Z57" s="19">
        <f t="shared" si="39"/>
        <v>1.2</v>
      </c>
      <c r="AA57" s="35"/>
      <c r="AB57" s="8">
        <f t="shared" si="22"/>
        <v>1</v>
      </c>
      <c r="AC57" s="8">
        <f t="shared" si="23"/>
        <v>1.2</v>
      </c>
      <c r="AD57" s="8">
        <f t="shared" si="24"/>
        <v>1.5</v>
      </c>
      <c r="AE57" s="8">
        <f t="shared" si="25"/>
        <v>2</v>
      </c>
      <c r="AF57" s="8">
        <f t="shared" si="26"/>
        <v>2.5</v>
      </c>
      <c r="AG57" s="8">
        <f t="shared" si="27"/>
        <v>0.5</v>
      </c>
      <c r="AH57" s="8">
        <f t="shared" si="28"/>
        <v>0.2</v>
      </c>
      <c r="AI57" s="8">
        <f t="shared" si="29"/>
        <v>0.2</v>
      </c>
      <c r="AJ57" s="8">
        <f t="shared" si="30"/>
        <v>0.03</v>
      </c>
      <c r="AK57" s="87"/>
      <c r="AL57" s="8">
        <f t="shared" si="31"/>
        <v>1.2</v>
      </c>
      <c r="AM57" s="91">
        <f t="shared" si="32"/>
        <v>0.2</v>
      </c>
      <c r="AN57" s="91">
        <f t="shared" si="33"/>
        <v>0.3</v>
      </c>
      <c r="AO57" s="91">
        <f t="shared" si="34"/>
        <v>0.5</v>
      </c>
      <c r="AP57" s="91">
        <f t="shared" si="35"/>
        <v>0.8</v>
      </c>
      <c r="AQ57" s="91">
        <f t="shared" si="36"/>
        <v>1.2</v>
      </c>
      <c r="AR57" s="35"/>
      <c r="AS57" s="8">
        <f t="shared" si="10"/>
        <v>0.2</v>
      </c>
      <c r="AT57" s="35"/>
    </row>
    <row r="58" spans="1:46">
      <c r="A58" s="12">
        <v>56</v>
      </c>
      <c r="B58" s="8">
        <f t="shared" si="11"/>
        <v>1.2</v>
      </c>
      <c r="C58" s="8">
        <f t="shared" si="12"/>
        <v>1.5</v>
      </c>
      <c r="D58" s="8">
        <f t="shared" si="37"/>
        <v>2</v>
      </c>
      <c r="E58" s="8">
        <f t="shared" si="37"/>
        <v>2.5</v>
      </c>
      <c r="F58" s="8">
        <f t="shared" si="37"/>
        <v>0.5</v>
      </c>
      <c r="G58" s="8">
        <f t="shared" si="37"/>
        <v>0.3</v>
      </c>
      <c r="H58" s="8">
        <f t="shared" si="37"/>
        <v>0.6</v>
      </c>
      <c r="I58" s="8">
        <f t="shared" si="37"/>
        <v>0.3</v>
      </c>
      <c r="J58" s="8">
        <f t="shared" si="37"/>
        <v>0.8</v>
      </c>
      <c r="K58" s="8">
        <f t="shared" si="14"/>
        <v>1.2</v>
      </c>
      <c r="L58" s="35"/>
      <c r="M58" s="8">
        <f t="shared" si="15"/>
        <v>1.5</v>
      </c>
      <c r="N58" s="8">
        <f t="shared" si="16"/>
        <v>2</v>
      </c>
      <c r="O58" s="79">
        <f t="shared" si="38"/>
        <v>2.5</v>
      </c>
      <c r="P58" s="8">
        <f t="shared" si="38"/>
        <v>3</v>
      </c>
      <c r="Q58" s="8">
        <f t="shared" si="38"/>
        <v>3.5</v>
      </c>
      <c r="R58" s="11">
        <f t="shared" si="38"/>
        <v>0.75</v>
      </c>
      <c r="S58" s="11">
        <f t="shared" si="18"/>
        <v>0.3</v>
      </c>
      <c r="T58" s="11">
        <f t="shared" si="19"/>
        <v>0.3</v>
      </c>
      <c r="U58" s="29">
        <f t="shared" si="20"/>
        <v>0.05</v>
      </c>
      <c r="V58" s="19">
        <f t="shared" si="39"/>
        <v>0.2</v>
      </c>
      <c r="W58" s="19">
        <f t="shared" si="39"/>
        <v>0.3</v>
      </c>
      <c r="X58" s="19">
        <f t="shared" si="39"/>
        <v>0.5</v>
      </c>
      <c r="Y58" s="19">
        <f t="shared" si="39"/>
        <v>0.8</v>
      </c>
      <c r="Z58" s="19">
        <f t="shared" si="39"/>
        <v>1.2</v>
      </c>
      <c r="AA58" s="35"/>
      <c r="AB58" s="8">
        <f t="shared" si="22"/>
        <v>1</v>
      </c>
      <c r="AC58" s="8">
        <f t="shared" si="23"/>
        <v>1.2</v>
      </c>
      <c r="AD58" s="8">
        <f t="shared" si="24"/>
        <v>1.5</v>
      </c>
      <c r="AE58" s="8">
        <f t="shared" si="25"/>
        <v>2</v>
      </c>
      <c r="AF58" s="8">
        <f t="shared" si="26"/>
        <v>2.5</v>
      </c>
      <c r="AG58" s="8">
        <f t="shared" si="27"/>
        <v>0.5</v>
      </c>
      <c r="AH58" s="8">
        <f t="shared" si="28"/>
        <v>0.2</v>
      </c>
      <c r="AI58" s="8">
        <f t="shared" si="29"/>
        <v>0.2</v>
      </c>
      <c r="AJ58" s="8">
        <f t="shared" si="30"/>
        <v>0.03</v>
      </c>
      <c r="AK58" s="87"/>
      <c r="AL58" s="8">
        <f t="shared" si="31"/>
        <v>1.2</v>
      </c>
      <c r="AM58" s="91">
        <f t="shared" si="32"/>
        <v>0.2</v>
      </c>
      <c r="AN58" s="91">
        <f t="shared" si="33"/>
        <v>0.3</v>
      </c>
      <c r="AO58" s="91">
        <f t="shared" si="34"/>
        <v>0.5</v>
      </c>
      <c r="AP58" s="91">
        <f t="shared" si="35"/>
        <v>0.8</v>
      </c>
      <c r="AQ58" s="91">
        <f t="shared" si="36"/>
        <v>1.2</v>
      </c>
      <c r="AR58" s="35"/>
      <c r="AS58" s="8">
        <f t="shared" si="10"/>
        <v>0.2</v>
      </c>
      <c r="AT58" s="35"/>
    </row>
    <row r="59" spans="1:46">
      <c r="A59" s="12">
        <v>57</v>
      </c>
      <c r="B59" s="8">
        <f t="shared" si="11"/>
        <v>1.2</v>
      </c>
      <c r="C59" s="8">
        <f t="shared" si="12"/>
        <v>1.5</v>
      </c>
      <c r="D59" s="8">
        <f t="shared" si="37"/>
        <v>2</v>
      </c>
      <c r="E59" s="8">
        <f t="shared" si="37"/>
        <v>2.5</v>
      </c>
      <c r="F59" s="8">
        <f t="shared" si="37"/>
        <v>0.5</v>
      </c>
      <c r="G59" s="8">
        <f t="shared" si="37"/>
        <v>0.3</v>
      </c>
      <c r="H59" s="8">
        <f t="shared" si="37"/>
        <v>0.6</v>
      </c>
      <c r="I59" s="8">
        <f t="shared" si="37"/>
        <v>0.3</v>
      </c>
      <c r="J59" s="8">
        <f t="shared" si="37"/>
        <v>0.8</v>
      </c>
      <c r="K59" s="8">
        <f t="shared" si="14"/>
        <v>1.2</v>
      </c>
      <c r="L59" s="35"/>
      <c r="M59" s="8">
        <f t="shared" si="15"/>
        <v>1.5</v>
      </c>
      <c r="N59" s="8">
        <f t="shared" si="16"/>
        <v>2</v>
      </c>
      <c r="O59" s="79">
        <f t="shared" si="38"/>
        <v>2.5</v>
      </c>
      <c r="P59" s="8">
        <f t="shared" si="38"/>
        <v>3</v>
      </c>
      <c r="Q59" s="8">
        <f t="shared" si="38"/>
        <v>3.5</v>
      </c>
      <c r="R59" s="11">
        <f t="shared" si="38"/>
        <v>0.75</v>
      </c>
      <c r="S59" s="11">
        <f t="shared" si="18"/>
        <v>0.3</v>
      </c>
      <c r="T59" s="11">
        <f t="shared" si="19"/>
        <v>0.3</v>
      </c>
      <c r="U59" s="29">
        <f t="shared" si="20"/>
        <v>0.05</v>
      </c>
      <c r="V59" s="19">
        <f t="shared" si="39"/>
        <v>0.2</v>
      </c>
      <c r="W59" s="19">
        <f t="shared" si="39"/>
        <v>0.3</v>
      </c>
      <c r="X59" s="19">
        <f t="shared" si="39"/>
        <v>0.5</v>
      </c>
      <c r="Y59" s="19">
        <f t="shared" si="39"/>
        <v>0.8</v>
      </c>
      <c r="Z59" s="19">
        <f t="shared" si="39"/>
        <v>1.2</v>
      </c>
      <c r="AA59" s="35"/>
      <c r="AB59" s="8">
        <f t="shared" si="22"/>
        <v>1</v>
      </c>
      <c r="AC59" s="8">
        <f t="shared" si="23"/>
        <v>1.2</v>
      </c>
      <c r="AD59" s="8">
        <f t="shared" si="24"/>
        <v>1.5</v>
      </c>
      <c r="AE59" s="8">
        <f t="shared" si="25"/>
        <v>2</v>
      </c>
      <c r="AF59" s="8">
        <f t="shared" si="26"/>
        <v>2.5</v>
      </c>
      <c r="AG59" s="8">
        <f t="shared" si="27"/>
        <v>0.5</v>
      </c>
      <c r="AH59" s="8">
        <f t="shared" si="28"/>
        <v>0.2</v>
      </c>
      <c r="AI59" s="8">
        <f t="shared" si="29"/>
        <v>0.2</v>
      </c>
      <c r="AJ59" s="8">
        <f t="shared" si="30"/>
        <v>0.03</v>
      </c>
      <c r="AK59" s="87"/>
      <c r="AL59" s="8">
        <f t="shared" si="31"/>
        <v>1.2</v>
      </c>
      <c r="AM59" s="91">
        <f t="shared" si="32"/>
        <v>0.2</v>
      </c>
      <c r="AN59" s="91">
        <f t="shared" si="33"/>
        <v>0.3</v>
      </c>
      <c r="AO59" s="91">
        <f t="shared" si="34"/>
        <v>0.5</v>
      </c>
      <c r="AP59" s="91">
        <f t="shared" si="35"/>
        <v>0.8</v>
      </c>
      <c r="AQ59" s="91">
        <f t="shared" si="36"/>
        <v>1.2</v>
      </c>
      <c r="AR59" s="35"/>
      <c r="AS59" s="8">
        <f t="shared" si="10"/>
        <v>0.2</v>
      </c>
      <c r="AT59" s="35"/>
    </row>
    <row r="60" spans="1:46">
      <c r="A60" s="12">
        <v>58</v>
      </c>
      <c r="B60" s="8">
        <f t="shared" si="11"/>
        <v>1.2</v>
      </c>
      <c r="C60" s="8">
        <f t="shared" si="12"/>
        <v>1.5</v>
      </c>
      <c r="D60" s="8">
        <f t="shared" si="37"/>
        <v>2</v>
      </c>
      <c r="E60" s="8">
        <f t="shared" si="37"/>
        <v>2.5</v>
      </c>
      <c r="F60" s="8">
        <f t="shared" si="37"/>
        <v>0.5</v>
      </c>
      <c r="G60" s="8">
        <f t="shared" si="37"/>
        <v>0.3</v>
      </c>
      <c r="H60" s="8">
        <f t="shared" si="37"/>
        <v>0.6</v>
      </c>
      <c r="I60" s="8">
        <f t="shared" si="37"/>
        <v>0.3</v>
      </c>
      <c r="J60" s="8">
        <f t="shared" si="37"/>
        <v>0.8</v>
      </c>
      <c r="K60" s="8">
        <f t="shared" si="14"/>
        <v>1.2</v>
      </c>
      <c r="L60" s="35"/>
      <c r="M60" s="8">
        <f t="shared" si="15"/>
        <v>1.5</v>
      </c>
      <c r="N60" s="8">
        <f t="shared" si="16"/>
        <v>2</v>
      </c>
      <c r="O60" s="79">
        <f t="shared" si="38"/>
        <v>2.5</v>
      </c>
      <c r="P60" s="8">
        <f t="shared" si="38"/>
        <v>3</v>
      </c>
      <c r="Q60" s="8">
        <f t="shared" si="38"/>
        <v>3.5</v>
      </c>
      <c r="R60" s="11">
        <f t="shared" si="38"/>
        <v>0.75</v>
      </c>
      <c r="S60" s="11">
        <f t="shared" si="18"/>
        <v>0.3</v>
      </c>
      <c r="T60" s="11">
        <f t="shared" si="19"/>
        <v>0.3</v>
      </c>
      <c r="U60" s="29">
        <f t="shared" si="20"/>
        <v>0.05</v>
      </c>
      <c r="V60" s="19">
        <f t="shared" si="39"/>
        <v>0.2</v>
      </c>
      <c r="W60" s="19">
        <f t="shared" si="39"/>
        <v>0.3</v>
      </c>
      <c r="X60" s="19">
        <f t="shared" si="39"/>
        <v>0.5</v>
      </c>
      <c r="Y60" s="19">
        <f t="shared" si="39"/>
        <v>0.8</v>
      </c>
      <c r="Z60" s="19">
        <f t="shared" si="39"/>
        <v>1.2</v>
      </c>
      <c r="AA60" s="35"/>
      <c r="AB60" s="8">
        <f t="shared" si="22"/>
        <v>1</v>
      </c>
      <c r="AC60" s="8">
        <f t="shared" si="23"/>
        <v>1.2</v>
      </c>
      <c r="AD60" s="8">
        <f t="shared" si="24"/>
        <v>1.5</v>
      </c>
      <c r="AE60" s="8">
        <f t="shared" si="25"/>
        <v>2</v>
      </c>
      <c r="AF60" s="8">
        <f t="shared" si="26"/>
        <v>2.5</v>
      </c>
      <c r="AG60" s="8">
        <f t="shared" si="27"/>
        <v>0.5</v>
      </c>
      <c r="AH60" s="8">
        <f t="shared" si="28"/>
        <v>0.2</v>
      </c>
      <c r="AI60" s="8">
        <f t="shared" si="29"/>
        <v>0.2</v>
      </c>
      <c r="AJ60" s="8">
        <f t="shared" si="30"/>
        <v>0.03</v>
      </c>
      <c r="AK60" s="87"/>
      <c r="AL60" s="8">
        <f t="shared" si="31"/>
        <v>1.2</v>
      </c>
      <c r="AM60" s="91">
        <f t="shared" si="32"/>
        <v>0.2</v>
      </c>
      <c r="AN60" s="91">
        <f t="shared" si="33"/>
        <v>0.3</v>
      </c>
      <c r="AO60" s="91">
        <f t="shared" si="34"/>
        <v>0.5</v>
      </c>
      <c r="AP60" s="91">
        <f t="shared" si="35"/>
        <v>0.8</v>
      </c>
      <c r="AQ60" s="91">
        <f t="shared" si="36"/>
        <v>1.2</v>
      </c>
      <c r="AR60" s="35"/>
      <c r="AS60" s="8">
        <f t="shared" si="10"/>
        <v>0.2</v>
      </c>
      <c r="AT60" s="35"/>
    </row>
    <row r="61" spans="1:46">
      <c r="A61" s="12">
        <v>59</v>
      </c>
      <c r="B61" s="8">
        <f t="shared" si="11"/>
        <v>1.2</v>
      </c>
      <c r="C61" s="8">
        <f t="shared" si="12"/>
        <v>1.5</v>
      </c>
      <c r="D61" s="8">
        <f t="shared" si="37"/>
        <v>2</v>
      </c>
      <c r="E61" s="8">
        <f t="shared" si="37"/>
        <v>2.5</v>
      </c>
      <c r="F61" s="8">
        <f t="shared" si="37"/>
        <v>0.5</v>
      </c>
      <c r="G61" s="8">
        <f t="shared" si="37"/>
        <v>0.3</v>
      </c>
      <c r="H61" s="8">
        <f t="shared" si="37"/>
        <v>0.6</v>
      </c>
      <c r="I61" s="8">
        <f t="shared" si="37"/>
        <v>0.3</v>
      </c>
      <c r="J61" s="8">
        <f t="shared" si="37"/>
        <v>0.8</v>
      </c>
      <c r="K61" s="8">
        <f t="shared" si="14"/>
        <v>1.2</v>
      </c>
      <c r="L61" s="35"/>
      <c r="M61" s="8">
        <f t="shared" si="15"/>
        <v>1.5</v>
      </c>
      <c r="N61" s="8">
        <f t="shared" si="16"/>
        <v>2</v>
      </c>
      <c r="O61" s="79">
        <f t="shared" si="38"/>
        <v>2.5</v>
      </c>
      <c r="P61" s="8">
        <f t="shared" si="38"/>
        <v>3</v>
      </c>
      <c r="Q61" s="8">
        <f t="shared" si="38"/>
        <v>3.5</v>
      </c>
      <c r="R61" s="11">
        <f t="shared" si="38"/>
        <v>0.75</v>
      </c>
      <c r="S61" s="11">
        <f t="shared" si="18"/>
        <v>0.3</v>
      </c>
      <c r="T61" s="11">
        <f t="shared" si="19"/>
        <v>0.3</v>
      </c>
      <c r="U61" s="29">
        <f t="shared" si="20"/>
        <v>0.05</v>
      </c>
      <c r="V61" s="19">
        <f t="shared" si="39"/>
        <v>0.2</v>
      </c>
      <c r="W61" s="19">
        <f t="shared" si="39"/>
        <v>0.3</v>
      </c>
      <c r="X61" s="19">
        <f t="shared" si="39"/>
        <v>0.5</v>
      </c>
      <c r="Y61" s="19">
        <f t="shared" si="39"/>
        <v>0.8</v>
      </c>
      <c r="Z61" s="19">
        <f t="shared" si="39"/>
        <v>1.2</v>
      </c>
      <c r="AA61" s="35"/>
      <c r="AB61" s="8">
        <f t="shared" si="22"/>
        <v>1</v>
      </c>
      <c r="AC61" s="8">
        <f t="shared" si="23"/>
        <v>1.2</v>
      </c>
      <c r="AD61" s="8">
        <f t="shared" si="24"/>
        <v>1.5</v>
      </c>
      <c r="AE61" s="8">
        <f t="shared" si="25"/>
        <v>2</v>
      </c>
      <c r="AF61" s="8">
        <f t="shared" si="26"/>
        <v>2.5</v>
      </c>
      <c r="AG61" s="8">
        <f t="shared" si="27"/>
        <v>0.5</v>
      </c>
      <c r="AH61" s="8">
        <f t="shared" si="28"/>
        <v>0.2</v>
      </c>
      <c r="AI61" s="8">
        <f t="shared" si="29"/>
        <v>0.2</v>
      </c>
      <c r="AJ61" s="8">
        <f t="shared" si="30"/>
        <v>0.03</v>
      </c>
      <c r="AK61" s="87"/>
      <c r="AL61" s="8">
        <f t="shared" si="31"/>
        <v>1.2</v>
      </c>
      <c r="AM61" s="91">
        <f t="shared" si="32"/>
        <v>0.2</v>
      </c>
      <c r="AN61" s="91">
        <f t="shared" si="33"/>
        <v>0.3</v>
      </c>
      <c r="AO61" s="91">
        <f t="shared" si="34"/>
        <v>0.5</v>
      </c>
      <c r="AP61" s="91">
        <f t="shared" si="35"/>
        <v>0.8</v>
      </c>
      <c r="AQ61" s="91">
        <f t="shared" si="36"/>
        <v>1.2</v>
      </c>
      <c r="AR61" s="35"/>
      <c r="AS61" s="8">
        <f t="shared" si="10"/>
        <v>0.2</v>
      </c>
      <c r="AT61" s="35"/>
    </row>
    <row r="62" spans="1:46">
      <c r="A62" s="12">
        <v>60</v>
      </c>
      <c r="B62" s="8">
        <f t="shared" si="11"/>
        <v>1.2</v>
      </c>
      <c r="C62" s="8">
        <f t="shared" si="12"/>
        <v>1.5</v>
      </c>
      <c r="D62" s="8">
        <f t="shared" si="37"/>
        <v>2</v>
      </c>
      <c r="E62" s="8">
        <f t="shared" si="37"/>
        <v>2.5</v>
      </c>
      <c r="F62" s="8">
        <f t="shared" si="37"/>
        <v>0.5</v>
      </c>
      <c r="G62" s="8">
        <f t="shared" si="37"/>
        <v>0.3</v>
      </c>
      <c r="H62" s="8">
        <f t="shared" si="37"/>
        <v>0.6</v>
      </c>
      <c r="I62" s="8">
        <f t="shared" si="37"/>
        <v>0.3</v>
      </c>
      <c r="J62" s="8">
        <f t="shared" si="37"/>
        <v>0.8</v>
      </c>
      <c r="K62" s="8">
        <f t="shared" si="14"/>
        <v>1.2</v>
      </c>
      <c r="L62" s="35"/>
      <c r="M62" s="8">
        <f t="shared" si="15"/>
        <v>1.5</v>
      </c>
      <c r="N62" s="8">
        <f t="shared" si="16"/>
        <v>2</v>
      </c>
      <c r="O62" s="79">
        <f t="shared" si="38"/>
        <v>2.5</v>
      </c>
      <c r="P62" s="8">
        <f t="shared" si="38"/>
        <v>3</v>
      </c>
      <c r="Q62" s="8">
        <f t="shared" si="38"/>
        <v>3.5</v>
      </c>
      <c r="R62" s="11">
        <f t="shared" si="38"/>
        <v>0.75</v>
      </c>
      <c r="S62" s="11">
        <f t="shared" si="18"/>
        <v>0.3</v>
      </c>
      <c r="T62" s="11">
        <f t="shared" si="19"/>
        <v>0.3</v>
      </c>
      <c r="U62" s="29">
        <f t="shared" si="20"/>
        <v>0.05</v>
      </c>
      <c r="V62" s="19">
        <f t="shared" si="39"/>
        <v>0.2</v>
      </c>
      <c r="W62" s="19">
        <f t="shared" si="39"/>
        <v>0.3</v>
      </c>
      <c r="X62" s="19">
        <f t="shared" si="39"/>
        <v>0.5</v>
      </c>
      <c r="Y62" s="19">
        <f t="shared" si="39"/>
        <v>0.8</v>
      </c>
      <c r="Z62" s="19">
        <f t="shared" si="39"/>
        <v>1.2</v>
      </c>
      <c r="AA62" s="35"/>
      <c r="AB62" s="8">
        <f t="shared" si="22"/>
        <v>1</v>
      </c>
      <c r="AC62" s="8">
        <f t="shared" si="23"/>
        <v>1.2</v>
      </c>
      <c r="AD62" s="8">
        <f t="shared" si="24"/>
        <v>1.5</v>
      </c>
      <c r="AE62" s="8">
        <f t="shared" si="25"/>
        <v>2</v>
      </c>
      <c r="AF62" s="8">
        <f t="shared" si="26"/>
        <v>2.5</v>
      </c>
      <c r="AG62" s="8">
        <f t="shared" si="27"/>
        <v>0.5</v>
      </c>
      <c r="AH62" s="8">
        <f t="shared" si="28"/>
        <v>0.2</v>
      </c>
      <c r="AI62" s="8">
        <f t="shared" si="29"/>
        <v>0.2</v>
      </c>
      <c r="AJ62" s="8">
        <f t="shared" si="30"/>
        <v>0.03</v>
      </c>
      <c r="AK62" s="87"/>
      <c r="AL62" s="8">
        <f t="shared" si="31"/>
        <v>1.2</v>
      </c>
      <c r="AM62" s="91">
        <f t="shared" si="32"/>
        <v>0.2</v>
      </c>
      <c r="AN62" s="91">
        <f t="shared" si="33"/>
        <v>0.3</v>
      </c>
      <c r="AO62" s="91">
        <f t="shared" si="34"/>
        <v>0.5</v>
      </c>
      <c r="AP62" s="91">
        <f t="shared" si="35"/>
        <v>0.8</v>
      </c>
      <c r="AQ62" s="91">
        <f t="shared" si="36"/>
        <v>1.2</v>
      </c>
      <c r="AR62" s="35"/>
      <c r="AS62" s="8">
        <f t="shared" si="10"/>
        <v>0.2</v>
      </c>
      <c r="AT62" s="35"/>
    </row>
    <row r="63" spans="1:46">
      <c r="A63" s="12">
        <v>61</v>
      </c>
      <c r="B63" s="8">
        <f t="shared" si="11"/>
        <v>1.2</v>
      </c>
      <c r="C63" s="8">
        <f t="shared" si="12"/>
        <v>1.5</v>
      </c>
      <c r="D63" s="8">
        <f t="shared" si="37"/>
        <v>2</v>
      </c>
      <c r="E63" s="8">
        <f t="shared" si="37"/>
        <v>2.5</v>
      </c>
      <c r="F63" s="8">
        <f t="shared" si="37"/>
        <v>0.5</v>
      </c>
      <c r="G63" s="8">
        <f t="shared" si="37"/>
        <v>0.3</v>
      </c>
      <c r="H63" s="8">
        <f t="shared" si="37"/>
        <v>0.6</v>
      </c>
      <c r="I63" s="8">
        <f t="shared" si="37"/>
        <v>0.3</v>
      </c>
      <c r="J63" s="8">
        <f t="shared" si="37"/>
        <v>0.8</v>
      </c>
      <c r="K63" s="8">
        <f t="shared" si="14"/>
        <v>1.2</v>
      </c>
      <c r="L63" s="35"/>
      <c r="M63" s="8">
        <f t="shared" si="15"/>
        <v>1.5</v>
      </c>
      <c r="N63" s="8">
        <f t="shared" si="16"/>
        <v>2</v>
      </c>
      <c r="O63" s="79">
        <f t="shared" si="38"/>
        <v>2.5</v>
      </c>
      <c r="P63" s="8">
        <f t="shared" si="38"/>
        <v>3</v>
      </c>
      <c r="Q63" s="8">
        <f t="shared" si="38"/>
        <v>3.5</v>
      </c>
      <c r="R63" s="11">
        <f t="shared" si="38"/>
        <v>0.75</v>
      </c>
      <c r="S63" s="11">
        <f t="shared" si="18"/>
        <v>0.3</v>
      </c>
      <c r="T63" s="11">
        <f t="shared" si="19"/>
        <v>0.3</v>
      </c>
      <c r="U63" s="29">
        <f t="shared" si="20"/>
        <v>0.05</v>
      </c>
      <c r="V63" s="19">
        <f t="shared" si="39"/>
        <v>0.2</v>
      </c>
      <c r="W63" s="19">
        <f t="shared" si="39"/>
        <v>0.3</v>
      </c>
      <c r="X63" s="19">
        <f t="shared" si="39"/>
        <v>0.5</v>
      </c>
      <c r="Y63" s="19">
        <f t="shared" si="39"/>
        <v>0.8</v>
      </c>
      <c r="Z63" s="19">
        <f t="shared" si="39"/>
        <v>1.2</v>
      </c>
      <c r="AA63" s="35"/>
      <c r="AB63" s="8">
        <f t="shared" si="22"/>
        <v>1</v>
      </c>
      <c r="AC63" s="8">
        <f t="shared" si="23"/>
        <v>1.2</v>
      </c>
      <c r="AD63" s="8">
        <f t="shared" si="24"/>
        <v>1.5</v>
      </c>
      <c r="AE63" s="8">
        <f t="shared" si="25"/>
        <v>2</v>
      </c>
      <c r="AF63" s="8">
        <f t="shared" si="26"/>
        <v>2.5</v>
      </c>
      <c r="AG63" s="8">
        <f t="shared" si="27"/>
        <v>0.5</v>
      </c>
      <c r="AH63" s="8">
        <f t="shared" si="28"/>
        <v>0.2</v>
      </c>
      <c r="AI63" s="8">
        <f t="shared" si="29"/>
        <v>0.2</v>
      </c>
      <c r="AJ63" s="8">
        <f t="shared" si="30"/>
        <v>0.03</v>
      </c>
      <c r="AK63" s="87"/>
      <c r="AL63" s="8">
        <f t="shared" si="31"/>
        <v>1.2</v>
      </c>
      <c r="AM63" s="91">
        <f t="shared" si="32"/>
        <v>0.2</v>
      </c>
      <c r="AN63" s="91">
        <f t="shared" si="33"/>
        <v>0.3</v>
      </c>
      <c r="AO63" s="91">
        <f t="shared" si="34"/>
        <v>0.5</v>
      </c>
      <c r="AP63" s="91">
        <f t="shared" si="35"/>
        <v>0.8</v>
      </c>
      <c r="AQ63" s="91">
        <f t="shared" si="36"/>
        <v>1.2</v>
      </c>
      <c r="AR63" s="35"/>
      <c r="AS63" s="8">
        <f t="shared" si="10"/>
        <v>0.2</v>
      </c>
      <c r="AT63" s="35"/>
    </row>
    <row r="64" spans="1:46">
      <c r="A64" s="12">
        <v>62</v>
      </c>
      <c r="B64" s="8">
        <f t="shared" si="11"/>
        <v>1.2</v>
      </c>
      <c r="C64" s="8">
        <f t="shared" si="12"/>
        <v>1.5</v>
      </c>
      <c r="D64" s="8">
        <f t="shared" si="37"/>
        <v>2</v>
      </c>
      <c r="E64" s="8">
        <f t="shared" si="37"/>
        <v>2.5</v>
      </c>
      <c r="F64" s="8">
        <f t="shared" si="37"/>
        <v>0.5</v>
      </c>
      <c r="G64" s="8">
        <f t="shared" si="37"/>
        <v>0.3</v>
      </c>
      <c r="H64" s="8">
        <f t="shared" si="37"/>
        <v>0.6</v>
      </c>
      <c r="I64" s="8">
        <f t="shared" si="37"/>
        <v>0.3</v>
      </c>
      <c r="J64" s="8">
        <f t="shared" si="37"/>
        <v>0.8</v>
      </c>
      <c r="K64" s="8">
        <f t="shared" si="14"/>
        <v>1.2</v>
      </c>
      <c r="L64" s="35"/>
      <c r="M64" s="8">
        <f t="shared" si="15"/>
        <v>1.5</v>
      </c>
      <c r="N64" s="8">
        <f t="shared" si="16"/>
        <v>2</v>
      </c>
      <c r="O64" s="79">
        <f t="shared" si="38"/>
        <v>2.5</v>
      </c>
      <c r="P64" s="8">
        <f t="shared" si="38"/>
        <v>3</v>
      </c>
      <c r="Q64" s="8">
        <f t="shared" si="38"/>
        <v>3.5</v>
      </c>
      <c r="R64" s="11">
        <f t="shared" si="38"/>
        <v>0.75</v>
      </c>
      <c r="S64" s="11">
        <f t="shared" si="18"/>
        <v>0.3</v>
      </c>
      <c r="T64" s="11">
        <f t="shared" si="19"/>
        <v>0.3</v>
      </c>
      <c r="U64" s="29">
        <f t="shared" si="20"/>
        <v>0.05</v>
      </c>
      <c r="V64" s="19">
        <f t="shared" si="39"/>
        <v>0.2</v>
      </c>
      <c r="W64" s="19">
        <f t="shared" si="39"/>
        <v>0.3</v>
      </c>
      <c r="X64" s="19">
        <f t="shared" si="39"/>
        <v>0.5</v>
      </c>
      <c r="Y64" s="19">
        <f t="shared" si="39"/>
        <v>0.8</v>
      </c>
      <c r="Z64" s="19">
        <f t="shared" si="39"/>
        <v>1.2</v>
      </c>
      <c r="AA64" s="35"/>
      <c r="AB64" s="8">
        <f t="shared" si="22"/>
        <v>1</v>
      </c>
      <c r="AC64" s="8">
        <f t="shared" si="23"/>
        <v>1.2</v>
      </c>
      <c r="AD64" s="8">
        <f t="shared" si="24"/>
        <v>1.5</v>
      </c>
      <c r="AE64" s="8">
        <f t="shared" si="25"/>
        <v>2</v>
      </c>
      <c r="AF64" s="8">
        <f t="shared" si="26"/>
        <v>2.5</v>
      </c>
      <c r="AG64" s="8">
        <f t="shared" si="27"/>
        <v>0.5</v>
      </c>
      <c r="AH64" s="8">
        <f t="shared" si="28"/>
        <v>0.2</v>
      </c>
      <c r="AI64" s="8">
        <f t="shared" si="29"/>
        <v>0.2</v>
      </c>
      <c r="AJ64" s="8">
        <f t="shared" si="30"/>
        <v>0.03</v>
      </c>
      <c r="AK64" s="87"/>
      <c r="AL64" s="8">
        <f t="shared" si="31"/>
        <v>1.2</v>
      </c>
      <c r="AM64" s="91">
        <f t="shared" si="32"/>
        <v>0.2</v>
      </c>
      <c r="AN64" s="91">
        <f t="shared" si="33"/>
        <v>0.3</v>
      </c>
      <c r="AO64" s="91">
        <f t="shared" si="34"/>
        <v>0.5</v>
      </c>
      <c r="AP64" s="91">
        <f t="shared" si="35"/>
        <v>0.8</v>
      </c>
      <c r="AQ64" s="91">
        <f t="shared" si="36"/>
        <v>1.2</v>
      </c>
      <c r="AR64" s="35"/>
      <c r="AS64" s="8">
        <f t="shared" si="10"/>
        <v>0.2</v>
      </c>
      <c r="AT64" s="35"/>
    </row>
    <row r="65" spans="1:46">
      <c r="A65" s="12">
        <v>63</v>
      </c>
      <c r="B65" s="8">
        <f t="shared" si="11"/>
        <v>1.2</v>
      </c>
      <c r="C65" s="8">
        <f t="shared" si="12"/>
        <v>1.5</v>
      </c>
      <c r="D65" s="8">
        <f t="shared" si="37"/>
        <v>2</v>
      </c>
      <c r="E65" s="8">
        <f t="shared" si="37"/>
        <v>2.5</v>
      </c>
      <c r="F65" s="8">
        <f t="shared" si="37"/>
        <v>0.5</v>
      </c>
      <c r="G65" s="8">
        <f t="shared" si="37"/>
        <v>0.3</v>
      </c>
      <c r="H65" s="8">
        <f t="shared" si="37"/>
        <v>0.6</v>
      </c>
      <c r="I65" s="8">
        <f t="shared" si="37"/>
        <v>0.3</v>
      </c>
      <c r="J65" s="8">
        <f t="shared" si="37"/>
        <v>0.8</v>
      </c>
      <c r="K65" s="8">
        <f t="shared" si="14"/>
        <v>1.2</v>
      </c>
      <c r="L65" s="35"/>
      <c r="M65" s="8">
        <f t="shared" si="15"/>
        <v>1.5</v>
      </c>
      <c r="N65" s="8">
        <f t="shared" si="16"/>
        <v>2</v>
      </c>
      <c r="O65" s="79">
        <f t="shared" si="38"/>
        <v>2.5</v>
      </c>
      <c r="P65" s="8">
        <f t="shared" si="38"/>
        <v>3</v>
      </c>
      <c r="Q65" s="8">
        <f t="shared" si="38"/>
        <v>3.5</v>
      </c>
      <c r="R65" s="11">
        <f t="shared" si="38"/>
        <v>0.75</v>
      </c>
      <c r="S65" s="11">
        <f t="shared" si="18"/>
        <v>0.3</v>
      </c>
      <c r="T65" s="11">
        <f t="shared" si="19"/>
        <v>0.3</v>
      </c>
      <c r="U65" s="29">
        <f t="shared" si="20"/>
        <v>0.05</v>
      </c>
      <c r="V65" s="19">
        <f t="shared" si="39"/>
        <v>0.2</v>
      </c>
      <c r="W65" s="19">
        <f t="shared" si="39"/>
        <v>0.3</v>
      </c>
      <c r="X65" s="19">
        <f t="shared" si="39"/>
        <v>0.5</v>
      </c>
      <c r="Y65" s="19">
        <f t="shared" si="39"/>
        <v>0.8</v>
      </c>
      <c r="Z65" s="19">
        <f t="shared" si="39"/>
        <v>1.2</v>
      </c>
      <c r="AA65" s="35"/>
      <c r="AB65" s="8">
        <f t="shared" si="22"/>
        <v>1</v>
      </c>
      <c r="AC65" s="8">
        <f t="shared" si="23"/>
        <v>1.2</v>
      </c>
      <c r="AD65" s="8">
        <f t="shared" si="24"/>
        <v>1.5</v>
      </c>
      <c r="AE65" s="8">
        <f t="shared" si="25"/>
        <v>2</v>
      </c>
      <c r="AF65" s="8">
        <f t="shared" si="26"/>
        <v>2.5</v>
      </c>
      <c r="AG65" s="8">
        <f t="shared" si="27"/>
        <v>0.5</v>
      </c>
      <c r="AH65" s="8">
        <f t="shared" si="28"/>
        <v>0.2</v>
      </c>
      <c r="AI65" s="8">
        <f t="shared" si="29"/>
        <v>0.2</v>
      </c>
      <c r="AJ65" s="8">
        <f t="shared" si="30"/>
        <v>0.03</v>
      </c>
      <c r="AK65" s="87"/>
      <c r="AL65" s="8">
        <f t="shared" si="31"/>
        <v>1.2</v>
      </c>
      <c r="AM65" s="91">
        <f t="shared" si="32"/>
        <v>0.2</v>
      </c>
      <c r="AN65" s="91">
        <f t="shared" si="33"/>
        <v>0.3</v>
      </c>
      <c r="AO65" s="91">
        <f t="shared" si="34"/>
        <v>0.5</v>
      </c>
      <c r="AP65" s="91">
        <f t="shared" si="35"/>
        <v>0.8</v>
      </c>
      <c r="AQ65" s="91">
        <f t="shared" si="36"/>
        <v>1.2</v>
      </c>
      <c r="AR65" s="35"/>
      <c r="AS65" s="8">
        <f t="shared" si="10"/>
        <v>0.2</v>
      </c>
      <c r="AT65" s="35"/>
    </row>
    <row r="66" spans="1:46">
      <c r="A66" s="12">
        <v>64</v>
      </c>
      <c r="B66" s="8">
        <f t="shared" si="11"/>
        <v>1.2</v>
      </c>
      <c r="C66" s="8">
        <f t="shared" si="12"/>
        <v>1.5</v>
      </c>
      <c r="D66" s="8">
        <f t="shared" si="37"/>
        <v>2</v>
      </c>
      <c r="E66" s="8">
        <f t="shared" si="37"/>
        <v>2.5</v>
      </c>
      <c r="F66" s="8">
        <f t="shared" si="37"/>
        <v>0.5</v>
      </c>
      <c r="G66" s="8">
        <f t="shared" si="37"/>
        <v>0.3</v>
      </c>
      <c r="H66" s="8">
        <f t="shared" si="37"/>
        <v>0.6</v>
      </c>
      <c r="I66" s="8">
        <f t="shared" si="37"/>
        <v>0.3</v>
      </c>
      <c r="J66" s="8">
        <f t="shared" si="37"/>
        <v>0.8</v>
      </c>
      <c r="K66" s="8">
        <f t="shared" si="14"/>
        <v>1.2</v>
      </c>
      <c r="L66" s="35"/>
      <c r="M66" s="8">
        <f t="shared" si="15"/>
        <v>1.5</v>
      </c>
      <c r="N66" s="8">
        <f t="shared" si="16"/>
        <v>2</v>
      </c>
      <c r="O66" s="79">
        <f t="shared" si="38"/>
        <v>2.5</v>
      </c>
      <c r="P66" s="8">
        <f t="shared" si="38"/>
        <v>3</v>
      </c>
      <c r="Q66" s="8">
        <f t="shared" si="38"/>
        <v>3.5</v>
      </c>
      <c r="R66" s="11">
        <f t="shared" si="38"/>
        <v>0.75</v>
      </c>
      <c r="S66" s="11">
        <f t="shared" si="18"/>
        <v>0.3</v>
      </c>
      <c r="T66" s="11">
        <f t="shared" si="19"/>
        <v>0.3</v>
      </c>
      <c r="U66" s="29">
        <f t="shared" si="20"/>
        <v>0.05</v>
      </c>
      <c r="V66" s="19">
        <f t="shared" si="39"/>
        <v>0.2</v>
      </c>
      <c r="W66" s="19">
        <f t="shared" si="39"/>
        <v>0.3</v>
      </c>
      <c r="X66" s="19">
        <f t="shared" si="39"/>
        <v>0.5</v>
      </c>
      <c r="Y66" s="19">
        <f t="shared" si="39"/>
        <v>0.8</v>
      </c>
      <c r="Z66" s="19">
        <f t="shared" si="39"/>
        <v>1.2</v>
      </c>
      <c r="AA66" s="35"/>
      <c r="AB66" s="8">
        <f t="shared" si="22"/>
        <v>1</v>
      </c>
      <c r="AC66" s="8">
        <f t="shared" si="23"/>
        <v>1.2</v>
      </c>
      <c r="AD66" s="8">
        <f t="shared" si="24"/>
        <v>1.5</v>
      </c>
      <c r="AE66" s="8">
        <f t="shared" si="25"/>
        <v>2</v>
      </c>
      <c r="AF66" s="8">
        <f t="shared" si="26"/>
        <v>2.5</v>
      </c>
      <c r="AG66" s="8">
        <f t="shared" si="27"/>
        <v>0.5</v>
      </c>
      <c r="AH66" s="8">
        <f t="shared" si="28"/>
        <v>0.2</v>
      </c>
      <c r="AI66" s="8">
        <f t="shared" si="29"/>
        <v>0.2</v>
      </c>
      <c r="AJ66" s="8">
        <f t="shared" si="30"/>
        <v>0.03</v>
      </c>
      <c r="AK66" s="87"/>
      <c r="AL66" s="8">
        <f t="shared" si="31"/>
        <v>1.2</v>
      </c>
      <c r="AM66" s="91">
        <f t="shared" si="32"/>
        <v>0.2</v>
      </c>
      <c r="AN66" s="91">
        <f t="shared" si="33"/>
        <v>0.3</v>
      </c>
      <c r="AO66" s="91">
        <f t="shared" si="34"/>
        <v>0.5</v>
      </c>
      <c r="AP66" s="91">
        <f t="shared" si="35"/>
        <v>0.8</v>
      </c>
      <c r="AQ66" s="91">
        <f t="shared" si="36"/>
        <v>1.2</v>
      </c>
      <c r="AR66" s="35"/>
      <c r="AS66" s="8">
        <f t="shared" si="10"/>
        <v>0.2</v>
      </c>
      <c r="AT66" s="35"/>
    </row>
    <row r="67" spans="1:46">
      <c r="A67" s="12">
        <v>65</v>
      </c>
      <c r="B67" s="8">
        <f t="shared" si="11"/>
        <v>1.2</v>
      </c>
      <c r="C67" s="8">
        <f t="shared" si="12"/>
        <v>1.5</v>
      </c>
      <c r="D67" s="8">
        <f t="shared" si="37"/>
        <v>2</v>
      </c>
      <c r="E67" s="8">
        <f t="shared" si="37"/>
        <v>2.5</v>
      </c>
      <c r="F67" s="8">
        <f t="shared" si="37"/>
        <v>0.5</v>
      </c>
      <c r="G67" s="8">
        <f t="shared" si="37"/>
        <v>0.3</v>
      </c>
      <c r="H67" s="8">
        <f t="shared" si="37"/>
        <v>0.6</v>
      </c>
      <c r="I67" s="8">
        <f t="shared" si="37"/>
        <v>0.3</v>
      </c>
      <c r="J67" s="8">
        <f t="shared" si="37"/>
        <v>0.8</v>
      </c>
      <c r="K67" s="8">
        <f t="shared" si="14"/>
        <v>1.2</v>
      </c>
      <c r="L67" s="35"/>
      <c r="M67" s="8">
        <f t="shared" si="15"/>
        <v>1.5</v>
      </c>
      <c r="N67" s="8">
        <f t="shared" si="16"/>
        <v>2</v>
      </c>
      <c r="O67" s="79">
        <f t="shared" si="38"/>
        <v>2.5</v>
      </c>
      <c r="P67" s="8">
        <f t="shared" si="38"/>
        <v>3</v>
      </c>
      <c r="Q67" s="8">
        <f t="shared" si="38"/>
        <v>3.5</v>
      </c>
      <c r="R67" s="11">
        <f t="shared" si="38"/>
        <v>0.75</v>
      </c>
      <c r="S67" s="11">
        <f t="shared" si="18"/>
        <v>0.3</v>
      </c>
      <c r="T67" s="11">
        <f t="shared" si="19"/>
        <v>0.3</v>
      </c>
      <c r="U67" s="29">
        <f t="shared" si="20"/>
        <v>0.05</v>
      </c>
      <c r="V67" s="19">
        <f t="shared" si="39"/>
        <v>0.2</v>
      </c>
      <c r="W67" s="19">
        <f t="shared" si="39"/>
        <v>0.3</v>
      </c>
      <c r="X67" s="19">
        <f t="shared" si="39"/>
        <v>0.5</v>
      </c>
      <c r="Y67" s="19">
        <f t="shared" si="39"/>
        <v>0.8</v>
      </c>
      <c r="Z67" s="19">
        <f t="shared" si="39"/>
        <v>1.2</v>
      </c>
      <c r="AA67" s="35"/>
      <c r="AB67" s="8">
        <f t="shared" si="22"/>
        <v>1</v>
      </c>
      <c r="AC67" s="8">
        <f t="shared" si="23"/>
        <v>1.2</v>
      </c>
      <c r="AD67" s="8">
        <f t="shared" si="24"/>
        <v>1.5</v>
      </c>
      <c r="AE67" s="8">
        <f t="shared" si="25"/>
        <v>2</v>
      </c>
      <c r="AF67" s="8">
        <f t="shared" si="26"/>
        <v>2.5</v>
      </c>
      <c r="AG67" s="8">
        <f t="shared" si="27"/>
        <v>0.5</v>
      </c>
      <c r="AH67" s="8">
        <f t="shared" si="28"/>
        <v>0.2</v>
      </c>
      <c r="AI67" s="8">
        <f t="shared" si="29"/>
        <v>0.2</v>
      </c>
      <c r="AJ67" s="8">
        <f t="shared" si="30"/>
        <v>0.03</v>
      </c>
      <c r="AK67" s="87"/>
      <c r="AL67" s="8">
        <f t="shared" si="31"/>
        <v>1.2</v>
      </c>
      <c r="AM67" s="91">
        <f t="shared" si="32"/>
        <v>0.2</v>
      </c>
      <c r="AN67" s="91">
        <f t="shared" si="33"/>
        <v>0.3</v>
      </c>
      <c r="AO67" s="91">
        <f t="shared" si="34"/>
        <v>0.5</v>
      </c>
      <c r="AP67" s="91">
        <f t="shared" si="35"/>
        <v>0.8</v>
      </c>
      <c r="AQ67" s="91">
        <f t="shared" si="36"/>
        <v>1.2</v>
      </c>
      <c r="AR67" s="35"/>
      <c r="AS67" s="8">
        <f t="shared" si="10"/>
        <v>0.2</v>
      </c>
      <c r="AT67" s="35"/>
    </row>
    <row r="68" spans="1:46">
      <c r="A68" s="12">
        <v>66</v>
      </c>
      <c r="B68" s="8">
        <f t="shared" si="11"/>
        <v>1.2</v>
      </c>
      <c r="C68" s="8">
        <f t="shared" si="12"/>
        <v>1.5</v>
      </c>
      <c r="D68" s="8">
        <f t="shared" si="37"/>
        <v>2</v>
      </c>
      <c r="E68" s="8">
        <f t="shared" si="37"/>
        <v>2.5</v>
      </c>
      <c r="F68" s="8">
        <f t="shared" si="37"/>
        <v>0.5</v>
      </c>
      <c r="G68" s="8">
        <f t="shared" si="37"/>
        <v>0.3</v>
      </c>
      <c r="H68" s="8">
        <f t="shared" si="37"/>
        <v>0.6</v>
      </c>
      <c r="I68" s="8">
        <f t="shared" si="37"/>
        <v>0.3</v>
      </c>
      <c r="J68" s="8">
        <f t="shared" si="37"/>
        <v>0.8</v>
      </c>
      <c r="K68" s="8">
        <f t="shared" si="14"/>
        <v>1.2</v>
      </c>
      <c r="L68" s="35"/>
      <c r="M68" s="8">
        <f t="shared" si="15"/>
        <v>1.5</v>
      </c>
      <c r="N68" s="8">
        <f t="shared" si="16"/>
        <v>2</v>
      </c>
      <c r="O68" s="79">
        <f t="shared" si="38"/>
        <v>2.5</v>
      </c>
      <c r="P68" s="8">
        <f t="shared" si="38"/>
        <v>3</v>
      </c>
      <c r="Q68" s="8">
        <f t="shared" si="38"/>
        <v>3.5</v>
      </c>
      <c r="R68" s="11">
        <f t="shared" si="38"/>
        <v>0.75</v>
      </c>
      <c r="S68" s="11">
        <f t="shared" si="18"/>
        <v>0.3</v>
      </c>
      <c r="T68" s="11">
        <f t="shared" si="19"/>
        <v>0.3</v>
      </c>
      <c r="U68" s="29">
        <f t="shared" si="20"/>
        <v>0.05</v>
      </c>
      <c r="V68" s="19">
        <f t="shared" si="39"/>
        <v>0.2</v>
      </c>
      <c r="W68" s="19">
        <f t="shared" si="39"/>
        <v>0.3</v>
      </c>
      <c r="X68" s="19">
        <f t="shared" si="39"/>
        <v>0.5</v>
      </c>
      <c r="Y68" s="19">
        <f t="shared" si="39"/>
        <v>0.8</v>
      </c>
      <c r="Z68" s="19">
        <f t="shared" si="39"/>
        <v>1.2</v>
      </c>
      <c r="AA68" s="35"/>
      <c r="AB68" s="8">
        <f t="shared" si="22"/>
        <v>1</v>
      </c>
      <c r="AC68" s="8">
        <f t="shared" si="23"/>
        <v>1.2</v>
      </c>
      <c r="AD68" s="8">
        <f t="shared" si="24"/>
        <v>1.5</v>
      </c>
      <c r="AE68" s="8">
        <f t="shared" si="25"/>
        <v>2</v>
      </c>
      <c r="AF68" s="8">
        <f t="shared" si="26"/>
        <v>2.5</v>
      </c>
      <c r="AG68" s="8">
        <f t="shared" si="27"/>
        <v>0.5</v>
      </c>
      <c r="AH68" s="8">
        <f t="shared" si="28"/>
        <v>0.2</v>
      </c>
      <c r="AI68" s="8">
        <f t="shared" si="29"/>
        <v>0.2</v>
      </c>
      <c r="AJ68" s="8">
        <f t="shared" si="30"/>
        <v>0.03</v>
      </c>
      <c r="AK68" s="87"/>
      <c r="AL68" s="8">
        <f t="shared" si="31"/>
        <v>1.2</v>
      </c>
      <c r="AM68" s="91">
        <f t="shared" si="32"/>
        <v>0.2</v>
      </c>
      <c r="AN68" s="91">
        <f t="shared" si="33"/>
        <v>0.3</v>
      </c>
      <c r="AO68" s="91">
        <f t="shared" si="34"/>
        <v>0.5</v>
      </c>
      <c r="AP68" s="91">
        <f t="shared" si="35"/>
        <v>0.8</v>
      </c>
      <c r="AQ68" s="91">
        <f t="shared" si="36"/>
        <v>1.2</v>
      </c>
      <c r="AR68" s="35"/>
      <c r="AS68" s="8">
        <f t="shared" ref="AS68:AS122" si="40">AS67</f>
        <v>0.2</v>
      </c>
      <c r="AT68" s="35"/>
    </row>
    <row r="69" spans="1:46">
      <c r="A69" s="12">
        <v>67</v>
      </c>
      <c r="B69" s="8">
        <f t="shared" ref="B69:B122" si="41">B68</f>
        <v>1.2</v>
      </c>
      <c r="C69" s="8">
        <f t="shared" ref="C69:C122" si="42">C68</f>
        <v>1.5</v>
      </c>
      <c r="D69" s="8">
        <f t="shared" ref="D69:J100" si="43">D68</f>
        <v>2</v>
      </c>
      <c r="E69" s="8">
        <f t="shared" si="43"/>
        <v>2.5</v>
      </c>
      <c r="F69" s="8">
        <f t="shared" si="43"/>
        <v>0.5</v>
      </c>
      <c r="G69" s="8">
        <f t="shared" si="43"/>
        <v>0.3</v>
      </c>
      <c r="H69" s="8">
        <f t="shared" si="43"/>
        <v>0.6</v>
      </c>
      <c r="I69" s="8">
        <f t="shared" si="43"/>
        <v>0.3</v>
      </c>
      <c r="J69" s="8">
        <f t="shared" si="43"/>
        <v>0.8</v>
      </c>
      <c r="K69" s="8">
        <f t="shared" ref="K69:K122" si="44">K68</f>
        <v>1.2</v>
      </c>
      <c r="L69" s="35"/>
      <c r="M69" s="8">
        <f t="shared" ref="M69:M122" si="45">M68</f>
        <v>1.5</v>
      </c>
      <c r="N69" s="8">
        <f t="shared" ref="N69:N122" si="46">N68</f>
        <v>2</v>
      </c>
      <c r="O69" s="79">
        <f t="shared" ref="O69:R100" si="47">O68</f>
        <v>2.5</v>
      </c>
      <c r="P69" s="8">
        <f t="shared" si="47"/>
        <v>3</v>
      </c>
      <c r="Q69" s="8">
        <f t="shared" si="47"/>
        <v>3.5</v>
      </c>
      <c r="R69" s="11">
        <f t="shared" si="47"/>
        <v>0.75</v>
      </c>
      <c r="S69" s="11">
        <f t="shared" ref="S69:S122" si="48">S68</f>
        <v>0.3</v>
      </c>
      <c r="T69" s="11">
        <f t="shared" ref="T69:T122" si="49">T68</f>
        <v>0.3</v>
      </c>
      <c r="U69" s="29">
        <f t="shared" ref="U69:U122" si="50">U68</f>
        <v>0.05</v>
      </c>
      <c r="V69" s="19">
        <f t="shared" ref="V69:Z100" si="51">V68</f>
        <v>0.2</v>
      </c>
      <c r="W69" s="19">
        <f t="shared" si="51"/>
        <v>0.3</v>
      </c>
      <c r="X69" s="19">
        <f t="shared" si="51"/>
        <v>0.5</v>
      </c>
      <c r="Y69" s="19">
        <f t="shared" si="51"/>
        <v>0.8</v>
      </c>
      <c r="Z69" s="19">
        <f t="shared" si="51"/>
        <v>1.2</v>
      </c>
      <c r="AA69" s="35"/>
      <c r="AB69" s="8">
        <f t="shared" ref="AB69:AB122" si="52">AB68</f>
        <v>1</v>
      </c>
      <c r="AC69" s="8">
        <f t="shared" ref="AC69:AC122" si="53">AC68</f>
        <v>1.2</v>
      </c>
      <c r="AD69" s="8">
        <f t="shared" ref="AD69:AD122" si="54">AD68</f>
        <v>1.5</v>
      </c>
      <c r="AE69" s="8">
        <f t="shared" ref="AE69:AE122" si="55">AE68</f>
        <v>2</v>
      </c>
      <c r="AF69" s="8">
        <f t="shared" ref="AF69:AF122" si="56">AF68</f>
        <v>2.5</v>
      </c>
      <c r="AG69" s="8">
        <f t="shared" ref="AG69:AG122" si="57">AG68</f>
        <v>0.5</v>
      </c>
      <c r="AH69" s="8">
        <f t="shared" ref="AH69:AH122" si="58">AH68</f>
        <v>0.2</v>
      </c>
      <c r="AI69" s="8">
        <f t="shared" ref="AI69:AI122" si="59">AI68</f>
        <v>0.2</v>
      </c>
      <c r="AJ69" s="8">
        <f t="shared" ref="AJ69:AJ122" si="60">AJ68</f>
        <v>0.03</v>
      </c>
      <c r="AK69" s="87"/>
      <c r="AL69" s="8">
        <f t="shared" ref="AL69:AL122" si="61">AL68</f>
        <v>1.2</v>
      </c>
      <c r="AM69" s="91">
        <f t="shared" ref="AM69:AM122" si="62">AM68</f>
        <v>0.2</v>
      </c>
      <c r="AN69" s="91">
        <f t="shared" ref="AN69:AN122" si="63">AN68</f>
        <v>0.3</v>
      </c>
      <c r="AO69" s="91">
        <f t="shared" ref="AO69:AO122" si="64">AO68</f>
        <v>0.5</v>
      </c>
      <c r="AP69" s="91">
        <f t="shared" ref="AP69:AP122" si="65">AP68</f>
        <v>0.8</v>
      </c>
      <c r="AQ69" s="91">
        <f t="shared" ref="AQ69:AQ122" si="66">AQ68</f>
        <v>1.2</v>
      </c>
      <c r="AR69" s="35"/>
      <c r="AS69" s="8">
        <f t="shared" si="40"/>
        <v>0.2</v>
      </c>
      <c r="AT69" s="35"/>
    </row>
    <row r="70" spans="1:46">
      <c r="A70" s="12">
        <v>68</v>
      </c>
      <c r="B70" s="8">
        <f t="shared" si="41"/>
        <v>1.2</v>
      </c>
      <c r="C70" s="8">
        <f t="shared" si="42"/>
        <v>1.5</v>
      </c>
      <c r="D70" s="8">
        <f t="shared" si="43"/>
        <v>2</v>
      </c>
      <c r="E70" s="8">
        <f t="shared" si="43"/>
        <v>2.5</v>
      </c>
      <c r="F70" s="8">
        <f t="shared" si="43"/>
        <v>0.5</v>
      </c>
      <c r="G70" s="8">
        <f t="shared" si="43"/>
        <v>0.3</v>
      </c>
      <c r="H70" s="8">
        <f t="shared" si="43"/>
        <v>0.6</v>
      </c>
      <c r="I70" s="8">
        <f t="shared" si="43"/>
        <v>0.3</v>
      </c>
      <c r="J70" s="8">
        <f t="shared" si="43"/>
        <v>0.8</v>
      </c>
      <c r="K70" s="8">
        <f t="shared" si="44"/>
        <v>1.2</v>
      </c>
      <c r="L70" s="35"/>
      <c r="M70" s="8">
        <f t="shared" si="45"/>
        <v>1.5</v>
      </c>
      <c r="N70" s="8">
        <f t="shared" si="46"/>
        <v>2</v>
      </c>
      <c r="O70" s="79">
        <f t="shared" si="47"/>
        <v>2.5</v>
      </c>
      <c r="P70" s="8">
        <f t="shared" si="47"/>
        <v>3</v>
      </c>
      <c r="Q70" s="8">
        <f t="shared" si="47"/>
        <v>3.5</v>
      </c>
      <c r="R70" s="11">
        <f t="shared" si="47"/>
        <v>0.75</v>
      </c>
      <c r="S70" s="11">
        <f t="shared" si="48"/>
        <v>0.3</v>
      </c>
      <c r="T70" s="11">
        <f t="shared" si="49"/>
        <v>0.3</v>
      </c>
      <c r="U70" s="29">
        <f t="shared" si="50"/>
        <v>0.05</v>
      </c>
      <c r="V70" s="19">
        <f t="shared" si="51"/>
        <v>0.2</v>
      </c>
      <c r="W70" s="19">
        <f t="shared" si="51"/>
        <v>0.3</v>
      </c>
      <c r="X70" s="19">
        <f t="shared" si="51"/>
        <v>0.5</v>
      </c>
      <c r="Y70" s="19">
        <f t="shared" si="51"/>
        <v>0.8</v>
      </c>
      <c r="Z70" s="19">
        <f t="shared" si="51"/>
        <v>1.2</v>
      </c>
      <c r="AA70" s="35"/>
      <c r="AB70" s="8">
        <f t="shared" si="52"/>
        <v>1</v>
      </c>
      <c r="AC70" s="8">
        <f t="shared" si="53"/>
        <v>1.2</v>
      </c>
      <c r="AD70" s="8">
        <f t="shared" si="54"/>
        <v>1.5</v>
      </c>
      <c r="AE70" s="8">
        <f t="shared" si="55"/>
        <v>2</v>
      </c>
      <c r="AF70" s="8">
        <f t="shared" si="56"/>
        <v>2.5</v>
      </c>
      <c r="AG70" s="8">
        <f t="shared" si="57"/>
        <v>0.5</v>
      </c>
      <c r="AH70" s="8">
        <f t="shared" si="58"/>
        <v>0.2</v>
      </c>
      <c r="AI70" s="8">
        <f t="shared" si="59"/>
        <v>0.2</v>
      </c>
      <c r="AJ70" s="8">
        <f t="shared" si="60"/>
        <v>0.03</v>
      </c>
      <c r="AK70" s="87"/>
      <c r="AL70" s="8">
        <f t="shared" si="61"/>
        <v>1.2</v>
      </c>
      <c r="AM70" s="91">
        <f t="shared" si="62"/>
        <v>0.2</v>
      </c>
      <c r="AN70" s="91">
        <f t="shared" si="63"/>
        <v>0.3</v>
      </c>
      <c r="AO70" s="91">
        <f t="shared" si="64"/>
        <v>0.5</v>
      </c>
      <c r="AP70" s="91">
        <f t="shared" si="65"/>
        <v>0.8</v>
      </c>
      <c r="AQ70" s="91">
        <f t="shared" si="66"/>
        <v>1.2</v>
      </c>
      <c r="AR70" s="35"/>
      <c r="AS70" s="8">
        <f t="shared" si="40"/>
        <v>0.2</v>
      </c>
      <c r="AT70" s="35"/>
    </row>
    <row r="71" spans="1:46">
      <c r="A71" s="12">
        <v>69</v>
      </c>
      <c r="B71" s="8">
        <f t="shared" si="41"/>
        <v>1.2</v>
      </c>
      <c r="C71" s="8">
        <f t="shared" si="42"/>
        <v>1.5</v>
      </c>
      <c r="D71" s="8">
        <f t="shared" si="43"/>
        <v>2</v>
      </c>
      <c r="E71" s="8">
        <f t="shared" si="43"/>
        <v>2.5</v>
      </c>
      <c r="F71" s="8">
        <f t="shared" si="43"/>
        <v>0.5</v>
      </c>
      <c r="G71" s="8">
        <f t="shared" si="43"/>
        <v>0.3</v>
      </c>
      <c r="H71" s="8">
        <f t="shared" si="43"/>
        <v>0.6</v>
      </c>
      <c r="I71" s="8">
        <f t="shared" si="43"/>
        <v>0.3</v>
      </c>
      <c r="J71" s="8">
        <f t="shared" si="43"/>
        <v>0.8</v>
      </c>
      <c r="K71" s="8">
        <f t="shared" si="44"/>
        <v>1.2</v>
      </c>
      <c r="L71" s="35"/>
      <c r="M71" s="8">
        <f t="shared" si="45"/>
        <v>1.5</v>
      </c>
      <c r="N71" s="8">
        <f t="shared" si="46"/>
        <v>2</v>
      </c>
      <c r="O71" s="79">
        <f t="shared" si="47"/>
        <v>2.5</v>
      </c>
      <c r="P71" s="8">
        <f t="shared" si="47"/>
        <v>3</v>
      </c>
      <c r="Q71" s="8">
        <f t="shared" si="47"/>
        <v>3.5</v>
      </c>
      <c r="R71" s="11">
        <f t="shared" si="47"/>
        <v>0.75</v>
      </c>
      <c r="S71" s="11">
        <f t="shared" si="48"/>
        <v>0.3</v>
      </c>
      <c r="T71" s="11">
        <f t="shared" si="49"/>
        <v>0.3</v>
      </c>
      <c r="U71" s="29">
        <f t="shared" si="50"/>
        <v>0.05</v>
      </c>
      <c r="V71" s="19">
        <f t="shared" si="51"/>
        <v>0.2</v>
      </c>
      <c r="W71" s="19">
        <f t="shared" si="51"/>
        <v>0.3</v>
      </c>
      <c r="X71" s="19">
        <f t="shared" si="51"/>
        <v>0.5</v>
      </c>
      <c r="Y71" s="19">
        <f t="shared" si="51"/>
        <v>0.8</v>
      </c>
      <c r="Z71" s="19">
        <f t="shared" si="51"/>
        <v>1.2</v>
      </c>
      <c r="AA71" s="35"/>
      <c r="AB71" s="8">
        <f t="shared" si="52"/>
        <v>1</v>
      </c>
      <c r="AC71" s="8">
        <f t="shared" si="53"/>
        <v>1.2</v>
      </c>
      <c r="AD71" s="8">
        <f t="shared" si="54"/>
        <v>1.5</v>
      </c>
      <c r="AE71" s="8">
        <f t="shared" si="55"/>
        <v>2</v>
      </c>
      <c r="AF71" s="8">
        <f t="shared" si="56"/>
        <v>2.5</v>
      </c>
      <c r="AG71" s="8">
        <f t="shared" si="57"/>
        <v>0.5</v>
      </c>
      <c r="AH71" s="8">
        <f t="shared" si="58"/>
        <v>0.2</v>
      </c>
      <c r="AI71" s="8">
        <f t="shared" si="59"/>
        <v>0.2</v>
      </c>
      <c r="AJ71" s="8">
        <f t="shared" si="60"/>
        <v>0.03</v>
      </c>
      <c r="AK71" s="87"/>
      <c r="AL71" s="8">
        <f t="shared" si="61"/>
        <v>1.2</v>
      </c>
      <c r="AM71" s="91">
        <f t="shared" si="62"/>
        <v>0.2</v>
      </c>
      <c r="AN71" s="91">
        <f t="shared" si="63"/>
        <v>0.3</v>
      </c>
      <c r="AO71" s="91">
        <f t="shared" si="64"/>
        <v>0.5</v>
      </c>
      <c r="AP71" s="91">
        <f t="shared" si="65"/>
        <v>0.8</v>
      </c>
      <c r="AQ71" s="91">
        <f t="shared" si="66"/>
        <v>1.2</v>
      </c>
      <c r="AR71" s="35"/>
      <c r="AS71" s="8">
        <f t="shared" si="40"/>
        <v>0.2</v>
      </c>
      <c r="AT71" s="35"/>
    </row>
    <row r="72" spans="1:46">
      <c r="A72" s="12">
        <v>70</v>
      </c>
      <c r="B72" s="8">
        <f t="shared" si="41"/>
        <v>1.2</v>
      </c>
      <c r="C72" s="8">
        <f t="shared" si="42"/>
        <v>1.5</v>
      </c>
      <c r="D72" s="8">
        <f t="shared" si="43"/>
        <v>2</v>
      </c>
      <c r="E72" s="8">
        <f t="shared" si="43"/>
        <v>2.5</v>
      </c>
      <c r="F72" s="8">
        <f t="shared" si="43"/>
        <v>0.5</v>
      </c>
      <c r="G72" s="8">
        <f t="shared" si="43"/>
        <v>0.3</v>
      </c>
      <c r="H72" s="8">
        <f t="shared" si="43"/>
        <v>0.6</v>
      </c>
      <c r="I72" s="8">
        <f t="shared" si="43"/>
        <v>0.3</v>
      </c>
      <c r="J72" s="8">
        <f t="shared" si="43"/>
        <v>0.8</v>
      </c>
      <c r="K72" s="8">
        <f t="shared" si="44"/>
        <v>1.2</v>
      </c>
      <c r="L72" s="35"/>
      <c r="M72" s="8">
        <f t="shared" si="45"/>
        <v>1.5</v>
      </c>
      <c r="N72" s="8">
        <f t="shared" si="46"/>
        <v>2</v>
      </c>
      <c r="O72" s="79">
        <f t="shared" si="47"/>
        <v>2.5</v>
      </c>
      <c r="P72" s="8">
        <f t="shared" si="47"/>
        <v>3</v>
      </c>
      <c r="Q72" s="8">
        <f t="shared" si="47"/>
        <v>3.5</v>
      </c>
      <c r="R72" s="11">
        <f t="shared" si="47"/>
        <v>0.75</v>
      </c>
      <c r="S72" s="11">
        <f t="shared" si="48"/>
        <v>0.3</v>
      </c>
      <c r="T72" s="11">
        <f t="shared" si="49"/>
        <v>0.3</v>
      </c>
      <c r="U72" s="29">
        <f t="shared" si="50"/>
        <v>0.05</v>
      </c>
      <c r="V72" s="19">
        <f t="shared" si="51"/>
        <v>0.2</v>
      </c>
      <c r="W72" s="19">
        <f t="shared" si="51"/>
        <v>0.3</v>
      </c>
      <c r="X72" s="19">
        <f t="shared" si="51"/>
        <v>0.5</v>
      </c>
      <c r="Y72" s="19">
        <f t="shared" si="51"/>
        <v>0.8</v>
      </c>
      <c r="Z72" s="19">
        <f t="shared" si="51"/>
        <v>1.2</v>
      </c>
      <c r="AA72" s="35"/>
      <c r="AB72" s="8">
        <f t="shared" si="52"/>
        <v>1</v>
      </c>
      <c r="AC72" s="8">
        <f t="shared" si="53"/>
        <v>1.2</v>
      </c>
      <c r="AD72" s="8">
        <f t="shared" si="54"/>
        <v>1.5</v>
      </c>
      <c r="AE72" s="8">
        <f t="shared" si="55"/>
        <v>2</v>
      </c>
      <c r="AF72" s="8">
        <f t="shared" si="56"/>
        <v>2.5</v>
      </c>
      <c r="AG72" s="8">
        <f t="shared" si="57"/>
        <v>0.5</v>
      </c>
      <c r="AH72" s="8">
        <f t="shared" si="58"/>
        <v>0.2</v>
      </c>
      <c r="AI72" s="8">
        <f t="shared" si="59"/>
        <v>0.2</v>
      </c>
      <c r="AJ72" s="8">
        <f t="shared" si="60"/>
        <v>0.03</v>
      </c>
      <c r="AK72" s="87"/>
      <c r="AL72" s="8">
        <f t="shared" si="61"/>
        <v>1.2</v>
      </c>
      <c r="AM72" s="91">
        <f t="shared" si="62"/>
        <v>0.2</v>
      </c>
      <c r="AN72" s="91">
        <f t="shared" si="63"/>
        <v>0.3</v>
      </c>
      <c r="AO72" s="91">
        <f t="shared" si="64"/>
        <v>0.5</v>
      </c>
      <c r="AP72" s="91">
        <f t="shared" si="65"/>
        <v>0.8</v>
      </c>
      <c r="AQ72" s="91">
        <f t="shared" si="66"/>
        <v>1.2</v>
      </c>
      <c r="AR72" s="35"/>
      <c r="AS72" s="8">
        <f t="shared" si="40"/>
        <v>0.2</v>
      </c>
      <c r="AT72" s="35"/>
    </row>
    <row r="73" spans="1:46">
      <c r="A73" s="12">
        <v>71</v>
      </c>
      <c r="B73" s="8">
        <f t="shared" si="41"/>
        <v>1.2</v>
      </c>
      <c r="C73" s="8">
        <f t="shared" si="42"/>
        <v>1.5</v>
      </c>
      <c r="D73" s="8">
        <f t="shared" si="43"/>
        <v>2</v>
      </c>
      <c r="E73" s="8">
        <f t="shared" si="43"/>
        <v>2.5</v>
      </c>
      <c r="F73" s="8">
        <f t="shared" si="43"/>
        <v>0.5</v>
      </c>
      <c r="G73" s="8">
        <f t="shared" si="43"/>
        <v>0.3</v>
      </c>
      <c r="H73" s="8">
        <f t="shared" si="43"/>
        <v>0.6</v>
      </c>
      <c r="I73" s="8">
        <f t="shared" si="43"/>
        <v>0.3</v>
      </c>
      <c r="J73" s="8">
        <f t="shared" si="43"/>
        <v>0.8</v>
      </c>
      <c r="K73" s="8">
        <f t="shared" si="44"/>
        <v>1.2</v>
      </c>
      <c r="L73" s="35"/>
      <c r="M73" s="8">
        <f t="shared" si="45"/>
        <v>1.5</v>
      </c>
      <c r="N73" s="8">
        <f t="shared" si="46"/>
        <v>2</v>
      </c>
      <c r="O73" s="79">
        <f t="shared" si="47"/>
        <v>2.5</v>
      </c>
      <c r="P73" s="8">
        <f t="shared" si="47"/>
        <v>3</v>
      </c>
      <c r="Q73" s="8">
        <f t="shared" si="47"/>
        <v>3.5</v>
      </c>
      <c r="R73" s="11">
        <f t="shared" si="47"/>
        <v>0.75</v>
      </c>
      <c r="S73" s="11">
        <f t="shared" si="48"/>
        <v>0.3</v>
      </c>
      <c r="T73" s="11">
        <f t="shared" si="49"/>
        <v>0.3</v>
      </c>
      <c r="U73" s="29">
        <f t="shared" si="50"/>
        <v>0.05</v>
      </c>
      <c r="V73" s="19">
        <f t="shared" si="51"/>
        <v>0.2</v>
      </c>
      <c r="W73" s="19">
        <f t="shared" si="51"/>
        <v>0.3</v>
      </c>
      <c r="X73" s="19">
        <f t="shared" si="51"/>
        <v>0.5</v>
      </c>
      <c r="Y73" s="19">
        <f t="shared" si="51"/>
        <v>0.8</v>
      </c>
      <c r="Z73" s="19">
        <f t="shared" si="51"/>
        <v>1.2</v>
      </c>
      <c r="AA73" s="35"/>
      <c r="AB73" s="8">
        <f t="shared" si="52"/>
        <v>1</v>
      </c>
      <c r="AC73" s="8">
        <f t="shared" si="53"/>
        <v>1.2</v>
      </c>
      <c r="AD73" s="8">
        <f t="shared" si="54"/>
        <v>1.5</v>
      </c>
      <c r="AE73" s="8">
        <f t="shared" si="55"/>
        <v>2</v>
      </c>
      <c r="AF73" s="8">
        <f t="shared" si="56"/>
        <v>2.5</v>
      </c>
      <c r="AG73" s="8">
        <f t="shared" si="57"/>
        <v>0.5</v>
      </c>
      <c r="AH73" s="8">
        <f t="shared" si="58"/>
        <v>0.2</v>
      </c>
      <c r="AI73" s="8">
        <f t="shared" si="59"/>
        <v>0.2</v>
      </c>
      <c r="AJ73" s="8">
        <f t="shared" si="60"/>
        <v>0.03</v>
      </c>
      <c r="AK73" s="87"/>
      <c r="AL73" s="8">
        <f t="shared" si="61"/>
        <v>1.2</v>
      </c>
      <c r="AM73" s="91">
        <f t="shared" si="62"/>
        <v>0.2</v>
      </c>
      <c r="AN73" s="91">
        <f t="shared" si="63"/>
        <v>0.3</v>
      </c>
      <c r="AO73" s="91">
        <f t="shared" si="64"/>
        <v>0.5</v>
      </c>
      <c r="AP73" s="91">
        <f t="shared" si="65"/>
        <v>0.8</v>
      </c>
      <c r="AQ73" s="91">
        <f t="shared" si="66"/>
        <v>1.2</v>
      </c>
      <c r="AR73" s="35"/>
      <c r="AS73" s="8">
        <f t="shared" si="40"/>
        <v>0.2</v>
      </c>
      <c r="AT73" s="35"/>
    </row>
    <row r="74" spans="1:46">
      <c r="A74" s="12">
        <v>72</v>
      </c>
      <c r="B74" s="8">
        <f t="shared" si="41"/>
        <v>1.2</v>
      </c>
      <c r="C74" s="8">
        <f t="shared" si="42"/>
        <v>1.5</v>
      </c>
      <c r="D74" s="8">
        <f t="shared" si="43"/>
        <v>2</v>
      </c>
      <c r="E74" s="8">
        <f t="shared" si="43"/>
        <v>2.5</v>
      </c>
      <c r="F74" s="8">
        <f t="shared" si="43"/>
        <v>0.5</v>
      </c>
      <c r="G74" s="8">
        <f t="shared" si="43"/>
        <v>0.3</v>
      </c>
      <c r="H74" s="8">
        <f t="shared" si="43"/>
        <v>0.6</v>
      </c>
      <c r="I74" s="8">
        <f t="shared" si="43"/>
        <v>0.3</v>
      </c>
      <c r="J74" s="8">
        <f t="shared" si="43"/>
        <v>0.8</v>
      </c>
      <c r="K74" s="8">
        <f t="shared" si="44"/>
        <v>1.2</v>
      </c>
      <c r="L74" s="35"/>
      <c r="M74" s="8">
        <f t="shared" si="45"/>
        <v>1.5</v>
      </c>
      <c r="N74" s="8">
        <f t="shared" si="46"/>
        <v>2</v>
      </c>
      <c r="O74" s="79">
        <f t="shared" si="47"/>
        <v>2.5</v>
      </c>
      <c r="P74" s="8">
        <f t="shared" si="47"/>
        <v>3</v>
      </c>
      <c r="Q74" s="8">
        <f t="shared" si="47"/>
        <v>3.5</v>
      </c>
      <c r="R74" s="11">
        <f t="shared" si="47"/>
        <v>0.75</v>
      </c>
      <c r="S74" s="11">
        <f t="shared" si="48"/>
        <v>0.3</v>
      </c>
      <c r="T74" s="11">
        <f t="shared" si="49"/>
        <v>0.3</v>
      </c>
      <c r="U74" s="29">
        <f t="shared" si="50"/>
        <v>0.05</v>
      </c>
      <c r="V74" s="19">
        <f t="shared" si="51"/>
        <v>0.2</v>
      </c>
      <c r="W74" s="19">
        <f t="shared" si="51"/>
        <v>0.3</v>
      </c>
      <c r="X74" s="19">
        <f t="shared" si="51"/>
        <v>0.5</v>
      </c>
      <c r="Y74" s="19">
        <f t="shared" si="51"/>
        <v>0.8</v>
      </c>
      <c r="Z74" s="19">
        <f t="shared" si="51"/>
        <v>1.2</v>
      </c>
      <c r="AA74" s="35"/>
      <c r="AB74" s="8">
        <f t="shared" si="52"/>
        <v>1</v>
      </c>
      <c r="AC74" s="8">
        <f t="shared" si="53"/>
        <v>1.2</v>
      </c>
      <c r="AD74" s="8">
        <f t="shared" si="54"/>
        <v>1.5</v>
      </c>
      <c r="AE74" s="8">
        <f t="shared" si="55"/>
        <v>2</v>
      </c>
      <c r="AF74" s="8">
        <f t="shared" si="56"/>
        <v>2.5</v>
      </c>
      <c r="AG74" s="8">
        <f t="shared" si="57"/>
        <v>0.5</v>
      </c>
      <c r="AH74" s="8">
        <f t="shared" si="58"/>
        <v>0.2</v>
      </c>
      <c r="AI74" s="8">
        <f t="shared" si="59"/>
        <v>0.2</v>
      </c>
      <c r="AJ74" s="8">
        <f t="shared" si="60"/>
        <v>0.03</v>
      </c>
      <c r="AK74" s="87"/>
      <c r="AL74" s="8">
        <f t="shared" si="61"/>
        <v>1.2</v>
      </c>
      <c r="AM74" s="91">
        <f t="shared" si="62"/>
        <v>0.2</v>
      </c>
      <c r="AN74" s="91">
        <f t="shared" si="63"/>
        <v>0.3</v>
      </c>
      <c r="AO74" s="91">
        <f t="shared" si="64"/>
        <v>0.5</v>
      </c>
      <c r="AP74" s="91">
        <f t="shared" si="65"/>
        <v>0.8</v>
      </c>
      <c r="AQ74" s="91">
        <f t="shared" si="66"/>
        <v>1.2</v>
      </c>
      <c r="AR74" s="35"/>
      <c r="AS74" s="8">
        <f t="shared" si="40"/>
        <v>0.2</v>
      </c>
      <c r="AT74" s="35"/>
    </row>
    <row r="75" spans="1:46">
      <c r="A75" s="12">
        <v>73</v>
      </c>
      <c r="B75" s="8">
        <f t="shared" si="41"/>
        <v>1.2</v>
      </c>
      <c r="C75" s="8">
        <f t="shared" si="42"/>
        <v>1.5</v>
      </c>
      <c r="D75" s="8">
        <f t="shared" si="43"/>
        <v>2</v>
      </c>
      <c r="E75" s="8">
        <f t="shared" si="43"/>
        <v>2.5</v>
      </c>
      <c r="F75" s="8">
        <f t="shared" si="43"/>
        <v>0.5</v>
      </c>
      <c r="G75" s="8">
        <f t="shared" si="43"/>
        <v>0.3</v>
      </c>
      <c r="H75" s="8">
        <f t="shared" si="43"/>
        <v>0.6</v>
      </c>
      <c r="I75" s="8">
        <f t="shared" si="43"/>
        <v>0.3</v>
      </c>
      <c r="J75" s="8">
        <f t="shared" si="43"/>
        <v>0.8</v>
      </c>
      <c r="K75" s="8">
        <f t="shared" si="44"/>
        <v>1.2</v>
      </c>
      <c r="L75" s="35"/>
      <c r="M75" s="8">
        <f t="shared" si="45"/>
        <v>1.5</v>
      </c>
      <c r="N75" s="8">
        <f t="shared" si="46"/>
        <v>2</v>
      </c>
      <c r="O75" s="79">
        <f t="shared" si="47"/>
        <v>2.5</v>
      </c>
      <c r="P75" s="8">
        <f t="shared" si="47"/>
        <v>3</v>
      </c>
      <c r="Q75" s="8">
        <f t="shared" si="47"/>
        <v>3.5</v>
      </c>
      <c r="R75" s="11">
        <f t="shared" si="47"/>
        <v>0.75</v>
      </c>
      <c r="S75" s="11">
        <f t="shared" si="48"/>
        <v>0.3</v>
      </c>
      <c r="T75" s="11">
        <f t="shared" si="49"/>
        <v>0.3</v>
      </c>
      <c r="U75" s="29">
        <f t="shared" si="50"/>
        <v>0.05</v>
      </c>
      <c r="V75" s="19">
        <f t="shared" si="51"/>
        <v>0.2</v>
      </c>
      <c r="W75" s="19">
        <f t="shared" si="51"/>
        <v>0.3</v>
      </c>
      <c r="X75" s="19">
        <f t="shared" si="51"/>
        <v>0.5</v>
      </c>
      <c r="Y75" s="19">
        <f t="shared" si="51"/>
        <v>0.8</v>
      </c>
      <c r="Z75" s="19">
        <f t="shared" si="51"/>
        <v>1.2</v>
      </c>
      <c r="AA75" s="35"/>
      <c r="AB75" s="8">
        <f t="shared" si="52"/>
        <v>1</v>
      </c>
      <c r="AC75" s="8">
        <f t="shared" si="53"/>
        <v>1.2</v>
      </c>
      <c r="AD75" s="8">
        <f t="shared" si="54"/>
        <v>1.5</v>
      </c>
      <c r="AE75" s="8">
        <f t="shared" si="55"/>
        <v>2</v>
      </c>
      <c r="AF75" s="8">
        <f t="shared" si="56"/>
        <v>2.5</v>
      </c>
      <c r="AG75" s="8">
        <f t="shared" si="57"/>
        <v>0.5</v>
      </c>
      <c r="AH75" s="8">
        <f t="shared" si="58"/>
        <v>0.2</v>
      </c>
      <c r="AI75" s="8">
        <f t="shared" si="59"/>
        <v>0.2</v>
      </c>
      <c r="AJ75" s="8">
        <f t="shared" si="60"/>
        <v>0.03</v>
      </c>
      <c r="AK75" s="87"/>
      <c r="AL75" s="8">
        <f t="shared" si="61"/>
        <v>1.2</v>
      </c>
      <c r="AM75" s="91">
        <f t="shared" si="62"/>
        <v>0.2</v>
      </c>
      <c r="AN75" s="91">
        <f t="shared" si="63"/>
        <v>0.3</v>
      </c>
      <c r="AO75" s="91">
        <f t="shared" si="64"/>
        <v>0.5</v>
      </c>
      <c r="AP75" s="91">
        <f t="shared" si="65"/>
        <v>0.8</v>
      </c>
      <c r="AQ75" s="91">
        <f t="shared" si="66"/>
        <v>1.2</v>
      </c>
      <c r="AR75" s="35"/>
      <c r="AS75" s="8">
        <f t="shared" si="40"/>
        <v>0.2</v>
      </c>
      <c r="AT75" s="35"/>
    </row>
    <row r="76" spans="1:46">
      <c r="A76" s="12">
        <v>74</v>
      </c>
      <c r="B76" s="8">
        <f t="shared" si="41"/>
        <v>1.2</v>
      </c>
      <c r="C76" s="8">
        <f t="shared" si="42"/>
        <v>1.5</v>
      </c>
      <c r="D76" s="8">
        <f t="shared" si="43"/>
        <v>2</v>
      </c>
      <c r="E76" s="8">
        <f t="shared" si="43"/>
        <v>2.5</v>
      </c>
      <c r="F76" s="8">
        <f t="shared" si="43"/>
        <v>0.5</v>
      </c>
      <c r="G76" s="8">
        <f t="shared" si="43"/>
        <v>0.3</v>
      </c>
      <c r="H76" s="8">
        <f t="shared" si="43"/>
        <v>0.6</v>
      </c>
      <c r="I76" s="8">
        <f t="shared" si="43"/>
        <v>0.3</v>
      </c>
      <c r="J76" s="8">
        <f t="shared" si="43"/>
        <v>0.8</v>
      </c>
      <c r="K76" s="8">
        <f t="shared" si="44"/>
        <v>1.2</v>
      </c>
      <c r="L76" s="35"/>
      <c r="M76" s="8">
        <f t="shared" si="45"/>
        <v>1.5</v>
      </c>
      <c r="N76" s="8">
        <f t="shared" si="46"/>
        <v>2</v>
      </c>
      <c r="O76" s="79">
        <f t="shared" si="47"/>
        <v>2.5</v>
      </c>
      <c r="P76" s="8">
        <f t="shared" si="47"/>
        <v>3</v>
      </c>
      <c r="Q76" s="8">
        <f t="shared" si="47"/>
        <v>3.5</v>
      </c>
      <c r="R76" s="11">
        <f t="shared" si="47"/>
        <v>0.75</v>
      </c>
      <c r="S76" s="11">
        <f t="shared" si="48"/>
        <v>0.3</v>
      </c>
      <c r="T76" s="11">
        <f t="shared" si="49"/>
        <v>0.3</v>
      </c>
      <c r="U76" s="29">
        <f t="shared" si="50"/>
        <v>0.05</v>
      </c>
      <c r="V76" s="19">
        <f t="shared" si="51"/>
        <v>0.2</v>
      </c>
      <c r="W76" s="19">
        <f t="shared" si="51"/>
        <v>0.3</v>
      </c>
      <c r="X76" s="19">
        <f t="shared" si="51"/>
        <v>0.5</v>
      </c>
      <c r="Y76" s="19">
        <f t="shared" si="51"/>
        <v>0.8</v>
      </c>
      <c r="Z76" s="19">
        <f t="shared" si="51"/>
        <v>1.2</v>
      </c>
      <c r="AA76" s="35"/>
      <c r="AB76" s="8">
        <f t="shared" si="52"/>
        <v>1</v>
      </c>
      <c r="AC76" s="8">
        <f t="shared" si="53"/>
        <v>1.2</v>
      </c>
      <c r="AD76" s="8">
        <f t="shared" si="54"/>
        <v>1.5</v>
      </c>
      <c r="AE76" s="8">
        <f t="shared" si="55"/>
        <v>2</v>
      </c>
      <c r="AF76" s="8">
        <f t="shared" si="56"/>
        <v>2.5</v>
      </c>
      <c r="AG76" s="8">
        <f t="shared" si="57"/>
        <v>0.5</v>
      </c>
      <c r="AH76" s="8">
        <f t="shared" si="58"/>
        <v>0.2</v>
      </c>
      <c r="AI76" s="8">
        <f t="shared" si="59"/>
        <v>0.2</v>
      </c>
      <c r="AJ76" s="8">
        <f t="shared" si="60"/>
        <v>0.03</v>
      </c>
      <c r="AK76" s="87"/>
      <c r="AL76" s="8">
        <f t="shared" si="61"/>
        <v>1.2</v>
      </c>
      <c r="AM76" s="91">
        <f t="shared" si="62"/>
        <v>0.2</v>
      </c>
      <c r="AN76" s="91">
        <f t="shared" si="63"/>
        <v>0.3</v>
      </c>
      <c r="AO76" s="91">
        <f t="shared" si="64"/>
        <v>0.5</v>
      </c>
      <c r="AP76" s="91">
        <f t="shared" si="65"/>
        <v>0.8</v>
      </c>
      <c r="AQ76" s="91">
        <f t="shared" si="66"/>
        <v>1.2</v>
      </c>
      <c r="AR76" s="35"/>
      <c r="AS76" s="8">
        <f t="shared" si="40"/>
        <v>0.2</v>
      </c>
      <c r="AT76" s="35"/>
    </row>
    <row r="77" spans="1:46">
      <c r="A77" s="12">
        <v>75</v>
      </c>
      <c r="B77" s="8">
        <f t="shared" si="41"/>
        <v>1.2</v>
      </c>
      <c r="C77" s="8">
        <f t="shared" si="42"/>
        <v>1.5</v>
      </c>
      <c r="D77" s="8">
        <f t="shared" si="43"/>
        <v>2</v>
      </c>
      <c r="E77" s="8">
        <f t="shared" si="43"/>
        <v>2.5</v>
      </c>
      <c r="F77" s="8">
        <f t="shared" si="43"/>
        <v>0.5</v>
      </c>
      <c r="G77" s="8">
        <f t="shared" si="43"/>
        <v>0.3</v>
      </c>
      <c r="H77" s="8">
        <f t="shared" si="43"/>
        <v>0.6</v>
      </c>
      <c r="I77" s="8">
        <f t="shared" si="43"/>
        <v>0.3</v>
      </c>
      <c r="J77" s="8">
        <f t="shared" si="43"/>
        <v>0.8</v>
      </c>
      <c r="K77" s="8">
        <f t="shared" si="44"/>
        <v>1.2</v>
      </c>
      <c r="L77" s="35"/>
      <c r="M77" s="8">
        <f t="shared" si="45"/>
        <v>1.5</v>
      </c>
      <c r="N77" s="8">
        <f t="shared" si="46"/>
        <v>2</v>
      </c>
      <c r="O77" s="79">
        <f t="shared" si="47"/>
        <v>2.5</v>
      </c>
      <c r="P77" s="8">
        <f t="shared" si="47"/>
        <v>3</v>
      </c>
      <c r="Q77" s="8">
        <f t="shared" si="47"/>
        <v>3.5</v>
      </c>
      <c r="R77" s="11">
        <f t="shared" si="47"/>
        <v>0.75</v>
      </c>
      <c r="S77" s="11">
        <f t="shared" si="48"/>
        <v>0.3</v>
      </c>
      <c r="T77" s="11">
        <f t="shared" si="49"/>
        <v>0.3</v>
      </c>
      <c r="U77" s="29">
        <f t="shared" si="50"/>
        <v>0.05</v>
      </c>
      <c r="V77" s="19">
        <f t="shared" si="51"/>
        <v>0.2</v>
      </c>
      <c r="W77" s="19">
        <f t="shared" si="51"/>
        <v>0.3</v>
      </c>
      <c r="X77" s="19">
        <f t="shared" si="51"/>
        <v>0.5</v>
      </c>
      <c r="Y77" s="19">
        <f t="shared" si="51"/>
        <v>0.8</v>
      </c>
      <c r="Z77" s="19">
        <f t="shared" si="51"/>
        <v>1.2</v>
      </c>
      <c r="AA77" s="35"/>
      <c r="AB77" s="8">
        <f t="shared" si="52"/>
        <v>1</v>
      </c>
      <c r="AC77" s="8">
        <f t="shared" si="53"/>
        <v>1.2</v>
      </c>
      <c r="AD77" s="8">
        <f t="shared" si="54"/>
        <v>1.5</v>
      </c>
      <c r="AE77" s="8">
        <f t="shared" si="55"/>
        <v>2</v>
      </c>
      <c r="AF77" s="8">
        <f t="shared" si="56"/>
        <v>2.5</v>
      </c>
      <c r="AG77" s="8">
        <f t="shared" si="57"/>
        <v>0.5</v>
      </c>
      <c r="AH77" s="8">
        <f t="shared" si="58"/>
        <v>0.2</v>
      </c>
      <c r="AI77" s="8">
        <f t="shared" si="59"/>
        <v>0.2</v>
      </c>
      <c r="AJ77" s="8">
        <f t="shared" si="60"/>
        <v>0.03</v>
      </c>
      <c r="AK77" s="87"/>
      <c r="AL77" s="8">
        <f t="shared" si="61"/>
        <v>1.2</v>
      </c>
      <c r="AM77" s="91">
        <f t="shared" si="62"/>
        <v>0.2</v>
      </c>
      <c r="AN77" s="91">
        <f t="shared" si="63"/>
        <v>0.3</v>
      </c>
      <c r="AO77" s="91">
        <f t="shared" si="64"/>
        <v>0.5</v>
      </c>
      <c r="AP77" s="91">
        <f t="shared" si="65"/>
        <v>0.8</v>
      </c>
      <c r="AQ77" s="91">
        <f t="shared" si="66"/>
        <v>1.2</v>
      </c>
      <c r="AR77" s="35"/>
      <c r="AS77" s="8">
        <f t="shared" si="40"/>
        <v>0.2</v>
      </c>
      <c r="AT77" s="35"/>
    </row>
    <row r="78" spans="1:46">
      <c r="A78" s="12">
        <v>76</v>
      </c>
      <c r="B78" s="8">
        <f t="shared" si="41"/>
        <v>1.2</v>
      </c>
      <c r="C78" s="8">
        <f t="shared" si="42"/>
        <v>1.5</v>
      </c>
      <c r="D78" s="8">
        <f t="shared" si="43"/>
        <v>2</v>
      </c>
      <c r="E78" s="8">
        <f t="shared" si="43"/>
        <v>2.5</v>
      </c>
      <c r="F78" s="8">
        <f t="shared" si="43"/>
        <v>0.5</v>
      </c>
      <c r="G78" s="8">
        <f t="shared" si="43"/>
        <v>0.3</v>
      </c>
      <c r="H78" s="8">
        <f t="shared" si="43"/>
        <v>0.6</v>
      </c>
      <c r="I78" s="8">
        <f t="shared" si="43"/>
        <v>0.3</v>
      </c>
      <c r="J78" s="8">
        <f t="shared" si="43"/>
        <v>0.8</v>
      </c>
      <c r="K78" s="8">
        <f t="shared" si="44"/>
        <v>1.2</v>
      </c>
      <c r="L78" s="35"/>
      <c r="M78" s="8">
        <f t="shared" si="45"/>
        <v>1.5</v>
      </c>
      <c r="N78" s="8">
        <f t="shared" si="46"/>
        <v>2</v>
      </c>
      <c r="O78" s="79">
        <f t="shared" si="47"/>
        <v>2.5</v>
      </c>
      <c r="P78" s="8">
        <f t="shared" si="47"/>
        <v>3</v>
      </c>
      <c r="Q78" s="8">
        <f t="shared" si="47"/>
        <v>3.5</v>
      </c>
      <c r="R78" s="11">
        <f t="shared" si="47"/>
        <v>0.75</v>
      </c>
      <c r="S78" s="11">
        <f t="shared" si="48"/>
        <v>0.3</v>
      </c>
      <c r="T78" s="11">
        <f t="shared" si="49"/>
        <v>0.3</v>
      </c>
      <c r="U78" s="29">
        <f t="shared" si="50"/>
        <v>0.05</v>
      </c>
      <c r="V78" s="19">
        <f t="shared" si="51"/>
        <v>0.2</v>
      </c>
      <c r="W78" s="19">
        <f t="shared" si="51"/>
        <v>0.3</v>
      </c>
      <c r="X78" s="19">
        <f t="shared" si="51"/>
        <v>0.5</v>
      </c>
      <c r="Y78" s="19">
        <f t="shared" si="51"/>
        <v>0.8</v>
      </c>
      <c r="Z78" s="19">
        <f t="shared" si="51"/>
        <v>1.2</v>
      </c>
      <c r="AA78" s="35"/>
      <c r="AB78" s="8">
        <f t="shared" si="52"/>
        <v>1</v>
      </c>
      <c r="AC78" s="8">
        <f t="shared" si="53"/>
        <v>1.2</v>
      </c>
      <c r="AD78" s="8">
        <f t="shared" si="54"/>
        <v>1.5</v>
      </c>
      <c r="AE78" s="8">
        <f t="shared" si="55"/>
        <v>2</v>
      </c>
      <c r="AF78" s="8">
        <f t="shared" si="56"/>
        <v>2.5</v>
      </c>
      <c r="AG78" s="8">
        <f t="shared" si="57"/>
        <v>0.5</v>
      </c>
      <c r="AH78" s="8">
        <f t="shared" si="58"/>
        <v>0.2</v>
      </c>
      <c r="AI78" s="8">
        <f t="shared" si="59"/>
        <v>0.2</v>
      </c>
      <c r="AJ78" s="8">
        <f t="shared" si="60"/>
        <v>0.03</v>
      </c>
      <c r="AK78" s="87"/>
      <c r="AL78" s="8">
        <f t="shared" si="61"/>
        <v>1.2</v>
      </c>
      <c r="AM78" s="91">
        <f t="shared" si="62"/>
        <v>0.2</v>
      </c>
      <c r="AN78" s="91">
        <f t="shared" si="63"/>
        <v>0.3</v>
      </c>
      <c r="AO78" s="91">
        <f t="shared" si="64"/>
        <v>0.5</v>
      </c>
      <c r="AP78" s="91">
        <f t="shared" si="65"/>
        <v>0.8</v>
      </c>
      <c r="AQ78" s="91">
        <f t="shared" si="66"/>
        <v>1.2</v>
      </c>
      <c r="AR78" s="35"/>
      <c r="AS78" s="8">
        <f t="shared" si="40"/>
        <v>0.2</v>
      </c>
      <c r="AT78" s="35"/>
    </row>
    <row r="79" spans="1:46">
      <c r="A79" s="12">
        <v>77</v>
      </c>
      <c r="B79" s="8">
        <f t="shared" si="41"/>
        <v>1.2</v>
      </c>
      <c r="C79" s="8">
        <f t="shared" si="42"/>
        <v>1.5</v>
      </c>
      <c r="D79" s="8">
        <f t="shared" si="43"/>
        <v>2</v>
      </c>
      <c r="E79" s="8">
        <f t="shared" si="43"/>
        <v>2.5</v>
      </c>
      <c r="F79" s="8">
        <f t="shared" si="43"/>
        <v>0.5</v>
      </c>
      <c r="G79" s="8">
        <f t="shared" si="43"/>
        <v>0.3</v>
      </c>
      <c r="H79" s="8">
        <f t="shared" si="43"/>
        <v>0.6</v>
      </c>
      <c r="I79" s="8">
        <f t="shared" si="43"/>
        <v>0.3</v>
      </c>
      <c r="J79" s="8">
        <f t="shared" si="43"/>
        <v>0.8</v>
      </c>
      <c r="K79" s="8">
        <f t="shared" si="44"/>
        <v>1.2</v>
      </c>
      <c r="L79" s="35"/>
      <c r="M79" s="8">
        <f t="shared" si="45"/>
        <v>1.5</v>
      </c>
      <c r="N79" s="8">
        <f t="shared" si="46"/>
        <v>2</v>
      </c>
      <c r="O79" s="79">
        <f t="shared" si="47"/>
        <v>2.5</v>
      </c>
      <c r="P79" s="8">
        <f t="shared" si="47"/>
        <v>3</v>
      </c>
      <c r="Q79" s="8">
        <f t="shared" si="47"/>
        <v>3.5</v>
      </c>
      <c r="R79" s="11">
        <f t="shared" si="47"/>
        <v>0.75</v>
      </c>
      <c r="S79" s="11">
        <f t="shared" si="48"/>
        <v>0.3</v>
      </c>
      <c r="T79" s="11">
        <f t="shared" si="49"/>
        <v>0.3</v>
      </c>
      <c r="U79" s="29">
        <f t="shared" si="50"/>
        <v>0.05</v>
      </c>
      <c r="V79" s="19">
        <f t="shared" si="51"/>
        <v>0.2</v>
      </c>
      <c r="W79" s="19">
        <f t="shared" si="51"/>
        <v>0.3</v>
      </c>
      <c r="X79" s="19">
        <f t="shared" si="51"/>
        <v>0.5</v>
      </c>
      <c r="Y79" s="19">
        <f t="shared" si="51"/>
        <v>0.8</v>
      </c>
      <c r="Z79" s="19">
        <f t="shared" si="51"/>
        <v>1.2</v>
      </c>
      <c r="AA79" s="35"/>
      <c r="AB79" s="8">
        <f t="shared" si="52"/>
        <v>1</v>
      </c>
      <c r="AC79" s="8">
        <f t="shared" si="53"/>
        <v>1.2</v>
      </c>
      <c r="AD79" s="8">
        <f t="shared" si="54"/>
        <v>1.5</v>
      </c>
      <c r="AE79" s="8">
        <f t="shared" si="55"/>
        <v>2</v>
      </c>
      <c r="AF79" s="8">
        <f t="shared" si="56"/>
        <v>2.5</v>
      </c>
      <c r="AG79" s="8">
        <f t="shared" si="57"/>
        <v>0.5</v>
      </c>
      <c r="AH79" s="8">
        <f t="shared" si="58"/>
        <v>0.2</v>
      </c>
      <c r="AI79" s="8">
        <f t="shared" si="59"/>
        <v>0.2</v>
      </c>
      <c r="AJ79" s="8">
        <f t="shared" si="60"/>
        <v>0.03</v>
      </c>
      <c r="AK79" s="87"/>
      <c r="AL79" s="8">
        <f t="shared" si="61"/>
        <v>1.2</v>
      </c>
      <c r="AM79" s="91">
        <f t="shared" si="62"/>
        <v>0.2</v>
      </c>
      <c r="AN79" s="91">
        <f t="shared" si="63"/>
        <v>0.3</v>
      </c>
      <c r="AO79" s="91">
        <f t="shared" si="64"/>
        <v>0.5</v>
      </c>
      <c r="AP79" s="91">
        <f t="shared" si="65"/>
        <v>0.8</v>
      </c>
      <c r="AQ79" s="91">
        <f t="shared" si="66"/>
        <v>1.2</v>
      </c>
      <c r="AR79" s="35"/>
      <c r="AS79" s="8">
        <f t="shared" si="40"/>
        <v>0.2</v>
      </c>
      <c r="AT79" s="35"/>
    </row>
    <row r="80" spans="1:46">
      <c r="A80" s="12">
        <v>78</v>
      </c>
      <c r="B80" s="8">
        <f t="shared" si="41"/>
        <v>1.2</v>
      </c>
      <c r="C80" s="8">
        <f t="shared" si="42"/>
        <v>1.5</v>
      </c>
      <c r="D80" s="8">
        <f t="shared" si="43"/>
        <v>2</v>
      </c>
      <c r="E80" s="8">
        <f t="shared" si="43"/>
        <v>2.5</v>
      </c>
      <c r="F80" s="8">
        <f t="shared" si="43"/>
        <v>0.5</v>
      </c>
      <c r="G80" s="8">
        <f t="shared" si="43"/>
        <v>0.3</v>
      </c>
      <c r="H80" s="8">
        <f t="shared" si="43"/>
        <v>0.6</v>
      </c>
      <c r="I80" s="8">
        <f t="shared" si="43"/>
        <v>0.3</v>
      </c>
      <c r="J80" s="8">
        <f t="shared" si="43"/>
        <v>0.8</v>
      </c>
      <c r="K80" s="8">
        <f t="shared" si="44"/>
        <v>1.2</v>
      </c>
      <c r="L80" s="35"/>
      <c r="M80" s="8">
        <f t="shared" si="45"/>
        <v>1.5</v>
      </c>
      <c r="N80" s="8">
        <f t="shared" si="46"/>
        <v>2</v>
      </c>
      <c r="O80" s="79">
        <f t="shared" si="47"/>
        <v>2.5</v>
      </c>
      <c r="P80" s="8">
        <f t="shared" si="47"/>
        <v>3</v>
      </c>
      <c r="Q80" s="8">
        <f t="shared" si="47"/>
        <v>3.5</v>
      </c>
      <c r="R80" s="11">
        <f t="shared" si="47"/>
        <v>0.75</v>
      </c>
      <c r="S80" s="11">
        <f t="shared" si="48"/>
        <v>0.3</v>
      </c>
      <c r="T80" s="11">
        <f t="shared" si="49"/>
        <v>0.3</v>
      </c>
      <c r="U80" s="29">
        <f t="shared" si="50"/>
        <v>0.05</v>
      </c>
      <c r="V80" s="19">
        <f t="shared" si="51"/>
        <v>0.2</v>
      </c>
      <c r="W80" s="19">
        <f t="shared" si="51"/>
        <v>0.3</v>
      </c>
      <c r="X80" s="19">
        <f t="shared" si="51"/>
        <v>0.5</v>
      </c>
      <c r="Y80" s="19">
        <f t="shared" si="51"/>
        <v>0.8</v>
      </c>
      <c r="Z80" s="19">
        <f t="shared" si="51"/>
        <v>1.2</v>
      </c>
      <c r="AA80" s="35"/>
      <c r="AB80" s="8">
        <f t="shared" si="52"/>
        <v>1</v>
      </c>
      <c r="AC80" s="8">
        <f t="shared" si="53"/>
        <v>1.2</v>
      </c>
      <c r="AD80" s="8">
        <f t="shared" si="54"/>
        <v>1.5</v>
      </c>
      <c r="AE80" s="8">
        <f t="shared" si="55"/>
        <v>2</v>
      </c>
      <c r="AF80" s="8">
        <f t="shared" si="56"/>
        <v>2.5</v>
      </c>
      <c r="AG80" s="8">
        <f t="shared" si="57"/>
        <v>0.5</v>
      </c>
      <c r="AH80" s="8">
        <f t="shared" si="58"/>
        <v>0.2</v>
      </c>
      <c r="AI80" s="8">
        <f t="shared" si="59"/>
        <v>0.2</v>
      </c>
      <c r="AJ80" s="8">
        <f t="shared" si="60"/>
        <v>0.03</v>
      </c>
      <c r="AK80" s="87"/>
      <c r="AL80" s="8">
        <f t="shared" si="61"/>
        <v>1.2</v>
      </c>
      <c r="AM80" s="91">
        <f t="shared" si="62"/>
        <v>0.2</v>
      </c>
      <c r="AN80" s="91">
        <f t="shared" si="63"/>
        <v>0.3</v>
      </c>
      <c r="AO80" s="91">
        <f t="shared" si="64"/>
        <v>0.5</v>
      </c>
      <c r="AP80" s="91">
        <f t="shared" si="65"/>
        <v>0.8</v>
      </c>
      <c r="AQ80" s="91">
        <f t="shared" si="66"/>
        <v>1.2</v>
      </c>
      <c r="AR80" s="35"/>
      <c r="AS80" s="8">
        <f t="shared" si="40"/>
        <v>0.2</v>
      </c>
      <c r="AT80" s="35"/>
    </row>
    <row r="81" spans="1:46">
      <c r="A81" s="12">
        <v>79</v>
      </c>
      <c r="B81" s="8">
        <f t="shared" si="41"/>
        <v>1.2</v>
      </c>
      <c r="C81" s="8">
        <f t="shared" si="42"/>
        <v>1.5</v>
      </c>
      <c r="D81" s="8">
        <f t="shared" si="43"/>
        <v>2</v>
      </c>
      <c r="E81" s="8">
        <f t="shared" si="43"/>
        <v>2.5</v>
      </c>
      <c r="F81" s="8">
        <f t="shared" si="43"/>
        <v>0.5</v>
      </c>
      <c r="G81" s="8">
        <f t="shared" si="43"/>
        <v>0.3</v>
      </c>
      <c r="H81" s="8">
        <f t="shared" si="43"/>
        <v>0.6</v>
      </c>
      <c r="I81" s="8">
        <f t="shared" si="43"/>
        <v>0.3</v>
      </c>
      <c r="J81" s="8">
        <f t="shared" si="43"/>
        <v>0.8</v>
      </c>
      <c r="K81" s="8">
        <f t="shared" si="44"/>
        <v>1.2</v>
      </c>
      <c r="L81" s="35"/>
      <c r="M81" s="8">
        <f t="shared" si="45"/>
        <v>1.5</v>
      </c>
      <c r="N81" s="8">
        <f t="shared" si="46"/>
        <v>2</v>
      </c>
      <c r="O81" s="79">
        <f t="shared" si="47"/>
        <v>2.5</v>
      </c>
      <c r="P81" s="8">
        <f t="shared" si="47"/>
        <v>3</v>
      </c>
      <c r="Q81" s="8">
        <f t="shared" si="47"/>
        <v>3.5</v>
      </c>
      <c r="R81" s="11">
        <f t="shared" si="47"/>
        <v>0.75</v>
      </c>
      <c r="S81" s="11">
        <f t="shared" si="48"/>
        <v>0.3</v>
      </c>
      <c r="T81" s="11">
        <f t="shared" si="49"/>
        <v>0.3</v>
      </c>
      <c r="U81" s="29">
        <f t="shared" si="50"/>
        <v>0.05</v>
      </c>
      <c r="V81" s="19">
        <f t="shared" si="51"/>
        <v>0.2</v>
      </c>
      <c r="W81" s="19">
        <f t="shared" si="51"/>
        <v>0.3</v>
      </c>
      <c r="X81" s="19">
        <f t="shared" si="51"/>
        <v>0.5</v>
      </c>
      <c r="Y81" s="19">
        <f t="shared" si="51"/>
        <v>0.8</v>
      </c>
      <c r="Z81" s="19">
        <f t="shared" si="51"/>
        <v>1.2</v>
      </c>
      <c r="AA81" s="35"/>
      <c r="AB81" s="8">
        <f t="shared" si="52"/>
        <v>1</v>
      </c>
      <c r="AC81" s="8">
        <f t="shared" si="53"/>
        <v>1.2</v>
      </c>
      <c r="AD81" s="8">
        <f t="shared" si="54"/>
        <v>1.5</v>
      </c>
      <c r="AE81" s="8">
        <f t="shared" si="55"/>
        <v>2</v>
      </c>
      <c r="AF81" s="8">
        <f t="shared" si="56"/>
        <v>2.5</v>
      </c>
      <c r="AG81" s="8">
        <f t="shared" si="57"/>
        <v>0.5</v>
      </c>
      <c r="AH81" s="8">
        <f t="shared" si="58"/>
        <v>0.2</v>
      </c>
      <c r="AI81" s="8">
        <f t="shared" si="59"/>
        <v>0.2</v>
      </c>
      <c r="AJ81" s="8">
        <f t="shared" si="60"/>
        <v>0.03</v>
      </c>
      <c r="AK81" s="87"/>
      <c r="AL81" s="8">
        <f t="shared" si="61"/>
        <v>1.2</v>
      </c>
      <c r="AM81" s="91">
        <f t="shared" si="62"/>
        <v>0.2</v>
      </c>
      <c r="AN81" s="91">
        <f t="shared" si="63"/>
        <v>0.3</v>
      </c>
      <c r="AO81" s="91">
        <f t="shared" si="64"/>
        <v>0.5</v>
      </c>
      <c r="AP81" s="91">
        <f t="shared" si="65"/>
        <v>0.8</v>
      </c>
      <c r="AQ81" s="91">
        <f t="shared" si="66"/>
        <v>1.2</v>
      </c>
      <c r="AR81" s="35"/>
      <c r="AS81" s="8">
        <f t="shared" si="40"/>
        <v>0.2</v>
      </c>
      <c r="AT81" s="35"/>
    </row>
    <row r="82" spans="1:46">
      <c r="A82" s="12">
        <v>80</v>
      </c>
      <c r="B82" s="8">
        <f t="shared" si="41"/>
        <v>1.2</v>
      </c>
      <c r="C82" s="8">
        <f t="shared" si="42"/>
        <v>1.5</v>
      </c>
      <c r="D82" s="8">
        <f t="shared" si="43"/>
        <v>2</v>
      </c>
      <c r="E82" s="8">
        <f t="shared" si="43"/>
        <v>2.5</v>
      </c>
      <c r="F82" s="8">
        <f t="shared" si="43"/>
        <v>0.5</v>
      </c>
      <c r="G82" s="8">
        <f t="shared" si="43"/>
        <v>0.3</v>
      </c>
      <c r="H82" s="8">
        <f t="shared" si="43"/>
        <v>0.6</v>
      </c>
      <c r="I82" s="8">
        <f t="shared" si="43"/>
        <v>0.3</v>
      </c>
      <c r="J82" s="8">
        <f t="shared" si="43"/>
        <v>0.8</v>
      </c>
      <c r="K82" s="8">
        <f t="shared" si="44"/>
        <v>1.2</v>
      </c>
      <c r="L82" s="35"/>
      <c r="M82" s="8">
        <f t="shared" si="45"/>
        <v>1.5</v>
      </c>
      <c r="N82" s="8">
        <f t="shared" si="46"/>
        <v>2</v>
      </c>
      <c r="O82" s="79">
        <f t="shared" si="47"/>
        <v>2.5</v>
      </c>
      <c r="P82" s="8">
        <f t="shared" si="47"/>
        <v>3</v>
      </c>
      <c r="Q82" s="8">
        <f t="shared" si="47"/>
        <v>3.5</v>
      </c>
      <c r="R82" s="11">
        <f t="shared" si="47"/>
        <v>0.75</v>
      </c>
      <c r="S82" s="11">
        <f t="shared" si="48"/>
        <v>0.3</v>
      </c>
      <c r="T82" s="11">
        <f t="shared" si="49"/>
        <v>0.3</v>
      </c>
      <c r="U82" s="29">
        <f t="shared" si="50"/>
        <v>0.05</v>
      </c>
      <c r="V82" s="19">
        <f t="shared" si="51"/>
        <v>0.2</v>
      </c>
      <c r="W82" s="19">
        <f t="shared" si="51"/>
        <v>0.3</v>
      </c>
      <c r="X82" s="19">
        <f t="shared" si="51"/>
        <v>0.5</v>
      </c>
      <c r="Y82" s="19">
        <f t="shared" si="51"/>
        <v>0.8</v>
      </c>
      <c r="Z82" s="19">
        <f t="shared" si="51"/>
        <v>1.2</v>
      </c>
      <c r="AA82" s="35"/>
      <c r="AB82" s="8">
        <f t="shared" si="52"/>
        <v>1</v>
      </c>
      <c r="AC82" s="8">
        <f t="shared" si="53"/>
        <v>1.2</v>
      </c>
      <c r="AD82" s="8">
        <f t="shared" si="54"/>
        <v>1.5</v>
      </c>
      <c r="AE82" s="8">
        <f t="shared" si="55"/>
        <v>2</v>
      </c>
      <c r="AF82" s="8">
        <f t="shared" si="56"/>
        <v>2.5</v>
      </c>
      <c r="AG82" s="8">
        <f t="shared" si="57"/>
        <v>0.5</v>
      </c>
      <c r="AH82" s="8">
        <f t="shared" si="58"/>
        <v>0.2</v>
      </c>
      <c r="AI82" s="8">
        <f t="shared" si="59"/>
        <v>0.2</v>
      </c>
      <c r="AJ82" s="8">
        <f t="shared" si="60"/>
        <v>0.03</v>
      </c>
      <c r="AK82" s="87"/>
      <c r="AL82" s="8">
        <f t="shared" si="61"/>
        <v>1.2</v>
      </c>
      <c r="AM82" s="91">
        <f t="shared" si="62"/>
        <v>0.2</v>
      </c>
      <c r="AN82" s="91">
        <f t="shared" si="63"/>
        <v>0.3</v>
      </c>
      <c r="AO82" s="91">
        <f t="shared" si="64"/>
        <v>0.5</v>
      </c>
      <c r="AP82" s="91">
        <f t="shared" si="65"/>
        <v>0.8</v>
      </c>
      <c r="AQ82" s="91">
        <f t="shared" si="66"/>
        <v>1.2</v>
      </c>
      <c r="AR82" s="35"/>
      <c r="AS82" s="8">
        <f t="shared" si="40"/>
        <v>0.2</v>
      </c>
      <c r="AT82" s="35"/>
    </row>
    <row r="83" spans="1:46">
      <c r="A83" s="12">
        <v>81</v>
      </c>
      <c r="B83" s="8">
        <f t="shared" si="41"/>
        <v>1.2</v>
      </c>
      <c r="C83" s="8">
        <f t="shared" si="42"/>
        <v>1.5</v>
      </c>
      <c r="D83" s="8">
        <f t="shared" si="43"/>
        <v>2</v>
      </c>
      <c r="E83" s="8">
        <f t="shared" si="43"/>
        <v>2.5</v>
      </c>
      <c r="F83" s="8">
        <f t="shared" si="43"/>
        <v>0.5</v>
      </c>
      <c r="G83" s="8">
        <f t="shared" si="43"/>
        <v>0.3</v>
      </c>
      <c r="H83" s="8">
        <f t="shared" si="43"/>
        <v>0.6</v>
      </c>
      <c r="I83" s="8">
        <f t="shared" si="43"/>
        <v>0.3</v>
      </c>
      <c r="J83" s="8">
        <f t="shared" si="43"/>
        <v>0.8</v>
      </c>
      <c r="K83" s="8">
        <f t="shared" si="44"/>
        <v>1.2</v>
      </c>
      <c r="L83" s="35"/>
      <c r="M83" s="8">
        <f t="shared" si="45"/>
        <v>1.5</v>
      </c>
      <c r="N83" s="8">
        <f t="shared" si="46"/>
        <v>2</v>
      </c>
      <c r="O83" s="79">
        <f t="shared" si="47"/>
        <v>2.5</v>
      </c>
      <c r="P83" s="8">
        <f t="shared" si="47"/>
        <v>3</v>
      </c>
      <c r="Q83" s="8">
        <f t="shared" si="47"/>
        <v>3.5</v>
      </c>
      <c r="R83" s="11">
        <f t="shared" si="47"/>
        <v>0.75</v>
      </c>
      <c r="S83" s="11">
        <f t="shared" si="48"/>
        <v>0.3</v>
      </c>
      <c r="T83" s="11">
        <f t="shared" si="49"/>
        <v>0.3</v>
      </c>
      <c r="U83" s="29">
        <f t="shared" si="50"/>
        <v>0.05</v>
      </c>
      <c r="V83" s="19">
        <f t="shared" si="51"/>
        <v>0.2</v>
      </c>
      <c r="W83" s="19">
        <f t="shared" si="51"/>
        <v>0.3</v>
      </c>
      <c r="X83" s="19">
        <f t="shared" si="51"/>
        <v>0.5</v>
      </c>
      <c r="Y83" s="19">
        <f t="shared" si="51"/>
        <v>0.8</v>
      </c>
      <c r="Z83" s="19">
        <f t="shared" si="51"/>
        <v>1.2</v>
      </c>
      <c r="AA83" s="35"/>
      <c r="AB83" s="8">
        <f t="shared" si="52"/>
        <v>1</v>
      </c>
      <c r="AC83" s="8">
        <f t="shared" si="53"/>
        <v>1.2</v>
      </c>
      <c r="AD83" s="8">
        <f t="shared" si="54"/>
        <v>1.5</v>
      </c>
      <c r="AE83" s="8">
        <f t="shared" si="55"/>
        <v>2</v>
      </c>
      <c r="AF83" s="8">
        <f t="shared" si="56"/>
        <v>2.5</v>
      </c>
      <c r="AG83" s="8">
        <f t="shared" si="57"/>
        <v>0.5</v>
      </c>
      <c r="AH83" s="8">
        <f t="shared" si="58"/>
        <v>0.2</v>
      </c>
      <c r="AI83" s="8">
        <f t="shared" si="59"/>
        <v>0.2</v>
      </c>
      <c r="AJ83" s="8">
        <f t="shared" si="60"/>
        <v>0.03</v>
      </c>
      <c r="AK83" s="87"/>
      <c r="AL83" s="8">
        <f t="shared" si="61"/>
        <v>1.2</v>
      </c>
      <c r="AM83" s="91">
        <f t="shared" si="62"/>
        <v>0.2</v>
      </c>
      <c r="AN83" s="91">
        <f t="shared" si="63"/>
        <v>0.3</v>
      </c>
      <c r="AO83" s="91">
        <f t="shared" si="64"/>
        <v>0.5</v>
      </c>
      <c r="AP83" s="91">
        <f t="shared" si="65"/>
        <v>0.8</v>
      </c>
      <c r="AQ83" s="91">
        <f t="shared" si="66"/>
        <v>1.2</v>
      </c>
      <c r="AR83" s="35"/>
      <c r="AS83" s="8">
        <f t="shared" si="40"/>
        <v>0.2</v>
      </c>
      <c r="AT83" s="35"/>
    </row>
    <row r="84" spans="1:46">
      <c r="A84" s="12">
        <v>82</v>
      </c>
      <c r="B84" s="8">
        <f t="shared" si="41"/>
        <v>1.2</v>
      </c>
      <c r="C84" s="8">
        <f t="shared" si="42"/>
        <v>1.5</v>
      </c>
      <c r="D84" s="8">
        <f t="shared" si="43"/>
        <v>2</v>
      </c>
      <c r="E84" s="8">
        <f t="shared" si="43"/>
        <v>2.5</v>
      </c>
      <c r="F84" s="8">
        <f t="shared" si="43"/>
        <v>0.5</v>
      </c>
      <c r="G84" s="8">
        <f t="shared" si="43"/>
        <v>0.3</v>
      </c>
      <c r="H84" s="8">
        <f t="shared" si="43"/>
        <v>0.6</v>
      </c>
      <c r="I84" s="8">
        <f t="shared" si="43"/>
        <v>0.3</v>
      </c>
      <c r="J84" s="8">
        <f t="shared" si="43"/>
        <v>0.8</v>
      </c>
      <c r="K84" s="8">
        <f t="shared" si="44"/>
        <v>1.2</v>
      </c>
      <c r="L84" s="35"/>
      <c r="M84" s="8">
        <f t="shared" si="45"/>
        <v>1.5</v>
      </c>
      <c r="N84" s="8">
        <f t="shared" si="46"/>
        <v>2</v>
      </c>
      <c r="O84" s="79">
        <f t="shared" si="47"/>
        <v>2.5</v>
      </c>
      <c r="P84" s="8">
        <f t="shared" si="47"/>
        <v>3</v>
      </c>
      <c r="Q84" s="8">
        <f t="shared" si="47"/>
        <v>3.5</v>
      </c>
      <c r="R84" s="11">
        <f t="shared" si="47"/>
        <v>0.75</v>
      </c>
      <c r="S84" s="11">
        <f t="shared" si="48"/>
        <v>0.3</v>
      </c>
      <c r="T84" s="11">
        <f t="shared" si="49"/>
        <v>0.3</v>
      </c>
      <c r="U84" s="29">
        <f t="shared" si="50"/>
        <v>0.05</v>
      </c>
      <c r="V84" s="19">
        <f t="shared" si="51"/>
        <v>0.2</v>
      </c>
      <c r="W84" s="19">
        <f t="shared" si="51"/>
        <v>0.3</v>
      </c>
      <c r="X84" s="19">
        <f t="shared" si="51"/>
        <v>0.5</v>
      </c>
      <c r="Y84" s="19">
        <f t="shared" si="51"/>
        <v>0.8</v>
      </c>
      <c r="Z84" s="19">
        <f t="shared" si="51"/>
        <v>1.2</v>
      </c>
      <c r="AA84" s="35"/>
      <c r="AB84" s="8">
        <f t="shared" si="52"/>
        <v>1</v>
      </c>
      <c r="AC84" s="8">
        <f t="shared" si="53"/>
        <v>1.2</v>
      </c>
      <c r="AD84" s="8">
        <f t="shared" si="54"/>
        <v>1.5</v>
      </c>
      <c r="AE84" s="8">
        <f t="shared" si="55"/>
        <v>2</v>
      </c>
      <c r="AF84" s="8">
        <f t="shared" si="56"/>
        <v>2.5</v>
      </c>
      <c r="AG84" s="8">
        <f t="shared" si="57"/>
        <v>0.5</v>
      </c>
      <c r="AH84" s="8">
        <f t="shared" si="58"/>
        <v>0.2</v>
      </c>
      <c r="AI84" s="8">
        <f t="shared" si="59"/>
        <v>0.2</v>
      </c>
      <c r="AJ84" s="8">
        <f t="shared" si="60"/>
        <v>0.03</v>
      </c>
      <c r="AK84" s="87"/>
      <c r="AL84" s="8">
        <f t="shared" si="61"/>
        <v>1.2</v>
      </c>
      <c r="AM84" s="91">
        <f t="shared" si="62"/>
        <v>0.2</v>
      </c>
      <c r="AN84" s="91">
        <f t="shared" si="63"/>
        <v>0.3</v>
      </c>
      <c r="AO84" s="91">
        <f t="shared" si="64"/>
        <v>0.5</v>
      </c>
      <c r="AP84" s="91">
        <f t="shared" si="65"/>
        <v>0.8</v>
      </c>
      <c r="AQ84" s="91">
        <f t="shared" si="66"/>
        <v>1.2</v>
      </c>
      <c r="AR84" s="35"/>
      <c r="AS84" s="8">
        <f t="shared" si="40"/>
        <v>0.2</v>
      </c>
      <c r="AT84" s="35"/>
    </row>
    <row r="85" spans="1:46">
      <c r="A85" s="12">
        <v>83</v>
      </c>
      <c r="B85" s="8">
        <f t="shared" si="41"/>
        <v>1.2</v>
      </c>
      <c r="C85" s="8">
        <f t="shared" si="42"/>
        <v>1.5</v>
      </c>
      <c r="D85" s="8">
        <f t="shared" si="43"/>
        <v>2</v>
      </c>
      <c r="E85" s="8">
        <f t="shared" si="43"/>
        <v>2.5</v>
      </c>
      <c r="F85" s="8">
        <f t="shared" si="43"/>
        <v>0.5</v>
      </c>
      <c r="G85" s="8">
        <f t="shared" si="43"/>
        <v>0.3</v>
      </c>
      <c r="H85" s="8">
        <f t="shared" si="43"/>
        <v>0.6</v>
      </c>
      <c r="I85" s="8">
        <f t="shared" si="43"/>
        <v>0.3</v>
      </c>
      <c r="J85" s="8">
        <f t="shared" si="43"/>
        <v>0.8</v>
      </c>
      <c r="K85" s="8">
        <f t="shared" si="44"/>
        <v>1.2</v>
      </c>
      <c r="L85" s="35"/>
      <c r="M85" s="8">
        <f t="shared" si="45"/>
        <v>1.5</v>
      </c>
      <c r="N85" s="8">
        <f t="shared" si="46"/>
        <v>2</v>
      </c>
      <c r="O85" s="79">
        <f t="shared" si="47"/>
        <v>2.5</v>
      </c>
      <c r="P85" s="8">
        <f t="shared" si="47"/>
        <v>3</v>
      </c>
      <c r="Q85" s="8">
        <f t="shared" si="47"/>
        <v>3.5</v>
      </c>
      <c r="R85" s="11">
        <f t="shared" si="47"/>
        <v>0.75</v>
      </c>
      <c r="S85" s="11">
        <f t="shared" si="48"/>
        <v>0.3</v>
      </c>
      <c r="T85" s="11">
        <f t="shared" si="49"/>
        <v>0.3</v>
      </c>
      <c r="U85" s="29">
        <f t="shared" si="50"/>
        <v>0.05</v>
      </c>
      <c r="V85" s="19">
        <f t="shared" si="51"/>
        <v>0.2</v>
      </c>
      <c r="W85" s="19">
        <f t="shared" si="51"/>
        <v>0.3</v>
      </c>
      <c r="X85" s="19">
        <f t="shared" si="51"/>
        <v>0.5</v>
      </c>
      <c r="Y85" s="19">
        <f t="shared" si="51"/>
        <v>0.8</v>
      </c>
      <c r="Z85" s="19">
        <f t="shared" si="51"/>
        <v>1.2</v>
      </c>
      <c r="AA85" s="35"/>
      <c r="AB85" s="8">
        <f t="shared" si="52"/>
        <v>1</v>
      </c>
      <c r="AC85" s="8">
        <f t="shared" si="53"/>
        <v>1.2</v>
      </c>
      <c r="AD85" s="8">
        <f t="shared" si="54"/>
        <v>1.5</v>
      </c>
      <c r="AE85" s="8">
        <f t="shared" si="55"/>
        <v>2</v>
      </c>
      <c r="AF85" s="8">
        <f t="shared" si="56"/>
        <v>2.5</v>
      </c>
      <c r="AG85" s="8">
        <f t="shared" si="57"/>
        <v>0.5</v>
      </c>
      <c r="AH85" s="8">
        <f t="shared" si="58"/>
        <v>0.2</v>
      </c>
      <c r="AI85" s="8">
        <f t="shared" si="59"/>
        <v>0.2</v>
      </c>
      <c r="AJ85" s="8">
        <f t="shared" si="60"/>
        <v>0.03</v>
      </c>
      <c r="AK85" s="87"/>
      <c r="AL85" s="8">
        <f t="shared" si="61"/>
        <v>1.2</v>
      </c>
      <c r="AM85" s="91">
        <f t="shared" si="62"/>
        <v>0.2</v>
      </c>
      <c r="AN85" s="91">
        <f t="shared" si="63"/>
        <v>0.3</v>
      </c>
      <c r="AO85" s="91">
        <f t="shared" si="64"/>
        <v>0.5</v>
      </c>
      <c r="AP85" s="91">
        <f t="shared" si="65"/>
        <v>0.8</v>
      </c>
      <c r="AQ85" s="91">
        <f t="shared" si="66"/>
        <v>1.2</v>
      </c>
      <c r="AR85" s="35"/>
      <c r="AS85" s="8">
        <f t="shared" si="40"/>
        <v>0.2</v>
      </c>
      <c r="AT85" s="35"/>
    </row>
    <row r="86" spans="1:46">
      <c r="A86" s="12">
        <v>84</v>
      </c>
      <c r="B86" s="8">
        <f t="shared" si="41"/>
        <v>1.2</v>
      </c>
      <c r="C86" s="8">
        <f t="shared" si="42"/>
        <v>1.5</v>
      </c>
      <c r="D86" s="8">
        <f t="shared" si="43"/>
        <v>2</v>
      </c>
      <c r="E86" s="8">
        <f t="shared" si="43"/>
        <v>2.5</v>
      </c>
      <c r="F86" s="8">
        <f t="shared" si="43"/>
        <v>0.5</v>
      </c>
      <c r="G86" s="8">
        <f t="shared" si="43"/>
        <v>0.3</v>
      </c>
      <c r="H86" s="8">
        <f t="shared" si="43"/>
        <v>0.6</v>
      </c>
      <c r="I86" s="8">
        <f t="shared" si="43"/>
        <v>0.3</v>
      </c>
      <c r="J86" s="8">
        <f t="shared" si="43"/>
        <v>0.8</v>
      </c>
      <c r="K86" s="8">
        <f t="shared" si="44"/>
        <v>1.2</v>
      </c>
      <c r="L86" s="35"/>
      <c r="M86" s="8">
        <f t="shared" si="45"/>
        <v>1.5</v>
      </c>
      <c r="N86" s="8">
        <f t="shared" si="46"/>
        <v>2</v>
      </c>
      <c r="O86" s="79">
        <f t="shared" si="47"/>
        <v>2.5</v>
      </c>
      <c r="P86" s="8">
        <f t="shared" si="47"/>
        <v>3</v>
      </c>
      <c r="Q86" s="8">
        <f t="shared" si="47"/>
        <v>3.5</v>
      </c>
      <c r="R86" s="11">
        <f t="shared" si="47"/>
        <v>0.75</v>
      </c>
      <c r="S86" s="11">
        <f t="shared" si="48"/>
        <v>0.3</v>
      </c>
      <c r="T86" s="11">
        <f t="shared" si="49"/>
        <v>0.3</v>
      </c>
      <c r="U86" s="29">
        <f t="shared" si="50"/>
        <v>0.05</v>
      </c>
      <c r="V86" s="19">
        <f t="shared" si="51"/>
        <v>0.2</v>
      </c>
      <c r="W86" s="19">
        <f t="shared" si="51"/>
        <v>0.3</v>
      </c>
      <c r="X86" s="19">
        <f t="shared" si="51"/>
        <v>0.5</v>
      </c>
      <c r="Y86" s="19">
        <f t="shared" si="51"/>
        <v>0.8</v>
      </c>
      <c r="Z86" s="19">
        <f t="shared" si="51"/>
        <v>1.2</v>
      </c>
      <c r="AA86" s="35"/>
      <c r="AB86" s="8">
        <f t="shared" si="52"/>
        <v>1</v>
      </c>
      <c r="AC86" s="8">
        <f t="shared" si="53"/>
        <v>1.2</v>
      </c>
      <c r="AD86" s="8">
        <f t="shared" si="54"/>
        <v>1.5</v>
      </c>
      <c r="AE86" s="8">
        <f t="shared" si="55"/>
        <v>2</v>
      </c>
      <c r="AF86" s="8">
        <f t="shared" si="56"/>
        <v>2.5</v>
      </c>
      <c r="AG86" s="8">
        <f t="shared" si="57"/>
        <v>0.5</v>
      </c>
      <c r="AH86" s="8">
        <f t="shared" si="58"/>
        <v>0.2</v>
      </c>
      <c r="AI86" s="8">
        <f t="shared" si="59"/>
        <v>0.2</v>
      </c>
      <c r="AJ86" s="8">
        <f t="shared" si="60"/>
        <v>0.03</v>
      </c>
      <c r="AK86" s="87"/>
      <c r="AL86" s="8">
        <f t="shared" si="61"/>
        <v>1.2</v>
      </c>
      <c r="AM86" s="91">
        <f t="shared" si="62"/>
        <v>0.2</v>
      </c>
      <c r="AN86" s="91">
        <f t="shared" si="63"/>
        <v>0.3</v>
      </c>
      <c r="AO86" s="91">
        <f t="shared" si="64"/>
        <v>0.5</v>
      </c>
      <c r="AP86" s="91">
        <f t="shared" si="65"/>
        <v>0.8</v>
      </c>
      <c r="AQ86" s="91">
        <f t="shared" si="66"/>
        <v>1.2</v>
      </c>
      <c r="AR86" s="35"/>
      <c r="AS86" s="8">
        <f t="shared" si="40"/>
        <v>0.2</v>
      </c>
      <c r="AT86" s="35"/>
    </row>
    <row r="87" spans="1:46">
      <c r="A87" s="12">
        <v>85</v>
      </c>
      <c r="B87" s="8">
        <f t="shared" si="41"/>
        <v>1.2</v>
      </c>
      <c r="C87" s="8">
        <f t="shared" si="42"/>
        <v>1.5</v>
      </c>
      <c r="D87" s="8">
        <f t="shared" si="43"/>
        <v>2</v>
      </c>
      <c r="E87" s="8">
        <f t="shared" si="43"/>
        <v>2.5</v>
      </c>
      <c r="F87" s="8">
        <f t="shared" si="43"/>
        <v>0.5</v>
      </c>
      <c r="G87" s="8">
        <f t="shared" si="43"/>
        <v>0.3</v>
      </c>
      <c r="H87" s="8">
        <f t="shared" si="43"/>
        <v>0.6</v>
      </c>
      <c r="I87" s="8">
        <f t="shared" si="43"/>
        <v>0.3</v>
      </c>
      <c r="J87" s="8">
        <f t="shared" si="43"/>
        <v>0.8</v>
      </c>
      <c r="K87" s="8">
        <f t="shared" si="44"/>
        <v>1.2</v>
      </c>
      <c r="L87" s="35"/>
      <c r="M87" s="8">
        <f t="shared" si="45"/>
        <v>1.5</v>
      </c>
      <c r="N87" s="8">
        <f t="shared" si="46"/>
        <v>2</v>
      </c>
      <c r="O87" s="79">
        <f t="shared" si="47"/>
        <v>2.5</v>
      </c>
      <c r="P87" s="8">
        <f t="shared" si="47"/>
        <v>3</v>
      </c>
      <c r="Q87" s="8">
        <f t="shared" si="47"/>
        <v>3.5</v>
      </c>
      <c r="R87" s="11">
        <f t="shared" si="47"/>
        <v>0.75</v>
      </c>
      <c r="S87" s="11">
        <f t="shared" si="48"/>
        <v>0.3</v>
      </c>
      <c r="T87" s="11">
        <f t="shared" si="49"/>
        <v>0.3</v>
      </c>
      <c r="U87" s="29">
        <f t="shared" si="50"/>
        <v>0.05</v>
      </c>
      <c r="V87" s="19">
        <f t="shared" si="51"/>
        <v>0.2</v>
      </c>
      <c r="W87" s="19">
        <f t="shared" si="51"/>
        <v>0.3</v>
      </c>
      <c r="X87" s="19">
        <f t="shared" si="51"/>
        <v>0.5</v>
      </c>
      <c r="Y87" s="19">
        <f t="shared" si="51"/>
        <v>0.8</v>
      </c>
      <c r="Z87" s="19">
        <f t="shared" si="51"/>
        <v>1.2</v>
      </c>
      <c r="AA87" s="35"/>
      <c r="AB87" s="8">
        <f t="shared" si="52"/>
        <v>1</v>
      </c>
      <c r="AC87" s="8">
        <f t="shared" si="53"/>
        <v>1.2</v>
      </c>
      <c r="AD87" s="8">
        <f t="shared" si="54"/>
        <v>1.5</v>
      </c>
      <c r="AE87" s="8">
        <f t="shared" si="55"/>
        <v>2</v>
      </c>
      <c r="AF87" s="8">
        <f t="shared" si="56"/>
        <v>2.5</v>
      </c>
      <c r="AG87" s="8">
        <f t="shared" si="57"/>
        <v>0.5</v>
      </c>
      <c r="AH87" s="8">
        <f t="shared" si="58"/>
        <v>0.2</v>
      </c>
      <c r="AI87" s="8">
        <f t="shared" si="59"/>
        <v>0.2</v>
      </c>
      <c r="AJ87" s="8">
        <f t="shared" si="60"/>
        <v>0.03</v>
      </c>
      <c r="AK87" s="87"/>
      <c r="AL87" s="8">
        <f t="shared" si="61"/>
        <v>1.2</v>
      </c>
      <c r="AM87" s="91">
        <f t="shared" si="62"/>
        <v>0.2</v>
      </c>
      <c r="AN87" s="91">
        <f t="shared" si="63"/>
        <v>0.3</v>
      </c>
      <c r="AO87" s="91">
        <f t="shared" si="64"/>
        <v>0.5</v>
      </c>
      <c r="AP87" s="91">
        <f t="shared" si="65"/>
        <v>0.8</v>
      </c>
      <c r="AQ87" s="91">
        <f t="shared" si="66"/>
        <v>1.2</v>
      </c>
      <c r="AR87" s="35"/>
      <c r="AS87" s="8">
        <f t="shared" si="40"/>
        <v>0.2</v>
      </c>
      <c r="AT87" s="35"/>
    </row>
    <row r="88" spans="1:46">
      <c r="A88" s="12">
        <v>86</v>
      </c>
      <c r="B88" s="8">
        <f t="shared" si="41"/>
        <v>1.2</v>
      </c>
      <c r="C88" s="8">
        <f t="shared" si="42"/>
        <v>1.5</v>
      </c>
      <c r="D88" s="8">
        <f t="shared" si="43"/>
        <v>2</v>
      </c>
      <c r="E88" s="8">
        <f t="shared" si="43"/>
        <v>2.5</v>
      </c>
      <c r="F88" s="8">
        <f t="shared" si="43"/>
        <v>0.5</v>
      </c>
      <c r="G88" s="8">
        <f t="shared" si="43"/>
        <v>0.3</v>
      </c>
      <c r="H88" s="8">
        <f t="shared" si="43"/>
        <v>0.6</v>
      </c>
      <c r="I88" s="8">
        <f t="shared" si="43"/>
        <v>0.3</v>
      </c>
      <c r="J88" s="8">
        <f t="shared" si="43"/>
        <v>0.8</v>
      </c>
      <c r="K88" s="8">
        <f t="shared" si="44"/>
        <v>1.2</v>
      </c>
      <c r="L88" s="35"/>
      <c r="M88" s="8">
        <f t="shared" si="45"/>
        <v>1.5</v>
      </c>
      <c r="N88" s="8">
        <f t="shared" si="46"/>
        <v>2</v>
      </c>
      <c r="O88" s="79">
        <f t="shared" si="47"/>
        <v>2.5</v>
      </c>
      <c r="P88" s="8">
        <f t="shared" si="47"/>
        <v>3</v>
      </c>
      <c r="Q88" s="8">
        <f t="shared" si="47"/>
        <v>3.5</v>
      </c>
      <c r="R88" s="11">
        <f t="shared" si="47"/>
        <v>0.75</v>
      </c>
      <c r="S88" s="11">
        <f t="shared" si="48"/>
        <v>0.3</v>
      </c>
      <c r="T88" s="11">
        <f t="shared" si="49"/>
        <v>0.3</v>
      </c>
      <c r="U88" s="29">
        <f t="shared" si="50"/>
        <v>0.05</v>
      </c>
      <c r="V88" s="19">
        <f t="shared" si="51"/>
        <v>0.2</v>
      </c>
      <c r="W88" s="19">
        <f t="shared" si="51"/>
        <v>0.3</v>
      </c>
      <c r="X88" s="19">
        <f t="shared" si="51"/>
        <v>0.5</v>
      </c>
      <c r="Y88" s="19">
        <f t="shared" si="51"/>
        <v>0.8</v>
      </c>
      <c r="Z88" s="19">
        <f t="shared" si="51"/>
        <v>1.2</v>
      </c>
      <c r="AA88" s="35"/>
      <c r="AB88" s="8">
        <f t="shared" si="52"/>
        <v>1</v>
      </c>
      <c r="AC88" s="8">
        <f t="shared" si="53"/>
        <v>1.2</v>
      </c>
      <c r="AD88" s="8">
        <f t="shared" si="54"/>
        <v>1.5</v>
      </c>
      <c r="AE88" s="8">
        <f t="shared" si="55"/>
        <v>2</v>
      </c>
      <c r="AF88" s="8">
        <f t="shared" si="56"/>
        <v>2.5</v>
      </c>
      <c r="AG88" s="8">
        <f t="shared" si="57"/>
        <v>0.5</v>
      </c>
      <c r="AH88" s="8">
        <f t="shared" si="58"/>
        <v>0.2</v>
      </c>
      <c r="AI88" s="8">
        <f t="shared" si="59"/>
        <v>0.2</v>
      </c>
      <c r="AJ88" s="8">
        <f t="shared" si="60"/>
        <v>0.03</v>
      </c>
      <c r="AK88" s="87"/>
      <c r="AL88" s="8">
        <f t="shared" si="61"/>
        <v>1.2</v>
      </c>
      <c r="AM88" s="91">
        <f t="shared" si="62"/>
        <v>0.2</v>
      </c>
      <c r="AN88" s="91">
        <f t="shared" si="63"/>
        <v>0.3</v>
      </c>
      <c r="AO88" s="91">
        <f t="shared" si="64"/>
        <v>0.5</v>
      </c>
      <c r="AP88" s="91">
        <f t="shared" si="65"/>
        <v>0.8</v>
      </c>
      <c r="AQ88" s="91">
        <f t="shared" si="66"/>
        <v>1.2</v>
      </c>
      <c r="AR88" s="35"/>
      <c r="AS88" s="8">
        <f t="shared" si="40"/>
        <v>0.2</v>
      </c>
      <c r="AT88" s="35"/>
    </row>
    <row r="89" spans="1:46">
      <c r="A89" s="12">
        <v>87</v>
      </c>
      <c r="B89" s="8">
        <f t="shared" si="41"/>
        <v>1.2</v>
      </c>
      <c r="C89" s="8">
        <f t="shared" si="42"/>
        <v>1.5</v>
      </c>
      <c r="D89" s="8">
        <f t="shared" si="43"/>
        <v>2</v>
      </c>
      <c r="E89" s="8">
        <f t="shared" si="43"/>
        <v>2.5</v>
      </c>
      <c r="F89" s="8">
        <f t="shared" si="43"/>
        <v>0.5</v>
      </c>
      <c r="G89" s="8">
        <f t="shared" si="43"/>
        <v>0.3</v>
      </c>
      <c r="H89" s="8">
        <f t="shared" si="43"/>
        <v>0.6</v>
      </c>
      <c r="I89" s="8">
        <f t="shared" si="43"/>
        <v>0.3</v>
      </c>
      <c r="J89" s="8">
        <f t="shared" si="43"/>
        <v>0.8</v>
      </c>
      <c r="K89" s="8">
        <f t="shared" si="44"/>
        <v>1.2</v>
      </c>
      <c r="L89" s="35"/>
      <c r="M89" s="8">
        <f t="shared" si="45"/>
        <v>1.5</v>
      </c>
      <c r="N89" s="8">
        <f t="shared" si="46"/>
        <v>2</v>
      </c>
      <c r="O89" s="79">
        <f t="shared" si="47"/>
        <v>2.5</v>
      </c>
      <c r="P89" s="8">
        <f t="shared" si="47"/>
        <v>3</v>
      </c>
      <c r="Q89" s="8">
        <f t="shared" si="47"/>
        <v>3.5</v>
      </c>
      <c r="R89" s="11">
        <f t="shared" si="47"/>
        <v>0.75</v>
      </c>
      <c r="S89" s="11">
        <f t="shared" si="48"/>
        <v>0.3</v>
      </c>
      <c r="T89" s="11">
        <f t="shared" si="49"/>
        <v>0.3</v>
      </c>
      <c r="U89" s="29">
        <f t="shared" si="50"/>
        <v>0.05</v>
      </c>
      <c r="V89" s="19">
        <f t="shared" si="51"/>
        <v>0.2</v>
      </c>
      <c r="W89" s="19">
        <f t="shared" si="51"/>
        <v>0.3</v>
      </c>
      <c r="X89" s="19">
        <f t="shared" si="51"/>
        <v>0.5</v>
      </c>
      <c r="Y89" s="19">
        <f t="shared" si="51"/>
        <v>0.8</v>
      </c>
      <c r="Z89" s="19">
        <f t="shared" si="51"/>
        <v>1.2</v>
      </c>
      <c r="AA89" s="35"/>
      <c r="AB89" s="8">
        <f t="shared" si="52"/>
        <v>1</v>
      </c>
      <c r="AC89" s="8">
        <f t="shared" si="53"/>
        <v>1.2</v>
      </c>
      <c r="AD89" s="8">
        <f t="shared" si="54"/>
        <v>1.5</v>
      </c>
      <c r="AE89" s="8">
        <f t="shared" si="55"/>
        <v>2</v>
      </c>
      <c r="AF89" s="8">
        <f t="shared" si="56"/>
        <v>2.5</v>
      </c>
      <c r="AG89" s="8">
        <f t="shared" si="57"/>
        <v>0.5</v>
      </c>
      <c r="AH89" s="8">
        <f t="shared" si="58"/>
        <v>0.2</v>
      </c>
      <c r="AI89" s="8">
        <f t="shared" si="59"/>
        <v>0.2</v>
      </c>
      <c r="AJ89" s="8">
        <f t="shared" si="60"/>
        <v>0.03</v>
      </c>
      <c r="AK89" s="87"/>
      <c r="AL89" s="8">
        <f t="shared" si="61"/>
        <v>1.2</v>
      </c>
      <c r="AM89" s="91">
        <f t="shared" si="62"/>
        <v>0.2</v>
      </c>
      <c r="AN89" s="91">
        <f t="shared" si="63"/>
        <v>0.3</v>
      </c>
      <c r="AO89" s="91">
        <f t="shared" si="64"/>
        <v>0.5</v>
      </c>
      <c r="AP89" s="91">
        <f t="shared" si="65"/>
        <v>0.8</v>
      </c>
      <c r="AQ89" s="91">
        <f t="shared" si="66"/>
        <v>1.2</v>
      </c>
      <c r="AR89" s="35"/>
      <c r="AS89" s="8">
        <f t="shared" si="40"/>
        <v>0.2</v>
      </c>
      <c r="AT89" s="35"/>
    </row>
    <row r="90" spans="1:46">
      <c r="A90" s="12">
        <v>88</v>
      </c>
      <c r="B90" s="8">
        <f t="shared" si="41"/>
        <v>1.2</v>
      </c>
      <c r="C90" s="8">
        <f t="shared" si="42"/>
        <v>1.5</v>
      </c>
      <c r="D90" s="8">
        <f t="shared" si="43"/>
        <v>2</v>
      </c>
      <c r="E90" s="8">
        <f t="shared" si="43"/>
        <v>2.5</v>
      </c>
      <c r="F90" s="8">
        <f t="shared" si="43"/>
        <v>0.5</v>
      </c>
      <c r="G90" s="8">
        <f t="shared" si="43"/>
        <v>0.3</v>
      </c>
      <c r="H90" s="8">
        <f t="shared" si="43"/>
        <v>0.6</v>
      </c>
      <c r="I90" s="8">
        <f t="shared" si="43"/>
        <v>0.3</v>
      </c>
      <c r="J90" s="8">
        <f t="shared" si="43"/>
        <v>0.8</v>
      </c>
      <c r="K90" s="8">
        <f t="shared" si="44"/>
        <v>1.2</v>
      </c>
      <c r="L90" s="35"/>
      <c r="M90" s="8">
        <f t="shared" si="45"/>
        <v>1.5</v>
      </c>
      <c r="N90" s="8">
        <f t="shared" si="46"/>
        <v>2</v>
      </c>
      <c r="O90" s="79">
        <f t="shared" si="47"/>
        <v>2.5</v>
      </c>
      <c r="P90" s="8">
        <f t="shared" si="47"/>
        <v>3</v>
      </c>
      <c r="Q90" s="8">
        <f t="shared" si="47"/>
        <v>3.5</v>
      </c>
      <c r="R90" s="11">
        <f t="shared" si="47"/>
        <v>0.75</v>
      </c>
      <c r="S90" s="11">
        <f t="shared" si="48"/>
        <v>0.3</v>
      </c>
      <c r="T90" s="11">
        <f t="shared" si="49"/>
        <v>0.3</v>
      </c>
      <c r="U90" s="29">
        <f t="shared" si="50"/>
        <v>0.05</v>
      </c>
      <c r="V90" s="19">
        <f t="shared" si="51"/>
        <v>0.2</v>
      </c>
      <c r="W90" s="19">
        <f t="shared" si="51"/>
        <v>0.3</v>
      </c>
      <c r="X90" s="19">
        <f t="shared" si="51"/>
        <v>0.5</v>
      </c>
      <c r="Y90" s="19">
        <f t="shared" si="51"/>
        <v>0.8</v>
      </c>
      <c r="Z90" s="19">
        <f t="shared" si="51"/>
        <v>1.2</v>
      </c>
      <c r="AA90" s="35"/>
      <c r="AB90" s="8">
        <f t="shared" si="52"/>
        <v>1</v>
      </c>
      <c r="AC90" s="8">
        <f t="shared" si="53"/>
        <v>1.2</v>
      </c>
      <c r="AD90" s="8">
        <f t="shared" si="54"/>
        <v>1.5</v>
      </c>
      <c r="AE90" s="8">
        <f t="shared" si="55"/>
        <v>2</v>
      </c>
      <c r="AF90" s="8">
        <f t="shared" si="56"/>
        <v>2.5</v>
      </c>
      <c r="AG90" s="8">
        <f t="shared" si="57"/>
        <v>0.5</v>
      </c>
      <c r="AH90" s="8">
        <f t="shared" si="58"/>
        <v>0.2</v>
      </c>
      <c r="AI90" s="8">
        <f t="shared" si="59"/>
        <v>0.2</v>
      </c>
      <c r="AJ90" s="8">
        <f t="shared" si="60"/>
        <v>0.03</v>
      </c>
      <c r="AK90" s="87"/>
      <c r="AL90" s="8">
        <f t="shared" si="61"/>
        <v>1.2</v>
      </c>
      <c r="AM90" s="91">
        <f t="shared" si="62"/>
        <v>0.2</v>
      </c>
      <c r="AN90" s="91">
        <f t="shared" si="63"/>
        <v>0.3</v>
      </c>
      <c r="AO90" s="91">
        <f t="shared" si="64"/>
        <v>0.5</v>
      </c>
      <c r="AP90" s="91">
        <f t="shared" si="65"/>
        <v>0.8</v>
      </c>
      <c r="AQ90" s="91">
        <f t="shared" si="66"/>
        <v>1.2</v>
      </c>
      <c r="AR90" s="35"/>
      <c r="AS90" s="8">
        <f t="shared" si="40"/>
        <v>0.2</v>
      </c>
      <c r="AT90" s="35"/>
    </row>
    <row r="91" spans="1:46">
      <c r="A91" s="12">
        <v>89</v>
      </c>
      <c r="B91" s="8">
        <f t="shared" si="41"/>
        <v>1.2</v>
      </c>
      <c r="C91" s="8">
        <f t="shared" si="42"/>
        <v>1.5</v>
      </c>
      <c r="D91" s="8">
        <f t="shared" si="43"/>
        <v>2</v>
      </c>
      <c r="E91" s="8">
        <f t="shared" si="43"/>
        <v>2.5</v>
      </c>
      <c r="F91" s="8">
        <f t="shared" si="43"/>
        <v>0.5</v>
      </c>
      <c r="G91" s="8">
        <f t="shared" si="43"/>
        <v>0.3</v>
      </c>
      <c r="H91" s="8">
        <f t="shared" si="43"/>
        <v>0.6</v>
      </c>
      <c r="I91" s="8">
        <f t="shared" si="43"/>
        <v>0.3</v>
      </c>
      <c r="J91" s="8">
        <f t="shared" si="43"/>
        <v>0.8</v>
      </c>
      <c r="K91" s="8">
        <f t="shared" si="44"/>
        <v>1.2</v>
      </c>
      <c r="L91" s="35"/>
      <c r="M91" s="8">
        <f t="shared" si="45"/>
        <v>1.5</v>
      </c>
      <c r="N91" s="8">
        <f t="shared" si="46"/>
        <v>2</v>
      </c>
      <c r="O91" s="79">
        <f t="shared" si="47"/>
        <v>2.5</v>
      </c>
      <c r="P91" s="8">
        <f t="shared" si="47"/>
        <v>3</v>
      </c>
      <c r="Q91" s="8">
        <f t="shared" si="47"/>
        <v>3.5</v>
      </c>
      <c r="R91" s="11">
        <f t="shared" si="47"/>
        <v>0.75</v>
      </c>
      <c r="S91" s="11">
        <f t="shared" si="48"/>
        <v>0.3</v>
      </c>
      <c r="T91" s="11">
        <f t="shared" si="49"/>
        <v>0.3</v>
      </c>
      <c r="U91" s="29">
        <f t="shared" si="50"/>
        <v>0.05</v>
      </c>
      <c r="V91" s="19">
        <f t="shared" si="51"/>
        <v>0.2</v>
      </c>
      <c r="W91" s="19">
        <f t="shared" si="51"/>
        <v>0.3</v>
      </c>
      <c r="X91" s="19">
        <f t="shared" si="51"/>
        <v>0.5</v>
      </c>
      <c r="Y91" s="19">
        <f t="shared" si="51"/>
        <v>0.8</v>
      </c>
      <c r="Z91" s="19">
        <f t="shared" si="51"/>
        <v>1.2</v>
      </c>
      <c r="AA91" s="35"/>
      <c r="AB91" s="8">
        <f t="shared" si="52"/>
        <v>1</v>
      </c>
      <c r="AC91" s="8">
        <f t="shared" si="53"/>
        <v>1.2</v>
      </c>
      <c r="AD91" s="8">
        <f t="shared" si="54"/>
        <v>1.5</v>
      </c>
      <c r="AE91" s="8">
        <f t="shared" si="55"/>
        <v>2</v>
      </c>
      <c r="AF91" s="8">
        <f t="shared" si="56"/>
        <v>2.5</v>
      </c>
      <c r="AG91" s="8">
        <f t="shared" si="57"/>
        <v>0.5</v>
      </c>
      <c r="AH91" s="8">
        <f t="shared" si="58"/>
        <v>0.2</v>
      </c>
      <c r="AI91" s="8">
        <f t="shared" si="59"/>
        <v>0.2</v>
      </c>
      <c r="AJ91" s="8">
        <f t="shared" si="60"/>
        <v>0.03</v>
      </c>
      <c r="AK91" s="87"/>
      <c r="AL91" s="8">
        <f t="shared" si="61"/>
        <v>1.2</v>
      </c>
      <c r="AM91" s="91">
        <f t="shared" si="62"/>
        <v>0.2</v>
      </c>
      <c r="AN91" s="91">
        <f t="shared" si="63"/>
        <v>0.3</v>
      </c>
      <c r="AO91" s="91">
        <f t="shared" si="64"/>
        <v>0.5</v>
      </c>
      <c r="AP91" s="91">
        <f t="shared" si="65"/>
        <v>0.8</v>
      </c>
      <c r="AQ91" s="91">
        <f t="shared" si="66"/>
        <v>1.2</v>
      </c>
      <c r="AR91" s="35"/>
      <c r="AS91" s="8">
        <f t="shared" si="40"/>
        <v>0.2</v>
      </c>
      <c r="AT91" s="35"/>
    </row>
    <row r="92" spans="1:46">
      <c r="A92" s="12">
        <v>90</v>
      </c>
      <c r="B92" s="8">
        <f t="shared" si="41"/>
        <v>1.2</v>
      </c>
      <c r="C92" s="8">
        <f t="shared" si="42"/>
        <v>1.5</v>
      </c>
      <c r="D92" s="8">
        <f t="shared" si="43"/>
        <v>2</v>
      </c>
      <c r="E92" s="8">
        <f t="shared" si="43"/>
        <v>2.5</v>
      </c>
      <c r="F92" s="8">
        <f t="shared" si="43"/>
        <v>0.5</v>
      </c>
      <c r="G92" s="8">
        <f t="shared" si="43"/>
        <v>0.3</v>
      </c>
      <c r="H92" s="8">
        <f t="shared" si="43"/>
        <v>0.6</v>
      </c>
      <c r="I92" s="8">
        <f t="shared" si="43"/>
        <v>0.3</v>
      </c>
      <c r="J92" s="8">
        <f t="shared" si="43"/>
        <v>0.8</v>
      </c>
      <c r="K92" s="8">
        <f t="shared" si="44"/>
        <v>1.2</v>
      </c>
      <c r="L92" s="35"/>
      <c r="M92" s="8">
        <f t="shared" si="45"/>
        <v>1.5</v>
      </c>
      <c r="N92" s="8">
        <f t="shared" si="46"/>
        <v>2</v>
      </c>
      <c r="O92" s="79">
        <f t="shared" si="47"/>
        <v>2.5</v>
      </c>
      <c r="P92" s="8">
        <f t="shared" si="47"/>
        <v>3</v>
      </c>
      <c r="Q92" s="8">
        <f t="shared" si="47"/>
        <v>3.5</v>
      </c>
      <c r="R92" s="11">
        <f t="shared" si="47"/>
        <v>0.75</v>
      </c>
      <c r="S92" s="11">
        <f t="shared" si="48"/>
        <v>0.3</v>
      </c>
      <c r="T92" s="11">
        <f t="shared" si="49"/>
        <v>0.3</v>
      </c>
      <c r="U92" s="29">
        <f t="shared" si="50"/>
        <v>0.05</v>
      </c>
      <c r="V92" s="19">
        <f t="shared" si="51"/>
        <v>0.2</v>
      </c>
      <c r="W92" s="19">
        <f t="shared" si="51"/>
        <v>0.3</v>
      </c>
      <c r="X92" s="19">
        <f t="shared" si="51"/>
        <v>0.5</v>
      </c>
      <c r="Y92" s="19">
        <f t="shared" si="51"/>
        <v>0.8</v>
      </c>
      <c r="Z92" s="19">
        <f t="shared" si="51"/>
        <v>1.2</v>
      </c>
      <c r="AA92" s="35"/>
      <c r="AB92" s="8">
        <f t="shared" si="52"/>
        <v>1</v>
      </c>
      <c r="AC92" s="8">
        <f t="shared" si="53"/>
        <v>1.2</v>
      </c>
      <c r="AD92" s="8">
        <f t="shared" si="54"/>
        <v>1.5</v>
      </c>
      <c r="AE92" s="8">
        <f t="shared" si="55"/>
        <v>2</v>
      </c>
      <c r="AF92" s="8">
        <f t="shared" si="56"/>
        <v>2.5</v>
      </c>
      <c r="AG92" s="8">
        <f t="shared" si="57"/>
        <v>0.5</v>
      </c>
      <c r="AH92" s="8">
        <f t="shared" si="58"/>
        <v>0.2</v>
      </c>
      <c r="AI92" s="8">
        <f t="shared" si="59"/>
        <v>0.2</v>
      </c>
      <c r="AJ92" s="8">
        <f t="shared" si="60"/>
        <v>0.03</v>
      </c>
      <c r="AK92" s="87"/>
      <c r="AL92" s="8">
        <f t="shared" si="61"/>
        <v>1.2</v>
      </c>
      <c r="AM92" s="91">
        <f t="shared" si="62"/>
        <v>0.2</v>
      </c>
      <c r="AN92" s="91">
        <f t="shared" si="63"/>
        <v>0.3</v>
      </c>
      <c r="AO92" s="91">
        <f t="shared" si="64"/>
        <v>0.5</v>
      </c>
      <c r="AP92" s="91">
        <f t="shared" si="65"/>
        <v>0.8</v>
      </c>
      <c r="AQ92" s="91">
        <f t="shared" si="66"/>
        <v>1.2</v>
      </c>
      <c r="AR92" s="35"/>
      <c r="AS92" s="8">
        <f t="shared" si="40"/>
        <v>0.2</v>
      </c>
      <c r="AT92" s="35"/>
    </row>
    <row r="93" spans="1:46">
      <c r="A93" s="12">
        <v>91</v>
      </c>
      <c r="B93" s="8">
        <f t="shared" si="41"/>
        <v>1.2</v>
      </c>
      <c r="C93" s="8">
        <f t="shared" si="42"/>
        <v>1.5</v>
      </c>
      <c r="D93" s="8">
        <f t="shared" si="43"/>
        <v>2</v>
      </c>
      <c r="E93" s="8">
        <f t="shared" si="43"/>
        <v>2.5</v>
      </c>
      <c r="F93" s="8">
        <f t="shared" si="43"/>
        <v>0.5</v>
      </c>
      <c r="G93" s="8">
        <f t="shared" si="43"/>
        <v>0.3</v>
      </c>
      <c r="H93" s="8">
        <f t="shared" si="43"/>
        <v>0.6</v>
      </c>
      <c r="I93" s="8">
        <f t="shared" si="43"/>
        <v>0.3</v>
      </c>
      <c r="J93" s="8">
        <f t="shared" si="43"/>
        <v>0.8</v>
      </c>
      <c r="K93" s="8">
        <f t="shared" si="44"/>
        <v>1.2</v>
      </c>
      <c r="L93" s="35"/>
      <c r="M93" s="8">
        <f t="shared" si="45"/>
        <v>1.5</v>
      </c>
      <c r="N93" s="8">
        <f t="shared" si="46"/>
        <v>2</v>
      </c>
      <c r="O93" s="79">
        <f t="shared" si="47"/>
        <v>2.5</v>
      </c>
      <c r="P93" s="8">
        <f t="shared" si="47"/>
        <v>3</v>
      </c>
      <c r="Q93" s="8">
        <f t="shared" si="47"/>
        <v>3.5</v>
      </c>
      <c r="R93" s="11">
        <f t="shared" si="47"/>
        <v>0.75</v>
      </c>
      <c r="S93" s="11">
        <f t="shared" si="48"/>
        <v>0.3</v>
      </c>
      <c r="T93" s="11">
        <f t="shared" si="49"/>
        <v>0.3</v>
      </c>
      <c r="U93" s="29">
        <f t="shared" si="50"/>
        <v>0.05</v>
      </c>
      <c r="V93" s="19">
        <f t="shared" si="51"/>
        <v>0.2</v>
      </c>
      <c r="W93" s="19">
        <f t="shared" si="51"/>
        <v>0.3</v>
      </c>
      <c r="X93" s="19">
        <f t="shared" si="51"/>
        <v>0.5</v>
      </c>
      <c r="Y93" s="19">
        <f t="shared" si="51"/>
        <v>0.8</v>
      </c>
      <c r="Z93" s="19">
        <f t="shared" si="51"/>
        <v>1.2</v>
      </c>
      <c r="AA93" s="35"/>
      <c r="AB93" s="8">
        <f t="shared" si="52"/>
        <v>1</v>
      </c>
      <c r="AC93" s="8">
        <f t="shared" si="53"/>
        <v>1.2</v>
      </c>
      <c r="AD93" s="8">
        <f t="shared" si="54"/>
        <v>1.5</v>
      </c>
      <c r="AE93" s="8">
        <f t="shared" si="55"/>
        <v>2</v>
      </c>
      <c r="AF93" s="8">
        <f t="shared" si="56"/>
        <v>2.5</v>
      </c>
      <c r="AG93" s="8">
        <f t="shared" si="57"/>
        <v>0.5</v>
      </c>
      <c r="AH93" s="8">
        <f t="shared" si="58"/>
        <v>0.2</v>
      </c>
      <c r="AI93" s="8">
        <f t="shared" si="59"/>
        <v>0.2</v>
      </c>
      <c r="AJ93" s="8">
        <f t="shared" si="60"/>
        <v>0.03</v>
      </c>
      <c r="AK93" s="87"/>
      <c r="AL93" s="8">
        <f t="shared" si="61"/>
        <v>1.2</v>
      </c>
      <c r="AM93" s="91">
        <f t="shared" si="62"/>
        <v>0.2</v>
      </c>
      <c r="AN93" s="91">
        <f t="shared" si="63"/>
        <v>0.3</v>
      </c>
      <c r="AO93" s="91">
        <f t="shared" si="64"/>
        <v>0.5</v>
      </c>
      <c r="AP93" s="91">
        <f t="shared" si="65"/>
        <v>0.8</v>
      </c>
      <c r="AQ93" s="91">
        <f t="shared" si="66"/>
        <v>1.2</v>
      </c>
      <c r="AR93" s="35"/>
      <c r="AS93" s="8">
        <f t="shared" si="40"/>
        <v>0.2</v>
      </c>
      <c r="AT93" s="35"/>
    </row>
    <row r="94" spans="1:46">
      <c r="A94" s="12">
        <v>92</v>
      </c>
      <c r="B94" s="8">
        <f t="shared" si="41"/>
        <v>1.2</v>
      </c>
      <c r="C94" s="8">
        <f t="shared" si="42"/>
        <v>1.5</v>
      </c>
      <c r="D94" s="8">
        <f t="shared" si="43"/>
        <v>2</v>
      </c>
      <c r="E94" s="8">
        <f t="shared" si="43"/>
        <v>2.5</v>
      </c>
      <c r="F94" s="8">
        <f t="shared" si="43"/>
        <v>0.5</v>
      </c>
      <c r="G94" s="8">
        <f t="shared" si="43"/>
        <v>0.3</v>
      </c>
      <c r="H94" s="8">
        <f t="shared" si="43"/>
        <v>0.6</v>
      </c>
      <c r="I94" s="8">
        <f t="shared" si="43"/>
        <v>0.3</v>
      </c>
      <c r="J94" s="8">
        <f t="shared" si="43"/>
        <v>0.8</v>
      </c>
      <c r="K94" s="8">
        <f t="shared" si="44"/>
        <v>1.2</v>
      </c>
      <c r="L94" s="35"/>
      <c r="M94" s="8">
        <f t="shared" si="45"/>
        <v>1.5</v>
      </c>
      <c r="N94" s="8">
        <f t="shared" si="46"/>
        <v>2</v>
      </c>
      <c r="O94" s="79">
        <f t="shared" si="47"/>
        <v>2.5</v>
      </c>
      <c r="P94" s="8">
        <f t="shared" si="47"/>
        <v>3</v>
      </c>
      <c r="Q94" s="8">
        <f t="shared" si="47"/>
        <v>3.5</v>
      </c>
      <c r="R94" s="11">
        <f t="shared" si="47"/>
        <v>0.75</v>
      </c>
      <c r="S94" s="11">
        <f t="shared" si="48"/>
        <v>0.3</v>
      </c>
      <c r="T94" s="11">
        <f t="shared" si="49"/>
        <v>0.3</v>
      </c>
      <c r="U94" s="29">
        <f t="shared" si="50"/>
        <v>0.05</v>
      </c>
      <c r="V94" s="19">
        <f t="shared" si="51"/>
        <v>0.2</v>
      </c>
      <c r="W94" s="19">
        <f t="shared" si="51"/>
        <v>0.3</v>
      </c>
      <c r="X94" s="19">
        <f t="shared" si="51"/>
        <v>0.5</v>
      </c>
      <c r="Y94" s="19">
        <f t="shared" si="51"/>
        <v>0.8</v>
      </c>
      <c r="Z94" s="19">
        <f t="shared" si="51"/>
        <v>1.2</v>
      </c>
      <c r="AA94" s="35"/>
      <c r="AB94" s="8">
        <f t="shared" si="52"/>
        <v>1</v>
      </c>
      <c r="AC94" s="8">
        <f t="shared" si="53"/>
        <v>1.2</v>
      </c>
      <c r="AD94" s="8">
        <f t="shared" si="54"/>
        <v>1.5</v>
      </c>
      <c r="AE94" s="8">
        <f t="shared" si="55"/>
        <v>2</v>
      </c>
      <c r="AF94" s="8">
        <f t="shared" si="56"/>
        <v>2.5</v>
      </c>
      <c r="AG94" s="8">
        <f t="shared" si="57"/>
        <v>0.5</v>
      </c>
      <c r="AH94" s="8">
        <f t="shared" si="58"/>
        <v>0.2</v>
      </c>
      <c r="AI94" s="8">
        <f t="shared" si="59"/>
        <v>0.2</v>
      </c>
      <c r="AJ94" s="8">
        <f t="shared" si="60"/>
        <v>0.03</v>
      </c>
      <c r="AK94" s="87"/>
      <c r="AL94" s="8">
        <f t="shared" si="61"/>
        <v>1.2</v>
      </c>
      <c r="AM94" s="91">
        <f t="shared" si="62"/>
        <v>0.2</v>
      </c>
      <c r="AN94" s="91">
        <f t="shared" si="63"/>
        <v>0.3</v>
      </c>
      <c r="AO94" s="91">
        <f t="shared" si="64"/>
        <v>0.5</v>
      </c>
      <c r="AP94" s="91">
        <f t="shared" si="65"/>
        <v>0.8</v>
      </c>
      <c r="AQ94" s="91">
        <f t="shared" si="66"/>
        <v>1.2</v>
      </c>
      <c r="AR94" s="35"/>
      <c r="AS94" s="8">
        <f t="shared" si="40"/>
        <v>0.2</v>
      </c>
      <c r="AT94" s="35"/>
    </row>
    <row r="95" spans="1:46">
      <c r="A95" s="12">
        <v>93</v>
      </c>
      <c r="B95" s="8">
        <f t="shared" si="41"/>
        <v>1.2</v>
      </c>
      <c r="C95" s="8">
        <f t="shared" si="42"/>
        <v>1.5</v>
      </c>
      <c r="D95" s="8">
        <f t="shared" si="43"/>
        <v>2</v>
      </c>
      <c r="E95" s="8">
        <f t="shared" si="43"/>
        <v>2.5</v>
      </c>
      <c r="F95" s="8">
        <f t="shared" si="43"/>
        <v>0.5</v>
      </c>
      <c r="G95" s="8">
        <f t="shared" si="43"/>
        <v>0.3</v>
      </c>
      <c r="H95" s="8">
        <f t="shared" si="43"/>
        <v>0.6</v>
      </c>
      <c r="I95" s="8">
        <f t="shared" si="43"/>
        <v>0.3</v>
      </c>
      <c r="J95" s="8">
        <f t="shared" si="43"/>
        <v>0.8</v>
      </c>
      <c r="K95" s="8">
        <f t="shared" si="44"/>
        <v>1.2</v>
      </c>
      <c r="L95" s="35"/>
      <c r="M95" s="8">
        <f t="shared" si="45"/>
        <v>1.5</v>
      </c>
      <c r="N95" s="8">
        <f t="shared" si="46"/>
        <v>2</v>
      </c>
      <c r="O95" s="79">
        <f t="shared" si="47"/>
        <v>2.5</v>
      </c>
      <c r="P95" s="8">
        <f t="shared" si="47"/>
        <v>3</v>
      </c>
      <c r="Q95" s="8">
        <f t="shared" si="47"/>
        <v>3.5</v>
      </c>
      <c r="R95" s="11">
        <f t="shared" si="47"/>
        <v>0.75</v>
      </c>
      <c r="S95" s="11">
        <f t="shared" si="48"/>
        <v>0.3</v>
      </c>
      <c r="T95" s="11">
        <f t="shared" si="49"/>
        <v>0.3</v>
      </c>
      <c r="U95" s="29">
        <f t="shared" si="50"/>
        <v>0.05</v>
      </c>
      <c r="V95" s="19">
        <f t="shared" si="51"/>
        <v>0.2</v>
      </c>
      <c r="W95" s="19">
        <f t="shared" si="51"/>
        <v>0.3</v>
      </c>
      <c r="X95" s="19">
        <f t="shared" si="51"/>
        <v>0.5</v>
      </c>
      <c r="Y95" s="19">
        <f t="shared" si="51"/>
        <v>0.8</v>
      </c>
      <c r="Z95" s="19">
        <f t="shared" si="51"/>
        <v>1.2</v>
      </c>
      <c r="AA95" s="35"/>
      <c r="AB95" s="8">
        <f t="shared" si="52"/>
        <v>1</v>
      </c>
      <c r="AC95" s="8">
        <f t="shared" si="53"/>
        <v>1.2</v>
      </c>
      <c r="AD95" s="8">
        <f t="shared" si="54"/>
        <v>1.5</v>
      </c>
      <c r="AE95" s="8">
        <f t="shared" si="55"/>
        <v>2</v>
      </c>
      <c r="AF95" s="8">
        <f t="shared" si="56"/>
        <v>2.5</v>
      </c>
      <c r="AG95" s="8">
        <f t="shared" si="57"/>
        <v>0.5</v>
      </c>
      <c r="AH95" s="8">
        <f t="shared" si="58"/>
        <v>0.2</v>
      </c>
      <c r="AI95" s="8">
        <f t="shared" si="59"/>
        <v>0.2</v>
      </c>
      <c r="AJ95" s="8">
        <f t="shared" si="60"/>
        <v>0.03</v>
      </c>
      <c r="AK95" s="87"/>
      <c r="AL95" s="8">
        <f t="shared" si="61"/>
        <v>1.2</v>
      </c>
      <c r="AM95" s="91">
        <f t="shared" si="62"/>
        <v>0.2</v>
      </c>
      <c r="AN95" s="91">
        <f t="shared" si="63"/>
        <v>0.3</v>
      </c>
      <c r="AO95" s="91">
        <f t="shared" si="64"/>
        <v>0.5</v>
      </c>
      <c r="AP95" s="91">
        <f t="shared" si="65"/>
        <v>0.8</v>
      </c>
      <c r="AQ95" s="91">
        <f t="shared" si="66"/>
        <v>1.2</v>
      </c>
      <c r="AR95" s="35"/>
      <c r="AS95" s="8">
        <f t="shared" si="40"/>
        <v>0.2</v>
      </c>
      <c r="AT95" s="35"/>
    </row>
    <row r="96" spans="1:46">
      <c r="A96" s="12">
        <v>94</v>
      </c>
      <c r="B96" s="8">
        <f t="shared" si="41"/>
        <v>1.2</v>
      </c>
      <c r="C96" s="8">
        <f t="shared" si="42"/>
        <v>1.5</v>
      </c>
      <c r="D96" s="8">
        <f t="shared" si="43"/>
        <v>2</v>
      </c>
      <c r="E96" s="8">
        <f t="shared" si="43"/>
        <v>2.5</v>
      </c>
      <c r="F96" s="8">
        <f t="shared" si="43"/>
        <v>0.5</v>
      </c>
      <c r="G96" s="8">
        <f t="shared" si="43"/>
        <v>0.3</v>
      </c>
      <c r="H96" s="8">
        <f t="shared" si="43"/>
        <v>0.6</v>
      </c>
      <c r="I96" s="8">
        <f t="shared" si="43"/>
        <v>0.3</v>
      </c>
      <c r="J96" s="8">
        <f t="shared" si="43"/>
        <v>0.8</v>
      </c>
      <c r="K96" s="8">
        <f t="shared" si="44"/>
        <v>1.2</v>
      </c>
      <c r="L96" s="35"/>
      <c r="M96" s="8">
        <f t="shared" si="45"/>
        <v>1.5</v>
      </c>
      <c r="N96" s="8">
        <f t="shared" si="46"/>
        <v>2</v>
      </c>
      <c r="O96" s="79">
        <f t="shared" si="47"/>
        <v>2.5</v>
      </c>
      <c r="P96" s="8">
        <f t="shared" si="47"/>
        <v>3</v>
      </c>
      <c r="Q96" s="8">
        <f t="shared" si="47"/>
        <v>3.5</v>
      </c>
      <c r="R96" s="11">
        <f t="shared" si="47"/>
        <v>0.75</v>
      </c>
      <c r="S96" s="11">
        <f t="shared" si="48"/>
        <v>0.3</v>
      </c>
      <c r="T96" s="11">
        <f t="shared" si="49"/>
        <v>0.3</v>
      </c>
      <c r="U96" s="29">
        <f t="shared" si="50"/>
        <v>0.05</v>
      </c>
      <c r="V96" s="19">
        <f t="shared" si="51"/>
        <v>0.2</v>
      </c>
      <c r="W96" s="19">
        <f t="shared" si="51"/>
        <v>0.3</v>
      </c>
      <c r="X96" s="19">
        <f t="shared" si="51"/>
        <v>0.5</v>
      </c>
      <c r="Y96" s="19">
        <f t="shared" si="51"/>
        <v>0.8</v>
      </c>
      <c r="Z96" s="19">
        <f t="shared" si="51"/>
        <v>1.2</v>
      </c>
      <c r="AA96" s="35"/>
      <c r="AB96" s="8">
        <f t="shared" si="52"/>
        <v>1</v>
      </c>
      <c r="AC96" s="8">
        <f t="shared" si="53"/>
        <v>1.2</v>
      </c>
      <c r="AD96" s="8">
        <f t="shared" si="54"/>
        <v>1.5</v>
      </c>
      <c r="AE96" s="8">
        <f t="shared" si="55"/>
        <v>2</v>
      </c>
      <c r="AF96" s="8">
        <f t="shared" si="56"/>
        <v>2.5</v>
      </c>
      <c r="AG96" s="8">
        <f t="shared" si="57"/>
        <v>0.5</v>
      </c>
      <c r="AH96" s="8">
        <f t="shared" si="58"/>
        <v>0.2</v>
      </c>
      <c r="AI96" s="8">
        <f t="shared" si="59"/>
        <v>0.2</v>
      </c>
      <c r="AJ96" s="8">
        <f t="shared" si="60"/>
        <v>0.03</v>
      </c>
      <c r="AK96" s="87"/>
      <c r="AL96" s="8">
        <f t="shared" si="61"/>
        <v>1.2</v>
      </c>
      <c r="AM96" s="91">
        <f t="shared" si="62"/>
        <v>0.2</v>
      </c>
      <c r="AN96" s="91">
        <f t="shared" si="63"/>
        <v>0.3</v>
      </c>
      <c r="AO96" s="91">
        <f t="shared" si="64"/>
        <v>0.5</v>
      </c>
      <c r="AP96" s="91">
        <f t="shared" si="65"/>
        <v>0.8</v>
      </c>
      <c r="AQ96" s="91">
        <f t="shared" si="66"/>
        <v>1.2</v>
      </c>
      <c r="AR96" s="35"/>
      <c r="AS96" s="8">
        <f t="shared" si="40"/>
        <v>0.2</v>
      </c>
      <c r="AT96" s="35"/>
    </row>
    <row r="97" spans="1:46">
      <c r="A97" s="12">
        <v>95</v>
      </c>
      <c r="B97" s="8">
        <f t="shared" si="41"/>
        <v>1.2</v>
      </c>
      <c r="C97" s="8">
        <f t="shared" si="42"/>
        <v>1.5</v>
      </c>
      <c r="D97" s="8">
        <f t="shared" si="43"/>
        <v>2</v>
      </c>
      <c r="E97" s="8">
        <f t="shared" si="43"/>
        <v>2.5</v>
      </c>
      <c r="F97" s="8">
        <f t="shared" si="43"/>
        <v>0.5</v>
      </c>
      <c r="G97" s="8">
        <f t="shared" si="43"/>
        <v>0.3</v>
      </c>
      <c r="H97" s="8">
        <f t="shared" si="43"/>
        <v>0.6</v>
      </c>
      <c r="I97" s="8">
        <f t="shared" si="43"/>
        <v>0.3</v>
      </c>
      <c r="J97" s="8">
        <f t="shared" si="43"/>
        <v>0.8</v>
      </c>
      <c r="K97" s="8">
        <f t="shared" si="44"/>
        <v>1.2</v>
      </c>
      <c r="L97" s="35"/>
      <c r="M97" s="8">
        <f t="shared" si="45"/>
        <v>1.5</v>
      </c>
      <c r="N97" s="8">
        <f t="shared" si="46"/>
        <v>2</v>
      </c>
      <c r="O97" s="79">
        <f t="shared" si="47"/>
        <v>2.5</v>
      </c>
      <c r="P97" s="8">
        <f t="shared" si="47"/>
        <v>3</v>
      </c>
      <c r="Q97" s="8">
        <f t="shared" si="47"/>
        <v>3.5</v>
      </c>
      <c r="R97" s="11">
        <f t="shared" si="47"/>
        <v>0.75</v>
      </c>
      <c r="S97" s="11">
        <f t="shared" si="48"/>
        <v>0.3</v>
      </c>
      <c r="T97" s="11">
        <f t="shared" si="49"/>
        <v>0.3</v>
      </c>
      <c r="U97" s="29">
        <f t="shared" si="50"/>
        <v>0.05</v>
      </c>
      <c r="V97" s="19">
        <f t="shared" si="51"/>
        <v>0.2</v>
      </c>
      <c r="W97" s="19">
        <f t="shared" si="51"/>
        <v>0.3</v>
      </c>
      <c r="X97" s="19">
        <f t="shared" si="51"/>
        <v>0.5</v>
      </c>
      <c r="Y97" s="19">
        <f t="shared" si="51"/>
        <v>0.8</v>
      </c>
      <c r="Z97" s="19">
        <f t="shared" si="51"/>
        <v>1.2</v>
      </c>
      <c r="AA97" s="35"/>
      <c r="AB97" s="8">
        <f t="shared" si="52"/>
        <v>1</v>
      </c>
      <c r="AC97" s="8">
        <f t="shared" si="53"/>
        <v>1.2</v>
      </c>
      <c r="AD97" s="8">
        <f t="shared" si="54"/>
        <v>1.5</v>
      </c>
      <c r="AE97" s="8">
        <f t="shared" si="55"/>
        <v>2</v>
      </c>
      <c r="AF97" s="8">
        <f t="shared" si="56"/>
        <v>2.5</v>
      </c>
      <c r="AG97" s="8">
        <f t="shared" si="57"/>
        <v>0.5</v>
      </c>
      <c r="AH97" s="8">
        <f t="shared" si="58"/>
        <v>0.2</v>
      </c>
      <c r="AI97" s="8">
        <f t="shared" si="59"/>
        <v>0.2</v>
      </c>
      <c r="AJ97" s="8">
        <f t="shared" si="60"/>
        <v>0.03</v>
      </c>
      <c r="AK97" s="87"/>
      <c r="AL97" s="8">
        <f t="shared" si="61"/>
        <v>1.2</v>
      </c>
      <c r="AM97" s="91">
        <f t="shared" si="62"/>
        <v>0.2</v>
      </c>
      <c r="AN97" s="91">
        <f t="shared" si="63"/>
        <v>0.3</v>
      </c>
      <c r="AO97" s="91">
        <f t="shared" si="64"/>
        <v>0.5</v>
      </c>
      <c r="AP97" s="91">
        <f t="shared" si="65"/>
        <v>0.8</v>
      </c>
      <c r="AQ97" s="91">
        <f t="shared" si="66"/>
        <v>1.2</v>
      </c>
      <c r="AR97" s="35"/>
      <c r="AS97" s="8">
        <f t="shared" si="40"/>
        <v>0.2</v>
      </c>
      <c r="AT97" s="35"/>
    </row>
    <row r="98" spans="1:46">
      <c r="A98" s="12">
        <v>96</v>
      </c>
      <c r="B98" s="8">
        <f t="shared" si="41"/>
        <v>1.2</v>
      </c>
      <c r="C98" s="8">
        <f t="shared" si="42"/>
        <v>1.5</v>
      </c>
      <c r="D98" s="8">
        <f t="shared" si="43"/>
        <v>2</v>
      </c>
      <c r="E98" s="8">
        <f t="shared" si="43"/>
        <v>2.5</v>
      </c>
      <c r="F98" s="8">
        <f t="shared" si="43"/>
        <v>0.5</v>
      </c>
      <c r="G98" s="8">
        <f t="shared" si="43"/>
        <v>0.3</v>
      </c>
      <c r="H98" s="8">
        <f t="shared" si="43"/>
        <v>0.6</v>
      </c>
      <c r="I98" s="8">
        <f t="shared" si="43"/>
        <v>0.3</v>
      </c>
      <c r="J98" s="8">
        <f t="shared" si="43"/>
        <v>0.8</v>
      </c>
      <c r="K98" s="8">
        <f t="shared" si="44"/>
        <v>1.2</v>
      </c>
      <c r="L98" s="35"/>
      <c r="M98" s="8">
        <f t="shared" si="45"/>
        <v>1.5</v>
      </c>
      <c r="N98" s="8">
        <f t="shared" si="46"/>
        <v>2</v>
      </c>
      <c r="O98" s="79">
        <f t="shared" si="47"/>
        <v>2.5</v>
      </c>
      <c r="P98" s="8">
        <f t="shared" si="47"/>
        <v>3</v>
      </c>
      <c r="Q98" s="8">
        <f t="shared" si="47"/>
        <v>3.5</v>
      </c>
      <c r="R98" s="11">
        <f t="shared" si="47"/>
        <v>0.75</v>
      </c>
      <c r="S98" s="11">
        <f t="shared" si="48"/>
        <v>0.3</v>
      </c>
      <c r="T98" s="11">
        <f t="shared" si="49"/>
        <v>0.3</v>
      </c>
      <c r="U98" s="29">
        <f t="shared" si="50"/>
        <v>0.05</v>
      </c>
      <c r="V98" s="19">
        <f t="shared" si="51"/>
        <v>0.2</v>
      </c>
      <c r="W98" s="19">
        <f t="shared" si="51"/>
        <v>0.3</v>
      </c>
      <c r="X98" s="19">
        <f t="shared" si="51"/>
        <v>0.5</v>
      </c>
      <c r="Y98" s="19">
        <f t="shared" si="51"/>
        <v>0.8</v>
      </c>
      <c r="Z98" s="19">
        <f t="shared" si="51"/>
        <v>1.2</v>
      </c>
      <c r="AA98" s="35"/>
      <c r="AB98" s="8">
        <f t="shared" si="52"/>
        <v>1</v>
      </c>
      <c r="AC98" s="8">
        <f t="shared" si="53"/>
        <v>1.2</v>
      </c>
      <c r="AD98" s="8">
        <f t="shared" si="54"/>
        <v>1.5</v>
      </c>
      <c r="AE98" s="8">
        <f t="shared" si="55"/>
        <v>2</v>
      </c>
      <c r="AF98" s="8">
        <f t="shared" si="56"/>
        <v>2.5</v>
      </c>
      <c r="AG98" s="8">
        <f t="shared" si="57"/>
        <v>0.5</v>
      </c>
      <c r="AH98" s="8">
        <f t="shared" si="58"/>
        <v>0.2</v>
      </c>
      <c r="AI98" s="8">
        <f t="shared" si="59"/>
        <v>0.2</v>
      </c>
      <c r="AJ98" s="8">
        <f t="shared" si="60"/>
        <v>0.03</v>
      </c>
      <c r="AK98" s="87"/>
      <c r="AL98" s="8">
        <f t="shared" si="61"/>
        <v>1.2</v>
      </c>
      <c r="AM98" s="91">
        <f t="shared" si="62"/>
        <v>0.2</v>
      </c>
      <c r="AN98" s="91">
        <f t="shared" si="63"/>
        <v>0.3</v>
      </c>
      <c r="AO98" s="91">
        <f t="shared" si="64"/>
        <v>0.5</v>
      </c>
      <c r="AP98" s="91">
        <f t="shared" si="65"/>
        <v>0.8</v>
      </c>
      <c r="AQ98" s="91">
        <f t="shared" si="66"/>
        <v>1.2</v>
      </c>
      <c r="AR98" s="35"/>
      <c r="AS98" s="8">
        <f t="shared" si="40"/>
        <v>0.2</v>
      </c>
      <c r="AT98" s="35"/>
    </row>
    <row r="99" spans="1:46">
      <c r="A99" s="12">
        <v>97</v>
      </c>
      <c r="B99" s="8">
        <f t="shared" si="41"/>
        <v>1.2</v>
      </c>
      <c r="C99" s="8">
        <f t="shared" si="42"/>
        <v>1.5</v>
      </c>
      <c r="D99" s="8">
        <f t="shared" si="43"/>
        <v>2</v>
      </c>
      <c r="E99" s="8">
        <f t="shared" si="43"/>
        <v>2.5</v>
      </c>
      <c r="F99" s="8">
        <f t="shared" si="43"/>
        <v>0.5</v>
      </c>
      <c r="G99" s="8">
        <f t="shared" si="43"/>
        <v>0.3</v>
      </c>
      <c r="H99" s="8">
        <f t="shared" si="43"/>
        <v>0.6</v>
      </c>
      <c r="I99" s="8">
        <f t="shared" si="43"/>
        <v>0.3</v>
      </c>
      <c r="J99" s="8">
        <f t="shared" si="43"/>
        <v>0.8</v>
      </c>
      <c r="K99" s="8">
        <f t="shared" si="44"/>
        <v>1.2</v>
      </c>
      <c r="L99" s="35"/>
      <c r="M99" s="8">
        <f t="shared" si="45"/>
        <v>1.5</v>
      </c>
      <c r="N99" s="8">
        <f t="shared" si="46"/>
        <v>2</v>
      </c>
      <c r="O99" s="79">
        <f t="shared" si="47"/>
        <v>2.5</v>
      </c>
      <c r="P99" s="8">
        <f t="shared" si="47"/>
        <v>3</v>
      </c>
      <c r="Q99" s="8">
        <f t="shared" si="47"/>
        <v>3.5</v>
      </c>
      <c r="R99" s="11">
        <f t="shared" si="47"/>
        <v>0.75</v>
      </c>
      <c r="S99" s="11">
        <f t="shared" si="48"/>
        <v>0.3</v>
      </c>
      <c r="T99" s="11">
        <f t="shared" si="49"/>
        <v>0.3</v>
      </c>
      <c r="U99" s="29">
        <f t="shared" si="50"/>
        <v>0.05</v>
      </c>
      <c r="V99" s="19">
        <f t="shared" si="51"/>
        <v>0.2</v>
      </c>
      <c r="W99" s="19">
        <f t="shared" si="51"/>
        <v>0.3</v>
      </c>
      <c r="X99" s="19">
        <f t="shared" si="51"/>
        <v>0.5</v>
      </c>
      <c r="Y99" s="19">
        <f t="shared" si="51"/>
        <v>0.8</v>
      </c>
      <c r="Z99" s="19">
        <f t="shared" si="51"/>
        <v>1.2</v>
      </c>
      <c r="AA99" s="35"/>
      <c r="AB99" s="8">
        <f t="shared" si="52"/>
        <v>1</v>
      </c>
      <c r="AC99" s="8">
        <f t="shared" si="53"/>
        <v>1.2</v>
      </c>
      <c r="AD99" s="8">
        <f t="shared" si="54"/>
        <v>1.5</v>
      </c>
      <c r="AE99" s="8">
        <f t="shared" si="55"/>
        <v>2</v>
      </c>
      <c r="AF99" s="8">
        <f t="shared" si="56"/>
        <v>2.5</v>
      </c>
      <c r="AG99" s="8">
        <f t="shared" si="57"/>
        <v>0.5</v>
      </c>
      <c r="AH99" s="8">
        <f t="shared" si="58"/>
        <v>0.2</v>
      </c>
      <c r="AI99" s="8">
        <f t="shared" si="59"/>
        <v>0.2</v>
      </c>
      <c r="AJ99" s="8">
        <f t="shared" si="60"/>
        <v>0.03</v>
      </c>
      <c r="AK99" s="87"/>
      <c r="AL99" s="8">
        <f t="shared" si="61"/>
        <v>1.2</v>
      </c>
      <c r="AM99" s="91">
        <f t="shared" si="62"/>
        <v>0.2</v>
      </c>
      <c r="AN99" s="91">
        <f t="shared" si="63"/>
        <v>0.3</v>
      </c>
      <c r="AO99" s="91">
        <f t="shared" si="64"/>
        <v>0.5</v>
      </c>
      <c r="AP99" s="91">
        <f t="shared" si="65"/>
        <v>0.8</v>
      </c>
      <c r="AQ99" s="91">
        <f t="shared" si="66"/>
        <v>1.2</v>
      </c>
      <c r="AR99" s="35"/>
      <c r="AS99" s="8">
        <f t="shared" si="40"/>
        <v>0.2</v>
      </c>
      <c r="AT99" s="35"/>
    </row>
    <row r="100" spans="1:46">
      <c r="A100" s="12">
        <v>98</v>
      </c>
      <c r="B100" s="8">
        <f t="shared" si="41"/>
        <v>1.2</v>
      </c>
      <c r="C100" s="8">
        <f t="shared" si="42"/>
        <v>1.5</v>
      </c>
      <c r="D100" s="8">
        <f t="shared" si="43"/>
        <v>2</v>
      </c>
      <c r="E100" s="8">
        <f t="shared" si="43"/>
        <v>2.5</v>
      </c>
      <c r="F100" s="8">
        <f t="shared" si="43"/>
        <v>0.5</v>
      </c>
      <c r="G100" s="8">
        <f t="shared" si="43"/>
        <v>0.3</v>
      </c>
      <c r="H100" s="8">
        <f t="shared" si="43"/>
        <v>0.6</v>
      </c>
      <c r="I100" s="8">
        <f t="shared" si="43"/>
        <v>0.3</v>
      </c>
      <c r="J100" s="8">
        <f t="shared" si="43"/>
        <v>0.8</v>
      </c>
      <c r="K100" s="8">
        <f t="shared" si="44"/>
        <v>1.2</v>
      </c>
      <c r="L100" s="35"/>
      <c r="M100" s="8">
        <f t="shared" si="45"/>
        <v>1.5</v>
      </c>
      <c r="N100" s="8">
        <f t="shared" si="46"/>
        <v>2</v>
      </c>
      <c r="O100" s="79">
        <f t="shared" si="47"/>
        <v>2.5</v>
      </c>
      <c r="P100" s="8">
        <f t="shared" si="47"/>
        <v>3</v>
      </c>
      <c r="Q100" s="8">
        <f t="shared" si="47"/>
        <v>3.5</v>
      </c>
      <c r="R100" s="11">
        <f t="shared" si="47"/>
        <v>0.75</v>
      </c>
      <c r="S100" s="11">
        <f t="shared" si="48"/>
        <v>0.3</v>
      </c>
      <c r="T100" s="11">
        <f t="shared" si="49"/>
        <v>0.3</v>
      </c>
      <c r="U100" s="29">
        <f t="shared" si="50"/>
        <v>0.05</v>
      </c>
      <c r="V100" s="19">
        <f t="shared" si="51"/>
        <v>0.2</v>
      </c>
      <c r="W100" s="19">
        <f t="shared" si="51"/>
        <v>0.3</v>
      </c>
      <c r="X100" s="19">
        <f t="shared" si="51"/>
        <v>0.5</v>
      </c>
      <c r="Y100" s="19">
        <f t="shared" si="51"/>
        <v>0.8</v>
      </c>
      <c r="Z100" s="19">
        <f t="shared" si="51"/>
        <v>1.2</v>
      </c>
      <c r="AA100" s="35"/>
      <c r="AB100" s="8">
        <f t="shared" si="52"/>
        <v>1</v>
      </c>
      <c r="AC100" s="8">
        <f t="shared" si="53"/>
        <v>1.2</v>
      </c>
      <c r="AD100" s="8">
        <f t="shared" si="54"/>
        <v>1.5</v>
      </c>
      <c r="AE100" s="8">
        <f t="shared" si="55"/>
        <v>2</v>
      </c>
      <c r="AF100" s="8">
        <f t="shared" si="56"/>
        <v>2.5</v>
      </c>
      <c r="AG100" s="8">
        <f t="shared" si="57"/>
        <v>0.5</v>
      </c>
      <c r="AH100" s="8">
        <f t="shared" si="58"/>
        <v>0.2</v>
      </c>
      <c r="AI100" s="8">
        <f t="shared" si="59"/>
        <v>0.2</v>
      </c>
      <c r="AJ100" s="8">
        <f t="shared" si="60"/>
        <v>0.03</v>
      </c>
      <c r="AK100" s="87"/>
      <c r="AL100" s="8">
        <f t="shared" si="61"/>
        <v>1.2</v>
      </c>
      <c r="AM100" s="91">
        <f t="shared" si="62"/>
        <v>0.2</v>
      </c>
      <c r="AN100" s="91">
        <f t="shared" si="63"/>
        <v>0.3</v>
      </c>
      <c r="AO100" s="91">
        <f t="shared" si="64"/>
        <v>0.5</v>
      </c>
      <c r="AP100" s="91">
        <f t="shared" si="65"/>
        <v>0.8</v>
      </c>
      <c r="AQ100" s="91">
        <f t="shared" si="66"/>
        <v>1.2</v>
      </c>
      <c r="AR100" s="35"/>
      <c r="AS100" s="8">
        <f t="shared" si="40"/>
        <v>0.2</v>
      </c>
      <c r="AT100" s="35"/>
    </row>
    <row r="101" spans="1:46">
      <c r="A101" s="12">
        <v>99</v>
      </c>
      <c r="B101" s="8">
        <f t="shared" si="41"/>
        <v>1.2</v>
      </c>
      <c r="C101" s="8">
        <f t="shared" si="42"/>
        <v>1.5</v>
      </c>
      <c r="D101" s="8">
        <f t="shared" ref="D101:J122" si="67">D100</f>
        <v>2</v>
      </c>
      <c r="E101" s="8">
        <f t="shared" si="67"/>
        <v>2.5</v>
      </c>
      <c r="F101" s="8">
        <f t="shared" si="67"/>
        <v>0.5</v>
      </c>
      <c r="G101" s="8">
        <f t="shared" si="67"/>
        <v>0.3</v>
      </c>
      <c r="H101" s="8">
        <f t="shared" si="67"/>
        <v>0.6</v>
      </c>
      <c r="I101" s="8">
        <f t="shared" si="67"/>
        <v>0.3</v>
      </c>
      <c r="J101" s="8">
        <f t="shared" si="67"/>
        <v>0.8</v>
      </c>
      <c r="K101" s="8">
        <f t="shared" si="44"/>
        <v>1.2</v>
      </c>
      <c r="L101" s="35"/>
      <c r="M101" s="8">
        <f t="shared" si="45"/>
        <v>1.5</v>
      </c>
      <c r="N101" s="8">
        <f t="shared" si="46"/>
        <v>2</v>
      </c>
      <c r="O101" s="79">
        <f t="shared" ref="O101:R122" si="68">O100</f>
        <v>2.5</v>
      </c>
      <c r="P101" s="8">
        <f t="shared" si="68"/>
        <v>3</v>
      </c>
      <c r="Q101" s="8">
        <f t="shared" si="68"/>
        <v>3.5</v>
      </c>
      <c r="R101" s="11">
        <f t="shared" si="68"/>
        <v>0.75</v>
      </c>
      <c r="S101" s="11">
        <f t="shared" si="48"/>
        <v>0.3</v>
      </c>
      <c r="T101" s="11">
        <f t="shared" si="49"/>
        <v>0.3</v>
      </c>
      <c r="U101" s="29">
        <f t="shared" si="50"/>
        <v>0.05</v>
      </c>
      <c r="V101" s="19">
        <f t="shared" ref="V101:Z122" si="69">V100</f>
        <v>0.2</v>
      </c>
      <c r="W101" s="19">
        <f t="shared" si="69"/>
        <v>0.3</v>
      </c>
      <c r="X101" s="19">
        <f t="shared" si="69"/>
        <v>0.5</v>
      </c>
      <c r="Y101" s="19">
        <f t="shared" si="69"/>
        <v>0.8</v>
      </c>
      <c r="Z101" s="19">
        <f t="shared" si="69"/>
        <v>1.2</v>
      </c>
      <c r="AA101" s="35"/>
      <c r="AB101" s="8">
        <f t="shared" si="52"/>
        <v>1</v>
      </c>
      <c r="AC101" s="8">
        <f t="shared" si="53"/>
        <v>1.2</v>
      </c>
      <c r="AD101" s="8">
        <f t="shared" si="54"/>
        <v>1.5</v>
      </c>
      <c r="AE101" s="8">
        <f t="shared" si="55"/>
        <v>2</v>
      </c>
      <c r="AF101" s="8">
        <f t="shared" si="56"/>
        <v>2.5</v>
      </c>
      <c r="AG101" s="8">
        <f t="shared" si="57"/>
        <v>0.5</v>
      </c>
      <c r="AH101" s="8">
        <f t="shared" si="58"/>
        <v>0.2</v>
      </c>
      <c r="AI101" s="8">
        <f t="shared" si="59"/>
        <v>0.2</v>
      </c>
      <c r="AJ101" s="8">
        <f t="shared" si="60"/>
        <v>0.03</v>
      </c>
      <c r="AK101" s="87"/>
      <c r="AL101" s="8">
        <f t="shared" si="61"/>
        <v>1.2</v>
      </c>
      <c r="AM101" s="91">
        <f t="shared" si="62"/>
        <v>0.2</v>
      </c>
      <c r="AN101" s="91">
        <f t="shared" si="63"/>
        <v>0.3</v>
      </c>
      <c r="AO101" s="91">
        <f t="shared" si="64"/>
        <v>0.5</v>
      </c>
      <c r="AP101" s="91">
        <f t="shared" si="65"/>
        <v>0.8</v>
      </c>
      <c r="AQ101" s="91">
        <f t="shared" si="66"/>
        <v>1.2</v>
      </c>
      <c r="AR101" s="35"/>
      <c r="AS101" s="8">
        <f t="shared" si="40"/>
        <v>0.2</v>
      </c>
      <c r="AT101" s="35"/>
    </row>
    <row r="102" spans="1:46">
      <c r="A102" s="12">
        <v>100</v>
      </c>
      <c r="B102" s="8">
        <f t="shared" si="41"/>
        <v>1.2</v>
      </c>
      <c r="C102" s="8">
        <f t="shared" si="42"/>
        <v>1.5</v>
      </c>
      <c r="D102" s="8">
        <f t="shared" si="67"/>
        <v>2</v>
      </c>
      <c r="E102" s="8">
        <f t="shared" si="67"/>
        <v>2.5</v>
      </c>
      <c r="F102" s="8">
        <f t="shared" si="67"/>
        <v>0.5</v>
      </c>
      <c r="G102" s="8">
        <f t="shared" si="67"/>
        <v>0.3</v>
      </c>
      <c r="H102" s="8">
        <f t="shared" si="67"/>
        <v>0.6</v>
      </c>
      <c r="I102" s="8">
        <f t="shared" si="67"/>
        <v>0.3</v>
      </c>
      <c r="J102" s="8">
        <f t="shared" si="67"/>
        <v>0.8</v>
      </c>
      <c r="K102" s="8">
        <f t="shared" si="44"/>
        <v>1.2</v>
      </c>
      <c r="L102" s="35"/>
      <c r="M102" s="8">
        <f t="shared" si="45"/>
        <v>1.5</v>
      </c>
      <c r="N102" s="8">
        <f t="shared" si="46"/>
        <v>2</v>
      </c>
      <c r="O102" s="79">
        <f t="shared" si="68"/>
        <v>2.5</v>
      </c>
      <c r="P102" s="8">
        <f t="shared" si="68"/>
        <v>3</v>
      </c>
      <c r="Q102" s="8">
        <f t="shared" si="68"/>
        <v>3.5</v>
      </c>
      <c r="R102" s="11">
        <f t="shared" si="68"/>
        <v>0.75</v>
      </c>
      <c r="S102" s="11">
        <f t="shared" si="48"/>
        <v>0.3</v>
      </c>
      <c r="T102" s="11">
        <f t="shared" si="49"/>
        <v>0.3</v>
      </c>
      <c r="U102" s="29">
        <f t="shared" si="50"/>
        <v>0.05</v>
      </c>
      <c r="V102" s="19">
        <f t="shared" si="69"/>
        <v>0.2</v>
      </c>
      <c r="W102" s="19">
        <f t="shared" si="69"/>
        <v>0.3</v>
      </c>
      <c r="X102" s="19">
        <f t="shared" si="69"/>
        <v>0.5</v>
      </c>
      <c r="Y102" s="19">
        <f t="shared" si="69"/>
        <v>0.8</v>
      </c>
      <c r="Z102" s="19">
        <f t="shared" si="69"/>
        <v>1.2</v>
      </c>
      <c r="AA102" s="35"/>
      <c r="AB102" s="8">
        <f t="shared" si="52"/>
        <v>1</v>
      </c>
      <c r="AC102" s="8">
        <f t="shared" si="53"/>
        <v>1.2</v>
      </c>
      <c r="AD102" s="8">
        <f t="shared" si="54"/>
        <v>1.5</v>
      </c>
      <c r="AE102" s="8">
        <f t="shared" si="55"/>
        <v>2</v>
      </c>
      <c r="AF102" s="8">
        <f t="shared" si="56"/>
        <v>2.5</v>
      </c>
      <c r="AG102" s="8">
        <f t="shared" si="57"/>
        <v>0.5</v>
      </c>
      <c r="AH102" s="8">
        <f t="shared" si="58"/>
        <v>0.2</v>
      </c>
      <c r="AI102" s="8">
        <f t="shared" si="59"/>
        <v>0.2</v>
      </c>
      <c r="AJ102" s="8">
        <f t="shared" si="60"/>
        <v>0.03</v>
      </c>
      <c r="AK102" s="87"/>
      <c r="AL102" s="8">
        <f t="shared" si="61"/>
        <v>1.2</v>
      </c>
      <c r="AM102" s="91">
        <f t="shared" si="62"/>
        <v>0.2</v>
      </c>
      <c r="AN102" s="91">
        <f t="shared" si="63"/>
        <v>0.3</v>
      </c>
      <c r="AO102" s="91">
        <f t="shared" si="64"/>
        <v>0.5</v>
      </c>
      <c r="AP102" s="91">
        <f t="shared" si="65"/>
        <v>0.8</v>
      </c>
      <c r="AQ102" s="91">
        <f t="shared" si="66"/>
        <v>1.2</v>
      </c>
      <c r="AR102" s="35"/>
      <c r="AS102" s="8">
        <f t="shared" si="40"/>
        <v>0.2</v>
      </c>
      <c r="AT102" s="35"/>
    </row>
    <row r="103" spans="1:46">
      <c r="A103" s="12">
        <v>101</v>
      </c>
      <c r="B103" s="8">
        <f t="shared" si="41"/>
        <v>1.2</v>
      </c>
      <c r="C103" s="8">
        <f t="shared" si="42"/>
        <v>1.5</v>
      </c>
      <c r="D103" s="8">
        <f t="shared" si="67"/>
        <v>2</v>
      </c>
      <c r="E103" s="8">
        <f t="shared" si="67"/>
        <v>2.5</v>
      </c>
      <c r="F103" s="8">
        <f t="shared" si="67"/>
        <v>0.5</v>
      </c>
      <c r="G103" s="8">
        <f t="shared" si="67"/>
        <v>0.3</v>
      </c>
      <c r="H103" s="8">
        <f t="shared" si="67"/>
        <v>0.6</v>
      </c>
      <c r="I103" s="8">
        <f t="shared" si="67"/>
        <v>0.3</v>
      </c>
      <c r="J103" s="8">
        <f t="shared" si="67"/>
        <v>0.8</v>
      </c>
      <c r="K103" s="8">
        <f t="shared" si="44"/>
        <v>1.2</v>
      </c>
      <c r="L103" s="35"/>
      <c r="M103" s="8">
        <f t="shared" si="45"/>
        <v>1.5</v>
      </c>
      <c r="N103" s="8">
        <f t="shared" si="46"/>
        <v>2</v>
      </c>
      <c r="O103" s="79">
        <f t="shared" si="68"/>
        <v>2.5</v>
      </c>
      <c r="P103" s="8">
        <f t="shared" si="68"/>
        <v>3</v>
      </c>
      <c r="Q103" s="8">
        <f t="shared" si="68"/>
        <v>3.5</v>
      </c>
      <c r="R103" s="11">
        <f t="shared" si="68"/>
        <v>0.75</v>
      </c>
      <c r="S103" s="11">
        <f t="shared" si="48"/>
        <v>0.3</v>
      </c>
      <c r="T103" s="11">
        <f t="shared" si="49"/>
        <v>0.3</v>
      </c>
      <c r="U103" s="29">
        <f t="shared" si="50"/>
        <v>0.05</v>
      </c>
      <c r="V103" s="19">
        <f t="shared" si="69"/>
        <v>0.2</v>
      </c>
      <c r="W103" s="19">
        <f t="shared" si="69"/>
        <v>0.3</v>
      </c>
      <c r="X103" s="19">
        <f t="shared" si="69"/>
        <v>0.5</v>
      </c>
      <c r="Y103" s="19">
        <f t="shared" si="69"/>
        <v>0.8</v>
      </c>
      <c r="Z103" s="19">
        <f t="shared" si="69"/>
        <v>1.2</v>
      </c>
      <c r="AA103" s="35"/>
      <c r="AB103" s="8">
        <f t="shared" si="52"/>
        <v>1</v>
      </c>
      <c r="AC103" s="8">
        <f t="shared" si="53"/>
        <v>1.2</v>
      </c>
      <c r="AD103" s="8">
        <f t="shared" si="54"/>
        <v>1.5</v>
      </c>
      <c r="AE103" s="8">
        <f t="shared" si="55"/>
        <v>2</v>
      </c>
      <c r="AF103" s="8">
        <f t="shared" si="56"/>
        <v>2.5</v>
      </c>
      <c r="AG103" s="8">
        <f t="shared" si="57"/>
        <v>0.5</v>
      </c>
      <c r="AH103" s="8">
        <f t="shared" si="58"/>
        <v>0.2</v>
      </c>
      <c r="AI103" s="8">
        <f t="shared" si="59"/>
        <v>0.2</v>
      </c>
      <c r="AJ103" s="8">
        <f t="shared" si="60"/>
        <v>0.03</v>
      </c>
      <c r="AK103" s="87"/>
      <c r="AL103" s="8">
        <f t="shared" si="61"/>
        <v>1.2</v>
      </c>
      <c r="AM103" s="91">
        <f t="shared" si="62"/>
        <v>0.2</v>
      </c>
      <c r="AN103" s="91">
        <f t="shared" si="63"/>
        <v>0.3</v>
      </c>
      <c r="AO103" s="91">
        <f t="shared" si="64"/>
        <v>0.5</v>
      </c>
      <c r="AP103" s="91">
        <f t="shared" si="65"/>
        <v>0.8</v>
      </c>
      <c r="AQ103" s="91">
        <f t="shared" si="66"/>
        <v>1.2</v>
      </c>
      <c r="AR103" s="35"/>
      <c r="AS103" s="8">
        <f t="shared" si="40"/>
        <v>0.2</v>
      </c>
      <c r="AT103" s="35"/>
    </row>
    <row r="104" spans="1:46">
      <c r="A104" s="12">
        <v>102</v>
      </c>
      <c r="B104" s="8">
        <f t="shared" si="41"/>
        <v>1.2</v>
      </c>
      <c r="C104" s="8">
        <f t="shared" si="42"/>
        <v>1.5</v>
      </c>
      <c r="D104" s="8">
        <f t="shared" si="67"/>
        <v>2</v>
      </c>
      <c r="E104" s="8">
        <f t="shared" si="67"/>
        <v>2.5</v>
      </c>
      <c r="F104" s="8">
        <f t="shared" si="67"/>
        <v>0.5</v>
      </c>
      <c r="G104" s="8">
        <f t="shared" si="67"/>
        <v>0.3</v>
      </c>
      <c r="H104" s="8">
        <f t="shared" si="67"/>
        <v>0.6</v>
      </c>
      <c r="I104" s="8">
        <f t="shared" si="67"/>
        <v>0.3</v>
      </c>
      <c r="J104" s="8">
        <f t="shared" si="67"/>
        <v>0.8</v>
      </c>
      <c r="K104" s="8">
        <f t="shared" si="44"/>
        <v>1.2</v>
      </c>
      <c r="L104" s="35"/>
      <c r="M104" s="8">
        <f t="shared" si="45"/>
        <v>1.5</v>
      </c>
      <c r="N104" s="8">
        <f t="shared" si="46"/>
        <v>2</v>
      </c>
      <c r="O104" s="79">
        <f t="shared" si="68"/>
        <v>2.5</v>
      </c>
      <c r="P104" s="8">
        <f t="shared" si="68"/>
        <v>3</v>
      </c>
      <c r="Q104" s="8">
        <f t="shared" si="68"/>
        <v>3.5</v>
      </c>
      <c r="R104" s="11">
        <f t="shared" si="68"/>
        <v>0.75</v>
      </c>
      <c r="S104" s="11">
        <f t="shared" si="48"/>
        <v>0.3</v>
      </c>
      <c r="T104" s="11">
        <f t="shared" si="49"/>
        <v>0.3</v>
      </c>
      <c r="U104" s="29">
        <f t="shared" si="50"/>
        <v>0.05</v>
      </c>
      <c r="V104" s="19">
        <f t="shared" si="69"/>
        <v>0.2</v>
      </c>
      <c r="W104" s="19">
        <f t="shared" si="69"/>
        <v>0.3</v>
      </c>
      <c r="X104" s="19">
        <f t="shared" si="69"/>
        <v>0.5</v>
      </c>
      <c r="Y104" s="19">
        <f t="shared" si="69"/>
        <v>0.8</v>
      </c>
      <c r="Z104" s="19">
        <f t="shared" si="69"/>
        <v>1.2</v>
      </c>
      <c r="AA104" s="35"/>
      <c r="AB104" s="8">
        <f t="shared" si="52"/>
        <v>1</v>
      </c>
      <c r="AC104" s="8">
        <f t="shared" si="53"/>
        <v>1.2</v>
      </c>
      <c r="AD104" s="8">
        <f t="shared" si="54"/>
        <v>1.5</v>
      </c>
      <c r="AE104" s="8">
        <f t="shared" si="55"/>
        <v>2</v>
      </c>
      <c r="AF104" s="8">
        <f t="shared" si="56"/>
        <v>2.5</v>
      </c>
      <c r="AG104" s="8">
        <f t="shared" si="57"/>
        <v>0.5</v>
      </c>
      <c r="AH104" s="8">
        <f t="shared" si="58"/>
        <v>0.2</v>
      </c>
      <c r="AI104" s="8">
        <f t="shared" si="59"/>
        <v>0.2</v>
      </c>
      <c r="AJ104" s="8">
        <f t="shared" si="60"/>
        <v>0.03</v>
      </c>
      <c r="AK104" s="87"/>
      <c r="AL104" s="8">
        <f t="shared" si="61"/>
        <v>1.2</v>
      </c>
      <c r="AM104" s="91">
        <f t="shared" si="62"/>
        <v>0.2</v>
      </c>
      <c r="AN104" s="91">
        <f t="shared" si="63"/>
        <v>0.3</v>
      </c>
      <c r="AO104" s="91">
        <f t="shared" si="64"/>
        <v>0.5</v>
      </c>
      <c r="AP104" s="91">
        <f t="shared" si="65"/>
        <v>0.8</v>
      </c>
      <c r="AQ104" s="91">
        <f t="shared" si="66"/>
        <v>1.2</v>
      </c>
      <c r="AR104" s="35"/>
      <c r="AS104" s="8">
        <f t="shared" si="40"/>
        <v>0.2</v>
      </c>
      <c r="AT104" s="35"/>
    </row>
    <row r="105" spans="1:46">
      <c r="A105" s="12">
        <v>103</v>
      </c>
      <c r="B105" s="8">
        <f t="shared" si="41"/>
        <v>1.2</v>
      </c>
      <c r="C105" s="8">
        <f t="shared" si="42"/>
        <v>1.5</v>
      </c>
      <c r="D105" s="8">
        <f t="shared" si="67"/>
        <v>2</v>
      </c>
      <c r="E105" s="8">
        <f t="shared" si="67"/>
        <v>2.5</v>
      </c>
      <c r="F105" s="8">
        <f t="shared" si="67"/>
        <v>0.5</v>
      </c>
      <c r="G105" s="8">
        <f t="shared" si="67"/>
        <v>0.3</v>
      </c>
      <c r="H105" s="8">
        <f t="shared" si="67"/>
        <v>0.6</v>
      </c>
      <c r="I105" s="8">
        <f t="shared" si="67"/>
        <v>0.3</v>
      </c>
      <c r="J105" s="8">
        <f t="shared" si="67"/>
        <v>0.8</v>
      </c>
      <c r="K105" s="8">
        <f t="shared" si="44"/>
        <v>1.2</v>
      </c>
      <c r="L105" s="35"/>
      <c r="M105" s="8">
        <f t="shared" si="45"/>
        <v>1.5</v>
      </c>
      <c r="N105" s="8">
        <f t="shared" si="46"/>
        <v>2</v>
      </c>
      <c r="O105" s="79">
        <f t="shared" si="68"/>
        <v>2.5</v>
      </c>
      <c r="P105" s="8">
        <f t="shared" si="68"/>
        <v>3</v>
      </c>
      <c r="Q105" s="8">
        <f t="shared" si="68"/>
        <v>3.5</v>
      </c>
      <c r="R105" s="11">
        <f t="shared" si="68"/>
        <v>0.75</v>
      </c>
      <c r="S105" s="11">
        <f t="shared" si="48"/>
        <v>0.3</v>
      </c>
      <c r="T105" s="11">
        <f t="shared" si="49"/>
        <v>0.3</v>
      </c>
      <c r="U105" s="29">
        <f t="shared" si="50"/>
        <v>0.05</v>
      </c>
      <c r="V105" s="19">
        <f t="shared" si="69"/>
        <v>0.2</v>
      </c>
      <c r="W105" s="19">
        <f t="shared" si="69"/>
        <v>0.3</v>
      </c>
      <c r="X105" s="19">
        <f t="shared" si="69"/>
        <v>0.5</v>
      </c>
      <c r="Y105" s="19">
        <f t="shared" si="69"/>
        <v>0.8</v>
      </c>
      <c r="Z105" s="19">
        <f t="shared" si="69"/>
        <v>1.2</v>
      </c>
      <c r="AA105" s="35"/>
      <c r="AB105" s="8">
        <f t="shared" si="52"/>
        <v>1</v>
      </c>
      <c r="AC105" s="8">
        <f t="shared" si="53"/>
        <v>1.2</v>
      </c>
      <c r="AD105" s="8">
        <f t="shared" si="54"/>
        <v>1.5</v>
      </c>
      <c r="AE105" s="8">
        <f t="shared" si="55"/>
        <v>2</v>
      </c>
      <c r="AF105" s="8">
        <f t="shared" si="56"/>
        <v>2.5</v>
      </c>
      <c r="AG105" s="8">
        <f t="shared" si="57"/>
        <v>0.5</v>
      </c>
      <c r="AH105" s="8">
        <f t="shared" si="58"/>
        <v>0.2</v>
      </c>
      <c r="AI105" s="8">
        <f t="shared" si="59"/>
        <v>0.2</v>
      </c>
      <c r="AJ105" s="8">
        <f t="shared" si="60"/>
        <v>0.03</v>
      </c>
      <c r="AK105" s="87"/>
      <c r="AL105" s="8">
        <f t="shared" si="61"/>
        <v>1.2</v>
      </c>
      <c r="AM105" s="91">
        <f t="shared" si="62"/>
        <v>0.2</v>
      </c>
      <c r="AN105" s="91">
        <f t="shared" si="63"/>
        <v>0.3</v>
      </c>
      <c r="AO105" s="91">
        <f t="shared" si="64"/>
        <v>0.5</v>
      </c>
      <c r="AP105" s="91">
        <f t="shared" si="65"/>
        <v>0.8</v>
      </c>
      <c r="AQ105" s="91">
        <f t="shared" si="66"/>
        <v>1.2</v>
      </c>
      <c r="AR105" s="35"/>
      <c r="AS105" s="8">
        <f t="shared" si="40"/>
        <v>0.2</v>
      </c>
      <c r="AT105" s="35"/>
    </row>
    <row r="106" spans="1:46">
      <c r="A106" s="12">
        <v>104</v>
      </c>
      <c r="B106" s="8">
        <f t="shared" si="41"/>
        <v>1.2</v>
      </c>
      <c r="C106" s="8">
        <f t="shared" si="42"/>
        <v>1.5</v>
      </c>
      <c r="D106" s="8">
        <f t="shared" si="67"/>
        <v>2</v>
      </c>
      <c r="E106" s="8">
        <f t="shared" si="67"/>
        <v>2.5</v>
      </c>
      <c r="F106" s="8">
        <f t="shared" si="67"/>
        <v>0.5</v>
      </c>
      <c r="G106" s="8">
        <f t="shared" si="67"/>
        <v>0.3</v>
      </c>
      <c r="H106" s="8">
        <f t="shared" si="67"/>
        <v>0.6</v>
      </c>
      <c r="I106" s="8">
        <f t="shared" si="67"/>
        <v>0.3</v>
      </c>
      <c r="J106" s="8">
        <f t="shared" si="67"/>
        <v>0.8</v>
      </c>
      <c r="K106" s="8">
        <f t="shared" si="44"/>
        <v>1.2</v>
      </c>
      <c r="L106" s="35"/>
      <c r="M106" s="8">
        <f t="shared" si="45"/>
        <v>1.5</v>
      </c>
      <c r="N106" s="8">
        <f t="shared" si="46"/>
        <v>2</v>
      </c>
      <c r="O106" s="79">
        <f t="shared" si="68"/>
        <v>2.5</v>
      </c>
      <c r="P106" s="8">
        <f t="shared" si="68"/>
        <v>3</v>
      </c>
      <c r="Q106" s="8">
        <f t="shared" si="68"/>
        <v>3.5</v>
      </c>
      <c r="R106" s="11">
        <f t="shared" si="68"/>
        <v>0.75</v>
      </c>
      <c r="S106" s="11">
        <f t="shared" si="48"/>
        <v>0.3</v>
      </c>
      <c r="T106" s="11">
        <f t="shared" si="49"/>
        <v>0.3</v>
      </c>
      <c r="U106" s="29">
        <f t="shared" si="50"/>
        <v>0.05</v>
      </c>
      <c r="V106" s="19">
        <f t="shared" si="69"/>
        <v>0.2</v>
      </c>
      <c r="W106" s="19">
        <f t="shared" si="69"/>
        <v>0.3</v>
      </c>
      <c r="X106" s="19">
        <f t="shared" si="69"/>
        <v>0.5</v>
      </c>
      <c r="Y106" s="19">
        <f t="shared" si="69"/>
        <v>0.8</v>
      </c>
      <c r="Z106" s="19">
        <f t="shared" si="69"/>
        <v>1.2</v>
      </c>
      <c r="AA106" s="35"/>
      <c r="AB106" s="8">
        <f t="shared" si="52"/>
        <v>1</v>
      </c>
      <c r="AC106" s="8">
        <f t="shared" si="53"/>
        <v>1.2</v>
      </c>
      <c r="AD106" s="8">
        <f t="shared" si="54"/>
        <v>1.5</v>
      </c>
      <c r="AE106" s="8">
        <f t="shared" si="55"/>
        <v>2</v>
      </c>
      <c r="AF106" s="8">
        <f t="shared" si="56"/>
        <v>2.5</v>
      </c>
      <c r="AG106" s="8">
        <f t="shared" si="57"/>
        <v>0.5</v>
      </c>
      <c r="AH106" s="8">
        <f t="shared" si="58"/>
        <v>0.2</v>
      </c>
      <c r="AI106" s="8">
        <f t="shared" si="59"/>
        <v>0.2</v>
      </c>
      <c r="AJ106" s="8">
        <f t="shared" si="60"/>
        <v>0.03</v>
      </c>
      <c r="AK106" s="87"/>
      <c r="AL106" s="8">
        <f t="shared" si="61"/>
        <v>1.2</v>
      </c>
      <c r="AM106" s="91">
        <f t="shared" si="62"/>
        <v>0.2</v>
      </c>
      <c r="AN106" s="91">
        <f t="shared" si="63"/>
        <v>0.3</v>
      </c>
      <c r="AO106" s="91">
        <f t="shared" si="64"/>
        <v>0.5</v>
      </c>
      <c r="AP106" s="91">
        <f t="shared" si="65"/>
        <v>0.8</v>
      </c>
      <c r="AQ106" s="91">
        <f t="shared" si="66"/>
        <v>1.2</v>
      </c>
      <c r="AR106" s="35"/>
      <c r="AS106" s="8">
        <f t="shared" si="40"/>
        <v>0.2</v>
      </c>
      <c r="AT106" s="35"/>
    </row>
    <row r="107" spans="1:46">
      <c r="A107" s="12">
        <v>105</v>
      </c>
      <c r="B107" s="8">
        <f t="shared" si="41"/>
        <v>1.2</v>
      </c>
      <c r="C107" s="8">
        <f t="shared" si="42"/>
        <v>1.5</v>
      </c>
      <c r="D107" s="8">
        <f t="shared" si="67"/>
        <v>2</v>
      </c>
      <c r="E107" s="8">
        <f t="shared" si="67"/>
        <v>2.5</v>
      </c>
      <c r="F107" s="8">
        <f t="shared" si="67"/>
        <v>0.5</v>
      </c>
      <c r="G107" s="8">
        <f t="shared" si="67"/>
        <v>0.3</v>
      </c>
      <c r="H107" s="8">
        <f t="shared" si="67"/>
        <v>0.6</v>
      </c>
      <c r="I107" s="8">
        <f t="shared" si="67"/>
        <v>0.3</v>
      </c>
      <c r="J107" s="8">
        <f t="shared" si="67"/>
        <v>0.8</v>
      </c>
      <c r="K107" s="8">
        <f t="shared" si="44"/>
        <v>1.2</v>
      </c>
      <c r="L107" s="35"/>
      <c r="M107" s="8">
        <f t="shared" si="45"/>
        <v>1.5</v>
      </c>
      <c r="N107" s="8">
        <f t="shared" si="46"/>
        <v>2</v>
      </c>
      <c r="O107" s="79">
        <f t="shared" si="68"/>
        <v>2.5</v>
      </c>
      <c r="P107" s="8">
        <f t="shared" si="68"/>
        <v>3</v>
      </c>
      <c r="Q107" s="8">
        <f t="shared" si="68"/>
        <v>3.5</v>
      </c>
      <c r="R107" s="11">
        <f t="shared" si="68"/>
        <v>0.75</v>
      </c>
      <c r="S107" s="11">
        <f t="shared" si="48"/>
        <v>0.3</v>
      </c>
      <c r="T107" s="11">
        <f t="shared" si="49"/>
        <v>0.3</v>
      </c>
      <c r="U107" s="29">
        <f t="shared" si="50"/>
        <v>0.05</v>
      </c>
      <c r="V107" s="19">
        <f t="shared" si="69"/>
        <v>0.2</v>
      </c>
      <c r="W107" s="19">
        <f t="shared" si="69"/>
        <v>0.3</v>
      </c>
      <c r="X107" s="19">
        <f t="shared" si="69"/>
        <v>0.5</v>
      </c>
      <c r="Y107" s="19">
        <f t="shared" si="69"/>
        <v>0.8</v>
      </c>
      <c r="Z107" s="19">
        <f t="shared" si="69"/>
        <v>1.2</v>
      </c>
      <c r="AA107" s="35"/>
      <c r="AB107" s="8">
        <f t="shared" si="52"/>
        <v>1</v>
      </c>
      <c r="AC107" s="8">
        <f t="shared" si="53"/>
        <v>1.2</v>
      </c>
      <c r="AD107" s="8">
        <f t="shared" si="54"/>
        <v>1.5</v>
      </c>
      <c r="AE107" s="8">
        <f t="shared" si="55"/>
        <v>2</v>
      </c>
      <c r="AF107" s="8">
        <f t="shared" si="56"/>
        <v>2.5</v>
      </c>
      <c r="AG107" s="8">
        <f t="shared" si="57"/>
        <v>0.5</v>
      </c>
      <c r="AH107" s="8">
        <f t="shared" si="58"/>
        <v>0.2</v>
      </c>
      <c r="AI107" s="8">
        <f t="shared" si="59"/>
        <v>0.2</v>
      </c>
      <c r="AJ107" s="8">
        <f t="shared" si="60"/>
        <v>0.03</v>
      </c>
      <c r="AK107" s="87"/>
      <c r="AL107" s="8">
        <f t="shared" si="61"/>
        <v>1.2</v>
      </c>
      <c r="AM107" s="91">
        <f t="shared" si="62"/>
        <v>0.2</v>
      </c>
      <c r="AN107" s="91">
        <f t="shared" si="63"/>
        <v>0.3</v>
      </c>
      <c r="AO107" s="91">
        <f t="shared" si="64"/>
        <v>0.5</v>
      </c>
      <c r="AP107" s="91">
        <f t="shared" si="65"/>
        <v>0.8</v>
      </c>
      <c r="AQ107" s="91">
        <f t="shared" si="66"/>
        <v>1.2</v>
      </c>
      <c r="AR107" s="35"/>
      <c r="AS107" s="8">
        <f t="shared" si="40"/>
        <v>0.2</v>
      </c>
      <c r="AT107" s="35"/>
    </row>
    <row r="108" spans="1:46">
      <c r="A108" s="12">
        <v>106</v>
      </c>
      <c r="B108" s="8">
        <f t="shared" si="41"/>
        <v>1.2</v>
      </c>
      <c r="C108" s="8">
        <f t="shared" si="42"/>
        <v>1.5</v>
      </c>
      <c r="D108" s="8">
        <f t="shared" si="67"/>
        <v>2</v>
      </c>
      <c r="E108" s="8">
        <f t="shared" si="67"/>
        <v>2.5</v>
      </c>
      <c r="F108" s="8">
        <f t="shared" si="67"/>
        <v>0.5</v>
      </c>
      <c r="G108" s="8">
        <f t="shared" si="67"/>
        <v>0.3</v>
      </c>
      <c r="H108" s="8">
        <f t="shared" si="67"/>
        <v>0.6</v>
      </c>
      <c r="I108" s="8">
        <f t="shared" si="67"/>
        <v>0.3</v>
      </c>
      <c r="J108" s="8">
        <f t="shared" si="67"/>
        <v>0.8</v>
      </c>
      <c r="K108" s="8">
        <f t="shared" si="44"/>
        <v>1.2</v>
      </c>
      <c r="L108" s="35"/>
      <c r="M108" s="8">
        <f t="shared" si="45"/>
        <v>1.5</v>
      </c>
      <c r="N108" s="8">
        <f t="shared" si="46"/>
        <v>2</v>
      </c>
      <c r="O108" s="79">
        <f t="shared" si="68"/>
        <v>2.5</v>
      </c>
      <c r="P108" s="8">
        <f t="shared" si="68"/>
        <v>3</v>
      </c>
      <c r="Q108" s="8">
        <f t="shared" si="68"/>
        <v>3.5</v>
      </c>
      <c r="R108" s="11">
        <f t="shared" si="68"/>
        <v>0.75</v>
      </c>
      <c r="S108" s="11">
        <f t="shared" si="48"/>
        <v>0.3</v>
      </c>
      <c r="T108" s="11">
        <f t="shared" si="49"/>
        <v>0.3</v>
      </c>
      <c r="U108" s="29">
        <f t="shared" si="50"/>
        <v>0.05</v>
      </c>
      <c r="V108" s="19">
        <f t="shared" si="69"/>
        <v>0.2</v>
      </c>
      <c r="W108" s="19">
        <f t="shared" si="69"/>
        <v>0.3</v>
      </c>
      <c r="X108" s="19">
        <f t="shared" si="69"/>
        <v>0.5</v>
      </c>
      <c r="Y108" s="19">
        <f t="shared" si="69"/>
        <v>0.8</v>
      </c>
      <c r="Z108" s="19">
        <f t="shared" si="69"/>
        <v>1.2</v>
      </c>
      <c r="AA108" s="35"/>
      <c r="AB108" s="8">
        <f t="shared" si="52"/>
        <v>1</v>
      </c>
      <c r="AC108" s="8">
        <f t="shared" si="53"/>
        <v>1.2</v>
      </c>
      <c r="AD108" s="8">
        <f t="shared" si="54"/>
        <v>1.5</v>
      </c>
      <c r="AE108" s="8">
        <f t="shared" si="55"/>
        <v>2</v>
      </c>
      <c r="AF108" s="8">
        <f t="shared" si="56"/>
        <v>2.5</v>
      </c>
      <c r="AG108" s="8">
        <f t="shared" si="57"/>
        <v>0.5</v>
      </c>
      <c r="AH108" s="8">
        <f t="shared" si="58"/>
        <v>0.2</v>
      </c>
      <c r="AI108" s="8">
        <f t="shared" si="59"/>
        <v>0.2</v>
      </c>
      <c r="AJ108" s="8">
        <f t="shared" si="60"/>
        <v>0.03</v>
      </c>
      <c r="AK108" s="87"/>
      <c r="AL108" s="8">
        <f t="shared" si="61"/>
        <v>1.2</v>
      </c>
      <c r="AM108" s="91">
        <f t="shared" si="62"/>
        <v>0.2</v>
      </c>
      <c r="AN108" s="91">
        <f t="shared" si="63"/>
        <v>0.3</v>
      </c>
      <c r="AO108" s="91">
        <f t="shared" si="64"/>
        <v>0.5</v>
      </c>
      <c r="AP108" s="91">
        <f t="shared" si="65"/>
        <v>0.8</v>
      </c>
      <c r="AQ108" s="91">
        <f t="shared" si="66"/>
        <v>1.2</v>
      </c>
      <c r="AR108" s="35"/>
      <c r="AS108" s="8">
        <f t="shared" si="40"/>
        <v>0.2</v>
      </c>
      <c r="AT108" s="35"/>
    </row>
    <row r="109" spans="1:46">
      <c r="A109" s="12">
        <v>107</v>
      </c>
      <c r="B109" s="8">
        <f t="shared" si="41"/>
        <v>1.2</v>
      </c>
      <c r="C109" s="8">
        <f t="shared" si="42"/>
        <v>1.5</v>
      </c>
      <c r="D109" s="8">
        <f t="shared" si="67"/>
        <v>2</v>
      </c>
      <c r="E109" s="8">
        <f t="shared" si="67"/>
        <v>2.5</v>
      </c>
      <c r="F109" s="8">
        <f t="shared" si="67"/>
        <v>0.5</v>
      </c>
      <c r="G109" s="8">
        <f t="shared" si="67"/>
        <v>0.3</v>
      </c>
      <c r="H109" s="8">
        <f t="shared" si="67"/>
        <v>0.6</v>
      </c>
      <c r="I109" s="8">
        <f t="shared" si="67"/>
        <v>0.3</v>
      </c>
      <c r="J109" s="8">
        <f t="shared" si="67"/>
        <v>0.8</v>
      </c>
      <c r="K109" s="8">
        <f t="shared" si="44"/>
        <v>1.2</v>
      </c>
      <c r="L109" s="35"/>
      <c r="M109" s="8">
        <f t="shared" si="45"/>
        <v>1.5</v>
      </c>
      <c r="N109" s="8">
        <f t="shared" si="46"/>
        <v>2</v>
      </c>
      <c r="O109" s="79">
        <f t="shared" si="68"/>
        <v>2.5</v>
      </c>
      <c r="P109" s="8">
        <f t="shared" si="68"/>
        <v>3</v>
      </c>
      <c r="Q109" s="8">
        <f t="shared" si="68"/>
        <v>3.5</v>
      </c>
      <c r="R109" s="11">
        <f t="shared" si="68"/>
        <v>0.75</v>
      </c>
      <c r="S109" s="11">
        <f t="shared" si="48"/>
        <v>0.3</v>
      </c>
      <c r="T109" s="11">
        <f t="shared" si="49"/>
        <v>0.3</v>
      </c>
      <c r="U109" s="29">
        <f t="shared" si="50"/>
        <v>0.05</v>
      </c>
      <c r="V109" s="19">
        <f t="shared" si="69"/>
        <v>0.2</v>
      </c>
      <c r="W109" s="19">
        <f t="shared" si="69"/>
        <v>0.3</v>
      </c>
      <c r="X109" s="19">
        <f t="shared" si="69"/>
        <v>0.5</v>
      </c>
      <c r="Y109" s="19">
        <f t="shared" si="69"/>
        <v>0.8</v>
      </c>
      <c r="Z109" s="19">
        <f t="shared" si="69"/>
        <v>1.2</v>
      </c>
      <c r="AA109" s="35"/>
      <c r="AB109" s="8">
        <f t="shared" si="52"/>
        <v>1</v>
      </c>
      <c r="AC109" s="8">
        <f t="shared" si="53"/>
        <v>1.2</v>
      </c>
      <c r="AD109" s="8">
        <f t="shared" si="54"/>
        <v>1.5</v>
      </c>
      <c r="AE109" s="8">
        <f t="shared" si="55"/>
        <v>2</v>
      </c>
      <c r="AF109" s="8">
        <f t="shared" si="56"/>
        <v>2.5</v>
      </c>
      <c r="AG109" s="8">
        <f t="shared" si="57"/>
        <v>0.5</v>
      </c>
      <c r="AH109" s="8">
        <f t="shared" si="58"/>
        <v>0.2</v>
      </c>
      <c r="AI109" s="8">
        <f t="shared" si="59"/>
        <v>0.2</v>
      </c>
      <c r="AJ109" s="8">
        <f t="shared" si="60"/>
        <v>0.03</v>
      </c>
      <c r="AK109" s="87"/>
      <c r="AL109" s="8">
        <f t="shared" si="61"/>
        <v>1.2</v>
      </c>
      <c r="AM109" s="91">
        <f t="shared" si="62"/>
        <v>0.2</v>
      </c>
      <c r="AN109" s="91">
        <f t="shared" si="63"/>
        <v>0.3</v>
      </c>
      <c r="AO109" s="91">
        <f t="shared" si="64"/>
        <v>0.5</v>
      </c>
      <c r="AP109" s="91">
        <f t="shared" si="65"/>
        <v>0.8</v>
      </c>
      <c r="AQ109" s="91">
        <f t="shared" si="66"/>
        <v>1.2</v>
      </c>
      <c r="AR109" s="35"/>
      <c r="AS109" s="8">
        <f t="shared" si="40"/>
        <v>0.2</v>
      </c>
      <c r="AT109" s="35"/>
    </row>
    <row r="110" spans="1:46">
      <c r="A110" s="12">
        <v>108</v>
      </c>
      <c r="B110" s="8">
        <f t="shared" si="41"/>
        <v>1.2</v>
      </c>
      <c r="C110" s="8">
        <f t="shared" si="42"/>
        <v>1.5</v>
      </c>
      <c r="D110" s="8">
        <f t="shared" si="67"/>
        <v>2</v>
      </c>
      <c r="E110" s="8">
        <f t="shared" si="67"/>
        <v>2.5</v>
      </c>
      <c r="F110" s="8">
        <f t="shared" si="67"/>
        <v>0.5</v>
      </c>
      <c r="G110" s="8">
        <f t="shared" si="67"/>
        <v>0.3</v>
      </c>
      <c r="H110" s="8">
        <f t="shared" si="67"/>
        <v>0.6</v>
      </c>
      <c r="I110" s="8">
        <f t="shared" si="67"/>
        <v>0.3</v>
      </c>
      <c r="J110" s="8">
        <f t="shared" si="67"/>
        <v>0.8</v>
      </c>
      <c r="K110" s="8">
        <f t="shared" si="44"/>
        <v>1.2</v>
      </c>
      <c r="L110" s="35"/>
      <c r="M110" s="8">
        <f t="shared" si="45"/>
        <v>1.5</v>
      </c>
      <c r="N110" s="8">
        <f t="shared" si="46"/>
        <v>2</v>
      </c>
      <c r="O110" s="79">
        <f t="shared" si="68"/>
        <v>2.5</v>
      </c>
      <c r="P110" s="8">
        <f t="shared" si="68"/>
        <v>3</v>
      </c>
      <c r="Q110" s="8">
        <f t="shared" si="68"/>
        <v>3.5</v>
      </c>
      <c r="R110" s="11">
        <f t="shared" si="68"/>
        <v>0.75</v>
      </c>
      <c r="S110" s="11">
        <f t="shared" si="48"/>
        <v>0.3</v>
      </c>
      <c r="T110" s="11">
        <f t="shared" si="49"/>
        <v>0.3</v>
      </c>
      <c r="U110" s="29">
        <f t="shared" si="50"/>
        <v>0.05</v>
      </c>
      <c r="V110" s="19">
        <f t="shared" si="69"/>
        <v>0.2</v>
      </c>
      <c r="W110" s="19">
        <f t="shared" si="69"/>
        <v>0.3</v>
      </c>
      <c r="X110" s="19">
        <f t="shared" si="69"/>
        <v>0.5</v>
      </c>
      <c r="Y110" s="19">
        <f t="shared" si="69"/>
        <v>0.8</v>
      </c>
      <c r="Z110" s="19">
        <f t="shared" si="69"/>
        <v>1.2</v>
      </c>
      <c r="AA110" s="35"/>
      <c r="AB110" s="8">
        <f t="shared" si="52"/>
        <v>1</v>
      </c>
      <c r="AC110" s="8">
        <f t="shared" si="53"/>
        <v>1.2</v>
      </c>
      <c r="AD110" s="8">
        <f t="shared" si="54"/>
        <v>1.5</v>
      </c>
      <c r="AE110" s="8">
        <f t="shared" si="55"/>
        <v>2</v>
      </c>
      <c r="AF110" s="8">
        <f t="shared" si="56"/>
        <v>2.5</v>
      </c>
      <c r="AG110" s="8">
        <f t="shared" si="57"/>
        <v>0.5</v>
      </c>
      <c r="AH110" s="8">
        <f t="shared" si="58"/>
        <v>0.2</v>
      </c>
      <c r="AI110" s="8">
        <f t="shared" si="59"/>
        <v>0.2</v>
      </c>
      <c r="AJ110" s="8">
        <f t="shared" si="60"/>
        <v>0.03</v>
      </c>
      <c r="AK110" s="87"/>
      <c r="AL110" s="8">
        <f t="shared" si="61"/>
        <v>1.2</v>
      </c>
      <c r="AM110" s="91">
        <f t="shared" si="62"/>
        <v>0.2</v>
      </c>
      <c r="AN110" s="91">
        <f t="shared" si="63"/>
        <v>0.3</v>
      </c>
      <c r="AO110" s="91">
        <f t="shared" si="64"/>
        <v>0.5</v>
      </c>
      <c r="AP110" s="91">
        <f t="shared" si="65"/>
        <v>0.8</v>
      </c>
      <c r="AQ110" s="91">
        <f t="shared" si="66"/>
        <v>1.2</v>
      </c>
      <c r="AR110" s="35"/>
      <c r="AS110" s="8">
        <f t="shared" si="40"/>
        <v>0.2</v>
      </c>
      <c r="AT110" s="35"/>
    </row>
    <row r="111" spans="1:46">
      <c r="A111" s="12">
        <v>109</v>
      </c>
      <c r="B111" s="8">
        <f t="shared" si="41"/>
        <v>1.2</v>
      </c>
      <c r="C111" s="8">
        <f t="shared" si="42"/>
        <v>1.5</v>
      </c>
      <c r="D111" s="8">
        <f t="shared" si="67"/>
        <v>2</v>
      </c>
      <c r="E111" s="8">
        <f t="shared" si="67"/>
        <v>2.5</v>
      </c>
      <c r="F111" s="8">
        <f t="shared" si="67"/>
        <v>0.5</v>
      </c>
      <c r="G111" s="8">
        <f t="shared" si="67"/>
        <v>0.3</v>
      </c>
      <c r="H111" s="8">
        <f t="shared" si="67"/>
        <v>0.6</v>
      </c>
      <c r="I111" s="8">
        <f t="shared" si="67"/>
        <v>0.3</v>
      </c>
      <c r="J111" s="8">
        <f t="shared" si="67"/>
        <v>0.8</v>
      </c>
      <c r="K111" s="8">
        <f t="shared" si="44"/>
        <v>1.2</v>
      </c>
      <c r="L111" s="35"/>
      <c r="M111" s="8">
        <f t="shared" si="45"/>
        <v>1.5</v>
      </c>
      <c r="N111" s="8">
        <f t="shared" si="46"/>
        <v>2</v>
      </c>
      <c r="O111" s="79">
        <f t="shared" si="68"/>
        <v>2.5</v>
      </c>
      <c r="P111" s="8">
        <f t="shared" si="68"/>
        <v>3</v>
      </c>
      <c r="Q111" s="8">
        <f t="shared" si="68"/>
        <v>3.5</v>
      </c>
      <c r="R111" s="11">
        <f t="shared" si="68"/>
        <v>0.75</v>
      </c>
      <c r="S111" s="11">
        <f t="shared" si="48"/>
        <v>0.3</v>
      </c>
      <c r="T111" s="11">
        <f t="shared" si="49"/>
        <v>0.3</v>
      </c>
      <c r="U111" s="29">
        <f t="shared" si="50"/>
        <v>0.05</v>
      </c>
      <c r="V111" s="19">
        <f t="shared" si="69"/>
        <v>0.2</v>
      </c>
      <c r="W111" s="19">
        <f t="shared" si="69"/>
        <v>0.3</v>
      </c>
      <c r="X111" s="19">
        <f t="shared" si="69"/>
        <v>0.5</v>
      </c>
      <c r="Y111" s="19">
        <f t="shared" si="69"/>
        <v>0.8</v>
      </c>
      <c r="Z111" s="19">
        <f t="shared" si="69"/>
        <v>1.2</v>
      </c>
      <c r="AA111" s="35"/>
      <c r="AB111" s="8">
        <f t="shared" si="52"/>
        <v>1</v>
      </c>
      <c r="AC111" s="8">
        <f t="shared" si="53"/>
        <v>1.2</v>
      </c>
      <c r="AD111" s="8">
        <f t="shared" si="54"/>
        <v>1.5</v>
      </c>
      <c r="AE111" s="8">
        <f t="shared" si="55"/>
        <v>2</v>
      </c>
      <c r="AF111" s="8">
        <f t="shared" si="56"/>
        <v>2.5</v>
      </c>
      <c r="AG111" s="8">
        <f t="shared" si="57"/>
        <v>0.5</v>
      </c>
      <c r="AH111" s="8">
        <f t="shared" si="58"/>
        <v>0.2</v>
      </c>
      <c r="AI111" s="8">
        <f t="shared" si="59"/>
        <v>0.2</v>
      </c>
      <c r="AJ111" s="8">
        <f t="shared" si="60"/>
        <v>0.03</v>
      </c>
      <c r="AK111" s="87"/>
      <c r="AL111" s="8">
        <f t="shared" si="61"/>
        <v>1.2</v>
      </c>
      <c r="AM111" s="91">
        <f t="shared" si="62"/>
        <v>0.2</v>
      </c>
      <c r="AN111" s="91">
        <f t="shared" si="63"/>
        <v>0.3</v>
      </c>
      <c r="AO111" s="91">
        <f t="shared" si="64"/>
        <v>0.5</v>
      </c>
      <c r="AP111" s="91">
        <f t="shared" si="65"/>
        <v>0.8</v>
      </c>
      <c r="AQ111" s="91">
        <f t="shared" si="66"/>
        <v>1.2</v>
      </c>
      <c r="AR111" s="35"/>
      <c r="AS111" s="8">
        <f t="shared" si="40"/>
        <v>0.2</v>
      </c>
      <c r="AT111" s="35"/>
    </row>
    <row r="112" spans="1:46">
      <c r="A112" s="12">
        <v>110</v>
      </c>
      <c r="B112" s="8">
        <f t="shared" si="41"/>
        <v>1.2</v>
      </c>
      <c r="C112" s="8">
        <f t="shared" si="42"/>
        <v>1.5</v>
      </c>
      <c r="D112" s="8">
        <f t="shared" si="67"/>
        <v>2</v>
      </c>
      <c r="E112" s="8">
        <f t="shared" si="67"/>
        <v>2.5</v>
      </c>
      <c r="F112" s="8">
        <f t="shared" si="67"/>
        <v>0.5</v>
      </c>
      <c r="G112" s="8">
        <f t="shared" si="67"/>
        <v>0.3</v>
      </c>
      <c r="H112" s="8">
        <f t="shared" si="67"/>
        <v>0.6</v>
      </c>
      <c r="I112" s="8">
        <f t="shared" si="67"/>
        <v>0.3</v>
      </c>
      <c r="J112" s="8">
        <f t="shared" si="67"/>
        <v>0.8</v>
      </c>
      <c r="K112" s="8">
        <f t="shared" si="44"/>
        <v>1.2</v>
      </c>
      <c r="L112" s="35"/>
      <c r="M112" s="8">
        <f t="shared" si="45"/>
        <v>1.5</v>
      </c>
      <c r="N112" s="8">
        <f t="shared" si="46"/>
        <v>2</v>
      </c>
      <c r="O112" s="79">
        <f t="shared" si="68"/>
        <v>2.5</v>
      </c>
      <c r="P112" s="8">
        <f t="shared" si="68"/>
        <v>3</v>
      </c>
      <c r="Q112" s="8">
        <f t="shared" si="68"/>
        <v>3.5</v>
      </c>
      <c r="R112" s="11">
        <f t="shared" si="68"/>
        <v>0.75</v>
      </c>
      <c r="S112" s="11">
        <f t="shared" si="48"/>
        <v>0.3</v>
      </c>
      <c r="T112" s="11">
        <f t="shared" si="49"/>
        <v>0.3</v>
      </c>
      <c r="U112" s="29">
        <f t="shared" si="50"/>
        <v>0.05</v>
      </c>
      <c r="V112" s="19">
        <f t="shared" si="69"/>
        <v>0.2</v>
      </c>
      <c r="W112" s="19">
        <f t="shared" si="69"/>
        <v>0.3</v>
      </c>
      <c r="X112" s="19">
        <f t="shared" si="69"/>
        <v>0.5</v>
      </c>
      <c r="Y112" s="19">
        <f t="shared" si="69"/>
        <v>0.8</v>
      </c>
      <c r="Z112" s="19">
        <f t="shared" si="69"/>
        <v>1.2</v>
      </c>
      <c r="AA112" s="35"/>
      <c r="AB112" s="8">
        <f t="shared" si="52"/>
        <v>1</v>
      </c>
      <c r="AC112" s="8">
        <f t="shared" si="53"/>
        <v>1.2</v>
      </c>
      <c r="AD112" s="8">
        <f t="shared" si="54"/>
        <v>1.5</v>
      </c>
      <c r="AE112" s="8">
        <f t="shared" si="55"/>
        <v>2</v>
      </c>
      <c r="AF112" s="8">
        <f t="shared" si="56"/>
        <v>2.5</v>
      </c>
      <c r="AG112" s="8">
        <f t="shared" si="57"/>
        <v>0.5</v>
      </c>
      <c r="AH112" s="8">
        <f t="shared" si="58"/>
        <v>0.2</v>
      </c>
      <c r="AI112" s="8">
        <f t="shared" si="59"/>
        <v>0.2</v>
      </c>
      <c r="AJ112" s="8">
        <f t="shared" si="60"/>
        <v>0.03</v>
      </c>
      <c r="AK112" s="87"/>
      <c r="AL112" s="8">
        <f t="shared" si="61"/>
        <v>1.2</v>
      </c>
      <c r="AM112" s="91">
        <f t="shared" si="62"/>
        <v>0.2</v>
      </c>
      <c r="AN112" s="91">
        <f t="shared" si="63"/>
        <v>0.3</v>
      </c>
      <c r="AO112" s="91">
        <f t="shared" si="64"/>
        <v>0.5</v>
      </c>
      <c r="AP112" s="91">
        <f t="shared" si="65"/>
        <v>0.8</v>
      </c>
      <c r="AQ112" s="91">
        <f t="shared" si="66"/>
        <v>1.2</v>
      </c>
      <c r="AR112" s="35"/>
      <c r="AS112" s="8">
        <f t="shared" si="40"/>
        <v>0.2</v>
      </c>
      <c r="AT112" s="35"/>
    </row>
    <row r="113" spans="1:46">
      <c r="A113" s="12">
        <v>111</v>
      </c>
      <c r="B113" s="8">
        <f t="shared" si="41"/>
        <v>1.2</v>
      </c>
      <c r="C113" s="8">
        <f t="shared" si="42"/>
        <v>1.5</v>
      </c>
      <c r="D113" s="8">
        <f t="shared" si="67"/>
        <v>2</v>
      </c>
      <c r="E113" s="8">
        <f t="shared" si="67"/>
        <v>2.5</v>
      </c>
      <c r="F113" s="8">
        <f t="shared" si="67"/>
        <v>0.5</v>
      </c>
      <c r="G113" s="8">
        <f t="shared" si="67"/>
        <v>0.3</v>
      </c>
      <c r="H113" s="8">
        <f t="shared" si="67"/>
        <v>0.6</v>
      </c>
      <c r="I113" s="8">
        <f t="shared" si="67"/>
        <v>0.3</v>
      </c>
      <c r="J113" s="8">
        <f t="shared" si="67"/>
        <v>0.8</v>
      </c>
      <c r="K113" s="8">
        <f t="shared" si="44"/>
        <v>1.2</v>
      </c>
      <c r="L113" s="35"/>
      <c r="M113" s="8">
        <f t="shared" si="45"/>
        <v>1.5</v>
      </c>
      <c r="N113" s="8">
        <f t="shared" si="46"/>
        <v>2</v>
      </c>
      <c r="O113" s="79">
        <f t="shared" si="68"/>
        <v>2.5</v>
      </c>
      <c r="P113" s="8">
        <f t="shared" si="68"/>
        <v>3</v>
      </c>
      <c r="Q113" s="8">
        <f t="shared" si="68"/>
        <v>3.5</v>
      </c>
      <c r="R113" s="11">
        <f t="shared" si="68"/>
        <v>0.75</v>
      </c>
      <c r="S113" s="11">
        <f t="shared" si="48"/>
        <v>0.3</v>
      </c>
      <c r="T113" s="11">
        <f t="shared" si="49"/>
        <v>0.3</v>
      </c>
      <c r="U113" s="29">
        <f t="shared" si="50"/>
        <v>0.05</v>
      </c>
      <c r="V113" s="19">
        <f t="shared" si="69"/>
        <v>0.2</v>
      </c>
      <c r="W113" s="19">
        <f t="shared" si="69"/>
        <v>0.3</v>
      </c>
      <c r="X113" s="19">
        <f t="shared" si="69"/>
        <v>0.5</v>
      </c>
      <c r="Y113" s="19">
        <f t="shared" si="69"/>
        <v>0.8</v>
      </c>
      <c r="Z113" s="19">
        <f t="shared" si="69"/>
        <v>1.2</v>
      </c>
      <c r="AA113" s="35"/>
      <c r="AB113" s="8">
        <f t="shared" si="52"/>
        <v>1</v>
      </c>
      <c r="AC113" s="8">
        <f t="shared" si="53"/>
        <v>1.2</v>
      </c>
      <c r="AD113" s="8">
        <f t="shared" si="54"/>
        <v>1.5</v>
      </c>
      <c r="AE113" s="8">
        <f t="shared" si="55"/>
        <v>2</v>
      </c>
      <c r="AF113" s="8">
        <f t="shared" si="56"/>
        <v>2.5</v>
      </c>
      <c r="AG113" s="8">
        <f t="shared" si="57"/>
        <v>0.5</v>
      </c>
      <c r="AH113" s="8">
        <f t="shared" si="58"/>
        <v>0.2</v>
      </c>
      <c r="AI113" s="8">
        <f t="shared" si="59"/>
        <v>0.2</v>
      </c>
      <c r="AJ113" s="8">
        <f t="shared" si="60"/>
        <v>0.03</v>
      </c>
      <c r="AK113" s="87"/>
      <c r="AL113" s="8">
        <f t="shared" si="61"/>
        <v>1.2</v>
      </c>
      <c r="AM113" s="91">
        <f t="shared" si="62"/>
        <v>0.2</v>
      </c>
      <c r="AN113" s="91">
        <f t="shared" si="63"/>
        <v>0.3</v>
      </c>
      <c r="AO113" s="91">
        <f t="shared" si="64"/>
        <v>0.5</v>
      </c>
      <c r="AP113" s="91">
        <f t="shared" si="65"/>
        <v>0.8</v>
      </c>
      <c r="AQ113" s="91">
        <f t="shared" si="66"/>
        <v>1.2</v>
      </c>
      <c r="AR113" s="35"/>
      <c r="AS113" s="8">
        <f t="shared" si="40"/>
        <v>0.2</v>
      </c>
      <c r="AT113" s="35"/>
    </row>
    <row r="114" spans="1:46">
      <c r="A114" s="12">
        <v>112</v>
      </c>
      <c r="B114" s="8">
        <f t="shared" si="41"/>
        <v>1.2</v>
      </c>
      <c r="C114" s="8">
        <f t="shared" si="42"/>
        <v>1.5</v>
      </c>
      <c r="D114" s="8">
        <f t="shared" si="67"/>
        <v>2</v>
      </c>
      <c r="E114" s="8">
        <f t="shared" si="67"/>
        <v>2.5</v>
      </c>
      <c r="F114" s="8">
        <f t="shared" si="67"/>
        <v>0.5</v>
      </c>
      <c r="G114" s="8">
        <f t="shared" si="67"/>
        <v>0.3</v>
      </c>
      <c r="H114" s="8">
        <f t="shared" si="67"/>
        <v>0.6</v>
      </c>
      <c r="I114" s="8">
        <f t="shared" si="67"/>
        <v>0.3</v>
      </c>
      <c r="J114" s="8">
        <f t="shared" si="67"/>
        <v>0.8</v>
      </c>
      <c r="K114" s="8">
        <f t="shared" si="44"/>
        <v>1.2</v>
      </c>
      <c r="L114" s="35"/>
      <c r="M114" s="8">
        <f t="shared" si="45"/>
        <v>1.5</v>
      </c>
      <c r="N114" s="8">
        <f t="shared" si="46"/>
        <v>2</v>
      </c>
      <c r="O114" s="79">
        <f t="shared" si="68"/>
        <v>2.5</v>
      </c>
      <c r="P114" s="8">
        <f t="shared" si="68"/>
        <v>3</v>
      </c>
      <c r="Q114" s="8">
        <f t="shared" si="68"/>
        <v>3.5</v>
      </c>
      <c r="R114" s="11">
        <f t="shared" si="68"/>
        <v>0.75</v>
      </c>
      <c r="S114" s="11">
        <f t="shared" si="48"/>
        <v>0.3</v>
      </c>
      <c r="T114" s="11">
        <f t="shared" si="49"/>
        <v>0.3</v>
      </c>
      <c r="U114" s="29">
        <f t="shared" si="50"/>
        <v>0.05</v>
      </c>
      <c r="V114" s="19">
        <f t="shared" si="69"/>
        <v>0.2</v>
      </c>
      <c r="W114" s="19">
        <f t="shared" si="69"/>
        <v>0.3</v>
      </c>
      <c r="X114" s="19">
        <f t="shared" si="69"/>
        <v>0.5</v>
      </c>
      <c r="Y114" s="19">
        <f t="shared" si="69"/>
        <v>0.8</v>
      </c>
      <c r="Z114" s="19">
        <f t="shared" si="69"/>
        <v>1.2</v>
      </c>
      <c r="AA114" s="35"/>
      <c r="AB114" s="8">
        <f t="shared" si="52"/>
        <v>1</v>
      </c>
      <c r="AC114" s="8">
        <f t="shared" si="53"/>
        <v>1.2</v>
      </c>
      <c r="AD114" s="8">
        <f t="shared" si="54"/>
        <v>1.5</v>
      </c>
      <c r="AE114" s="8">
        <f t="shared" si="55"/>
        <v>2</v>
      </c>
      <c r="AF114" s="8">
        <f t="shared" si="56"/>
        <v>2.5</v>
      </c>
      <c r="AG114" s="8">
        <f t="shared" si="57"/>
        <v>0.5</v>
      </c>
      <c r="AH114" s="8">
        <f t="shared" si="58"/>
        <v>0.2</v>
      </c>
      <c r="AI114" s="8">
        <f t="shared" si="59"/>
        <v>0.2</v>
      </c>
      <c r="AJ114" s="8">
        <f t="shared" si="60"/>
        <v>0.03</v>
      </c>
      <c r="AK114" s="87"/>
      <c r="AL114" s="8">
        <f t="shared" si="61"/>
        <v>1.2</v>
      </c>
      <c r="AM114" s="91">
        <f t="shared" si="62"/>
        <v>0.2</v>
      </c>
      <c r="AN114" s="91">
        <f t="shared" si="63"/>
        <v>0.3</v>
      </c>
      <c r="AO114" s="91">
        <f t="shared" si="64"/>
        <v>0.5</v>
      </c>
      <c r="AP114" s="91">
        <f t="shared" si="65"/>
        <v>0.8</v>
      </c>
      <c r="AQ114" s="91">
        <f t="shared" si="66"/>
        <v>1.2</v>
      </c>
      <c r="AR114" s="35"/>
      <c r="AS114" s="8">
        <f t="shared" si="40"/>
        <v>0.2</v>
      </c>
      <c r="AT114" s="35"/>
    </row>
    <row r="115" spans="1:46">
      <c r="A115" s="12">
        <v>113</v>
      </c>
      <c r="B115" s="8">
        <f t="shared" si="41"/>
        <v>1.2</v>
      </c>
      <c r="C115" s="8">
        <f t="shared" si="42"/>
        <v>1.5</v>
      </c>
      <c r="D115" s="8">
        <f t="shared" si="67"/>
        <v>2</v>
      </c>
      <c r="E115" s="8">
        <f t="shared" si="67"/>
        <v>2.5</v>
      </c>
      <c r="F115" s="8">
        <f t="shared" si="67"/>
        <v>0.5</v>
      </c>
      <c r="G115" s="8">
        <f t="shared" si="67"/>
        <v>0.3</v>
      </c>
      <c r="H115" s="8">
        <f t="shared" si="67"/>
        <v>0.6</v>
      </c>
      <c r="I115" s="8">
        <f t="shared" si="67"/>
        <v>0.3</v>
      </c>
      <c r="J115" s="8">
        <f t="shared" si="67"/>
        <v>0.8</v>
      </c>
      <c r="K115" s="8">
        <f t="shared" si="44"/>
        <v>1.2</v>
      </c>
      <c r="L115" s="35"/>
      <c r="M115" s="8">
        <f t="shared" si="45"/>
        <v>1.5</v>
      </c>
      <c r="N115" s="8">
        <f t="shared" si="46"/>
        <v>2</v>
      </c>
      <c r="O115" s="79">
        <f t="shared" si="68"/>
        <v>2.5</v>
      </c>
      <c r="P115" s="8">
        <f t="shared" si="68"/>
        <v>3</v>
      </c>
      <c r="Q115" s="8">
        <f t="shared" si="68"/>
        <v>3.5</v>
      </c>
      <c r="R115" s="11">
        <f t="shared" si="68"/>
        <v>0.75</v>
      </c>
      <c r="S115" s="11">
        <f t="shared" si="48"/>
        <v>0.3</v>
      </c>
      <c r="T115" s="11">
        <f t="shared" si="49"/>
        <v>0.3</v>
      </c>
      <c r="U115" s="29">
        <f t="shared" si="50"/>
        <v>0.05</v>
      </c>
      <c r="V115" s="19">
        <f t="shared" si="69"/>
        <v>0.2</v>
      </c>
      <c r="W115" s="19">
        <f t="shared" si="69"/>
        <v>0.3</v>
      </c>
      <c r="X115" s="19">
        <f t="shared" si="69"/>
        <v>0.5</v>
      </c>
      <c r="Y115" s="19">
        <f t="shared" si="69"/>
        <v>0.8</v>
      </c>
      <c r="Z115" s="19">
        <f t="shared" si="69"/>
        <v>1.2</v>
      </c>
      <c r="AA115" s="35"/>
      <c r="AB115" s="8">
        <f t="shared" si="52"/>
        <v>1</v>
      </c>
      <c r="AC115" s="8">
        <f t="shared" si="53"/>
        <v>1.2</v>
      </c>
      <c r="AD115" s="8">
        <f t="shared" si="54"/>
        <v>1.5</v>
      </c>
      <c r="AE115" s="8">
        <f t="shared" si="55"/>
        <v>2</v>
      </c>
      <c r="AF115" s="8">
        <f t="shared" si="56"/>
        <v>2.5</v>
      </c>
      <c r="AG115" s="8">
        <f t="shared" si="57"/>
        <v>0.5</v>
      </c>
      <c r="AH115" s="8">
        <f t="shared" si="58"/>
        <v>0.2</v>
      </c>
      <c r="AI115" s="8">
        <f t="shared" si="59"/>
        <v>0.2</v>
      </c>
      <c r="AJ115" s="8">
        <f t="shared" si="60"/>
        <v>0.03</v>
      </c>
      <c r="AK115" s="87"/>
      <c r="AL115" s="8">
        <f t="shared" si="61"/>
        <v>1.2</v>
      </c>
      <c r="AM115" s="91">
        <f t="shared" si="62"/>
        <v>0.2</v>
      </c>
      <c r="AN115" s="91">
        <f t="shared" si="63"/>
        <v>0.3</v>
      </c>
      <c r="AO115" s="91">
        <f t="shared" si="64"/>
        <v>0.5</v>
      </c>
      <c r="AP115" s="91">
        <f t="shared" si="65"/>
        <v>0.8</v>
      </c>
      <c r="AQ115" s="91">
        <f t="shared" si="66"/>
        <v>1.2</v>
      </c>
      <c r="AR115" s="35"/>
      <c r="AS115" s="8">
        <f t="shared" si="40"/>
        <v>0.2</v>
      </c>
      <c r="AT115" s="35"/>
    </row>
    <row r="116" spans="1:46">
      <c r="A116" s="12">
        <v>114</v>
      </c>
      <c r="B116" s="8">
        <f t="shared" si="41"/>
        <v>1.2</v>
      </c>
      <c r="C116" s="8">
        <f t="shared" si="42"/>
        <v>1.5</v>
      </c>
      <c r="D116" s="8">
        <f t="shared" si="67"/>
        <v>2</v>
      </c>
      <c r="E116" s="8">
        <f t="shared" si="67"/>
        <v>2.5</v>
      </c>
      <c r="F116" s="8">
        <f t="shared" si="67"/>
        <v>0.5</v>
      </c>
      <c r="G116" s="8">
        <f t="shared" si="67"/>
        <v>0.3</v>
      </c>
      <c r="H116" s="8">
        <f t="shared" si="67"/>
        <v>0.6</v>
      </c>
      <c r="I116" s="8">
        <f t="shared" si="67"/>
        <v>0.3</v>
      </c>
      <c r="J116" s="8">
        <f t="shared" si="67"/>
        <v>0.8</v>
      </c>
      <c r="K116" s="8">
        <f t="shared" si="44"/>
        <v>1.2</v>
      </c>
      <c r="L116" s="35"/>
      <c r="M116" s="8">
        <f t="shared" si="45"/>
        <v>1.5</v>
      </c>
      <c r="N116" s="8">
        <f t="shared" si="46"/>
        <v>2</v>
      </c>
      <c r="O116" s="79">
        <f t="shared" si="68"/>
        <v>2.5</v>
      </c>
      <c r="P116" s="8">
        <f t="shared" si="68"/>
        <v>3</v>
      </c>
      <c r="Q116" s="8">
        <f t="shared" si="68"/>
        <v>3.5</v>
      </c>
      <c r="R116" s="11">
        <f t="shared" si="68"/>
        <v>0.75</v>
      </c>
      <c r="S116" s="11">
        <f t="shared" si="48"/>
        <v>0.3</v>
      </c>
      <c r="T116" s="11">
        <f t="shared" si="49"/>
        <v>0.3</v>
      </c>
      <c r="U116" s="29">
        <f t="shared" si="50"/>
        <v>0.05</v>
      </c>
      <c r="V116" s="19">
        <f t="shared" si="69"/>
        <v>0.2</v>
      </c>
      <c r="W116" s="19">
        <f t="shared" si="69"/>
        <v>0.3</v>
      </c>
      <c r="X116" s="19">
        <f t="shared" si="69"/>
        <v>0.5</v>
      </c>
      <c r="Y116" s="19">
        <f t="shared" si="69"/>
        <v>0.8</v>
      </c>
      <c r="Z116" s="19">
        <f t="shared" si="69"/>
        <v>1.2</v>
      </c>
      <c r="AA116" s="35"/>
      <c r="AB116" s="8">
        <f t="shared" si="52"/>
        <v>1</v>
      </c>
      <c r="AC116" s="8">
        <f t="shared" si="53"/>
        <v>1.2</v>
      </c>
      <c r="AD116" s="8">
        <f t="shared" si="54"/>
        <v>1.5</v>
      </c>
      <c r="AE116" s="8">
        <f t="shared" si="55"/>
        <v>2</v>
      </c>
      <c r="AF116" s="8">
        <f t="shared" si="56"/>
        <v>2.5</v>
      </c>
      <c r="AG116" s="8">
        <f t="shared" si="57"/>
        <v>0.5</v>
      </c>
      <c r="AH116" s="8">
        <f t="shared" si="58"/>
        <v>0.2</v>
      </c>
      <c r="AI116" s="8">
        <f t="shared" si="59"/>
        <v>0.2</v>
      </c>
      <c r="AJ116" s="8">
        <f t="shared" si="60"/>
        <v>0.03</v>
      </c>
      <c r="AK116" s="87"/>
      <c r="AL116" s="8">
        <f t="shared" si="61"/>
        <v>1.2</v>
      </c>
      <c r="AM116" s="91">
        <f t="shared" si="62"/>
        <v>0.2</v>
      </c>
      <c r="AN116" s="91">
        <f t="shared" si="63"/>
        <v>0.3</v>
      </c>
      <c r="AO116" s="91">
        <f t="shared" si="64"/>
        <v>0.5</v>
      </c>
      <c r="AP116" s="91">
        <f t="shared" si="65"/>
        <v>0.8</v>
      </c>
      <c r="AQ116" s="91">
        <f t="shared" si="66"/>
        <v>1.2</v>
      </c>
      <c r="AR116" s="35"/>
      <c r="AS116" s="8">
        <f t="shared" si="40"/>
        <v>0.2</v>
      </c>
      <c r="AT116" s="35"/>
    </row>
    <row r="117" spans="1:46">
      <c r="A117" s="12">
        <v>115</v>
      </c>
      <c r="B117" s="8">
        <f t="shared" si="41"/>
        <v>1.2</v>
      </c>
      <c r="C117" s="8">
        <f t="shared" si="42"/>
        <v>1.5</v>
      </c>
      <c r="D117" s="8">
        <f t="shared" si="67"/>
        <v>2</v>
      </c>
      <c r="E117" s="8">
        <f t="shared" si="67"/>
        <v>2.5</v>
      </c>
      <c r="F117" s="8">
        <f t="shared" si="67"/>
        <v>0.5</v>
      </c>
      <c r="G117" s="8">
        <f t="shared" si="67"/>
        <v>0.3</v>
      </c>
      <c r="H117" s="8">
        <f t="shared" si="67"/>
        <v>0.6</v>
      </c>
      <c r="I117" s="8">
        <f t="shared" si="67"/>
        <v>0.3</v>
      </c>
      <c r="J117" s="8">
        <f t="shared" si="67"/>
        <v>0.8</v>
      </c>
      <c r="K117" s="8">
        <f t="shared" si="44"/>
        <v>1.2</v>
      </c>
      <c r="L117" s="35"/>
      <c r="M117" s="8">
        <f t="shared" si="45"/>
        <v>1.5</v>
      </c>
      <c r="N117" s="8">
        <f t="shared" si="46"/>
        <v>2</v>
      </c>
      <c r="O117" s="79">
        <f t="shared" si="68"/>
        <v>2.5</v>
      </c>
      <c r="P117" s="8">
        <f t="shared" si="68"/>
        <v>3</v>
      </c>
      <c r="Q117" s="8">
        <f t="shared" si="68"/>
        <v>3.5</v>
      </c>
      <c r="R117" s="11">
        <f t="shared" si="68"/>
        <v>0.75</v>
      </c>
      <c r="S117" s="11">
        <f t="shared" si="48"/>
        <v>0.3</v>
      </c>
      <c r="T117" s="11">
        <f t="shared" si="49"/>
        <v>0.3</v>
      </c>
      <c r="U117" s="29">
        <f t="shared" si="50"/>
        <v>0.05</v>
      </c>
      <c r="V117" s="19">
        <f t="shared" si="69"/>
        <v>0.2</v>
      </c>
      <c r="W117" s="19">
        <f t="shared" si="69"/>
        <v>0.3</v>
      </c>
      <c r="X117" s="19">
        <f t="shared" si="69"/>
        <v>0.5</v>
      </c>
      <c r="Y117" s="19">
        <f t="shared" si="69"/>
        <v>0.8</v>
      </c>
      <c r="Z117" s="19">
        <f t="shared" si="69"/>
        <v>1.2</v>
      </c>
      <c r="AA117" s="35"/>
      <c r="AB117" s="8">
        <f t="shared" si="52"/>
        <v>1</v>
      </c>
      <c r="AC117" s="8">
        <f t="shared" si="53"/>
        <v>1.2</v>
      </c>
      <c r="AD117" s="8">
        <f t="shared" si="54"/>
        <v>1.5</v>
      </c>
      <c r="AE117" s="8">
        <f t="shared" si="55"/>
        <v>2</v>
      </c>
      <c r="AF117" s="8">
        <f t="shared" si="56"/>
        <v>2.5</v>
      </c>
      <c r="AG117" s="8">
        <f t="shared" si="57"/>
        <v>0.5</v>
      </c>
      <c r="AH117" s="8">
        <f t="shared" si="58"/>
        <v>0.2</v>
      </c>
      <c r="AI117" s="8">
        <f t="shared" si="59"/>
        <v>0.2</v>
      </c>
      <c r="AJ117" s="8">
        <f t="shared" si="60"/>
        <v>0.03</v>
      </c>
      <c r="AK117" s="87"/>
      <c r="AL117" s="8">
        <f t="shared" si="61"/>
        <v>1.2</v>
      </c>
      <c r="AM117" s="91">
        <f t="shared" si="62"/>
        <v>0.2</v>
      </c>
      <c r="AN117" s="91">
        <f t="shared" si="63"/>
        <v>0.3</v>
      </c>
      <c r="AO117" s="91">
        <f t="shared" si="64"/>
        <v>0.5</v>
      </c>
      <c r="AP117" s="91">
        <f t="shared" si="65"/>
        <v>0.8</v>
      </c>
      <c r="AQ117" s="91">
        <f t="shared" si="66"/>
        <v>1.2</v>
      </c>
      <c r="AR117" s="35"/>
      <c r="AS117" s="8">
        <f t="shared" si="40"/>
        <v>0.2</v>
      </c>
      <c r="AT117" s="35"/>
    </row>
    <row r="118" spans="1:46">
      <c r="A118" s="12">
        <v>116</v>
      </c>
      <c r="B118" s="8">
        <f t="shared" si="41"/>
        <v>1.2</v>
      </c>
      <c r="C118" s="8">
        <f t="shared" si="42"/>
        <v>1.5</v>
      </c>
      <c r="D118" s="8">
        <f t="shared" si="67"/>
        <v>2</v>
      </c>
      <c r="E118" s="8">
        <f t="shared" si="67"/>
        <v>2.5</v>
      </c>
      <c r="F118" s="8">
        <f t="shared" si="67"/>
        <v>0.5</v>
      </c>
      <c r="G118" s="8">
        <f t="shared" si="67"/>
        <v>0.3</v>
      </c>
      <c r="H118" s="8">
        <f t="shared" si="67"/>
        <v>0.6</v>
      </c>
      <c r="I118" s="8">
        <f t="shared" si="67"/>
        <v>0.3</v>
      </c>
      <c r="J118" s="8">
        <f t="shared" si="67"/>
        <v>0.8</v>
      </c>
      <c r="K118" s="8">
        <f t="shared" si="44"/>
        <v>1.2</v>
      </c>
      <c r="L118" s="35"/>
      <c r="M118" s="8">
        <f t="shared" si="45"/>
        <v>1.5</v>
      </c>
      <c r="N118" s="8">
        <f t="shared" si="46"/>
        <v>2</v>
      </c>
      <c r="O118" s="79">
        <f t="shared" si="68"/>
        <v>2.5</v>
      </c>
      <c r="P118" s="8">
        <f t="shared" si="68"/>
        <v>3</v>
      </c>
      <c r="Q118" s="8">
        <f t="shared" si="68"/>
        <v>3.5</v>
      </c>
      <c r="R118" s="11">
        <f t="shared" si="68"/>
        <v>0.75</v>
      </c>
      <c r="S118" s="11">
        <f t="shared" si="48"/>
        <v>0.3</v>
      </c>
      <c r="T118" s="11">
        <f t="shared" si="49"/>
        <v>0.3</v>
      </c>
      <c r="U118" s="29">
        <f t="shared" si="50"/>
        <v>0.05</v>
      </c>
      <c r="V118" s="19">
        <f t="shared" si="69"/>
        <v>0.2</v>
      </c>
      <c r="W118" s="19">
        <f t="shared" si="69"/>
        <v>0.3</v>
      </c>
      <c r="X118" s="19">
        <f t="shared" si="69"/>
        <v>0.5</v>
      </c>
      <c r="Y118" s="19">
        <f t="shared" si="69"/>
        <v>0.8</v>
      </c>
      <c r="Z118" s="19">
        <f t="shared" si="69"/>
        <v>1.2</v>
      </c>
      <c r="AA118" s="35"/>
      <c r="AB118" s="8">
        <f t="shared" si="52"/>
        <v>1</v>
      </c>
      <c r="AC118" s="8">
        <f t="shared" si="53"/>
        <v>1.2</v>
      </c>
      <c r="AD118" s="8">
        <f t="shared" si="54"/>
        <v>1.5</v>
      </c>
      <c r="AE118" s="8">
        <f t="shared" si="55"/>
        <v>2</v>
      </c>
      <c r="AF118" s="8">
        <f t="shared" si="56"/>
        <v>2.5</v>
      </c>
      <c r="AG118" s="8">
        <f t="shared" si="57"/>
        <v>0.5</v>
      </c>
      <c r="AH118" s="8">
        <f t="shared" si="58"/>
        <v>0.2</v>
      </c>
      <c r="AI118" s="8">
        <f t="shared" si="59"/>
        <v>0.2</v>
      </c>
      <c r="AJ118" s="8">
        <f t="shared" si="60"/>
        <v>0.03</v>
      </c>
      <c r="AK118" s="87"/>
      <c r="AL118" s="8">
        <f t="shared" si="61"/>
        <v>1.2</v>
      </c>
      <c r="AM118" s="91">
        <f t="shared" si="62"/>
        <v>0.2</v>
      </c>
      <c r="AN118" s="91">
        <f t="shared" si="63"/>
        <v>0.3</v>
      </c>
      <c r="AO118" s="91">
        <f t="shared" si="64"/>
        <v>0.5</v>
      </c>
      <c r="AP118" s="91">
        <f t="shared" si="65"/>
        <v>0.8</v>
      </c>
      <c r="AQ118" s="91">
        <f t="shared" si="66"/>
        <v>1.2</v>
      </c>
      <c r="AR118" s="35"/>
      <c r="AS118" s="8">
        <f t="shared" si="40"/>
        <v>0.2</v>
      </c>
      <c r="AT118" s="35"/>
    </row>
    <row r="119" spans="1:46">
      <c r="A119" s="12">
        <v>117</v>
      </c>
      <c r="B119" s="8">
        <f t="shared" si="41"/>
        <v>1.2</v>
      </c>
      <c r="C119" s="8">
        <f t="shared" si="42"/>
        <v>1.5</v>
      </c>
      <c r="D119" s="8">
        <f t="shared" si="67"/>
        <v>2</v>
      </c>
      <c r="E119" s="8">
        <f t="shared" si="67"/>
        <v>2.5</v>
      </c>
      <c r="F119" s="8">
        <f t="shared" si="67"/>
        <v>0.5</v>
      </c>
      <c r="G119" s="8">
        <f t="shared" si="67"/>
        <v>0.3</v>
      </c>
      <c r="H119" s="8">
        <f t="shared" si="67"/>
        <v>0.6</v>
      </c>
      <c r="I119" s="8">
        <f t="shared" si="67"/>
        <v>0.3</v>
      </c>
      <c r="J119" s="8">
        <f t="shared" si="67"/>
        <v>0.8</v>
      </c>
      <c r="K119" s="8">
        <f t="shared" si="44"/>
        <v>1.2</v>
      </c>
      <c r="L119" s="35"/>
      <c r="M119" s="8">
        <f t="shared" si="45"/>
        <v>1.5</v>
      </c>
      <c r="N119" s="8">
        <f t="shared" si="46"/>
        <v>2</v>
      </c>
      <c r="O119" s="79">
        <f t="shared" si="68"/>
        <v>2.5</v>
      </c>
      <c r="P119" s="8">
        <f t="shared" si="68"/>
        <v>3</v>
      </c>
      <c r="Q119" s="8">
        <f t="shared" si="68"/>
        <v>3.5</v>
      </c>
      <c r="R119" s="11">
        <f t="shared" si="68"/>
        <v>0.75</v>
      </c>
      <c r="S119" s="11">
        <f t="shared" si="48"/>
        <v>0.3</v>
      </c>
      <c r="T119" s="11">
        <f t="shared" si="49"/>
        <v>0.3</v>
      </c>
      <c r="U119" s="29">
        <f t="shared" si="50"/>
        <v>0.05</v>
      </c>
      <c r="V119" s="19">
        <f t="shared" si="69"/>
        <v>0.2</v>
      </c>
      <c r="W119" s="19">
        <f t="shared" si="69"/>
        <v>0.3</v>
      </c>
      <c r="X119" s="19">
        <f t="shared" si="69"/>
        <v>0.5</v>
      </c>
      <c r="Y119" s="19">
        <f t="shared" si="69"/>
        <v>0.8</v>
      </c>
      <c r="Z119" s="19">
        <f t="shared" si="69"/>
        <v>1.2</v>
      </c>
      <c r="AA119" s="35"/>
      <c r="AB119" s="8">
        <f t="shared" si="52"/>
        <v>1</v>
      </c>
      <c r="AC119" s="8">
        <f t="shared" si="53"/>
        <v>1.2</v>
      </c>
      <c r="AD119" s="8">
        <f t="shared" si="54"/>
        <v>1.5</v>
      </c>
      <c r="AE119" s="8">
        <f t="shared" si="55"/>
        <v>2</v>
      </c>
      <c r="AF119" s="8">
        <f t="shared" si="56"/>
        <v>2.5</v>
      </c>
      <c r="AG119" s="8">
        <f t="shared" si="57"/>
        <v>0.5</v>
      </c>
      <c r="AH119" s="8">
        <f t="shared" si="58"/>
        <v>0.2</v>
      </c>
      <c r="AI119" s="8">
        <f t="shared" si="59"/>
        <v>0.2</v>
      </c>
      <c r="AJ119" s="8">
        <f t="shared" si="60"/>
        <v>0.03</v>
      </c>
      <c r="AK119" s="87"/>
      <c r="AL119" s="8">
        <f t="shared" si="61"/>
        <v>1.2</v>
      </c>
      <c r="AM119" s="91">
        <f t="shared" si="62"/>
        <v>0.2</v>
      </c>
      <c r="AN119" s="91">
        <f t="shared" si="63"/>
        <v>0.3</v>
      </c>
      <c r="AO119" s="91">
        <f t="shared" si="64"/>
        <v>0.5</v>
      </c>
      <c r="AP119" s="91">
        <f t="shared" si="65"/>
        <v>0.8</v>
      </c>
      <c r="AQ119" s="91">
        <f t="shared" si="66"/>
        <v>1.2</v>
      </c>
      <c r="AR119" s="35"/>
      <c r="AS119" s="8">
        <f t="shared" si="40"/>
        <v>0.2</v>
      </c>
      <c r="AT119" s="35"/>
    </row>
    <row r="120" spans="1:46">
      <c r="A120" s="12">
        <v>118</v>
      </c>
      <c r="B120" s="8">
        <f t="shared" si="41"/>
        <v>1.2</v>
      </c>
      <c r="C120" s="8">
        <f t="shared" si="42"/>
        <v>1.5</v>
      </c>
      <c r="D120" s="8">
        <f t="shared" si="67"/>
        <v>2</v>
      </c>
      <c r="E120" s="8">
        <f t="shared" si="67"/>
        <v>2.5</v>
      </c>
      <c r="F120" s="8">
        <f t="shared" si="67"/>
        <v>0.5</v>
      </c>
      <c r="G120" s="8">
        <f t="shared" si="67"/>
        <v>0.3</v>
      </c>
      <c r="H120" s="8">
        <f t="shared" si="67"/>
        <v>0.6</v>
      </c>
      <c r="I120" s="8">
        <f t="shared" si="67"/>
        <v>0.3</v>
      </c>
      <c r="J120" s="8">
        <f t="shared" si="67"/>
        <v>0.8</v>
      </c>
      <c r="K120" s="8">
        <f t="shared" si="44"/>
        <v>1.2</v>
      </c>
      <c r="L120" s="35"/>
      <c r="M120" s="8">
        <f t="shared" si="45"/>
        <v>1.5</v>
      </c>
      <c r="N120" s="8">
        <f t="shared" si="46"/>
        <v>2</v>
      </c>
      <c r="O120" s="79">
        <f t="shared" si="68"/>
        <v>2.5</v>
      </c>
      <c r="P120" s="8">
        <f t="shared" si="68"/>
        <v>3</v>
      </c>
      <c r="Q120" s="8">
        <f t="shared" si="68"/>
        <v>3.5</v>
      </c>
      <c r="R120" s="11">
        <f t="shared" si="68"/>
        <v>0.75</v>
      </c>
      <c r="S120" s="11">
        <f t="shared" si="48"/>
        <v>0.3</v>
      </c>
      <c r="T120" s="11">
        <f t="shared" si="49"/>
        <v>0.3</v>
      </c>
      <c r="U120" s="29">
        <f t="shared" si="50"/>
        <v>0.05</v>
      </c>
      <c r="V120" s="19">
        <f t="shared" si="69"/>
        <v>0.2</v>
      </c>
      <c r="W120" s="19">
        <f t="shared" si="69"/>
        <v>0.3</v>
      </c>
      <c r="X120" s="19">
        <f t="shared" si="69"/>
        <v>0.5</v>
      </c>
      <c r="Y120" s="19">
        <f t="shared" si="69"/>
        <v>0.8</v>
      </c>
      <c r="Z120" s="19">
        <f t="shared" si="69"/>
        <v>1.2</v>
      </c>
      <c r="AA120" s="35"/>
      <c r="AB120" s="8">
        <f t="shared" si="52"/>
        <v>1</v>
      </c>
      <c r="AC120" s="8">
        <f t="shared" si="53"/>
        <v>1.2</v>
      </c>
      <c r="AD120" s="8">
        <f t="shared" si="54"/>
        <v>1.5</v>
      </c>
      <c r="AE120" s="8">
        <f t="shared" si="55"/>
        <v>2</v>
      </c>
      <c r="AF120" s="8">
        <f t="shared" si="56"/>
        <v>2.5</v>
      </c>
      <c r="AG120" s="8">
        <f t="shared" si="57"/>
        <v>0.5</v>
      </c>
      <c r="AH120" s="8">
        <f t="shared" si="58"/>
        <v>0.2</v>
      </c>
      <c r="AI120" s="8">
        <f t="shared" si="59"/>
        <v>0.2</v>
      </c>
      <c r="AJ120" s="8">
        <f t="shared" si="60"/>
        <v>0.03</v>
      </c>
      <c r="AK120" s="87"/>
      <c r="AL120" s="8">
        <f t="shared" si="61"/>
        <v>1.2</v>
      </c>
      <c r="AM120" s="91">
        <f t="shared" si="62"/>
        <v>0.2</v>
      </c>
      <c r="AN120" s="91">
        <f t="shared" si="63"/>
        <v>0.3</v>
      </c>
      <c r="AO120" s="91">
        <f t="shared" si="64"/>
        <v>0.5</v>
      </c>
      <c r="AP120" s="91">
        <f t="shared" si="65"/>
        <v>0.8</v>
      </c>
      <c r="AQ120" s="91">
        <f t="shared" si="66"/>
        <v>1.2</v>
      </c>
      <c r="AR120" s="35"/>
      <c r="AS120" s="8">
        <f t="shared" si="40"/>
        <v>0.2</v>
      </c>
      <c r="AT120" s="35"/>
    </row>
    <row r="121" spans="1:46">
      <c r="A121" s="12">
        <v>119</v>
      </c>
      <c r="B121" s="8">
        <f t="shared" si="41"/>
        <v>1.2</v>
      </c>
      <c r="C121" s="8">
        <f t="shared" si="42"/>
        <v>1.5</v>
      </c>
      <c r="D121" s="8">
        <f t="shared" si="67"/>
        <v>2</v>
      </c>
      <c r="E121" s="8">
        <f t="shared" si="67"/>
        <v>2.5</v>
      </c>
      <c r="F121" s="8">
        <f t="shared" si="67"/>
        <v>0.5</v>
      </c>
      <c r="G121" s="8">
        <f t="shared" si="67"/>
        <v>0.3</v>
      </c>
      <c r="H121" s="8">
        <f t="shared" si="67"/>
        <v>0.6</v>
      </c>
      <c r="I121" s="8">
        <f t="shared" si="67"/>
        <v>0.3</v>
      </c>
      <c r="J121" s="8">
        <f t="shared" si="67"/>
        <v>0.8</v>
      </c>
      <c r="K121" s="8">
        <f t="shared" si="44"/>
        <v>1.2</v>
      </c>
      <c r="L121" s="35"/>
      <c r="M121" s="8">
        <f t="shared" si="45"/>
        <v>1.5</v>
      </c>
      <c r="N121" s="8">
        <f t="shared" si="46"/>
        <v>2</v>
      </c>
      <c r="O121" s="79">
        <f t="shared" si="68"/>
        <v>2.5</v>
      </c>
      <c r="P121" s="8">
        <f t="shared" si="68"/>
        <v>3</v>
      </c>
      <c r="Q121" s="8">
        <f t="shared" si="68"/>
        <v>3.5</v>
      </c>
      <c r="R121" s="11">
        <f t="shared" si="68"/>
        <v>0.75</v>
      </c>
      <c r="S121" s="11">
        <f t="shared" si="48"/>
        <v>0.3</v>
      </c>
      <c r="T121" s="11">
        <f t="shared" si="49"/>
        <v>0.3</v>
      </c>
      <c r="U121" s="29">
        <f t="shared" si="50"/>
        <v>0.05</v>
      </c>
      <c r="V121" s="19">
        <f t="shared" si="69"/>
        <v>0.2</v>
      </c>
      <c r="W121" s="19">
        <f t="shared" si="69"/>
        <v>0.3</v>
      </c>
      <c r="X121" s="19">
        <f t="shared" si="69"/>
        <v>0.5</v>
      </c>
      <c r="Y121" s="19">
        <f t="shared" si="69"/>
        <v>0.8</v>
      </c>
      <c r="Z121" s="19">
        <f t="shared" si="69"/>
        <v>1.2</v>
      </c>
      <c r="AA121" s="35"/>
      <c r="AB121" s="8">
        <f t="shared" si="52"/>
        <v>1</v>
      </c>
      <c r="AC121" s="8">
        <f t="shared" si="53"/>
        <v>1.2</v>
      </c>
      <c r="AD121" s="8">
        <f t="shared" si="54"/>
        <v>1.5</v>
      </c>
      <c r="AE121" s="8">
        <f t="shared" si="55"/>
        <v>2</v>
      </c>
      <c r="AF121" s="8">
        <f t="shared" si="56"/>
        <v>2.5</v>
      </c>
      <c r="AG121" s="8">
        <f t="shared" si="57"/>
        <v>0.5</v>
      </c>
      <c r="AH121" s="8">
        <f t="shared" si="58"/>
        <v>0.2</v>
      </c>
      <c r="AI121" s="8">
        <f t="shared" si="59"/>
        <v>0.2</v>
      </c>
      <c r="AJ121" s="8">
        <f t="shared" si="60"/>
        <v>0.03</v>
      </c>
      <c r="AK121" s="87"/>
      <c r="AL121" s="8">
        <f t="shared" si="61"/>
        <v>1.2</v>
      </c>
      <c r="AM121" s="91">
        <f t="shared" si="62"/>
        <v>0.2</v>
      </c>
      <c r="AN121" s="91">
        <f t="shared" si="63"/>
        <v>0.3</v>
      </c>
      <c r="AO121" s="91">
        <f t="shared" si="64"/>
        <v>0.5</v>
      </c>
      <c r="AP121" s="91">
        <f t="shared" si="65"/>
        <v>0.8</v>
      </c>
      <c r="AQ121" s="91">
        <f t="shared" si="66"/>
        <v>1.2</v>
      </c>
      <c r="AR121" s="35"/>
      <c r="AS121" s="8">
        <f t="shared" si="40"/>
        <v>0.2</v>
      </c>
      <c r="AT121" s="35"/>
    </row>
    <row r="122" spans="1:46">
      <c r="A122" s="12">
        <v>120</v>
      </c>
      <c r="B122" s="8">
        <f t="shared" si="41"/>
        <v>1.2</v>
      </c>
      <c r="C122" s="8">
        <f t="shared" si="42"/>
        <v>1.5</v>
      </c>
      <c r="D122" s="8">
        <f t="shared" si="67"/>
        <v>2</v>
      </c>
      <c r="E122" s="8">
        <f t="shared" si="67"/>
        <v>2.5</v>
      </c>
      <c r="F122" s="8">
        <f t="shared" si="67"/>
        <v>0.5</v>
      </c>
      <c r="G122" s="8">
        <f t="shared" si="67"/>
        <v>0.3</v>
      </c>
      <c r="H122" s="8">
        <f t="shared" si="67"/>
        <v>0.6</v>
      </c>
      <c r="I122" s="8">
        <f t="shared" si="67"/>
        <v>0.3</v>
      </c>
      <c r="J122" s="8">
        <f t="shared" si="67"/>
        <v>0.8</v>
      </c>
      <c r="K122" s="8">
        <f t="shared" si="44"/>
        <v>1.2</v>
      </c>
      <c r="L122" s="35"/>
      <c r="M122" s="8">
        <f t="shared" si="45"/>
        <v>1.5</v>
      </c>
      <c r="N122" s="8">
        <f t="shared" si="46"/>
        <v>2</v>
      </c>
      <c r="O122" s="79">
        <f t="shared" si="68"/>
        <v>2.5</v>
      </c>
      <c r="P122" s="8">
        <f t="shared" si="68"/>
        <v>3</v>
      </c>
      <c r="Q122" s="8">
        <f t="shared" si="68"/>
        <v>3.5</v>
      </c>
      <c r="R122" s="11">
        <f t="shared" si="68"/>
        <v>0.75</v>
      </c>
      <c r="S122" s="11">
        <f t="shared" si="48"/>
        <v>0.3</v>
      </c>
      <c r="T122" s="11">
        <f t="shared" si="49"/>
        <v>0.3</v>
      </c>
      <c r="U122" s="29">
        <f t="shared" si="50"/>
        <v>0.05</v>
      </c>
      <c r="V122" s="19">
        <f t="shared" si="69"/>
        <v>0.2</v>
      </c>
      <c r="W122" s="19">
        <f t="shared" si="69"/>
        <v>0.3</v>
      </c>
      <c r="X122" s="19">
        <f t="shared" si="69"/>
        <v>0.5</v>
      </c>
      <c r="Y122" s="19">
        <f t="shared" si="69"/>
        <v>0.8</v>
      </c>
      <c r="Z122" s="19">
        <f t="shared" si="69"/>
        <v>1.2</v>
      </c>
      <c r="AA122" s="35"/>
      <c r="AB122" s="8">
        <f t="shared" si="52"/>
        <v>1</v>
      </c>
      <c r="AC122" s="8">
        <f t="shared" si="53"/>
        <v>1.2</v>
      </c>
      <c r="AD122" s="8">
        <f t="shared" si="54"/>
        <v>1.5</v>
      </c>
      <c r="AE122" s="8">
        <f t="shared" si="55"/>
        <v>2</v>
      </c>
      <c r="AF122" s="8">
        <f t="shared" si="56"/>
        <v>2.5</v>
      </c>
      <c r="AG122" s="8">
        <f t="shared" si="57"/>
        <v>0.5</v>
      </c>
      <c r="AH122" s="8">
        <f t="shared" si="58"/>
        <v>0.2</v>
      </c>
      <c r="AI122" s="8">
        <f t="shared" si="59"/>
        <v>0.2</v>
      </c>
      <c r="AJ122" s="8">
        <f t="shared" si="60"/>
        <v>0.03</v>
      </c>
      <c r="AK122" s="87"/>
      <c r="AL122" s="8">
        <f t="shared" si="61"/>
        <v>1.2</v>
      </c>
      <c r="AM122" s="91">
        <f t="shared" si="62"/>
        <v>0.2</v>
      </c>
      <c r="AN122" s="91">
        <f t="shared" si="63"/>
        <v>0.3</v>
      </c>
      <c r="AO122" s="91">
        <f t="shared" si="64"/>
        <v>0.5</v>
      </c>
      <c r="AP122" s="91">
        <f t="shared" si="65"/>
        <v>0.8</v>
      </c>
      <c r="AQ122" s="91">
        <f t="shared" si="66"/>
        <v>1.2</v>
      </c>
      <c r="AR122" s="35"/>
      <c r="AS122" s="8">
        <f t="shared" si="40"/>
        <v>0.2</v>
      </c>
      <c r="AT122" s="35"/>
    </row>
  </sheetData>
  <mergeCells count="4">
    <mergeCell ref="B1:K1"/>
    <mergeCell ref="AB1:AI1"/>
    <mergeCell ref="AL1:AQ1"/>
    <mergeCell ref="M1:Z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24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O19" sqref="O19"/>
    </sheetView>
  </sheetViews>
  <sheetFormatPr defaultColWidth="6.375" defaultRowHeight="14.25"/>
  <cols>
    <col min="1" max="1" width="4.75" style="23" bestFit="1" customWidth="1"/>
    <col min="2" max="2" width="7.125" style="8" bestFit="1" customWidth="1"/>
    <col min="3" max="3" width="5.5" style="50" bestFit="1" customWidth="1"/>
    <col min="4" max="8" width="4.625" style="22" bestFit="1" customWidth="1"/>
    <col min="9" max="14" width="4.75" style="22" bestFit="1" customWidth="1"/>
    <col min="15" max="19" width="4.625" style="22" bestFit="1" customWidth="1"/>
    <col min="20" max="20" width="4.75" style="22" bestFit="1" customWidth="1"/>
    <col min="21" max="22" width="6.375" style="22" bestFit="1" customWidth="1"/>
    <col min="23" max="23" width="4.75" style="22" bestFit="1" customWidth="1"/>
    <col min="24" max="27" width="4.125" style="24" bestFit="1" customWidth="1"/>
    <col min="28" max="28" width="5" style="24" bestFit="1" customWidth="1"/>
    <col min="29" max="33" width="4.625" style="22" bestFit="1" customWidth="1"/>
    <col min="34" max="34" width="4.75" style="22" bestFit="1" customWidth="1"/>
    <col min="35" max="36" width="6.375" style="22" bestFit="1" customWidth="1"/>
    <col min="37" max="37" width="4.75" style="78" bestFit="1" customWidth="1"/>
    <col min="38" max="38" width="4.75" style="22" bestFit="1" customWidth="1"/>
    <col min="39" max="42" width="4.125" style="24" bestFit="1" customWidth="1"/>
    <col min="43" max="43" width="5" style="24" bestFit="1" customWidth="1"/>
    <col min="44" max="44" width="4.75" style="22" bestFit="1" customWidth="1"/>
    <col min="45" max="45" width="8" style="22" bestFit="1" customWidth="1"/>
    <col min="46" max="46" width="9.375" style="75" bestFit="1" customWidth="1"/>
    <col min="47" max="48" width="9.375" style="22" customWidth="1"/>
    <col min="49" max="50" width="8" style="22" hidden="1" customWidth="1"/>
    <col min="51" max="51" width="6.375" style="22" hidden="1" customWidth="1"/>
    <col min="52" max="53" width="8" style="22" hidden="1" customWidth="1"/>
    <col min="54" max="54" width="10" style="75" hidden="1" customWidth="1"/>
    <col min="55" max="16384" width="6.375" style="22"/>
  </cols>
  <sheetData>
    <row r="1" spans="1:54" s="40" customFormat="1" ht="15" customHeight="1" thickBot="1">
      <c r="A1" s="39"/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5"/>
      <c r="O1" s="103" t="s">
        <v>22</v>
      </c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5"/>
      <c r="AC1" s="103" t="s">
        <v>24</v>
      </c>
      <c r="AD1" s="104"/>
      <c r="AE1" s="104"/>
      <c r="AF1" s="104"/>
      <c r="AG1" s="104"/>
      <c r="AH1" s="104"/>
      <c r="AI1" s="104"/>
      <c r="AJ1" s="104"/>
      <c r="AK1" s="105"/>
      <c r="AL1" s="102" t="s">
        <v>25</v>
      </c>
      <c r="AM1" s="102"/>
      <c r="AN1" s="102"/>
      <c r="AO1" s="102"/>
      <c r="AP1" s="102"/>
      <c r="AQ1" s="102"/>
      <c r="AR1" s="40" t="s">
        <v>27</v>
      </c>
      <c r="AT1" s="92"/>
      <c r="AU1" s="82"/>
      <c r="AV1" s="82"/>
      <c r="BB1" s="92"/>
    </row>
    <row r="2" spans="1:54" s="43" customFormat="1">
      <c r="A2" s="41" t="s">
        <v>0</v>
      </c>
      <c r="B2" s="42" t="s">
        <v>61</v>
      </c>
      <c r="C2" s="42" t="s">
        <v>66</v>
      </c>
      <c r="D2" s="43" t="s">
        <v>12</v>
      </c>
      <c r="E2" s="43" t="s">
        <v>13</v>
      </c>
      <c r="F2" s="43" t="s">
        <v>14</v>
      </c>
      <c r="G2" s="43" t="s">
        <v>15</v>
      </c>
      <c r="H2" s="43" t="s">
        <v>16</v>
      </c>
      <c r="I2" s="43" t="s">
        <v>17</v>
      </c>
      <c r="J2" s="43" t="s">
        <v>18</v>
      </c>
      <c r="K2" s="43" t="s">
        <v>19</v>
      </c>
      <c r="L2" s="43" t="s">
        <v>20</v>
      </c>
      <c r="M2" s="43" t="s">
        <v>21</v>
      </c>
      <c r="N2" s="43" t="s">
        <v>41</v>
      </c>
      <c r="O2" s="43" t="s">
        <v>12</v>
      </c>
      <c r="P2" s="43" t="s">
        <v>13</v>
      </c>
      <c r="Q2" s="43" t="s">
        <v>14</v>
      </c>
      <c r="R2" s="43" t="s">
        <v>15</v>
      </c>
      <c r="S2" s="43" t="s">
        <v>16</v>
      </c>
      <c r="T2" s="43" t="s">
        <v>23</v>
      </c>
      <c r="U2" s="43" t="s">
        <v>42</v>
      </c>
      <c r="V2" s="43" t="s">
        <v>43</v>
      </c>
      <c r="W2" s="43" t="s">
        <v>47</v>
      </c>
      <c r="X2" s="44" t="s">
        <v>44</v>
      </c>
      <c r="Y2" s="44" t="s">
        <v>30</v>
      </c>
      <c r="Z2" s="44" t="s">
        <v>31</v>
      </c>
      <c r="AA2" s="44" t="s">
        <v>32</v>
      </c>
      <c r="AB2" s="44" t="s">
        <v>33</v>
      </c>
      <c r="AC2" s="43" t="s">
        <v>12</v>
      </c>
      <c r="AD2" s="43" t="s">
        <v>13</v>
      </c>
      <c r="AE2" s="43" t="s">
        <v>14</v>
      </c>
      <c r="AF2" s="43" t="s">
        <v>15</v>
      </c>
      <c r="AG2" s="43" t="s">
        <v>16</v>
      </c>
      <c r="AH2" s="43" t="s">
        <v>23</v>
      </c>
      <c r="AI2" s="43" t="s">
        <v>42</v>
      </c>
      <c r="AJ2" s="43" t="s">
        <v>43</v>
      </c>
      <c r="AK2" s="43" t="s">
        <v>47</v>
      </c>
      <c r="AL2" s="43" t="s">
        <v>26</v>
      </c>
      <c r="AM2" s="44" t="s">
        <v>44</v>
      </c>
      <c r="AN2" s="44" t="s">
        <v>30</v>
      </c>
      <c r="AO2" s="44" t="s">
        <v>31</v>
      </c>
      <c r="AP2" s="44" t="s">
        <v>32</v>
      </c>
      <c r="AQ2" s="44" t="s">
        <v>33</v>
      </c>
      <c r="AR2" s="43" t="s">
        <v>27</v>
      </c>
      <c r="AS2" s="43" t="s">
        <v>34</v>
      </c>
      <c r="AT2" s="74" t="s">
        <v>35</v>
      </c>
      <c r="AW2" s="43" t="s">
        <v>111</v>
      </c>
      <c r="AX2" s="43" t="s">
        <v>112</v>
      </c>
      <c r="AY2" s="43" t="s">
        <v>113</v>
      </c>
      <c r="AZ2" s="43" t="s">
        <v>114</v>
      </c>
      <c r="BA2" s="43" t="s">
        <v>115</v>
      </c>
      <c r="BB2" s="74" t="s">
        <v>116</v>
      </c>
    </row>
    <row r="3" spans="1:54" s="20" customFormat="1">
      <c r="A3" s="46">
        <v>1</v>
      </c>
      <c r="B3" s="9">
        <v>10</v>
      </c>
      <c r="C3" s="9">
        <v>10</v>
      </c>
      <c r="D3" s="47">
        <f>B3</f>
        <v>10</v>
      </c>
      <c r="E3" s="20">
        <f>$D3*攻击分赃比!B3*开放指数!B3</f>
        <v>12</v>
      </c>
      <c r="F3" s="20">
        <f>$D3*攻击分赃比!C3*开放指数!C3</f>
        <v>15</v>
      </c>
      <c r="G3" s="20">
        <f>$D3*攻击分赃比!D3*开放指数!D3</f>
        <v>20</v>
      </c>
      <c r="H3" s="20">
        <f>$D3*攻击分赃比!E3*开放指数!E3</f>
        <v>25</v>
      </c>
      <c r="I3" s="20">
        <f>$D3*攻击分赃比!F3*开放指数!F3</f>
        <v>0</v>
      </c>
      <c r="J3" s="20">
        <f>$D3*攻击分赃比!G3*开放指数!G3</f>
        <v>0</v>
      </c>
      <c r="K3" s="20">
        <f>$D3*攻击分赃比!H3*开放指数!H3</f>
        <v>0</v>
      </c>
      <c r="L3" s="20">
        <f>$D3*攻击分赃比!I3*开放指数!I3</f>
        <v>0</v>
      </c>
      <c r="M3" s="20">
        <f>$D3*攻击分赃比!J3*开放指数!J3</f>
        <v>0</v>
      </c>
      <c r="N3" s="20">
        <f>$D3*攻击分赃比!K3*开放指数!K3</f>
        <v>12</v>
      </c>
      <c r="O3" s="20">
        <f>$D3*攻击分赃比!M3*开放指数!L3</f>
        <v>15</v>
      </c>
      <c r="P3" s="20">
        <f>$D3*攻击分赃比!N3*开放指数!M3</f>
        <v>20</v>
      </c>
      <c r="Q3" s="20">
        <f>$D3*攻击分赃比!O3*开放指数!N3</f>
        <v>25</v>
      </c>
      <c r="R3" s="20">
        <f>$D3*攻击分赃比!P3*开放指数!O3</f>
        <v>30</v>
      </c>
      <c r="S3" s="20">
        <f>$D3*攻击分赃比!Q3*开放指数!P3</f>
        <v>35</v>
      </c>
      <c r="T3" s="20">
        <f>$D3*攻击分赃比!R3*开放指数!Q3</f>
        <v>0</v>
      </c>
      <c r="U3" s="20">
        <f>$D3*攻击分赃比!S3*开放指数!R3</f>
        <v>3</v>
      </c>
      <c r="V3" s="20">
        <f>$D3*攻击分赃比!T3*开放指数!S3</f>
        <v>0</v>
      </c>
      <c r="W3" s="20">
        <f>$D3*攻击分赃比!U3*开放指数!T3</f>
        <v>0.5</v>
      </c>
      <c r="X3" s="21">
        <f>攻击分赃比!V3*开放指数!U3</f>
        <v>0</v>
      </c>
      <c r="Y3" s="21">
        <f>攻击分赃比!W3*开放指数!V3</f>
        <v>0</v>
      </c>
      <c r="Z3" s="21">
        <f>攻击分赃比!X3*开放指数!W3</f>
        <v>0</v>
      </c>
      <c r="AA3" s="21">
        <f>攻击分赃比!Y3*开放指数!X3</f>
        <v>0</v>
      </c>
      <c r="AB3" s="21">
        <f>攻击分赃比!Z3*开放指数!Y3</f>
        <v>0</v>
      </c>
      <c r="AC3" s="20">
        <f>$D3*攻击分赃比!AB3*开放指数!Z3</f>
        <v>0</v>
      </c>
      <c r="AD3" s="20">
        <f>$D3*攻击分赃比!AC3*开放指数!AA3</f>
        <v>0</v>
      </c>
      <c r="AE3" s="20">
        <f>$D3*攻击分赃比!AD3*开放指数!AB3</f>
        <v>0</v>
      </c>
      <c r="AF3" s="20">
        <f>$D3*攻击分赃比!AE3*开放指数!AC3</f>
        <v>0</v>
      </c>
      <c r="AG3" s="20">
        <f>$D3*攻击分赃比!AF3*开放指数!AD3</f>
        <v>0</v>
      </c>
      <c r="AH3" s="20">
        <f>$D3*攻击分赃比!AG3*开放指数!AE3</f>
        <v>0</v>
      </c>
      <c r="AI3" s="20">
        <f>$D3*攻击分赃比!AH3*开放指数!AF3</f>
        <v>0</v>
      </c>
      <c r="AJ3" s="20">
        <f>$D3*攻击分赃比!AI3*开放指数!AG3</f>
        <v>0</v>
      </c>
      <c r="AK3" s="20">
        <f>$D3*攻击分赃比!AJ3*开放指数!AH3</f>
        <v>0</v>
      </c>
      <c r="AL3" s="20">
        <f>$D3*攻击分赃比!AL3*开放指数!AI3</f>
        <v>0</v>
      </c>
      <c r="AM3" s="21">
        <f>攻击分赃比!AM3*开放指数!AJ3</f>
        <v>0</v>
      </c>
      <c r="AN3" s="21">
        <f>攻击分赃比!AN3*开放指数!AK3</f>
        <v>0</v>
      </c>
      <c r="AO3" s="21">
        <f>攻击分赃比!AO3*开放指数!AL3</f>
        <v>0</v>
      </c>
      <c r="AP3" s="21">
        <f>攻击分赃比!AP3*开放指数!AM3</f>
        <v>0</v>
      </c>
      <c r="AQ3" s="21">
        <f>攻击分赃比!AQ3*开放指数!AN3</f>
        <v>0</v>
      </c>
      <c r="AR3" s="20">
        <f>$D3*攻击分赃比!AS3*开放指数!AO3</f>
        <v>2</v>
      </c>
      <c r="AS3" s="20">
        <f t="shared" ref="AS3:AS34" si="0">D3+O3+AR3+AL3+AC3</f>
        <v>27</v>
      </c>
      <c r="AT3" s="20">
        <f t="shared" ref="AT3:AT34" si="1">H3+I3+J3+K3+L3+M3+N3+S3*(1+AB3)+T3+U3+V3+W3+AG3+AH3+AI3+AJ3+AK3+AL3*(1+AQ3)+AR3</f>
        <v>77.5</v>
      </c>
      <c r="AW3" s="20">
        <f t="shared" ref="AW3:AW34" si="2">H3+I3+J3+K3+L3+M3+N3</f>
        <v>37</v>
      </c>
      <c r="AX3" s="20">
        <f t="shared" ref="AX3:AX34" si="3">S3*(1+AB3)+T3+U3+V3+W3</f>
        <v>38.5</v>
      </c>
      <c r="AY3" s="20">
        <f>AG3+AH3+AI3+AJ3+AK3</f>
        <v>0</v>
      </c>
      <c r="AZ3" s="20">
        <f>AL3*(1+AQ3)</f>
        <v>0</v>
      </c>
      <c r="BA3" s="20">
        <f>AR3</f>
        <v>2</v>
      </c>
      <c r="BB3" s="73">
        <f t="shared" ref="BB3:BB34" si="4">AT3/D3</f>
        <v>7.75</v>
      </c>
    </row>
    <row r="4" spans="1:54" s="20" customFormat="1">
      <c r="A4" s="46">
        <v>2</v>
      </c>
      <c r="B4" s="9">
        <v>2</v>
      </c>
      <c r="C4" s="9">
        <f>C3+B4</f>
        <v>12</v>
      </c>
      <c r="D4" s="20">
        <f>B4+D3</f>
        <v>12</v>
      </c>
      <c r="E4" s="20">
        <f>$D4*攻击分赃比!B4*开放指数!B4</f>
        <v>14.399999999999999</v>
      </c>
      <c r="F4" s="20">
        <f>$D4*攻击分赃比!C4*开放指数!C4</f>
        <v>18</v>
      </c>
      <c r="G4" s="20">
        <f>$D4*攻击分赃比!D4*开放指数!D4</f>
        <v>24</v>
      </c>
      <c r="H4" s="20">
        <f>$D4*攻击分赃比!E4*开放指数!E4</f>
        <v>30</v>
      </c>
      <c r="I4" s="20">
        <f>$D4*攻击分赃比!F4*开放指数!F4</f>
        <v>0</v>
      </c>
      <c r="J4" s="20">
        <f>$D4*攻击分赃比!G4*开放指数!G4</f>
        <v>0</v>
      </c>
      <c r="K4" s="20">
        <f>$D4*攻击分赃比!H4*开放指数!H4</f>
        <v>0</v>
      </c>
      <c r="L4" s="20">
        <f>$D4*攻击分赃比!I4*开放指数!I4</f>
        <v>0</v>
      </c>
      <c r="M4" s="20">
        <f>$D4*攻击分赃比!J4*开放指数!J4</f>
        <v>0</v>
      </c>
      <c r="N4" s="20">
        <f>$D4*攻击分赃比!K4*开放指数!K4</f>
        <v>14.399999999999999</v>
      </c>
      <c r="O4" s="20">
        <f>$D4*攻击分赃比!M4*开放指数!L4</f>
        <v>18</v>
      </c>
      <c r="P4" s="20">
        <f>$D4*攻击分赃比!N4*开放指数!M4</f>
        <v>24</v>
      </c>
      <c r="Q4" s="20">
        <f>$D4*攻击分赃比!O4*开放指数!N4</f>
        <v>30</v>
      </c>
      <c r="R4" s="20">
        <f>$D4*攻击分赃比!P4*开放指数!O4</f>
        <v>36</v>
      </c>
      <c r="S4" s="20">
        <f>$D4*攻击分赃比!Q4*开放指数!P4</f>
        <v>42</v>
      </c>
      <c r="T4" s="20">
        <f>$D4*攻击分赃比!R4*开放指数!Q4</f>
        <v>0</v>
      </c>
      <c r="U4" s="20">
        <f>$D4*攻击分赃比!S4*开放指数!R4</f>
        <v>3.5999999999999996</v>
      </c>
      <c r="V4" s="20">
        <f>$D4*攻击分赃比!T4*开放指数!S4</f>
        <v>0</v>
      </c>
      <c r="W4" s="20">
        <f>$D4*攻击分赃比!U4*开放指数!T4</f>
        <v>0.60000000000000009</v>
      </c>
      <c r="X4" s="21">
        <f>攻击分赃比!V4*开放指数!U4</f>
        <v>0</v>
      </c>
      <c r="Y4" s="21">
        <f>攻击分赃比!W4*开放指数!V4</f>
        <v>0</v>
      </c>
      <c r="Z4" s="21">
        <f>攻击分赃比!X4*开放指数!W4</f>
        <v>0</v>
      </c>
      <c r="AA4" s="21">
        <f>攻击分赃比!Y4*开放指数!X4</f>
        <v>0</v>
      </c>
      <c r="AB4" s="21">
        <f>攻击分赃比!Z4*开放指数!Y4</f>
        <v>0</v>
      </c>
      <c r="AC4" s="20">
        <f>$D4*攻击分赃比!AB4*开放指数!Z4</f>
        <v>0</v>
      </c>
      <c r="AD4" s="20">
        <f>$D4*攻击分赃比!AC4*开放指数!AA4</f>
        <v>0</v>
      </c>
      <c r="AE4" s="20">
        <f>$D4*攻击分赃比!AD4*开放指数!AB4</f>
        <v>0</v>
      </c>
      <c r="AF4" s="20">
        <f>$D4*攻击分赃比!AE4*开放指数!AC4</f>
        <v>0</v>
      </c>
      <c r="AG4" s="20">
        <f>$D4*攻击分赃比!AF4*开放指数!AD4</f>
        <v>0</v>
      </c>
      <c r="AH4" s="20">
        <f>$D4*攻击分赃比!AG4*开放指数!AE4</f>
        <v>0</v>
      </c>
      <c r="AI4" s="20">
        <f>$D4*攻击分赃比!AH4*开放指数!AF4</f>
        <v>0</v>
      </c>
      <c r="AJ4" s="20">
        <f>$D4*攻击分赃比!AI4*开放指数!AG4</f>
        <v>0</v>
      </c>
      <c r="AK4" s="20">
        <f>$D4*攻击分赃比!AJ4*开放指数!AH4</f>
        <v>0</v>
      </c>
      <c r="AL4" s="20">
        <f>$D4*攻击分赃比!AL4*开放指数!AI4</f>
        <v>0</v>
      </c>
      <c r="AM4" s="21">
        <f>攻击分赃比!AM4*开放指数!AJ4</f>
        <v>0</v>
      </c>
      <c r="AN4" s="21">
        <f>攻击分赃比!AN4*开放指数!AK4</f>
        <v>0</v>
      </c>
      <c r="AO4" s="21">
        <f>攻击分赃比!AO4*开放指数!AL4</f>
        <v>0</v>
      </c>
      <c r="AP4" s="21">
        <f>攻击分赃比!AP4*开放指数!AM4</f>
        <v>0</v>
      </c>
      <c r="AQ4" s="21">
        <f>攻击分赃比!AQ4*开放指数!AN4</f>
        <v>0</v>
      </c>
      <c r="AR4" s="20">
        <f>$D4*攻击分赃比!AS4*开放指数!AO4</f>
        <v>2.4000000000000004</v>
      </c>
      <c r="AS4" s="20">
        <f t="shared" si="0"/>
        <v>32.4</v>
      </c>
      <c r="AT4" s="20">
        <f t="shared" si="1"/>
        <v>93</v>
      </c>
      <c r="AW4" s="20">
        <f t="shared" si="2"/>
        <v>44.4</v>
      </c>
      <c r="AX4" s="20">
        <f t="shared" si="3"/>
        <v>46.2</v>
      </c>
      <c r="AY4" s="20">
        <f t="shared" ref="AY4:AY67" si="5">AG4+AH4+AI4+AJ4+AK4</f>
        <v>0</v>
      </c>
      <c r="AZ4" s="20">
        <f t="shared" ref="AZ4:AZ67" si="6">AL4*(1+AQ4)</f>
        <v>0</v>
      </c>
      <c r="BA4" s="20">
        <f t="shared" ref="BA4:BA67" si="7">AR4</f>
        <v>2.4000000000000004</v>
      </c>
      <c r="BB4" s="73">
        <f t="shared" si="4"/>
        <v>7.75</v>
      </c>
    </row>
    <row r="5" spans="1:54" s="20" customFormat="1">
      <c r="A5" s="46">
        <v>3</v>
      </c>
      <c r="B5" s="51">
        <f>B4</f>
        <v>2</v>
      </c>
      <c r="C5" s="9">
        <f t="shared" ref="C5:C68" si="8">C4+B5</f>
        <v>14</v>
      </c>
      <c r="D5" s="20">
        <f>B5+D4</f>
        <v>14</v>
      </c>
      <c r="E5" s="20">
        <f>$D5*攻击分赃比!B5*开放指数!B5</f>
        <v>16.8</v>
      </c>
      <c r="F5" s="20">
        <f>$D5*攻击分赃比!C5*开放指数!C5</f>
        <v>21</v>
      </c>
      <c r="G5" s="20">
        <f>$D5*攻击分赃比!D5*开放指数!D5</f>
        <v>28</v>
      </c>
      <c r="H5" s="20">
        <f>$D5*攻击分赃比!E5*开放指数!E5</f>
        <v>35</v>
      </c>
      <c r="I5" s="20">
        <f>$D5*攻击分赃比!F5*开放指数!F5</f>
        <v>0</v>
      </c>
      <c r="J5" s="20">
        <f>$D5*攻击分赃比!G5*开放指数!G5</f>
        <v>0</v>
      </c>
      <c r="K5" s="20">
        <f>$D5*攻击分赃比!H5*开放指数!H5</f>
        <v>0</v>
      </c>
      <c r="L5" s="20">
        <f>$D5*攻击分赃比!I5*开放指数!I5</f>
        <v>0</v>
      </c>
      <c r="M5" s="20">
        <f>$D5*攻击分赃比!J5*开放指数!J5</f>
        <v>0</v>
      </c>
      <c r="N5" s="20">
        <f>$D5*攻击分赃比!K5*开放指数!K5</f>
        <v>16.8</v>
      </c>
      <c r="O5" s="20">
        <f>$D5*攻击分赃比!M5*开放指数!L5</f>
        <v>21</v>
      </c>
      <c r="P5" s="20">
        <f>$D5*攻击分赃比!N5*开放指数!M5</f>
        <v>28</v>
      </c>
      <c r="Q5" s="20">
        <f>$D5*攻击分赃比!O5*开放指数!N5</f>
        <v>35</v>
      </c>
      <c r="R5" s="20">
        <f>$D5*攻击分赃比!P5*开放指数!O5</f>
        <v>42</v>
      </c>
      <c r="S5" s="20">
        <f>$D5*攻击分赃比!Q5*开放指数!P5</f>
        <v>49</v>
      </c>
      <c r="T5" s="20">
        <f>$D5*攻击分赃比!R5*开放指数!Q5</f>
        <v>0</v>
      </c>
      <c r="U5" s="20">
        <f>$D5*攻击分赃比!S5*开放指数!R5</f>
        <v>4.2</v>
      </c>
      <c r="V5" s="20">
        <f>$D5*攻击分赃比!T5*开放指数!S5</f>
        <v>0</v>
      </c>
      <c r="W5" s="20">
        <f>$D5*攻击分赃比!U5*开放指数!T5</f>
        <v>0.70000000000000007</v>
      </c>
      <c r="X5" s="21">
        <f>攻击分赃比!V5*开放指数!U5</f>
        <v>0</v>
      </c>
      <c r="Y5" s="21">
        <f>攻击分赃比!W5*开放指数!V5</f>
        <v>0</v>
      </c>
      <c r="Z5" s="21">
        <f>攻击分赃比!X5*开放指数!W5</f>
        <v>0</v>
      </c>
      <c r="AA5" s="21">
        <f>攻击分赃比!Y5*开放指数!X5</f>
        <v>0</v>
      </c>
      <c r="AB5" s="21">
        <f>攻击分赃比!Z5*开放指数!Y5</f>
        <v>0</v>
      </c>
      <c r="AC5" s="20">
        <f>$D5*攻击分赃比!AB5*开放指数!Z5</f>
        <v>0</v>
      </c>
      <c r="AD5" s="20">
        <f>$D5*攻击分赃比!AC5*开放指数!AA5</f>
        <v>0</v>
      </c>
      <c r="AE5" s="20">
        <f>$D5*攻击分赃比!AD5*开放指数!AB5</f>
        <v>0</v>
      </c>
      <c r="AF5" s="20">
        <f>$D5*攻击分赃比!AE5*开放指数!AC5</f>
        <v>0</v>
      </c>
      <c r="AG5" s="20">
        <f>$D5*攻击分赃比!AF5*开放指数!AD5</f>
        <v>0</v>
      </c>
      <c r="AH5" s="20">
        <f>$D5*攻击分赃比!AG5*开放指数!AE5</f>
        <v>0</v>
      </c>
      <c r="AI5" s="20">
        <f>$D5*攻击分赃比!AH5*开放指数!AF5</f>
        <v>0</v>
      </c>
      <c r="AJ5" s="20">
        <f>$D5*攻击分赃比!AI5*开放指数!AG5</f>
        <v>0</v>
      </c>
      <c r="AK5" s="20">
        <f>$D5*攻击分赃比!AJ5*开放指数!AH5</f>
        <v>0</v>
      </c>
      <c r="AL5" s="20">
        <f>$D5*攻击分赃比!AL5*开放指数!AI5</f>
        <v>0</v>
      </c>
      <c r="AM5" s="21">
        <f>攻击分赃比!AM5*开放指数!AJ5</f>
        <v>0</v>
      </c>
      <c r="AN5" s="21">
        <f>攻击分赃比!AN5*开放指数!AK5</f>
        <v>0</v>
      </c>
      <c r="AO5" s="21">
        <f>攻击分赃比!AO5*开放指数!AL5</f>
        <v>0</v>
      </c>
      <c r="AP5" s="21">
        <f>攻击分赃比!AP5*开放指数!AM5</f>
        <v>0</v>
      </c>
      <c r="AQ5" s="21">
        <f>攻击分赃比!AQ5*开放指数!AN5</f>
        <v>0</v>
      </c>
      <c r="AR5" s="20">
        <f>$D5*攻击分赃比!AS5*开放指数!AO5</f>
        <v>2.8000000000000003</v>
      </c>
      <c r="AS5" s="20">
        <f t="shared" si="0"/>
        <v>37.799999999999997</v>
      </c>
      <c r="AT5" s="20">
        <f t="shared" si="1"/>
        <v>108.5</v>
      </c>
      <c r="AW5" s="20">
        <f t="shared" si="2"/>
        <v>51.8</v>
      </c>
      <c r="AX5" s="20">
        <f t="shared" si="3"/>
        <v>53.900000000000006</v>
      </c>
      <c r="AY5" s="20">
        <f t="shared" si="5"/>
        <v>0</v>
      </c>
      <c r="AZ5" s="20">
        <f t="shared" si="6"/>
        <v>0</v>
      </c>
      <c r="BA5" s="20">
        <f t="shared" si="7"/>
        <v>2.8000000000000003</v>
      </c>
      <c r="BB5" s="73">
        <f t="shared" si="4"/>
        <v>7.75</v>
      </c>
    </row>
    <row r="6" spans="1:54" s="20" customFormat="1">
      <c r="A6" s="46">
        <v>4</v>
      </c>
      <c r="B6" s="51">
        <f t="shared" ref="B6:B69" si="9">B5</f>
        <v>2</v>
      </c>
      <c r="C6" s="9">
        <f t="shared" si="8"/>
        <v>16</v>
      </c>
      <c r="D6" s="20">
        <f>B6+D5</f>
        <v>16</v>
      </c>
      <c r="E6" s="20">
        <f>$D6*攻击分赃比!B6*开放指数!B6</f>
        <v>19.2</v>
      </c>
      <c r="F6" s="20">
        <f>$D6*攻击分赃比!C6*开放指数!C6</f>
        <v>24</v>
      </c>
      <c r="G6" s="20">
        <f>$D6*攻击分赃比!D6*开放指数!D6</f>
        <v>32</v>
      </c>
      <c r="H6" s="20">
        <f>$D6*攻击分赃比!E6*开放指数!E6</f>
        <v>40</v>
      </c>
      <c r="I6" s="20">
        <f>$D6*攻击分赃比!F6*开放指数!F6</f>
        <v>0</v>
      </c>
      <c r="J6" s="20">
        <f>$D6*攻击分赃比!G6*开放指数!G6</f>
        <v>0</v>
      </c>
      <c r="K6" s="20">
        <f>$D6*攻击分赃比!H6*开放指数!H6</f>
        <v>0</v>
      </c>
      <c r="L6" s="20">
        <f>$D6*攻击分赃比!I6*开放指数!I6</f>
        <v>0</v>
      </c>
      <c r="M6" s="20">
        <f>$D6*攻击分赃比!J6*开放指数!J6</f>
        <v>0</v>
      </c>
      <c r="N6" s="20">
        <f>$D6*攻击分赃比!K6*开放指数!K6</f>
        <v>19.2</v>
      </c>
      <c r="O6" s="20">
        <f>$D6*攻击分赃比!M6*开放指数!L6</f>
        <v>24</v>
      </c>
      <c r="P6" s="20">
        <f>$D6*攻击分赃比!N6*开放指数!M6</f>
        <v>32</v>
      </c>
      <c r="Q6" s="20">
        <f>$D6*攻击分赃比!O6*开放指数!N6</f>
        <v>40</v>
      </c>
      <c r="R6" s="20">
        <f>$D6*攻击分赃比!P6*开放指数!O6</f>
        <v>48</v>
      </c>
      <c r="S6" s="20">
        <f>$D6*攻击分赃比!Q6*开放指数!P6</f>
        <v>56</v>
      </c>
      <c r="T6" s="20">
        <f>$D6*攻击分赃比!R6*开放指数!Q6</f>
        <v>0</v>
      </c>
      <c r="U6" s="20">
        <f>$D6*攻击分赃比!S6*开放指数!R6</f>
        <v>4.8</v>
      </c>
      <c r="V6" s="20">
        <f>$D6*攻击分赃比!T6*开放指数!S6</f>
        <v>0</v>
      </c>
      <c r="W6" s="20">
        <f>$D6*攻击分赃比!U6*开放指数!T6</f>
        <v>0.8</v>
      </c>
      <c r="X6" s="21">
        <f>攻击分赃比!V6*开放指数!U6</f>
        <v>0</v>
      </c>
      <c r="Y6" s="21">
        <f>攻击分赃比!W6*开放指数!V6</f>
        <v>0</v>
      </c>
      <c r="Z6" s="21">
        <f>攻击分赃比!X6*开放指数!W6</f>
        <v>0</v>
      </c>
      <c r="AA6" s="21">
        <f>攻击分赃比!Y6*开放指数!X6</f>
        <v>0</v>
      </c>
      <c r="AB6" s="21">
        <f>攻击分赃比!Z6*开放指数!Y6</f>
        <v>0</v>
      </c>
      <c r="AC6" s="20">
        <f>$D6*攻击分赃比!AB6*开放指数!Z6</f>
        <v>0</v>
      </c>
      <c r="AD6" s="20">
        <f>$D6*攻击分赃比!AC6*开放指数!AA6</f>
        <v>0</v>
      </c>
      <c r="AE6" s="20">
        <f>$D6*攻击分赃比!AD6*开放指数!AB6</f>
        <v>0</v>
      </c>
      <c r="AF6" s="20">
        <f>$D6*攻击分赃比!AE6*开放指数!AC6</f>
        <v>0</v>
      </c>
      <c r="AG6" s="20">
        <f>$D6*攻击分赃比!AF6*开放指数!AD6</f>
        <v>0</v>
      </c>
      <c r="AH6" s="20">
        <f>$D6*攻击分赃比!AG6*开放指数!AE6</f>
        <v>0</v>
      </c>
      <c r="AI6" s="20">
        <f>$D6*攻击分赃比!AH6*开放指数!AF6</f>
        <v>0</v>
      </c>
      <c r="AJ6" s="20">
        <f>$D6*攻击分赃比!AI6*开放指数!AG6</f>
        <v>0</v>
      </c>
      <c r="AK6" s="20">
        <f>$D6*攻击分赃比!AJ6*开放指数!AH6</f>
        <v>0</v>
      </c>
      <c r="AL6" s="20">
        <f>$D6*攻击分赃比!AL6*开放指数!AI6</f>
        <v>0</v>
      </c>
      <c r="AM6" s="21">
        <f>攻击分赃比!AM6*开放指数!AJ6</f>
        <v>0</v>
      </c>
      <c r="AN6" s="21">
        <f>攻击分赃比!AN6*开放指数!AK6</f>
        <v>0</v>
      </c>
      <c r="AO6" s="21">
        <f>攻击分赃比!AO6*开放指数!AL6</f>
        <v>0</v>
      </c>
      <c r="AP6" s="21">
        <f>攻击分赃比!AP6*开放指数!AM6</f>
        <v>0</v>
      </c>
      <c r="AQ6" s="21">
        <f>攻击分赃比!AQ6*开放指数!AN6</f>
        <v>0</v>
      </c>
      <c r="AR6" s="20">
        <f>$D6*攻击分赃比!AS6*开放指数!AO6</f>
        <v>3.2</v>
      </c>
      <c r="AS6" s="20">
        <f t="shared" si="0"/>
        <v>43.2</v>
      </c>
      <c r="AT6" s="20">
        <f t="shared" si="1"/>
        <v>124</v>
      </c>
      <c r="AW6" s="20">
        <f t="shared" si="2"/>
        <v>59.2</v>
      </c>
      <c r="AX6" s="20">
        <f t="shared" si="3"/>
        <v>61.599999999999994</v>
      </c>
      <c r="AY6" s="20">
        <f t="shared" si="5"/>
        <v>0</v>
      </c>
      <c r="AZ6" s="20">
        <f t="shared" si="6"/>
        <v>0</v>
      </c>
      <c r="BA6" s="20">
        <f t="shared" si="7"/>
        <v>3.2</v>
      </c>
      <c r="BB6" s="73">
        <f t="shared" si="4"/>
        <v>7.75</v>
      </c>
    </row>
    <row r="7" spans="1:54" s="20" customFormat="1">
      <c r="A7" s="46">
        <v>5</v>
      </c>
      <c r="B7" s="51">
        <f t="shared" si="9"/>
        <v>2</v>
      </c>
      <c r="C7" s="9">
        <f t="shared" si="8"/>
        <v>18</v>
      </c>
      <c r="D7" s="20">
        <f>B7+D6</f>
        <v>18</v>
      </c>
      <c r="E7" s="20">
        <f>$D7*攻击分赃比!B7*开放指数!B7</f>
        <v>21.599999999999998</v>
      </c>
      <c r="F7" s="20">
        <f>$D7*攻击分赃比!C7*开放指数!C7</f>
        <v>27</v>
      </c>
      <c r="G7" s="20">
        <f>$D7*攻击分赃比!D7*开放指数!D7</f>
        <v>36</v>
      </c>
      <c r="H7" s="20">
        <f>$D7*攻击分赃比!E7*开放指数!E7</f>
        <v>45</v>
      </c>
      <c r="I7" s="20">
        <f>$D7*攻击分赃比!F7*开放指数!F7</f>
        <v>9</v>
      </c>
      <c r="J7" s="20">
        <f>$D7*攻击分赃比!G7*开放指数!G7</f>
        <v>0</v>
      </c>
      <c r="K7" s="20">
        <f>$D7*攻击分赃比!H7*开放指数!H7</f>
        <v>0</v>
      </c>
      <c r="L7" s="20">
        <f>$D7*攻击分赃比!I7*开放指数!I7</f>
        <v>0</v>
      </c>
      <c r="M7" s="20">
        <f>$D7*攻击分赃比!J7*开放指数!J7</f>
        <v>0</v>
      </c>
      <c r="N7" s="20">
        <f>$D7*攻击分赃比!K7*开放指数!K7</f>
        <v>21.599999999999998</v>
      </c>
      <c r="O7" s="20">
        <f>$D7*攻击分赃比!M7*开放指数!L7</f>
        <v>27</v>
      </c>
      <c r="P7" s="20">
        <f>$D7*攻击分赃比!N7*开放指数!M7</f>
        <v>36</v>
      </c>
      <c r="Q7" s="20">
        <f>$D7*攻击分赃比!O7*开放指数!N7</f>
        <v>45</v>
      </c>
      <c r="R7" s="20">
        <f>$D7*攻击分赃比!P7*开放指数!O7</f>
        <v>54</v>
      </c>
      <c r="S7" s="20">
        <f>$D7*攻击分赃比!Q7*开放指数!P7</f>
        <v>63</v>
      </c>
      <c r="T7" s="20">
        <f>$D7*攻击分赃比!R7*开放指数!Q7</f>
        <v>0</v>
      </c>
      <c r="U7" s="20">
        <f>$D7*攻击分赃比!S7*开放指数!R7</f>
        <v>5.3999999999999995</v>
      </c>
      <c r="V7" s="20">
        <f>$D7*攻击分赃比!T7*开放指数!S7</f>
        <v>0</v>
      </c>
      <c r="W7" s="20">
        <f>$D7*攻击分赃比!U7*开放指数!T7</f>
        <v>0.9</v>
      </c>
      <c r="X7" s="21">
        <f>攻击分赃比!V7*开放指数!U7</f>
        <v>0</v>
      </c>
      <c r="Y7" s="21">
        <f>攻击分赃比!W7*开放指数!V7</f>
        <v>0</v>
      </c>
      <c r="Z7" s="21">
        <f>攻击分赃比!X7*开放指数!W7</f>
        <v>0</v>
      </c>
      <c r="AA7" s="21">
        <f>攻击分赃比!Y7*开放指数!X7</f>
        <v>0</v>
      </c>
      <c r="AB7" s="21">
        <f>攻击分赃比!Z7*开放指数!Y7</f>
        <v>0</v>
      </c>
      <c r="AC7" s="20">
        <f>$D7*攻击分赃比!AB7*开放指数!Z7</f>
        <v>0</v>
      </c>
      <c r="AD7" s="20">
        <f>$D7*攻击分赃比!AC7*开放指数!AA7</f>
        <v>0</v>
      </c>
      <c r="AE7" s="20">
        <f>$D7*攻击分赃比!AD7*开放指数!AB7</f>
        <v>0</v>
      </c>
      <c r="AF7" s="20">
        <f>$D7*攻击分赃比!AE7*开放指数!AC7</f>
        <v>0</v>
      </c>
      <c r="AG7" s="20">
        <f>$D7*攻击分赃比!AF7*开放指数!AD7</f>
        <v>0</v>
      </c>
      <c r="AH7" s="20">
        <f>$D7*攻击分赃比!AG7*开放指数!AE7</f>
        <v>0</v>
      </c>
      <c r="AI7" s="20">
        <f>$D7*攻击分赃比!AH7*开放指数!AF7</f>
        <v>0</v>
      </c>
      <c r="AJ7" s="20">
        <f>$D7*攻击分赃比!AI7*开放指数!AG7</f>
        <v>0</v>
      </c>
      <c r="AK7" s="20">
        <f>$D7*攻击分赃比!AJ7*开放指数!AH7</f>
        <v>0</v>
      </c>
      <c r="AL7" s="20">
        <f>$D7*攻击分赃比!AL7*开放指数!AI7</f>
        <v>0</v>
      </c>
      <c r="AM7" s="21">
        <f>攻击分赃比!AM7*开放指数!AJ7</f>
        <v>0</v>
      </c>
      <c r="AN7" s="21">
        <f>攻击分赃比!AN7*开放指数!AK7</f>
        <v>0</v>
      </c>
      <c r="AO7" s="21">
        <f>攻击分赃比!AO7*开放指数!AL7</f>
        <v>0</v>
      </c>
      <c r="AP7" s="21">
        <f>攻击分赃比!AP7*开放指数!AM7</f>
        <v>0</v>
      </c>
      <c r="AQ7" s="21">
        <f>攻击分赃比!AQ7*开放指数!AN7</f>
        <v>0</v>
      </c>
      <c r="AR7" s="20">
        <f>$D7*攻击分赃比!AS7*开放指数!AO7</f>
        <v>3.6</v>
      </c>
      <c r="AS7" s="20">
        <f t="shared" si="0"/>
        <v>48.6</v>
      </c>
      <c r="AT7" s="20">
        <f t="shared" si="1"/>
        <v>148.5</v>
      </c>
      <c r="AW7" s="20">
        <f t="shared" si="2"/>
        <v>75.599999999999994</v>
      </c>
      <c r="AX7" s="20">
        <f t="shared" si="3"/>
        <v>69.300000000000011</v>
      </c>
      <c r="AY7" s="20">
        <f t="shared" si="5"/>
        <v>0</v>
      </c>
      <c r="AZ7" s="20">
        <f t="shared" si="6"/>
        <v>0</v>
      </c>
      <c r="BA7" s="20">
        <f t="shared" si="7"/>
        <v>3.6</v>
      </c>
      <c r="BB7" s="73">
        <f t="shared" si="4"/>
        <v>8.25</v>
      </c>
    </row>
    <row r="8" spans="1:54" s="20" customFormat="1">
      <c r="A8" s="46">
        <v>6</v>
      </c>
      <c r="B8" s="51">
        <f t="shared" si="9"/>
        <v>2</v>
      </c>
      <c r="C8" s="9">
        <f t="shared" si="8"/>
        <v>20</v>
      </c>
      <c r="D8" s="20">
        <f>B8+D7</f>
        <v>20</v>
      </c>
      <c r="E8" s="20">
        <f>$D8*攻击分赃比!B8*开放指数!B8</f>
        <v>24</v>
      </c>
      <c r="F8" s="20">
        <f>$D8*攻击分赃比!C8*开放指数!C8</f>
        <v>30</v>
      </c>
      <c r="G8" s="20">
        <f>$D8*攻击分赃比!D8*开放指数!D8</f>
        <v>40</v>
      </c>
      <c r="H8" s="20">
        <f>$D8*攻击分赃比!E8*开放指数!E8</f>
        <v>50</v>
      </c>
      <c r="I8" s="20">
        <f>I7</f>
        <v>9</v>
      </c>
      <c r="J8" s="20">
        <f>$D8*攻击分赃比!G8*开放指数!G8</f>
        <v>0</v>
      </c>
      <c r="K8" s="20">
        <f>$D8*攻击分赃比!H8*开放指数!H8</f>
        <v>0</v>
      </c>
      <c r="L8" s="20">
        <f>$D8*攻击分赃比!I8*开放指数!I8</f>
        <v>0</v>
      </c>
      <c r="M8" s="20">
        <f>$D8*攻击分赃比!J8*开放指数!J8</f>
        <v>0</v>
      </c>
      <c r="N8" s="20">
        <f>$D8*攻击分赃比!K8*开放指数!K8</f>
        <v>24</v>
      </c>
      <c r="O8" s="20">
        <f>$D8*攻击分赃比!M8*开放指数!L8</f>
        <v>30</v>
      </c>
      <c r="P8" s="20">
        <f>$D8*攻击分赃比!N8*开放指数!M8</f>
        <v>40</v>
      </c>
      <c r="Q8" s="20">
        <f>$D8*攻击分赃比!O8*开放指数!N8</f>
        <v>50</v>
      </c>
      <c r="R8" s="20">
        <f>$D8*攻击分赃比!P8*开放指数!O8</f>
        <v>60</v>
      </c>
      <c r="S8" s="20">
        <f>$D8*攻击分赃比!Q8*开放指数!P8</f>
        <v>70</v>
      </c>
      <c r="T8" s="20">
        <f>$D8*攻击分赃比!R8*开放指数!Q8</f>
        <v>0</v>
      </c>
      <c r="U8" s="20">
        <f>$D8*攻击分赃比!S8*开放指数!R8</f>
        <v>6</v>
      </c>
      <c r="V8" s="20">
        <f>$D8*攻击分赃比!T8*开放指数!S8</f>
        <v>0</v>
      </c>
      <c r="W8" s="20">
        <f>$D8*攻击分赃比!U8*开放指数!T8</f>
        <v>1</v>
      </c>
      <c r="X8" s="21">
        <f>攻击分赃比!V8*开放指数!U8</f>
        <v>0</v>
      </c>
      <c r="Y8" s="21">
        <f>攻击分赃比!W8*开放指数!V8</f>
        <v>0</v>
      </c>
      <c r="Z8" s="21">
        <f>攻击分赃比!X8*开放指数!W8</f>
        <v>0</v>
      </c>
      <c r="AA8" s="21">
        <f>攻击分赃比!Y8*开放指数!X8</f>
        <v>0</v>
      </c>
      <c r="AB8" s="21">
        <f>攻击分赃比!Z8*开放指数!Y8</f>
        <v>0</v>
      </c>
      <c r="AC8" s="20">
        <f>$D8*攻击分赃比!AB8*开放指数!Z8</f>
        <v>0</v>
      </c>
      <c r="AD8" s="20">
        <f>$D8*攻击分赃比!AC8*开放指数!AA8</f>
        <v>0</v>
      </c>
      <c r="AE8" s="20">
        <f>$D8*攻击分赃比!AD8*开放指数!AB8</f>
        <v>0</v>
      </c>
      <c r="AF8" s="20">
        <f>$D8*攻击分赃比!AE8*开放指数!AC8</f>
        <v>0</v>
      </c>
      <c r="AG8" s="20">
        <f>$D8*攻击分赃比!AF8*开放指数!AD8</f>
        <v>0</v>
      </c>
      <c r="AH8" s="20">
        <f>$D8*攻击分赃比!AG8*开放指数!AE8</f>
        <v>0</v>
      </c>
      <c r="AI8" s="20">
        <f>$D8*攻击分赃比!AH8*开放指数!AF8</f>
        <v>0</v>
      </c>
      <c r="AJ8" s="20">
        <f>$D8*攻击分赃比!AI8*开放指数!AG8</f>
        <v>0</v>
      </c>
      <c r="AK8" s="20">
        <f>$D8*攻击分赃比!AJ8*开放指数!AH8</f>
        <v>0</v>
      </c>
      <c r="AL8" s="20">
        <f>$D8*攻击分赃比!AL8*开放指数!AI8</f>
        <v>0</v>
      </c>
      <c r="AM8" s="21">
        <f>攻击分赃比!AM8*开放指数!AJ8</f>
        <v>0</v>
      </c>
      <c r="AN8" s="21">
        <f>攻击分赃比!AN8*开放指数!AK8</f>
        <v>0</v>
      </c>
      <c r="AO8" s="21">
        <f>攻击分赃比!AO8*开放指数!AL8</f>
        <v>0</v>
      </c>
      <c r="AP8" s="21">
        <f>攻击分赃比!AP8*开放指数!AM8</f>
        <v>0</v>
      </c>
      <c r="AQ8" s="21">
        <f>攻击分赃比!AQ8*开放指数!AN8</f>
        <v>0</v>
      </c>
      <c r="AR8" s="20">
        <f>$D8*攻击分赃比!AS8*开放指数!AO8</f>
        <v>4</v>
      </c>
      <c r="AS8" s="20">
        <f t="shared" si="0"/>
        <v>54</v>
      </c>
      <c r="AT8" s="20">
        <f t="shared" si="1"/>
        <v>164</v>
      </c>
      <c r="AW8" s="20">
        <f t="shared" si="2"/>
        <v>83</v>
      </c>
      <c r="AX8" s="20">
        <f t="shared" si="3"/>
        <v>77</v>
      </c>
      <c r="AY8" s="20">
        <f t="shared" si="5"/>
        <v>0</v>
      </c>
      <c r="AZ8" s="20">
        <f t="shared" si="6"/>
        <v>0</v>
      </c>
      <c r="BA8" s="20">
        <f t="shared" si="7"/>
        <v>4</v>
      </c>
      <c r="BB8" s="73">
        <f t="shared" si="4"/>
        <v>8.1999999999999993</v>
      </c>
    </row>
    <row r="9" spans="1:54" s="20" customFormat="1">
      <c r="A9" s="46">
        <v>7</v>
      </c>
      <c r="B9" s="51">
        <f t="shared" si="9"/>
        <v>2</v>
      </c>
      <c r="C9" s="9">
        <f t="shared" si="8"/>
        <v>22</v>
      </c>
      <c r="D9" s="20">
        <f t="shared" ref="D9:D35" si="10">B9+D8</f>
        <v>22</v>
      </c>
      <c r="E9" s="20">
        <f>$D9*攻击分赃比!B9*开放指数!B9</f>
        <v>26.4</v>
      </c>
      <c r="F9" s="20">
        <f>$D9*攻击分赃比!C9*开放指数!C9</f>
        <v>33</v>
      </c>
      <c r="G9" s="20">
        <f>$D9*攻击分赃比!D9*开放指数!D9</f>
        <v>44</v>
      </c>
      <c r="H9" s="20">
        <f>$D9*攻击分赃比!E9*开放指数!E9</f>
        <v>55</v>
      </c>
      <c r="I9" s="20">
        <f t="shared" ref="I9:I11" si="11">I8</f>
        <v>9</v>
      </c>
      <c r="J9" s="20">
        <f>$D9*攻击分赃比!G9*开放指数!G9</f>
        <v>0</v>
      </c>
      <c r="K9" s="20">
        <f>$D9*攻击分赃比!H9*开放指数!H9</f>
        <v>0</v>
      </c>
      <c r="L9" s="20">
        <f>$D9*攻击分赃比!I9*开放指数!I9</f>
        <v>0</v>
      </c>
      <c r="M9" s="20">
        <f>$D9*攻击分赃比!J9*开放指数!J9</f>
        <v>0</v>
      </c>
      <c r="N9" s="20">
        <f>$D9*攻击分赃比!K9*开放指数!K9</f>
        <v>26.4</v>
      </c>
      <c r="O9" s="20">
        <f>$D9*攻击分赃比!M9*开放指数!L9</f>
        <v>33</v>
      </c>
      <c r="P9" s="20">
        <f>$D9*攻击分赃比!N9*开放指数!M9</f>
        <v>44</v>
      </c>
      <c r="Q9" s="20">
        <f>$D9*攻击分赃比!O9*开放指数!N9</f>
        <v>55</v>
      </c>
      <c r="R9" s="20">
        <f>$D9*攻击分赃比!P9*开放指数!O9</f>
        <v>66</v>
      </c>
      <c r="S9" s="20">
        <f>$D9*攻击分赃比!Q9*开放指数!P9</f>
        <v>77</v>
      </c>
      <c r="T9" s="20">
        <f>$D9*攻击分赃比!R9*开放指数!Q9</f>
        <v>0</v>
      </c>
      <c r="U9" s="20">
        <f>$D9*攻击分赃比!S9*开放指数!R9</f>
        <v>6.6</v>
      </c>
      <c r="V9" s="20">
        <f>$D9*攻击分赃比!T9*开放指数!S9</f>
        <v>0</v>
      </c>
      <c r="W9" s="20">
        <f>$D9*攻击分赃比!U9*开放指数!T9</f>
        <v>1.1000000000000001</v>
      </c>
      <c r="X9" s="21">
        <f>攻击分赃比!V9*开放指数!U9</f>
        <v>0</v>
      </c>
      <c r="Y9" s="21">
        <f>攻击分赃比!W9*开放指数!V9</f>
        <v>0</v>
      </c>
      <c r="Z9" s="21">
        <f>攻击分赃比!X9*开放指数!W9</f>
        <v>0</v>
      </c>
      <c r="AA9" s="21">
        <f>攻击分赃比!Y9*开放指数!X9</f>
        <v>0</v>
      </c>
      <c r="AB9" s="21">
        <f>攻击分赃比!Z9*开放指数!Y9</f>
        <v>0</v>
      </c>
      <c r="AC9" s="20">
        <f>$D9*攻击分赃比!AB9*开放指数!Z9</f>
        <v>0</v>
      </c>
      <c r="AD9" s="20">
        <f>$D9*攻击分赃比!AC9*开放指数!AA9</f>
        <v>0</v>
      </c>
      <c r="AE9" s="20">
        <f>$D9*攻击分赃比!AD9*开放指数!AB9</f>
        <v>0</v>
      </c>
      <c r="AF9" s="20">
        <f>$D9*攻击分赃比!AE9*开放指数!AC9</f>
        <v>0</v>
      </c>
      <c r="AG9" s="20">
        <f>$D9*攻击分赃比!AF9*开放指数!AD9</f>
        <v>0</v>
      </c>
      <c r="AH9" s="20">
        <f>$D9*攻击分赃比!AG9*开放指数!AE9</f>
        <v>0</v>
      </c>
      <c r="AI9" s="20">
        <f>$D9*攻击分赃比!AH9*开放指数!AF9</f>
        <v>0</v>
      </c>
      <c r="AJ9" s="20">
        <f>$D9*攻击分赃比!AI9*开放指数!AG9</f>
        <v>0</v>
      </c>
      <c r="AK9" s="20">
        <f>$D9*攻击分赃比!AJ9*开放指数!AH9</f>
        <v>0</v>
      </c>
      <c r="AL9" s="20">
        <f>$D9*攻击分赃比!AL9*开放指数!AI9</f>
        <v>0</v>
      </c>
      <c r="AM9" s="21">
        <f>攻击分赃比!AM9*开放指数!AJ9</f>
        <v>0</v>
      </c>
      <c r="AN9" s="21">
        <f>攻击分赃比!AN9*开放指数!AK9</f>
        <v>0</v>
      </c>
      <c r="AO9" s="21">
        <f>攻击分赃比!AO9*开放指数!AL9</f>
        <v>0</v>
      </c>
      <c r="AP9" s="21">
        <f>攻击分赃比!AP9*开放指数!AM9</f>
        <v>0</v>
      </c>
      <c r="AQ9" s="21">
        <f>攻击分赃比!AQ9*开放指数!AN9</f>
        <v>0</v>
      </c>
      <c r="AR9" s="20">
        <f>$D9*攻击分赃比!AS9*开放指数!AO9</f>
        <v>4.4000000000000004</v>
      </c>
      <c r="AS9" s="20">
        <f t="shared" si="0"/>
        <v>59.4</v>
      </c>
      <c r="AT9" s="20">
        <f t="shared" si="1"/>
        <v>179.5</v>
      </c>
      <c r="AW9" s="20">
        <f t="shared" si="2"/>
        <v>90.4</v>
      </c>
      <c r="AX9" s="20">
        <f t="shared" si="3"/>
        <v>84.699999999999989</v>
      </c>
      <c r="AY9" s="20">
        <f t="shared" si="5"/>
        <v>0</v>
      </c>
      <c r="AZ9" s="20">
        <f t="shared" si="6"/>
        <v>0</v>
      </c>
      <c r="BA9" s="20">
        <f t="shared" si="7"/>
        <v>4.4000000000000004</v>
      </c>
      <c r="BB9" s="73">
        <f t="shared" si="4"/>
        <v>8.1590909090909083</v>
      </c>
    </row>
    <row r="10" spans="1:54" s="20" customFormat="1">
      <c r="A10" s="46">
        <v>8</v>
      </c>
      <c r="B10" s="51">
        <f t="shared" si="9"/>
        <v>2</v>
      </c>
      <c r="C10" s="9">
        <f t="shared" si="8"/>
        <v>24</v>
      </c>
      <c r="D10" s="20">
        <f t="shared" si="10"/>
        <v>24</v>
      </c>
      <c r="E10" s="20">
        <f>$D10*攻击分赃比!B10*开放指数!B10</f>
        <v>28.799999999999997</v>
      </c>
      <c r="F10" s="20">
        <f>$D10*攻击分赃比!C10*开放指数!C10</f>
        <v>36</v>
      </c>
      <c r="G10" s="20">
        <f>$D10*攻击分赃比!D10*开放指数!D10</f>
        <v>48</v>
      </c>
      <c r="H10" s="20">
        <f>$D10*攻击分赃比!E10*开放指数!E10</f>
        <v>60</v>
      </c>
      <c r="I10" s="20">
        <f t="shared" si="11"/>
        <v>9</v>
      </c>
      <c r="J10" s="20">
        <f>$D10*攻击分赃比!G10*开放指数!G10</f>
        <v>0</v>
      </c>
      <c r="K10" s="20">
        <f>$D10*攻击分赃比!H10*开放指数!H10</f>
        <v>0</v>
      </c>
      <c r="L10" s="20">
        <f>$D10*攻击分赃比!I10*开放指数!I10</f>
        <v>0</v>
      </c>
      <c r="M10" s="20">
        <f>$D10*攻击分赃比!J10*开放指数!J10</f>
        <v>0</v>
      </c>
      <c r="N10" s="20">
        <f>$D10*攻击分赃比!K10*开放指数!K10</f>
        <v>28.799999999999997</v>
      </c>
      <c r="O10" s="20">
        <f>$D10*攻击分赃比!M10*开放指数!L10</f>
        <v>36</v>
      </c>
      <c r="P10" s="20">
        <f>$D10*攻击分赃比!N10*开放指数!M10</f>
        <v>48</v>
      </c>
      <c r="Q10" s="20">
        <f>$D10*攻击分赃比!O10*开放指数!N10</f>
        <v>60</v>
      </c>
      <c r="R10" s="20">
        <f>$D10*攻击分赃比!P10*开放指数!O10</f>
        <v>72</v>
      </c>
      <c r="S10" s="20">
        <f>$D10*攻击分赃比!Q10*开放指数!P10</f>
        <v>84</v>
      </c>
      <c r="T10" s="20">
        <f>$D10*攻击分赃比!R10*开放指数!Q10</f>
        <v>0</v>
      </c>
      <c r="U10" s="20">
        <f>$D10*攻击分赃比!S10*开放指数!R10</f>
        <v>7.1999999999999993</v>
      </c>
      <c r="V10" s="20">
        <f>$D10*攻击分赃比!T10*开放指数!S10</f>
        <v>0</v>
      </c>
      <c r="W10" s="20">
        <f>$D10*攻击分赃比!U10*开放指数!T10</f>
        <v>1.2000000000000002</v>
      </c>
      <c r="X10" s="21">
        <f>攻击分赃比!V10*开放指数!U10</f>
        <v>0</v>
      </c>
      <c r="Y10" s="21">
        <f>攻击分赃比!W10*开放指数!V10</f>
        <v>0</v>
      </c>
      <c r="Z10" s="21">
        <f>攻击分赃比!X10*开放指数!W10</f>
        <v>0</v>
      </c>
      <c r="AA10" s="21">
        <f>攻击分赃比!Y10*开放指数!X10</f>
        <v>0</v>
      </c>
      <c r="AB10" s="21">
        <f>攻击分赃比!Z10*开放指数!Y10</f>
        <v>0</v>
      </c>
      <c r="AC10" s="20">
        <f>$D10*攻击分赃比!AB10*开放指数!Z10</f>
        <v>0</v>
      </c>
      <c r="AD10" s="20">
        <f>$D10*攻击分赃比!AC10*开放指数!AA10</f>
        <v>0</v>
      </c>
      <c r="AE10" s="20">
        <f>$D10*攻击分赃比!AD10*开放指数!AB10</f>
        <v>0</v>
      </c>
      <c r="AF10" s="20">
        <f>$D10*攻击分赃比!AE10*开放指数!AC10</f>
        <v>0</v>
      </c>
      <c r="AG10" s="20">
        <f>$D10*攻击分赃比!AF10*开放指数!AD10</f>
        <v>0</v>
      </c>
      <c r="AH10" s="20">
        <f>$D10*攻击分赃比!AG10*开放指数!AE10</f>
        <v>0</v>
      </c>
      <c r="AI10" s="20">
        <f>$D10*攻击分赃比!AH10*开放指数!AF10</f>
        <v>0</v>
      </c>
      <c r="AJ10" s="20">
        <f>$D10*攻击分赃比!AI10*开放指数!AG10</f>
        <v>0</v>
      </c>
      <c r="AK10" s="20">
        <f>$D10*攻击分赃比!AJ10*开放指数!AH10</f>
        <v>0</v>
      </c>
      <c r="AL10" s="20">
        <f>$D10*攻击分赃比!AL10*开放指数!AI10</f>
        <v>0</v>
      </c>
      <c r="AM10" s="21">
        <f>攻击分赃比!AM10*开放指数!AJ10</f>
        <v>0</v>
      </c>
      <c r="AN10" s="21">
        <f>攻击分赃比!AN10*开放指数!AK10</f>
        <v>0</v>
      </c>
      <c r="AO10" s="21">
        <f>攻击分赃比!AO10*开放指数!AL10</f>
        <v>0</v>
      </c>
      <c r="AP10" s="21">
        <f>攻击分赃比!AP10*开放指数!AM10</f>
        <v>0</v>
      </c>
      <c r="AQ10" s="21">
        <f>攻击分赃比!AQ10*开放指数!AN10</f>
        <v>0</v>
      </c>
      <c r="AR10" s="20">
        <f>$D10*攻击分赃比!AS10*开放指数!AO10</f>
        <v>4.8000000000000007</v>
      </c>
      <c r="AS10" s="20">
        <f t="shared" si="0"/>
        <v>64.8</v>
      </c>
      <c r="AT10" s="20">
        <f t="shared" si="1"/>
        <v>195</v>
      </c>
      <c r="AW10" s="20">
        <f t="shared" si="2"/>
        <v>97.8</v>
      </c>
      <c r="AX10" s="20">
        <f t="shared" si="3"/>
        <v>92.4</v>
      </c>
      <c r="AY10" s="20">
        <f t="shared" si="5"/>
        <v>0</v>
      </c>
      <c r="AZ10" s="20">
        <f t="shared" si="6"/>
        <v>0</v>
      </c>
      <c r="BA10" s="20">
        <f t="shared" si="7"/>
        <v>4.8000000000000007</v>
      </c>
      <c r="BB10" s="73">
        <f t="shared" si="4"/>
        <v>8.125</v>
      </c>
    </row>
    <row r="11" spans="1:54" s="20" customFormat="1">
      <c r="A11" s="46">
        <v>9</v>
      </c>
      <c r="B11" s="51">
        <f t="shared" si="9"/>
        <v>2</v>
      </c>
      <c r="C11" s="9">
        <f t="shared" si="8"/>
        <v>26</v>
      </c>
      <c r="D11" s="20">
        <f t="shared" si="10"/>
        <v>26</v>
      </c>
      <c r="E11" s="20">
        <f>$D11*攻击分赃比!B11*开放指数!B11</f>
        <v>31.2</v>
      </c>
      <c r="F11" s="20">
        <f>$D11*攻击分赃比!C11*开放指数!C11</f>
        <v>39</v>
      </c>
      <c r="G11" s="20">
        <f>$D11*攻击分赃比!D11*开放指数!D11</f>
        <v>52</v>
      </c>
      <c r="H11" s="20">
        <f>$D11*攻击分赃比!E11*开放指数!E11</f>
        <v>65</v>
      </c>
      <c r="I11" s="20">
        <f t="shared" si="11"/>
        <v>9</v>
      </c>
      <c r="J11" s="20">
        <f>$D11*攻击分赃比!G11*开放指数!G11</f>
        <v>0</v>
      </c>
      <c r="K11" s="20">
        <f>$D11*攻击分赃比!H11*开放指数!H11</f>
        <v>0</v>
      </c>
      <c r="L11" s="20">
        <f>$D11*攻击分赃比!I11*开放指数!I11</f>
        <v>0</v>
      </c>
      <c r="M11" s="20">
        <f>$D11*攻击分赃比!J11*开放指数!J11</f>
        <v>0</v>
      </c>
      <c r="N11" s="20">
        <f>$D11*攻击分赃比!K11*开放指数!K11</f>
        <v>31.2</v>
      </c>
      <c r="O11" s="20">
        <f>$D11*攻击分赃比!M11*开放指数!L11</f>
        <v>39</v>
      </c>
      <c r="P11" s="20">
        <f>$D11*攻击分赃比!N11*开放指数!M11</f>
        <v>52</v>
      </c>
      <c r="Q11" s="20">
        <f>$D11*攻击分赃比!O11*开放指数!N11</f>
        <v>65</v>
      </c>
      <c r="R11" s="20">
        <f>$D11*攻击分赃比!P11*开放指数!O11</f>
        <v>78</v>
      </c>
      <c r="S11" s="20">
        <f>$D11*攻击分赃比!Q11*开放指数!P11</f>
        <v>91</v>
      </c>
      <c r="T11" s="20">
        <f>$D11*攻击分赃比!R11*开放指数!Q11</f>
        <v>0</v>
      </c>
      <c r="U11" s="20">
        <f>$D11*攻击分赃比!S11*开放指数!R11</f>
        <v>7.8</v>
      </c>
      <c r="V11" s="20">
        <f>$D11*攻击分赃比!T11*开放指数!S11</f>
        <v>0</v>
      </c>
      <c r="W11" s="20">
        <f>$D11*攻击分赃比!U11*开放指数!T11</f>
        <v>1.3</v>
      </c>
      <c r="X11" s="21">
        <f>攻击分赃比!V11*开放指数!U11</f>
        <v>0</v>
      </c>
      <c r="Y11" s="21">
        <f>攻击分赃比!W11*开放指数!V11</f>
        <v>0</v>
      </c>
      <c r="Z11" s="21">
        <f>攻击分赃比!X11*开放指数!W11</f>
        <v>0</v>
      </c>
      <c r="AA11" s="21">
        <f>攻击分赃比!Y11*开放指数!X11</f>
        <v>0</v>
      </c>
      <c r="AB11" s="21">
        <f>攻击分赃比!Z11*开放指数!Y11</f>
        <v>0</v>
      </c>
      <c r="AC11" s="20">
        <f>$D11*攻击分赃比!AB11*开放指数!Z11</f>
        <v>0</v>
      </c>
      <c r="AD11" s="20">
        <f>$D11*攻击分赃比!AC11*开放指数!AA11</f>
        <v>0</v>
      </c>
      <c r="AE11" s="20">
        <f>$D11*攻击分赃比!AD11*开放指数!AB11</f>
        <v>0</v>
      </c>
      <c r="AF11" s="20">
        <f>$D11*攻击分赃比!AE11*开放指数!AC11</f>
        <v>0</v>
      </c>
      <c r="AG11" s="20">
        <f>$D11*攻击分赃比!AF11*开放指数!AD11</f>
        <v>0</v>
      </c>
      <c r="AH11" s="20">
        <f>$D11*攻击分赃比!AG11*开放指数!AE11</f>
        <v>0</v>
      </c>
      <c r="AI11" s="20">
        <f>$D11*攻击分赃比!AH11*开放指数!AF11</f>
        <v>0</v>
      </c>
      <c r="AJ11" s="20">
        <f>$D11*攻击分赃比!AI11*开放指数!AG11</f>
        <v>0</v>
      </c>
      <c r="AK11" s="20">
        <f>$D11*攻击分赃比!AJ11*开放指数!AH11</f>
        <v>0</v>
      </c>
      <c r="AL11" s="20">
        <f>$D11*攻击分赃比!AL11*开放指数!AI11</f>
        <v>0</v>
      </c>
      <c r="AM11" s="21">
        <f>攻击分赃比!AM11*开放指数!AJ11</f>
        <v>0</v>
      </c>
      <c r="AN11" s="21">
        <f>攻击分赃比!AN11*开放指数!AK11</f>
        <v>0</v>
      </c>
      <c r="AO11" s="21">
        <f>攻击分赃比!AO11*开放指数!AL11</f>
        <v>0</v>
      </c>
      <c r="AP11" s="21">
        <f>攻击分赃比!AP11*开放指数!AM11</f>
        <v>0</v>
      </c>
      <c r="AQ11" s="21">
        <f>攻击分赃比!AQ11*开放指数!AN11</f>
        <v>0</v>
      </c>
      <c r="AR11" s="20">
        <f>$D11*攻击分赃比!AS11*开放指数!AO11</f>
        <v>5.2</v>
      </c>
      <c r="AS11" s="20">
        <f t="shared" si="0"/>
        <v>70.2</v>
      </c>
      <c r="AT11" s="20">
        <f t="shared" si="1"/>
        <v>210.5</v>
      </c>
      <c r="AW11" s="20">
        <f t="shared" si="2"/>
        <v>105.2</v>
      </c>
      <c r="AX11" s="20">
        <f t="shared" si="3"/>
        <v>100.1</v>
      </c>
      <c r="AY11" s="20">
        <f t="shared" si="5"/>
        <v>0</v>
      </c>
      <c r="AZ11" s="20">
        <f t="shared" si="6"/>
        <v>0</v>
      </c>
      <c r="BA11" s="20">
        <f t="shared" si="7"/>
        <v>5.2</v>
      </c>
      <c r="BB11" s="73">
        <f t="shared" si="4"/>
        <v>8.0961538461538467</v>
      </c>
    </row>
    <row r="12" spans="1:54" s="20" customFormat="1">
      <c r="A12" s="46">
        <v>10</v>
      </c>
      <c r="B12" s="51">
        <f t="shared" si="9"/>
        <v>2</v>
      </c>
      <c r="C12" s="9">
        <f t="shared" si="8"/>
        <v>28</v>
      </c>
      <c r="D12" s="20">
        <f t="shared" si="10"/>
        <v>28</v>
      </c>
      <c r="E12" s="20">
        <f>$D12*攻击分赃比!B12*开放指数!B12</f>
        <v>33.6</v>
      </c>
      <c r="F12" s="20">
        <f>$D12*攻击分赃比!C12*开放指数!C12</f>
        <v>42</v>
      </c>
      <c r="G12" s="20">
        <f>$D12*攻击分赃比!D12*开放指数!D12</f>
        <v>56</v>
      </c>
      <c r="H12" s="20">
        <f>$D12*攻击分赃比!E12*开放指数!E12</f>
        <v>70</v>
      </c>
      <c r="I12" s="20">
        <f>$D12*攻击分赃比!F12*开放指数!F12</f>
        <v>14</v>
      </c>
      <c r="J12" s="20">
        <f>$D12*攻击分赃比!G12*开放指数!G12</f>
        <v>8.4</v>
      </c>
      <c r="K12" s="20">
        <f>$D12*攻击分赃比!H12*开放指数!H12</f>
        <v>0</v>
      </c>
      <c r="L12" s="20">
        <f>$D12*攻击分赃比!I12*开放指数!I12</f>
        <v>0</v>
      </c>
      <c r="M12" s="20">
        <f>$D12*攻击分赃比!J12*开放指数!J12</f>
        <v>0</v>
      </c>
      <c r="N12" s="20">
        <f>$D12*攻击分赃比!K12*开放指数!K12</f>
        <v>33.6</v>
      </c>
      <c r="O12" s="20">
        <f>$D12*攻击分赃比!M12*开放指数!L12</f>
        <v>42</v>
      </c>
      <c r="P12" s="20">
        <f>$D12*攻击分赃比!N12*开放指数!M12</f>
        <v>56</v>
      </c>
      <c r="Q12" s="20">
        <f>$D12*攻击分赃比!O12*开放指数!N12</f>
        <v>70</v>
      </c>
      <c r="R12" s="20">
        <f>$D12*攻击分赃比!P12*开放指数!O12</f>
        <v>84</v>
      </c>
      <c r="S12" s="20">
        <f>$D12*攻击分赃比!Q12*开放指数!P12</f>
        <v>98</v>
      </c>
      <c r="T12" s="20">
        <f>$D12*攻击分赃比!R12*开放指数!Q12</f>
        <v>0</v>
      </c>
      <c r="U12" s="20">
        <f>$D12*攻击分赃比!S12*开放指数!R12</f>
        <v>8.4</v>
      </c>
      <c r="V12" s="20">
        <f>$D12*攻击分赃比!T12*开放指数!S12</f>
        <v>0</v>
      </c>
      <c r="W12" s="20">
        <f>$D12*攻击分赃比!U12*开放指数!T12</f>
        <v>1.4000000000000001</v>
      </c>
      <c r="X12" s="21">
        <f>攻击分赃比!V12*开放指数!U12</f>
        <v>0</v>
      </c>
      <c r="Y12" s="21">
        <f>攻击分赃比!W12*开放指数!V12</f>
        <v>0</v>
      </c>
      <c r="Z12" s="21">
        <f>攻击分赃比!X12*开放指数!W12</f>
        <v>0</v>
      </c>
      <c r="AA12" s="21">
        <f>攻击分赃比!Y12*开放指数!X12</f>
        <v>0</v>
      </c>
      <c r="AB12" s="21">
        <f>攻击分赃比!Z12*开放指数!Y12</f>
        <v>0</v>
      </c>
      <c r="AC12" s="20">
        <f>$D12*攻击分赃比!AB12*开放指数!Z12</f>
        <v>0</v>
      </c>
      <c r="AD12" s="20">
        <f>$D12*攻击分赃比!AC12*开放指数!AA12</f>
        <v>0</v>
      </c>
      <c r="AE12" s="20">
        <f>$D12*攻击分赃比!AD12*开放指数!AB12</f>
        <v>0</v>
      </c>
      <c r="AF12" s="20">
        <f>$D12*攻击分赃比!AE12*开放指数!AC12</f>
        <v>0</v>
      </c>
      <c r="AG12" s="20">
        <f>$D12*攻击分赃比!AF12*开放指数!AD12</f>
        <v>0</v>
      </c>
      <c r="AH12" s="20">
        <f>$D12*攻击分赃比!AG12*开放指数!AE12</f>
        <v>0</v>
      </c>
      <c r="AI12" s="20">
        <f>$D12*攻击分赃比!AH12*开放指数!AF12</f>
        <v>0</v>
      </c>
      <c r="AJ12" s="20">
        <f>$D12*攻击分赃比!AI12*开放指数!AG12</f>
        <v>0</v>
      </c>
      <c r="AK12" s="20">
        <f>$D12*攻击分赃比!AJ12*开放指数!AH12</f>
        <v>0</v>
      </c>
      <c r="AL12" s="20">
        <f>$D12*攻击分赃比!AL12*开放指数!AI12</f>
        <v>0</v>
      </c>
      <c r="AM12" s="21">
        <f>攻击分赃比!AM12*开放指数!AJ12</f>
        <v>0</v>
      </c>
      <c r="AN12" s="21">
        <f>攻击分赃比!AN12*开放指数!AK12</f>
        <v>0</v>
      </c>
      <c r="AO12" s="21">
        <f>攻击分赃比!AO12*开放指数!AL12</f>
        <v>0</v>
      </c>
      <c r="AP12" s="21">
        <f>攻击分赃比!AP12*开放指数!AM12</f>
        <v>0</v>
      </c>
      <c r="AQ12" s="21">
        <f>攻击分赃比!AQ12*开放指数!AN12</f>
        <v>0</v>
      </c>
      <c r="AR12" s="20">
        <f>$D12*攻击分赃比!AS12*开放指数!AO12</f>
        <v>5.6000000000000005</v>
      </c>
      <c r="AS12" s="20">
        <f t="shared" si="0"/>
        <v>75.599999999999994</v>
      </c>
      <c r="AT12" s="20">
        <f t="shared" si="1"/>
        <v>239.4</v>
      </c>
      <c r="AW12" s="20">
        <f t="shared" si="2"/>
        <v>126</v>
      </c>
      <c r="AX12" s="20">
        <f t="shared" si="3"/>
        <v>107.80000000000001</v>
      </c>
      <c r="AY12" s="20">
        <f t="shared" si="5"/>
        <v>0</v>
      </c>
      <c r="AZ12" s="20">
        <f t="shared" si="6"/>
        <v>0</v>
      </c>
      <c r="BA12" s="20">
        <f t="shared" si="7"/>
        <v>5.6000000000000005</v>
      </c>
      <c r="BB12" s="73">
        <f t="shared" si="4"/>
        <v>8.5500000000000007</v>
      </c>
    </row>
    <row r="13" spans="1:54" s="20" customFormat="1">
      <c r="A13" s="46">
        <v>11</v>
      </c>
      <c r="B13" s="51">
        <f t="shared" si="9"/>
        <v>2</v>
      </c>
      <c r="C13" s="9">
        <f t="shared" si="8"/>
        <v>30</v>
      </c>
      <c r="D13" s="20">
        <f t="shared" si="10"/>
        <v>30</v>
      </c>
      <c r="E13" s="20">
        <f>$D13*攻击分赃比!B13*开放指数!B13</f>
        <v>36</v>
      </c>
      <c r="F13" s="20">
        <f>$D13*攻击分赃比!C13*开放指数!C13</f>
        <v>45</v>
      </c>
      <c r="G13" s="20">
        <f>$D13*攻击分赃比!D13*开放指数!D13</f>
        <v>60</v>
      </c>
      <c r="H13" s="20">
        <f>$D13*攻击分赃比!E13*开放指数!E13</f>
        <v>75</v>
      </c>
      <c r="I13" s="20">
        <f t="shared" ref="I13:I76" si="12">I12</f>
        <v>14</v>
      </c>
      <c r="J13" s="20">
        <f>$D13*攻击分赃比!G13*开放指数!G13</f>
        <v>9</v>
      </c>
      <c r="K13" s="20">
        <f>$D13*攻击分赃比!H13*开放指数!H13</f>
        <v>0</v>
      </c>
      <c r="L13" s="20">
        <f>$D13*攻击分赃比!I13*开放指数!I13</f>
        <v>0</v>
      </c>
      <c r="M13" s="20">
        <f>$D13*攻击分赃比!J13*开放指数!J13</f>
        <v>0</v>
      </c>
      <c r="N13" s="20">
        <f>$D13*攻击分赃比!K13*开放指数!K13</f>
        <v>36</v>
      </c>
      <c r="O13" s="20">
        <f>$D13*攻击分赃比!M13*开放指数!L13</f>
        <v>45</v>
      </c>
      <c r="P13" s="20">
        <f>$D13*攻击分赃比!N13*开放指数!M13</f>
        <v>60</v>
      </c>
      <c r="Q13" s="20">
        <f>$D13*攻击分赃比!O13*开放指数!N13</f>
        <v>75</v>
      </c>
      <c r="R13" s="20">
        <f>$D13*攻击分赃比!P13*开放指数!O13</f>
        <v>90</v>
      </c>
      <c r="S13" s="20">
        <f>$D13*攻击分赃比!Q13*开放指数!P13</f>
        <v>105</v>
      </c>
      <c r="T13" s="20">
        <f>$D13*攻击分赃比!R13*开放指数!Q13</f>
        <v>0</v>
      </c>
      <c r="U13" s="20">
        <f>$D13*攻击分赃比!S13*开放指数!R13</f>
        <v>9</v>
      </c>
      <c r="V13" s="20">
        <f>$D13*攻击分赃比!T13*开放指数!S13</f>
        <v>0</v>
      </c>
      <c r="W13" s="20">
        <f>$D13*攻击分赃比!U13*开放指数!T13</f>
        <v>1.5</v>
      </c>
      <c r="X13" s="21">
        <f>攻击分赃比!V13*开放指数!U13</f>
        <v>0</v>
      </c>
      <c r="Y13" s="21">
        <f>攻击分赃比!W13*开放指数!V13</f>
        <v>0</v>
      </c>
      <c r="Z13" s="21">
        <f>攻击分赃比!X13*开放指数!W13</f>
        <v>0</v>
      </c>
      <c r="AA13" s="21">
        <f>攻击分赃比!Y13*开放指数!X13</f>
        <v>0</v>
      </c>
      <c r="AB13" s="21">
        <f>攻击分赃比!Z13*开放指数!Y13</f>
        <v>0</v>
      </c>
      <c r="AC13" s="20">
        <f>$D13*攻击分赃比!AB13*开放指数!Z13</f>
        <v>0</v>
      </c>
      <c r="AD13" s="20">
        <f>$D13*攻击分赃比!AC13*开放指数!AA13</f>
        <v>0</v>
      </c>
      <c r="AE13" s="20">
        <f>$D13*攻击分赃比!AD13*开放指数!AB13</f>
        <v>0</v>
      </c>
      <c r="AF13" s="20">
        <f>$D13*攻击分赃比!AE13*开放指数!AC13</f>
        <v>0</v>
      </c>
      <c r="AG13" s="20">
        <f>$D13*攻击分赃比!AF13*开放指数!AD13</f>
        <v>0</v>
      </c>
      <c r="AH13" s="20">
        <f>$D13*攻击分赃比!AG13*开放指数!AE13</f>
        <v>0</v>
      </c>
      <c r="AI13" s="20">
        <f>$D13*攻击分赃比!AH13*开放指数!AF13</f>
        <v>0</v>
      </c>
      <c r="AJ13" s="20">
        <f>$D13*攻击分赃比!AI13*开放指数!AG13</f>
        <v>0</v>
      </c>
      <c r="AK13" s="20">
        <f>$D13*攻击分赃比!AJ13*开放指数!AH13</f>
        <v>0</v>
      </c>
      <c r="AL13" s="20">
        <f>$D13*攻击分赃比!AL13*开放指数!AI13</f>
        <v>0</v>
      </c>
      <c r="AM13" s="21">
        <f>攻击分赃比!AM13*开放指数!AJ13</f>
        <v>0</v>
      </c>
      <c r="AN13" s="21">
        <f>攻击分赃比!AN13*开放指数!AK13</f>
        <v>0</v>
      </c>
      <c r="AO13" s="21">
        <f>攻击分赃比!AO13*开放指数!AL13</f>
        <v>0</v>
      </c>
      <c r="AP13" s="21">
        <f>攻击分赃比!AP13*开放指数!AM13</f>
        <v>0</v>
      </c>
      <c r="AQ13" s="21">
        <f>攻击分赃比!AQ13*开放指数!AN13</f>
        <v>0</v>
      </c>
      <c r="AR13" s="20">
        <f>$D13*攻击分赃比!AS13*开放指数!AO13</f>
        <v>6</v>
      </c>
      <c r="AS13" s="20">
        <f t="shared" si="0"/>
        <v>81</v>
      </c>
      <c r="AT13" s="20">
        <f t="shared" si="1"/>
        <v>255.5</v>
      </c>
      <c r="AW13" s="20">
        <f t="shared" si="2"/>
        <v>134</v>
      </c>
      <c r="AX13" s="20">
        <f t="shared" si="3"/>
        <v>115.5</v>
      </c>
      <c r="AY13" s="20">
        <f t="shared" si="5"/>
        <v>0</v>
      </c>
      <c r="AZ13" s="20">
        <f t="shared" si="6"/>
        <v>0</v>
      </c>
      <c r="BA13" s="20">
        <f t="shared" si="7"/>
        <v>6</v>
      </c>
      <c r="BB13" s="73">
        <f t="shared" si="4"/>
        <v>8.5166666666666675</v>
      </c>
    </row>
    <row r="14" spans="1:54" s="20" customFormat="1">
      <c r="A14" s="46">
        <v>12</v>
      </c>
      <c r="B14" s="51">
        <f t="shared" si="9"/>
        <v>2</v>
      </c>
      <c r="C14" s="9">
        <f t="shared" si="8"/>
        <v>32</v>
      </c>
      <c r="D14" s="20">
        <f t="shared" si="10"/>
        <v>32</v>
      </c>
      <c r="E14" s="20">
        <f>$D14*攻击分赃比!B14*开放指数!B14</f>
        <v>38.4</v>
      </c>
      <c r="F14" s="20">
        <f>$D14*攻击分赃比!C14*开放指数!C14</f>
        <v>48</v>
      </c>
      <c r="G14" s="20">
        <f>$D14*攻击分赃比!D14*开放指数!D14</f>
        <v>64</v>
      </c>
      <c r="H14" s="20">
        <f>$D14*攻击分赃比!E14*开放指数!E14</f>
        <v>80</v>
      </c>
      <c r="I14" s="20">
        <f t="shared" si="12"/>
        <v>14</v>
      </c>
      <c r="J14" s="20">
        <f>$D14*攻击分赃比!G14*开放指数!G14</f>
        <v>9.6</v>
      </c>
      <c r="K14" s="20">
        <f>$D14*攻击分赃比!H14*开放指数!H14</f>
        <v>0</v>
      </c>
      <c r="L14" s="20">
        <f>$D14*攻击分赃比!I14*开放指数!I14</f>
        <v>0</v>
      </c>
      <c r="M14" s="20">
        <f>$D14*攻击分赃比!J14*开放指数!J14</f>
        <v>0</v>
      </c>
      <c r="N14" s="20">
        <f>$D14*攻击分赃比!K14*开放指数!K14</f>
        <v>38.4</v>
      </c>
      <c r="O14" s="20">
        <f>$D14*攻击分赃比!M14*开放指数!L14</f>
        <v>48</v>
      </c>
      <c r="P14" s="20">
        <f>$D14*攻击分赃比!N14*开放指数!M14</f>
        <v>64</v>
      </c>
      <c r="Q14" s="20">
        <f>$D14*攻击分赃比!O14*开放指数!N14</f>
        <v>80</v>
      </c>
      <c r="R14" s="20">
        <f>$D14*攻击分赃比!P14*开放指数!O14</f>
        <v>96</v>
      </c>
      <c r="S14" s="20">
        <f>$D14*攻击分赃比!Q14*开放指数!P14</f>
        <v>112</v>
      </c>
      <c r="T14" s="20">
        <f>$D14*攻击分赃比!R14*开放指数!Q14</f>
        <v>0</v>
      </c>
      <c r="U14" s="20">
        <f>$D14*攻击分赃比!S14*开放指数!R14</f>
        <v>9.6</v>
      </c>
      <c r="V14" s="20">
        <f>$D14*攻击分赃比!T14*开放指数!S14</f>
        <v>0</v>
      </c>
      <c r="W14" s="20">
        <f>$D14*攻击分赃比!U14*开放指数!T14</f>
        <v>1.6</v>
      </c>
      <c r="X14" s="21">
        <f>攻击分赃比!V14*开放指数!U14</f>
        <v>0</v>
      </c>
      <c r="Y14" s="21">
        <f>攻击分赃比!W14*开放指数!V14</f>
        <v>0</v>
      </c>
      <c r="Z14" s="21">
        <f>攻击分赃比!X14*开放指数!W14</f>
        <v>0</v>
      </c>
      <c r="AA14" s="21">
        <f>攻击分赃比!Y14*开放指数!X14</f>
        <v>0</v>
      </c>
      <c r="AB14" s="21">
        <f>攻击分赃比!Z14*开放指数!Y14</f>
        <v>0</v>
      </c>
      <c r="AC14" s="20">
        <f>$D14*攻击分赃比!AB14*开放指数!Z14</f>
        <v>0</v>
      </c>
      <c r="AD14" s="20">
        <f>$D14*攻击分赃比!AC14*开放指数!AA14</f>
        <v>0</v>
      </c>
      <c r="AE14" s="20">
        <f>$D14*攻击分赃比!AD14*开放指数!AB14</f>
        <v>0</v>
      </c>
      <c r="AF14" s="20">
        <f>$D14*攻击分赃比!AE14*开放指数!AC14</f>
        <v>0</v>
      </c>
      <c r="AG14" s="20">
        <f>$D14*攻击分赃比!AF14*开放指数!AD14</f>
        <v>0</v>
      </c>
      <c r="AH14" s="20">
        <f>$D14*攻击分赃比!AG14*开放指数!AE14</f>
        <v>0</v>
      </c>
      <c r="AI14" s="20">
        <f>$D14*攻击分赃比!AH14*开放指数!AF14</f>
        <v>0</v>
      </c>
      <c r="AJ14" s="20">
        <f>$D14*攻击分赃比!AI14*开放指数!AG14</f>
        <v>0</v>
      </c>
      <c r="AK14" s="20">
        <f>$D14*攻击分赃比!AJ14*开放指数!AH14</f>
        <v>0</v>
      </c>
      <c r="AL14" s="20">
        <f>$D14*攻击分赃比!AL14*开放指数!AI14</f>
        <v>0</v>
      </c>
      <c r="AM14" s="21">
        <f>攻击分赃比!AM14*开放指数!AJ14</f>
        <v>0</v>
      </c>
      <c r="AN14" s="21">
        <f>攻击分赃比!AN14*开放指数!AK14</f>
        <v>0</v>
      </c>
      <c r="AO14" s="21">
        <f>攻击分赃比!AO14*开放指数!AL14</f>
        <v>0</v>
      </c>
      <c r="AP14" s="21">
        <f>攻击分赃比!AP14*开放指数!AM14</f>
        <v>0</v>
      </c>
      <c r="AQ14" s="21">
        <f>攻击分赃比!AQ14*开放指数!AN14</f>
        <v>0</v>
      </c>
      <c r="AR14" s="20">
        <f>$D14*攻击分赃比!AS14*开放指数!AO14</f>
        <v>6.4</v>
      </c>
      <c r="AS14" s="20">
        <f t="shared" si="0"/>
        <v>86.4</v>
      </c>
      <c r="AT14" s="20">
        <f t="shared" si="1"/>
        <v>271.60000000000002</v>
      </c>
      <c r="AW14" s="20">
        <f t="shared" si="2"/>
        <v>142</v>
      </c>
      <c r="AX14" s="20">
        <f t="shared" si="3"/>
        <v>123.19999999999999</v>
      </c>
      <c r="AY14" s="20">
        <f t="shared" si="5"/>
        <v>0</v>
      </c>
      <c r="AZ14" s="20">
        <f t="shared" si="6"/>
        <v>0</v>
      </c>
      <c r="BA14" s="20">
        <f t="shared" si="7"/>
        <v>6.4</v>
      </c>
      <c r="BB14" s="73">
        <f t="shared" si="4"/>
        <v>8.4875000000000007</v>
      </c>
    </row>
    <row r="15" spans="1:54" s="20" customFormat="1">
      <c r="A15" s="46">
        <v>13</v>
      </c>
      <c r="B15" s="51">
        <f t="shared" si="9"/>
        <v>2</v>
      </c>
      <c r="C15" s="9">
        <f t="shared" si="8"/>
        <v>34</v>
      </c>
      <c r="D15" s="20">
        <f t="shared" si="10"/>
        <v>34</v>
      </c>
      <c r="E15" s="20">
        <f>$D15*攻击分赃比!B15*开放指数!B15</f>
        <v>40.799999999999997</v>
      </c>
      <c r="F15" s="20">
        <f>$D15*攻击分赃比!C15*开放指数!C15</f>
        <v>51</v>
      </c>
      <c r="G15" s="20">
        <f>$D15*攻击分赃比!D15*开放指数!D15</f>
        <v>68</v>
      </c>
      <c r="H15" s="20">
        <f>$D15*攻击分赃比!E15*开放指数!E15</f>
        <v>85</v>
      </c>
      <c r="I15" s="20">
        <f t="shared" si="12"/>
        <v>14</v>
      </c>
      <c r="J15" s="20">
        <f>$D15*攻击分赃比!G15*开放指数!G15</f>
        <v>10.199999999999999</v>
      </c>
      <c r="K15" s="20">
        <f>$D15*攻击分赃比!H15*开放指数!H15</f>
        <v>0</v>
      </c>
      <c r="L15" s="20">
        <f>$D15*攻击分赃比!I15*开放指数!I15</f>
        <v>0</v>
      </c>
      <c r="M15" s="20">
        <f>$D15*攻击分赃比!J15*开放指数!J15</f>
        <v>0</v>
      </c>
      <c r="N15" s="20">
        <f>$D15*攻击分赃比!K15*开放指数!K15</f>
        <v>40.799999999999997</v>
      </c>
      <c r="O15" s="20">
        <f>$D15*攻击分赃比!M15*开放指数!L15</f>
        <v>51</v>
      </c>
      <c r="P15" s="20">
        <f>$D15*攻击分赃比!N15*开放指数!M15</f>
        <v>68</v>
      </c>
      <c r="Q15" s="20">
        <f>$D15*攻击分赃比!O15*开放指数!N15</f>
        <v>85</v>
      </c>
      <c r="R15" s="20">
        <f>$D15*攻击分赃比!P15*开放指数!O15</f>
        <v>102</v>
      </c>
      <c r="S15" s="20">
        <f>$D15*攻击分赃比!Q15*开放指数!P15</f>
        <v>119</v>
      </c>
      <c r="T15" s="20">
        <f>$D15*攻击分赃比!R15*开放指数!Q15</f>
        <v>0</v>
      </c>
      <c r="U15" s="20">
        <f>$D15*攻击分赃比!S15*开放指数!R15</f>
        <v>10.199999999999999</v>
      </c>
      <c r="V15" s="20">
        <f>$D15*攻击分赃比!T15*开放指数!S15</f>
        <v>0</v>
      </c>
      <c r="W15" s="20">
        <f>$D15*攻击分赃比!U15*开放指数!T15</f>
        <v>1.7000000000000002</v>
      </c>
      <c r="X15" s="21">
        <f>攻击分赃比!V15*开放指数!U15</f>
        <v>0</v>
      </c>
      <c r="Y15" s="21">
        <f>攻击分赃比!W15*开放指数!V15</f>
        <v>0</v>
      </c>
      <c r="Z15" s="21">
        <f>攻击分赃比!X15*开放指数!W15</f>
        <v>0</v>
      </c>
      <c r="AA15" s="21">
        <f>攻击分赃比!Y15*开放指数!X15</f>
        <v>0</v>
      </c>
      <c r="AB15" s="21">
        <f>攻击分赃比!Z15*开放指数!Y15</f>
        <v>0</v>
      </c>
      <c r="AC15" s="20">
        <f>$D15*攻击分赃比!AB15*开放指数!Z15</f>
        <v>0</v>
      </c>
      <c r="AD15" s="20">
        <f>$D15*攻击分赃比!AC15*开放指数!AA15</f>
        <v>0</v>
      </c>
      <c r="AE15" s="20">
        <f>$D15*攻击分赃比!AD15*开放指数!AB15</f>
        <v>0</v>
      </c>
      <c r="AF15" s="20">
        <f>$D15*攻击分赃比!AE15*开放指数!AC15</f>
        <v>0</v>
      </c>
      <c r="AG15" s="20">
        <f>$D15*攻击分赃比!AF15*开放指数!AD15</f>
        <v>0</v>
      </c>
      <c r="AH15" s="20">
        <f>$D15*攻击分赃比!AG15*开放指数!AE15</f>
        <v>0</v>
      </c>
      <c r="AI15" s="20">
        <f>$D15*攻击分赃比!AH15*开放指数!AF15</f>
        <v>0</v>
      </c>
      <c r="AJ15" s="20">
        <f>$D15*攻击分赃比!AI15*开放指数!AG15</f>
        <v>0</v>
      </c>
      <c r="AK15" s="20">
        <f>$D15*攻击分赃比!AJ15*开放指数!AH15</f>
        <v>0</v>
      </c>
      <c r="AL15" s="20">
        <f>$D15*攻击分赃比!AL15*开放指数!AI15</f>
        <v>0</v>
      </c>
      <c r="AM15" s="21">
        <f>攻击分赃比!AM15*开放指数!AJ15</f>
        <v>0</v>
      </c>
      <c r="AN15" s="21">
        <f>攻击分赃比!AN15*开放指数!AK15</f>
        <v>0</v>
      </c>
      <c r="AO15" s="21">
        <f>攻击分赃比!AO15*开放指数!AL15</f>
        <v>0</v>
      </c>
      <c r="AP15" s="21">
        <f>攻击分赃比!AP15*开放指数!AM15</f>
        <v>0</v>
      </c>
      <c r="AQ15" s="21">
        <f>攻击分赃比!AQ15*开放指数!AN15</f>
        <v>0</v>
      </c>
      <c r="AR15" s="20">
        <f>$D15*攻击分赃比!AS15*开放指数!AO15</f>
        <v>6.8000000000000007</v>
      </c>
      <c r="AS15" s="20">
        <f t="shared" si="0"/>
        <v>91.8</v>
      </c>
      <c r="AT15" s="20">
        <f t="shared" si="1"/>
        <v>287.7</v>
      </c>
      <c r="AW15" s="20">
        <f t="shared" si="2"/>
        <v>150</v>
      </c>
      <c r="AX15" s="20">
        <f t="shared" si="3"/>
        <v>130.89999999999998</v>
      </c>
      <c r="AY15" s="20">
        <f t="shared" si="5"/>
        <v>0</v>
      </c>
      <c r="AZ15" s="20">
        <f t="shared" si="6"/>
        <v>0</v>
      </c>
      <c r="BA15" s="20">
        <f t="shared" si="7"/>
        <v>6.8000000000000007</v>
      </c>
      <c r="BB15" s="73">
        <f t="shared" si="4"/>
        <v>8.4617647058823522</v>
      </c>
    </row>
    <row r="16" spans="1:54" s="20" customFormat="1">
      <c r="A16" s="46">
        <v>14</v>
      </c>
      <c r="B16" s="51">
        <f t="shared" si="9"/>
        <v>2</v>
      </c>
      <c r="C16" s="9">
        <f t="shared" si="8"/>
        <v>36</v>
      </c>
      <c r="D16" s="20">
        <f t="shared" si="10"/>
        <v>36</v>
      </c>
      <c r="E16" s="20">
        <f>$D16*攻击分赃比!B16*开放指数!B16</f>
        <v>43.199999999999996</v>
      </c>
      <c r="F16" s="20">
        <f>$D16*攻击分赃比!C16*开放指数!C16</f>
        <v>54</v>
      </c>
      <c r="G16" s="20">
        <f>$D16*攻击分赃比!D16*开放指数!D16</f>
        <v>72</v>
      </c>
      <c r="H16" s="20">
        <f>$D16*攻击分赃比!E16*开放指数!E16</f>
        <v>90</v>
      </c>
      <c r="I16" s="20">
        <f t="shared" si="12"/>
        <v>14</v>
      </c>
      <c r="J16" s="20">
        <f>$D16*攻击分赃比!G16*开放指数!G16</f>
        <v>10.799999999999999</v>
      </c>
      <c r="K16" s="20">
        <f>$D16*攻击分赃比!H16*开放指数!H16</f>
        <v>0</v>
      </c>
      <c r="L16" s="20">
        <f>$D16*攻击分赃比!I16*开放指数!I16</f>
        <v>0</v>
      </c>
      <c r="M16" s="20">
        <f>$D16*攻击分赃比!J16*开放指数!J16</f>
        <v>0</v>
      </c>
      <c r="N16" s="20">
        <f>$D16*攻击分赃比!K16*开放指数!K16</f>
        <v>43.199999999999996</v>
      </c>
      <c r="O16" s="20">
        <f>$D16*攻击分赃比!M16*开放指数!L16</f>
        <v>54</v>
      </c>
      <c r="P16" s="20">
        <f>$D16*攻击分赃比!N16*开放指数!M16</f>
        <v>72</v>
      </c>
      <c r="Q16" s="20">
        <f>$D16*攻击分赃比!O16*开放指数!N16</f>
        <v>90</v>
      </c>
      <c r="R16" s="20">
        <f>$D16*攻击分赃比!P16*开放指数!O16</f>
        <v>108</v>
      </c>
      <c r="S16" s="20">
        <f>$D16*攻击分赃比!Q16*开放指数!P16</f>
        <v>126</v>
      </c>
      <c r="T16" s="20">
        <f>$D16*攻击分赃比!R16*开放指数!Q16</f>
        <v>0</v>
      </c>
      <c r="U16" s="20">
        <f>$D16*攻击分赃比!S16*开放指数!R16</f>
        <v>10.799999999999999</v>
      </c>
      <c r="V16" s="20">
        <f>$D16*攻击分赃比!T16*开放指数!S16</f>
        <v>0</v>
      </c>
      <c r="W16" s="20">
        <f>$D16*攻击分赃比!U16*开放指数!T16</f>
        <v>1.8</v>
      </c>
      <c r="X16" s="21">
        <f>攻击分赃比!V16*开放指数!U16</f>
        <v>0</v>
      </c>
      <c r="Y16" s="21">
        <f>攻击分赃比!W16*开放指数!V16</f>
        <v>0</v>
      </c>
      <c r="Z16" s="21">
        <f>攻击分赃比!X16*开放指数!W16</f>
        <v>0</v>
      </c>
      <c r="AA16" s="21">
        <f>攻击分赃比!Y16*开放指数!X16</f>
        <v>0</v>
      </c>
      <c r="AB16" s="21">
        <f>攻击分赃比!Z16*开放指数!Y16</f>
        <v>0</v>
      </c>
      <c r="AC16" s="20">
        <f>$D16*攻击分赃比!AB16*开放指数!Z16</f>
        <v>0</v>
      </c>
      <c r="AD16" s="20">
        <f>$D16*攻击分赃比!AC16*开放指数!AA16</f>
        <v>0</v>
      </c>
      <c r="AE16" s="20">
        <f>$D16*攻击分赃比!AD16*开放指数!AB16</f>
        <v>0</v>
      </c>
      <c r="AF16" s="20">
        <f>$D16*攻击分赃比!AE16*开放指数!AC16</f>
        <v>0</v>
      </c>
      <c r="AG16" s="20">
        <f>$D16*攻击分赃比!AF16*开放指数!AD16</f>
        <v>0</v>
      </c>
      <c r="AH16" s="20">
        <f>$D16*攻击分赃比!AG16*开放指数!AE16</f>
        <v>0</v>
      </c>
      <c r="AI16" s="20">
        <f>$D16*攻击分赃比!AH16*开放指数!AF16</f>
        <v>0</v>
      </c>
      <c r="AJ16" s="20">
        <f>$D16*攻击分赃比!AI16*开放指数!AG16</f>
        <v>0</v>
      </c>
      <c r="AK16" s="20">
        <f>$D16*攻击分赃比!AJ16*开放指数!AH16</f>
        <v>0</v>
      </c>
      <c r="AL16" s="20">
        <f>$D16*攻击分赃比!AL16*开放指数!AI16</f>
        <v>0</v>
      </c>
      <c r="AM16" s="21">
        <f>攻击分赃比!AM16*开放指数!AJ16</f>
        <v>0</v>
      </c>
      <c r="AN16" s="21">
        <f>攻击分赃比!AN16*开放指数!AK16</f>
        <v>0</v>
      </c>
      <c r="AO16" s="21">
        <f>攻击分赃比!AO16*开放指数!AL16</f>
        <v>0</v>
      </c>
      <c r="AP16" s="21">
        <f>攻击分赃比!AP16*开放指数!AM16</f>
        <v>0</v>
      </c>
      <c r="AQ16" s="21">
        <f>攻击分赃比!AQ16*开放指数!AN16</f>
        <v>0</v>
      </c>
      <c r="AR16" s="20">
        <f>$D16*攻击分赃比!AS16*开放指数!AO16</f>
        <v>7.2</v>
      </c>
      <c r="AS16" s="20">
        <f t="shared" si="0"/>
        <v>97.2</v>
      </c>
      <c r="AT16" s="20">
        <f t="shared" si="1"/>
        <v>303.8</v>
      </c>
      <c r="AW16" s="20">
        <f t="shared" si="2"/>
        <v>158</v>
      </c>
      <c r="AX16" s="20">
        <f t="shared" si="3"/>
        <v>138.60000000000002</v>
      </c>
      <c r="AY16" s="20">
        <f t="shared" si="5"/>
        <v>0</v>
      </c>
      <c r="AZ16" s="20">
        <f t="shared" si="6"/>
        <v>0</v>
      </c>
      <c r="BA16" s="20">
        <f t="shared" si="7"/>
        <v>7.2</v>
      </c>
      <c r="BB16" s="73">
        <f t="shared" si="4"/>
        <v>8.43888888888889</v>
      </c>
    </row>
    <row r="17" spans="1:54" s="20" customFormat="1">
      <c r="A17" s="46">
        <v>15</v>
      </c>
      <c r="B17" s="51">
        <f t="shared" si="9"/>
        <v>2</v>
      </c>
      <c r="C17" s="9">
        <f t="shared" si="8"/>
        <v>38</v>
      </c>
      <c r="D17" s="20">
        <f t="shared" si="10"/>
        <v>38</v>
      </c>
      <c r="E17" s="20">
        <f>$D17*攻击分赃比!B17*开放指数!B17</f>
        <v>45.6</v>
      </c>
      <c r="F17" s="20">
        <f>$D17*攻击分赃比!C17*开放指数!C17</f>
        <v>57</v>
      </c>
      <c r="G17" s="20">
        <f>$D17*攻击分赃比!D17*开放指数!D17</f>
        <v>76</v>
      </c>
      <c r="H17" s="20">
        <f>$D17*攻击分赃比!E17*开放指数!E17</f>
        <v>95</v>
      </c>
      <c r="I17" s="20">
        <f>$D17*攻击分赃比!F17*开放指数!F17</f>
        <v>19</v>
      </c>
      <c r="J17" s="20">
        <f>$D17*攻击分赃比!G17*开放指数!G17</f>
        <v>11.4</v>
      </c>
      <c r="K17" s="20">
        <f>$D17*攻击分赃比!H17*开放指数!H17</f>
        <v>22.8</v>
      </c>
      <c r="L17" s="20">
        <f>$D17*攻击分赃比!I17*开放指数!I17</f>
        <v>0</v>
      </c>
      <c r="M17" s="20">
        <f>$D17*攻击分赃比!J17*开放指数!J17</f>
        <v>0</v>
      </c>
      <c r="N17" s="20">
        <f>$D17*攻击分赃比!K17*开放指数!K17</f>
        <v>45.6</v>
      </c>
      <c r="O17" s="20">
        <f>$D17*攻击分赃比!M17*开放指数!L17</f>
        <v>57</v>
      </c>
      <c r="P17" s="20">
        <f>$D17*攻击分赃比!N17*开放指数!M17</f>
        <v>76</v>
      </c>
      <c r="Q17" s="20">
        <f>$D17*攻击分赃比!O17*开放指数!N17</f>
        <v>95</v>
      </c>
      <c r="R17" s="20">
        <f>$D17*攻击分赃比!P17*开放指数!O17</f>
        <v>114</v>
      </c>
      <c r="S17" s="20">
        <f>$D17*攻击分赃比!Q17*开放指数!P17</f>
        <v>133</v>
      </c>
      <c r="T17" s="20">
        <f>$D17*攻击分赃比!R17*开放指数!Q17</f>
        <v>0</v>
      </c>
      <c r="U17" s="20">
        <f>$D17*攻击分赃比!S17*开放指数!R17</f>
        <v>11.4</v>
      </c>
      <c r="V17" s="20">
        <f>$D17*攻击分赃比!T17*开放指数!S17</f>
        <v>0</v>
      </c>
      <c r="W17" s="20">
        <f>$D17*攻击分赃比!U17*开放指数!T17</f>
        <v>1.9000000000000001</v>
      </c>
      <c r="X17" s="21">
        <f>攻击分赃比!V17*开放指数!U17</f>
        <v>0</v>
      </c>
      <c r="Y17" s="21">
        <f>攻击分赃比!W17*开放指数!V17</f>
        <v>0</v>
      </c>
      <c r="Z17" s="21">
        <f>攻击分赃比!X17*开放指数!W17</f>
        <v>0</v>
      </c>
      <c r="AA17" s="21">
        <f>攻击分赃比!Y17*开放指数!X17</f>
        <v>0</v>
      </c>
      <c r="AB17" s="21">
        <f>攻击分赃比!Z17*开放指数!Y17</f>
        <v>0</v>
      </c>
      <c r="AC17" s="20">
        <f>$D17*攻击分赃比!AB17*开放指数!Z17</f>
        <v>38</v>
      </c>
      <c r="AD17" s="20">
        <f>$D17*攻击分赃比!AC17*开放指数!AA17</f>
        <v>45.6</v>
      </c>
      <c r="AE17" s="20">
        <f>$D17*攻击分赃比!AD17*开放指数!AB17</f>
        <v>57</v>
      </c>
      <c r="AF17" s="20">
        <f>$D17*攻击分赃比!AE17*开放指数!AC17</f>
        <v>76</v>
      </c>
      <c r="AG17" s="20">
        <f>$D17*攻击分赃比!AF17*开放指数!AD17</f>
        <v>95</v>
      </c>
      <c r="AH17" s="20">
        <f>$D17*攻击分赃比!AG17*开放指数!AE17</f>
        <v>0</v>
      </c>
      <c r="AI17" s="20">
        <f>$D17*攻击分赃比!AH17*开放指数!AF17</f>
        <v>7.6000000000000005</v>
      </c>
      <c r="AJ17" s="20">
        <f>$D17*攻击分赃比!AI17*开放指数!AG17</f>
        <v>0</v>
      </c>
      <c r="AK17" s="20">
        <f>$D17*攻击分赃比!AJ17*开放指数!AH17</f>
        <v>1.1399999999999999</v>
      </c>
      <c r="AL17" s="20">
        <f>$D17*攻击分赃比!AL17*开放指数!AI17</f>
        <v>0</v>
      </c>
      <c r="AM17" s="21">
        <f>攻击分赃比!AM17*开放指数!AJ17</f>
        <v>0</v>
      </c>
      <c r="AN17" s="21">
        <f>攻击分赃比!AN17*开放指数!AK17</f>
        <v>0</v>
      </c>
      <c r="AO17" s="21">
        <f>攻击分赃比!AO17*开放指数!AL17</f>
        <v>0</v>
      </c>
      <c r="AP17" s="21">
        <f>攻击分赃比!AP17*开放指数!AM17</f>
        <v>0</v>
      </c>
      <c r="AQ17" s="21">
        <f>攻击分赃比!AQ17*开放指数!AN17</f>
        <v>0</v>
      </c>
      <c r="AR17" s="20">
        <f>$D17*攻击分赃比!AS17*开放指数!AO17</f>
        <v>7.6000000000000005</v>
      </c>
      <c r="AS17" s="20">
        <f t="shared" si="0"/>
        <v>140.6</v>
      </c>
      <c r="AT17" s="20">
        <f t="shared" si="1"/>
        <v>451.44</v>
      </c>
      <c r="AW17" s="20">
        <f t="shared" si="2"/>
        <v>193.8</v>
      </c>
      <c r="AX17" s="20">
        <f t="shared" si="3"/>
        <v>146.30000000000001</v>
      </c>
      <c r="AY17" s="20">
        <f t="shared" si="5"/>
        <v>103.74</v>
      </c>
      <c r="AZ17" s="20">
        <f t="shared" si="6"/>
        <v>0</v>
      </c>
      <c r="BA17" s="20">
        <f t="shared" si="7"/>
        <v>7.6000000000000005</v>
      </c>
      <c r="BB17" s="73">
        <f t="shared" si="4"/>
        <v>11.88</v>
      </c>
    </row>
    <row r="18" spans="1:54" s="20" customFormat="1">
      <c r="A18" s="46">
        <v>16</v>
      </c>
      <c r="B18" s="51">
        <f t="shared" si="9"/>
        <v>2</v>
      </c>
      <c r="C18" s="9">
        <f t="shared" si="8"/>
        <v>40</v>
      </c>
      <c r="D18" s="20">
        <f t="shared" si="10"/>
        <v>40</v>
      </c>
      <c r="E18" s="20">
        <f>$D18*攻击分赃比!B18*开放指数!B18</f>
        <v>48</v>
      </c>
      <c r="F18" s="20">
        <f>$D18*攻击分赃比!C18*开放指数!C18</f>
        <v>60</v>
      </c>
      <c r="G18" s="20">
        <f>$D18*攻击分赃比!D18*开放指数!D18</f>
        <v>80</v>
      </c>
      <c r="H18" s="20">
        <f>$D18*攻击分赃比!E18*开放指数!E18</f>
        <v>100</v>
      </c>
      <c r="I18" s="20">
        <f t="shared" ref="I18" si="13">I17</f>
        <v>19</v>
      </c>
      <c r="J18" s="20">
        <f>$D18*攻击分赃比!G18*开放指数!G18</f>
        <v>12</v>
      </c>
      <c r="K18" s="20">
        <f>$D18*攻击分赃比!H18*开放指数!H18</f>
        <v>24</v>
      </c>
      <c r="L18" s="20">
        <f>$D18*攻击分赃比!I18*开放指数!I18</f>
        <v>0</v>
      </c>
      <c r="M18" s="20">
        <f>$D18*攻击分赃比!J18*开放指数!J18</f>
        <v>0</v>
      </c>
      <c r="N18" s="20">
        <f>$D18*攻击分赃比!K18*开放指数!K18</f>
        <v>48</v>
      </c>
      <c r="O18" s="20">
        <f>$D18*攻击分赃比!M18*开放指数!L18</f>
        <v>60</v>
      </c>
      <c r="P18" s="20">
        <f>$D18*攻击分赃比!N18*开放指数!M18</f>
        <v>80</v>
      </c>
      <c r="Q18" s="20">
        <f>$D18*攻击分赃比!O18*开放指数!N18</f>
        <v>100</v>
      </c>
      <c r="R18" s="20">
        <f>$D18*攻击分赃比!P18*开放指数!O18</f>
        <v>120</v>
      </c>
      <c r="S18" s="20">
        <f>$D18*攻击分赃比!Q18*开放指数!P18</f>
        <v>140</v>
      </c>
      <c r="T18" s="20">
        <f>$D18*攻击分赃比!R18*开放指数!Q18</f>
        <v>0</v>
      </c>
      <c r="U18" s="20">
        <f>$D18*攻击分赃比!S18*开放指数!R18</f>
        <v>12</v>
      </c>
      <c r="V18" s="20">
        <f>$D18*攻击分赃比!T18*开放指数!S18</f>
        <v>0</v>
      </c>
      <c r="W18" s="20">
        <f>$D18*攻击分赃比!U18*开放指数!T18</f>
        <v>2</v>
      </c>
      <c r="X18" s="21">
        <f>攻击分赃比!V18*开放指数!U18</f>
        <v>0</v>
      </c>
      <c r="Y18" s="21">
        <f>攻击分赃比!W18*开放指数!V18</f>
        <v>0</v>
      </c>
      <c r="Z18" s="21">
        <f>攻击分赃比!X18*开放指数!W18</f>
        <v>0</v>
      </c>
      <c r="AA18" s="21">
        <f>攻击分赃比!Y18*开放指数!X18</f>
        <v>0</v>
      </c>
      <c r="AB18" s="21">
        <f>攻击分赃比!Z18*开放指数!Y18</f>
        <v>0</v>
      </c>
      <c r="AC18" s="20">
        <f>$D18*攻击分赃比!AB18*开放指数!Z18</f>
        <v>40</v>
      </c>
      <c r="AD18" s="20">
        <f>$D18*攻击分赃比!AC18*开放指数!AA18</f>
        <v>48</v>
      </c>
      <c r="AE18" s="20">
        <f>$D18*攻击分赃比!AD18*开放指数!AB18</f>
        <v>60</v>
      </c>
      <c r="AF18" s="20">
        <f>$D18*攻击分赃比!AE18*开放指数!AC18</f>
        <v>80</v>
      </c>
      <c r="AG18" s="20">
        <f>$D18*攻击分赃比!AF18*开放指数!AD18</f>
        <v>100</v>
      </c>
      <c r="AH18" s="20">
        <f>$D18*攻击分赃比!AG18*开放指数!AE18</f>
        <v>0</v>
      </c>
      <c r="AI18" s="20">
        <f>$D18*攻击分赃比!AH18*开放指数!AF18</f>
        <v>8</v>
      </c>
      <c r="AJ18" s="20">
        <f>$D18*攻击分赃比!AI18*开放指数!AG18</f>
        <v>0</v>
      </c>
      <c r="AK18" s="20">
        <f>$D18*攻击分赃比!AJ18*开放指数!AH18</f>
        <v>1.2</v>
      </c>
      <c r="AL18" s="20">
        <f>$D18*攻击分赃比!AL18*开放指数!AI18</f>
        <v>0</v>
      </c>
      <c r="AM18" s="21">
        <f>攻击分赃比!AM18*开放指数!AJ18</f>
        <v>0</v>
      </c>
      <c r="AN18" s="21">
        <f>攻击分赃比!AN18*开放指数!AK18</f>
        <v>0</v>
      </c>
      <c r="AO18" s="21">
        <f>攻击分赃比!AO18*开放指数!AL18</f>
        <v>0</v>
      </c>
      <c r="AP18" s="21">
        <f>攻击分赃比!AP18*开放指数!AM18</f>
        <v>0</v>
      </c>
      <c r="AQ18" s="21">
        <f>攻击分赃比!AQ18*开放指数!AN18</f>
        <v>0</v>
      </c>
      <c r="AR18" s="20">
        <f>$D18*攻击分赃比!AS18*开放指数!AO18</f>
        <v>8</v>
      </c>
      <c r="AS18" s="20">
        <f t="shared" si="0"/>
        <v>148</v>
      </c>
      <c r="AT18" s="20">
        <f t="shared" si="1"/>
        <v>474.2</v>
      </c>
      <c r="AW18" s="20">
        <f t="shared" si="2"/>
        <v>203</v>
      </c>
      <c r="AX18" s="20">
        <f t="shared" si="3"/>
        <v>154</v>
      </c>
      <c r="AY18" s="20">
        <f t="shared" si="5"/>
        <v>109.2</v>
      </c>
      <c r="AZ18" s="20">
        <f t="shared" si="6"/>
        <v>0</v>
      </c>
      <c r="BA18" s="20">
        <f t="shared" si="7"/>
        <v>8</v>
      </c>
      <c r="BB18" s="73">
        <f t="shared" si="4"/>
        <v>11.855</v>
      </c>
    </row>
    <row r="19" spans="1:54" s="20" customFormat="1">
      <c r="A19" s="46">
        <v>17</v>
      </c>
      <c r="B19" s="51">
        <f t="shared" si="9"/>
        <v>2</v>
      </c>
      <c r="C19" s="9">
        <f t="shared" si="8"/>
        <v>42</v>
      </c>
      <c r="D19" s="20">
        <f t="shared" si="10"/>
        <v>42</v>
      </c>
      <c r="E19" s="20">
        <f>$D19*攻击分赃比!B19*开放指数!B19</f>
        <v>50.4</v>
      </c>
      <c r="F19" s="20">
        <f>$D19*攻击分赃比!C19*开放指数!C19</f>
        <v>63</v>
      </c>
      <c r="G19" s="20">
        <f>$D19*攻击分赃比!D19*开放指数!D19</f>
        <v>84</v>
      </c>
      <c r="H19" s="20">
        <f>$D19*攻击分赃比!E19*开放指数!E19</f>
        <v>105</v>
      </c>
      <c r="I19" s="20">
        <f t="shared" si="12"/>
        <v>19</v>
      </c>
      <c r="J19" s="20">
        <f>$D19*攻击分赃比!G19*开放指数!G19</f>
        <v>12.6</v>
      </c>
      <c r="K19" s="20">
        <f>$D19*攻击分赃比!H19*开放指数!H19</f>
        <v>25.2</v>
      </c>
      <c r="L19" s="20">
        <f>$D19*攻击分赃比!I19*开放指数!I19</f>
        <v>0</v>
      </c>
      <c r="M19" s="20">
        <f>$D19*攻击分赃比!J19*开放指数!J19</f>
        <v>0</v>
      </c>
      <c r="N19" s="20">
        <f>$D19*攻击分赃比!K19*开放指数!K19</f>
        <v>50.4</v>
      </c>
      <c r="O19" s="20">
        <f>$D19*攻击分赃比!M19*开放指数!L19</f>
        <v>63</v>
      </c>
      <c r="P19" s="20">
        <f>$D19*攻击分赃比!N19*开放指数!M19</f>
        <v>84</v>
      </c>
      <c r="Q19" s="20">
        <f>$D19*攻击分赃比!O19*开放指数!N19</f>
        <v>105</v>
      </c>
      <c r="R19" s="20">
        <f>$D19*攻击分赃比!P19*开放指数!O19</f>
        <v>126</v>
      </c>
      <c r="S19" s="20">
        <f>$D19*攻击分赃比!Q19*开放指数!P19</f>
        <v>147</v>
      </c>
      <c r="T19" s="20">
        <f>$D19*攻击分赃比!R19*开放指数!Q19</f>
        <v>0</v>
      </c>
      <c r="U19" s="20">
        <f>$D19*攻击分赃比!S19*开放指数!R19</f>
        <v>12.6</v>
      </c>
      <c r="V19" s="20">
        <f>$D19*攻击分赃比!T19*开放指数!S19</f>
        <v>0</v>
      </c>
      <c r="W19" s="20">
        <f>$D19*攻击分赃比!U19*开放指数!T19</f>
        <v>2.1</v>
      </c>
      <c r="X19" s="21">
        <f>攻击分赃比!V19*开放指数!U19</f>
        <v>0</v>
      </c>
      <c r="Y19" s="21">
        <f>攻击分赃比!W19*开放指数!V19</f>
        <v>0</v>
      </c>
      <c r="Z19" s="21">
        <f>攻击分赃比!X19*开放指数!W19</f>
        <v>0</v>
      </c>
      <c r="AA19" s="21">
        <f>攻击分赃比!Y19*开放指数!X19</f>
        <v>0</v>
      </c>
      <c r="AB19" s="21">
        <f>攻击分赃比!Z19*开放指数!Y19</f>
        <v>0</v>
      </c>
      <c r="AC19" s="20">
        <f>$D19*攻击分赃比!AB19*开放指数!Z19</f>
        <v>42</v>
      </c>
      <c r="AD19" s="20">
        <f>$D19*攻击分赃比!AC19*开放指数!AA19</f>
        <v>50.4</v>
      </c>
      <c r="AE19" s="20">
        <f>$D19*攻击分赃比!AD19*开放指数!AB19</f>
        <v>63</v>
      </c>
      <c r="AF19" s="20">
        <f>$D19*攻击分赃比!AE19*开放指数!AC19</f>
        <v>84</v>
      </c>
      <c r="AG19" s="20">
        <f>$D19*攻击分赃比!AF19*开放指数!AD19</f>
        <v>105</v>
      </c>
      <c r="AH19" s="20">
        <f>$D19*攻击分赃比!AG19*开放指数!AE19</f>
        <v>0</v>
      </c>
      <c r="AI19" s="20">
        <f>$D19*攻击分赃比!AH19*开放指数!AF19</f>
        <v>8.4</v>
      </c>
      <c r="AJ19" s="20">
        <f>$D19*攻击分赃比!AI19*开放指数!AG19</f>
        <v>0</v>
      </c>
      <c r="AK19" s="20">
        <f>$D19*攻击分赃比!AJ19*开放指数!AH19</f>
        <v>1.26</v>
      </c>
      <c r="AL19" s="20">
        <f>$D19*攻击分赃比!AL19*开放指数!AI19</f>
        <v>0</v>
      </c>
      <c r="AM19" s="21">
        <f>攻击分赃比!AM19*开放指数!AJ19</f>
        <v>0</v>
      </c>
      <c r="AN19" s="21">
        <f>攻击分赃比!AN19*开放指数!AK19</f>
        <v>0</v>
      </c>
      <c r="AO19" s="21">
        <f>攻击分赃比!AO19*开放指数!AL19</f>
        <v>0</v>
      </c>
      <c r="AP19" s="21">
        <f>攻击分赃比!AP19*开放指数!AM19</f>
        <v>0</v>
      </c>
      <c r="AQ19" s="21">
        <f>攻击分赃比!AQ19*开放指数!AN19</f>
        <v>0</v>
      </c>
      <c r="AR19" s="20">
        <f>$D19*攻击分赃比!AS19*开放指数!AO19</f>
        <v>8.4</v>
      </c>
      <c r="AS19" s="20">
        <f t="shared" si="0"/>
        <v>155.4</v>
      </c>
      <c r="AT19" s="20">
        <f t="shared" si="1"/>
        <v>496.96</v>
      </c>
      <c r="AW19" s="20">
        <f t="shared" si="2"/>
        <v>212.2</v>
      </c>
      <c r="AX19" s="20">
        <f t="shared" si="3"/>
        <v>161.69999999999999</v>
      </c>
      <c r="AY19" s="20">
        <f t="shared" si="5"/>
        <v>114.66000000000001</v>
      </c>
      <c r="AZ19" s="20">
        <f t="shared" si="6"/>
        <v>0</v>
      </c>
      <c r="BA19" s="20">
        <f t="shared" si="7"/>
        <v>8.4</v>
      </c>
      <c r="BB19" s="73">
        <f t="shared" si="4"/>
        <v>11.832380952380952</v>
      </c>
    </row>
    <row r="20" spans="1:54" s="20" customFormat="1">
      <c r="A20" s="46">
        <v>18</v>
      </c>
      <c r="B20" s="51">
        <f t="shared" si="9"/>
        <v>2</v>
      </c>
      <c r="C20" s="9">
        <f t="shared" si="8"/>
        <v>44</v>
      </c>
      <c r="D20" s="20">
        <f t="shared" si="10"/>
        <v>44</v>
      </c>
      <c r="E20" s="20">
        <f>$D20*攻击分赃比!B20*开放指数!B20</f>
        <v>52.8</v>
      </c>
      <c r="F20" s="20">
        <f>$D20*攻击分赃比!C20*开放指数!C20</f>
        <v>66</v>
      </c>
      <c r="G20" s="20">
        <f>$D20*攻击分赃比!D20*开放指数!D20</f>
        <v>88</v>
      </c>
      <c r="H20" s="20">
        <f>$D20*攻击分赃比!E20*开放指数!E20</f>
        <v>110</v>
      </c>
      <c r="I20" s="20">
        <f t="shared" si="12"/>
        <v>19</v>
      </c>
      <c r="J20" s="20">
        <f>$D20*攻击分赃比!G20*开放指数!G20</f>
        <v>13.2</v>
      </c>
      <c r="K20" s="20">
        <f>$D20*攻击分赃比!H20*开放指数!H20</f>
        <v>26.4</v>
      </c>
      <c r="L20" s="20">
        <f>$D20*攻击分赃比!I20*开放指数!I20</f>
        <v>0</v>
      </c>
      <c r="M20" s="20">
        <f>$D20*攻击分赃比!J20*开放指数!J20</f>
        <v>0</v>
      </c>
      <c r="N20" s="20">
        <f>$D20*攻击分赃比!K20*开放指数!K20</f>
        <v>52.8</v>
      </c>
      <c r="O20" s="20">
        <f>$D20*攻击分赃比!M20*开放指数!L20</f>
        <v>66</v>
      </c>
      <c r="P20" s="20">
        <f>$D20*攻击分赃比!N20*开放指数!M20</f>
        <v>88</v>
      </c>
      <c r="Q20" s="20">
        <f>$D20*攻击分赃比!O20*开放指数!N20</f>
        <v>110</v>
      </c>
      <c r="R20" s="20">
        <f>$D20*攻击分赃比!P20*开放指数!O20</f>
        <v>132</v>
      </c>
      <c r="S20" s="20">
        <f>$D20*攻击分赃比!Q20*开放指数!P20</f>
        <v>154</v>
      </c>
      <c r="T20" s="20">
        <f>$D20*攻击分赃比!R20*开放指数!Q20</f>
        <v>0</v>
      </c>
      <c r="U20" s="20">
        <f>$D20*攻击分赃比!S20*开放指数!R20</f>
        <v>13.2</v>
      </c>
      <c r="V20" s="20">
        <f>$D20*攻击分赃比!T20*开放指数!S20</f>
        <v>0</v>
      </c>
      <c r="W20" s="20">
        <f>$D20*攻击分赃比!U20*开放指数!T20</f>
        <v>2.2000000000000002</v>
      </c>
      <c r="X20" s="21">
        <f>攻击分赃比!V20*开放指数!U20</f>
        <v>0</v>
      </c>
      <c r="Y20" s="21">
        <f>攻击分赃比!W20*开放指数!V20</f>
        <v>0</v>
      </c>
      <c r="Z20" s="21">
        <f>攻击分赃比!X20*开放指数!W20</f>
        <v>0</v>
      </c>
      <c r="AA20" s="21">
        <f>攻击分赃比!Y20*开放指数!X20</f>
        <v>0</v>
      </c>
      <c r="AB20" s="21">
        <f>攻击分赃比!Z20*开放指数!Y20</f>
        <v>0</v>
      </c>
      <c r="AC20" s="20">
        <f>$D20*攻击分赃比!AB20*开放指数!Z20</f>
        <v>44</v>
      </c>
      <c r="AD20" s="20">
        <f>$D20*攻击分赃比!AC20*开放指数!AA20</f>
        <v>52.8</v>
      </c>
      <c r="AE20" s="20">
        <f>$D20*攻击分赃比!AD20*开放指数!AB20</f>
        <v>66</v>
      </c>
      <c r="AF20" s="20">
        <f>$D20*攻击分赃比!AE20*开放指数!AC20</f>
        <v>88</v>
      </c>
      <c r="AG20" s="20">
        <f>$D20*攻击分赃比!AF20*开放指数!AD20</f>
        <v>110</v>
      </c>
      <c r="AH20" s="20">
        <f>$D20*攻击分赃比!AG20*开放指数!AE20</f>
        <v>0</v>
      </c>
      <c r="AI20" s="20">
        <f>$D20*攻击分赃比!AH20*开放指数!AF20</f>
        <v>8.8000000000000007</v>
      </c>
      <c r="AJ20" s="20">
        <f>$D20*攻击分赃比!AI20*开放指数!AG20</f>
        <v>0</v>
      </c>
      <c r="AK20" s="20">
        <f>$D20*攻击分赃比!AJ20*开放指数!AH20</f>
        <v>1.3199999999999998</v>
      </c>
      <c r="AL20" s="20">
        <f>$D20*攻击分赃比!AL20*开放指数!AI20</f>
        <v>0</v>
      </c>
      <c r="AM20" s="21">
        <f>攻击分赃比!AM20*开放指数!AJ20</f>
        <v>0</v>
      </c>
      <c r="AN20" s="21">
        <f>攻击分赃比!AN20*开放指数!AK20</f>
        <v>0</v>
      </c>
      <c r="AO20" s="21">
        <f>攻击分赃比!AO20*开放指数!AL20</f>
        <v>0</v>
      </c>
      <c r="AP20" s="21">
        <f>攻击分赃比!AP20*开放指数!AM20</f>
        <v>0</v>
      </c>
      <c r="AQ20" s="21">
        <f>攻击分赃比!AQ20*开放指数!AN20</f>
        <v>0</v>
      </c>
      <c r="AR20" s="20">
        <f>$D20*攻击分赃比!AS20*开放指数!AO20</f>
        <v>8.8000000000000007</v>
      </c>
      <c r="AS20" s="20">
        <f t="shared" si="0"/>
        <v>162.80000000000001</v>
      </c>
      <c r="AT20" s="20">
        <f t="shared" si="1"/>
        <v>519.71999999999991</v>
      </c>
      <c r="AW20" s="20">
        <f t="shared" si="2"/>
        <v>221.39999999999998</v>
      </c>
      <c r="AX20" s="20">
        <f t="shared" si="3"/>
        <v>169.39999999999998</v>
      </c>
      <c r="AY20" s="20">
        <f t="shared" si="5"/>
        <v>120.11999999999999</v>
      </c>
      <c r="AZ20" s="20">
        <f t="shared" si="6"/>
        <v>0</v>
      </c>
      <c r="BA20" s="20">
        <f t="shared" si="7"/>
        <v>8.8000000000000007</v>
      </c>
      <c r="BB20" s="73">
        <f t="shared" si="4"/>
        <v>11.811818181818181</v>
      </c>
    </row>
    <row r="21" spans="1:54" s="20" customFormat="1">
      <c r="A21" s="46">
        <v>19</v>
      </c>
      <c r="B21" s="51">
        <f t="shared" si="9"/>
        <v>2</v>
      </c>
      <c r="C21" s="9">
        <f t="shared" si="8"/>
        <v>46</v>
      </c>
      <c r="D21" s="20">
        <f t="shared" si="10"/>
        <v>46</v>
      </c>
      <c r="E21" s="20">
        <f>$D21*攻击分赃比!B21*开放指数!B21</f>
        <v>55.199999999999996</v>
      </c>
      <c r="F21" s="20">
        <f>$D21*攻击分赃比!C21*开放指数!C21</f>
        <v>69</v>
      </c>
      <c r="G21" s="20">
        <f>$D21*攻击分赃比!D21*开放指数!D21</f>
        <v>92</v>
      </c>
      <c r="H21" s="20">
        <f>$D21*攻击分赃比!E21*开放指数!E21</f>
        <v>115</v>
      </c>
      <c r="I21" s="20">
        <f t="shared" si="12"/>
        <v>19</v>
      </c>
      <c r="J21" s="20">
        <f>$D21*攻击分赃比!G21*开放指数!G21</f>
        <v>13.799999999999999</v>
      </c>
      <c r="K21" s="20">
        <f>$D21*攻击分赃比!H21*开放指数!H21</f>
        <v>27.599999999999998</v>
      </c>
      <c r="L21" s="20">
        <f>$D21*攻击分赃比!I21*开放指数!I21</f>
        <v>0</v>
      </c>
      <c r="M21" s="20">
        <f>$D21*攻击分赃比!J21*开放指数!J21</f>
        <v>0</v>
      </c>
      <c r="N21" s="20">
        <f>$D21*攻击分赃比!K21*开放指数!K21</f>
        <v>55.199999999999996</v>
      </c>
      <c r="O21" s="20">
        <f>$D21*攻击分赃比!M21*开放指数!L21</f>
        <v>69</v>
      </c>
      <c r="P21" s="20">
        <f>$D21*攻击分赃比!N21*开放指数!M21</f>
        <v>92</v>
      </c>
      <c r="Q21" s="20">
        <f>$D21*攻击分赃比!O21*开放指数!N21</f>
        <v>115</v>
      </c>
      <c r="R21" s="20">
        <f>$D21*攻击分赃比!P21*开放指数!O21</f>
        <v>138</v>
      </c>
      <c r="S21" s="20">
        <f>$D21*攻击分赃比!Q21*开放指数!P21</f>
        <v>161</v>
      </c>
      <c r="T21" s="20">
        <f>$D21*攻击分赃比!R21*开放指数!Q21</f>
        <v>0</v>
      </c>
      <c r="U21" s="20">
        <f>$D21*攻击分赃比!S21*开放指数!R21</f>
        <v>13.799999999999999</v>
      </c>
      <c r="V21" s="20">
        <f>$D21*攻击分赃比!T21*开放指数!S21</f>
        <v>0</v>
      </c>
      <c r="W21" s="20">
        <f>$D21*攻击分赃比!U21*开放指数!T21</f>
        <v>2.3000000000000003</v>
      </c>
      <c r="X21" s="21">
        <f>攻击分赃比!V21*开放指数!U21</f>
        <v>0</v>
      </c>
      <c r="Y21" s="21">
        <f>攻击分赃比!W21*开放指数!V21</f>
        <v>0</v>
      </c>
      <c r="Z21" s="21">
        <f>攻击分赃比!X21*开放指数!W21</f>
        <v>0</v>
      </c>
      <c r="AA21" s="21">
        <f>攻击分赃比!Y21*开放指数!X21</f>
        <v>0</v>
      </c>
      <c r="AB21" s="21">
        <f>攻击分赃比!Z21*开放指数!Y21</f>
        <v>0</v>
      </c>
      <c r="AC21" s="20">
        <f>$D21*攻击分赃比!AB21*开放指数!Z21</f>
        <v>46</v>
      </c>
      <c r="AD21" s="20">
        <f>$D21*攻击分赃比!AC21*开放指数!AA21</f>
        <v>55.199999999999996</v>
      </c>
      <c r="AE21" s="20">
        <f>$D21*攻击分赃比!AD21*开放指数!AB21</f>
        <v>69</v>
      </c>
      <c r="AF21" s="20">
        <f>$D21*攻击分赃比!AE21*开放指数!AC21</f>
        <v>92</v>
      </c>
      <c r="AG21" s="20">
        <f>$D21*攻击分赃比!AF21*开放指数!AD21</f>
        <v>115</v>
      </c>
      <c r="AH21" s="20">
        <f>$D21*攻击分赃比!AG21*开放指数!AE21</f>
        <v>0</v>
      </c>
      <c r="AI21" s="20">
        <f>$D21*攻击分赃比!AH21*开放指数!AF21</f>
        <v>9.2000000000000011</v>
      </c>
      <c r="AJ21" s="20">
        <f>$D21*攻击分赃比!AI21*开放指数!AG21</f>
        <v>0</v>
      </c>
      <c r="AK21" s="20">
        <f>$D21*攻击分赃比!AJ21*开放指数!AH21</f>
        <v>1.38</v>
      </c>
      <c r="AL21" s="20">
        <f>$D21*攻击分赃比!AL21*开放指数!AI21</f>
        <v>0</v>
      </c>
      <c r="AM21" s="21">
        <f>攻击分赃比!AM21*开放指数!AJ21</f>
        <v>0</v>
      </c>
      <c r="AN21" s="21">
        <f>攻击分赃比!AN21*开放指数!AK21</f>
        <v>0</v>
      </c>
      <c r="AO21" s="21">
        <f>攻击分赃比!AO21*开放指数!AL21</f>
        <v>0</v>
      </c>
      <c r="AP21" s="21">
        <f>攻击分赃比!AP21*开放指数!AM21</f>
        <v>0</v>
      </c>
      <c r="AQ21" s="21">
        <f>攻击分赃比!AQ21*开放指数!AN21</f>
        <v>0</v>
      </c>
      <c r="AR21" s="20">
        <f>$D21*攻击分赃比!AS21*开放指数!AO21</f>
        <v>9.2000000000000011</v>
      </c>
      <c r="AS21" s="20">
        <f t="shared" si="0"/>
        <v>170.2</v>
      </c>
      <c r="AT21" s="20">
        <f t="shared" si="1"/>
        <v>542.48000000000013</v>
      </c>
      <c r="AW21" s="20">
        <f t="shared" si="2"/>
        <v>230.6</v>
      </c>
      <c r="AX21" s="20">
        <f t="shared" si="3"/>
        <v>177.10000000000002</v>
      </c>
      <c r="AY21" s="20">
        <f t="shared" si="5"/>
        <v>125.58</v>
      </c>
      <c r="AZ21" s="20">
        <f t="shared" si="6"/>
        <v>0</v>
      </c>
      <c r="BA21" s="20">
        <f t="shared" si="7"/>
        <v>9.2000000000000011</v>
      </c>
      <c r="BB21" s="73">
        <f t="shared" si="4"/>
        <v>11.793043478260872</v>
      </c>
    </row>
    <row r="22" spans="1:54" s="20" customFormat="1">
      <c r="A22" s="46">
        <v>20</v>
      </c>
      <c r="B22" s="51">
        <f t="shared" si="9"/>
        <v>2</v>
      </c>
      <c r="C22" s="9">
        <f t="shared" si="8"/>
        <v>48</v>
      </c>
      <c r="D22" s="20">
        <f t="shared" si="10"/>
        <v>48</v>
      </c>
      <c r="E22" s="20">
        <f>$D22*攻击分赃比!B22*开放指数!B22</f>
        <v>57.599999999999994</v>
      </c>
      <c r="F22" s="20">
        <f>$D22*攻击分赃比!C22*开放指数!C22</f>
        <v>72</v>
      </c>
      <c r="G22" s="20">
        <f>$D22*攻击分赃比!D22*开放指数!D22</f>
        <v>96</v>
      </c>
      <c r="H22" s="20">
        <f>$D22*攻击分赃比!E22*开放指数!E22</f>
        <v>120</v>
      </c>
      <c r="I22" s="20">
        <f>$D22*攻击分赃比!F22*开放指数!F22</f>
        <v>24</v>
      </c>
      <c r="J22" s="20">
        <f>$D22*攻击分赃比!G22*开放指数!G22</f>
        <v>14.399999999999999</v>
      </c>
      <c r="K22" s="20">
        <f>$D22*攻击分赃比!H22*开放指数!H22</f>
        <v>28.799999999999997</v>
      </c>
      <c r="L22" s="20">
        <f>$D22*攻击分赃比!I22*开放指数!I22</f>
        <v>0</v>
      </c>
      <c r="M22" s="20">
        <f>$D22*攻击分赃比!J22*开放指数!J22</f>
        <v>0</v>
      </c>
      <c r="N22" s="20">
        <f>$D22*攻击分赃比!K22*开放指数!K22</f>
        <v>57.599999999999994</v>
      </c>
      <c r="O22" s="20">
        <f>$D22*攻击分赃比!M22*开放指数!L22</f>
        <v>72</v>
      </c>
      <c r="P22" s="20">
        <f>$D22*攻击分赃比!N22*开放指数!M22</f>
        <v>96</v>
      </c>
      <c r="Q22" s="20">
        <f>$D22*攻击分赃比!O22*开放指数!N22</f>
        <v>120</v>
      </c>
      <c r="R22" s="20">
        <f>$D22*攻击分赃比!P22*开放指数!O22</f>
        <v>144</v>
      </c>
      <c r="S22" s="20">
        <f>$D22*攻击分赃比!Q22*开放指数!P22</f>
        <v>168</v>
      </c>
      <c r="T22" s="20">
        <f>$D22*攻击分赃比!R22*开放指数!Q22</f>
        <v>0</v>
      </c>
      <c r="U22" s="20">
        <f>$D22*攻击分赃比!S22*开放指数!R22</f>
        <v>14.399999999999999</v>
      </c>
      <c r="V22" s="20">
        <f>$D22*攻击分赃比!T22*开放指数!S22</f>
        <v>0</v>
      </c>
      <c r="W22" s="20">
        <f>$D22*攻击分赃比!U22*开放指数!T22</f>
        <v>2.4000000000000004</v>
      </c>
      <c r="X22" s="21">
        <f>攻击分赃比!V22*开放指数!U22</f>
        <v>0</v>
      </c>
      <c r="Y22" s="21">
        <f>攻击分赃比!W22*开放指数!V22</f>
        <v>0</v>
      </c>
      <c r="Z22" s="21">
        <f>攻击分赃比!X22*开放指数!W22</f>
        <v>0</v>
      </c>
      <c r="AA22" s="21">
        <f>攻击分赃比!Y22*开放指数!X22</f>
        <v>0</v>
      </c>
      <c r="AB22" s="21">
        <f>攻击分赃比!Z22*开放指数!Y22</f>
        <v>0</v>
      </c>
      <c r="AC22" s="20">
        <f>$D22*攻击分赃比!AB22*开放指数!Z22</f>
        <v>48</v>
      </c>
      <c r="AD22" s="20">
        <f>$D22*攻击分赃比!AC22*开放指数!AA22</f>
        <v>57.599999999999994</v>
      </c>
      <c r="AE22" s="20">
        <f>$D22*攻击分赃比!AD22*开放指数!AB22</f>
        <v>72</v>
      </c>
      <c r="AF22" s="20">
        <f>$D22*攻击分赃比!AE22*开放指数!AC22</f>
        <v>96</v>
      </c>
      <c r="AG22" s="20">
        <f>$D22*攻击分赃比!AF22*开放指数!AD22</f>
        <v>120</v>
      </c>
      <c r="AH22" s="20">
        <f>$D22*攻击分赃比!AG22*开放指数!AE22</f>
        <v>0</v>
      </c>
      <c r="AI22" s="20">
        <f>$D22*攻击分赃比!AH22*开放指数!AF22</f>
        <v>9.6000000000000014</v>
      </c>
      <c r="AJ22" s="20">
        <f>$D22*攻击分赃比!AI22*开放指数!AG22</f>
        <v>0</v>
      </c>
      <c r="AK22" s="20">
        <f>$D22*攻击分赃比!AJ22*开放指数!AH22</f>
        <v>1.44</v>
      </c>
      <c r="AL22" s="20">
        <f>$D22*攻击分赃比!AL22*开放指数!AI22</f>
        <v>0</v>
      </c>
      <c r="AM22" s="21">
        <f>攻击分赃比!AM22*开放指数!AJ22</f>
        <v>0</v>
      </c>
      <c r="AN22" s="21">
        <f>攻击分赃比!AN22*开放指数!AK22</f>
        <v>0</v>
      </c>
      <c r="AO22" s="21">
        <f>攻击分赃比!AO22*开放指数!AL22</f>
        <v>0</v>
      </c>
      <c r="AP22" s="21">
        <f>攻击分赃比!AP22*开放指数!AM22</f>
        <v>0</v>
      </c>
      <c r="AQ22" s="21">
        <f>攻击分赃比!AQ22*开放指数!AN22</f>
        <v>0</v>
      </c>
      <c r="AR22" s="20">
        <f>$D22*攻击分赃比!AS22*开放指数!AO22</f>
        <v>9.6000000000000014</v>
      </c>
      <c r="AS22" s="20">
        <f t="shared" si="0"/>
        <v>177.6</v>
      </c>
      <c r="AT22" s="20">
        <f t="shared" si="1"/>
        <v>570.24</v>
      </c>
      <c r="AW22" s="20">
        <f t="shared" si="2"/>
        <v>244.79999999999998</v>
      </c>
      <c r="AX22" s="20">
        <f t="shared" si="3"/>
        <v>184.8</v>
      </c>
      <c r="AY22" s="20">
        <f t="shared" si="5"/>
        <v>131.04</v>
      </c>
      <c r="AZ22" s="20">
        <f t="shared" si="6"/>
        <v>0</v>
      </c>
      <c r="BA22" s="20">
        <f t="shared" si="7"/>
        <v>9.6000000000000014</v>
      </c>
      <c r="BB22" s="73">
        <f t="shared" si="4"/>
        <v>11.88</v>
      </c>
    </row>
    <row r="23" spans="1:54" s="20" customFormat="1">
      <c r="A23" s="46">
        <v>21</v>
      </c>
      <c r="B23" s="51">
        <f t="shared" si="9"/>
        <v>2</v>
      </c>
      <c r="C23" s="9">
        <f t="shared" si="8"/>
        <v>50</v>
      </c>
      <c r="D23" s="20">
        <f t="shared" si="10"/>
        <v>50</v>
      </c>
      <c r="E23" s="20">
        <f>$D23*攻击分赃比!B23*开放指数!B23</f>
        <v>60</v>
      </c>
      <c r="F23" s="20">
        <f>$D23*攻击分赃比!C23*开放指数!C23</f>
        <v>75</v>
      </c>
      <c r="G23" s="20">
        <f>$D23*攻击分赃比!D23*开放指数!D23</f>
        <v>100</v>
      </c>
      <c r="H23" s="20">
        <f>$D23*攻击分赃比!E23*开放指数!E23</f>
        <v>125</v>
      </c>
      <c r="I23" s="20">
        <f t="shared" ref="I23" si="14">I22</f>
        <v>24</v>
      </c>
      <c r="J23" s="20">
        <f>$D23*攻击分赃比!G23*开放指数!G23</f>
        <v>15</v>
      </c>
      <c r="K23" s="20">
        <f>$D23*攻击分赃比!H23*开放指数!H23</f>
        <v>30</v>
      </c>
      <c r="L23" s="20">
        <f>$D23*攻击分赃比!I23*开放指数!I23</f>
        <v>0</v>
      </c>
      <c r="M23" s="20">
        <f>$D23*攻击分赃比!J23*开放指数!J23</f>
        <v>0</v>
      </c>
      <c r="N23" s="20">
        <f>$D23*攻击分赃比!K23*开放指数!K23</f>
        <v>60</v>
      </c>
      <c r="O23" s="20">
        <f>$D23*攻击分赃比!M23*开放指数!L23</f>
        <v>75</v>
      </c>
      <c r="P23" s="20">
        <f>$D23*攻击分赃比!N23*开放指数!M23</f>
        <v>100</v>
      </c>
      <c r="Q23" s="20">
        <f>$D23*攻击分赃比!O23*开放指数!N23</f>
        <v>125</v>
      </c>
      <c r="R23" s="20">
        <f>$D23*攻击分赃比!P23*开放指数!O23</f>
        <v>150</v>
      </c>
      <c r="S23" s="20">
        <f>$D23*攻击分赃比!Q23*开放指数!P23</f>
        <v>175</v>
      </c>
      <c r="T23" s="20">
        <f>$D23*攻击分赃比!R23*开放指数!Q23</f>
        <v>0</v>
      </c>
      <c r="U23" s="20">
        <f>$D23*攻击分赃比!S23*开放指数!R23</f>
        <v>15</v>
      </c>
      <c r="V23" s="20">
        <f>$D23*攻击分赃比!T23*开放指数!S23</f>
        <v>0</v>
      </c>
      <c r="W23" s="20">
        <f>$D23*攻击分赃比!U23*开放指数!T23</f>
        <v>2.5</v>
      </c>
      <c r="X23" s="21">
        <f>攻击分赃比!V23*开放指数!U23</f>
        <v>0</v>
      </c>
      <c r="Y23" s="21">
        <f>攻击分赃比!W23*开放指数!V23</f>
        <v>0</v>
      </c>
      <c r="Z23" s="21">
        <f>攻击分赃比!X23*开放指数!W23</f>
        <v>0</v>
      </c>
      <c r="AA23" s="21">
        <f>攻击分赃比!Y23*开放指数!X23</f>
        <v>0</v>
      </c>
      <c r="AB23" s="21">
        <f>攻击分赃比!Z23*开放指数!Y23</f>
        <v>0</v>
      </c>
      <c r="AC23" s="20">
        <f>$D23*攻击分赃比!AB23*开放指数!Z23</f>
        <v>50</v>
      </c>
      <c r="AD23" s="20">
        <f>$D23*攻击分赃比!AC23*开放指数!AA23</f>
        <v>60</v>
      </c>
      <c r="AE23" s="20">
        <f>$D23*攻击分赃比!AD23*开放指数!AB23</f>
        <v>75</v>
      </c>
      <c r="AF23" s="20">
        <f>$D23*攻击分赃比!AE23*开放指数!AC23</f>
        <v>100</v>
      </c>
      <c r="AG23" s="20">
        <f>$D23*攻击分赃比!AF23*开放指数!AD23</f>
        <v>125</v>
      </c>
      <c r="AH23" s="20">
        <f>$D23*攻击分赃比!AG23*开放指数!AE23</f>
        <v>0</v>
      </c>
      <c r="AI23" s="20">
        <f>$D23*攻击分赃比!AH23*开放指数!AF23</f>
        <v>10</v>
      </c>
      <c r="AJ23" s="20">
        <f>$D23*攻击分赃比!AI23*开放指数!AG23</f>
        <v>0</v>
      </c>
      <c r="AK23" s="20">
        <f>$D23*攻击分赃比!AJ23*开放指数!AH23</f>
        <v>1.5</v>
      </c>
      <c r="AL23" s="20">
        <f>$D23*攻击分赃比!AL23*开放指数!AI23</f>
        <v>0</v>
      </c>
      <c r="AM23" s="21">
        <f>攻击分赃比!AM23*开放指数!AJ23</f>
        <v>0</v>
      </c>
      <c r="AN23" s="21">
        <f>攻击分赃比!AN23*开放指数!AK23</f>
        <v>0</v>
      </c>
      <c r="AO23" s="21">
        <f>攻击分赃比!AO23*开放指数!AL23</f>
        <v>0</v>
      </c>
      <c r="AP23" s="21">
        <f>攻击分赃比!AP23*开放指数!AM23</f>
        <v>0</v>
      </c>
      <c r="AQ23" s="21">
        <f>攻击分赃比!AQ23*开放指数!AN23</f>
        <v>0</v>
      </c>
      <c r="AR23" s="20">
        <f>$D23*攻击分赃比!AS23*开放指数!AO23</f>
        <v>10</v>
      </c>
      <c r="AS23" s="20">
        <f t="shared" si="0"/>
        <v>185</v>
      </c>
      <c r="AT23" s="20">
        <f t="shared" si="1"/>
        <v>593</v>
      </c>
      <c r="AW23" s="20">
        <f t="shared" si="2"/>
        <v>254</v>
      </c>
      <c r="AX23" s="20">
        <f t="shared" si="3"/>
        <v>192.5</v>
      </c>
      <c r="AY23" s="20">
        <f t="shared" si="5"/>
        <v>136.5</v>
      </c>
      <c r="AZ23" s="20">
        <f t="shared" si="6"/>
        <v>0</v>
      </c>
      <c r="BA23" s="20">
        <f t="shared" si="7"/>
        <v>10</v>
      </c>
      <c r="BB23" s="73">
        <f t="shared" si="4"/>
        <v>11.86</v>
      </c>
    </row>
    <row r="24" spans="1:54" s="20" customFormat="1">
      <c r="A24" s="46">
        <v>22</v>
      </c>
      <c r="B24" s="51">
        <f t="shared" si="9"/>
        <v>2</v>
      </c>
      <c r="C24" s="9">
        <f t="shared" si="8"/>
        <v>52</v>
      </c>
      <c r="D24" s="20">
        <f t="shared" si="10"/>
        <v>52</v>
      </c>
      <c r="E24" s="20">
        <f>$D24*攻击分赃比!B24*开放指数!B24</f>
        <v>62.4</v>
      </c>
      <c r="F24" s="20">
        <f>$D24*攻击分赃比!C24*开放指数!C24</f>
        <v>78</v>
      </c>
      <c r="G24" s="20">
        <f>$D24*攻击分赃比!D24*开放指数!D24</f>
        <v>104</v>
      </c>
      <c r="H24" s="20">
        <f>$D24*攻击分赃比!E24*开放指数!E24</f>
        <v>130</v>
      </c>
      <c r="I24" s="20">
        <f t="shared" si="12"/>
        <v>24</v>
      </c>
      <c r="J24" s="20">
        <f>$D24*攻击分赃比!G24*开放指数!G24</f>
        <v>15.6</v>
      </c>
      <c r="K24" s="20">
        <f>$D24*攻击分赃比!H24*开放指数!H24</f>
        <v>31.2</v>
      </c>
      <c r="L24" s="20">
        <f>$D24*攻击分赃比!I24*开放指数!I24</f>
        <v>0</v>
      </c>
      <c r="M24" s="20">
        <f>$D24*攻击分赃比!J24*开放指数!J24</f>
        <v>0</v>
      </c>
      <c r="N24" s="20">
        <f>$D24*攻击分赃比!K24*开放指数!K24</f>
        <v>62.4</v>
      </c>
      <c r="O24" s="20">
        <f>$D24*攻击分赃比!M24*开放指数!L24</f>
        <v>78</v>
      </c>
      <c r="P24" s="20">
        <f>$D24*攻击分赃比!N24*开放指数!M24</f>
        <v>104</v>
      </c>
      <c r="Q24" s="20">
        <f>$D24*攻击分赃比!O24*开放指数!N24</f>
        <v>130</v>
      </c>
      <c r="R24" s="20">
        <f>$D24*攻击分赃比!P24*开放指数!O24</f>
        <v>156</v>
      </c>
      <c r="S24" s="20">
        <f>$D24*攻击分赃比!Q24*开放指数!P24</f>
        <v>182</v>
      </c>
      <c r="T24" s="20">
        <f>$D24*攻击分赃比!R24*开放指数!Q24</f>
        <v>0</v>
      </c>
      <c r="U24" s="20">
        <f>$D24*攻击分赃比!S24*开放指数!R24</f>
        <v>15.6</v>
      </c>
      <c r="V24" s="20">
        <f>$D24*攻击分赃比!T24*开放指数!S24</f>
        <v>0</v>
      </c>
      <c r="W24" s="20">
        <f>$D24*攻击分赃比!U24*开放指数!T24</f>
        <v>2.6</v>
      </c>
      <c r="X24" s="21">
        <f>攻击分赃比!V24*开放指数!U24</f>
        <v>0</v>
      </c>
      <c r="Y24" s="21">
        <f>攻击分赃比!W24*开放指数!V24</f>
        <v>0</v>
      </c>
      <c r="Z24" s="21">
        <f>攻击分赃比!X24*开放指数!W24</f>
        <v>0</v>
      </c>
      <c r="AA24" s="21">
        <f>攻击分赃比!Y24*开放指数!X24</f>
        <v>0</v>
      </c>
      <c r="AB24" s="21">
        <f>攻击分赃比!Z24*开放指数!Y24</f>
        <v>0</v>
      </c>
      <c r="AC24" s="20">
        <f>$D24*攻击分赃比!AB24*开放指数!Z24</f>
        <v>52</v>
      </c>
      <c r="AD24" s="20">
        <f>$D24*攻击分赃比!AC24*开放指数!AA24</f>
        <v>62.4</v>
      </c>
      <c r="AE24" s="20">
        <f>$D24*攻击分赃比!AD24*开放指数!AB24</f>
        <v>78</v>
      </c>
      <c r="AF24" s="20">
        <f>$D24*攻击分赃比!AE24*开放指数!AC24</f>
        <v>104</v>
      </c>
      <c r="AG24" s="20">
        <f>$D24*攻击分赃比!AF24*开放指数!AD24</f>
        <v>130</v>
      </c>
      <c r="AH24" s="20">
        <f>$D24*攻击分赃比!AG24*开放指数!AE24</f>
        <v>0</v>
      </c>
      <c r="AI24" s="20">
        <f>$D24*攻击分赃比!AH24*开放指数!AF24</f>
        <v>10.4</v>
      </c>
      <c r="AJ24" s="20">
        <f>$D24*攻击分赃比!AI24*开放指数!AG24</f>
        <v>0</v>
      </c>
      <c r="AK24" s="20">
        <f>$D24*攻击分赃比!AJ24*开放指数!AH24</f>
        <v>1.56</v>
      </c>
      <c r="AL24" s="20">
        <f>$D24*攻击分赃比!AL24*开放指数!AI24</f>
        <v>0</v>
      </c>
      <c r="AM24" s="21">
        <f>攻击分赃比!AM24*开放指数!AJ24</f>
        <v>0</v>
      </c>
      <c r="AN24" s="21">
        <f>攻击分赃比!AN24*开放指数!AK24</f>
        <v>0</v>
      </c>
      <c r="AO24" s="21">
        <f>攻击分赃比!AO24*开放指数!AL24</f>
        <v>0</v>
      </c>
      <c r="AP24" s="21">
        <f>攻击分赃比!AP24*开放指数!AM24</f>
        <v>0</v>
      </c>
      <c r="AQ24" s="21">
        <f>攻击分赃比!AQ24*开放指数!AN24</f>
        <v>0</v>
      </c>
      <c r="AR24" s="20">
        <f>$D24*攻击分赃比!AS24*开放指数!AO24</f>
        <v>10.4</v>
      </c>
      <c r="AS24" s="20">
        <f t="shared" si="0"/>
        <v>192.4</v>
      </c>
      <c r="AT24" s="20">
        <f t="shared" si="1"/>
        <v>615.76</v>
      </c>
      <c r="AW24" s="20">
        <f t="shared" si="2"/>
        <v>263.2</v>
      </c>
      <c r="AX24" s="20">
        <f t="shared" si="3"/>
        <v>200.2</v>
      </c>
      <c r="AY24" s="20">
        <f t="shared" si="5"/>
        <v>141.96</v>
      </c>
      <c r="AZ24" s="20">
        <f t="shared" si="6"/>
        <v>0</v>
      </c>
      <c r="BA24" s="20">
        <f t="shared" si="7"/>
        <v>10.4</v>
      </c>
      <c r="BB24" s="73">
        <f t="shared" si="4"/>
        <v>11.841538461538461</v>
      </c>
    </row>
    <row r="25" spans="1:54" s="20" customFormat="1">
      <c r="A25" s="46">
        <v>23</v>
      </c>
      <c r="B25" s="51">
        <f t="shared" si="9"/>
        <v>2</v>
      </c>
      <c r="C25" s="9">
        <f t="shared" si="8"/>
        <v>54</v>
      </c>
      <c r="D25" s="20">
        <f t="shared" si="10"/>
        <v>54</v>
      </c>
      <c r="E25" s="20">
        <f>$D25*攻击分赃比!B25*开放指数!B25</f>
        <v>64.8</v>
      </c>
      <c r="F25" s="20">
        <f>$D25*攻击分赃比!C25*开放指数!C25</f>
        <v>81</v>
      </c>
      <c r="G25" s="20">
        <f>$D25*攻击分赃比!D25*开放指数!D25</f>
        <v>108</v>
      </c>
      <c r="H25" s="20">
        <f>$D25*攻击分赃比!E25*开放指数!E25</f>
        <v>135</v>
      </c>
      <c r="I25" s="20">
        <f t="shared" si="12"/>
        <v>24</v>
      </c>
      <c r="J25" s="20">
        <f>$D25*攻击分赃比!G25*开放指数!G25</f>
        <v>16.2</v>
      </c>
      <c r="K25" s="20">
        <f>$D25*攻击分赃比!H25*开放指数!H25</f>
        <v>32.4</v>
      </c>
      <c r="L25" s="20">
        <f>$D25*攻击分赃比!I25*开放指数!I25</f>
        <v>0</v>
      </c>
      <c r="M25" s="20">
        <f>$D25*攻击分赃比!J25*开放指数!J25</f>
        <v>0</v>
      </c>
      <c r="N25" s="20">
        <f>$D25*攻击分赃比!K25*开放指数!K25</f>
        <v>64.8</v>
      </c>
      <c r="O25" s="20">
        <f>$D25*攻击分赃比!M25*开放指数!L25</f>
        <v>81</v>
      </c>
      <c r="P25" s="20">
        <f>$D25*攻击分赃比!N25*开放指数!M25</f>
        <v>108</v>
      </c>
      <c r="Q25" s="20">
        <f>$D25*攻击分赃比!O25*开放指数!N25</f>
        <v>135</v>
      </c>
      <c r="R25" s="20">
        <f>$D25*攻击分赃比!P25*开放指数!O25</f>
        <v>162</v>
      </c>
      <c r="S25" s="20">
        <f>$D25*攻击分赃比!Q25*开放指数!P25</f>
        <v>189</v>
      </c>
      <c r="T25" s="20">
        <f>$D25*攻击分赃比!R25*开放指数!Q25</f>
        <v>0</v>
      </c>
      <c r="U25" s="20">
        <f>$D25*攻击分赃比!S25*开放指数!R25</f>
        <v>16.2</v>
      </c>
      <c r="V25" s="20">
        <f>$D25*攻击分赃比!T25*开放指数!S25</f>
        <v>0</v>
      </c>
      <c r="W25" s="20">
        <f>$D25*攻击分赃比!U25*开放指数!T25</f>
        <v>2.7</v>
      </c>
      <c r="X25" s="21">
        <f>攻击分赃比!V25*开放指数!U25</f>
        <v>0</v>
      </c>
      <c r="Y25" s="21">
        <f>攻击分赃比!W25*开放指数!V25</f>
        <v>0</v>
      </c>
      <c r="Z25" s="21">
        <f>攻击分赃比!X25*开放指数!W25</f>
        <v>0</v>
      </c>
      <c r="AA25" s="21">
        <f>攻击分赃比!Y25*开放指数!X25</f>
        <v>0</v>
      </c>
      <c r="AB25" s="21">
        <f>攻击分赃比!Z25*开放指数!Y25</f>
        <v>0</v>
      </c>
      <c r="AC25" s="20">
        <f>$D25*攻击分赃比!AB25*开放指数!Z25</f>
        <v>54</v>
      </c>
      <c r="AD25" s="20">
        <f>$D25*攻击分赃比!AC25*开放指数!AA25</f>
        <v>64.8</v>
      </c>
      <c r="AE25" s="20">
        <f>$D25*攻击分赃比!AD25*开放指数!AB25</f>
        <v>81</v>
      </c>
      <c r="AF25" s="20">
        <f>$D25*攻击分赃比!AE25*开放指数!AC25</f>
        <v>108</v>
      </c>
      <c r="AG25" s="20">
        <f>$D25*攻击分赃比!AF25*开放指数!AD25</f>
        <v>135</v>
      </c>
      <c r="AH25" s="20">
        <f>$D25*攻击分赃比!AG25*开放指数!AE25</f>
        <v>0</v>
      </c>
      <c r="AI25" s="20">
        <f>$D25*攻击分赃比!AH25*开放指数!AF25</f>
        <v>10.8</v>
      </c>
      <c r="AJ25" s="20">
        <f>$D25*攻击分赃比!AI25*开放指数!AG25</f>
        <v>0</v>
      </c>
      <c r="AK25" s="20">
        <f>$D25*攻击分赃比!AJ25*开放指数!AH25</f>
        <v>1.6199999999999999</v>
      </c>
      <c r="AL25" s="20">
        <f>$D25*攻击分赃比!AL25*开放指数!AI25</f>
        <v>0</v>
      </c>
      <c r="AM25" s="21">
        <f>攻击分赃比!AM25*开放指数!AJ25</f>
        <v>0</v>
      </c>
      <c r="AN25" s="21">
        <f>攻击分赃比!AN25*开放指数!AK25</f>
        <v>0</v>
      </c>
      <c r="AO25" s="21">
        <f>攻击分赃比!AO25*开放指数!AL25</f>
        <v>0</v>
      </c>
      <c r="AP25" s="21">
        <f>攻击分赃比!AP25*开放指数!AM25</f>
        <v>0</v>
      </c>
      <c r="AQ25" s="21">
        <f>攻击分赃比!AQ25*开放指数!AN25</f>
        <v>0</v>
      </c>
      <c r="AR25" s="20">
        <f>$D25*攻击分赃比!AS25*开放指数!AO25</f>
        <v>10.8</v>
      </c>
      <c r="AS25" s="20">
        <f t="shared" si="0"/>
        <v>199.8</v>
      </c>
      <c r="AT25" s="20">
        <f t="shared" si="1"/>
        <v>638.51999999999987</v>
      </c>
      <c r="AW25" s="20">
        <f t="shared" si="2"/>
        <v>272.39999999999998</v>
      </c>
      <c r="AX25" s="20">
        <f t="shared" si="3"/>
        <v>207.89999999999998</v>
      </c>
      <c r="AY25" s="20">
        <f t="shared" si="5"/>
        <v>147.42000000000002</v>
      </c>
      <c r="AZ25" s="20">
        <f t="shared" si="6"/>
        <v>0</v>
      </c>
      <c r="BA25" s="20">
        <f t="shared" si="7"/>
        <v>10.8</v>
      </c>
      <c r="BB25" s="73">
        <f t="shared" si="4"/>
        <v>11.824444444444442</v>
      </c>
    </row>
    <row r="26" spans="1:54" s="20" customFormat="1">
      <c r="A26" s="46">
        <v>24</v>
      </c>
      <c r="B26" s="51">
        <f t="shared" si="9"/>
        <v>2</v>
      </c>
      <c r="C26" s="9">
        <f t="shared" si="8"/>
        <v>56</v>
      </c>
      <c r="D26" s="20">
        <f t="shared" si="10"/>
        <v>56</v>
      </c>
      <c r="E26" s="20">
        <f>$D26*攻击分赃比!B26*开放指数!B26</f>
        <v>67.2</v>
      </c>
      <c r="F26" s="20">
        <f>$D26*攻击分赃比!C26*开放指数!C26</f>
        <v>84</v>
      </c>
      <c r="G26" s="20">
        <f>$D26*攻击分赃比!D26*开放指数!D26</f>
        <v>112</v>
      </c>
      <c r="H26" s="20">
        <f>$D26*攻击分赃比!E26*开放指数!E26</f>
        <v>140</v>
      </c>
      <c r="I26" s="20">
        <f t="shared" si="12"/>
        <v>24</v>
      </c>
      <c r="J26" s="20">
        <f>$D26*攻击分赃比!G26*开放指数!G26</f>
        <v>16.8</v>
      </c>
      <c r="K26" s="20">
        <f>$D26*攻击分赃比!H26*开放指数!H26</f>
        <v>33.6</v>
      </c>
      <c r="L26" s="20">
        <f>$D26*攻击分赃比!I26*开放指数!I26</f>
        <v>0</v>
      </c>
      <c r="M26" s="20">
        <f>$D26*攻击分赃比!J26*开放指数!J26</f>
        <v>0</v>
      </c>
      <c r="N26" s="20">
        <f>$D26*攻击分赃比!K26*开放指数!K26</f>
        <v>67.2</v>
      </c>
      <c r="O26" s="20">
        <f>$D26*攻击分赃比!M26*开放指数!L26</f>
        <v>84</v>
      </c>
      <c r="P26" s="20">
        <f>$D26*攻击分赃比!N26*开放指数!M26</f>
        <v>112</v>
      </c>
      <c r="Q26" s="20">
        <f>$D26*攻击分赃比!O26*开放指数!N26</f>
        <v>140</v>
      </c>
      <c r="R26" s="20">
        <f>$D26*攻击分赃比!P26*开放指数!O26</f>
        <v>168</v>
      </c>
      <c r="S26" s="20">
        <f>$D26*攻击分赃比!Q26*开放指数!P26</f>
        <v>196</v>
      </c>
      <c r="T26" s="20">
        <f>$D26*攻击分赃比!R26*开放指数!Q26</f>
        <v>0</v>
      </c>
      <c r="U26" s="20">
        <f>$D26*攻击分赃比!S26*开放指数!R26</f>
        <v>16.8</v>
      </c>
      <c r="V26" s="20">
        <f>$D26*攻击分赃比!T26*开放指数!S26</f>
        <v>0</v>
      </c>
      <c r="W26" s="20">
        <f>$D26*攻击分赃比!U26*开放指数!T26</f>
        <v>2.8000000000000003</v>
      </c>
      <c r="X26" s="21">
        <f>攻击分赃比!V26*开放指数!U26</f>
        <v>0</v>
      </c>
      <c r="Y26" s="21">
        <f>攻击分赃比!W26*开放指数!V26</f>
        <v>0</v>
      </c>
      <c r="Z26" s="21">
        <f>攻击分赃比!X26*开放指数!W26</f>
        <v>0</v>
      </c>
      <c r="AA26" s="21">
        <f>攻击分赃比!Y26*开放指数!X26</f>
        <v>0</v>
      </c>
      <c r="AB26" s="21">
        <f>攻击分赃比!Z26*开放指数!Y26</f>
        <v>0</v>
      </c>
      <c r="AC26" s="20">
        <f>$D26*攻击分赃比!AB26*开放指数!Z26</f>
        <v>56</v>
      </c>
      <c r="AD26" s="20">
        <f>$D26*攻击分赃比!AC26*开放指数!AA26</f>
        <v>67.2</v>
      </c>
      <c r="AE26" s="20">
        <f>$D26*攻击分赃比!AD26*开放指数!AB26</f>
        <v>84</v>
      </c>
      <c r="AF26" s="20">
        <f>$D26*攻击分赃比!AE26*开放指数!AC26</f>
        <v>112</v>
      </c>
      <c r="AG26" s="20">
        <f>$D26*攻击分赃比!AF26*开放指数!AD26</f>
        <v>140</v>
      </c>
      <c r="AH26" s="20">
        <f>$D26*攻击分赃比!AG26*开放指数!AE26</f>
        <v>0</v>
      </c>
      <c r="AI26" s="20">
        <f>$D26*攻击分赃比!AH26*开放指数!AF26</f>
        <v>11.200000000000001</v>
      </c>
      <c r="AJ26" s="20">
        <f>$D26*攻击分赃比!AI26*开放指数!AG26</f>
        <v>0</v>
      </c>
      <c r="AK26" s="20">
        <f>$D26*攻击分赃比!AJ26*开放指数!AH26</f>
        <v>1.68</v>
      </c>
      <c r="AL26" s="20">
        <f>$D26*攻击分赃比!AL26*开放指数!AI26</f>
        <v>0</v>
      </c>
      <c r="AM26" s="21">
        <f>攻击分赃比!AM26*开放指数!AJ26</f>
        <v>0</v>
      </c>
      <c r="AN26" s="21">
        <f>攻击分赃比!AN26*开放指数!AK26</f>
        <v>0</v>
      </c>
      <c r="AO26" s="21">
        <f>攻击分赃比!AO26*开放指数!AL26</f>
        <v>0</v>
      </c>
      <c r="AP26" s="21">
        <f>攻击分赃比!AP26*开放指数!AM26</f>
        <v>0</v>
      </c>
      <c r="AQ26" s="21">
        <f>攻击分赃比!AQ26*开放指数!AN26</f>
        <v>0</v>
      </c>
      <c r="AR26" s="20">
        <f>$D26*攻击分赃比!AS26*开放指数!AO26</f>
        <v>11.200000000000001</v>
      </c>
      <c r="AS26" s="20">
        <f t="shared" si="0"/>
        <v>207.2</v>
      </c>
      <c r="AT26" s="20">
        <f t="shared" si="1"/>
        <v>661.28000000000009</v>
      </c>
      <c r="AW26" s="20">
        <f t="shared" si="2"/>
        <v>281.60000000000002</v>
      </c>
      <c r="AX26" s="20">
        <f t="shared" si="3"/>
        <v>215.60000000000002</v>
      </c>
      <c r="AY26" s="20">
        <f t="shared" si="5"/>
        <v>152.88</v>
      </c>
      <c r="AZ26" s="20">
        <f t="shared" si="6"/>
        <v>0</v>
      </c>
      <c r="BA26" s="20">
        <f t="shared" si="7"/>
        <v>11.200000000000001</v>
      </c>
      <c r="BB26" s="73">
        <f t="shared" si="4"/>
        <v>11.80857142857143</v>
      </c>
    </row>
    <row r="27" spans="1:54" s="20" customFormat="1">
      <c r="A27" s="46">
        <v>25</v>
      </c>
      <c r="B27" s="51">
        <f t="shared" si="9"/>
        <v>2</v>
      </c>
      <c r="C27" s="9">
        <f t="shared" si="8"/>
        <v>58</v>
      </c>
      <c r="D27" s="20">
        <f t="shared" si="10"/>
        <v>58</v>
      </c>
      <c r="E27" s="20">
        <f>$D27*攻击分赃比!B27*开放指数!B27</f>
        <v>69.599999999999994</v>
      </c>
      <c r="F27" s="20">
        <f>$D27*攻击分赃比!C27*开放指数!C27</f>
        <v>87</v>
      </c>
      <c r="G27" s="20">
        <f>$D27*攻击分赃比!D27*开放指数!D27</f>
        <v>116</v>
      </c>
      <c r="H27" s="20">
        <f>$D27*攻击分赃比!E27*开放指数!E27</f>
        <v>145</v>
      </c>
      <c r="I27" s="20">
        <f>$D27*攻击分赃比!F27*开放指数!F27</f>
        <v>29</v>
      </c>
      <c r="J27" s="20">
        <f>$D27*攻击分赃比!G27*开放指数!G27</f>
        <v>17.399999999999999</v>
      </c>
      <c r="K27" s="20">
        <f>$D27*攻击分赃比!H27*开放指数!H27</f>
        <v>34.799999999999997</v>
      </c>
      <c r="L27" s="20">
        <f>$D27*攻击分赃比!I27*开放指数!I27</f>
        <v>0</v>
      </c>
      <c r="M27" s="20">
        <f>$D27*攻击分赃比!J27*开放指数!J27</f>
        <v>0</v>
      </c>
      <c r="N27" s="20">
        <f>$D27*攻击分赃比!K27*开放指数!K27</f>
        <v>69.599999999999994</v>
      </c>
      <c r="O27" s="20">
        <f>$D27*攻击分赃比!M27*开放指数!L27</f>
        <v>87</v>
      </c>
      <c r="P27" s="20">
        <f>$D27*攻击分赃比!N27*开放指数!M27</f>
        <v>116</v>
      </c>
      <c r="Q27" s="20">
        <f>$D27*攻击分赃比!O27*开放指数!N27</f>
        <v>145</v>
      </c>
      <c r="R27" s="20">
        <f>$D27*攻击分赃比!P27*开放指数!O27</f>
        <v>174</v>
      </c>
      <c r="S27" s="20">
        <f>$D27*攻击分赃比!Q27*开放指数!P27</f>
        <v>203</v>
      </c>
      <c r="T27" s="20">
        <f>$D27*攻击分赃比!R27*开放指数!Q27</f>
        <v>0</v>
      </c>
      <c r="U27" s="20">
        <f>$D27*攻击分赃比!S27*开放指数!R27</f>
        <v>17.399999999999999</v>
      </c>
      <c r="V27" s="20">
        <f>$D27*攻击分赃比!T27*开放指数!S27</f>
        <v>0</v>
      </c>
      <c r="W27" s="20">
        <f>$D27*攻击分赃比!U27*开放指数!T27</f>
        <v>2.9000000000000004</v>
      </c>
      <c r="X27" s="21">
        <f>攻击分赃比!V27*开放指数!U27</f>
        <v>0</v>
      </c>
      <c r="Y27" s="21">
        <f>攻击分赃比!W27*开放指数!V27</f>
        <v>0</v>
      </c>
      <c r="Z27" s="21">
        <f>攻击分赃比!X27*开放指数!W27</f>
        <v>0</v>
      </c>
      <c r="AA27" s="21">
        <f>攻击分赃比!Y27*开放指数!X27</f>
        <v>0</v>
      </c>
      <c r="AB27" s="21">
        <f>攻击分赃比!Z27*开放指数!Y27</f>
        <v>0</v>
      </c>
      <c r="AC27" s="20">
        <f>$D27*攻击分赃比!AB27*开放指数!Z27</f>
        <v>58</v>
      </c>
      <c r="AD27" s="20">
        <f>$D27*攻击分赃比!AC27*开放指数!AA27</f>
        <v>69.599999999999994</v>
      </c>
      <c r="AE27" s="20">
        <f>$D27*攻击分赃比!AD27*开放指数!AB27</f>
        <v>87</v>
      </c>
      <c r="AF27" s="20">
        <f>$D27*攻击分赃比!AE27*开放指数!AC27</f>
        <v>116</v>
      </c>
      <c r="AG27" s="20">
        <f>$D27*攻击分赃比!AF27*开放指数!AD27</f>
        <v>145</v>
      </c>
      <c r="AH27" s="20">
        <f>$D27*攻击分赃比!AG27*开放指数!AE27</f>
        <v>0</v>
      </c>
      <c r="AI27" s="20">
        <f>$D27*攻击分赃比!AH27*开放指数!AF27</f>
        <v>11.600000000000001</v>
      </c>
      <c r="AJ27" s="20">
        <f>$D27*攻击分赃比!AI27*开放指数!AG27</f>
        <v>0</v>
      </c>
      <c r="AK27" s="20">
        <f>$D27*攻击分赃比!AJ27*开放指数!AH27</f>
        <v>1.74</v>
      </c>
      <c r="AL27" s="20">
        <f>$D27*攻击分赃比!AL27*开放指数!AI27</f>
        <v>0</v>
      </c>
      <c r="AM27" s="21">
        <f>攻击分赃比!AM27*开放指数!AJ27</f>
        <v>0</v>
      </c>
      <c r="AN27" s="21">
        <f>攻击分赃比!AN27*开放指数!AK27</f>
        <v>0</v>
      </c>
      <c r="AO27" s="21">
        <f>攻击分赃比!AO27*开放指数!AL27</f>
        <v>0</v>
      </c>
      <c r="AP27" s="21">
        <f>攻击分赃比!AP27*开放指数!AM27</f>
        <v>0</v>
      </c>
      <c r="AQ27" s="21">
        <f>攻击分赃比!AQ27*开放指数!AN27</f>
        <v>0</v>
      </c>
      <c r="AR27" s="20">
        <f>$D27*攻击分赃比!AS27*开放指数!AO27</f>
        <v>11.600000000000001</v>
      </c>
      <c r="AS27" s="20">
        <f t="shared" si="0"/>
        <v>214.6</v>
      </c>
      <c r="AT27" s="20">
        <f t="shared" si="1"/>
        <v>689.04</v>
      </c>
      <c r="AW27" s="20">
        <f t="shared" si="2"/>
        <v>295.79999999999995</v>
      </c>
      <c r="AX27" s="20">
        <f t="shared" si="3"/>
        <v>223.3</v>
      </c>
      <c r="AY27" s="20">
        <f t="shared" si="5"/>
        <v>158.34</v>
      </c>
      <c r="AZ27" s="20">
        <f t="shared" si="6"/>
        <v>0</v>
      </c>
      <c r="BA27" s="20">
        <f t="shared" si="7"/>
        <v>11.600000000000001</v>
      </c>
      <c r="BB27" s="73">
        <f t="shared" si="4"/>
        <v>11.879999999999999</v>
      </c>
    </row>
    <row r="28" spans="1:54" s="20" customFormat="1">
      <c r="A28" s="46">
        <v>26</v>
      </c>
      <c r="B28" s="51">
        <f t="shared" si="9"/>
        <v>2</v>
      </c>
      <c r="C28" s="9">
        <f t="shared" si="8"/>
        <v>60</v>
      </c>
      <c r="D28" s="20">
        <f t="shared" si="10"/>
        <v>60</v>
      </c>
      <c r="E28" s="20">
        <f>$D28*攻击分赃比!B28*开放指数!B28</f>
        <v>72</v>
      </c>
      <c r="F28" s="20">
        <f>$D28*攻击分赃比!C28*开放指数!C28</f>
        <v>90</v>
      </c>
      <c r="G28" s="20">
        <f>$D28*攻击分赃比!D28*开放指数!D28</f>
        <v>120</v>
      </c>
      <c r="H28" s="20">
        <f>$D28*攻击分赃比!E28*开放指数!E28</f>
        <v>150</v>
      </c>
      <c r="I28" s="20">
        <f t="shared" ref="I28" si="15">I27</f>
        <v>29</v>
      </c>
      <c r="J28" s="20">
        <f>$D28*攻击分赃比!G28*开放指数!G28</f>
        <v>18</v>
      </c>
      <c r="K28" s="20">
        <f>$D28*攻击分赃比!H28*开放指数!H28</f>
        <v>36</v>
      </c>
      <c r="L28" s="20">
        <f>$D28*攻击分赃比!I28*开放指数!I28</f>
        <v>0</v>
      </c>
      <c r="M28" s="20">
        <f>$D28*攻击分赃比!J28*开放指数!J28</f>
        <v>0</v>
      </c>
      <c r="N28" s="20">
        <f>$D28*攻击分赃比!K28*开放指数!K28</f>
        <v>72</v>
      </c>
      <c r="O28" s="20">
        <f>$D28*攻击分赃比!M28*开放指数!L28</f>
        <v>90</v>
      </c>
      <c r="P28" s="20">
        <f>$D28*攻击分赃比!N28*开放指数!M28</f>
        <v>120</v>
      </c>
      <c r="Q28" s="20">
        <f>$D28*攻击分赃比!O28*开放指数!N28</f>
        <v>150</v>
      </c>
      <c r="R28" s="20">
        <f>$D28*攻击分赃比!P28*开放指数!O28</f>
        <v>180</v>
      </c>
      <c r="S28" s="20">
        <f>$D28*攻击分赃比!Q28*开放指数!P28</f>
        <v>210</v>
      </c>
      <c r="T28" s="20">
        <f>$D28*攻击分赃比!R28*开放指数!Q28</f>
        <v>0</v>
      </c>
      <c r="U28" s="20">
        <f>$D28*攻击分赃比!S28*开放指数!R28</f>
        <v>18</v>
      </c>
      <c r="V28" s="20">
        <f>$D28*攻击分赃比!T28*开放指数!S28</f>
        <v>0</v>
      </c>
      <c r="W28" s="20">
        <f>$D28*攻击分赃比!U28*开放指数!T28</f>
        <v>3</v>
      </c>
      <c r="X28" s="21">
        <f>攻击分赃比!V28*开放指数!U28</f>
        <v>0</v>
      </c>
      <c r="Y28" s="21">
        <f>攻击分赃比!W28*开放指数!V28</f>
        <v>0</v>
      </c>
      <c r="Z28" s="21">
        <f>攻击分赃比!X28*开放指数!W28</f>
        <v>0</v>
      </c>
      <c r="AA28" s="21">
        <f>攻击分赃比!Y28*开放指数!X28</f>
        <v>0</v>
      </c>
      <c r="AB28" s="21">
        <f>攻击分赃比!Z28*开放指数!Y28</f>
        <v>0</v>
      </c>
      <c r="AC28" s="20">
        <f>$D28*攻击分赃比!AB28*开放指数!Z28</f>
        <v>60</v>
      </c>
      <c r="AD28" s="20">
        <f>$D28*攻击分赃比!AC28*开放指数!AA28</f>
        <v>72</v>
      </c>
      <c r="AE28" s="20">
        <f>$D28*攻击分赃比!AD28*开放指数!AB28</f>
        <v>90</v>
      </c>
      <c r="AF28" s="20">
        <f>$D28*攻击分赃比!AE28*开放指数!AC28</f>
        <v>120</v>
      </c>
      <c r="AG28" s="20">
        <f>$D28*攻击分赃比!AF28*开放指数!AD28</f>
        <v>150</v>
      </c>
      <c r="AH28" s="20">
        <f>$D28*攻击分赃比!AG28*开放指数!AE28</f>
        <v>0</v>
      </c>
      <c r="AI28" s="20">
        <f>$D28*攻击分赃比!AH28*开放指数!AF28</f>
        <v>12</v>
      </c>
      <c r="AJ28" s="20">
        <f>$D28*攻击分赃比!AI28*开放指数!AG28</f>
        <v>0</v>
      </c>
      <c r="AK28" s="20">
        <f>$D28*攻击分赃比!AJ28*开放指数!AH28</f>
        <v>1.7999999999999998</v>
      </c>
      <c r="AL28" s="20">
        <f>$D28*攻击分赃比!AL28*开放指数!AI28</f>
        <v>0</v>
      </c>
      <c r="AM28" s="21">
        <f>攻击分赃比!AM28*开放指数!AJ28</f>
        <v>0</v>
      </c>
      <c r="AN28" s="21">
        <f>攻击分赃比!AN28*开放指数!AK28</f>
        <v>0</v>
      </c>
      <c r="AO28" s="21">
        <f>攻击分赃比!AO28*开放指数!AL28</f>
        <v>0</v>
      </c>
      <c r="AP28" s="21">
        <f>攻击分赃比!AP28*开放指数!AM28</f>
        <v>0</v>
      </c>
      <c r="AQ28" s="21">
        <f>攻击分赃比!AQ28*开放指数!AN28</f>
        <v>0</v>
      </c>
      <c r="AR28" s="20">
        <f>$D28*攻击分赃比!AS28*开放指数!AO28</f>
        <v>12</v>
      </c>
      <c r="AS28" s="20">
        <f t="shared" si="0"/>
        <v>222</v>
      </c>
      <c r="AT28" s="20">
        <f t="shared" si="1"/>
        <v>711.8</v>
      </c>
      <c r="AW28" s="20">
        <f t="shared" si="2"/>
        <v>305</v>
      </c>
      <c r="AX28" s="20">
        <f t="shared" si="3"/>
        <v>231</v>
      </c>
      <c r="AY28" s="20">
        <f t="shared" si="5"/>
        <v>163.80000000000001</v>
      </c>
      <c r="AZ28" s="20">
        <f t="shared" si="6"/>
        <v>0</v>
      </c>
      <c r="BA28" s="20">
        <f t="shared" si="7"/>
        <v>12</v>
      </c>
      <c r="BB28" s="73">
        <f t="shared" si="4"/>
        <v>11.863333333333333</v>
      </c>
    </row>
    <row r="29" spans="1:54" s="20" customFormat="1">
      <c r="A29" s="46">
        <v>27</v>
      </c>
      <c r="B29" s="51">
        <f t="shared" si="9"/>
        <v>2</v>
      </c>
      <c r="C29" s="9">
        <f t="shared" si="8"/>
        <v>62</v>
      </c>
      <c r="D29" s="20">
        <f t="shared" si="10"/>
        <v>62</v>
      </c>
      <c r="E29" s="20">
        <f>$D29*攻击分赃比!B29*开放指数!B29</f>
        <v>74.399999999999991</v>
      </c>
      <c r="F29" s="20">
        <f>$D29*攻击分赃比!C29*开放指数!C29</f>
        <v>93</v>
      </c>
      <c r="G29" s="20">
        <f>$D29*攻击分赃比!D29*开放指数!D29</f>
        <v>124</v>
      </c>
      <c r="H29" s="20">
        <f>$D29*攻击分赃比!E29*开放指数!E29</f>
        <v>155</v>
      </c>
      <c r="I29" s="20">
        <f t="shared" si="12"/>
        <v>29</v>
      </c>
      <c r="J29" s="20">
        <f>$D29*攻击分赃比!G29*开放指数!G29</f>
        <v>18.599999999999998</v>
      </c>
      <c r="K29" s="20">
        <f>$D29*攻击分赃比!H29*开放指数!H29</f>
        <v>37.199999999999996</v>
      </c>
      <c r="L29" s="20">
        <f>$D29*攻击分赃比!I29*开放指数!I29</f>
        <v>0</v>
      </c>
      <c r="M29" s="20">
        <f>$D29*攻击分赃比!J29*开放指数!J29</f>
        <v>0</v>
      </c>
      <c r="N29" s="20">
        <f>$D29*攻击分赃比!K29*开放指数!K29</f>
        <v>74.399999999999991</v>
      </c>
      <c r="O29" s="20">
        <f>$D29*攻击分赃比!M29*开放指数!L29</f>
        <v>93</v>
      </c>
      <c r="P29" s="20">
        <f>$D29*攻击分赃比!N29*开放指数!M29</f>
        <v>124</v>
      </c>
      <c r="Q29" s="20">
        <f>$D29*攻击分赃比!O29*开放指数!N29</f>
        <v>155</v>
      </c>
      <c r="R29" s="20">
        <f>$D29*攻击分赃比!P29*开放指数!O29</f>
        <v>186</v>
      </c>
      <c r="S29" s="20">
        <f>$D29*攻击分赃比!Q29*开放指数!P29</f>
        <v>217</v>
      </c>
      <c r="T29" s="20">
        <f>$D29*攻击分赃比!R29*开放指数!Q29</f>
        <v>0</v>
      </c>
      <c r="U29" s="20">
        <f>$D29*攻击分赃比!S29*开放指数!R29</f>
        <v>18.599999999999998</v>
      </c>
      <c r="V29" s="20">
        <f>$D29*攻击分赃比!T29*开放指数!S29</f>
        <v>0</v>
      </c>
      <c r="W29" s="20">
        <f>$D29*攻击分赃比!U29*开放指数!T29</f>
        <v>3.1</v>
      </c>
      <c r="X29" s="21">
        <f>攻击分赃比!V29*开放指数!U29</f>
        <v>0</v>
      </c>
      <c r="Y29" s="21">
        <f>攻击分赃比!W29*开放指数!V29</f>
        <v>0</v>
      </c>
      <c r="Z29" s="21">
        <f>攻击分赃比!X29*开放指数!W29</f>
        <v>0</v>
      </c>
      <c r="AA29" s="21">
        <f>攻击分赃比!Y29*开放指数!X29</f>
        <v>0</v>
      </c>
      <c r="AB29" s="21">
        <f>攻击分赃比!Z29*开放指数!Y29</f>
        <v>0</v>
      </c>
      <c r="AC29" s="20">
        <f>$D29*攻击分赃比!AB29*开放指数!Z29</f>
        <v>62</v>
      </c>
      <c r="AD29" s="20">
        <f>$D29*攻击分赃比!AC29*开放指数!AA29</f>
        <v>74.399999999999991</v>
      </c>
      <c r="AE29" s="20">
        <f>$D29*攻击分赃比!AD29*开放指数!AB29</f>
        <v>93</v>
      </c>
      <c r="AF29" s="20">
        <f>$D29*攻击分赃比!AE29*开放指数!AC29</f>
        <v>124</v>
      </c>
      <c r="AG29" s="20">
        <f>$D29*攻击分赃比!AF29*开放指数!AD29</f>
        <v>155</v>
      </c>
      <c r="AH29" s="20">
        <f>$D29*攻击分赃比!AG29*开放指数!AE29</f>
        <v>0</v>
      </c>
      <c r="AI29" s="20">
        <f>$D29*攻击分赃比!AH29*开放指数!AF29</f>
        <v>12.4</v>
      </c>
      <c r="AJ29" s="20">
        <f>$D29*攻击分赃比!AI29*开放指数!AG29</f>
        <v>0</v>
      </c>
      <c r="AK29" s="20">
        <f>$D29*攻击分赃比!AJ29*开放指数!AH29</f>
        <v>1.8599999999999999</v>
      </c>
      <c r="AL29" s="20">
        <f>$D29*攻击分赃比!AL29*开放指数!AI29</f>
        <v>0</v>
      </c>
      <c r="AM29" s="21">
        <f>攻击分赃比!AM29*开放指数!AJ29</f>
        <v>0</v>
      </c>
      <c r="AN29" s="21">
        <f>攻击分赃比!AN29*开放指数!AK29</f>
        <v>0</v>
      </c>
      <c r="AO29" s="21">
        <f>攻击分赃比!AO29*开放指数!AL29</f>
        <v>0</v>
      </c>
      <c r="AP29" s="21">
        <f>攻击分赃比!AP29*开放指数!AM29</f>
        <v>0</v>
      </c>
      <c r="AQ29" s="21">
        <f>攻击分赃比!AQ29*开放指数!AN29</f>
        <v>0</v>
      </c>
      <c r="AR29" s="20">
        <f>$D29*攻击分赃比!AS29*开放指数!AO29</f>
        <v>12.4</v>
      </c>
      <c r="AS29" s="20">
        <f t="shared" si="0"/>
        <v>229.4</v>
      </c>
      <c r="AT29" s="20">
        <f t="shared" si="1"/>
        <v>734.56000000000006</v>
      </c>
      <c r="AW29" s="20">
        <f t="shared" si="2"/>
        <v>314.2</v>
      </c>
      <c r="AX29" s="20">
        <f t="shared" si="3"/>
        <v>238.7</v>
      </c>
      <c r="AY29" s="20">
        <f t="shared" si="5"/>
        <v>169.26000000000002</v>
      </c>
      <c r="AZ29" s="20">
        <f t="shared" si="6"/>
        <v>0</v>
      </c>
      <c r="BA29" s="20">
        <f t="shared" si="7"/>
        <v>12.4</v>
      </c>
      <c r="BB29" s="73">
        <f t="shared" si="4"/>
        <v>11.847741935483873</v>
      </c>
    </row>
    <row r="30" spans="1:54" s="20" customFormat="1">
      <c r="A30" s="46">
        <v>28</v>
      </c>
      <c r="B30" s="51">
        <f t="shared" si="9"/>
        <v>2</v>
      </c>
      <c r="C30" s="9">
        <f t="shared" si="8"/>
        <v>64</v>
      </c>
      <c r="D30" s="20">
        <f t="shared" si="10"/>
        <v>64</v>
      </c>
      <c r="E30" s="20">
        <f>$D30*攻击分赃比!B30*开放指数!B30</f>
        <v>76.8</v>
      </c>
      <c r="F30" s="20">
        <f>$D30*攻击分赃比!C30*开放指数!C30</f>
        <v>96</v>
      </c>
      <c r="G30" s="20">
        <f>$D30*攻击分赃比!D30*开放指数!D30</f>
        <v>128</v>
      </c>
      <c r="H30" s="20">
        <f>$D30*攻击分赃比!E30*开放指数!E30</f>
        <v>160</v>
      </c>
      <c r="I30" s="20">
        <f t="shared" si="12"/>
        <v>29</v>
      </c>
      <c r="J30" s="20">
        <f>$D30*攻击分赃比!G30*开放指数!G30</f>
        <v>19.2</v>
      </c>
      <c r="K30" s="20">
        <f>$D30*攻击分赃比!H30*开放指数!H30</f>
        <v>38.4</v>
      </c>
      <c r="L30" s="20">
        <f>$D30*攻击分赃比!I30*开放指数!I30</f>
        <v>0</v>
      </c>
      <c r="M30" s="20">
        <f>$D30*攻击分赃比!J30*开放指数!J30</f>
        <v>0</v>
      </c>
      <c r="N30" s="20">
        <f>$D30*攻击分赃比!K30*开放指数!K30</f>
        <v>76.8</v>
      </c>
      <c r="O30" s="20">
        <f>$D30*攻击分赃比!M30*开放指数!L30</f>
        <v>96</v>
      </c>
      <c r="P30" s="20">
        <f>$D30*攻击分赃比!N30*开放指数!M30</f>
        <v>128</v>
      </c>
      <c r="Q30" s="20">
        <f>$D30*攻击分赃比!O30*开放指数!N30</f>
        <v>160</v>
      </c>
      <c r="R30" s="20">
        <f>$D30*攻击分赃比!P30*开放指数!O30</f>
        <v>192</v>
      </c>
      <c r="S30" s="20">
        <f>$D30*攻击分赃比!Q30*开放指数!P30</f>
        <v>224</v>
      </c>
      <c r="T30" s="20">
        <f>$D30*攻击分赃比!R30*开放指数!Q30</f>
        <v>0</v>
      </c>
      <c r="U30" s="20">
        <f>$D30*攻击分赃比!S30*开放指数!R30</f>
        <v>19.2</v>
      </c>
      <c r="V30" s="20">
        <f>$D30*攻击分赃比!T30*开放指数!S30</f>
        <v>0</v>
      </c>
      <c r="W30" s="20">
        <f>$D30*攻击分赃比!U30*开放指数!T30</f>
        <v>3.2</v>
      </c>
      <c r="X30" s="21">
        <f>攻击分赃比!V30*开放指数!U30</f>
        <v>0</v>
      </c>
      <c r="Y30" s="21">
        <f>攻击分赃比!W30*开放指数!V30</f>
        <v>0</v>
      </c>
      <c r="Z30" s="21">
        <f>攻击分赃比!X30*开放指数!W30</f>
        <v>0</v>
      </c>
      <c r="AA30" s="21">
        <f>攻击分赃比!Y30*开放指数!X30</f>
        <v>0</v>
      </c>
      <c r="AB30" s="21">
        <f>攻击分赃比!Z30*开放指数!Y30</f>
        <v>0</v>
      </c>
      <c r="AC30" s="20">
        <f>$D30*攻击分赃比!AB30*开放指数!Z30</f>
        <v>64</v>
      </c>
      <c r="AD30" s="20">
        <f>$D30*攻击分赃比!AC30*开放指数!AA30</f>
        <v>76.8</v>
      </c>
      <c r="AE30" s="20">
        <f>$D30*攻击分赃比!AD30*开放指数!AB30</f>
        <v>96</v>
      </c>
      <c r="AF30" s="20">
        <f>$D30*攻击分赃比!AE30*开放指数!AC30</f>
        <v>128</v>
      </c>
      <c r="AG30" s="20">
        <f>$D30*攻击分赃比!AF30*开放指数!AD30</f>
        <v>160</v>
      </c>
      <c r="AH30" s="20">
        <f>$D30*攻击分赃比!AG30*开放指数!AE30</f>
        <v>0</v>
      </c>
      <c r="AI30" s="20">
        <f>$D30*攻击分赃比!AH30*开放指数!AF30</f>
        <v>12.8</v>
      </c>
      <c r="AJ30" s="20">
        <f>$D30*攻击分赃比!AI30*开放指数!AG30</f>
        <v>0</v>
      </c>
      <c r="AK30" s="20">
        <f>$D30*攻击分赃比!AJ30*开放指数!AH30</f>
        <v>1.92</v>
      </c>
      <c r="AL30" s="20">
        <f>$D30*攻击分赃比!AL30*开放指数!AI30</f>
        <v>0</v>
      </c>
      <c r="AM30" s="21">
        <f>攻击分赃比!AM30*开放指数!AJ30</f>
        <v>0</v>
      </c>
      <c r="AN30" s="21">
        <f>攻击分赃比!AN30*开放指数!AK30</f>
        <v>0</v>
      </c>
      <c r="AO30" s="21">
        <f>攻击分赃比!AO30*开放指数!AL30</f>
        <v>0</v>
      </c>
      <c r="AP30" s="21">
        <f>攻击分赃比!AP30*开放指数!AM30</f>
        <v>0</v>
      </c>
      <c r="AQ30" s="21">
        <f>攻击分赃比!AQ30*开放指数!AN30</f>
        <v>0</v>
      </c>
      <c r="AR30" s="20">
        <f>$D30*攻击分赃比!AS30*开放指数!AO30</f>
        <v>12.8</v>
      </c>
      <c r="AS30" s="20">
        <f t="shared" si="0"/>
        <v>236.8</v>
      </c>
      <c r="AT30" s="20">
        <f t="shared" si="1"/>
        <v>757.31999999999994</v>
      </c>
      <c r="AW30" s="20">
        <f t="shared" si="2"/>
        <v>323.39999999999998</v>
      </c>
      <c r="AX30" s="20">
        <f t="shared" si="3"/>
        <v>246.39999999999998</v>
      </c>
      <c r="AY30" s="20">
        <f t="shared" si="5"/>
        <v>174.72</v>
      </c>
      <c r="AZ30" s="20">
        <f t="shared" si="6"/>
        <v>0</v>
      </c>
      <c r="BA30" s="20">
        <f t="shared" si="7"/>
        <v>12.8</v>
      </c>
      <c r="BB30" s="73">
        <f t="shared" si="4"/>
        <v>11.833124999999999</v>
      </c>
    </row>
    <row r="31" spans="1:54" s="20" customFormat="1">
      <c r="A31" s="46">
        <v>29</v>
      </c>
      <c r="B31" s="51">
        <f t="shared" si="9"/>
        <v>2</v>
      </c>
      <c r="C31" s="9">
        <f t="shared" si="8"/>
        <v>66</v>
      </c>
      <c r="D31" s="20">
        <f t="shared" si="10"/>
        <v>66</v>
      </c>
      <c r="E31" s="20">
        <f>$D31*攻击分赃比!B31*开放指数!B31</f>
        <v>79.2</v>
      </c>
      <c r="F31" s="20">
        <f>$D31*攻击分赃比!C31*开放指数!C31</f>
        <v>99</v>
      </c>
      <c r="G31" s="20">
        <f>$D31*攻击分赃比!D31*开放指数!D31</f>
        <v>132</v>
      </c>
      <c r="H31" s="20">
        <f>$D31*攻击分赃比!E31*开放指数!E31</f>
        <v>165</v>
      </c>
      <c r="I31" s="20">
        <f t="shared" si="12"/>
        <v>29</v>
      </c>
      <c r="J31" s="20">
        <f>$D31*攻击分赃比!G31*开放指数!G31</f>
        <v>19.8</v>
      </c>
      <c r="K31" s="20">
        <f>$D31*攻击分赃比!H31*开放指数!H31</f>
        <v>39.6</v>
      </c>
      <c r="L31" s="20">
        <f>$D31*攻击分赃比!I31*开放指数!I31</f>
        <v>0</v>
      </c>
      <c r="M31" s="20">
        <f>$D31*攻击分赃比!J31*开放指数!J31</f>
        <v>0</v>
      </c>
      <c r="N31" s="20">
        <f>$D31*攻击分赃比!K31*开放指数!K31</f>
        <v>79.2</v>
      </c>
      <c r="O31" s="20">
        <f>$D31*攻击分赃比!M31*开放指数!L31</f>
        <v>99</v>
      </c>
      <c r="P31" s="20">
        <f>$D31*攻击分赃比!N31*开放指数!M31</f>
        <v>132</v>
      </c>
      <c r="Q31" s="20">
        <f>$D31*攻击分赃比!O31*开放指数!N31</f>
        <v>165</v>
      </c>
      <c r="R31" s="20">
        <f>$D31*攻击分赃比!P31*开放指数!O31</f>
        <v>198</v>
      </c>
      <c r="S31" s="20">
        <f>$D31*攻击分赃比!Q31*开放指数!P31</f>
        <v>231</v>
      </c>
      <c r="T31" s="20">
        <f>$D31*攻击分赃比!R31*开放指数!Q31</f>
        <v>0</v>
      </c>
      <c r="U31" s="20">
        <f>$D31*攻击分赃比!S31*开放指数!R31</f>
        <v>19.8</v>
      </c>
      <c r="V31" s="20">
        <f>$D31*攻击分赃比!T31*开放指数!S31</f>
        <v>0</v>
      </c>
      <c r="W31" s="20">
        <f>$D31*攻击分赃比!U31*开放指数!T31</f>
        <v>3.3000000000000003</v>
      </c>
      <c r="X31" s="21">
        <f>攻击分赃比!V31*开放指数!U31</f>
        <v>0</v>
      </c>
      <c r="Y31" s="21">
        <f>攻击分赃比!W31*开放指数!V31</f>
        <v>0</v>
      </c>
      <c r="Z31" s="21">
        <f>攻击分赃比!X31*开放指数!W31</f>
        <v>0</v>
      </c>
      <c r="AA31" s="21">
        <f>攻击分赃比!Y31*开放指数!X31</f>
        <v>0</v>
      </c>
      <c r="AB31" s="21">
        <f>攻击分赃比!Z31*开放指数!Y31</f>
        <v>0</v>
      </c>
      <c r="AC31" s="20">
        <f>$D31*攻击分赃比!AB31*开放指数!Z31</f>
        <v>66</v>
      </c>
      <c r="AD31" s="20">
        <f>$D31*攻击分赃比!AC31*开放指数!AA31</f>
        <v>79.2</v>
      </c>
      <c r="AE31" s="20">
        <f>$D31*攻击分赃比!AD31*开放指数!AB31</f>
        <v>99</v>
      </c>
      <c r="AF31" s="20">
        <f>$D31*攻击分赃比!AE31*开放指数!AC31</f>
        <v>132</v>
      </c>
      <c r="AG31" s="20">
        <f>$D31*攻击分赃比!AF31*开放指数!AD31</f>
        <v>165</v>
      </c>
      <c r="AH31" s="20">
        <f>$D31*攻击分赃比!AG31*开放指数!AE31</f>
        <v>0</v>
      </c>
      <c r="AI31" s="20">
        <f>$D31*攻击分赃比!AH31*开放指数!AF31</f>
        <v>13.200000000000001</v>
      </c>
      <c r="AJ31" s="20">
        <f>$D31*攻击分赃比!AI31*开放指数!AG31</f>
        <v>0</v>
      </c>
      <c r="AK31" s="20">
        <f>$D31*攻击分赃比!AJ31*开放指数!AH31</f>
        <v>1.98</v>
      </c>
      <c r="AL31" s="20">
        <f>$D31*攻击分赃比!AL31*开放指数!AI31</f>
        <v>0</v>
      </c>
      <c r="AM31" s="21">
        <f>攻击分赃比!AM31*开放指数!AJ31</f>
        <v>0</v>
      </c>
      <c r="AN31" s="21">
        <f>攻击分赃比!AN31*开放指数!AK31</f>
        <v>0</v>
      </c>
      <c r="AO31" s="21">
        <f>攻击分赃比!AO31*开放指数!AL31</f>
        <v>0</v>
      </c>
      <c r="AP31" s="21">
        <f>攻击分赃比!AP31*开放指数!AM31</f>
        <v>0</v>
      </c>
      <c r="AQ31" s="21">
        <f>攻击分赃比!AQ31*开放指数!AN31</f>
        <v>0</v>
      </c>
      <c r="AR31" s="20">
        <f>$D31*攻击分赃比!AS31*开放指数!AO31</f>
        <v>13.200000000000001</v>
      </c>
      <c r="AS31" s="20">
        <f t="shared" si="0"/>
        <v>244.2</v>
      </c>
      <c r="AT31" s="20">
        <f t="shared" si="1"/>
        <v>780.08</v>
      </c>
      <c r="AW31" s="20">
        <f t="shared" si="2"/>
        <v>332.6</v>
      </c>
      <c r="AX31" s="20">
        <f t="shared" si="3"/>
        <v>254.10000000000002</v>
      </c>
      <c r="AY31" s="20">
        <f t="shared" si="5"/>
        <v>180.17999999999998</v>
      </c>
      <c r="AZ31" s="20">
        <f t="shared" si="6"/>
        <v>0</v>
      </c>
      <c r="BA31" s="20">
        <f t="shared" si="7"/>
        <v>13.200000000000001</v>
      </c>
      <c r="BB31" s="73">
        <f t="shared" si="4"/>
        <v>11.81939393939394</v>
      </c>
    </row>
    <row r="32" spans="1:54" s="20" customFormat="1">
      <c r="A32" s="46">
        <v>30</v>
      </c>
      <c r="B32" s="51">
        <f t="shared" si="9"/>
        <v>2</v>
      </c>
      <c r="C32" s="9">
        <f t="shared" si="8"/>
        <v>68</v>
      </c>
      <c r="D32" s="20">
        <f t="shared" si="10"/>
        <v>68</v>
      </c>
      <c r="E32" s="20">
        <f>$D32*攻击分赃比!B32*开放指数!B32</f>
        <v>81.599999999999994</v>
      </c>
      <c r="F32" s="20">
        <f>$D32*攻击分赃比!C32*开放指数!C32</f>
        <v>102</v>
      </c>
      <c r="G32" s="20">
        <f>$D32*攻击分赃比!D32*开放指数!D32</f>
        <v>136</v>
      </c>
      <c r="H32" s="20">
        <f>$D32*攻击分赃比!E32*开放指数!E32</f>
        <v>170</v>
      </c>
      <c r="I32" s="20">
        <f>$D32*攻击分赃比!F32*开放指数!F32</f>
        <v>34</v>
      </c>
      <c r="J32" s="20">
        <f>$D32*攻击分赃比!G32*开放指数!G32</f>
        <v>20.399999999999999</v>
      </c>
      <c r="K32" s="20">
        <f>$D32*攻击分赃比!H32*开放指数!H32</f>
        <v>40.799999999999997</v>
      </c>
      <c r="L32" s="20">
        <f>$D32*攻击分赃比!I32*开放指数!I32</f>
        <v>0</v>
      </c>
      <c r="M32" s="20">
        <f>$D32*攻击分赃比!J32*开放指数!J32</f>
        <v>0</v>
      </c>
      <c r="N32" s="20">
        <f>$D32*攻击分赃比!K32*开放指数!K32</f>
        <v>81.599999999999994</v>
      </c>
      <c r="O32" s="20">
        <f>$D32*攻击分赃比!M32*开放指数!L32</f>
        <v>102</v>
      </c>
      <c r="P32" s="20">
        <f>$D32*攻击分赃比!N32*开放指数!M32</f>
        <v>136</v>
      </c>
      <c r="Q32" s="20">
        <f>$D32*攻击分赃比!O32*开放指数!N32</f>
        <v>170</v>
      </c>
      <c r="R32" s="20">
        <f>$D32*攻击分赃比!P32*开放指数!O32</f>
        <v>204</v>
      </c>
      <c r="S32" s="20">
        <f>$D32*攻击分赃比!Q32*开放指数!P32</f>
        <v>238</v>
      </c>
      <c r="T32" s="20">
        <f>$D32*攻击分赃比!R32*开放指数!Q32</f>
        <v>51</v>
      </c>
      <c r="U32" s="20">
        <f>$D32*攻击分赃比!S32*开放指数!R32</f>
        <v>20.399999999999999</v>
      </c>
      <c r="V32" s="20">
        <f>$D32*攻击分赃比!T32*开放指数!S32</f>
        <v>20.399999999999999</v>
      </c>
      <c r="W32" s="20">
        <f>$D32*攻击分赃比!U32*开放指数!T32</f>
        <v>3.4000000000000004</v>
      </c>
      <c r="X32" s="21">
        <f>攻击分赃比!V32*开放指数!U32</f>
        <v>0</v>
      </c>
      <c r="Y32" s="21">
        <f>攻击分赃比!W32*开放指数!V32</f>
        <v>0</v>
      </c>
      <c r="Z32" s="21">
        <f>攻击分赃比!X32*开放指数!W32</f>
        <v>0</v>
      </c>
      <c r="AA32" s="21">
        <f>攻击分赃比!Y32*开放指数!X32</f>
        <v>0</v>
      </c>
      <c r="AB32" s="21">
        <f>攻击分赃比!Z32*开放指数!Y32</f>
        <v>0</v>
      </c>
      <c r="AC32" s="20">
        <f>$D32*攻击分赃比!AB32*开放指数!Z32</f>
        <v>68</v>
      </c>
      <c r="AD32" s="20">
        <f>$D32*攻击分赃比!AC32*开放指数!AA32</f>
        <v>81.599999999999994</v>
      </c>
      <c r="AE32" s="20">
        <f>$D32*攻击分赃比!AD32*开放指数!AB32</f>
        <v>102</v>
      </c>
      <c r="AF32" s="20">
        <f>$D32*攻击分赃比!AE32*开放指数!AC32</f>
        <v>136</v>
      </c>
      <c r="AG32" s="20">
        <f>$D32*攻击分赃比!AF32*开放指数!AD32</f>
        <v>170</v>
      </c>
      <c r="AH32" s="20">
        <f>$D32*攻击分赃比!AG32*开放指数!AE32</f>
        <v>0</v>
      </c>
      <c r="AI32" s="20">
        <f>$D32*攻击分赃比!AH32*开放指数!AF32</f>
        <v>13.600000000000001</v>
      </c>
      <c r="AJ32" s="20">
        <f>$D32*攻击分赃比!AI32*开放指数!AG32</f>
        <v>0</v>
      </c>
      <c r="AK32" s="20">
        <f>$D32*攻击分赃比!AJ32*开放指数!AH32</f>
        <v>2.04</v>
      </c>
      <c r="AL32" s="20">
        <f>$D32*攻击分赃比!AL32*开放指数!AI32</f>
        <v>0</v>
      </c>
      <c r="AM32" s="21">
        <f>攻击分赃比!AM32*开放指数!AJ32</f>
        <v>0</v>
      </c>
      <c r="AN32" s="21">
        <f>攻击分赃比!AN32*开放指数!AK32</f>
        <v>0</v>
      </c>
      <c r="AO32" s="21">
        <f>攻击分赃比!AO32*开放指数!AL32</f>
        <v>0</v>
      </c>
      <c r="AP32" s="21">
        <f>攻击分赃比!AP32*开放指数!AM32</f>
        <v>0</v>
      </c>
      <c r="AQ32" s="21">
        <f>攻击分赃比!AQ32*开放指数!AN32</f>
        <v>0</v>
      </c>
      <c r="AR32" s="20">
        <f>$D32*攻击分赃比!AS32*开放指数!AO32</f>
        <v>13.600000000000001</v>
      </c>
      <c r="AS32" s="20">
        <f t="shared" si="0"/>
        <v>251.6</v>
      </c>
      <c r="AT32" s="20">
        <f t="shared" si="1"/>
        <v>879.2399999999999</v>
      </c>
      <c r="AW32" s="20">
        <f t="shared" si="2"/>
        <v>346.79999999999995</v>
      </c>
      <c r="AX32" s="20">
        <f t="shared" si="3"/>
        <v>333.19999999999993</v>
      </c>
      <c r="AY32" s="20">
        <f t="shared" si="5"/>
        <v>185.64</v>
      </c>
      <c r="AZ32" s="20">
        <f t="shared" si="6"/>
        <v>0</v>
      </c>
      <c r="BA32" s="20">
        <f t="shared" si="7"/>
        <v>13.600000000000001</v>
      </c>
      <c r="BB32" s="73">
        <f t="shared" si="4"/>
        <v>12.929999999999998</v>
      </c>
    </row>
    <row r="33" spans="1:54" s="20" customFormat="1">
      <c r="A33" s="46">
        <v>31</v>
      </c>
      <c r="B33" s="51">
        <f t="shared" si="9"/>
        <v>2</v>
      </c>
      <c r="C33" s="9">
        <f t="shared" si="8"/>
        <v>70</v>
      </c>
      <c r="D33" s="20">
        <f t="shared" si="10"/>
        <v>70</v>
      </c>
      <c r="E33" s="20">
        <f>$D33*攻击分赃比!B33*开放指数!B33</f>
        <v>84</v>
      </c>
      <c r="F33" s="20">
        <f>$D33*攻击分赃比!C33*开放指数!C33</f>
        <v>105</v>
      </c>
      <c r="G33" s="20">
        <f>$D33*攻击分赃比!D33*开放指数!D33</f>
        <v>140</v>
      </c>
      <c r="H33" s="20">
        <f>$D33*攻击分赃比!E33*开放指数!E33</f>
        <v>175</v>
      </c>
      <c r="I33" s="20">
        <f t="shared" ref="I33" si="16">I32</f>
        <v>34</v>
      </c>
      <c r="J33" s="20">
        <f>$D33*攻击分赃比!G33*开放指数!G33</f>
        <v>21</v>
      </c>
      <c r="K33" s="20">
        <f>$D33*攻击分赃比!H33*开放指数!H33</f>
        <v>42</v>
      </c>
      <c r="L33" s="20">
        <f>$D33*攻击分赃比!I33*开放指数!I33</f>
        <v>0</v>
      </c>
      <c r="M33" s="20">
        <f>$D33*攻击分赃比!J33*开放指数!J33</f>
        <v>0</v>
      </c>
      <c r="N33" s="20">
        <f>$D33*攻击分赃比!K33*开放指数!K33</f>
        <v>84</v>
      </c>
      <c r="O33" s="20">
        <f>$D33*攻击分赃比!M33*开放指数!L33</f>
        <v>105</v>
      </c>
      <c r="P33" s="20">
        <f>$D33*攻击分赃比!N33*开放指数!M33</f>
        <v>140</v>
      </c>
      <c r="Q33" s="20">
        <f>$D33*攻击分赃比!O33*开放指数!N33</f>
        <v>175</v>
      </c>
      <c r="R33" s="20">
        <f>$D33*攻击分赃比!P33*开放指数!O33</f>
        <v>210</v>
      </c>
      <c r="S33" s="20">
        <f>$D33*攻击分赃比!Q33*开放指数!P33</f>
        <v>245</v>
      </c>
      <c r="T33" s="20">
        <f>$D33*攻击分赃比!R33*开放指数!Q33</f>
        <v>52.5</v>
      </c>
      <c r="U33" s="20">
        <f>$D33*攻击分赃比!S33*开放指数!R33</f>
        <v>21</v>
      </c>
      <c r="V33" s="20">
        <f>$D33*攻击分赃比!T33*开放指数!S33</f>
        <v>21</v>
      </c>
      <c r="W33" s="20">
        <f>$D33*攻击分赃比!U33*开放指数!T33</f>
        <v>3.5</v>
      </c>
      <c r="X33" s="21">
        <f>攻击分赃比!V33*开放指数!U33</f>
        <v>0</v>
      </c>
      <c r="Y33" s="21">
        <f>攻击分赃比!W33*开放指数!V33</f>
        <v>0</v>
      </c>
      <c r="Z33" s="21">
        <f>攻击分赃比!X33*开放指数!W33</f>
        <v>0</v>
      </c>
      <c r="AA33" s="21">
        <f>攻击分赃比!Y33*开放指数!X33</f>
        <v>0</v>
      </c>
      <c r="AB33" s="21">
        <f>攻击分赃比!Z33*开放指数!Y33</f>
        <v>0</v>
      </c>
      <c r="AC33" s="20">
        <f>$D33*攻击分赃比!AB33*开放指数!Z33</f>
        <v>70</v>
      </c>
      <c r="AD33" s="20">
        <f>$D33*攻击分赃比!AC33*开放指数!AA33</f>
        <v>84</v>
      </c>
      <c r="AE33" s="20">
        <f>$D33*攻击分赃比!AD33*开放指数!AB33</f>
        <v>105</v>
      </c>
      <c r="AF33" s="20">
        <f>$D33*攻击分赃比!AE33*开放指数!AC33</f>
        <v>140</v>
      </c>
      <c r="AG33" s="20">
        <f>$D33*攻击分赃比!AF33*开放指数!AD33</f>
        <v>175</v>
      </c>
      <c r="AH33" s="20">
        <f>$D33*攻击分赃比!AG33*开放指数!AE33</f>
        <v>0</v>
      </c>
      <c r="AI33" s="20">
        <f>$D33*攻击分赃比!AH33*开放指数!AF33</f>
        <v>14</v>
      </c>
      <c r="AJ33" s="20">
        <f>$D33*攻击分赃比!AI33*开放指数!AG33</f>
        <v>0</v>
      </c>
      <c r="AK33" s="20">
        <f>$D33*攻击分赃比!AJ33*开放指数!AH33</f>
        <v>2.1</v>
      </c>
      <c r="AL33" s="20">
        <f>$D33*攻击分赃比!AL33*开放指数!AI33</f>
        <v>0</v>
      </c>
      <c r="AM33" s="21">
        <f>攻击分赃比!AM33*开放指数!AJ33</f>
        <v>0</v>
      </c>
      <c r="AN33" s="21">
        <f>攻击分赃比!AN33*开放指数!AK33</f>
        <v>0</v>
      </c>
      <c r="AO33" s="21">
        <f>攻击分赃比!AO33*开放指数!AL33</f>
        <v>0</v>
      </c>
      <c r="AP33" s="21">
        <f>攻击分赃比!AP33*开放指数!AM33</f>
        <v>0</v>
      </c>
      <c r="AQ33" s="21">
        <f>攻击分赃比!AQ33*开放指数!AN33</f>
        <v>0</v>
      </c>
      <c r="AR33" s="20">
        <f>$D33*攻击分赃比!AS33*开放指数!AO33</f>
        <v>14</v>
      </c>
      <c r="AS33" s="20">
        <f t="shared" si="0"/>
        <v>259</v>
      </c>
      <c r="AT33" s="20">
        <f t="shared" si="1"/>
        <v>904.1</v>
      </c>
      <c r="AW33" s="20">
        <f t="shared" si="2"/>
        <v>356</v>
      </c>
      <c r="AX33" s="20">
        <f t="shared" si="3"/>
        <v>343</v>
      </c>
      <c r="AY33" s="20">
        <f t="shared" si="5"/>
        <v>191.1</v>
      </c>
      <c r="AZ33" s="20">
        <f t="shared" si="6"/>
        <v>0</v>
      </c>
      <c r="BA33" s="20">
        <f t="shared" si="7"/>
        <v>14</v>
      </c>
      <c r="BB33" s="73">
        <f t="shared" si="4"/>
        <v>12.915714285714285</v>
      </c>
    </row>
    <row r="34" spans="1:54" s="20" customFormat="1">
      <c r="A34" s="46">
        <v>32</v>
      </c>
      <c r="B34" s="51">
        <f t="shared" si="9"/>
        <v>2</v>
      </c>
      <c r="C34" s="9">
        <f t="shared" si="8"/>
        <v>72</v>
      </c>
      <c r="D34" s="20">
        <f t="shared" si="10"/>
        <v>72</v>
      </c>
      <c r="E34" s="20">
        <f>$D34*攻击分赃比!B34*开放指数!B34</f>
        <v>86.399999999999991</v>
      </c>
      <c r="F34" s="20">
        <f>$D34*攻击分赃比!C34*开放指数!C34</f>
        <v>108</v>
      </c>
      <c r="G34" s="20">
        <f>$D34*攻击分赃比!D34*开放指数!D34</f>
        <v>144</v>
      </c>
      <c r="H34" s="20">
        <f>$D34*攻击分赃比!E34*开放指数!E34</f>
        <v>180</v>
      </c>
      <c r="I34" s="20">
        <f t="shared" si="12"/>
        <v>34</v>
      </c>
      <c r="J34" s="20">
        <f>$D34*攻击分赃比!G34*开放指数!G34</f>
        <v>21.599999999999998</v>
      </c>
      <c r="K34" s="20">
        <f>$D34*攻击分赃比!H34*开放指数!H34</f>
        <v>43.199999999999996</v>
      </c>
      <c r="L34" s="20">
        <f>$D34*攻击分赃比!I34*开放指数!I34</f>
        <v>0</v>
      </c>
      <c r="M34" s="20">
        <f>$D34*攻击分赃比!J34*开放指数!J34</f>
        <v>0</v>
      </c>
      <c r="N34" s="20">
        <f>$D34*攻击分赃比!K34*开放指数!K34</f>
        <v>86.399999999999991</v>
      </c>
      <c r="O34" s="20">
        <f>$D34*攻击分赃比!M34*开放指数!L34</f>
        <v>108</v>
      </c>
      <c r="P34" s="20">
        <f>$D34*攻击分赃比!N34*开放指数!M34</f>
        <v>144</v>
      </c>
      <c r="Q34" s="20">
        <f>$D34*攻击分赃比!O34*开放指数!N34</f>
        <v>180</v>
      </c>
      <c r="R34" s="20">
        <f>$D34*攻击分赃比!P34*开放指数!O34</f>
        <v>216</v>
      </c>
      <c r="S34" s="20">
        <f>$D34*攻击分赃比!Q34*开放指数!P34</f>
        <v>252</v>
      </c>
      <c r="T34" s="20">
        <f>$D34*攻击分赃比!R34*开放指数!Q34</f>
        <v>54</v>
      </c>
      <c r="U34" s="20">
        <f>$D34*攻击分赃比!S34*开放指数!R34</f>
        <v>21.599999999999998</v>
      </c>
      <c r="V34" s="20">
        <f>$D34*攻击分赃比!T34*开放指数!S34</f>
        <v>21.599999999999998</v>
      </c>
      <c r="W34" s="20">
        <f>$D34*攻击分赃比!U34*开放指数!T34</f>
        <v>3.6</v>
      </c>
      <c r="X34" s="21">
        <f>攻击分赃比!V34*开放指数!U34</f>
        <v>0</v>
      </c>
      <c r="Y34" s="21">
        <f>攻击分赃比!W34*开放指数!V34</f>
        <v>0</v>
      </c>
      <c r="Z34" s="21">
        <f>攻击分赃比!X34*开放指数!W34</f>
        <v>0</v>
      </c>
      <c r="AA34" s="21">
        <f>攻击分赃比!Y34*开放指数!X34</f>
        <v>0</v>
      </c>
      <c r="AB34" s="21">
        <f>攻击分赃比!Z34*开放指数!Y34</f>
        <v>0</v>
      </c>
      <c r="AC34" s="20">
        <f>$D34*攻击分赃比!AB34*开放指数!Z34</f>
        <v>72</v>
      </c>
      <c r="AD34" s="20">
        <f>$D34*攻击分赃比!AC34*开放指数!AA34</f>
        <v>86.399999999999991</v>
      </c>
      <c r="AE34" s="20">
        <f>$D34*攻击分赃比!AD34*开放指数!AB34</f>
        <v>108</v>
      </c>
      <c r="AF34" s="20">
        <f>$D34*攻击分赃比!AE34*开放指数!AC34</f>
        <v>144</v>
      </c>
      <c r="AG34" s="20">
        <f>$D34*攻击分赃比!AF34*开放指数!AD34</f>
        <v>180</v>
      </c>
      <c r="AH34" s="20">
        <f>$D34*攻击分赃比!AG34*开放指数!AE34</f>
        <v>0</v>
      </c>
      <c r="AI34" s="20">
        <f>$D34*攻击分赃比!AH34*开放指数!AF34</f>
        <v>14.4</v>
      </c>
      <c r="AJ34" s="20">
        <f>$D34*攻击分赃比!AI34*开放指数!AG34</f>
        <v>0</v>
      </c>
      <c r="AK34" s="20">
        <f>$D34*攻击分赃比!AJ34*开放指数!AH34</f>
        <v>2.16</v>
      </c>
      <c r="AL34" s="20">
        <f>$D34*攻击分赃比!AL34*开放指数!AI34</f>
        <v>0</v>
      </c>
      <c r="AM34" s="21">
        <f>攻击分赃比!AM34*开放指数!AJ34</f>
        <v>0</v>
      </c>
      <c r="AN34" s="21">
        <f>攻击分赃比!AN34*开放指数!AK34</f>
        <v>0</v>
      </c>
      <c r="AO34" s="21">
        <f>攻击分赃比!AO34*开放指数!AL34</f>
        <v>0</v>
      </c>
      <c r="AP34" s="21">
        <f>攻击分赃比!AP34*开放指数!AM34</f>
        <v>0</v>
      </c>
      <c r="AQ34" s="21">
        <f>攻击分赃比!AQ34*开放指数!AN34</f>
        <v>0</v>
      </c>
      <c r="AR34" s="20">
        <f>$D34*攻击分赃比!AS34*开放指数!AO34</f>
        <v>14.4</v>
      </c>
      <c r="AS34" s="20">
        <f t="shared" si="0"/>
        <v>266.39999999999998</v>
      </c>
      <c r="AT34" s="20">
        <f t="shared" si="1"/>
        <v>928.96</v>
      </c>
      <c r="AW34" s="20">
        <f t="shared" si="2"/>
        <v>365.2</v>
      </c>
      <c r="AX34" s="20">
        <f t="shared" si="3"/>
        <v>352.80000000000007</v>
      </c>
      <c r="AY34" s="20">
        <f t="shared" si="5"/>
        <v>196.56</v>
      </c>
      <c r="AZ34" s="20">
        <f t="shared" si="6"/>
        <v>0</v>
      </c>
      <c r="BA34" s="20">
        <f t="shared" si="7"/>
        <v>14.4</v>
      </c>
      <c r="BB34" s="73">
        <f t="shared" si="4"/>
        <v>12.902222222222223</v>
      </c>
    </row>
    <row r="35" spans="1:54" s="20" customFormat="1">
      <c r="A35" s="46">
        <v>33</v>
      </c>
      <c r="B35" s="51">
        <f t="shared" si="9"/>
        <v>2</v>
      </c>
      <c r="C35" s="9">
        <f t="shared" si="8"/>
        <v>74</v>
      </c>
      <c r="D35" s="20">
        <f t="shared" si="10"/>
        <v>74</v>
      </c>
      <c r="E35" s="20">
        <f>$D35*攻击分赃比!B35*开放指数!B35</f>
        <v>88.8</v>
      </c>
      <c r="F35" s="20">
        <f>$D35*攻击分赃比!C35*开放指数!C35</f>
        <v>111</v>
      </c>
      <c r="G35" s="20">
        <f>$D35*攻击分赃比!D35*开放指数!D35</f>
        <v>148</v>
      </c>
      <c r="H35" s="20">
        <f>$D35*攻击分赃比!E35*开放指数!E35</f>
        <v>185</v>
      </c>
      <c r="I35" s="20">
        <f t="shared" si="12"/>
        <v>34</v>
      </c>
      <c r="J35" s="20">
        <f>$D35*攻击分赃比!G35*开放指数!G35</f>
        <v>22.2</v>
      </c>
      <c r="K35" s="20">
        <f>$D35*攻击分赃比!H35*开放指数!H35</f>
        <v>44.4</v>
      </c>
      <c r="L35" s="20">
        <f>$D35*攻击分赃比!I35*开放指数!I35</f>
        <v>0</v>
      </c>
      <c r="M35" s="20">
        <f>$D35*攻击分赃比!J35*开放指数!J35</f>
        <v>0</v>
      </c>
      <c r="N35" s="20">
        <f>$D35*攻击分赃比!K35*开放指数!K35</f>
        <v>88.8</v>
      </c>
      <c r="O35" s="20">
        <f>$D35*攻击分赃比!M35*开放指数!L35</f>
        <v>111</v>
      </c>
      <c r="P35" s="20">
        <f>$D35*攻击分赃比!N35*开放指数!M35</f>
        <v>148</v>
      </c>
      <c r="Q35" s="20">
        <f>$D35*攻击分赃比!O35*开放指数!N35</f>
        <v>185</v>
      </c>
      <c r="R35" s="20">
        <f>$D35*攻击分赃比!P35*开放指数!O35</f>
        <v>222</v>
      </c>
      <c r="S35" s="20">
        <f>$D35*攻击分赃比!Q35*开放指数!P35</f>
        <v>259</v>
      </c>
      <c r="T35" s="20">
        <f>$D35*攻击分赃比!R35*开放指数!Q35</f>
        <v>55.5</v>
      </c>
      <c r="U35" s="20">
        <f>$D35*攻击分赃比!S35*开放指数!R35</f>
        <v>22.2</v>
      </c>
      <c r="V35" s="20">
        <f>$D35*攻击分赃比!T35*开放指数!S35</f>
        <v>22.2</v>
      </c>
      <c r="W35" s="20">
        <f>$D35*攻击分赃比!U35*开放指数!T35</f>
        <v>3.7</v>
      </c>
      <c r="X35" s="21">
        <f>攻击分赃比!V35*开放指数!U35</f>
        <v>0</v>
      </c>
      <c r="Y35" s="21">
        <f>攻击分赃比!W35*开放指数!V35</f>
        <v>0</v>
      </c>
      <c r="Z35" s="21">
        <f>攻击分赃比!X35*开放指数!W35</f>
        <v>0</v>
      </c>
      <c r="AA35" s="21">
        <f>攻击分赃比!Y35*开放指数!X35</f>
        <v>0</v>
      </c>
      <c r="AB35" s="21">
        <f>攻击分赃比!Z35*开放指数!Y35</f>
        <v>0</v>
      </c>
      <c r="AC35" s="20">
        <f>$D35*攻击分赃比!AB35*开放指数!Z35</f>
        <v>74</v>
      </c>
      <c r="AD35" s="20">
        <f>$D35*攻击分赃比!AC35*开放指数!AA35</f>
        <v>88.8</v>
      </c>
      <c r="AE35" s="20">
        <f>$D35*攻击分赃比!AD35*开放指数!AB35</f>
        <v>111</v>
      </c>
      <c r="AF35" s="20">
        <f>$D35*攻击分赃比!AE35*开放指数!AC35</f>
        <v>148</v>
      </c>
      <c r="AG35" s="20">
        <f>$D35*攻击分赃比!AF35*开放指数!AD35</f>
        <v>185</v>
      </c>
      <c r="AH35" s="20">
        <f>$D35*攻击分赃比!AG35*开放指数!AE35</f>
        <v>0</v>
      </c>
      <c r="AI35" s="20">
        <f>$D35*攻击分赃比!AH35*开放指数!AF35</f>
        <v>14.8</v>
      </c>
      <c r="AJ35" s="20">
        <f>$D35*攻击分赃比!AI35*开放指数!AG35</f>
        <v>0</v>
      </c>
      <c r="AK35" s="20">
        <f>$D35*攻击分赃比!AJ35*开放指数!AH35</f>
        <v>2.2199999999999998</v>
      </c>
      <c r="AL35" s="20">
        <f>$D35*攻击分赃比!AL35*开放指数!AI35</f>
        <v>0</v>
      </c>
      <c r="AM35" s="21">
        <f>攻击分赃比!AM35*开放指数!AJ35</f>
        <v>0</v>
      </c>
      <c r="AN35" s="21">
        <f>攻击分赃比!AN35*开放指数!AK35</f>
        <v>0</v>
      </c>
      <c r="AO35" s="21">
        <f>攻击分赃比!AO35*开放指数!AL35</f>
        <v>0</v>
      </c>
      <c r="AP35" s="21">
        <f>攻击分赃比!AP35*开放指数!AM35</f>
        <v>0</v>
      </c>
      <c r="AQ35" s="21">
        <f>攻击分赃比!AQ35*开放指数!AN35</f>
        <v>0</v>
      </c>
      <c r="AR35" s="20">
        <f>$D35*攻击分赃比!AS35*开放指数!AO35</f>
        <v>14.8</v>
      </c>
      <c r="AS35" s="20">
        <f t="shared" ref="AS35:AS66" si="17">D35+O35+AR35+AL35+AC35</f>
        <v>273.8</v>
      </c>
      <c r="AT35" s="20">
        <f t="shared" ref="AT35:AT66" si="18">H35+I35+J35+K35+L35+M35+N35+S35*(1+AB35)+T35+U35+V35+W35+AG35+AH35+AI35+AJ35+AK35+AL35*(1+AQ35)+AR35</f>
        <v>953.82</v>
      </c>
      <c r="AW35" s="20">
        <f t="shared" ref="AW35:AW66" si="19">H35+I35+J35+K35+L35+M35+N35</f>
        <v>374.4</v>
      </c>
      <c r="AX35" s="20">
        <f t="shared" ref="AX35:AX66" si="20">S35*(1+AB35)+T35+U35+V35+W35</f>
        <v>362.59999999999997</v>
      </c>
      <c r="AY35" s="20">
        <f t="shared" si="5"/>
        <v>202.02</v>
      </c>
      <c r="AZ35" s="20">
        <f t="shared" si="6"/>
        <v>0</v>
      </c>
      <c r="BA35" s="20">
        <f t="shared" si="7"/>
        <v>14.8</v>
      </c>
      <c r="BB35" s="73">
        <f t="shared" ref="BB35:BB66" si="21">AT35/D35</f>
        <v>12.889459459459459</v>
      </c>
    </row>
    <row r="36" spans="1:54" s="20" customFormat="1">
      <c r="A36" s="46">
        <v>34</v>
      </c>
      <c r="B36" s="51">
        <f t="shared" si="9"/>
        <v>2</v>
      </c>
      <c r="C36" s="9">
        <f t="shared" si="8"/>
        <v>76</v>
      </c>
      <c r="D36" s="20">
        <f t="shared" ref="D36:D67" si="22">B36+D35</f>
        <v>76</v>
      </c>
      <c r="E36" s="20">
        <f>$D36*攻击分赃比!B36*开放指数!B36</f>
        <v>91.2</v>
      </c>
      <c r="F36" s="20">
        <f>$D36*攻击分赃比!C36*开放指数!C36</f>
        <v>114</v>
      </c>
      <c r="G36" s="20">
        <f>$D36*攻击分赃比!D36*开放指数!D36</f>
        <v>152</v>
      </c>
      <c r="H36" s="20">
        <f>$D36*攻击分赃比!E36*开放指数!E36</f>
        <v>190</v>
      </c>
      <c r="I36" s="20">
        <f t="shared" si="12"/>
        <v>34</v>
      </c>
      <c r="J36" s="20">
        <f>$D36*攻击分赃比!G36*开放指数!G36</f>
        <v>22.8</v>
      </c>
      <c r="K36" s="20">
        <f>$D36*攻击分赃比!H36*开放指数!H36</f>
        <v>45.6</v>
      </c>
      <c r="L36" s="20">
        <f>$D36*攻击分赃比!I36*开放指数!I36</f>
        <v>0</v>
      </c>
      <c r="M36" s="20">
        <f>$D36*攻击分赃比!J36*开放指数!J36</f>
        <v>0</v>
      </c>
      <c r="N36" s="20">
        <f>$D36*攻击分赃比!K36*开放指数!K36</f>
        <v>91.2</v>
      </c>
      <c r="O36" s="20">
        <f>$D36*攻击分赃比!M36*开放指数!L36</f>
        <v>114</v>
      </c>
      <c r="P36" s="20">
        <f>$D36*攻击分赃比!N36*开放指数!M36</f>
        <v>152</v>
      </c>
      <c r="Q36" s="20">
        <f>$D36*攻击分赃比!O36*开放指数!N36</f>
        <v>190</v>
      </c>
      <c r="R36" s="20">
        <f>$D36*攻击分赃比!P36*开放指数!O36</f>
        <v>228</v>
      </c>
      <c r="S36" s="20">
        <f>$D36*攻击分赃比!Q36*开放指数!P36</f>
        <v>266</v>
      </c>
      <c r="T36" s="20">
        <f>$D36*攻击分赃比!R36*开放指数!Q36</f>
        <v>57</v>
      </c>
      <c r="U36" s="20">
        <f>$D36*攻击分赃比!S36*开放指数!R36</f>
        <v>22.8</v>
      </c>
      <c r="V36" s="20">
        <f>$D36*攻击分赃比!T36*开放指数!S36</f>
        <v>22.8</v>
      </c>
      <c r="W36" s="20">
        <f>$D36*攻击分赃比!U36*开放指数!T36</f>
        <v>3.8000000000000003</v>
      </c>
      <c r="X36" s="21">
        <f>攻击分赃比!V36*开放指数!U36</f>
        <v>0</v>
      </c>
      <c r="Y36" s="21">
        <f>攻击分赃比!W36*开放指数!V36</f>
        <v>0</v>
      </c>
      <c r="Z36" s="21">
        <f>攻击分赃比!X36*开放指数!W36</f>
        <v>0</v>
      </c>
      <c r="AA36" s="21">
        <f>攻击分赃比!Y36*开放指数!X36</f>
        <v>0</v>
      </c>
      <c r="AB36" s="21">
        <f>攻击分赃比!Z36*开放指数!Y36</f>
        <v>0</v>
      </c>
      <c r="AC36" s="20">
        <f>$D36*攻击分赃比!AB36*开放指数!Z36</f>
        <v>76</v>
      </c>
      <c r="AD36" s="20">
        <f>$D36*攻击分赃比!AC36*开放指数!AA36</f>
        <v>91.2</v>
      </c>
      <c r="AE36" s="20">
        <f>$D36*攻击分赃比!AD36*开放指数!AB36</f>
        <v>114</v>
      </c>
      <c r="AF36" s="20">
        <f>$D36*攻击分赃比!AE36*开放指数!AC36</f>
        <v>152</v>
      </c>
      <c r="AG36" s="20">
        <f>$D36*攻击分赃比!AF36*开放指数!AD36</f>
        <v>190</v>
      </c>
      <c r="AH36" s="20">
        <f>$D36*攻击分赃比!AG36*开放指数!AE36</f>
        <v>0</v>
      </c>
      <c r="AI36" s="20">
        <f>$D36*攻击分赃比!AH36*开放指数!AF36</f>
        <v>15.200000000000001</v>
      </c>
      <c r="AJ36" s="20">
        <f>$D36*攻击分赃比!AI36*开放指数!AG36</f>
        <v>0</v>
      </c>
      <c r="AK36" s="20">
        <f>$D36*攻击分赃比!AJ36*开放指数!AH36</f>
        <v>2.2799999999999998</v>
      </c>
      <c r="AL36" s="20">
        <f>$D36*攻击分赃比!AL36*开放指数!AI36</f>
        <v>0</v>
      </c>
      <c r="AM36" s="21">
        <f>攻击分赃比!AM36*开放指数!AJ36</f>
        <v>0</v>
      </c>
      <c r="AN36" s="21">
        <f>攻击分赃比!AN36*开放指数!AK36</f>
        <v>0</v>
      </c>
      <c r="AO36" s="21">
        <f>攻击分赃比!AO36*开放指数!AL36</f>
        <v>0</v>
      </c>
      <c r="AP36" s="21">
        <f>攻击分赃比!AP36*开放指数!AM36</f>
        <v>0</v>
      </c>
      <c r="AQ36" s="21">
        <f>攻击分赃比!AQ36*开放指数!AN36</f>
        <v>0</v>
      </c>
      <c r="AR36" s="20">
        <f>$D36*攻击分赃比!AS36*开放指数!AO36</f>
        <v>15.200000000000001</v>
      </c>
      <c r="AS36" s="20">
        <f t="shared" si="17"/>
        <v>281.2</v>
      </c>
      <c r="AT36" s="20">
        <f t="shared" si="18"/>
        <v>978.68</v>
      </c>
      <c r="AW36" s="20">
        <f t="shared" si="19"/>
        <v>383.6</v>
      </c>
      <c r="AX36" s="20">
        <f t="shared" si="20"/>
        <v>372.40000000000003</v>
      </c>
      <c r="AY36" s="20">
        <f t="shared" si="5"/>
        <v>207.48</v>
      </c>
      <c r="AZ36" s="20">
        <f t="shared" si="6"/>
        <v>0</v>
      </c>
      <c r="BA36" s="20">
        <f t="shared" si="7"/>
        <v>15.200000000000001</v>
      </c>
      <c r="BB36" s="73">
        <f t="shared" si="21"/>
        <v>12.877368421052632</v>
      </c>
    </row>
    <row r="37" spans="1:54" s="20" customFormat="1">
      <c r="A37" s="46">
        <v>35</v>
      </c>
      <c r="B37" s="51">
        <f t="shared" si="9"/>
        <v>2</v>
      </c>
      <c r="C37" s="9">
        <f t="shared" si="8"/>
        <v>78</v>
      </c>
      <c r="D37" s="20">
        <f t="shared" si="22"/>
        <v>78</v>
      </c>
      <c r="E37" s="20">
        <f>$D37*攻击分赃比!B37*开放指数!B37</f>
        <v>93.6</v>
      </c>
      <c r="F37" s="20">
        <f>$D37*攻击分赃比!C37*开放指数!C37</f>
        <v>117</v>
      </c>
      <c r="G37" s="20">
        <f>$D37*攻击分赃比!D37*开放指数!D37</f>
        <v>156</v>
      </c>
      <c r="H37" s="20">
        <f>$D37*攻击分赃比!E37*开放指数!E37</f>
        <v>195</v>
      </c>
      <c r="I37" s="20">
        <f>$D37*攻击分赃比!F37*开放指数!F37</f>
        <v>39</v>
      </c>
      <c r="J37" s="20">
        <f>$D37*攻击分赃比!G37*开放指数!G37</f>
        <v>23.4</v>
      </c>
      <c r="K37" s="20">
        <f>$D37*攻击分赃比!H37*开放指数!H37</f>
        <v>46.8</v>
      </c>
      <c r="L37" s="20">
        <f>$D37*攻击分赃比!I37*开放指数!I37</f>
        <v>0</v>
      </c>
      <c r="M37" s="20">
        <f>$D37*攻击分赃比!J37*开放指数!J37</f>
        <v>0</v>
      </c>
      <c r="N37" s="20">
        <f>$D37*攻击分赃比!K37*开放指数!K37</f>
        <v>93.6</v>
      </c>
      <c r="O37" s="20">
        <f>$D37*攻击分赃比!M37*开放指数!L37</f>
        <v>117</v>
      </c>
      <c r="P37" s="20">
        <f>$D37*攻击分赃比!N37*开放指数!M37</f>
        <v>156</v>
      </c>
      <c r="Q37" s="20">
        <f>$D37*攻击分赃比!O37*开放指数!N37</f>
        <v>195</v>
      </c>
      <c r="R37" s="20">
        <f>$D37*攻击分赃比!P37*开放指数!O37</f>
        <v>234</v>
      </c>
      <c r="S37" s="20">
        <f>$D37*攻击分赃比!Q37*开放指数!P37</f>
        <v>273</v>
      </c>
      <c r="T37" s="20">
        <f>$D37*攻击分赃比!R37*开放指数!Q37</f>
        <v>58.5</v>
      </c>
      <c r="U37" s="20">
        <f>$D37*攻击分赃比!S37*开放指数!R37</f>
        <v>23.4</v>
      </c>
      <c r="V37" s="20">
        <f>$D37*攻击分赃比!T37*开放指数!S37</f>
        <v>23.4</v>
      </c>
      <c r="W37" s="20">
        <f>$D37*攻击分赃比!U37*开放指数!T37</f>
        <v>3.9000000000000004</v>
      </c>
      <c r="X37" s="21">
        <f>攻击分赃比!V37*开放指数!U37</f>
        <v>0</v>
      </c>
      <c r="Y37" s="21">
        <f>攻击分赃比!W37*开放指数!V37</f>
        <v>0</v>
      </c>
      <c r="Z37" s="21">
        <f>攻击分赃比!X37*开放指数!W37</f>
        <v>0</v>
      </c>
      <c r="AA37" s="21">
        <f>攻击分赃比!Y37*开放指数!X37</f>
        <v>0</v>
      </c>
      <c r="AB37" s="21">
        <f>攻击分赃比!Z37*开放指数!Y37</f>
        <v>0</v>
      </c>
      <c r="AC37" s="20">
        <f>$D37*攻击分赃比!AB37*开放指数!Z37</f>
        <v>78</v>
      </c>
      <c r="AD37" s="20">
        <f>$D37*攻击分赃比!AC37*开放指数!AA37</f>
        <v>93.6</v>
      </c>
      <c r="AE37" s="20">
        <f>$D37*攻击分赃比!AD37*开放指数!AB37</f>
        <v>117</v>
      </c>
      <c r="AF37" s="20">
        <f>$D37*攻击分赃比!AE37*开放指数!AC37</f>
        <v>156</v>
      </c>
      <c r="AG37" s="20">
        <f>$D37*攻击分赃比!AF37*开放指数!AD37</f>
        <v>195</v>
      </c>
      <c r="AH37" s="20">
        <f>$D37*攻击分赃比!AG37*开放指数!AE37</f>
        <v>0</v>
      </c>
      <c r="AI37" s="20">
        <f>$D37*攻击分赃比!AH37*开放指数!AF37</f>
        <v>15.600000000000001</v>
      </c>
      <c r="AJ37" s="20">
        <f>$D37*攻击分赃比!AI37*开放指数!AG37</f>
        <v>0</v>
      </c>
      <c r="AK37" s="20">
        <f>$D37*攻击分赃比!AJ37*开放指数!AH37</f>
        <v>2.34</v>
      </c>
      <c r="AL37" s="20">
        <f>$D37*攻击分赃比!AL37*开放指数!AI37</f>
        <v>0</v>
      </c>
      <c r="AM37" s="21">
        <f>攻击分赃比!AM37*开放指数!AJ37</f>
        <v>0</v>
      </c>
      <c r="AN37" s="21">
        <f>攻击分赃比!AN37*开放指数!AK37</f>
        <v>0</v>
      </c>
      <c r="AO37" s="21">
        <f>攻击分赃比!AO37*开放指数!AL37</f>
        <v>0</v>
      </c>
      <c r="AP37" s="21">
        <f>攻击分赃比!AP37*开放指数!AM37</f>
        <v>0</v>
      </c>
      <c r="AQ37" s="21">
        <f>攻击分赃比!AQ37*开放指数!AN37</f>
        <v>0</v>
      </c>
      <c r="AR37" s="20">
        <f>$D37*攻击分赃比!AS37*开放指数!AO37</f>
        <v>15.600000000000001</v>
      </c>
      <c r="AS37" s="20">
        <f t="shared" si="17"/>
        <v>288.60000000000002</v>
      </c>
      <c r="AT37" s="20">
        <f t="shared" si="18"/>
        <v>1008.54</v>
      </c>
      <c r="AW37" s="20">
        <f t="shared" si="19"/>
        <v>397.79999999999995</v>
      </c>
      <c r="AX37" s="20">
        <f t="shared" si="20"/>
        <v>382.19999999999993</v>
      </c>
      <c r="AY37" s="20">
        <f t="shared" si="5"/>
        <v>212.94</v>
      </c>
      <c r="AZ37" s="20">
        <f t="shared" si="6"/>
        <v>0</v>
      </c>
      <c r="BA37" s="20">
        <f t="shared" si="7"/>
        <v>15.600000000000001</v>
      </c>
      <c r="BB37" s="73">
        <f t="shared" si="21"/>
        <v>12.93</v>
      </c>
    </row>
    <row r="38" spans="1:54" s="20" customFormat="1">
      <c r="A38" s="46">
        <v>36</v>
      </c>
      <c r="B38" s="51">
        <f t="shared" si="9"/>
        <v>2</v>
      </c>
      <c r="C38" s="9">
        <f t="shared" si="8"/>
        <v>80</v>
      </c>
      <c r="D38" s="20">
        <f t="shared" si="22"/>
        <v>80</v>
      </c>
      <c r="E38" s="20">
        <f>$D38*攻击分赃比!B38*开放指数!B38</f>
        <v>96</v>
      </c>
      <c r="F38" s="20">
        <f>$D38*攻击分赃比!C38*开放指数!C38</f>
        <v>120</v>
      </c>
      <c r="G38" s="20">
        <f>$D38*攻击分赃比!D38*开放指数!D38</f>
        <v>160</v>
      </c>
      <c r="H38" s="20">
        <f>$D38*攻击分赃比!E38*开放指数!E38</f>
        <v>200</v>
      </c>
      <c r="I38" s="20">
        <f t="shared" ref="I38" si="23">I37</f>
        <v>39</v>
      </c>
      <c r="J38" s="20">
        <f>$D38*攻击分赃比!G38*开放指数!G38</f>
        <v>24</v>
      </c>
      <c r="K38" s="20">
        <f>$D38*攻击分赃比!H38*开放指数!H38</f>
        <v>48</v>
      </c>
      <c r="L38" s="20">
        <f>$D38*攻击分赃比!I38*开放指数!I38</f>
        <v>0</v>
      </c>
      <c r="M38" s="20">
        <f>$D38*攻击分赃比!J38*开放指数!J38</f>
        <v>0</v>
      </c>
      <c r="N38" s="20">
        <f>$D38*攻击分赃比!K38*开放指数!K38</f>
        <v>96</v>
      </c>
      <c r="O38" s="20">
        <f>$D38*攻击分赃比!M38*开放指数!L38</f>
        <v>120</v>
      </c>
      <c r="P38" s="20">
        <f>$D38*攻击分赃比!N38*开放指数!M38</f>
        <v>160</v>
      </c>
      <c r="Q38" s="20">
        <f>$D38*攻击分赃比!O38*开放指数!N38</f>
        <v>200</v>
      </c>
      <c r="R38" s="20">
        <f>$D38*攻击分赃比!P38*开放指数!O38</f>
        <v>240</v>
      </c>
      <c r="S38" s="20">
        <f>$D38*攻击分赃比!Q38*开放指数!P38</f>
        <v>280</v>
      </c>
      <c r="T38" s="20">
        <f>$D38*攻击分赃比!R38*开放指数!Q38</f>
        <v>60</v>
      </c>
      <c r="U38" s="20">
        <f>$D38*攻击分赃比!S38*开放指数!R38</f>
        <v>24</v>
      </c>
      <c r="V38" s="20">
        <f>$D38*攻击分赃比!T38*开放指数!S38</f>
        <v>24</v>
      </c>
      <c r="W38" s="20">
        <f>$D38*攻击分赃比!U38*开放指数!T38</f>
        <v>4</v>
      </c>
      <c r="X38" s="21">
        <f>攻击分赃比!V38*开放指数!U38</f>
        <v>0</v>
      </c>
      <c r="Y38" s="21">
        <f>攻击分赃比!W38*开放指数!V38</f>
        <v>0</v>
      </c>
      <c r="Z38" s="21">
        <f>攻击分赃比!X38*开放指数!W38</f>
        <v>0</v>
      </c>
      <c r="AA38" s="21">
        <f>攻击分赃比!Y38*开放指数!X38</f>
        <v>0</v>
      </c>
      <c r="AB38" s="21">
        <f>攻击分赃比!Z38*开放指数!Y38</f>
        <v>0</v>
      </c>
      <c r="AC38" s="20">
        <f>$D38*攻击分赃比!AB38*开放指数!Z38</f>
        <v>80</v>
      </c>
      <c r="AD38" s="20">
        <f>$D38*攻击分赃比!AC38*开放指数!AA38</f>
        <v>96</v>
      </c>
      <c r="AE38" s="20">
        <f>$D38*攻击分赃比!AD38*开放指数!AB38</f>
        <v>120</v>
      </c>
      <c r="AF38" s="20">
        <f>$D38*攻击分赃比!AE38*开放指数!AC38</f>
        <v>160</v>
      </c>
      <c r="AG38" s="20">
        <f>$D38*攻击分赃比!AF38*开放指数!AD38</f>
        <v>200</v>
      </c>
      <c r="AH38" s="20">
        <f>$D38*攻击分赃比!AG38*开放指数!AE38</f>
        <v>0</v>
      </c>
      <c r="AI38" s="20">
        <f>$D38*攻击分赃比!AH38*开放指数!AF38</f>
        <v>16</v>
      </c>
      <c r="AJ38" s="20">
        <f>$D38*攻击分赃比!AI38*开放指数!AG38</f>
        <v>0</v>
      </c>
      <c r="AK38" s="20">
        <f>$D38*攻击分赃比!AJ38*开放指数!AH38</f>
        <v>2.4</v>
      </c>
      <c r="AL38" s="20">
        <f>$D38*攻击分赃比!AL38*开放指数!AI38</f>
        <v>0</v>
      </c>
      <c r="AM38" s="21">
        <f>攻击分赃比!AM38*开放指数!AJ38</f>
        <v>0</v>
      </c>
      <c r="AN38" s="21">
        <f>攻击分赃比!AN38*开放指数!AK38</f>
        <v>0</v>
      </c>
      <c r="AO38" s="21">
        <f>攻击分赃比!AO38*开放指数!AL38</f>
        <v>0</v>
      </c>
      <c r="AP38" s="21">
        <f>攻击分赃比!AP38*开放指数!AM38</f>
        <v>0</v>
      </c>
      <c r="AQ38" s="21">
        <f>攻击分赃比!AQ38*开放指数!AN38</f>
        <v>0</v>
      </c>
      <c r="AR38" s="20">
        <f>$D38*攻击分赃比!AS38*开放指数!AO38</f>
        <v>16</v>
      </c>
      <c r="AS38" s="20">
        <f t="shared" si="17"/>
        <v>296</v>
      </c>
      <c r="AT38" s="20">
        <f t="shared" si="18"/>
        <v>1033.4000000000001</v>
      </c>
      <c r="AW38" s="20">
        <f t="shared" si="19"/>
        <v>407</v>
      </c>
      <c r="AX38" s="20">
        <f t="shared" si="20"/>
        <v>392</v>
      </c>
      <c r="AY38" s="20">
        <f t="shared" si="5"/>
        <v>218.4</v>
      </c>
      <c r="AZ38" s="20">
        <f t="shared" si="6"/>
        <v>0</v>
      </c>
      <c r="BA38" s="20">
        <f t="shared" si="7"/>
        <v>16</v>
      </c>
      <c r="BB38" s="73">
        <f t="shared" si="21"/>
        <v>12.9175</v>
      </c>
    </row>
    <row r="39" spans="1:54" s="20" customFormat="1">
      <c r="A39" s="46">
        <v>37</v>
      </c>
      <c r="B39" s="51">
        <f t="shared" si="9"/>
        <v>2</v>
      </c>
      <c r="C39" s="9">
        <f t="shared" si="8"/>
        <v>82</v>
      </c>
      <c r="D39" s="20">
        <f t="shared" si="22"/>
        <v>82</v>
      </c>
      <c r="E39" s="20">
        <f>$D39*攻击分赃比!B39*开放指数!B39</f>
        <v>98.399999999999991</v>
      </c>
      <c r="F39" s="20">
        <f>$D39*攻击分赃比!C39*开放指数!C39</f>
        <v>123</v>
      </c>
      <c r="G39" s="20">
        <f>$D39*攻击分赃比!D39*开放指数!D39</f>
        <v>164</v>
      </c>
      <c r="H39" s="20">
        <f>$D39*攻击分赃比!E39*开放指数!E39</f>
        <v>205</v>
      </c>
      <c r="I39" s="20">
        <f t="shared" si="12"/>
        <v>39</v>
      </c>
      <c r="J39" s="20">
        <f>$D39*攻击分赃比!G39*开放指数!G39</f>
        <v>24.599999999999998</v>
      </c>
      <c r="K39" s="20">
        <f>$D39*攻击分赃比!H39*开放指数!H39</f>
        <v>49.199999999999996</v>
      </c>
      <c r="L39" s="20">
        <f>$D39*攻击分赃比!I39*开放指数!I39</f>
        <v>0</v>
      </c>
      <c r="M39" s="20">
        <f>$D39*攻击分赃比!J39*开放指数!J39</f>
        <v>0</v>
      </c>
      <c r="N39" s="20">
        <f>$D39*攻击分赃比!K39*开放指数!K39</f>
        <v>98.399999999999991</v>
      </c>
      <c r="O39" s="20">
        <f>$D39*攻击分赃比!M39*开放指数!L39</f>
        <v>123</v>
      </c>
      <c r="P39" s="20">
        <f>$D39*攻击分赃比!N39*开放指数!M39</f>
        <v>164</v>
      </c>
      <c r="Q39" s="20">
        <f>$D39*攻击分赃比!O39*开放指数!N39</f>
        <v>205</v>
      </c>
      <c r="R39" s="20">
        <f>$D39*攻击分赃比!P39*开放指数!O39</f>
        <v>246</v>
      </c>
      <c r="S39" s="20">
        <f>$D39*攻击分赃比!Q39*开放指数!P39</f>
        <v>287</v>
      </c>
      <c r="T39" s="20">
        <f>$D39*攻击分赃比!R39*开放指数!Q39</f>
        <v>61.5</v>
      </c>
      <c r="U39" s="20">
        <f>$D39*攻击分赃比!S39*开放指数!R39</f>
        <v>24.599999999999998</v>
      </c>
      <c r="V39" s="20">
        <f>$D39*攻击分赃比!T39*开放指数!S39</f>
        <v>24.599999999999998</v>
      </c>
      <c r="W39" s="20">
        <f>$D39*攻击分赃比!U39*开放指数!T39</f>
        <v>4.1000000000000005</v>
      </c>
      <c r="X39" s="21">
        <f>攻击分赃比!V39*开放指数!U39</f>
        <v>0</v>
      </c>
      <c r="Y39" s="21">
        <f>攻击分赃比!W39*开放指数!V39</f>
        <v>0</v>
      </c>
      <c r="Z39" s="21">
        <f>攻击分赃比!X39*开放指数!W39</f>
        <v>0</v>
      </c>
      <c r="AA39" s="21">
        <f>攻击分赃比!Y39*开放指数!X39</f>
        <v>0</v>
      </c>
      <c r="AB39" s="21">
        <f>攻击分赃比!Z39*开放指数!Y39</f>
        <v>0</v>
      </c>
      <c r="AC39" s="20">
        <f>$D39*攻击分赃比!AB39*开放指数!Z39</f>
        <v>82</v>
      </c>
      <c r="AD39" s="20">
        <f>$D39*攻击分赃比!AC39*开放指数!AA39</f>
        <v>98.399999999999991</v>
      </c>
      <c r="AE39" s="20">
        <f>$D39*攻击分赃比!AD39*开放指数!AB39</f>
        <v>123</v>
      </c>
      <c r="AF39" s="20">
        <f>$D39*攻击分赃比!AE39*开放指数!AC39</f>
        <v>164</v>
      </c>
      <c r="AG39" s="20">
        <f>$D39*攻击分赃比!AF39*开放指数!AD39</f>
        <v>205</v>
      </c>
      <c r="AH39" s="20">
        <f>$D39*攻击分赃比!AG39*开放指数!AE39</f>
        <v>0</v>
      </c>
      <c r="AI39" s="20">
        <f>$D39*攻击分赃比!AH39*开放指数!AF39</f>
        <v>16.400000000000002</v>
      </c>
      <c r="AJ39" s="20">
        <f>$D39*攻击分赃比!AI39*开放指数!AG39</f>
        <v>0</v>
      </c>
      <c r="AK39" s="20">
        <f>$D39*攻击分赃比!AJ39*开放指数!AH39</f>
        <v>2.46</v>
      </c>
      <c r="AL39" s="20">
        <f>$D39*攻击分赃比!AL39*开放指数!AI39</f>
        <v>0</v>
      </c>
      <c r="AM39" s="21">
        <f>攻击分赃比!AM39*开放指数!AJ39</f>
        <v>0</v>
      </c>
      <c r="AN39" s="21">
        <f>攻击分赃比!AN39*开放指数!AK39</f>
        <v>0</v>
      </c>
      <c r="AO39" s="21">
        <f>攻击分赃比!AO39*开放指数!AL39</f>
        <v>0</v>
      </c>
      <c r="AP39" s="21">
        <f>攻击分赃比!AP39*开放指数!AM39</f>
        <v>0</v>
      </c>
      <c r="AQ39" s="21">
        <f>攻击分赃比!AQ39*开放指数!AN39</f>
        <v>0</v>
      </c>
      <c r="AR39" s="20">
        <f>$D39*攻击分赃比!AS39*开放指数!AO39</f>
        <v>16.400000000000002</v>
      </c>
      <c r="AS39" s="20">
        <f t="shared" si="17"/>
        <v>303.39999999999998</v>
      </c>
      <c r="AT39" s="20">
        <f t="shared" si="18"/>
        <v>1058.2600000000002</v>
      </c>
      <c r="AW39" s="20">
        <f t="shared" si="19"/>
        <v>416.2</v>
      </c>
      <c r="AX39" s="20">
        <f t="shared" si="20"/>
        <v>401.80000000000007</v>
      </c>
      <c r="AY39" s="20">
        <f t="shared" si="5"/>
        <v>223.86</v>
      </c>
      <c r="AZ39" s="20">
        <f t="shared" si="6"/>
        <v>0</v>
      </c>
      <c r="BA39" s="20">
        <f t="shared" si="7"/>
        <v>16.400000000000002</v>
      </c>
      <c r="BB39" s="73">
        <f t="shared" si="21"/>
        <v>12.905609756097563</v>
      </c>
    </row>
    <row r="40" spans="1:54" s="20" customFormat="1">
      <c r="A40" s="46">
        <v>38</v>
      </c>
      <c r="B40" s="51">
        <f t="shared" si="9"/>
        <v>2</v>
      </c>
      <c r="C40" s="9">
        <f t="shared" si="8"/>
        <v>84</v>
      </c>
      <c r="D40" s="20">
        <f t="shared" si="22"/>
        <v>84</v>
      </c>
      <c r="E40" s="20">
        <f>$D40*攻击分赃比!B40*开放指数!B40</f>
        <v>100.8</v>
      </c>
      <c r="F40" s="20">
        <f>$D40*攻击分赃比!C40*开放指数!C40</f>
        <v>126</v>
      </c>
      <c r="G40" s="20">
        <f>$D40*攻击分赃比!D40*开放指数!D40</f>
        <v>168</v>
      </c>
      <c r="H40" s="20">
        <f>$D40*攻击分赃比!E40*开放指数!E40</f>
        <v>210</v>
      </c>
      <c r="I40" s="20">
        <f t="shared" si="12"/>
        <v>39</v>
      </c>
      <c r="J40" s="20">
        <f>$D40*攻击分赃比!G40*开放指数!G40</f>
        <v>25.2</v>
      </c>
      <c r="K40" s="20">
        <f>$D40*攻击分赃比!H40*开放指数!H40</f>
        <v>50.4</v>
      </c>
      <c r="L40" s="20">
        <f>$D40*攻击分赃比!I40*开放指数!I40</f>
        <v>0</v>
      </c>
      <c r="M40" s="20">
        <f>$D40*攻击分赃比!J40*开放指数!J40</f>
        <v>0</v>
      </c>
      <c r="N40" s="20">
        <f>$D40*攻击分赃比!K40*开放指数!K40</f>
        <v>100.8</v>
      </c>
      <c r="O40" s="20">
        <f>$D40*攻击分赃比!M40*开放指数!L40</f>
        <v>126</v>
      </c>
      <c r="P40" s="20">
        <f>$D40*攻击分赃比!N40*开放指数!M40</f>
        <v>168</v>
      </c>
      <c r="Q40" s="20">
        <f>$D40*攻击分赃比!O40*开放指数!N40</f>
        <v>210</v>
      </c>
      <c r="R40" s="20">
        <f>$D40*攻击分赃比!P40*开放指数!O40</f>
        <v>252</v>
      </c>
      <c r="S40" s="20">
        <f>$D40*攻击分赃比!Q40*开放指数!P40</f>
        <v>294</v>
      </c>
      <c r="T40" s="20">
        <f>$D40*攻击分赃比!R40*开放指数!Q40</f>
        <v>63</v>
      </c>
      <c r="U40" s="20">
        <f>$D40*攻击分赃比!S40*开放指数!R40</f>
        <v>25.2</v>
      </c>
      <c r="V40" s="20">
        <f>$D40*攻击分赃比!T40*开放指数!S40</f>
        <v>25.2</v>
      </c>
      <c r="W40" s="20">
        <f>$D40*攻击分赃比!U40*开放指数!T40</f>
        <v>4.2</v>
      </c>
      <c r="X40" s="21">
        <f>攻击分赃比!V40*开放指数!U40</f>
        <v>0</v>
      </c>
      <c r="Y40" s="21">
        <f>攻击分赃比!W40*开放指数!V40</f>
        <v>0</v>
      </c>
      <c r="Z40" s="21">
        <f>攻击分赃比!X40*开放指数!W40</f>
        <v>0</v>
      </c>
      <c r="AA40" s="21">
        <f>攻击分赃比!Y40*开放指数!X40</f>
        <v>0</v>
      </c>
      <c r="AB40" s="21">
        <f>攻击分赃比!Z40*开放指数!Y40</f>
        <v>0</v>
      </c>
      <c r="AC40" s="20">
        <f>$D40*攻击分赃比!AB40*开放指数!Z40</f>
        <v>84</v>
      </c>
      <c r="AD40" s="20">
        <f>$D40*攻击分赃比!AC40*开放指数!AA40</f>
        <v>100.8</v>
      </c>
      <c r="AE40" s="20">
        <f>$D40*攻击分赃比!AD40*开放指数!AB40</f>
        <v>126</v>
      </c>
      <c r="AF40" s="20">
        <f>$D40*攻击分赃比!AE40*开放指数!AC40</f>
        <v>168</v>
      </c>
      <c r="AG40" s="20">
        <f>$D40*攻击分赃比!AF40*开放指数!AD40</f>
        <v>210</v>
      </c>
      <c r="AH40" s="20">
        <f>$D40*攻击分赃比!AG40*开放指数!AE40</f>
        <v>0</v>
      </c>
      <c r="AI40" s="20">
        <f>$D40*攻击分赃比!AH40*开放指数!AF40</f>
        <v>16.8</v>
      </c>
      <c r="AJ40" s="20">
        <f>$D40*攻击分赃比!AI40*开放指数!AG40</f>
        <v>0</v>
      </c>
      <c r="AK40" s="20">
        <f>$D40*攻击分赃比!AJ40*开放指数!AH40</f>
        <v>2.52</v>
      </c>
      <c r="AL40" s="20">
        <f>$D40*攻击分赃比!AL40*开放指数!AI40</f>
        <v>0</v>
      </c>
      <c r="AM40" s="21">
        <f>攻击分赃比!AM40*开放指数!AJ40</f>
        <v>0</v>
      </c>
      <c r="AN40" s="21">
        <f>攻击分赃比!AN40*开放指数!AK40</f>
        <v>0</v>
      </c>
      <c r="AO40" s="21">
        <f>攻击分赃比!AO40*开放指数!AL40</f>
        <v>0</v>
      </c>
      <c r="AP40" s="21">
        <f>攻击分赃比!AP40*开放指数!AM40</f>
        <v>0</v>
      </c>
      <c r="AQ40" s="21">
        <f>攻击分赃比!AQ40*开放指数!AN40</f>
        <v>0</v>
      </c>
      <c r="AR40" s="20">
        <f>$D40*攻击分赃比!AS40*开放指数!AO40</f>
        <v>16.8</v>
      </c>
      <c r="AS40" s="20">
        <f t="shared" si="17"/>
        <v>310.8</v>
      </c>
      <c r="AT40" s="20">
        <f t="shared" si="18"/>
        <v>1083.1199999999999</v>
      </c>
      <c r="AW40" s="20">
        <f t="shared" si="19"/>
        <v>425.4</v>
      </c>
      <c r="AX40" s="20">
        <f t="shared" si="20"/>
        <v>411.59999999999997</v>
      </c>
      <c r="AY40" s="20">
        <f t="shared" si="5"/>
        <v>229.32000000000002</v>
      </c>
      <c r="AZ40" s="20">
        <f t="shared" si="6"/>
        <v>0</v>
      </c>
      <c r="BA40" s="20">
        <f t="shared" si="7"/>
        <v>16.8</v>
      </c>
      <c r="BB40" s="73">
        <f t="shared" si="21"/>
        <v>12.894285714285713</v>
      </c>
    </row>
    <row r="41" spans="1:54" s="20" customFormat="1">
      <c r="A41" s="46">
        <v>39</v>
      </c>
      <c r="B41" s="51">
        <f t="shared" si="9"/>
        <v>2</v>
      </c>
      <c r="C41" s="9">
        <f t="shared" si="8"/>
        <v>86</v>
      </c>
      <c r="D41" s="20">
        <f t="shared" si="22"/>
        <v>86</v>
      </c>
      <c r="E41" s="20">
        <f>$D41*攻击分赃比!B41*开放指数!B41</f>
        <v>103.2</v>
      </c>
      <c r="F41" s="20">
        <f>$D41*攻击分赃比!C41*开放指数!C41</f>
        <v>129</v>
      </c>
      <c r="G41" s="20">
        <f>$D41*攻击分赃比!D41*开放指数!D41</f>
        <v>172</v>
      </c>
      <c r="H41" s="20">
        <f>$D41*攻击分赃比!E41*开放指数!E41</f>
        <v>215</v>
      </c>
      <c r="I41" s="20">
        <f t="shared" si="12"/>
        <v>39</v>
      </c>
      <c r="J41" s="20">
        <f>$D41*攻击分赃比!G41*开放指数!G41</f>
        <v>25.8</v>
      </c>
      <c r="K41" s="20">
        <f>$D41*攻击分赃比!H41*开放指数!H41</f>
        <v>51.6</v>
      </c>
      <c r="L41" s="20">
        <f>$D41*攻击分赃比!I41*开放指数!I41</f>
        <v>0</v>
      </c>
      <c r="M41" s="20">
        <f>$D41*攻击分赃比!J41*开放指数!J41</f>
        <v>0</v>
      </c>
      <c r="N41" s="20">
        <f>$D41*攻击分赃比!K41*开放指数!K41</f>
        <v>103.2</v>
      </c>
      <c r="O41" s="20">
        <f>$D41*攻击分赃比!M41*开放指数!L41</f>
        <v>129</v>
      </c>
      <c r="P41" s="20">
        <f>$D41*攻击分赃比!N41*开放指数!M41</f>
        <v>172</v>
      </c>
      <c r="Q41" s="20">
        <f>$D41*攻击分赃比!O41*开放指数!N41</f>
        <v>215</v>
      </c>
      <c r="R41" s="20">
        <f>$D41*攻击分赃比!P41*开放指数!O41</f>
        <v>258</v>
      </c>
      <c r="S41" s="20">
        <f>$D41*攻击分赃比!Q41*开放指数!P41</f>
        <v>301</v>
      </c>
      <c r="T41" s="20">
        <f>$D41*攻击分赃比!R41*开放指数!Q41</f>
        <v>64.5</v>
      </c>
      <c r="U41" s="20">
        <f>$D41*攻击分赃比!S41*开放指数!R41</f>
        <v>25.8</v>
      </c>
      <c r="V41" s="20">
        <f>$D41*攻击分赃比!T41*开放指数!S41</f>
        <v>25.8</v>
      </c>
      <c r="W41" s="20">
        <f>$D41*攻击分赃比!U41*开放指数!T41</f>
        <v>4.3</v>
      </c>
      <c r="X41" s="21">
        <f>攻击分赃比!V41*开放指数!U41</f>
        <v>0</v>
      </c>
      <c r="Y41" s="21">
        <f>攻击分赃比!W41*开放指数!V41</f>
        <v>0</v>
      </c>
      <c r="Z41" s="21">
        <f>攻击分赃比!X41*开放指数!W41</f>
        <v>0</v>
      </c>
      <c r="AA41" s="21">
        <f>攻击分赃比!Y41*开放指数!X41</f>
        <v>0</v>
      </c>
      <c r="AB41" s="21">
        <f>攻击分赃比!Z41*开放指数!Y41</f>
        <v>0</v>
      </c>
      <c r="AC41" s="20">
        <f>$D41*攻击分赃比!AB41*开放指数!Z41</f>
        <v>86</v>
      </c>
      <c r="AD41" s="20">
        <f>$D41*攻击分赃比!AC41*开放指数!AA41</f>
        <v>103.2</v>
      </c>
      <c r="AE41" s="20">
        <f>$D41*攻击分赃比!AD41*开放指数!AB41</f>
        <v>129</v>
      </c>
      <c r="AF41" s="20">
        <f>$D41*攻击分赃比!AE41*开放指数!AC41</f>
        <v>172</v>
      </c>
      <c r="AG41" s="20">
        <f>$D41*攻击分赃比!AF41*开放指数!AD41</f>
        <v>215</v>
      </c>
      <c r="AH41" s="20">
        <f>$D41*攻击分赃比!AG41*开放指数!AE41</f>
        <v>0</v>
      </c>
      <c r="AI41" s="20">
        <f>$D41*攻击分赃比!AH41*开放指数!AF41</f>
        <v>17.2</v>
      </c>
      <c r="AJ41" s="20">
        <f>$D41*攻击分赃比!AI41*开放指数!AG41</f>
        <v>0</v>
      </c>
      <c r="AK41" s="20">
        <f>$D41*攻击分赃比!AJ41*开放指数!AH41</f>
        <v>2.58</v>
      </c>
      <c r="AL41" s="20">
        <f>$D41*攻击分赃比!AL41*开放指数!AI41</f>
        <v>0</v>
      </c>
      <c r="AM41" s="21">
        <f>攻击分赃比!AM41*开放指数!AJ41</f>
        <v>0</v>
      </c>
      <c r="AN41" s="21">
        <f>攻击分赃比!AN41*开放指数!AK41</f>
        <v>0</v>
      </c>
      <c r="AO41" s="21">
        <f>攻击分赃比!AO41*开放指数!AL41</f>
        <v>0</v>
      </c>
      <c r="AP41" s="21">
        <f>攻击分赃比!AP41*开放指数!AM41</f>
        <v>0</v>
      </c>
      <c r="AQ41" s="21">
        <f>攻击分赃比!AQ41*开放指数!AN41</f>
        <v>0</v>
      </c>
      <c r="AR41" s="20">
        <f>$D41*攻击分赃比!AS41*开放指数!AO41</f>
        <v>17.2</v>
      </c>
      <c r="AS41" s="20">
        <f t="shared" si="17"/>
        <v>318.2</v>
      </c>
      <c r="AT41" s="20">
        <f t="shared" si="18"/>
        <v>1107.98</v>
      </c>
      <c r="AW41" s="20">
        <f t="shared" si="19"/>
        <v>434.6</v>
      </c>
      <c r="AX41" s="20">
        <f t="shared" si="20"/>
        <v>421.40000000000003</v>
      </c>
      <c r="AY41" s="20">
        <f t="shared" si="5"/>
        <v>234.78</v>
      </c>
      <c r="AZ41" s="20">
        <f t="shared" si="6"/>
        <v>0</v>
      </c>
      <c r="BA41" s="20">
        <f t="shared" si="7"/>
        <v>17.2</v>
      </c>
      <c r="BB41" s="73">
        <f t="shared" si="21"/>
        <v>12.883488372093023</v>
      </c>
    </row>
    <row r="42" spans="1:54" s="20" customFormat="1">
      <c r="A42" s="46">
        <v>40</v>
      </c>
      <c r="B42" s="51">
        <f t="shared" si="9"/>
        <v>2</v>
      </c>
      <c r="C42" s="9">
        <f t="shared" si="8"/>
        <v>88</v>
      </c>
      <c r="D42" s="20">
        <f t="shared" si="22"/>
        <v>88</v>
      </c>
      <c r="E42" s="20">
        <f>$D42*攻击分赃比!B42*开放指数!B42</f>
        <v>105.6</v>
      </c>
      <c r="F42" s="20">
        <f>$D42*攻击分赃比!C42*开放指数!C42</f>
        <v>132</v>
      </c>
      <c r="G42" s="20">
        <f>$D42*攻击分赃比!D42*开放指数!D42</f>
        <v>176</v>
      </c>
      <c r="H42" s="20">
        <f>$D42*攻击分赃比!E42*开放指数!E42</f>
        <v>220</v>
      </c>
      <c r="I42" s="20">
        <f>$D42*攻击分赃比!F42*开放指数!F42</f>
        <v>44</v>
      </c>
      <c r="J42" s="20">
        <f>$D42*攻击分赃比!G42*开放指数!G42</f>
        <v>26.4</v>
      </c>
      <c r="K42" s="20">
        <f>$D42*攻击分赃比!H42*开放指数!H42</f>
        <v>52.8</v>
      </c>
      <c r="L42" s="20">
        <f>$D42*攻击分赃比!I42*开放指数!I42</f>
        <v>0</v>
      </c>
      <c r="M42" s="20">
        <f>$D42*攻击分赃比!J42*开放指数!J42</f>
        <v>0</v>
      </c>
      <c r="N42" s="20">
        <f>$D42*攻击分赃比!K42*开放指数!K42</f>
        <v>105.6</v>
      </c>
      <c r="O42" s="20">
        <f>$D42*攻击分赃比!M42*开放指数!L42</f>
        <v>132</v>
      </c>
      <c r="P42" s="20">
        <f>$D42*攻击分赃比!N42*开放指数!M42</f>
        <v>176</v>
      </c>
      <c r="Q42" s="20">
        <f>$D42*攻击分赃比!O42*开放指数!N42</f>
        <v>220</v>
      </c>
      <c r="R42" s="20">
        <f>$D42*攻击分赃比!P42*开放指数!O42</f>
        <v>264</v>
      </c>
      <c r="S42" s="20">
        <f>$D42*攻击分赃比!Q42*开放指数!P42</f>
        <v>308</v>
      </c>
      <c r="T42" s="20">
        <f>$D42*攻击分赃比!R42*开放指数!Q42</f>
        <v>66</v>
      </c>
      <c r="U42" s="20">
        <f>$D42*攻击分赃比!S42*开放指数!R42</f>
        <v>26.4</v>
      </c>
      <c r="V42" s="20">
        <f>$D42*攻击分赃比!T42*开放指数!S42</f>
        <v>26.4</v>
      </c>
      <c r="W42" s="20">
        <f>$D42*攻击分赃比!U42*开放指数!T42</f>
        <v>4.4000000000000004</v>
      </c>
      <c r="X42" s="21">
        <f>攻击分赃比!V42*开放指数!U42</f>
        <v>0</v>
      </c>
      <c r="Y42" s="21">
        <f>攻击分赃比!W42*开放指数!V42</f>
        <v>0</v>
      </c>
      <c r="Z42" s="21">
        <f>攻击分赃比!X42*开放指数!W42</f>
        <v>0</v>
      </c>
      <c r="AA42" s="21">
        <f>攻击分赃比!Y42*开放指数!X42</f>
        <v>0</v>
      </c>
      <c r="AB42" s="21">
        <f>攻击分赃比!Z42*开放指数!Y42</f>
        <v>0</v>
      </c>
      <c r="AC42" s="20">
        <f>$D42*攻击分赃比!AB42*开放指数!Z42</f>
        <v>88</v>
      </c>
      <c r="AD42" s="20">
        <f>$D42*攻击分赃比!AC42*开放指数!AA42</f>
        <v>105.6</v>
      </c>
      <c r="AE42" s="20">
        <f>$D42*攻击分赃比!AD42*开放指数!AB42</f>
        <v>132</v>
      </c>
      <c r="AF42" s="20">
        <f>$D42*攻击分赃比!AE42*开放指数!AC42</f>
        <v>176</v>
      </c>
      <c r="AG42" s="20">
        <f>$D42*攻击分赃比!AF42*开放指数!AD42</f>
        <v>220</v>
      </c>
      <c r="AH42" s="20">
        <f>$D42*攻击分赃比!AG42*开放指数!AE42</f>
        <v>44</v>
      </c>
      <c r="AI42" s="20">
        <f>$D42*攻击分赃比!AH42*开放指数!AF42</f>
        <v>17.600000000000001</v>
      </c>
      <c r="AJ42" s="20">
        <f>$D42*攻击分赃比!AI42*开放指数!AG42</f>
        <v>17.600000000000001</v>
      </c>
      <c r="AK42" s="20">
        <f>$D42*攻击分赃比!AJ42*开放指数!AH42</f>
        <v>2.6399999999999997</v>
      </c>
      <c r="AL42" s="20">
        <f>$D42*攻击分赃比!AL42*开放指数!AI42</f>
        <v>0</v>
      </c>
      <c r="AM42" s="21">
        <f>攻击分赃比!AM42*开放指数!AJ42</f>
        <v>0</v>
      </c>
      <c r="AN42" s="21">
        <f>攻击分赃比!AN42*开放指数!AK42</f>
        <v>0</v>
      </c>
      <c r="AO42" s="21">
        <f>攻击分赃比!AO42*开放指数!AL42</f>
        <v>0</v>
      </c>
      <c r="AP42" s="21">
        <f>攻击分赃比!AP42*开放指数!AM42</f>
        <v>0</v>
      </c>
      <c r="AQ42" s="21">
        <f>攻击分赃比!AQ42*开放指数!AN42</f>
        <v>0</v>
      </c>
      <c r="AR42" s="20">
        <f>$D42*攻击分赃比!AS42*开放指数!AO42</f>
        <v>17.600000000000001</v>
      </c>
      <c r="AS42" s="20">
        <f t="shared" si="17"/>
        <v>325.60000000000002</v>
      </c>
      <c r="AT42" s="20">
        <f t="shared" si="18"/>
        <v>1199.4399999999998</v>
      </c>
      <c r="AW42" s="20">
        <f t="shared" si="19"/>
        <v>448.79999999999995</v>
      </c>
      <c r="AX42" s="20">
        <f t="shared" si="20"/>
        <v>431.19999999999993</v>
      </c>
      <c r="AY42" s="20">
        <f t="shared" si="5"/>
        <v>301.84000000000003</v>
      </c>
      <c r="AZ42" s="20">
        <f t="shared" si="6"/>
        <v>0</v>
      </c>
      <c r="BA42" s="20">
        <f t="shared" si="7"/>
        <v>17.600000000000001</v>
      </c>
      <c r="BB42" s="73">
        <f t="shared" si="21"/>
        <v>13.629999999999997</v>
      </c>
    </row>
    <row r="43" spans="1:54" s="20" customFormat="1">
      <c r="A43" s="46">
        <v>41</v>
      </c>
      <c r="B43" s="51">
        <f t="shared" si="9"/>
        <v>2</v>
      </c>
      <c r="C43" s="9">
        <f t="shared" si="8"/>
        <v>90</v>
      </c>
      <c r="D43" s="20">
        <f t="shared" si="22"/>
        <v>90</v>
      </c>
      <c r="E43" s="20">
        <f>$D43*攻击分赃比!B43*开放指数!B43</f>
        <v>108</v>
      </c>
      <c r="F43" s="20">
        <f>$D43*攻击分赃比!C43*开放指数!C43</f>
        <v>135</v>
      </c>
      <c r="G43" s="20">
        <f>$D43*攻击分赃比!D43*开放指数!D43</f>
        <v>180</v>
      </c>
      <c r="H43" s="20">
        <f>$D43*攻击分赃比!E43*开放指数!E43</f>
        <v>225</v>
      </c>
      <c r="I43" s="20">
        <f t="shared" ref="I43" si="24">I42</f>
        <v>44</v>
      </c>
      <c r="J43" s="20">
        <f>$D43*攻击分赃比!G43*开放指数!G43</f>
        <v>27</v>
      </c>
      <c r="K43" s="20">
        <f>$D43*攻击分赃比!H43*开放指数!H43</f>
        <v>54</v>
      </c>
      <c r="L43" s="20">
        <f>$D43*攻击分赃比!I43*开放指数!I43</f>
        <v>0</v>
      </c>
      <c r="M43" s="20">
        <f>$D43*攻击分赃比!J43*开放指数!J43</f>
        <v>0</v>
      </c>
      <c r="N43" s="20">
        <f>$D43*攻击分赃比!K43*开放指数!K43</f>
        <v>108</v>
      </c>
      <c r="O43" s="20">
        <f>$D43*攻击分赃比!M43*开放指数!L43</f>
        <v>135</v>
      </c>
      <c r="P43" s="20">
        <f>$D43*攻击分赃比!N43*开放指数!M43</f>
        <v>180</v>
      </c>
      <c r="Q43" s="20">
        <f>$D43*攻击分赃比!O43*开放指数!N43</f>
        <v>225</v>
      </c>
      <c r="R43" s="20">
        <f>$D43*攻击分赃比!P43*开放指数!O43</f>
        <v>270</v>
      </c>
      <c r="S43" s="20">
        <f>$D43*攻击分赃比!Q43*开放指数!P43</f>
        <v>315</v>
      </c>
      <c r="T43" s="20">
        <f>$D43*攻击分赃比!R43*开放指数!Q43</f>
        <v>67.5</v>
      </c>
      <c r="U43" s="20">
        <f>$D43*攻击分赃比!S43*开放指数!R43</f>
        <v>27</v>
      </c>
      <c r="V43" s="20">
        <f>$D43*攻击分赃比!T43*开放指数!S43</f>
        <v>27</v>
      </c>
      <c r="W43" s="20">
        <f>$D43*攻击分赃比!U43*开放指数!T43</f>
        <v>4.5</v>
      </c>
      <c r="X43" s="21">
        <f>攻击分赃比!V43*开放指数!U43</f>
        <v>0</v>
      </c>
      <c r="Y43" s="21">
        <f>攻击分赃比!W43*开放指数!V43</f>
        <v>0</v>
      </c>
      <c r="Z43" s="21">
        <f>攻击分赃比!X43*开放指数!W43</f>
        <v>0</v>
      </c>
      <c r="AA43" s="21">
        <f>攻击分赃比!Y43*开放指数!X43</f>
        <v>0</v>
      </c>
      <c r="AB43" s="21">
        <f>攻击分赃比!Z43*开放指数!Y43</f>
        <v>0</v>
      </c>
      <c r="AC43" s="20">
        <f>$D43*攻击分赃比!AB43*开放指数!Z43</f>
        <v>90</v>
      </c>
      <c r="AD43" s="20">
        <f>$D43*攻击分赃比!AC43*开放指数!AA43</f>
        <v>108</v>
      </c>
      <c r="AE43" s="20">
        <f>$D43*攻击分赃比!AD43*开放指数!AB43</f>
        <v>135</v>
      </c>
      <c r="AF43" s="20">
        <f>$D43*攻击分赃比!AE43*开放指数!AC43</f>
        <v>180</v>
      </c>
      <c r="AG43" s="20">
        <f>$D43*攻击分赃比!AF43*开放指数!AD43</f>
        <v>225</v>
      </c>
      <c r="AH43" s="20">
        <f>$D43*攻击分赃比!AG43*开放指数!AE43</f>
        <v>45</v>
      </c>
      <c r="AI43" s="20">
        <f>$D43*攻击分赃比!AH43*开放指数!AF43</f>
        <v>18</v>
      </c>
      <c r="AJ43" s="20">
        <f>$D43*攻击分赃比!AI43*开放指数!AG43</f>
        <v>18</v>
      </c>
      <c r="AK43" s="20">
        <f>$D43*攻击分赃比!AJ43*开放指数!AH43</f>
        <v>2.6999999999999997</v>
      </c>
      <c r="AL43" s="20">
        <f>$D43*攻击分赃比!AL43*开放指数!AI43</f>
        <v>0</v>
      </c>
      <c r="AM43" s="21">
        <f>攻击分赃比!AM43*开放指数!AJ43</f>
        <v>0</v>
      </c>
      <c r="AN43" s="21">
        <f>攻击分赃比!AN43*开放指数!AK43</f>
        <v>0</v>
      </c>
      <c r="AO43" s="21">
        <f>攻击分赃比!AO43*开放指数!AL43</f>
        <v>0</v>
      </c>
      <c r="AP43" s="21">
        <f>攻击分赃比!AP43*开放指数!AM43</f>
        <v>0</v>
      </c>
      <c r="AQ43" s="21">
        <f>攻击分赃比!AQ43*开放指数!AN43</f>
        <v>0</v>
      </c>
      <c r="AR43" s="20">
        <f>$D43*攻击分赃比!AS43*开放指数!AO43</f>
        <v>18</v>
      </c>
      <c r="AS43" s="20">
        <f t="shared" si="17"/>
        <v>333</v>
      </c>
      <c r="AT43" s="20">
        <f t="shared" si="18"/>
        <v>1225.7</v>
      </c>
      <c r="AW43" s="20">
        <f t="shared" si="19"/>
        <v>458</v>
      </c>
      <c r="AX43" s="20">
        <f t="shared" si="20"/>
        <v>441</v>
      </c>
      <c r="AY43" s="20">
        <f t="shared" si="5"/>
        <v>308.7</v>
      </c>
      <c r="AZ43" s="20">
        <f t="shared" si="6"/>
        <v>0</v>
      </c>
      <c r="BA43" s="20">
        <f t="shared" si="7"/>
        <v>18</v>
      </c>
      <c r="BB43" s="73">
        <f t="shared" si="21"/>
        <v>13.61888888888889</v>
      </c>
    </row>
    <row r="44" spans="1:54" s="20" customFormat="1">
      <c r="A44" s="46">
        <v>42</v>
      </c>
      <c r="B44" s="51">
        <f t="shared" si="9"/>
        <v>2</v>
      </c>
      <c r="C44" s="9">
        <f t="shared" si="8"/>
        <v>92</v>
      </c>
      <c r="D44" s="20">
        <f t="shared" si="22"/>
        <v>92</v>
      </c>
      <c r="E44" s="20">
        <f>$D44*攻击分赃比!B44*开放指数!B44</f>
        <v>110.39999999999999</v>
      </c>
      <c r="F44" s="20">
        <f>$D44*攻击分赃比!C44*开放指数!C44</f>
        <v>138</v>
      </c>
      <c r="G44" s="20">
        <f>$D44*攻击分赃比!D44*开放指数!D44</f>
        <v>184</v>
      </c>
      <c r="H44" s="20">
        <f>$D44*攻击分赃比!E44*开放指数!E44</f>
        <v>230</v>
      </c>
      <c r="I44" s="20">
        <f t="shared" si="12"/>
        <v>44</v>
      </c>
      <c r="J44" s="20">
        <f>$D44*攻击分赃比!G44*开放指数!G44</f>
        <v>27.599999999999998</v>
      </c>
      <c r="K44" s="20">
        <f>$D44*攻击分赃比!H44*开放指数!H44</f>
        <v>55.199999999999996</v>
      </c>
      <c r="L44" s="20">
        <f>$D44*攻击分赃比!I44*开放指数!I44</f>
        <v>0</v>
      </c>
      <c r="M44" s="20">
        <f>$D44*攻击分赃比!J44*开放指数!J44</f>
        <v>0</v>
      </c>
      <c r="N44" s="20">
        <f>$D44*攻击分赃比!K44*开放指数!K44</f>
        <v>110.39999999999999</v>
      </c>
      <c r="O44" s="20">
        <f>$D44*攻击分赃比!M44*开放指数!L44</f>
        <v>138</v>
      </c>
      <c r="P44" s="20">
        <f>$D44*攻击分赃比!N44*开放指数!M44</f>
        <v>184</v>
      </c>
      <c r="Q44" s="20">
        <f>$D44*攻击分赃比!O44*开放指数!N44</f>
        <v>230</v>
      </c>
      <c r="R44" s="20">
        <f>$D44*攻击分赃比!P44*开放指数!O44</f>
        <v>276</v>
      </c>
      <c r="S44" s="20">
        <f>$D44*攻击分赃比!Q44*开放指数!P44</f>
        <v>322</v>
      </c>
      <c r="T44" s="20">
        <f>$D44*攻击分赃比!R44*开放指数!Q44</f>
        <v>69</v>
      </c>
      <c r="U44" s="20">
        <f>$D44*攻击分赃比!S44*开放指数!R44</f>
        <v>27.599999999999998</v>
      </c>
      <c r="V44" s="20">
        <f>$D44*攻击分赃比!T44*开放指数!S44</f>
        <v>27.599999999999998</v>
      </c>
      <c r="W44" s="20">
        <f>$D44*攻击分赃比!U44*开放指数!T44</f>
        <v>4.6000000000000005</v>
      </c>
      <c r="X44" s="21">
        <f>攻击分赃比!V44*开放指数!U44</f>
        <v>0</v>
      </c>
      <c r="Y44" s="21">
        <f>攻击分赃比!W44*开放指数!V44</f>
        <v>0</v>
      </c>
      <c r="Z44" s="21">
        <f>攻击分赃比!X44*开放指数!W44</f>
        <v>0</v>
      </c>
      <c r="AA44" s="21">
        <f>攻击分赃比!Y44*开放指数!X44</f>
        <v>0</v>
      </c>
      <c r="AB44" s="21">
        <f>攻击分赃比!Z44*开放指数!Y44</f>
        <v>0</v>
      </c>
      <c r="AC44" s="20">
        <f>$D44*攻击分赃比!AB44*开放指数!Z44</f>
        <v>92</v>
      </c>
      <c r="AD44" s="20">
        <f>$D44*攻击分赃比!AC44*开放指数!AA44</f>
        <v>110.39999999999999</v>
      </c>
      <c r="AE44" s="20">
        <f>$D44*攻击分赃比!AD44*开放指数!AB44</f>
        <v>138</v>
      </c>
      <c r="AF44" s="20">
        <f>$D44*攻击分赃比!AE44*开放指数!AC44</f>
        <v>184</v>
      </c>
      <c r="AG44" s="20">
        <f>$D44*攻击分赃比!AF44*开放指数!AD44</f>
        <v>230</v>
      </c>
      <c r="AH44" s="20">
        <f>$D44*攻击分赃比!AG44*开放指数!AE44</f>
        <v>46</v>
      </c>
      <c r="AI44" s="20">
        <f>$D44*攻击分赃比!AH44*开放指数!AF44</f>
        <v>18.400000000000002</v>
      </c>
      <c r="AJ44" s="20">
        <f>$D44*攻击分赃比!AI44*开放指数!AG44</f>
        <v>18.400000000000002</v>
      </c>
      <c r="AK44" s="20">
        <f>$D44*攻击分赃比!AJ44*开放指数!AH44</f>
        <v>2.76</v>
      </c>
      <c r="AL44" s="20">
        <f>$D44*攻击分赃比!AL44*开放指数!AI44</f>
        <v>0</v>
      </c>
      <c r="AM44" s="21">
        <f>攻击分赃比!AM44*开放指数!AJ44</f>
        <v>0</v>
      </c>
      <c r="AN44" s="21">
        <f>攻击分赃比!AN44*开放指数!AK44</f>
        <v>0</v>
      </c>
      <c r="AO44" s="21">
        <f>攻击分赃比!AO44*开放指数!AL44</f>
        <v>0</v>
      </c>
      <c r="AP44" s="21">
        <f>攻击分赃比!AP44*开放指数!AM44</f>
        <v>0</v>
      </c>
      <c r="AQ44" s="21">
        <f>攻击分赃比!AQ44*开放指数!AN44</f>
        <v>0</v>
      </c>
      <c r="AR44" s="20">
        <f>$D44*攻击分赃比!AS44*开放指数!AO44</f>
        <v>18.400000000000002</v>
      </c>
      <c r="AS44" s="20">
        <f t="shared" si="17"/>
        <v>340.4</v>
      </c>
      <c r="AT44" s="20">
        <f t="shared" si="18"/>
        <v>1251.9600000000003</v>
      </c>
      <c r="AW44" s="20">
        <f t="shared" si="19"/>
        <v>467.2</v>
      </c>
      <c r="AX44" s="20">
        <f t="shared" si="20"/>
        <v>450.80000000000007</v>
      </c>
      <c r="AY44" s="20">
        <f t="shared" si="5"/>
        <v>315.55999999999995</v>
      </c>
      <c r="AZ44" s="20">
        <f t="shared" si="6"/>
        <v>0</v>
      </c>
      <c r="BA44" s="20">
        <f t="shared" si="7"/>
        <v>18.400000000000002</v>
      </c>
      <c r="BB44" s="73">
        <f t="shared" si="21"/>
        <v>13.608260869565219</v>
      </c>
    </row>
    <row r="45" spans="1:54" s="20" customFormat="1">
      <c r="A45" s="46">
        <v>43</v>
      </c>
      <c r="B45" s="51">
        <f t="shared" si="9"/>
        <v>2</v>
      </c>
      <c r="C45" s="9">
        <f t="shared" si="8"/>
        <v>94</v>
      </c>
      <c r="D45" s="20">
        <f t="shared" si="22"/>
        <v>94</v>
      </c>
      <c r="E45" s="20">
        <f>$D45*攻击分赃比!B45*开放指数!B45</f>
        <v>112.8</v>
      </c>
      <c r="F45" s="20">
        <f>$D45*攻击分赃比!C45*开放指数!C45</f>
        <v>141</v>
      </c>
      <c r="G45" s="20">
        <f>$D45*攻击分赃比!D45*开放指数!D45</f>
        <v>188</v>
      </c>
      <c r="H45" s="20">
        <f>$D45*攻击分赃比!E45*开放指数!E45</f>
        <v>235</v>
      </c>
      <c r="I45" s="20">
        <f t="shared" si="12"/>
        <v>44</v>
      </c>
      <c r="J45" s="20">
        <f>$D45*攻击分赃比!G45*开放指数!G45</f>
        <v>28.2</v>
      </c>
      <c r="K45" s="20">
        <f>$D45*攻击分赃比!H45*开放指数!H45</f>
        <v>56.4</v>
      </c>
      <c r="L45" s="20">
        <f>$D45*攻击分赃比!I45*开放指数!I45</f>
        <v>0</v>
      </c>
      <c r="M45" s="20">
        <f>$D45*攻击分赃比!J45*开放指数!J45</f>
        <v>0</v>
      </c>
      <c r="N45" s="20">
        <f>$D45*攻击分赃比!K45*开放指数!K45</f>
        <v>112.8</v>
      </c>
      <c r="O45" s="20">
        <f>$D45*攻击分赃比!M45*开放指数!L45</f>
        <v>141</v>
      </c>
      <c r="P45" s="20">
        <f>$D45*攻击分赃比!N45*开放指数!M45</f>
        <v>188</v>
      </c>
      <c r="Q45" s="20">
        <f>$D45*攻击分赃比!O45*开放指数!N45</f>
        <v>235</v>
      </c>
      <c r="R45" s="20">
        <f>$D45*攻击分赃比!P45*开放指数!O45</f>
        <v>282</v>
      </c>
      <c r="S45" s="20">
        <f>$D45*攻击分赃比!Q45*开放指数!P45</f>
        <v>329</v>
      </c>
      <c r="T45" s="20">
        <f>$D45*攻击分赃比!R45*开放指数!Q45</f>
        <v>70.5</v>
      </c>
      <c r="U45" s="20">
        <f>$D45*攻击分赃比!S45*开放指数!R45</f>
        <v>28.2</v>
      </c>
      <c r="V45" s="20">
        <f>$D45*攻击分赃比!T45*开放指数!S45</f>
        <v>28.2</v>
      </c>
      <c r="W45" s="20">
        <f>$D45*攻击分赃比!U45*开放指数!T45</f>
        <v>4.7</v>
      </c>
      <c r="X45" s="21">
        <f>攻击分赃比!V45*开放指数!U45</f>
        <v>0</v>
      </c>
      <c r="Y45" s="21">
        <f>攻击分赃比!W45*开放指数!V45</f>
        <v>0</v>
      </c>
      <c r="Z45" s="21">
        <f>攻击分赃比!X45*开放指数!W45</f>
        <v>0</v>
      </c>
      <c r="AA45" s="21">
        <f>攻击分赃比!Y45*开放指数!X45</f>
        <v>0</v>
      </c>
      <c r="AB45" s="21">
        <f>攻击分赃比!Z45*开放指数!Y45</f>
        <v>0</v>
      </c>
      <c r="AC45" s="20">
        <f>$D45*攻击分赃比!AB45*开放指数!Z45</f>
        <v>94</v>
      </c>
      <c r="AD45" s="20">
        <f>$D45*攻击分赃比!AC45*开放指数!AA45</f>
        <v>112.8</v>
      </c>
      <c r="AE45" s="20">
        <f>$D45*攻击分赃比!AD45*开放指数!AB45</f>
        <v>141</v>
      </c>
      <c r="AF45" s="20">
        <f>$D45*攻击分赃比!AE45*开放指数!AC45</f>
        <v>188</v>
      </c>
      <c r="AG45" s="20">
        <f>$D45*攻击分赃比!AF45*开放指数!AD45</f>
        <v>235</v>
      </c>
      <c r="AH45" s="20">
        <f>$D45*攻击分赃比!AG45*开放指数!AE45</f>
        <v>47</v>
      </c>
      <c r="AI45" s="20">
        <f>$D45*攻击分赃比!AH45*开放指数!AF45</f>
        <v>18.8</v>
      </c>
      <c r="AJ45" s="20">
        <f>$D45*攻击分赃比!AI45*开放指数!AG45</f>
        <v>18.8</v>
      </c>
      <c r="AK45" s="20">
        <f>$D45*攻击分赃比!AJ45*开放指数!AH45</f>
        <v>2.82</v>
      </c>
      <c r="AL45" s="20">
        <f>$D45*攻击分赃比!AL45*开放指数!AI45</f>
        <v>0</v>
      </c>
      <c r="AM45" s="21">
        <f>攻击分赃比!AM45*开放指数!AJ45</f>
        <v>0</v>
      </c>
      <c r="AN45" s="21">
        <f>攻击分赃比!AN45*开放指数!AK45</f>
        <v>0</v>
      </c>
      <c r="AO45" s="21">
        <f>攻击分赃比!AO45*开放指数!AL45</f>
        <v>0</v>
      </c>
      <c r="AP45" s="21">
        <f>攻击分赃比!AP45*开放指数!AM45</f>
        <v>0</v>
      </c>
      <c r="AQ45" s="21">
        <f>攻击分赃比!AQ45*开放指数!AN45</f>
        <v>0</v>
      </c>
      <c r="AR45" s="20">
        <f>$D45*攻击分赃比!AS45*开放指数!AO45</f>
        <v>18.8</v>
      </c>
      <c r="AS45" s="20">
        <f t="shared" si="17"/>
        <v>347.8</v>
      </c>
      <c r="AT45" s="20">
        <f t="shared" si="18"/>
        <v>1278.2199999999998</v>
      </c>
      <c r="AW45" s="20">
        <f t="shared" si="19"/>
        <v>476.4</v>
      </c>
      <c r="AX45" s="20">
        <f t="shared" si="20"/>
        <v>460.59999999999997</v>
      </c>
      <c r="AY45" s="20">
        <f t="shared" si="5"/>
        <v>322.42</v>
      </c>
      <c r="AZ45" s="20">
        <f t="shared" si="6"/>
        <v>0</v>
      </c>
      <c r="BA45" s="20">
        <f t="shared" si="7"/>
        <v>18.8</v>
      </c>
      <c r="BB45" s="73">
        <f t="shared" si="21"/>
        <v>13.598085106382976</v>
      </c>
    </row>
    <row r="46" spans="1:54" s="20" customFormat="1">
      <c r="A46" s="46">
        <v>44</v>
      </c>
      <c r="B46" s="51">
        <f t="shared" si="9"/>
        <v>2</v>
      </c>
      <c r="C46" s="9">
        <f t="shared" si="8"/>
        <v>96</v>
      </c>
      <c r="D46" s="20">
        <f t="shared" si="22"/>
        <v>96</v>
      </c>
      <c r="E46" s="20">
        <f>$D46*攻击分赃比!B46*开放指数!B46</f>
        <v>115.19999999999999</v>
      </c>
      <c r="F46" s="20">
        <f>$D46*攻击分赃比!C46*开放指数!C46</f>
        <v>144</v>
      </c>
      <c r="G46" s="20">
        <f>$D46*攻击分赃比!D46*开放指数!D46</f>
        <v>192</v>
      </c>
      <c r="H46" s="20">
        <f>$D46*攻击分赃比!E46*开放指数!E46</f>
        <v>240</v>
      </c>
      <c r="I46" s="20">
        <f t="shared" si="12"/>
        <v>44</v>
      </c>
      <c r="J46" s="20">
        <f>$D46*攻击分赃比!G46*开放指数!G46</f>
        <v>28.799999999999997</v>
      </c>
      <c r="K46" s="20">
        <f>$D46*攻击分赃比!H46*开放指数!H46</f>
        <v>57.599999999999994</v>
      </c>
      <c r="L46" s="20">
        <f>$D46*攻击分赃比!I46*开放指数!I46</f>
        <v>0</v>
      </c>
      <c r="M46" s="20">
        <f>$D46*攻击分赃比!J46*开放指数!J46</f>
        <v>0</v>
      </c>
      <c r="N46" s="20">
        <f>$D46*攻击分赃比!K46*开放指数!K46</f>
        <v>115.19999999999999</v>
      </c>
      <c r="O46" s="20">
        <f>$D46*攻击分赃比!M46*开放指数!L46</f>
        <v>144</v>
      </c>
      <c r="P46" s="20">
        <f>$D46*攻击分赃比!N46*开放指数!M46</f>
        <v>192</v>
      </c>
      <c r="Q46" s="20">
        <f>$D46*攻击分赃比!O46*开放指数!N46</f>
        <v>240</v>
      </c>
      <c r="R46" s="20">
        <f>$D46*攻击分赃比!P46*开放指数!O46</f>
        <v>288</v>
      </c>
      <c r="S46" s="20">
        <f>$D46*攻击分赃比!Q46*开放指数!P46</f>
        <v>336</v>
      </c>
      <c r="T46" s="20">
        <f>$D46*攻击分赃比!R46*开放指数!Q46</f>
        <v>72</v>
      </c>
      <c r="U46" s="20">
        <f>$D46*攻击分赃比!S46*开放指数!R46</f>
        <v>28.799999999999997</v>
      </c>
      <c r="V46" s="20">
        <f>$D46*攻击分赃比!T46*开放指数!S46</f>
        <v>28.799999999999997</v>
      </c>
      <c r="W46" s="20">
        <f>$D46*攻击分赃比!U46*开放指数!T46</f>
        <v>4.8000000000000007</v>
      </c>
      <c r="X46" s="21">
        <f>攻击分赃比!V46*开放指数!U46</f>
        <v>0</v>
      </c>
      <c r="Y46" s="21">
        <f>攻击分赃比!W46*开放指数!V46</f>
        <v>0</v>
      </c>
      <c r="Z46" s="21">
        <f>攻击分赃比!X46*开放指数!W46</f>
        <v>0</v>
      </c>
      <c r="AA46" s="21">
        <f>攻击分赃比!Y46*开放指数!X46</f>
        <v>0</v>
      </c>
      <c r="AB46" s="21">
        <f>攻击分赃比!Z46*开放指数!Y46</f>
        <v>0</v>
      </c>
      <c r="AC46" s="20">
        <f>$D46*攻击分赃比!AB46*开放指数!Z46</f>
        <v>96</v>
      </c>
      <c r="AD46" s="20">
        <f>$D46*攻击分赃比!AC46*开放指数!AA46</f>
        <v>115.19999999999999</v>
      </c>
      <c r="AE46" s="20">
        <f>$D46*攻击分赃比!AD46*开放指数!AB46</f>
        <v>144</v>
      </c>
      <c r="AF46" s="20">
        <f>$D46*攻击分赃比!AE46*开放指数!AC46</f>
        <v>192</v>
      </c>
      <c r="AG46" s="20">
        <f>$D46*攻击分赃比!AF46*开放指数!AD46</f>
        <v>240</v>
      </c>
      <c r="AH46" s="20">
        <f>$D46*攻击分赃比!AG46*开放指数!AE46</f>
        <v>48</v>
      </c>
      <c r="AI46" s="20">
        <f>$D46*攻击分赃比!AH46*开放指数!AF46</f>
        <v>19.200000000000003</v>
      </c>
      <c r="AJ46" s="20">
        <f>$D46*攻击分赃比!AI46*开放指数!AG46</f>
        <v>19.200000000000003</v>
      </c>
      <c r="AK46" s="20">
        <f>$D46*攻击分赃比!AJ46*开放指数!AH46</f>
        <v>2.88</v>
      </c>
      <c r="AL46" s="20">
        <f>$D46*攻击分赃比!AL46*开放指数!AI46</f>
        <v>0</v>
      </c>
      <c r="AM46" s="21">
        <f>攻击分赃比!AM46*开放指数!AJ46</f>
        <v>0</v>
      </c>
      <c r="AN46" s="21">
        <f>攻击分赃比!AN46*开放指数!AK46</f>
        <v>0</v>
      </c>
      <c r="AO46" s="21">
        <f>攻击分赃比!AO46*开放指数!AL46</f>
        <v>0</v>
      </c>
      <c r="AP46" s="21">
        <f>攻击分赃比!AP46*开放指数!AM46</f>
        <v>0</v>
      </c>
      <c r="AQ46" s="21">
        <f>攻击分赃比!AQ46*开放指数!AN46</f>
        <v>0</v>
      </c>
      <c r="AR46" s="20">
        <f>$D46*攻击分赃比!AS46*开放指数!AO46</f>
        <v>19.200000000000003</v>
      </c>
      <c r="AS46" s="20">
        <f t="shared" si="17"/>
        <v>355.2</v>
      </c>
      <c r="AT46" s="20">
        <f t="shared" si="18"/>
        <v>1304.48</v>
      </c>
      <c r="AW46" s="20">
        <f t="shared" si="19"/>
        <v>485.59999999999997</v>
      </c>
      <c r="AX46" s="20">
        <f t="shared" si="20"/>
        <v>470.40000000000003</v>
      </c>
      <c r="AY46" s="20">
        <f t="shared" si="5"/>
        <v>329.28</v>
      </c>
      <c r="AZ46" s="20">
        <f t="shared" si="6"/>
        <v>0</v>
      </c>
      <c r="BA46" s="20">
        <f t="shared" si="7"/>
        <v>19.200000000000003</v>
      </c>
      <c r="BB46" s="73">
        <f t="shared" si="21"/>
        <v>13.588333333333333</v>
      </c>
    </row>
    <row r="47" spans="1:54" s="20" customFormat="1">
      <c r="A47" s="46">
        <v>45</v>
      </c>
      <c r="B47" s="51">
        <f t="shared" si="9"/>
        <v>2</v>
      </c>
      <c r="C47" s="9">
        <f t="shared" si="8"/>
        <v>98</v>
      </c>
      <c r="D47" s="20">
        <f t="shared" si="22"/>
        <v>98</v>
      </c>
      <c r="E47" s="20">
        <f>$D47*攻击分赃比!B47*开放指数!B47</f>
        <v>117.6</v>
      </c>
      <c r="F47" s="20">
        <f>$D47*攻击分赃比!C47*开放指数!C47</f>
        <v>147</v>
      </c>
      <c r="G47" s="20">
        <f>$D47*攻击分赃比!D47*开放指数!D47</f>
        <v>196</v>
      </c>
      <c r="H47" s="20">
        <f>$D47*攻击分赃比!E47*开放指数!E47</f>
        <v>245</v>
      </c>
      <c r="I47" s="20">
        <f>$D47*攻击分赃比!F47*开放指数!F47</f>
        <v>49</v>
      </c>
      <c r="J47" s="20">
        <f>$D47*攻击分赃比!G47*开放指数!G47</f>
        <v>29.4</v>
      </c>
      <c r="K47" s="20">
        <f>$D47*攻击分赃比!H47*开放指数!H47</f>
        <v>58.8</v>
      </c>
      <c r="L47" s="20">
        <f>$D47*攻击分赃比!I47*开放指数!I47</f>
        <v>0</v>
      </c>
      <c r="M47" s="20">
        <f>$D47*攻击分赃比!J47*开放指数!J47</f>
        <v>0</v>
      </c>
      <c r="N47" s="20">
        <f>$D47*攻击分赃比!K47*开放指数!K47</f>
        <v>117.6</v>
      </c>
      <c r="O47" s="20">
        <f>$D47*攻击分赃比!M47*开放指数!L47</f>
        <v>147</v>
      </c>
      <c r="P47" s="20">
        <f>$D47*攻击分赃比!N47*开放指数!M47</f>
        <v>196</v>
      </c>
      <c r="Q47" s="20">
        <f>$D47*攻击分赃比!O47*开放指数!N47</f>
        <v>245</v>
      </c>
      <c r="R47" s="20">
        <f>$D47*攻击分赃比!P47*开放指数!O47</f>
        <v>294</v>
      </c>
      <c r="S47" s="20">
        <f>$D47*攻击分赃比!Q47*开放指数!P47</f>
        <v>343</v>
      </c>
      <c r="T47" s="20">
        <f>$D47*攻击分赃比!R47*开放指数!Q47</f>
        <v>73.5</v>
      </c>
      <c r="U47" s="20">
        <f>$D47*攻击分赃比!S47*开放指数!R47</f>
        <v>29.4</v>
      </c>
      <c r="V47" s="20">
        <f>$D47*攻击分赃比!T47*开放指数!S47</f>
        <v>29.4</v>
      </c>
      <c r="W47" s="20">
        <f>$D47*攻击分赃比!U47*开放指数!T47</f>
        <v>4.9000000000000004</v>
      </c>
      <c r="X47" s="21">
        <f>攻击分赃比!V47*开放指数!U47</f>
        <v>0</v>
      </c>
      <c r="Y47" s="21">
        <f>攻击分赃比!W47*开放指数!V47</f>
        <v>0</v>
      </c>
      <c r="Z47" s="21">
        <f>攻击分赃比!X47*开放指数!W47</f>
        <v>0</v>
      </c>
      <c r="AA47" s="21">
        <f>攻击分赃比!Y47*开放指数!X47</f>
        <v>0</v>
      </c>
      <c r="AB47" s="21">
        <f>攻击分赃比!Z47*开放指数!Y47</f>
        <v>0</v>
      </c>
      <c r="AC47" s="20">
        <f>$D47*攻击分赃比!AB47*开放指数!Z47</f>
        <v>98</v>
      </c>
      <c r="AD47" s="20">
        <f>$D47*攻击分赃比!AC47*开放指数!AA47</f>
        <v>117.6</v>
      </c>
      <c r="AE47" s="20">
        <f>$D47*攻击分赃比!AD47*开放指数!AB47</f>
        <v>147</v>
      </c>
      <c r="AF47" s="20">
        <f>$D47*攻击分赃比!AE47*开放指数!AC47</f>
        <v>196</v>
      </c>
      <c r="AG47" s="20">
        <f>$D47*攻击分赃比!AF47*开放指数!AD47</f>
        <v>245</v>
      </c>
      <c r="AH47" s="20">
        <f>$D47*攻击分赃比!AG47*开放指数!AE47</f>
        <v>49</v>
      </c>
      <c r="AI47" s="20">
        <f>$D47*攻击分赃比!AH47*开放指数!AF47</f>
        <v>19.600000000000001</v>
      </c>
      <c r="AJ47" s="20">
        <f>$D47*攻击分赃比!AI47*开放指数!AG47</f>
        <v>19.600000000000001</v>
      </c>
      <c r="AK47" s="20">
        <f>$D47*攻击分赃比!AJ47*开放指数!AH47</f>
        <v>2.94</v>
      </c>
      <c r="AL47" s="20">
        <f>$D47*攻击分赃比!AL47*开放指数!AI47</f>
        <v>0</v>
      </c>
      <c r="AM47" s="21">
        <f>攻击分赃比!AM47*开放指数!AJ47</f>
        <v>0</v>
      </c>
      <c r="AN47" s="21">
        <f>攻击分赃比!AN47*开放指数!AK47</f>
        <v>0</v>
      </c>
      <c r="AO47" s="21">
        <f>攻击分赃比!AO47*开放指数!AL47</f>
        <v>0</v>
      </c>
      <c r="AP47" s="21">
        <f>攻击分赃比!AP47*开放指数!AM47</f>
        <v>0</v>
      </c>
      <c r="AQ47" s="21">
        <f>攻击分赃比!AQ47*开放指数!AN47</f>
        <v>0</v>
      </c>
      <c r="AR47" s="20">
        <f>$D47*攻击分赃比!AS47*开放指数!AO47</f>
        <v>19.600000000000001</v>
      </c>
      <c r="AS47" s="20">
        <f t="shared" si="17"/>
        <v>362.6</v>
      </c>
      <c r="AT47" s="20">
        <f t="shared" si="18"/>
        <v>1335.7399999999998</v>
      </c>
      <c r="AW47" s="20">
        <f t="shared" si="19"/>
        <v>499.79999999999995</v>
      </c>
      <c r="AX47" s="20">
        <f t="shared" si="20"/>
        <v>480.19999999999993</v>
      </c>
      <c r="AY47" s="20">
        <f t="shared" si="5"/>
        <v>336.14000000000004</v>
      </c>
      <c r="AZ47" s="20">
        <f t="shared" si="6"/>
        <v>0</v>
      </c>
      <c r="BA47" s="20">
        <f t="shared" si="7"/>
        <v>19.600000000000001</v>
      </c>
      <c r="BB47" s="73">
        <f t="shared" si="21"/>
        <v>13.629999999999997</v>
      </c>
    </row>
    <row r="48" spans="1:54" s="20" customFormat="1">
      <c r="A48" s="46">
        <v>46</v>
      </c>
      <c r="B48" s="51">
        <f t="shared" si="9"/>
        <v>2</v>
      </c>
      <c r="C48" s="9">
        <f t="shared" si="8"/>
        <v>100</v>
      </c>
      <c r="D48" s="20">
        <f t="shared" si="22"/>
        <v>100</v>
      </c>
      <c r="E48" s="20">
        <f>$D48*攻击分赃比!B48*开放指数!B48</f>
        <v>120</v>
      </c>
      <c r="F48" s="20">
        <f>$D48*攻击分赃比!C48*开放指数!C48</f>
        <v>150</v>
      </c>
      <c r="G48" s="20">
        <f>$D48*攻击分赃比!D48*开放指数!D48</f>
        <v>200</v>
      </c>
      <c r="H48" s="20">
        <f>$D48*攻击分赃比!E48*开放指数!E48</f>
        <v>250</v>
      </c>
      <c r="I48" s="20">
        <f t="shared" ref="I48" si="25">I47</f>
        <v>49</v>
      </c>
      <c r="J48" s="20">
        <f>$D48*攻击分赃比!G48*开放指数!G48</f>
        <v>30</v>
      </c>
      <c r="K48" s="20">
        <f>$D48*攻击分赃比!H48*开放指数!H48</f>
        <v>60</v>
      </c>
      <c r="L48" s="20">
        <f>$D48*攻击分赃比!I48*开放指数!I48</f>
        <v>0</v>
      </c>
      <c r="M48" s="20">
        <f>$D48*攻击分赃比!J48*开放指数!J48</f>
        <v>0</v>
      </c>
      <c r="N48" s="20">
        <f>$D48*攻击分赃比!K48*开放指数!K48</f>
        <v>120</v>
      </c>
      <c r="O48" s="20">
        <f>$D48*攻击分赃比!M48*开放指数!L48</f>
        <v>150</v>
      </c>
      <c r="P48" s="20">
        <f>$D48*攻击分赃比!N48*开放指数!M48</f>
        <v>200</v>
      </c>
      <c r="Q48" s="20">
        <f>$D48*攻击分赃比!O48*开放指数!N48</f>
        <v>250</v>
      </c>
      <c r="R48" s="20">
        <f>$D48*攻击分赃比!P48*开放指数!O48</f>
        <v>300</v>
      </c>
      <c r="S48" s="20">
        <f>$D48*攻击分赃比!Q48*开放指数!P48</f>
        <v>350</v>
      </c>
      <c r="T48" s="20">
        <f>$D48*攻击分赃比!R48*开放指数!Q48</f>
        <v>75</v>
      </c>
      <c r="U48" s="20">
        <f>$D48*攻击分赃比!S48*开放指数!R48</f>
        <v>30</v>
      </c>
      <c r="V48" s="20">
        <f>$D48*攻击分赃比!T48*开放指数!S48</f>
        <v>30</v>
      </c>
      <c r="W48" s="20">
        <f>$D48*攻击分赃比!U48*开放指数!T48</f>
        <v>5</v>
      </c>
      <c r="X48" s="21">
        <f>攻击分赃比!V48*开放指数!U48</f>
        <v>0</v>
      </c>
      <c r="Y48" s="21">
        <f>攻击分赃比!W48*开放指数!V48</f>
        <v>0</v>
      </c>
      <c r="Z48" s="21">
        <f>攻击分赃比!X48*开放指数!W48</f>
        <v>0</v>
      </c>
      <c r="AA48" s="21">
        <f>攻击分赃比!Y48*开放指数!X48</f>
        <v>0</v>
      </c>
      <c r="AB48" s="21">
        <f>攻击分赃比!Z48*开放指数!Y48</f>
        <v>0</v>
      </c>
      <c r="AC48" s="20">
        <f>$D48*攻击分赃比!AB48*开放指数!Z48</f>
        <v>100</v>
      </c>
      <c r="AD48" s="20">
        <f>$D48*攻击分赃比!AC48*开放指数!AA48</f>
        <v>120</v>
      </c>
      <c r="AE48" s="20">
        <f>$D48*攻击分赃比!AD48*开放指数!AB48</f>
        <v>150</v>
      </c>
      <c r="AF48" s="20">
        <f>$D48*攻击分赃比!AE48*开放指数!AC48</f>
        <v>200</v>
      </c>
      <c r="AG48" s="20">
        <f>$D48*攻击分赃比!AF48*开放指数!AD48</f>
        <v>250</v>
      </c>
      <c r="AH48" s="20">
        <f>$D48*攻击分赃比!AG48*开放指数!AE48</f>
        <v>50</v>
      </c>
      <c r="AI48" s="20">
        <f>$D48*攻击分赃比!AH48*开放指数!AF48</f>
        <v>20</v>
      </c>
      <c r="AJ48" s="20">
        <f>$D48*攻击分赃比!AI48*开放指数!AG48</f>
        <v>20</v>
      </c>
      <c r="AK48" s="20">
        <f>$D48*攻击分赃比!AJ48*开放指数!AH48</f>
        <v>3</v>
      </c>
      <c r="AL48" s="20">
        <f>$D48*攻击分赃比!AL48*开放指数!AI48</f>
        <v>0</v>
      </c>
      <c r="AM48" s="21">
        <f>攻击分赃比!AM48*开放指数!AJ48</f>
        <v>0</v>
      </c>
      <c r="AN48" s="21">
        <f>攻击分赃比!AN48*开放指数!AK48</f>
        <v>0</v>
      </c>
      <c r="AO48" s="21">
        <f>攻击分赃比!AO48*开放指数!AL48</f>
        <v>0</v>
      </c>
      <c r="AP48" s="21">
        <f>攻击分赃比!AP48*开放指数!AM48</f>
        <v>0</v>
      </c>
      <c r="AQ48" s="21">
        <f>攻击分赃比!AQ48*开放指数!AN48</f>
        <v>0</v>
      </c>
      <c r="AR48" s="20">
        <f>$D48*攻击分赃比!AS48*开放指数!AO48</f>
        <v>20</v>
      </c>
      <c r="AS48" s="20">
        <f t="shared" si="17"/>
        <v>370</v>
      </c>
      <c r="AT48" s="20">
        <f t="shared" si="18"/>
        <v>1362</v>
      </c>
      <c r="AW48" s="20">
        <f t="shared" si="19"/>
        <v>509</v>
      </c>
      <c r="AX48" s="20">
        <f t="shared" si="20"/>
        <v>490</v>
      </c>
      <c r="AY48" s="20">
        <f t="shared" si="5"/>
        <v>343</v>
      </c>
      <c r="AZ48" s="20">
        <f t="shared" si="6"/>
        <v>0</v>
      </c>
      <c r="BA48" s="20">
        <f t="shared" si="7"/>
        <v>20</v>
      </c>
      <c r="BB48" s="73">
        <f t="shared" si="21"/>
        <v>13.62</v>
      </c>
    </row>
    <row r="49" spans="1:54" s="20" customFormat="1">
      <c r="A49" s="46">
        <v>47</v>
      </c>
      <c r="B49" s="51">
        <f t="shared" si="9"/>
        <v>2</v>
      </c>
      <c r="C49" s="9">
        <f t="shared" si="8"/>
        <v>102</v>
      </c>
      <c r="D49" s="20">
        <f t="shared" si="22"/>
        <v>102</v>
      </c>
      <c r="E49" s="20">
        <f>$D49*攻击分赃比!B49*开放指数!B49</f>
        <v>122.39999999999999</v>
      </c>
      <c r="F49" s="20">
        <f>$D49*攻击分赃比!C49*开放指数!C49</f>
        <v>153</v>
      </c>
      <c r="G49" s="20">
        <f>$D49*攻击分赃比!D49*开放指数!D49</f>
        <v>204</v>
      </c>
      <c r="H49" s="20">
        <f>$D49*攻击分赃比!E49*开放指数!E49</f>
        <v>255</v>
      </c>
      <c r="I49" s="20">
        <f t="shared" si="12"/>
        <v>49</v>
      </c>
      <c r="J49" s="20">
        <f>$D49*攻击分赃比!G49*开放指数!G49</f>
        <v>30.599999999999998</v>
      </c>
      <c r="K49" s="20">
        <f>$D49*攻击分赃比!H49*开放指数!H49</f>
        <v>61.199999999999996</v>
      </c>
      <c r="L49" s="20">
        <f>$D49*攻击分赃比!I49*开放指数!I49</f>
        <v>0</v>
      </c>
      <c r="M49" s="20">
        <f>$D49*攻击分赃比!J49*开放指数!J49</f>
        <v>0</v>
      </c>
      <c r="N49" s="20">
        <f>$D49*攻击分赃比!K49*开放指数!K49</f>
        <v>122.39999999999999</v>
      </c>
      <c r="O49" s="20">
        <f>$D49*攻击分赃比!M49*开放指数!L49</f>
        <v>153</v>
      </c>
      <c r="P49" s="20">
        <f>$D49*攻击分赃比!N49*开放指数!M49</f>
        <v>204</v>
      </c>
      <c r="Q49" s="20">
        <f>$D49*攻击分赃比!O49*开放指数!N49</f>
        <v>255</v>
      </c>
      <c r="R49" s="20">
        <f>$D49*攻击分赃比!P49*开放指数!O49</f>
        <v>306</v>
      </c>
      <c r="S49" s="20">
        <f>$D49*攻击分赃比!Q49*开放指数!P49</f>
        <v>357</v>
      </c>
      <c r="T49" s="20">
        <f>$D49*攻击分赃比!R49*开放指数!Q49</f>
        <v>76.5</v>
      </c>
      <c r="U49" s="20">
        <f>$D49*攻击分赃比!S49*开放指数!R49</f>
        <v>30.599999999999998</v>
      </c>
      <c r="V49" s="20">
        <f>$D49*攻击分赃比!T49*开放指数!S49</f>
        <v>30.599999999999998</v>
      </c>
      <c r="W49" s="20">
        <f>$D49*攻击分赃比!U49*开放指数!T49</f>
        <v>5.1000000000000005</v>
      </c>
      <c r="X49" s="21">
        <f>攻击分赃比!V49*开放指数!U49</f>
        <v>0</v>
      </c>
      <c r="Y49" s="21">
        <f>攻击分赃比!W49*开放指数!V49</f>
        <v>0</v>
      </c>
      <c r="Z49" s="21">
        <f>攻击分赃比!X49*开放指数!W49</f>
        <v>0</v>
      </c>
      <c r="AA49" s="21">
        <f>攻击分赃比!Y49*开放指数!X49</f>
        <v>0</v>
      </c>
      <c r="AB49" s="21">
        <f>攻击分赃比!Z49*开放指数!Y49</f>
        <v>0</v>
      </c>
      <c r="AC49" s="20">
        <f>$D49*攻击分赃比!AB49*开放指数!Z49</f>
        <v>102</v>
      </c>
      <c r="AD49" s="20">
        <f>$D49*攻击分赃比!AC49*开放指数!AA49</f>
        <v>122.39999999999999</v>
      </c>
      <c r="AE49" s="20">
        <f>$D49*攻击分赃比!AD49*开放指数!AB49</f>
        <v>153</v>
      </c>
      <c r="AF49" s="20">
        <f>$D49*攻击分赃比!AE49*开放指数!AC49</f>
        <v>204</v>
      </c>
      <c r="AG49" s="20">
        <f>$D49*攻击分赃比!AF49*开放指数!AD49</f>
        <v>255</v>
      </c>
      <c r="AH49" s="20">
        <f>$D49*攻击分赃比!AG49*开放指数!AE49</f>
        <v>51</v>
      </c>
      <c r="AI49" s="20">
        <f>$D49*攻击分赃比!AH49*开放指数!AF49</f>
        <v>20.400000000000002</v>
      </c>
      <c r="AJ49" s="20">
        <f>$D49*攻击分赃比!AI49*开放指数!AG49</f>
        <v>20.400000000000002</v>
      </c>
      <c r="AK49" s="20">
        <f>$D49*攻击分赃比!AJ49*开放指数!AH49</f>
        <v>3.06</v>
      </c>
      <c r="AL49" s="20">
        <f>$D49*攻击分赃比!AL49*开放指数!AI49</f>
        <v>0</v>
      </c>
      <c r="AM49" s="21">
        <f>攻击分赃比!AM49*开放指数!AJ49</f>
        <v>0</v>
      </c>
      <c r="AN49" s="21">
        <f>攻击分赃比!AN49*开放指数!AK49</f>
        <v>0</v>
      </c>
      <c r="AO49" s="21">
        <f>攻击分赃比!AO49*开放指数!AL49</f>
        <v>0</v>
      </c>
      <c r="AP49" s="21">
        <f>攻击分赃比!AP49*开放指数!AM49</f>
        <v>0</v>
      </c>
      <c r="AQ49" s="21">
        <f>攻击分赃比!AQ49*开放指数!AN49</f>
        <v>0</v>
      </c>
      <c r="AR49" s="20">
        <f>$D49*攻击分赃比!AS49*开放指数!AO49</f>
        <v>20.400000000000002</v>
      </c>
      <c r="AS49" s="20">
        <f t="shared" si="17"/>
        <v>377.4</v>
      </c>
      <c r="AT49" s="20">
        <f t="shared" si="18"/>
        <v>1388.2600000000002</v>
      </c>
      <c r="AW49" s="20">
        <f t="shared" si="19"/>
        <v>518.20000000000005</v>
      </c>
      <c r="AX49" s="20">
        <f t="shared" si="20"/>
        <v>499.80000000000007</v>
      </c>
      <c r="AY49" s="20">
        <f t="shared" si="5"/>
        <v>349.85999999999996</v>
      </c>
      <c r="AZ49" s="20">
        <f t="shared" si="6"/>
        <v>0</v>
      </c>
      <c r="BA49" s="20">
        <f t="shared" si="7"/>
        <v>20.400000000000002</v>
      </c>
      <c r="BB49" s="73">
        <f t="shared" si="21"/>
        <v>13.610392156862748</v>
      </c>
    </row>
    <row r="50" spans="1:54" s="20" customFormat="1">
      <c r="A50" s="46">
        <v>48</v>
      </c>
      <c r="B50" s="51">
        <f t="shared" si="9"/>
        <v>2</v>
      </c>
      <c r="C50" s="9">
        <f t="shared" si="8"/>
        <v>104</v>
      </c>
      <c r="D50" s="20">
        <f t="shared" si="22"/>
        <v>104</v>
      </c>
      <c r="E50" s="20">
        <f>$D50*攻击分赃比!B50*开放指数!B50</f>
        <v>124.8</v>
      </c>
      <c r="F50" s="20">
        <f>$D50*攻击分赃比!C50*开放指数!C50</f>
        <v>156</v>
      </c>
      <c r="G50" s="20">
        <f>$D50*攻击分赃比!D50*开放指数!D50</f>
        <v>208</v>
      </c>
      <c r="H50" s="20">
        <f>$D50*攻击分赃比!E50*开放指数!E50</f>
        <v>260</v>
      </c>
      <c r="I50" s="20">
        <f t="shared" si="12"/>
        <v>49</v>
      </c>
      <c r="J50" s="20">
        <f>$D50*攻击分赃比!G50*开放指数!G50</f>
        <v>31.2</v>
      </c>
      <c r="K50" s="20">
        <f>$D50*攻击分赃比!H50*开放指数!H50</f>
        <v>62.4</v>
      </c>
      <c r="L50" s="20">
        <f>$D50*攻击分赃比!I50*开放指数!I50</f>
        <v>0</v>
      </c>
      <c r="M50" s="20">
        <f>$D50*攻击分赃比!J50*开放指数!J50</f>
        <v>0</v>
      </c>
      <c r="N50" s="20">
        <f>$D50*攻击分赃比!K50*开放指数!K50</f>
        <v>124.8</v>
      </c>
      <c r="O50" s="20">
        <f>$D50*攻击分赃比!M50*开放指数!L50</f>
        <v>156</v>
      </c>
      <c r="P50" s="20">
        <f>$D50*攻击分赃比!N50*开放指数!M50</f>
        <v>208</v>
      </c>
      <c r="Q50" s="20">
        <f>$D50*攻击分赃比!O50*开放指数!N50</f>
        <v>260</v>
      </c>
      <c r="R50" s="20">
        <f>$D50*攻击分赃比!P50*开放指数!O50</f>
        <v>312</v>
      </c>
      <c r="S50" s="20">
        <f>$D50*攻击分赃比!Q50*开放指数!P50</f>
        <v>364</v>
      </c>
      <c r="T50" s="20">
        <f>$D50*攻击分赃比!R50*开放指数!Q50</f>
        <v>78</v>
      </c>
      <c r="U50" s="20">
        <f>$D50*攻击分赃比!S50*开放指数!R50</f>
        <v>31.2</v>
      </c>
      <c r="V50" s="20">
        <f>$D50*攻击分赃比!T50*开放指数!S50</f>
        <v>31.2</v>
      </c>
      <c r="W50" s="20">
        <f>$D50*攻击分赃比!U50*开放指数!T50</f>
        <v>5.2</v>
      </c>
      <c r="X50" s="21">
        <f>攻击分赃比!V50*开放指数!U50</f>
        <v>0</v>
      </c>
      <c r="Y50" s="21">
        <f>攻击分赃比!W50*开放指数!V50</f>
        <v>0</v>
      </c>
      <c r="Z50" s="21">
        <f>攻击分赃比!X50*开放指数!W50</f>
        <v>0</v>
      </c>
      <c r="AA50" s="21">
        <f>攻击分赃比!Y50*开放指数!X50</f>
        <v>0</v>
      </c>
      <c r="AB50" s="21">
        <f>攻击分赃比!Z50*开放指数!Y50</f>
        <v>0</v>
      </c>
      <c r="AC50" s="20">
        <f>$D50*攻击分赃比!AB50*开放指数!Z50</f>
        <v>104</v>
      </c>
      <c r="AD50" s="20">
        <f>$D50*攻击分赃比!AC50*开放指数!AA50</f>
        <v>124.8</v>
      </c>
      <c r="AE50" s="20">
        <f>$D50*攻击分赃比!AD50*开放指数!AB50</f>
        <v>156</v>
      </c>
      <c r="AF50" s="20">
        <f>$D50*攻击分赃比!AE50*开放指数!AC50</f>
        <v>208</v>
      </c>
      <c r="AG50" s="20">
        <f>$D50*攻击分赃比!AF50*开放指数!AD50</f>
        <v>260</v>
      </c>
      <c r="AH50" s="20">
        <f>$D50*攻击分赃比!AG50*开放指数!AE50</f>
        <v>52</v>
      </c>
      <c r="AI50" s="20">
        <f>$D50*攻击分赃比!AH50*开放指数!AF50</f>
        <v>20.8</v>
      </c>
      <c r="AJ50" s="20">
        <f>$D50*攻击分赃比!AI50*开放指数!AG50</f>
        <v>20.8</v>
      </c>
      <c r="AK50" s="20">
        <f>$D50*攻击分赃比!AJ50*开放指数!AH50</f>
        <v>3.12</v>
      </c>
      <c r="AL50" s="20">
        <f>$D50*攻击分赃比!AL50*开放指数!AI50</f>
        <v>0</v>
      </c>
      <c r="AM50" s="21">
        <f>攻击分赃比!AM50*开放指数!AJ50</f>
        <v>0</v>
      </c>
      <c r="AN50" s="21">
        <f>攻击分赃比!AN50*开放指数!AK50</f>
        <v>0</v>
      </c>
      <c r="AO50" s="21">
        <f>攻击分赃比!AO50*开放指数!AL50</f>
        <v>0</v>
      </c>
      <c r="AP50" s="21">
        <f>攻击分赃比!AP50*开放指数!AM50</f>
        <v>0</v>
      </c>
      <c r="AQ50" s="21">
        <f>攻击分赃比!AQ50*开放指数!AN50</f>
        <v>0</v>
      </c>
      <c r="AR50" s="20">
        <f>$D50*攻击分赃比!AS50*开放指数!AO50</f>
        <v>20.8</v>
      </c>
      <c r="AS50" s="20">
        <f t="shared" si="17"/>
        <v>384.8</v>
      </c>
      <c r="AT50" s="20">
        <f t="shared" si="18"/>
        <v>1414.5199999999998</v>
      </c>
      <c r="AW50" s="20">
        <f t="shared" si="19"/>
        <v>527.4</v>
      </c>
      <c r="AX50" s="20">
        <f t="shared" si="20"/>
        <v>509.59999999999997</v>
      </c>
      <c r="AY50" s="20">
        <f t="shared" si="5"/>
        <v>356.72</v>
      </c>
      <c r="AZ50" s="20">
        <f t="shared" si="6"/>
        <v>0</v>
      </c>
      <c r="BA50" s="20">
        <f t="shared" si="7"/>
        <v>20.8</v>
      </c>
      <c r="BB50" s="73">
        <f t="shared" si="21"/>
        <v>13.601153846153844</v>
      </c>
    </row>
    <row r="51" spans="1:54" s="20" customFormat="1">
      <c r="A51" s="46">
        <v>49</v>
      </c>
      <c r="B51" s="51">
        <f t="shared" si="9"/>
        <v>2</v>
      </c>
      <c r="C51" s="9">
        <f t="shared" si="8"/>
        <v>106</v>
      </c>
      <c r="D51" s="20">
        <f t="shared" si="22"/>
        <v>106</v>
      </c>
      <c r="E51" s="20">
        <f>$D51*攻击分赃比!B51*开放指数!B51</f>
        <v>127.19999999999999</v>
      </c>
      <c r="F51" s="20">
        <f>$D51*攻击分赃比!C51*开放指数!C51</f>
        <v>159</v>
      </c>
      <c r="G51" s="20">
        <f>$D51*攻击分赃比!D51*开放指数!D51</f>
        <v>212</v>
      </c>
      <c r="H51" s="20">
        <f>$D51*攻击分赃比!E51*开放指数!E51</f>
        <v>265</v>
      </c>
      <c r="I51" s="20">
        <f t="shared" si="12"/>
        <v>49</v>
      </c>
      <c r="J51" s="20">
        <f>$D51*攻击分赃比!G51*开放指数!G51</f>
        <v>31.799999999999997</v>
      </c>
      <c r="K51" s="20">
        <f>$D51*攻击分赃比!H51*开放指数!H51</f>
        <v>63.599999999999994</v>
      </c>
      <c r="L51" s="20">
        <f>$D51*攻击分赃比!I51*开放指数!I51</f>
        <v>0</v>
      </c>
      <c r="M51" s="20">
        <f>$D51*攻击分赃比!J51*开放指数!J51</f>
        <v>0</v>
      </c>
      <c r="N51" s="20">
        <f>$D51*攻击分赃比!K51*开放指数!K51</f>
        <v>127.19999999999999</v>
      </c>
      <c r="O51" s="20">
        <f>$D51*攻击分赃比!M51*开放指数!L51</f>
        <v>159</v>
      </c>
      <c r="P51" s="20">
        <f>$D51*攻击分赃比!N51*开放指数!M51</f>
        <v>212</v>
      </c>
      <c r="Q51" s="20">
        <f>$D51*攻击分赃比!O51*开放指数!N51</f>
        <v>265</v>
      </c>
      <c r="R51" s="20">
        <f>$D51*攻击分赃比!P51*开放指数!O51</f>
        <v>318</v>
      </c>
      <c r="S51" s="20">
        <f>$D51*攻击分赃比!Q51*开放指数!P51</f>
        <v>371</v>
      </c>
      <c r="T51" s="20">
        <f>$D51*攻击分赃比!R51*开放指数!Q51</f>
        <v>79.5</v>
      </c>
      <c r="U51" s="20">
        <f>$D51*攻击分赃比!S51*开放指数!R51</f>
        <v>31.799999999999997</v>
      </c>
      <c r="V51" s="20">
        <f>$D51*攻击分赃比!T51*开放指数!S51</f>
        <v>31.799999999999997</v>
      </c>
      <c r="W51" s="20">
        <f>$D51*攻击分赃比!U51*开放指数!T51</f>
        <v>5.3000000000000007</v>
      </c>
      <c r="X51" s="21">
        <f>攻击分赃比!V51*开放指数!U51</f>
        <v>0</v>
      </c>
      <c r="Y51" s="21">
        <f>攻击分赃比!W51*开放指数!V51</f>
        <v>0</v>
      </c>
      <c r="Z51" s="21">
        <f>攻击分赃比!X51*开放指数!W51</f>
        <v>0</v>
      </c>
      <c r="AA51" s="21">
        <f>攻击分赃比!Y51*开放指数!X51</f>
        <v>0</v>
      </c>
      <c r="AB51" s="21">
        <f>攻击分赃比!Z51*开放指数!Y51</f>
        <v>0</v>
      </c>
      <c r="AC51" s="20">
        <f>$D51*攻击分赃比!AB51*开放指数!Z51</f>
        <v>106</v>
      </c>
      <c r="AD51" s="20">
        <f>$D51*攻击分赃比!AC51*开放指数!AA51</f>
        <v>127.19999999999999</v>
      </c>
      <c r="AE51" s="20">
        <f>$D51*攻击分赃比!AD51*开放指数!AB51</f>
        <v>159</v>
      </c>
      <c r="AF51" s="20">
        <f>$D51*攻击分赃比!AE51*开放指数!AC51</f>
        <v>212</v>
      </c>
      <c r="AG51" s="20">
        <f>$D51*攻击分赃比!AF51*开放指数!AD51</f>
        <v>265</v>
      </c>
      <c r="AH51" s="20">
        <f>$D51*攻击分赃比!AG51*开放指数!AE51</f>
        <v>53</v>
      </c>
      <c r="AI51" s="20">
        <f>$D51*攻击分赃比!AH51*开放指数!AF51</f>
        <v>21.200000000000003</v>
      </c>
      <c r="AJ51" s="20">
        <f>$D51*攻击分赃比!AI51*开放指数!AG51</f>
        <v>21.200000000000003</v>
      </c>
      <c r="AK51" s="20">
        <f>$D51*攻击分赃比!AJ51*开放指数!AH51</f>
        <v>3.1799999999999997</v>
      </c>
      <c r="AL51" s="20">
        <f>$D51*攻击分赃比!AL51*开放指数!AI51</f>
        <v>0</v>
      </c>
      <c r="AM51" s="21">
        <f>攻击分赃比!AM51*开放指数!AJ51</f>
        <v>0</v>
      </c>
      <c r="AN51" s="21">
        <f>攻击分赃比!AN51*开放指数!AK51</f>
        <v>0</v>
      </c>
      <c r="AO51" s="21">
        <f>攻击分赃比!AO51*开放指数!AL51</f>
        <v>0</v>
      </c>
      <c r="AP51" s="21">
        <f>攻击分赃比!AP51*开放指数!AM51</f>
        <v>0</v>
      </c>
      <c r="AQ51" s="21">
        <f>攻击分赃比!AQ51*开放指数!AN51</f>
        <v>0</v>
      </c>
      <c r="AR51" s="20">
        <f>$D51*攻击分赃比!AS51*开放指数!AO51</f>
        <v>21.200000000000003</v>
      </c>
      <c r="AS51" s="20">
        <f t="shared" si="17"/>
        <v>392.2</v>
      </c>
      <c r="AT51" s="20">
        <f t="shared" si="18"/>
        <v>1440.78</v>
      </c>
      <c r="AW51" s="20">
        <f t="shared" si="19"/>
        <v>536.59999999999991</v>
      </c>
      <c r="AX51" s="20">
        <f t="shared" si="20"/>
        <v>519.4</v>
      </c>
      <c r="AY51" s="20">
        <f t="shared" si="5"/>
        <v>363.58</v>
      </c>
      <c r="AZ51" s="20">
        <f t="shared" si="6"/>
        <v>0</v>
      </c>
      <c r="BA51" s="20">
        <f t="shared" si="7"/>
        <v>21.200000000000003</v>
      </c>
      <c r="BB51" s="73">
        <f t="shared" si="21"/>
        <v>13.592264150943397</v>
      </c>
    </row>
    <row r="52" spans="1:54" s="20" customFormat="1">
      <c r="A52" s="46">
        <v>50</v>
      </c>
      <c r="B52" s="51">
        <f t="shared" si="9"/>
        <v>2</v>
      </c>
      <c r="C52" s="9">
        <f t="shared" si="8"/>
        <v>108</v>
      </c>
      <c r="D52" s="20">
        <f t="shared" si="22"/>
        <v>108</v>
      </c>
      <c r="E52" s="20">
        <f>$D52*攻击分赃比!B52*开放指数!B52</f>
        <v>129.6</v>
      </c>
      <c r="F52" s="20">
        <f>$D52*攻击分赃比!C52*开放指数!C52</f>
        <v>162</v>
      </c>
      <c r="G52" s="20">
        <f>$D52*攻击分赃比!D52*开放指数!D52</f>
        <v>216</v>
      </c>
      <c r="H52" s="20">
        <f>$D52*攻击分赃比!E52*开放指数!E52</f>
        <v>270</v>
      </c>
      <c r="I52" s="20">
        <f>$D52*攻击分赃比!F52*开放指数!F52</f>
        <v>54</v>
      </c>
      <c r="J52" s="20">
        <f>$D52*攻击分赃比!G52*开放指数!G52</f>
        <v>32.4</v>
      </c>
      <c r="K52" s="20">
        <f>$D52*攻击分赃比!H52*开放指数!H52</f>
        <v>64.8</v>
      </c>
      <c r="L52" s="20">
        <f>$D52*攻击分赃比!I52*开放指数!I52</f>
        <v>0</v>
      </c>
      <c r="M52" s="20">
        <f>$D52*攻击分赃比!J52*开放指数!J52</f>
        <v>86.4</v>
      </c>
      <c r="N52" s="20">
        <f>$D52*攻击分赃比!K52*开放指数!K52</f>
        <v>129.6</v>
      </c>
      <c r="O52" s="20">
        <f>$D52*攻击分赃比!M52*开放指数!L52</f>
        <v>162</v>
      </c>
      <c r="P52" s="20">
        <f>$D52*攻击分赃比!N52*开放指数!M52</f>
        <v>216</v>
      </c>
      <c r="Q52" s="20">
        <f>$D52*攻击分赃比!O52*开放指数!N52</f>
        <v>270</v>
      </c>
      <c r="R52" s="20">
        <f>$D52*攻击分赃比!P52*开放指数!O52</f>
        <v>324</v>
      </c>
      <c r="S52" s="20">
        <f>$D52*攻击分赃比!Q52*开放指数!P52</f>
        <v>378</v>
      </c>
      <c r="T52" s="20">
        <f>$D52*攻击分赃比!R52*开放指数!Q52</f>
        <v>81</v>
      </c>
      <c r="U52" s="20">
        <f>$D52*攻击分赃比!S52*开放指数!R52</f>
        <v>32.4</v>
      </c>
      <c r="V52" s="20">
        <f>$D52*攻击分赃比!T52*开放指数!S52</f>
        <v>32.4</v>
      </c>
      <c r="W52" s="20">
        <f>$D52*攻击分赃比!U52*开放指数!T52</f>
        <v>5.4</v>
      </c>
      <c r="X52" s="21">
        <f>攻击分赃比!V52*开放指数!U52</f>
        <v>0</v>
      </c>
      <c r="Y52" s="21">
        <f>攻击分赃比!W52*开放指数!V52</f>
        <v>0</v>
      </c>
      <c r="Z52" s="21">
        <f>攻击分赃比!X52*开放指数!W52</f>
        <v>0</v>
      </c>
      <c r="AA52" s="21">
        <f>攻击分赃比!Y52*开放指数!X52</f>
        <v>0</v>
      </c>
      <c r="AB52" s="21">
        <f>攻击分赃比!Z52*开放指数!Y52</f>
        <v>0</v>
      </c>
      <c r="AC52" s="20">
        <f>$D52*攻击分赃比!AB52*开放指数!Z52</f>
        <v>108</v>
      </c>
      <c r="AD52" s="20">
        <f>$D52*攻击分赃比!AC52*开放指数!AA52</f>
        <v>129.6</v>
      </c>
      <c r="AE52" s="20">
        <f>$D52*攻击分赃比!AD52*开放指数!AB52</f>
        <v>162</v>
      </c>
      <c r="AF52" s="20">
        <f>$D52*攻击分赃比!AE52*开放指数!AC52</f>
        <v>216</v>
      </c>
      <c r="AG52" s="20">
        <f>$D52*攻击分赃比!AF52*开放指数!AD52</f>
        <v>270</v>
      </c>
      <c r="AH52" s="20">
        <f>$D52*攻击分赃比!AG52*开放指数!AE52</f>
        <v>54</v>
      </c>
      <c r="AI52" s="20">
        <f>$D52*攻击分赃比!AH52*开放指数!AF52</f>
        <v>21.6</v>
      </c>
      <c r="AJ52" s="20">
        <f>$D52*攻击分赃比!AI52*开放指数!AG52</f>
        <v>21.6</v>
      </c>
      <c r="AK52" s="20">
        <f>$D52*攻击分赃比!AJ52*开放指数!AH52</f>
        <v>3.2399999999999998</v>
      </c>
      <c r="AL52" s="20">
        <f>$D52*攻击分赃比!AL52*开放指数!AI52</f>
        <v>0</v>
      </c>
      <c r="AM52" s="21">
        <f>攻击分赃比!AM52*开放指数!AJ52</f>
        <v>0</v>
      </c>
      <c r="AN52" s="21">
        <f>攻击分赃比!AN52*开放指数!AK52</f>
        <v>0</v>
      </c>
      <c r="AO52" s="21">
        <f>攻击分赃比!AO52*开放指数!AL52</f>
        <v>0</v>
      </c>
      <c r="AP52" s="21">
        <f>攻击分赃比!AP52*开放指数!AM52</f>
        <v>0</v>
      </c>
      <c r="AQ52" s="21">
        <f>攻击分赃比!AQ52*开放指数!AN52</f>
        <v>0</v>
      </c>
      <c r="AR52" s="20">
        <f>$D52*攻击分赃比!AS52*开放指数!AO52</f>
        <v>21.6</v>
      </c>
      <c r="AS52" s="20">
        <f t="shared" si="17"/>
        <v>399.6</v>
      </c>
      <c r="AT52" s="20">
        <f t="shared" si="18"/>
        <v>1558.44</v>
      </c>
      <c r="AW52" s="20">
        <f t="shared" si="19"/>
        <v>637.20000000000005</v>
      </c>
      <c r="AX52" s="20">
        <f t="shared" si="20"/>
        <v>529.19999999999993</v>
      </c>
      <c r="AY52" s="20">
        <f t="shared" si="5"/>
        <v>370.44000000000005</v>
      </c>
      <c r="AZ52" s="20">
        <f t="shared" si="6"/>
        <v>0</v>
      </c>
      <c r="BA52" s="20">
        <f t="shared" si="7"/>
        <v>21.6</v>
      </c>
      <c r="BB52" s="73">
        <f t="shared" si="21"/>
        <v>14.43</v>
      </c>
    </row>
    <row r="53" spans="1:54" s="20" customFormat="1">
      <c r="A53" s="46">
        <v>51</v>
      </c>
      <c r="B53" s="51">
        <f t="shared" si="9"/>
        <v>2</v>
      </c>
      <c r="C53" s="9">
        <f t="shared" si="8"/>
        <v>110</v>
      </c>
      <c r="D53" s="20">
        <f t="shared" si="22"/>
        <v>110</v>
      </c>
      <c r="E53" s="20">
        <f>$D53*攻击分赃比!B53*开放指数!B53</f>
        <v>132</v>
      </c>
      <c r="F53" s="20">
        <f>$D53*攻击分赃比!C53*开放指数!C53</f>
        <v>165</v>
      </c>
      <c r="G53" s="20">
        <f>$D53*攻击分赃比!D53*开放指数!D53</f>
        <v>220</v>
      </c>
      <c r="H53" s="20">
        <f>$D53*攻击分赃比!E53*开放指数!E53</f>
        <v>275</v>
      </c>
      <c r="I53" s="20">
        <f t="shared" ref="I53" si="26">I52</f>
        <v>54</v>
      </c>
      <c r="J53" s="20">
        <f>$D53*攻击分赃比!G53*开放指数!G53</f>
        <v>33</v>
      </c>
      <c r="K53" s="20">
        <f>$D53*攻击分赃比!H53*开放指数!H53</f>
        <v>66</v>
      </c>
      <c r="L53" s="20">
        <f>$D53*攻击分赃比!I53*开放指数!I53</f>
        <v>0</v>
      </c>
      <c r="M53" s="20">
        <f>$D53*攻击分赃比!J53*开放指数!J53</f>
        <v>88</v>
      </c>
      <c r="N53" s="20">
        <f>$D53*攻击分赃比!K53*开放指数!K53</f>
        <v>132</v>
      </c>
      <c r="O53" s="20">
        <f>$D53*攻击分赃比!M53*开放指数!L53</f>
        <v>165</v>
      </c>
      <c r="P53" s="20">
        <f>$D53*攻击分赃比!N53*开放指数!M53</f>
        <v>220</v>
      </c>
      <c r="Q53" s="20">
        <f>$D53*攻击分赃比!O53*开放指数!N53</f>
        <v>275</v>
      </c>
      <c r="R53" s="20">
        <f>$D53*攻击分赃比!P53*开放指数!O53</f>
        <v>330</v>
      </c>
      <c r="S53" s="20">
        <f>$D53*攻击分赃比!Q53*开放指数!P53</f>
        <v>385</v>
      </c>
      <c r="T53" s="20">
        <f>$D53*攻击分赃比!R53*开放指数!Q53</f>
        <v>82.5</v>
      </c>
      <c r="U53" s="20">
        <f>$D53*攻击分赃比!S53*开放指数!R53</f>
        <v>33</v>
      </c>
      <c r="V53" s="20">
        <f>$D53*攻击分赃比!T53*开放指数!S53</f>
        <v>33</v>
      </c>
      <c r="W53" s="20">
        <f>$D53*攻击分赃比!U53*开放指数!T53</f>
        <v>5.5</v>
      </c>
      <c r="X53" s="21">
        <f>攻击分赃比!V53*开放指数!U53</f>
        <v>0</v>
      </c>
      <c r="Y53" s="21">
        <f>攻击分赃比!W53*开放指数!V53</f>
        <v>0</v>
      </c>
      <c r="Z53" s="21">
        <f>攻击分赃比!X53*开放指数!W53</f>
        <v>0</v>
      </c>
      <c r="AA53" s="21">
        <f>攻击分赃比!Y53*开放指数!X53</f>
        <v>0</v>
      </c>
      <c r="AB53" s="21">
        <f>攻击分赃比!Z53*开放指数!Y53</f>
        <v>0</v>
      </c>
      <c r="AC53" s="20">
        <f>$D53*攻击分赃比!AB53*开放指数!Z53</f>
        <v>110</v>
      </c>
      <c r="AD53" s="20">
        <f>$D53*攻击分赃比!AC53*开放指数!AA53</f>
        <v>132</v>
      </c>
      <c r="AE53" s="20">
        <f>$D53*攻击分赃比!AD53*开放指数!AB53</f>
        <v>165</v>
      </c>
      <c r="AF53" s="20">
        <f>$D53*攻击分赃比!AE53*开放指数!AC53</f>
        <v>220</v>
      </c>
      <c r="AG53" s="20">
        <f>$D53*攻击分赃比!AF53*开放指数!AD53</f>
        <v>275</v>
      </c>
      <c r="AH53" s="20">
        <f>$D53*攻击分赃比!AG53*开放指数!AE53</f>
        <v>55</v>
      </c>
      <c r="AI53" s="20">
        <f>$D53*攻击分赃比!AH53*开放指数!AF53</f>
        <v>22</v>
      </c>
      <c r="AJ53" s="20">
        <f>$D53*攻击分赃比!AI53*开放指数!AG53</f>
        <v>22</v>
      </c>
      <c r="AK53" s="20">
        <f>$D53*攻击分赃比!AJ53*开放指数!AH53</f>
        <v>3.3</v>
      </c>
      <c r="AL53" s="20">
        <f>$D53*攻击分赃比!AL53*开放指数!AI53</f>
        <v>0</v>
      </c>
      <c r="AM53" s="21">
        <f>攻击分赃比!AM53*开放指数!AJ53</f>
        <v>0</v>
      </c>
      <c r="AN53" s="21">
        <f>攻击分赃比!AN53*开放指数!AK53</f>
        <v>0</v>
      </c>
      <c r="AO53" s="21">
        <f>攻击分赃比!AO53*开放指数!AL53</f>
        <v>0</v>
      </c>
      <c r="AP53" s="21">
        <f>攻击分赃比!AP53*开放指数!AM53</f>
        <v>0</v>
      </c>
      <c r="AQ53" s="21">
        <f>攻击分赃比!AQ53*开放指数!AN53</f>
        <v>0</v>
      </c>
      <c r="AR53" s="20">
        <f>$D53*攻击分赃比!AS53*开放指数!AO53</f>
        <v>22</v>
      </c>
      <c r="AS53" s="20">
        <f t="shared" si="17"/>
        <v>407</v>
      </c>
      <c r="AT53" s="20">
        <f t="shared" si="18"/>
        <v>1586.3</v>
      </c>
      <c r="AW53" s="20">
        <f t="shared" si="19"/>
        <v>648</v>
      </c>
      <c r="AX53" s="20">
        <f t="shared" si="20"/>
        <v>539</v>
      </c>
      <c r="AY53" s="20">
        <f t="shared" si="5"/>
        <v>377.3</v>
      </c>
      <c r="AZ53" s="20">
        <f t="shared" si="6"/>
        <v>0</v>
      </c>
      <c r="BA53" s="20">
        <f t="shared" si="7"/>
        <v>22</v>
      </c>
      <c r="BB53" s="73">
        <f t="shared" si="21"/>
        <v>14.42090909090909</v>
      </c>
    </row>
    <row r="54" spans="1:54" s="20" customFormat="1">
      <c r="A54" s="46">
        <v>52</v>
      </c>
      <c r="B54" s="51">
        <f t="shared" si="9"/>
        <v>2</v>
      </c>
      <c r="C54" s="9">
        <f t="shared" si="8"/>
        <v>112</v>
      </c>
      <c r="D54" s="20">
        <f t="shared" si="22"/>
        <v>112</v>
      </c>
      <c r="E54" s="20">
        <f>$D54*攻击分赃比!B54*开放指数!B54</f>
        <v>134.4</v>
      </c>
      <c r="F54" s="20">
        <f>$D54*攻击分赃比!C54*开放指数!C54</f>
        <v>168</v>
      </c>
      <c r="G54" s="20">
        <f>$D54*攻击分赃比!D54*开放指数!D54</f>
        <v>224</v>
      </c>
      <c r="H54" s="20">
        <f>$D54*攻击分赃比!E54*开放指数!E54</f>
        <v>280</v>
      </c>
      <c r="I54" s="20">
        <f t="shared" si="12"/>
        <v>54</v>
      </c>
      <c r="J54" s="20">
        <f>$D54*攻击分赃比!G54*开放指数!G54</f>
        <v>33.6</v>
      </c>
      <c r="K54" s="20">
        <f>$D54*攻击分赃比!H54*开放指数!H54</f>
        <v>67.2</v>
      </c>
      <c r="L54" s="20">
        <f>$D54*攻击分赃比!I54*开放指数!I54</f>
        <v>0</v>
      </c>
      <c r="M54" s="20">
        <f>$D54*攻击分赃比!J54*开放指数!J54</f>
        <v>89.600000000000009</v>
      </c>
      <c r="N54" s="20">
        <f>$D54*攻击分赃比!K54*开放指数!K54</f>
        <v>134.4</v>
      </c>
      <c r="O54" s="20">
        <f>$D54*攻击分赃比!M54*开放指数!L54</f>
        <v>168</v>
      </c>
      <c r="P54" s="20">
        <f>$D54*攻击分赃比!N54*开放指数!M54</f>
        <v>224</v>
      </c>
      <c r="Q54" s="20">
        <f>$D54*攻击分赃比!O54*开放指数!N54</f>
        <v>280</v>
      </c>
      <c r="R54" s="20">
        <f>$D54*攻击分赃比!P54*开放指数!O54</f>
        <v>336</v>
      </c>
      <c r="S54" s="20">
        <f>$D54*攻击分赃比!Q54*开放指数!P54</f>
        <v>392</v>
      </c>
      <c r="T54" s="20">
        <f>$D54*攻击分赃比!R54*开放指数!Q54</f>
        <v>84</v>
      </c>
      <c r="U54" s="20">
        <f>$D54*攻击分赃比!S54*开放指数!R54</f>
        <v>33.6</v>
      </c>
      <c r="V54" s="20">
        <f>$D54*攻击分赃比!T54*开放指数!S54</f>
        <v>33.6</v>
      </c>
      <c r="W54" s="20">
        <f>$D54*攻击分赃比!U54*开放指数!T54</f>
        <v>5.6000000000000005</v>
      </c>
      <c r="X54" s="21">
        <f>攻击分赃比!V54*开放指数!U54</f>
        <v>0</v>
      </c>
      <c r="Y54" s="21">
        <f>攻击分赃比!W54*开放指数!V54</f>
        <v>0</v>
      </c>
      <c r="Z54" s="21">
        <f>攻击分赃比!X54*开放指数!W54</f>
        <v>0</v>
      </c>
      <c r="AA54" s="21">
        <f>攻击分赃比!Y54*开放指数!X54</f>
        <v>0</v>
      </c>
      <c r="AB54" s="21">
        <f>攻击分赃比!Z54*开放指数!Y54</f>
        <v>0</v>
      </c>
      <c r="AC54" s="20">
        <f>$D54*攻击分赃比!AB54*开放指数!Z54</f>
        <v>112</v>
      </c>
      <c r="AD54" s="20">
        <f>$D54*攻击分赃比!AC54*开放指数!AA54</f>
        <v>134.4</v>
      </c>
      <c r="AE54" s="20">
        <f>$D54*攻击分赃比!AD54*开放指数!AB54</f>
        <v>168</v>
      </c>
      <c r="AF54" s="20">
        <f>$D54*攻击分赃比!AE54*开放指数!AC54</f>
        <v>224</v>
      </c>
      <c r="AG54" s="20">
        <f>$D54*攻击分赃比!AF54*开放指数!AD54</f>
        <v>280</v>
      </c>
      <c r="AH54" s="20">
        <f>$D54*攻击分赃比!AG54*开放指数!AE54</f>
        <v>56</v>
      </c>
      <c r="AI54" s="20">
        <f>$D54*攻击分赃比!AH54*开放指数!AF54</f>
        <v>22.400000000000002</v>
      </c>
      <c r="AJ54" s="20">
        <f>$D54*攻击分赃比!AI54*开放指数!AG54</f>
        <v>22.400000000000002</v>
      </c>
      <c r="AK54" s="20">
        <f>$D54*攻击分赃比!AJ54*开放指数!AH54</f>
        <v>3.36</v>
      </c>
      <c r="AL54" s="20">
        <f>$D54*攻击分赃比!AL54*开放指数!AI54</f>
        <v>0</v>
      </c>
      <c r="AM54" s="21">
        <f>攻击分赃比!AM54*开放指数!AJ54</f>
        <v>0</v>
      </c>
      <c r="AN54" s="21">
        <f>攻击分赃比!AN54*开放指数!AK54</f>
        <v>0</v>
      </c>
      <c r="AO54" s="21">
        <f>攻击分赃比!AO54*开放指数!AL54</f>
        <v>0</v>
      </c>
      <c r="AP54" s="21">
        <f>攻击分赃比!AP54*开放指数!AM54</f>
        <v>0</v>
      </c>
      <c r="AQ54" s="21">
        <f>攻击分赃比!AQ54*开放指数!AN54</f>
        <v>0</v>
      </c>
      <c r="AR54" s="20">
        <f>$D54*攻击分赃比!AS54*开放指数!AO54</f>
        <v>22.400000000000002</v>
      </c>
      <c r="AS54" s="20">
        <f t="shared" si="17"/>
        <v>414.4</v>
      </c>
      <c r="AT54" s="20">
        <f t="shared" si="18"/>
        <v>1614.1599999999999</v>
      </c>
      <c r="AW54" s="20">
        <f t="shared" si="19"/>
        <v>658.8</v>
      </c>
      <c r="AX54" s="20">
        <f t="shared" si="20"/>
        <v>548.80000000000007</v>
      </c>
      <c r="AY54" s="20">
        <f t="shared" si="5"/>
        <v>384.15999999999997</v>
      </c>
      <c r="AZ54" s="20">
        <f t="shared" si="6"/>
        <v>0</v>
      </c>
      <c r="BA54" s="20">
        <f t="shared" si="7"/>
        <v>22.400000000000002</v>
      </c>
      <c r="BB54" s="73">
        <f t="shared" si="21"/>
        <v>14.412142857142856</v>
      </c>
    </row>
    <row r="55" spans="1:54" s="20" customFormat="1">
      <c r="A55" s="46">
        <v>53</v>
      </c>
      <c r="B55" s="51">
        <f t="shared" si="9"/>
        <v>2</v>
      </c>
      <c r="C55" s="9">
        <f t="shared" si="8"/>
        <v>114</v>
      </c>
      <c r="D55" s="20">
        <f t="shared" si="22"/>
        <v>114</v>
      </c>
      <c r="E55" s="20">
        <f>$D55*攻击分赃比!B55*开放指数!B55</f>
        <v>136.79999999999998</v>
      </c>
      <c r="F55" s="20">
        <f>$D55*攻击分赃比!C55*开放指数!C55</f>
        <v>171</v>
      </c>
      <c r="G55" s="20">
        <f>$D55*攻击分赃比!D55*开放指数!D55</f>
        <v>228</v>
      </c>
      <c r="H55" s="20">
        <f>$D55*攻击分赃比!E55*开放指数!E55</f>
        <v>285</v>
      </c>
      <c r="I55" s="20">
        <f t="shared" si="12"/>
        <v>54</v>
      </c>
      <c r="J55" s="20">
        <f>$D55*攻击分赃比!G55*开放指数!G55</f>
        <v>34.199999999999996</v>
      </c>
      <c r="K55" s="20">
        <f>$D55*攻击分赃比!H55*开放指数!H55</f>
        <v>68.399999999999991</v>
      </c>
      <c r="L55" s="20">
        <f>$D55*攻击分赃比!I55*开放指数!I55</f>
        <v>0</v>
      </c>
      <c r="M55" s="20">
        <f>$D55*攻击分赃比!J55*开放指数!J55</f>
        <v>91.2</v>
      </c>
      <c r="N55" s="20">
        <f>$D55*攻击分赃比!K55*开放指数!K55</f>
        <v>136.79999999999998</v>
      </c>
      <c r="O55" s="20">
        <f>$D55*攻击分赃比!M55*开放指数!L55</f>
        <v>171</v>
      </c>
      <c r="P55" s="20">
        <f>$D55*攻击分赃比!N55*开放指数!M55</f>
        <v>228</v>
      </c>
      <c r="Q55" s="20">
        <f>$D55*攻击分赃比!O55*开放指数!N55</f>
        <v>285</v>
      </c>
      <c r="R55" s="20">
        <f>$D55*攻击分赃比!P55*开放指数!O55</f>
        <v>342</v>
      </c>
      <c r="S55" s="20">
        <f>$D55*攻击分赃比!Q55*开放指数!P55</f>
        <v>399</v>
      </c>
      <c r="T55" s="20">
        <f>$D55*攻击分赃比!R55*开放指数!Q55</f>
        <v>85.5</v>
      </c>
      <c r="U55" s="20">
        <f>$D55*攻击分赃比!S55*开放指数!R55</f>
        <v>34.199999999999996</v>
      </c>
      <c r="V55" s="20">
        <f>$D55*攻击分赃比!T55*开放指数!S55</f>
        <v>34.199999999999996</v>
      </c>
      <c r="W55" s="20">
        <f>$D55*攻击分赃比!U55*开放指数!T55</f>
        <v>5.7</v>
      </c>
      <c r="X55" s="21">
        <f>攻击分赃比!V55*开放指数!U55</f>
        <v>0</v>
      </c>
      <c r="Y55" s="21">
        <f>攻击分赃比!W55*开放指数!V55</f>
        <v>0</v>
      </c>
      <c r="Z55" s="21">
        <f>攻击分赃比!X55*开放指数!W55</f>
        <v>0</v>
      </c>
      <c r="AA55" s="21">
        <f>攻击分赃比!Y55*开放指数!X55</f>
        <v>0</v>
      </c>
      <c r="AB55" s="21">
        <f>攻击分赃比!Z55*开放指数!Y55</f>
        <v>0</v>
      </c>
      <c r="AC55" s="20">
        <f>$D55*攻击分赃比!AB55*开放指数!Z55</f>
        <v>114</v>
      </c>
      <c r="AD55" s="20">
        <f>$D55*攻击分赃比!AC55*开放指数!AA55</f>
        <v>136.79999999999998</v>
      </c>
      <c r="AE55" s="20">
        <f>$D55*攻击分赃比!AD55*开放指数!AB55</f>
        <v>171</v>
      </c>
      <c r="AF55" s="20">
        <f>$D55*攻击分赃比!AE55*开放指数!AC55</f>
        <v>228</v>
      </c>
      <c r="AG55" s="20">
        <f>$D55*攻击分赃比!AF55*开放指数!AD55</f>
        <v>285</v>
      </c>
      <c r="AH55" s="20">
        <f>$D55*攻击分赃比!AG55*开放指数!AE55</f>
        <v>57</v>
      </c>
      <c r="AI55" s="20">
        <f>$D55*攻击分赃比!AH55*开放指数!AF55</f>
        <v>22.8</v>
      </c>
      <c r="AJ55" s="20">
        <f>$D55*攻击分赃比!AI55*开放指数!AG55</f>
        <v>22.8</v>
      </c>
      <c r="AK55" s="20">
        <f>$D55*攻击分赃比!AJ55*开放指数!AH55</f>
        <v>3.42</v>
      </c>
      <c r="AL55" s="20">
        <f>$D55*攻击分赃比!AL55*开放指数!AI55</f>
        <v>0</v>
      </c>
      <c r="AM55" s="21">
        <f>攻击分赃比!AM55*开放指数!AJ55</f>
        <v>0</v>
      </c>
      <c r="AN55" s="21">
        <f>攻击分赃比!AN55*开放指数!AK55</f>
        <v>0</v>
      </c>
      <c r="AO55" s="21">
        <f>攻击分赃比!AO55*开放指数!AL55</f>
        <v>0</v>
      </c>
      <c r="AP55" s="21">
        <f>攻击分赃比!AP55*开放指数!AM55</f>
        <v>0</v>
      </c>
      <c r="AQ55" s="21">
        <f>攻击分赃比!AQ55*开放指数!AN55</f>
        <v>0</v>
      </c>
      <c r="AR55" s="20">
        <f>$D55*攻击分赃比!AS55*开放指数!AO55</f>
        <v>22.8</v>
      </c>
      <c r="AS55" s="20">
        <f t="shared" si="17"/>
        <v>421.8</v>
      </c>
      <c r="AT55" s="20">
        <f t="shared" si="18"/>
        <v>1642.02</v>
      </c>
      <c r="AW55" s="20">
        <f t="shared" si="19"/>
        <v>669.59999999999991</v>
      </c>
      <c r="AX55" s="20">
        <f t="shared" si="20"/>
        <v>558.60000000000014</v>
      </c>
      <c r="AY55" s="20">
        <f t="shared" si="5"/>
        <v>391.02000000000004</v>
      </c>
      <c r="AZ55" s="20">
        <f t="shared" si="6"/>
        <v>0</v>
      </c>
      <c r="BA55" s="20">
        <f t="shared" si="7"/>
        <v>22.8</v>
      </c>
      <c r="BB55" s="73">
        <f t="shared" si="21"/>
        <v>14.403684210526315</v>
      </c>
    </row>
    <row r="56" spans="1:54" s="20" customFormat="1">
      <c r="A56" s="46">
        <v>54</v>
      </c>
      <c r="B56" s="51">
        <f t="shared" si="9"/>
        <v>2</v>
      </c>
      <c r="C56" s="9">
        <f t="shared" si="8"/>
        <v>116</v>
      </c>
      <c r="D56" s="20">
        <f t="shared" si="22"/>
        <v>116</v>
      </c>
      <c r="E56" s="20">
        <f>$D56*攻击分赃比!B56*开放指数!B56</f>
        <v>139.19999999999999</v>
      </c>
      <c r="F56" s="20">
        <f>$D56*攻击分赃比!C56*开放指数!C56</f>
        <v>174</v>
      </c>
      <c r="G56" s="20">
        <f>$D56*攻击分赃比!D56*开放指数!D56</f>
        <v>232</v>
      </c>
      <c r="H56" s="20">
        <f>$D56*攻击分赃比!E56*开放指数!E56</f>
        <v>290</v>
      </c>
      <c r="I56" s="20">
        <f t="shared" si="12"/>
        <v>54</v>
      </c>
      <c r="J56" s="20">
        <f>$D56*攻击分赃比!G56*开放指数!G56</f>
        <v>34.799999999999997</v>
      </c>
      <c r="K56" s="20">
        <f>$D56*攻击分赃比!H56*开放指数!H56</f>
        <v>69.599999999999994</v>
      </c>
      <c r="L56" s="20">
        <f>$D56*攻击分赃比!I56*开放指数!I56</f>
        <v>0</v>
      </c>
      <c r="M56" s="20">
        <f>$D56*攻击分赃比!J56*开放指数!J56</f>
        <v>92.800000000000011</v>
      </c>
      <c r="N56" s="20">
        <f>$D56*攻击分赃比!K56*开放指数!K56</f>
        <v>139.19999999999999</v>
      </c>
      <c r="O56" s="20">
        <f>$D56*攻击分赃比!M56*开放指数!L56</f>
        <v>174</v>
      </c>
      <c r="P56" s="20">
        <f>$D56*攻击分赃比!N56*开放指数!M56</f>
        <v>232</v>
      </c>
      <c r="Q56" s="20">
        <f>$D56*攻击分赃比!O56*开放指数!N56</f>
        <v>290</v>
      </c>
      <c r="R56" s="20">
        <f>$D56*攻击分赃比!P56*开放指数!O56</f>
        <v>348</v>
      </c>
      <c r="S56" s="20">
        <f>$D56*攻击分赃比!Q56*开放指数!P56</f>
        <v>406</v>
      </c>
      <c r="T56" s="20">
        <f>$D56*攻击分赃比!R56*开放指数!Q56</f>
        <v>87</v>
      </c>
      <c r="U56" s="20">
        <f>$D56*攻击分赃比!S56*开放指数!R56</f>
        <v>34.799999999999997</v>
      </c>
      <c r="V56" s="20">
        <f>$D56*攻击分赃比!T56*开放指数!S56</f>
        <v>34.799999999999997</v>
      </c>
      <c r="W56" s="20">
        <f>$D56*攻击分赃比!U56*开放指数!T56</f>
        <v>5.8000000000000007</v>
      </c>
      <c r="X56" s="21">
        <f>攻击分赃比!V56*开放指数!U56</f>
        <v>0</v>
      </c>
      <c r="Y56" s="21">
        <f>攻击分赃比!W56*开放指数!V56</f>
        <v>0</v>
      </c>
      <c r="Z56" s="21">
        <f>攻击分赃比!X56*开放指数!W56</f>
        <v>0</v>
      </c>
      <c r="AA56" s="21">
        <f>攻击分赃比!Y56*开放指数!X56</f>
        <v>0</v>
      </c>
      <c r="AB56" s="21">
        <f>攻击分赃比!Z56*开放指数!Y56</f>
        <v>0</v>
      </c>
      <c r="AC56" s="20">
        <f>$D56*攻击分赃比!AB56*开放指数!Z56</f>
        <v>116</v>
      </c>
      <c r="AD56" s="20">
        <f>$D56*攻击分赃比!AC56*开放指数!AA56</f>
        <v>139.19999999999999</v>
      </c>
      <c r="AE56" s="20">
        <f>$D56*攻击分赃比!AD56*开放指数!AB56</f>
        <v>174</v>
      </c>
      <c r="AF56" s="20">
        <f>$D56*攻击分赃比!AE56*开放指数!AC56</f>
        <v>232</v>
      </c>
      <c r="AG56" s="20">
        <f>$D56*攻击分赃比!AF56*开放指数!AD56</f>
        <v>290</v>
      </c>
      <c r="AH56" s="20">
        <f>$D56*攻击分赃比!AG56*开放指数!AE56</f>
        <v>58</v>
      </c>
      <c r="AI56" s="20">
        <f>$D56*攻击分赃比!AH56*开放指数!AF56</f>
        <v>23.200000000000003</v>
      </c>
      <c r="AJ56" s="20">
        <f>$D56*攻击分赃比!AI56*开放指数!AG56</f>
        <v>23.200000000000003</v>
      </c>
      <c r="AK56" s="20">
        <f>$D56*攻击分赃比!AJ56*开放指数!AH56</f>
        <v>3.48</v>
      </c>
      <c r="AL56" s="20">
        <f>$D56*攻击分赃比!AL56*开放指数!AI56</f>
        <v>0</v>
      </c>
      <c r="AM56" s="21">
        <f>攻击分赃比!AM56*开放指数!AJ56</f>
        <v>0</v>
      </c>
      <c r="AN56" s="21">
        <f>攻击分赃比!AN56*开放指数!AK56</f>
        <v>0</v>
      </c>
      <c r="AO56" s="21">
        <f>攻击分赃比!AO56*开放指数!AL56</f>
        <v>0</v>
      </c>
      <c r="AP56" s="21">
        <f>攻击分赃比!AP56*开放指数!AM56</f>
        <v>0</v>
      </c>
      <c r="AQ56" s="21">
        <f>攻击分赃比!AQ56*开放指数!AN56</f>
        <v>0</v>
      </c>
      <c r="AR56" s="20">
        <f>$D56*攻击分赃比!AS56*开放指数!AO56</f>
        <v>23.200000000000003</v>
      </c>
      <c r="AS56" s="20">
        <f t="shared" si="17"/>
        <v>429.2</v>
      </c>
      <c r="AT56" s="20">
        <f t="shared" si="18"/>
        <v>1669.88</v>
      </c>
      <c r="AW56" s="20">
        <f t="shared" si="19"/>
        <v>680.40000000000009</v>
      </c>
      <c r="AX56" s="20">
        <f t="shared" si="20"/>
        <v>568.39999999999986</v>
      </c>
      <c r="AY56" s="20">
        <f t="shared" si="5"/>
        <v>397.88</v>
      </c>
      <c r="AZ56" s="20">
        <f t="shared" si="6"/>
        <v>0</v>
      </c>
      <c r="BA56" s="20">
        <f t="shared" si="7"/>
        <v>23.200000000000003</v>
      </c>
      <c r="BB56" s="73">
        <f t="shared" si="21"/>
        <v>14.395517241379311</v>
      </c>
    </row>
    <row r="57" spans="1:54" s="20" customFormat="1">
      <c r="A57" s="46">
        <v>55</v>
      </c>
      <c r="B57" s="51">
        <f t="shared" si="9"/>
        <v>2</v>
      </c>
      <c r="C57" s="9">
        <f t="shared" si="8"/>
        <v>118</v>
      </c>
      <c r="D57" s="20">
        <f t="shared" si="22"/>
        <v>118</v>
      </c>
      <c r="E57" s="20">
        <f>$D57*攻击分赃比!B57*开放指数!B57</f>
        <v>141.6</v>
      </c>
      <c r="F57" s="20">
        <f>$D57*攻击分赃比!C57*开放指数!C57</f>
        <v>177</v>
      </c>
      <c r="G57" s="20">
        <f>$D57*攻击分赃比!D57*开放指数!D57</f>
        <v>236</v>
      </c>
      <c r="H57" s="20">
        <f>$D57*攻击分赃比!E57*开放指数!E57</f>
        <v>295</v>
      </c>
      <c r="I57" s="20">
        <f>$D57*攻击分赃比!F57*开放指数!F57</f>
        <v>59</v>
      </c>
      <c r="J57" s="20">
        <f>$D57*攻击分赃比!G57*开放指数!G57</f>
        <v>35.4</v>
      </c>
      <c r="K57" s="20">
        <f>$D57*攻击分赃比!H57*开放指数!H57</f>
        <v>70.8</v>
      </c>
      <c r="L57" s="20">
        <f>$D57*攻击分赃比!I57*开放指数!I57</f>
        <v>0</v>
      </c>
      <c r="M57" s="20">
        <f>$D57*攻击分赃比!J57*开放指数!J57</f>
        <v>94.4</v>
      </c>
      <c r="N57" s="20">
        <f>$D57*攻击分赃比!K57*开放指数!K57</f>
        <v>141.6</v>
      </c>
      <c r="O57" s="20">
        <f>$D57*攻击分赃比!M57*开放指数!L57</f>
        <v>177</v>
      </c>
      <c r="P57" s="20">
        <f>$D57*攻击分赃比!N57*开放指数!M57</f>
        <v>236</v>
      </c>
      <c r="Q57" s="20">
        <f>$D57*攻击分赃比!O57*开放指数!N57</f>
        <v>295</v>
      </c>
      <c r="R57" s="20">
        <f>$D57*攻击分赃比!P57*开放指数!O57</f>
        <v>354</v>
      </c>
      <c r="S57" s="20">
        <f>$D57*攻击分赃比!Q57*开放指数!P57</f>
        <v>413</v>
      </c>
      <c r="T57" s="20">
        <f>$D57*攻击分赃比!R57*开放指数!Q57</f>
        <v>88.5</v>
      </c>
      <c r="U57" s="20">
        <f>$D57*攻击分赃比!S57*开放指数!R57</f>
        <v>35.4</v>
      </c>
      <c r="V57" s="20">
        <f>$D57*攻击分赃比!T57*开放指数!S57</f>
        <v>35.4</v>
      </c>
      <c r="W57" s="20">
        <f>$D57*攻击分赃比!U57*开放指数!T57</f>
        <v>5.9</v>
      </c>
      <c r="X57" s="21">
        <f>攻击分赃比!V57*开放指数!U57</f>
        <v>0</v>
      </c>
      <c r="Y57" s="21">
        <f>攻击分赃比!W57*开放指数!V57</f>
        <v>0</v>
      </c>
      <c r="Z57" s="21">
        <f>攻击分赃比!X57*开放指数!W57</f>
        <v>0</v>
      </c>
      <c r="AA57" s="21">
        <f>攻击分赃比!Y57*开放指数!X57</f>
        <v>0</v>
      </c>
      <c r="AB57" s="21">
        <f>攻击分赃比!Z57*开放指数!Y57</f>
        <v>0</v>
      </c>
      <c r="AC57" s="20">
        <f>$D57*攻击分赃比!AB57*开放指数!Z57</f>
        <v>118</v>
      </c>
      <c r="AD57" s="20">
        <f>$D57*攻击分赃比!AC57*开放指数!AA57</f>
        <v>141.6</v>
      </c>
      <c r="AE57" s="20">
        <f>$D57*攻击分赃比!AD57*开放指数!AB57</f>
        <v>177</v>
      </c>
      <c r="AF57" s="20">
        <f>$D57*攻击分赃比!AE57*开放指数!AC57</f>
        <v>236</v>
      </c>
      <c r="AG57" s="20">
        <f>$D57*攻击分赃比!AF57*开放指数!AD57</f>
        <v>295</v>
      </c>
      <c r="AH57" s="20">
        <f>$D57*攻击分赃比!AG57*开放指数!AE57</f>
        <v>59</v>
      </c>
      <c r="AI57" s="20">
        <f>$D57*攻击分赃比!AH57*开放指数!AF57</f>
        <v>23.6</v>
      </c>
      <c r="AJ57" s="20">
        <f>$D57*攻击分赃比!AI57*开放指数!AG57</f>
        <v>23.6</v>
      </c>
      <c r="AK57" s="20">
        <f>$D57*攻击分赃比!AJ57*开放指数!AH57</f>
        <v>3.54</v>
      </c>
      <c r="AL57" s="20">
        <f>$D57*攻击分赃比!AL57*开放指数!AI57</f>
        <v>0</v>
      </c>
      <c r="AM57" s="21">
        <f>攻击分赃比!AM57*开放指数!AJ57</f>
        <v>0</v>
      </c>
      <c r="AN57" s="21">
        <f>攻击分赃比!AN57*开放指数!AK57</f>
        <v>0</v>
      </c>
      <c r="AO57" s="21">
        <f>攻击分赃比!AO57*开放指数!AL57</f>
        <v>0</v>
      </c>
      <c r="AP57" s="21">
        <f>攻击分赃比!AP57*开放指数!AM57</f>
        <v>0</v>
      </c>
      <c r="AQ57" s="21">
        <f>攻击分赃比!AQ57*开放指数!AN57</f>
        <v>0</v>
      </c>
      <c r="AR57" s="20">
        <f>$D57*攻击分赃比!AS57*开放指数!AO57</f>
        <v>23.6</v>
      </c>
      <c r="AS57" s="20">
        <f t="shared" si="17"/>
        <v>436.6</v>
      </c>
      <c r="AT57" s="20">
        <f t="shared" si="18"/>
        <v>1702.74</v>
      </c>
      <c r="AW57" s="20">
        <f t="shared" si="19"/>
        <v>696.2</v>
      </c>
      <c r="AX57" s="20">
        <f t="shared" si="20"/>
        <v>578.19999999999993</v>
      </c>
      <c r="AY57" s="20">
        <f t="shared" si="5"/>
        <v>404.74000000000007</v>
      </c>
      <c r="AZ57" s="20">
        <f t="shared" si="6"/>
        <v>0</v>
      </c>
      <c r="BA57" s="20">
        <f t="shared" si="7"/>
        <v>23.6</v>
      </c>
      <c r="BB57" s="73">
        <f t="shared" si="21"/>
        <v>14.43</v>
      </c>
    </row>
    <row r="58" spans="1:54" s="20" customFormat="1">
      <c r="A58" s="46">
        <v>56</v>
      </c>
      <c r="B58" s="51">
        <f t="shared" si="9"/>
        <v>2</v>
      </c>
      <c r="C58" s="9">
        <f t="shared" si="8"/>
        <v>120</v>
      </c>
      <c r="D58" s="20">
        <f t="shared" si="22"/>
        <v>120</v>
      </c>
      <c r="E58" s="20">
        <f>$D58*攻击分赃比!B58*开放指数!B58</f>
        <v>144</v>
      </c>
      <c r="F58" s="20">
        <f>$D58*攻击分赃比!C58*开放指数!C58</f>
        <v>180</v>
      </c>
      <c r="G58" s="20">
        <f>$D58*攻击分赃比!D58*开放指数!D58</f>
        <v>240</v>
      </c>
      <c r="H58" s="20">
        <f>$D58*攻击分赃比!E58*开放指数!E58</f>
        <v>300</v>
      </c>
      <c r="I58" s="20">
        <f t="shared" ref="I58" si="27">I57</f>
        <v>59</v>
      </c>
      <c r="J58" s="20">
        <f>$D58*攻击分赃比!G58*开放指数!G58</f>
        <v>36</v>
      </c>
      <c r="K58" s="20">
        <f>$D58*攻击分赃比!H58*开放指数!H58</f>
        <v>72</v>
      </c>
      <c r="L58" s="20">
        <f>$D58*攻击分赃比!I58*开放指数!I58</f>
        <v>0</v>
      </c>
      <c r="M58" s="20">
        <f>$D58*攻击分赃比!J58*开放指数!J58</f>
        <v>96</v>
      </c>
      <c r="N58" s="20">
        <f>$D58*攻击分赃比!K58*开放指数!K58</f>
        <v>144</v>
      </c>
      <c r="O58" s="20">
        <f>$D58*攻击分赃比!M58*开放指数!L58</f>
        <v>180</v>
      </c>
      <c r="P58" s="20">
        <f>$D58*攻击分赃比!N58*开放指数!M58</f>
        <v>240</v>
      </c>
      <c r="Q58" s="20">
        <f>$D58*攻击分赃比!O58*开放指数!N58</f>
        <v>300</v>
      </c>
      <c r="R58" s="20">
        <f>$D58*攻击分赃比!P58*开放指数!O58</f>
        <v>360</v>
      </c>
      <c r="S58" s="20">
        <f>$D58*攻击分赃比!Q58*开放指数!P58</f>
        <v>420</v>
      </c>
      <c r="T58" s="20">
        <f>$D58*攻击分赃比!R58*开放指数!Q58</f>
        <v>90</v>
      </c>
      <c r="U58" s="20">
        <f>$D58*攻击分赃比!S58*开放指数!R58</f>
        <v>36</v>
      </c>
      <c r="V58" s="20">
        <f>$D58*攻击分赃比!T58*开放指数!S58</f>
        <v>36</v>
      </c>
      <c r="W58" s="20">
        <f>$D58*攻击分赃比!U58*开放指数!T58</f>
        <v>6</v>
      </c>
      <c r="X58" s="21">
        <f>攻击分赃比!V58*开放指数!U58</f>
        <v>0</v>
      </c>
      <c r="Y58" s="21">
        <f>攻击分赃比!W58*开放指数!V58</f>
        <v>0</v>
      </c>
      <c r="Z58" s="21">
        <f>攻击分赃比!X58*开放指数!W58</f>
        <v>0</v>
      </c>
      <c r="AA58" s="21">
        <f>攻击分赃比!Y58*开放指数!X58</f>
        <v>0</v>
      </c>
      <c r="AB58" s="21">
        <f>攻击分赃比!Z58*开放指数!Y58</f>
        <v>0</v>
      </c>
      <c r="AC58" s="20">
        <f>$D58*攻击分赃比!AB58*开放指数!Z58</f>
        <v>120</v>
      </c>
      <c r="AD58" s="20">
        <f>$D58*攻击分赃比!AC58*开放指数!AA58</f>
        <v>144</v>
      </c>
      <c r="AE58" s="20">
        <f>$D58*攻击分赃比!AD58*开放指数!AB58</f>
        <v>180</v>
      </c>
      <c r="AF58" s="20">
        <f>$D58*攻击分赃比!AE58*开放指数!AC58</f>
        <v>240</v>
      </c>
      <c r="AG58" s="20">
        <f>$D58*攻击分赃比!AF58*开放指数!AD58</f>
        <v>300</v>
      </c>
      <c r="AH58" s="20">
        <f>$D58*攻击分赃比!AG58*开放指数!AE58</f>
        <v>60</v>
      </c>
      <c r="AI58" s="20">
        <f>$D58*攻击分赃比!AH58*开放指数!AF58</f>
        <v>24</v>
      </c>
      <c r="AJ58" s="20">
        <f>$D58*攻击分赃比!AI58*开放指数!AG58</f>
        <v>24</v>
      </c>
      <c r="AK58" s="20">
        <f>$D58*攻击分赃比!AJ58*开放指数!AH58</f>
        <v>3.5999999999999996</v>
      </c>
      <c r="AL58" s="20">
        <f>$D58*攻击分赃比!AL58*开放指数!AI58</f>
        <v>0</v>
      </c>
      <c r="AM58" s="21">
        <f>攻击分赃比!AM58*开放指数!AJ58</f>
        <v>0</v>
      </c>
      <c r="AN58" s="21">
        <f>攻击分赃比!AN58*开放指数!AK58</f>
        <v>0</v>
      </c>
      <c r="AO58" s="21">
        <f>攻击分赃比!AO58*开放指数!AL58</f>
        <v>0</v>
      </c>
      <c r="AP58" s="21">
        <f>攻击分赃比!AP58*开放指数!AM58</f>
        <v>0</v>
      </c>
      <c r="AQ58" s="21">
        <f>攻击分赃比!AQ58*开放指数!AN58</f>
        <v>0</v>
      </c>
      <c r="AR58" s="20">
        <f>$D58*攻击分赃比!AS58*开放指数!AO58</f>
        <v>24</v>
      </c>
      <c r="AS58" s="20">
        <f t="shared" si="17"/>
        <v>444</v>
      </c>
      <c r="AT58" s="20">
        <f t="shared" si="18"/>
        <v>1730.6</v>
      </c>
      <c r="AW58" s="20">
        <f t="shared" si="19"/>
        <v>707</v>
      </c>
      <c r="AX58" s="20">
        <f t="shared" si="20"/>
        <v>588</v>
      </c>
      <c r="AY58" s="20">
        <f t="shared" si="5"/>
        <v>411.6</v>
      </c>
      <c r="AZ58" s="20">
        <f t="shared" si="6"/>
        <v>0</v>
      </c>
      <c r="BA58" s="20">
        <f t="shared" si="7"/>
        <v>24</v>
      </c>
      <c r="BB58" s="73">
        <f t="shared" si="21"/>
        <v>14.421666666666665</v>
      </c>
    </row>
    <row r="59" spans="1:54" s="20" customFormat="1">
      <c r="A59" s="46">
        <v>57</v>
      </c>
      <c r="B59" s="51">
        <f t="shared" si="9"/>
        <v>2</v>
      </c>
      <c r="C59" s="9">
        <f t="shared" si="8"/>
        <v>122</v>
      </c>
      <c r="D59" s="20">
        <f t="shared" si="22"/>
        <v>122</v>
      </c>
      <c r="E59" s="20">
        <f>$D59*攻击分赃比!B59*开放指数!B59</f>
        <v>146.4</v>
      </c>
      <c r="F59" s="20">
        <f>$D59*攻击分赃比!C59*开放指数!C59</f>
        <v>183</v>
      </c>
      <c r="G59" s="20">
        <f>$D59*攻击分赃比!D59*开放指数!D59</f>
        <v>244</v>
      </c>
      <c r="H59" s="20">
        <f>$D59*攻击分赃比!E59*开放指数!E59</f>
        <v>305</v>
      </c>
      <c r="I59" s="20">
        <f t="shared" si="12"/>
        <v>59</v>
      </c>
      <c r="J59" s="20">
        <f>$D59*攻击分赃比!G59*开放指数!G59</f>
        <v>36.6</v>
      </c>
      <c r="K59" s="20">
        <f>$D59*攻击分赃比!H59*开放指数!H59</f>
        <v>73.2</v>
      </c>
      <c r="L59" s="20">
        <f>$D59*攻击分赃比!I59*开放指数!I59</f>
        <v>0</v>
      </c>
      <c r="M59" s="20">
        <f>$D59*攻击分赃比!J59*开放指数!J59</f>
        <v>97.600000000000009</v>
      </c>
      <c r="N59" s="20">
        <f>$D59*攻击分赃比!K59*开放指数!K59</f>
        <v>146.4</v>
      </c>
      <c r="O59" s="20">
        <f>$D59*攻击分赃比!M59*开放指数!L59</f>
        <v>183</v>
      </c>
      <c r="P59" s="20">
        <f>$D59*攻击分赃比!N59*开放指数!M59</f>
        <v>244</v>
      </c>
      <c r="Q59" s="20">
        <f>$D59*攻击分赃比!O59*开放指数!N59</f>
        <v>305</v>
      </c>
      <c r="R59" s="20">
        <f>$D59*攻击分赃比!P59*开放指数!O59</f>
        <v>366</v>
      </c>
      <c r="S59" s="20">
        <f>$D59*攻击分赃比!Q59*开放指数!P59</f>
        <v>427</v>
      </c>
      <c r="T59" s="20">
        <f>$D59*攻击分赃比!R59*开放指数!Q59</f>
        <v>91.5</v>
      </c>
      <c r="U59" s="20">
        <f>$D59*攻击分赃比!S59*开放指数!R59</f>
        <v>36.6</v>
      </c>
      <c r="V59" s="20">
        <f>$D59*攻击分赃比!T59*开放指数!S59</f>
        <v>36.6</v>
      </c>
      <c r="W59" s="20">
        <f>$D59*攻击分赃比!U59*开放指数!T59</f>
        <v>6.1000000000000005</v>
      </c>
      <c r="X59" s="21">
        <f>攻击分赃比!V59*开放指数!U59</f>
        <v>0</v>
      </c>
      <c r="Y59" s="21">
        <f>攻击分赃比!W59*开放指数!V59</f>
        <v>0</v>
      </c>
      <c r="Z59" s="21">
        <f>攻击分赃比!X59*开放指数!W59</f>
        <v>0</v>
      </c>
      <c r="AA59" s="21">
        <f>攻击分赃比!Y59*开放指数!X59</f>
        <v>0</v>
      </c>
      <c r="AB59" s="21">
        <f>攻击分赃比!Z59*开放指数!Y59</f>
        <v>0</v>
      </c>
      <c r="AC59" s="20">
        <f>$D59*攻击分赃比!AB59*开放指数!Z59</f>
        <v>122</v>
      </c>
      <c r="AD59" s="20">
        <f>$D59*攻击分赃比!AC59*开放指数!AA59</f>
        <v>146.4</v>
      </c>
      <c r="AE59" s="20">
        <f>$D59*攻击分赃比!AD59*开放指数!AB59</f>
        <v>183</v>
      </c>
      <c r="AF59" s="20">
        <f>$D59*攻击分赃比!AE59*开放指数!AC59</f>
        <v>244</v>
      </c>
      <c r="AG59" s="20">
        <f>$D59*攻击分赃比!AF59*开放指数!AD59</f>
        <v>305</v>
      </c>
      <c r="AH59" s="20">
        <f>$D59*攻击分赃比!AG59*开放指数!AE59</f>
        <v>61</v>
      </c>
      <c r="AI59" s="20">
        <f>$D59*攻击分赃比!AH59*开放指数!AF59</f>
        <v>24.400000000000002</v>
      </c>
      <c r="AJ59" s="20">
        <f>$D59*攻击分赃比!AI59*开放指数!AG59</f>
        <v>24.400000000000002</v>
      </c>
      <c r="AK59" s="20">
        <f>$D59*攻击分赃比!AJ59*开放指数!AH59</f>
        <v>3.6599999999999997</v>
      </c>
      <c r="AL59" s="20">
        <f>$D59*攻击分赃比!AL59*开放指数!AI59</f>
        <v>0</v>
      </c>
      <c r="AM59" s="21">
        <f>攻击分赃比!AM59*开放指数!AJ59</f>
        <v>0</v>
      </c>
      <c r="AN59" s="21">
        <f>攻击分赃比!AN59*开放指数!AK59</f>
        <v>0</v>
      </c>
      <c r="AO59" s="21">
        <f>攻击分赃比!AO59*开放指数!AL59</f>
        <v>0</v>
      </c>
      <c r="AP59" s="21">
        <f>攻击分赃比!AP59*开放指数!AM59</f>
        <v>0</v>
      </c>
      <c r="AQ59" s="21">
        <f>攻击分赃比!AQ59*开放指数!AN59</f>
        <v>0</v>
      </c>
      <c r="AR59" s="20">
        <f>$D59*攻击分赃比!AS59*开放指数!AO59</f>
        <v>24.400000000000002</v>
      </c>
      <c r="AS59" s="20">
        <f t="shared" si="17"/>
        <v>451.4</v>
      </c>
      <c r="AT59" s="20">
        <f t="shared" si="18"/>
        <v>1758.46</v>
      </c>
      <c r="AW59" s="20">
        <f t="shared" si="19"/>
        <v>717.8</v>
      </c>
      <c r="AX59" s="20">
        <f t="shared" si="20"/>
        <v>597.80000000000007</v>
      </c>
      <c r="AY59" s="20">
        <f t="shared" si="5"/>
        <v>418.46</v>
      </c>
      <c r="AZ59" s="20">
        <f t="shared" si="6"/>
        <v>0</v>
      </c>
      <c r="BA59" s="20">
        <f t="shared" si="7"/>
        <v>24.400000000000002</v>
      </c>
      <c r="BB59" s="73">
        <f t="shared" si="21"/>
        <v>14.413606557377049</v>
      </c>
    </row>
    <row r="60" spans="1:54" s="20" customFormat="1">
      <c r="A60" s="46">
        <v>58</v>
      </c>
      <c r="B60" s="51">
        <f t="shared" si="9"/>
        <v>2</v>
      </c>
      <c r="C60" s="9">
        <f t="shared" si="8"/>
        <v>124</v>
      </c>
      <c r="D60" s="20">
        <f t="shared" si="22"/>
        <v>124</v>
      </c>
      <c r="E60" s="20">
        <f>$D60*攻击分赃比!B60*开放指数!B60</f>
        <v>148.79999999999998</v>
      </c>
      <c r="F60" s="20">
        <f>$D60*攻击分赃比!C60*开放指数!C60</f>
        <v>186</v>
      </c>
      <c r="G60" s="20">
        <f>$D60*攻击分赃比!D60*开放指数!D60</f>
        <v>248</v>
      </c>
      <c r="H60" s="20">
        <f>$D60*攻击分赃比!E60*开放指数!E60</f>
        <v>310</v>
      </c>
      <c r="I60" s="20">
        <f t="shared" si="12"/>
        <v>59</v>
      </c>
      <c r="J60" s="20">
        <f>$D60*攻击分赃比!G60*开放指数!G60</f>
        <v>37.199999999999996</v>
      </c>
      <c r="K60" s="20">
        <f>$D60*攻击分赃比!H60*开放指数!H60</f>
        <v>74.399999999999991</v>
      </c>
      <c r="L60" s="20">
        <f>$D60*攻击分赃比!I60*开放指数!I60</f>
        <v>0</v>
      </c>
      <c r="M60" s="20">
        <f>$D60*攻击分赃比!J60*开放指数!J60</f>
        <v>99.2</v>
      </c>
      <c r="N60" s="20">
        <f>$D60*攻击分赃比!K60*开放指数!K60</f>
        <v>148.79999999999998</v>
      </c>
      <c r="O60" s="20">
        <f>$D60*攻击分赃比!M60*开放指数!L60</f>
        <v>186</v>
      </c>
      <c r="P60" s="20">
        <f>$D60*攻击分赃比!N60*开放指数!M60</f>
        <v>248</v>
      </c>
      <c r="Q60" s="20">
        <f>$D60*攻击分赃比!O60*开放指数!N60</f>
        <v>310</v>
      </c>
      <c r="R60" s="20">
        <f>$D60*攻击分赃比!P60*开放指数!O60</f>
        <v>372</v>
      </c>
      <c r="S60" s="20">
        <f>$D60*攻击分赃比!Q60*开放指数!P60</f>
        <v>434</v>
      </c>
      <c r="T60" s="20">
        <f>$D60*攻击分赃比!R60*开放指数!Q60</f>
        <v>93</v>
      </c>
      <c r="U60" s="20">
        <f>$D60*攻击分赃比!S60*开放指数!R60</f>
        <v>37.199999999999996</v>
      </c>
      <c r="V60" s="20">
        <f>$D60*攻击分赃比!T60*开放指数!S60</f>
        <v>37.199999999999996</v>
      </c>
      <c r="W60" s="20">
        <f>$D60*攻击分赃比!U60*开放指数!T60</f>
        <v>6.2</v>
      </c>
      <c r="X60" s="21">
        <f>攻击分赃比!V60*开放指数!U60</f>
        <v>0</v>
      </c>
      <c r="Y60" s="21">
        <f>攻击分赃比!W60*开放指数!V60</f>
        <v>0</v>
      </c>
      <c r="Z60" s="21">
        <f>攻击分赃比!X60*开放指数!W60</f>
        <v>0</v>
      </c>
      <c r="AA60" s="21">
        <f>攻击分赃比!Y60*开放指数!X60</f>
        <v>0</v>
      </c>
      <c r="AB60" s="21">
        <f>攻击分赃比!Z60*开放指数!Y60</f>
        <v>0</v>
      </c>
      <c r="AC60" s="20">
        <f>$D60*攻击分赃比!AB60*开放指数!Z60</f>
        <v>124</v>
      </c>
      <c r="AD60" s="20">
        <f>$D60*攻击分赃比!AC60*开放指数!AA60</f>
        <v>148.79999999999998</v>
      </c>
      <c r="AE60" s="20">
        <f>$D60*攻击分赃比!AD60*开放指数!AB60</f>
        <v>186</v>
      </c>
      <c r="AF60" s="20">
        <f>$D60*攻击分赃比!AE60*开放指数!AC60</f>
        <v>248</v>
      </c>
      <c r="AG60" s="20">
        <f>$D60*攻击分赃比!AF60*开放指数!AD60</f>
        <v>310</v>
      </c>
      <c r="AH60" s="20">
        <f>$D60*攻击分赃比!AG60*开放指数!AE60</f>
        <v>62</v>
      </c>
      <c r="AI60" s="20">
        <f>$D60*攻击分赃比!AH60*开放指数!AF60</f>
        <v>24.8</v>
      </c>
      <c r="AJ60" s="20">
        <f>$D60*攻击分赃比!AI60*开放指数!AG60</f>
        <v>24.8</v>
      </c>
      <c r="AK60" s="20">
        <f>$D60*攻击分赃比!AJ60*开放指数!AH60</f>
        <v>3.7199999999999998</v>
      </c>
      <c r="AL60" s="20">
        <f>$D60*攻击分赃比!AL60*开放指数!AI60</f>
        <v>0</v>
      </c>
      <c r="AM60" s="21">
        <f>攻击分赃比!AM60*开放指数!AJ60</f>
        <v>0</v>
      </c>
      <c r="AN60" s="21">
        <f>攻击分赃比!AN60*开放指数!AK60</f>
        <v>0</v>
      </c>
      <c r="AO60" s="21">
        <f>攻击分赃比!AO60*开放指数!AL60</f>
        <v>0</v>
      </c>
      <c r="AP60" s="21">
        <f>攻击分赃比!AP60*开放指数!AM60</f>
        <v>0</v>
      </c>
      <c r="AQ60" s="21">
        <f>攻击分赃比!AQ60*开放指数!AN60</f>
        <v>0</v>
      </c>
      <c r="AR60" s="20">
        <f>$D60*攻击分赃比!AS60*开放指数!AO60</f>
        <v>24.8</v>
      </c>
      <c r="AS60" s="20">
        <f t="shared" si="17"/>
        <v>458.8</v>
      </c>
      <c r="AT60" s="20">
        <f t="shared" si="18"/>
        <v>1786.32</v>
      </c>
      <c r="AW60" s="20">
        <f t="shared" si="19"/>
        <v>728.59999999999991</v>
      </c>
      <c r="AX60" s="20">
        <f t="shared" si="20"/>
        <v>607.60000000000014</v>
      </c>
      <c r="AY60" s="20">
        <f t="shared" si="5"/>
        <v>425.32000000000005</v>
      </c>
      <c r="AZ60" s="20">
        <f t="shared" si="6"/>
        <v>0</v>
      </c>
      <c r="BA60" s="20">
        <f t="shared" si="7"/>
        <v>24.8</v>
      </c>
      <c r="BB60" s="73">
        <f t="shared" si="21"/>
        <v>14.405806451612902</v>
      </c>
    </row>
    <row r="61" spans="1:54" s="20" customFormat="1">
      <c r="A61" s="46">
        <v>59</v>
      </c>
      <c r="B61" s="51">
        <f t="shared" si="9"/>
        <v>2</v>
      </c>
      <c r="C61" s="9">
        <f t="shared" si="8"/>
        <v>126</v>
      </c>
      <c r="D61" s="20">
        <f t="shared" si="22"/>
        <v>126</v>
      </c>
      <c r="E61" s="20">
        <f>$D61*攻击分赃比!B61*开放指数!B61</f>
        <v>151.19999999999999</v>
      </c>
      <c r="F61" s="20">
        <f>$D61*攻击分赃比!C61*开放指数!C61</f>
        <v>189</v>
      </c>
      <c r="G61" s="20">
        <f>$D61*攻击分赃比!D61*开放指数!D61</f>
        <v>252</v>
      </c>
      <c r="H61" s="20">
        <f>$D61*攻击分赃比!E61*开放指数!E61</f>
        <v>315</v>
      </c>
      <c r="I61" s="20">
        <f t="shared" si="12"/>
        <v>59</v>
      </c>
      <c r="J61" s="20">
        <f>$D61*攻击分赃比!G61*开放指数!G61</f>
        <v>37.799999999999997</v>
      </c>
      <c r="K61" s="20">
        <f>$D61*攻击分赃比!H61*开放指数!H61</f>
        <v>75.599999999999994</v>
      </c>
      <c r="L61" s="20">
        <f>$D61*攻击分赃比!I61*开放指数!I61</f>
        <v>0</v>
      </c>
      <c r="M61" s="20">
        <f>$D61*攻击分赃比!J61*开放指数!J61</f>
        <v>100.80000000000001</v>
      </c>
      <c r="N61" s="20">
        <f>$D61*攻击分赃比!K61*开放指数!K61</f>
        <v>151.19999999999999</v>
      </c>
      <c r="O61" s="20">
        <f>$D61*攻击分赃比!M61*开放指数!L61</f>
        <v>189</v>
      </c>
      <c r="P61" s="20">
        <f>$D61*攻击分赃比!N61*开放指数!M61</f>
        <v>252</v>
      </c>
      <c r="Q61" s="20">
        <f>$D61*攻击分赃比!O61*开放指数!N61</f>
        <v>315</v>
      </c>
      <c r="R61" s="20">
        <f>$D61*攻击分赃比!P61*开放指数!O61</f>
        <v>378</v>
      </c>
      <c r="S61" s="20">
        <f>$D61*攻击分赃比!Q61*开放指数!P61</f>
        <v>441</v>
      </c>
      <c r="T61" s="20">
        <f>$D61*攻击分赃比!R61*开放指数!Q61</f>
        <v>94.5</v>
      </c>
      <c r="U61" s="20">
        <f>$D61*攻击分赃比!S61*开放指数!R61</f>
        <v>37.799999999999997</v>
      </c>
      <c r="V61" s="20">
        <f>$D61*攻击分赃比!T61*开放指数!S61</f>
        <v>37.799999999999997</v>
      </c>
      <c r="W61" s="20">
        <f>$D61*攻击分赃比!U61*开放指数!T61</f>
        <v>6.3000000000000007</v>
      </c>
      <c r="X61" s="21">
        <f>攻击分赃比!V61*开放指数!U61</f>
        <v>0</v>
      </c>
      <c r="Y61" s="21">
        <f>攻击分赃比!W61*开放指数!V61</f>
        <v>0</v>
      </c>
      <c r="Z61" s="21">
        <f>攻击分赃比!X61*开放指数!W61</f>
        <v>0</v>
      </c>
      <c r="AA61" s="21">
        <f>攻击分赃比!Y61*开放指数!X61</f>
        <v>0</v>
      </c>
      <c r="AB61" s="21">
        <f>攻击分赃比!Z61*开放指数!Y61</f>
        <v>0</v>
      </c>
      <c r="AC61" s="20">
        <f>$D61*攻击分赃比!AB61*开放指数!Z61</f>
        <v>126</v>
      </c>
      <c r="AD61" s="20">
        <f>$D61*攻击分赃比!AC61*开放指数!AA61</f>
        <v>151.19999999999999</v>
      </c>
      <c r="AE61" s="20">
        <f>$D61*攻击分赃比!AD61*开放指数!AB61</f>
        <v>189</v>
      </c>
      <c r="AF61" s="20">
        <f>$D61*攻击分赃比!AE61*开放指数!AC61</f>
        <v>252</v>
      </c>
      <c r="AG61" s="20">
        <f>$D61*攻击分赃比!AF61*开放指数!AD61</f>
        <v>315</v>
      </c>
      <c r="AH61" s="20">
        <f>$D61*攻击分赃比!AG61*开放指数!AE61</f>
        <v>63</v>
      </c>
      <c r="AI61" s="20">
        <f>$D61*攻击分赃比!AH61*开放指数!AF61</f>
        <v>25.200000000000003</v>
      </c>
      <c r="AJ61" s="20">
        <f>$D61*攻击分赃比!AI61*开放指数!AG61</f>
        <v>25.200000000000003</v>
      </c>
      <c r="AK61" s="20">
        <f>$D61*攻击分赃比!AJ61*开放指数!AH61</f>
        <v>3.78</v>
      </c>
      <c r="AL61" s="20">
        <f>$D61*攻击分赃比!AL61*开放指数!AI61</f>
        <v>0</v>
      </c>
      <c r="AM61" s="21">
        <f>攻击分赃比!AM61*开放指数!AJ61</f>
        <v>0</v>
      </c>
      <c r="AN61" s="21">
        <f>攻击分赃比!AN61*开放指数!AK61</f>
        <v>0</v>
      </c>
      <c r="AO61" s="21">
        <f>攻击分赃比!AO61*开放指数!AL61</f>
        <v>0</v>
      </c>
      <c r="AP61" s="21">
        <f>攻击分赃比!AP61*开放指数!AM61</f>
        <v>0</v>
      </c>
      <c r="AQ61" s="21">
        <f>攻击分赃比!AQ61*开放指数!AN61</f>
        <v>0</v>
      </c>
      <c r="AR61" s="20">
        <f>$D61*攻击分赃比!AS61*开放指数!AO61</f>
        <v>25.200000000000003</v>
      </c>
      <c r="AS61" s="20">
        <f t="shared" si="17"/>
        <v>466.2</v>
      </c>
      <c r="AT61" s="20">
        <f t="shared" si="18"/>
        <v>1814.18</v>
      </c>
      <c r="AW61" s="20">
        <f t="shared" si="19"/>
        <v>739.40000000000009</v>
      </c>
      <c r="AX61" s="20">
        <f t="shared" si="20"/>
        <v>617.39999999999986</v>
      </c>
      <c r="AY61" s="20">
        <f t="shared" si="5"/>
        <v>432.17999999999995</v>
      </c>
      <c r="AZ61" s="20">
        <f t="shared" si="6"/>
        <v>0</v>
      </c>
      <c r="BA61" s="20">
        <f t="shared" si="7"/>
        <v>25.200000000000003</v>
      </c>
      <c r="BB61" s="73">
        <f t="shared" si="21"/>
        <v>14.398253968253968</v>
      </c>
    </row>
    <row r="62" spans="1:54" s="20" customFormat="1">
      <c r="A62" s="46">
        <v>60</v>
      </c>
      <c r="B62" s="51">
        <f t="shared" si="9"/>
        <v>2</v>
      </c>
      <c r="C62" s="9">
        <f t="shared" si="8"/>
        <v>128</v>
      </c>
      <c r="D62" s="20">
        <f t="shared" si="22"/>
        <v>128</v>
      </c>
      <c r="E62" s="20">
        <f>$D62*攻击分赃比!B62*开放指数!B62</f>
        <v>153.6</v>
      </c>
      <c r="F62" s="20">
        <f>$D62*攻击分赃比!C62*开放指数!C62</f>
        <v>192</v>
      </c>
      <c r="G62" s="20">
        <f>$D62*攻击分赃比!D62*开放指数!D62</f>
        <v>256</v>
      </c>
      <c r="H62" s="20">
        <f>$D62*攻击分赃比!E62*开放指数!E62</f>
        <v>320</v>
      </c>
      <c r="I62" s="20">
        <f>$D62*攻击分赃比!F62*开放指数!F62</f>
        <v>64</v>
      </c>
      <c r="J62" s="20">
        <f>$D62*攻击分赃比!G62*开放指数!G62</f>
        <v>38.4</v>
      </c>
      <c r="K62" s="20">
        <f>$D62*攻击分赃比!H62*开放指数!H62</f>
        <v>76.8</v>
      </c>
      <c r="L62" s="20">
        <f>$D62*攻击分赃比!I62*开放指数!I62</f>
        <v>0</v>
      </c>
      <c r="M62" s="20">
        <f>$D62*攻击分赃比!J62*开放指数!J62</f>
        <v>102.4</v>
      </c>
      <c r="N62" s="20">
        <f>$D62*攻击分赃比!K62*开放指数!K62</f>
        <v>153.6</v>
      </c>
      <c r="O62" s="20">
        <f>$D62*攻击分赃比!M62*开放指数!L62</f>
        <v>192</v>
      </c>
      <c r="P62" s="20">
        <f>$D62*攻击分赃比!N62*开放指数!M62</f>
        <v>256</v>
      </c>
      <c r="Q62" s="20">
        <f>$D62*攻击分赃比!O62*开放指数!N62</f>
        <v>320</v>
      </c>
      <c r="R62" s="20">
        <f>$D62*攻击分赃比!P62*开放指数!O62</f>
        <v>384</v>
      </c>
      <c r="S62" s="20">
        <f>$D62*攻击分赃比!Q62*开放指数!P62</f>
        <v>448</v>
      </c>
      <c r="T62" s="20">
        <f>$D62*攻击分赃比!R62*开放指数!Q62</f>
        <v>96</v>
      </c>
      <c r="U62" s="20">
        <f>$D62*攻击分赃比!S62*开放指数!R62</f>
        <v>38.4</v>
      </c>
      <c r="V62" s="20">
        <f>$D62*攻击分赃比!T62*开放指数!S62</f>
        <v>38.4</v>
      </c>
      <c r="W62" s="20">
        <f>$D62*攻击分赃比!U62*开放指数!T62</f>
        <v>6.4</v>
      </c>
      <c r="X62" s="21">
        <f>攻击分赃比!V62*开放指数!U62</f>
        <v>0</v>
      </c>
      <c r="Y62" s="21">
        <f>攻击分赃比!W62*开放指数!V62</f>
        <v>0</v>
      </c>
      <c r="Z62" s="21">
        <f>攻击分赃比!X62*开放指数!W62</f>
        <v>0</v>
      </c>
      <c r="AA62" s="21">
        <f>攻击分赃比!Y62*开放指数!X62</f>
        <v>0</v>
      </c>
      <c r="AB62" s="21">
        <f>攻击分赃比!Z62*开放指数!Y62</f>
        <v>0</v>
      </c>
      <c r="AC62" s="20">
        <f>$D62*攻击分赃比!AB62*开放指数!Z62</f>
        <v>128</v>
      </c>
      <c r="AD62" s="20">
        <f>$D62*攻击分赃比!AC62*开放指数!AA62</f>
        <v>153.6</v>
      </c>
      <c r="AE62" s="20">
        <f>$D62*攻击分赃比!AD62*开放指数!AB62</f>
        <v>192</v>
      </c>
      <c r="AF62" s="20">
        <f>$D62*攻击分赃比!AE62*开放指数!AC62</f>
        <v>256</v>
      </c>
      <c r="AG62" s="20">
        <f>$D62*攻击分赃比!AF62*开放指数!AD62</f>
        <v>320</v>
      </c>
      <c r="AH62" s="20">
        <f>$D62*攻击分赃比!AG62*开放指数!AE62</f>
        <v>64</v>
      </c>
      <c r="AI62" s="20">
        <f>$D62*攻击分赃比!AH62*开放指数!AF62</f>
        <v>25.6</v>
      </c>
      <c r="AJ62" s="20">
        <f>$D62*攻击分赃比!AI62*开放指数!AG62</f>
        <v>25.6</v>
      </c>
      <c r="AK62" s="20">
        <f>$D62*攻击分赃比!AJ62*开放指数!AH62</f>
        <v>3.84</v>
      </c>
      <c r="AL62" s="20">
        <f>$D62*攻击分赃比!AL62*开放指数!AI62</f>
        <v>0</v>
      </c>
      <c r="AM62" s="21">
        <f>攻击分赃比!AM62*开放指数!AJ62</f>
        <v>0</v>
      </c>
      <c r="AN62" s="21">
        <f>攻击分赃比!AN62*开放指数!AK62</f>
        <v>0</v>
      </c>
      <c r="AO62" s="21">
        <f>攻击分赃比!AO62*开放指数!AL62</f>
        <v>0</v>
      </c>
      <c r="AP62" s="21">
        <f>攻击分赃比!AP62*开放指数!AM62</f>
        <v>0</v>
      </c>
      <c r="AQ62" s="21">
        <f>攻击分赃比!AQ62*开放指数!AN62</f>
        <v>0</v>
      </c>
      <c r="AR62" s="20">
        <f>$D62*攻击分赃比!AS62*开放指数!AO62</f>
        <v>25.6</v>
      </c>
      <c r="AS62" s="20">
        <f t="shared" si="17"/>
        <v>473.6</v>
      </c>
      <c r="AT62" s="20">
        <f t="shared" si="18"/>
        <v>1847.04</v>
      </c>
      <c r="AW62" s="20">
        <f t="shared" si="19"/>
        <v>755.2</v>
      </c>
      <c r="AX62" s="20">
        <f t="shared" si="20"/>
        <v>627.19999999999993</v>
      </c>
      <c r="AY62" s="20">
        <f t="shared" si="5"/>
        <v>439.04</v>
      </c>
      <c r="AZ62" s="20">
        <f t="shared" si="6"/>
        <v>0</v>
      </c>
      <c r="BA62" s="20">
        <f t="shared" si="7"/>
        <v>25.6</v>
      </c>
      <c r="BB62" s="73">
        <f t="shared" si="21"/>
        <v>14.43</v>
      </c>
    </row>
    <row r="63" spans="1:54" s="20" customFormat="1">
      <c r="A63" s="46">
        <v>61</v>
      </c>
      <c r="B63" s="51">
        <f t="shared" si="9"/>
        <v>2</v>
      </c>
      <c r="C63" s="9">
        <f t="shared" si="8"/>
        <v>130</v>
      </c>
      <c r="D63" s="20">
        <f t="shared" si="22"/>
        <v>130</v>
      </c>
      <c r="E63" s="20">
        <f>$D63*攻击分赃比!B63*开放指数!B63</f>
        <v>156</v>
      </c>
      <c r="F63" s="20">
        <f>$D63*攻击分赃比!C63*开放指数!C63</f>
        <v>195</v>
      </c>
      <c r="G63" s="20">
        <f>$D63*攻击分赃比!D63*开放指数!D63</f>
        <v>260</v>
      </c>
      <c r="H63" s="20">
        <f>$D63*攻击分赃比!E63*开放指数!E63</f>
        <v>325</v>
      </c>
      <c r="I63" s="20">
        <f t="shared" ref="I63" si="28">I62</f>
        <v>64</v>
      </c>
      <c r="J63" s="20">
        <f>$D63*攻击分赃比!G63*开放指数!G63</f>
        <v>39</v>
      </c>
      <c r="K63" s="20">
        <f>$D63*攻击分赃比!H63*开放指数!H63</f>
        <v>78</v>
      </c>
      <c r="L63" s="20">
        <f>$D63*攻击分赃比!I63*开放指数!I63</f>
        <v>0</v>
      </c>
      <c r="M63" s="20">
        <f>$D63*攻击分赃比!J63*开放指数!J63</f>
        <v>104</v>
      </c>
      <c r="N63" s="20">
        <f>$D63*攻击分赃比!K63*开放指数!K63</f>
        <v>156</v>
      </c>
      <c r="O63" s="20">
        <f>$D63*攻击分赃比!M63*开放指数!L63</f>
        <v>195</v>
      </c>
      <c r="P63" s="20">
        <f>$D63*攻击分赃比!N63*开放指数!M63</f>
        <v>260</v>
      </c>
      <c r="Q63" s="20">
        <f>$D63*攻击分赃比!O63*开放指数!N63</f>
        <v>325</v>
      </c>
      <c r="R63" s="20">
        <f>$D63*攻击分赃比!P63*开放指数!O63</f>
        <v>390</v>
      </c>
      <c r="S63" s="20">
        <f>$D63*攻击分赃比!Q63*开放指数!P63</f>
        <v>455</v>
      </c>
      <c r="T63" s="20">
        <f>$D63*攻击分赃比!R63*开放指数!Q63</f>
        <v>97.5</v>
      </c>
      <c r="U63" s="20">
        <f>$D63*攻击分赃比!S63*开放指数!R63</f>
        <v>39</v>
      </c>
      <c r="V63" s="20">
        <f>$D63*攻击分赃比!T63*开放指数!S63</f>
        <v>39</v>
      </c>
      <c r="W63" s="20">
        <f>$D63*攻击分赃比!U63*开放指数!T63</f>
        <v>6.5</v>
      </c>
      <c r="X63" s="21">
        <f>攻击分赃比!V63*开放指数!U63</f>
        <v>0</v>
      </c>
      <c r="Y63" s="21">
        <f>攻击分赃比!W63*开放指数!V63</f>
        <v>0</v>
      </c>
      <c r="Z63" s="21">
        <f>攻击分赃比!X63*开放指数!W63</f>
        <v>0</v>
      </c>
      <c r="AA63" s="21">
        <f>攻击分赃比!Y63*开放指数!X63</f>
        <v>0</v>
      </c>
      <c r="AB63" s="21">
        <f>攻击分赃比!Z63*开放指数!Y63</f>
        <v>0</v>
      </c>
      <c r="AC63" s="20">
        <f>$D63*攻击分赃比!AB63*开放指数!Z63</f>
        <v>130</v>
      </c>
      <c r="AD63" s="20">
        <f>$D63*攻击分赃比!AC63*开放指数!AA63</f>
        <v>156</v>
      </c>
      <c r="AE63" s="20">
        <f>$D63*攻击分赃比!AD63*开放指数!AB63</f>
        <v>195</v>
      </c>
      <c r="AF63" s="20">
        <f>$D63*攻击分赃比!AE63*开放指数!AC63</f>
        <v>260</v>
      </c>
      <c r="AG63" s="20">
        <f>$D63*攻击分赃比!AF63*开放指数!AD63</f>
        <v>325</v>
      </c>
      <c r="AH63" s="20">
        <f>$D63*攻击分赃比!AG63*开放指数!AE63</f>
        <v>65</v>
      </c>
      <c r="AI63" s="20">
        <f>$D63*攻击分赃比!AH63*开放指数!AF63</f>
        <v>26</v>
      </c>
      <c r="AJ63" s="20">
        <f>$D63*攻击分赃比!AI63*开放指数!AG63</f>
        <v>26</v>
      </c>
      <c r="AK63" s="20">
        <f>$D63*攻击分赃比!AJ63*开放指数!AH63</f>
        <v>3.9</v>
      </c>
      <c r="AL63" s="20">
        <f>$D63*攻击分赃比!AL63*开放指数!AI63</f>
        <v>0</v>
      </c>
      <c r="AM63" s="21">
        <f>攻击分赃比!AM63*开放指数!AJ63</f>
        <v>0</v>
      </c>
      <c r="AN63" s="21">
        <f>攻击分赃比!AN63*开放指数!AK63</f>
        <v>0</v>
      </c>
      <c r="AO63" s="21">
        <f>攻击分赃比!AO63*开放指数!AL63</f>
        <v>0</v>
      </c>
      <c r="AP63" s="21">
        <f>攻击分赃比!AP63*开放指数!AM63</f>
        <v>0</v>
      </c>
      <c r="AQ63" s="21">
        <f>攻击分赃比!AQ63*开放指数!AN63</f>
        <v>0</v>
      </c>
      <c r="AR63" s="20">
        <f>$D63*攻击分赃比!AS63*开放指数!AO63</f>
        <v>26</v>
      </c>
      <c r="AS63" s="20">
        <f t="shared" si="17"/>
        <v>481</v>
      </c>
      <c r="AT63" s="20">
        <f t="shared" si="18"/>
        <v>1874.9</v>
      </c>
      <c r="AW63" s="20">
        <f t="shared" si="19"/>
        <v>766</v>
      </c>
      <c r="AX63" s="20">
        <f t="shared" si="20"/>
        <v>637</v>
      </c>
      <c r="AY63" s="20">
        <f t="shared" si="5"/>
        <v>445.9</v>
      </c>
      <c r="AZ63" s="20">
        <f t="shared" si="6"/>
        <v>0</v>
      </c>
      <c r="BA63" s="20">
        <f t="shared" si="7"/>
        <v>26</v>
      </c>
      <c r="BB63" s="73">
        <f t="shared" si="21"/>
        <v>14.422307692307694</v>
      </c>
    </row>
    <row r="64" spans="1:54" s="20" customFormat="1">
      <c r="A64" s="46">
        <v>62</v>
      </c>
      <c r="B64" s="51">
        <f t="shared" si="9"/>
        <v>2</v>
      </c>
      <c r="C64" s="9">
        <f t="shared" si="8"/>
        <v>132</v>
      </c>
      <c r="D64" s="20">
        <f t="shared" si="22"/>
        <v>132</v>
      </c>
      <c r="E64" s="20">
        <f>$D64*攻击分赃比!B64*开放指数!B64</f>
        <v>158.4</v>
      </c>
      <c r="F64" s="20">
        <f>$D64*攻击分赃比!C64*开放指数!C64</f>
        <v>198</v>
      </c>
      <c r="G64" s="20">
        <f>$D64*攻击分赃比!D64*开放指数!D64</f>
        <v>264</v>
      </c>
      <c r="H64" s="20">
        <f>$D64*攻击分赃比!E64*开放指数!E64</f>
        <v>330</v>
      </c>
      <c r="I64" s="20">
        <f t="shared" si="12"/>
        <v>64</v>
      </c>
      <c r="J64" s="20">
        <f>$D64*攻击分赃比!G64*开放指数!G64</f>
        <v>39.6</v>
      </c>
      <c r="K64" s="20">
        <f>$D64*攻击分赃比!H64*开放指数!H64</f>
        <v>79.2</v>
      </c>
      <c r="L64" s="20">
        <f>$D64*攻击分赃比!I64*开放指数!I64</f>
        <v>0</v>
      </c>
      <c r="M64" s="20">
        <f>$D64*攻击分赃比!J64*开放指数!J64</f>
        <v>105.60000000000001</v>
      </c>
      <c r="N64" s="20">
        <f>$D64*攻击分赃比!K64*开放指数!K64</f>
        <v>158.4</v>
      </c>
      <c r="O64" s="20">
        <f>$D64*攻击分赃比!M64*开放指数!L64</f>
        <v>198</v>
      </c>
      <c r="P64" s="20">
        <f>$D64*攻击分赃比!N64*开放指数!M64</f>
        <v>264</v>
      </c>
      <c r="Q64" s="20">
        <f>$D64*攻击分赃比!O64*开放指数!N64</f>
        <v>330</v>
      </c>
      <c r="R64" s="20">
        <f>$D64*攻击分赃比!P64*开放指数!O64</f>
        <v>396</v>
      </c>
      <c r="S64" s="20">
        <f>$D64*攻击分赃比!Q64*开放指数!P64</f>
        <v>462</v>
      </c>
      <c r="T64" s="20">
        <f>$D64*攻击分赃比!R64*开放指数!Q64</f>
        <v>99</v>
      </c>
      <c r="U64" s="20">
        <f>$D64*攻击分赃比!S64*开放指数!R64</f>
        <v>39.6</v>
      </c>
      <c r="V64" s="20">
        <f>$D64*攻击分赃比!T64*开放指数!S64</f>
        <v>39.6</v>
      </c>
      <c r="W64" s="20">
        <f>$D64*攻击分赃比!U64*开放指数!T64</f>
        <v>6.6000000000000005</v>
      </c>
      <c r="X64" s="21">
        <f>攻击分赃比!V64*开放指数!U64</f>
        <v>0</v>
      </c>
      <c r="Y64" s="21">
        <f>攻击分赃比!W64*开放指数!V64</f>
        <v>0</v>
      </c>
      <c r="Z64" s="21">
        <f>攻击分赃比!X64*开放指数!W64</f>
        <v>0</v>
      </c>
      <c r="AA64" s="21">
        <f>攻击分赃比!Y64*开放指数!X64</f>
        <v>0</v>
      </c>
      <c r="AB64" s="21">
        <f>攻击分赃比!Z64*开放指数!Y64</f>
        <v>0</v>
      </c>
      <c r="AC64" s="20">
        <f>$D64*攻击分赃比!AB64*开放指数!Z64</f>
        <v>132</v>
      </c>
      <c r="AD64" s="20">
        <f>$D64*攻击分赃比!AC64*开放指数!AA64</f>
        <v>158.4</v>
      </c>
      <c r="AE64" s="20">
        <f>$D64*攻击分赃比!AD64*开放指数!AB64</f>
        <v>198</v>
      </c>
      <c r="AF64" s="20">
        <f>$D64*攻击分赃比!AE64*开放指数!AC64</f>
        <v>264</v>
      </c>
      <c r="AG64" s="20">
        <f>$D64*攻击分赃比!AF64*开放指数!AD64</f>
        <v>330</v>
      </c>
      <c r="AH64" s="20">
        <f>$D64*攻击分赃比!AG64*开放指数!AE64</f>
        <v>66</v>
      </c>
      <c r="AI64" s="20">
        <f>$D64*攻击分赃比!AH64*开放指数!AF64</f>
        <v>26.400000000000002</v>
      </c>
      <c r="AJ64" s="20">
        <f>$D64*攻击分赃比!AI64*开放指数!AG64</f>
        <v>26.400000000000002</v>
      </c>
      <c r="AK64" s="20">
        <f>$D64*攻击分赃比!AJ64*开放指数!AH64</f>
        <v>3.96</v>
      </c>
      <c r="AL64" s="20">
        <f>$D64*攻击分赃比!AL64*开放指数!AI64</f>
        <v>0</v>
      </c>
      <c r="AM64" s="21">
        <f>攻击分赃比!AM64*开放指数!AJ64</f>
        <v>0</v>
      </c>
      <c r="AN64" s="21">
        <f>攻击分赃比!AN64*开放指数!AK64</f>
        <v>0</v>
      </c>
      <c r="AO64" s="21">
        <f>攻击分赃比!AO64*开放指数!AL64</f>
        <v>0</v>
      </c>
      <c r="AP64" s="21">
        <f>攻击分赃比!AP64*开放指数!AM64</f>
        <v>0</v>
      </c>
      <c r="AQ64" s="21">
        <f>攻击分赃比!AQ64*开放指数!AN64</f>
        <v>0</v>
      </c>
      <c r="AR64" s="20">
        <f>$D64*攻击分赃比!AS64*开放指数!AO64</f>
        <v>26.400000000000002</v>
      </c>
      <c r="AS64" s="20">
        <f t="shared" si="17"/>
        <v>488.4</v>
      </c>
      <c r="AT64" s="20">
        <f t="shared" si="18"/>
        <v>1902.7600000000002</v>
      </c>
      <c r="AW64" s="20">
        <f t="shared" si="19"/>
        <v>776.80000000000007</v>
      </c>
      <c r="AX64" s="20">
        <f t="shared" si="20"/>
        <v>646.80000000000007</v>
      </c>
      <c r="AY64" s="20">
        <f t="shared" si="5"/>
        <v>452.75999999999993</v>
      </c>
      <c r="AZ64" s="20">
        <f t="shared" si="6"/>
        <v>0</v>
      </c>
      <c r="BA64" s="20">
        <f t="shared" si="7"/>
        <v>26.400000000000002</v>
      </c>
      <c r="BB64" s="73">
        <f t="shared" si="21"/>
        <v>14.414848484848486</v>
      </c>
    </row>
    <row r="65" spans="1:54" s="20" customFormat="1">
      <c r="A65" s="46">
        <v>63</v>
      </c>
      <c r="B65" s="51">
        <f t="shared" si="9"/>
        <v>2</v>
      </c>
      <c r="C65" s="9">
        <f t="shared" si="8"/>
        <v>134</v>
      </c>
      <c r="D65" s="20">
        <f t="shared" si="22"/>
        <v>134</v>
      </c>
      <c r="E65" s="20">
        <f>$D65*攻击分赃比!B65*开放指数!B65</f>
        <v>160.79999999999998</v>
      </c>
      <c r="F65" s="20">
        <f>$D65*攻击分赃比!C65*开放指数!C65</f>
        <v>201</v>
      </c>
      <c r="G65" s="20">
        <f>$D65*攻击分赃比!D65*开放指数!D65</f>
        <v>268</v>
      </c>
      <c r="H65" s="20">
        <f>$D65*攻击分赃比!E65*开放指数!E65</f>
        <v>335</v>
      </c>
      <c r="I65" s="20">
        <f t="shared" si="12"/>
        <v>64</v>
      </c>
      <c r="J65" s="20">
        <f>$D65*攻击分赃比!G65*开放指数!G65</f>
        <v>40.199999999999996</v>
      </c>
      <c r="K65" s="20">
        <f>$D65*攻击分赃比!H65*开放指数!H65</f>
        <v>80.399999999999991</v>
      </c>
      <c r="L65" s="20">
        <f>$D65*攻击分赃比!I65*开放指数!I65</f>
        <v>0</v>
      </c>
      <c r="M65" s="20">
        <f>$D65*攻击分赃比!J65*开放指数!J65</f>
        <v>107.2</v>
      </c>
      <c r="N65" s="20">
        <f>$D65*攻击分赃比!K65*开放指数!K65</f>
        <v>160.79999999999998</v>
      </c>
      <c r="O65" s="20">
        <f>$D65*攻击分赃比!M65*开放指数!L65</f>
        <v>201</v>
      </c>
      <c r="P65" s="20">
        <f>$D65*攻击分赃比!N65*开放指数!M65</f>
        <v>268</v>
      </c>
      <c r="Q65" s="20">
        <f>$D65*攻击分赃比!O65*开放指数!N65</f>
        <v>335</v>
      </c>
      <c r="R65" s="20">
        <f>$D65*攻击分赃比!P65*开放指数!O65</f>
        <v>402</v>
      </c>
      <c r="S65" s="20">
        <f>$D65*攻击分赃比!Q65*开放指数!P65</f>
        <v>469</v>
      </c>
      <c r="T65" s="20">
        <f>$D65*攻击分赃比!R65*开放指数!Q65</f>
        <v>100.5</v>
      </c>
      <c r="U65" s="20">
        <f>$D65*攻击分赃比!S65*开放指数!R65</f>
        <v>40.199999999999996</v>
      </c>
      <c r="V65" s="20">
        <f>$D65*攻击分赃比!T65*开放指数!S65</f>
        <v>40.199999999999996</v>
      </c>
      <c r="W65" s="20">
        <f>$D65*攻击分赃比!U65*开放指数!T65</f>
        <v>6.7</v>
      </c>
      <c r="X65" s="21">
        <f>攻击分赃比!V65*开放指数!U65</f>
        <v>0</v>
      </c>
      <c r="Y65" s="21">
        <f>攻击分赃比!W65*开放指数!V65</f>
        <v>0</v>
      </c>
      <c r="Z65" s="21">
        <f>攻击分赃比!X65*开放指数!W65</f>
        <v>0</v>
      </c>
      <c r="AA65" s="21">
        <f>攻击分赃比!Y65*开放指数!X65</f>
        <v>0</v>
      </c>
      <c r="AB65" s="21">
        <f>攻击分赃比!Z65*开放指数!Y65</f>
        <v>0</v>
      </c>
      <c r="AC65" s="20">
        <f>$D65*攻击分赃比!AB65*开放指数!Z65</f>
        <v>134</v>
      </c>
      <c r="AD65" s="20">
        <f>$D65*攻击分赃比!AC65*开放指数!AA65</f>
        <v>160.79999999999998</v>
      </c>
      <c r="AE65" s="20">
        <f>$D65*攻击分赃比!AD65*开放指数!AB65</f>
        <v>201</v>
      </c>
      <c r="AF65" s="20">
        <f>$D65*攻击分赃比!AE65*开放指数!AC65</f>
        <v>268</v>
      </c>
      <c r="AG65" s="20">
        <f>$D65*攻击分赃比!AF65*开放指数!AD65</f>
        <v>335</v>
      </c>
      <c r="AH65" s="20">
        <f>$D65*攻击分赃比!AG65*开放指数!AE65</f>
        <v>67</v>
      </c>
      <c r="AI65" s="20">
        <f>$D65*攻击分赃比!AH65*开放指数!AF65</f>
        <v>26.8</v>
      </c>
      <c r="AJ65" s="20">
        <f>$D65*攻击分赃比!AI65*开放指数!AG65</f>
        <v>26.8</v>
      </c>
      <c r="AK65" s="20">
        <f>$D65*攻击分赃比!AJ65*开放指数!AH65</f>
        <v>4.0199999999999996</v>
      </c>
      <c r="AL65" s="20">
        <f>$D65*攻击分赃比!AL65*开放指数!AI65</f>
        <v>0</v>
      </c>
      <c r="AM65" s="21">
        <f>攻击分赃比!AM65*开放指数!AJ65</f>
        <v>0</v>
      </c>
      <c r="AN65" s="21">
        <f>攻击分赃比!AN65*开放指数!AK65</f>
        <v>0</v>
      </c>
      <c r="AO65" s="21">
        <f>攻击分赃比!AO65*开放指数!AL65</f>
        <v>0</v>
      </c>
      <c r="AP65" s="21">
        <f>攻击分赃比!AP65*开放指数!AM65</f>
        <v>0</v>
      </c>
      <c r="AQ65" s="21">
        <f>攻击分赃比!AQ65*开放指数!AN65</f>
        <v>0</v>
      </c>
      <c r="AR65" s="20">
        <f>$D65*攻击分赃比!AS65*开放指数!AO65</f>
        <v>26.8</v>
      </c>
      <c r="AS65" s="20">
        <f t="shared" si="17"/>
        <v>495.8</v>
      </c>
      <c r="AT65" s="20">
        <f t="shared" si="18"/>
        <v>1930.62</v>
      </c>
      <c r="AW65" s="20">
        <f t="shared" si="19"/>
        <v>787.6</v>
      </c>
      <c r="AX65" s="20">
        <f t="shared" si="20"/>
        <v>656.60000000000014</v>
      </c>
      <c r="AY65" s="20">
        <f t="shared" si="5"/>
        <v>459.62</v>
      </c>
      <c r="AZ65" s="20">
        <f t="shared" si="6"/>
        <v>0</v>
      </c>
      <c r="BA65" s="20">
        <f t="shared" si="7"/>
        <v>26.8</v>
      </c>
      <c r="BB65" s="73">
        <f t="shared" si="21"/>
        <v>14.407611940298507</v>
      </c>
    </row>
    <row r="66" spans="1:54" s="20" customFormat="1">
      <c r="A66" s="46">
        <v>64</v>
      </c>
      <c r="B66" s="51">
        <f t="shared" si="9"/>
        <v>2</v>
      </c>
      <c r="C66" s="9">
        <f t="shared" si="8"/>
        <v>136</v>
      </c>
      <c r="D66" s="20">
        <f t="shared" si="22"/>
        <v>136</v>
      </c>
      <c r="E66" s="20">
        <f>$D66*攻击分赃比!B66*开放指数!B66</f>
        <v>163.19999999999999</v>
      </c>
      <c r="F66" s="20">
        <f>$D66*攻击分赃比!C66*开放指数!C66</f>
        <v>204</v>
      </c>
      <c r="G66" s="20">
        <f>$D66*攻击分赃比!D66*开放指数!D66</f>
        <v>272</v>
      </c>
      <c r="H66" s="20">
        <f>$D66*攻击分赃比!E66*开放指数!E66</f>
        <v>340</v>
      </c>
      <c r="I66" s="20">
        <f t="shared" si="12"/>
        <v>64</v>
      </c>
      <c r="J66" s="20">
        <f>$D66*攻击分赃比!G66*开放指数!G66</f>
        <v>40.799999999999997</v>
      </c>
      <c r="K66" s="20">
        <f>$D66*攻击分赃比!H66*开放指数!H66</f>
        <v>81.599999999999994</v>
      </c>
      <c r="L66" s="20">
        <f>$D66*攻击分赃比!I66*开放指数!I66</f>
        <v>0</v>
      </c>
      <c r="M66" s="20">
        <f>$D66*攻击分赃比!J66*开放指数!J66</f>
        <v>108.80000000000001</v>
      </c>
      <c r="N66" s="20">
        <f>$D66*攻击分赃比!K66*开放指数!K66</f>
        <v>163.19999999999999</v>
      </c>
      <c r="O66" s="20">
        <f>$D66*攻击分赃比!M66*开放指数!L66</f>
        <v>204</v>
      </c>
      <c r="P66" s="20">
        <f>$D66*攻击分赃比!N66*开放指数!M66</f>
        <v>272</v>
      </c>
      <c r="Q66" s="20">
        <f>$D66*攻击分赃比!O66*开放指数!N66</f>
        <v>340</v>
      </c>
      <c r="R66" s="20">
        <f>$D66*攻击分赃比!P66*开放指数!O66</f>
        <v>408</v>
      </c>
      <c r="S66" s="20">
        <f>$D66*攻击分赃比!Q66*开放指数!P66</f>
        <v>476</v>
      </c>
      <c r="T66" s="20">
        <f>$D66*攻击分赃比!R66*开放指数!Q66</f>
        <v>102</v>
      </c>
      <c r="U66" s="20">
        <f>$D66*攻击分赃比!S66*开放指数!R66</f>
        <v>40.799999999999997</v>
      </c>
      <c r="V66" s="20">
        <f>$D66*攻击分赃比!T66*开放指数!S66</f>
        <v>40.799999999999997</v>
      </c>
      <c r="W66" s="20">
        <f>$D66*攻击分赃比!U66*开放指数!T66</f>
        <v>6.8000000000000007</v>
      </c>
      <c r="X66" s="21">
        <f>攻击分赃比!V66*开放指数!U66</f>
        <v>0</v>
      </c>
      <c r="Y66" s="21">
        <f>攻击分赃比!W66*开放指数!V66</f>
        <v>0</v>
      </c>
      <c r="Z66" s="21">
        <f>攻击分赃比!X66*开放指数!W66</f>
        <v>0</v>
      </c>
      <c r="AA66" s="21">
        <f>攻击分赃比!Y66*开放指数!X66</f>
        <v>0</v>
      </c>
      <c r="AB66" s="21">
        <f>攻击分赃比!Z66*开放指数!Y66</f>
        <v>0</v>
      </c>
      <c r="AC66" s="20">
        <f>$D66*攻击分赃比!AB66*开放指数!Z66</f>
        <v>136</v>
      </c>
      <c r="AD66" s="20">
        <f>$D66*攻击分赃比!AC66*开放指数!AA66</f>
        <v>163.19999999999999</v>
      </c>
      <c r="AE66" s="20">
        <f>$D66*攻击分赃比!AD66*开放指数!AB66</f>
        <v>204</v>
      </c>
      <c r="AF66" s="20">
        <f>$D66*攻击分赃比!AE66*开放指数!AC66</f>
        <v>272</v>
      </c>
      <c r="AG66" s="20">
        <f>$D66*攻击分赃比!AF66*开放指数!AD66</f>
        <v>340</v>
      </c>
      <c r="AH66" s="20">
        <f>$D66*攻击分赃比!AG66*开放指数!AE66</f>
        <v>68</v>
      </c>
      <c r="AI66" s="20">
        <f>$D66*攻击分赃比!AH66*开放指数!AF66</f>
        <v>27.200000000000003</v>
      </c>
      <c r="AJ66" s="20">
        <f>$D66*攻击分赃比!AI66*开放指数!AG66</f>
        <v>27.200000000000003</v>
      </c>
      <c r="AK66" s="20">
        <f>$D66*攻击分赃比!AJ66*开放指数!AH66</f>
        <v>4.08</v>
      </c>
      <c r="AL66" s="20">
        <f>$D66*攻击分赃比!AL66*开放指数!AI66</f>
        <v>0</v>
      </c>
      <c r="AM66" s="21">
        <f>攻击分赃比!AM66*开放指数!AJ66</f>
        <v>0</v>
      </c>
      <c r="AN66" s="21">
        <f>攻击分赃比!AN66*开放指数!AK66</f>
        <v>0</v>
      </c>
      <c r="AO66" s="21">
        <f>攻击分赃比!AO66*开放指数!AL66</f>
        <v>0</v>
      </c>
      <c r="AP66" s="21">
        <f>攻击分赃比!AP66*开放指数!AM66</f>
        <v>0</v>
      </c>
      <c r="AQ66" s="21">
        <f>攻击分赃比!AQ66*开放指数!AN66</f>
        <v>0</v>
      </c>
      <c r="AR66" s="20">
        <f>$D66*攻击分赃比!AS66*开放指数!AO66</f>
        <v>27.200000000000003</v>
      </c>
      <c r="AS66" s="20">
        <f t="shared" si="17"/>
        <v>503.2</v>
      </c>
      <c r="AT66" s="20">
        <f t="shared" si="18"/>
        <v>1958.48</v>
      </c>
      <c r="AW66" s="20">
        <f t="shared" si="19"/>
        <v>798.40000000000009</v>
      </c>
      <c r="AX66" s="20">
        <f t="shared" si="20"/>
        <v>666.39999999999986</v>
      </c>
      <c r="AY66" s="20">
        <f t="shared" si="5"/>
        <v>466.47999999999996</v>
      </c>
      <c r="AZ66" s="20">
        <f t="shared" si="6"/>
        <v>0</v>
      </c>
      <c r="BA66" s="20">
        <f t="shared" si="7"/>
        <v>27.200000000000003</v>
      </c>
      <c r="BB66" s="73">
        <f t="shared" si="21"/>
        <v>14.400588235294117</v>
      </c>
    </row>
    <row r="67" spans="1:54" s="20" customFormat="1">
      <c r="A67" s="46">
        <v>65</v>
      </c>
      <c r="B67" s="51">
        <f t="shared" si="9"/>
        <v>2</v>
      </c>
      <c r="C67" s="9">
        <f t="shared" si="8"/>
        <v>138</v>
      </c>
      <c r="D67" s="20">
        <f t="shared" si="22"/>
        <v>138</v>
      </c>
      <c r="E67" s="20">
        <f>$D67*攻击分赃比!B67*开放指数!B67</f>
        <v>165.6</v>
      </c>
      <c r="F67" s="20">
        <f>$D67*攻击分赃比!C67*开放指数!C67</f>
        <v>207</v>
      </c>
      <c r="G67" s="20">
        <f>$D67*攻击分赃比!D67*开放指数!D67</f>
        <v>276</v>
      </c>
      <c r="H67" s="20">
        <f>$D67*攻击分赃比!E67*开放指数!E67</f>
        <v>345</v>
      </c>
      <c r="I67" s="20">
        <f>$D67*攻击分赃比!F67*开放指数!F67</f>
        <v>69</v>
      </c>
      <c r="J67" s="20">
        <f>$D67*攻击分赃比!G67*开放指数!G67</f>
        <v>41.4</v>
      </c>
      <c r="K67" s="20">
        <f>$D67*攻击分赃比!H67*开放指数!H67</f>
        <v>82.8</v>
      </c>
      <c r="L67" s="20">
        <f>$D67*攻击分赃比!I67*开放指数!I67</f>
        <v>0</v>
      </c>
      <c r="M67" s="20">
        <f>$D67*攻击分赃比!J67*开放指数!J67</f>
        <v>110.4</v>
      </c>
      <c r="N67" s="20">
        <f>$D67*攻击分赃比!K67*开放指数!K67</f>
        <v>165.6</v>
      </c>
      <c r="O67" s="20">
        <f>$D67*攻击分赃比!M67*开放指数!L67</f>
        <v>207</v>
      </c>
      <c r="P67" s="20">
        <f>$D67*攻击分赃比!N67*开放指数!M67</f>
        <v>276</v>
      </c>
      <c r="Q67" s="20">
        <f>$D67*攻击分赃比!O67*开放指数!N67</f>
        <v>345</v>
      </c>
      <c r="R67" s="20">
        <f>$D67*攻击分赃比!P67*开放指数!O67</f>
        <v>414</v>
      </c>
      <c r="S67" s="20">
        <f>$D67*攻击分赃比!Q67*开放指数!P67</f>
        <v>483</v>
      </c>
      <c r="T67" s="20">
        <f>$D67*攻击分赃比!R67*开放指数!Q67</f>
        <v>103.5</v>
      </c>
      <c r="U67" s="20">
        <f>$D67*攻击分赃比!S67*开放指数!R67</f>
        <v>41.4</v>
      </c>
      <c r="V67" s="20">
        <f>$D67*攻击分赃比!T67*开放指数!S67</f>
        <v>41.4</v>
      </c>
      <c r="W67" s="20">
        <f>$D67*攻击分赃比!U67*开放指数!T67</f>
        <v>6.9</v>
      </c>
      <c r="X67" s="21">
        <f>攻击分赃比!V67*开放指数!U67</f>
        <v>0</v>
      </c>
      <c r="Y67" s="21">
        <f>攻击分赃比!W67*开放指数!V67</f>
        <v>0</v>
      </c>
      <c r="Z67" s="21">
        <f>攻击分赃比!X67*开放指数!W67</f>
        <v>0</v>
      </c>
      <c r="AA67" s="21">
        <f>攻击分赃比!Y67*开放指数!X67</f>
        <v>0</v>
      </c>
      <c r="AB67" s="21">
        <f>攻击分赃比!Z67*开放指数!Y67</f>
        <v>0</v>
      </c>
      <c r="AC67" s="20">
        <f>$D67*攻击分赃比!AB67*开放指数!Z67</f>
        <v>138</v>
      </c>
      <c r="AD67" s="20">
        <f>$D67*攻击分赃比!AC67*开放指数!AA67</f>
        <v>165.6</v>
      </c>
      <c r="AE67" s="20">
        <f>$D67*攻击分赃比!AD67*开放指数!AB67</f>
        <v>207</v>
      </c>
      <c r="AF67" s="20">
        <f>$D67*攻击分赃比!AE67*开放指数!AC67</f>
        <v>276</v>
      </c>
      <c r="AG67" s="20">
        <f>$D67*攻击分赃比!AF67*开放指数!AD67</f>
        <v>345</v>
      </c>
      <c r="AH67" s="20">
        <f>$D67*攻击分赃比!AG67*开放指数!AE67</f>
        <v>69</v>
      </c>
      <c r="AI67" s="20">
        <f>$D67*攻击分赃比!AH67*开放指数!AF67</f>
        <v>27.6</v>
      </c>
      <c r="AJ67" s="20">
        <f>$D67*攻击分赃比!AI67*开放指数!AG67</f>
        <v>27.6</v>
      </c>
      <c r="AK67" s="20">
        <f>$D67*攻击分赃比!AJ67*开放指数!AH67</f>
        <v>4.1399999999999997</v>
      </c>
      <c r="AL67" s="20">
        <f>$D67*攻击分赃比!AL67*开放指数!AI67</f>
        <v>0</v>
      </c>
      <c r="AM67" s="21">
        <f>攻击分赃比!AM67*开放指数!AJ67</f>
        <v>0</v>
      </c>
      <c r="AN67" s="21">
        <f>攻击分赃比!AN67*开放指数!AK67</f>
        <v>0</v>
      </c>
      <c r="AO67" s="21">
        <f>攻击分赃比!AO67*开放指数!AL67</f>
        <v>0</v>
      </c>
      <c r="AP67" s="21">
        <f>攻击分赃比!AP67*开放指数!AM67</f>
        <v>0</v>
      </c>
      <c r="AQ67" s="21">
        <f>攻击分赃比!AQ67*开放指数!AN67</f>
        <v>0</v>
      </c>
      <c r="AR67" s="20">
        <f>$D67*攻击分赃比!AS67*开放指数!AO67</f>
        <v>27.6</v>
      </c>
      <c r="AS67" s="20">
        <f t="shared" ref="AS67:AS98" si="29">D67+O67+AR67+AL67+AC67</f>
        <v>510.6</v>
      </c>
      <c r="AT67" s="20">
        <f t="shared" ref="AT67:AT98" si="30">H67+I67+J67+K67+L67+M67+N67+S67*(1+AB67)+T67+U67+V67+W67+AG67+AH67+AI67+AJ67+AK67+AL67*(1+AQ67)+AR67</f>
        <v>1991.34</v>
      </c>
      <c r="AW67" s="20">
        <f t="shared" ref="AW67:AW98" si="31">H67+I67+J67+K67+L67+M67+N67</f>
        <v>814.19999999999993</v>
      </c>
      <c r="AX67" s="20">
        <f t="shared" ref="AX67:AX98" si="32">S67*(1+AB67)+T67+U67+V67+W67</f>
        <v>676.19999999999993</v>
      </c>
      <c r="AY67" s="20">
        <f t="shared" si="5"/>
        <v>473.34000000000003</v>
      </c>
      <c r="AZ67" s="20">
        <f t="shared" si="6"/>
        <v>0</v>
      </c>
      <c r="BA67" s="20">
        <f t="shared" si="7"/>
        <v>27.6</v>
      </c>
      <c r="BB67" s="73">
        <f t="shared" ref="BB67:BB98" si="33">AT67/D67</f>
        <v>14.43</v>
      </c>
    </row>
    <row r="68" spans="1:54" s="20" customFormat="1">
      <c r="A68" s="46">
        <v>66</v>
      </c>
      <c r="B68" s="51">
        <f t="shared" si="9"/>
        <v>2</v>
      </c>
      <c r="C68" s="9">
        <f t="shared" si="8"/>
        <v>140</v>
      </c>
      <c r="D68" s="20">
        <f t="shared" ref="D68:D99" si="34">B68+D67</f>
        <v>140</v>
      </c>
      <c r="E68" s="20">
        <f>$D68*攻击分赃比!B68*开放指数!B68</f>
        <v>168</v>
      </c>
      <c r="F68" s="20">
        <f>$D68*攻击分赃比!C68*开放指数!C68</f>
        <v>210</v>
      </c>
      <c r="G68" s="20">
        <f>$D68*攻击分赃比!D68*开放指数!D68</f>
        <v>280</v>
      </c>
      <c r="H68" s="20">
        <f>$D68*攻击分赃比!E68*开放指数!E68</f>
        <v>350</v>
      </c>
      <c r="I68" s="20">
        <f t="shared" ref="I68" si="35">I67</f>
        <v>69</v>
      </c>
      <c r="J68" s="20">
        <f>$D68*攻击分赃比!G68*开放指数!G68</f>
        <v>42</v>
      </c>
      <c r="K68" s="20">
        <f>$D68*攻击分赃比!H68*开放指数!H68</f>
        <v>84</v>
      </c>
      <c r="L68" s="20">
        <f>$D68*攻击分赃比!I68*开放指数!I68</f>
        <v>0</v>
      </c>
      <c r="M68" s="20">
        <f>$D68*攻击分赃比!J68*开放指数!J68</f>
        <v>112</v>
      </c>
      <c r="N68" s="20">
        <f>$D68*攻击分赃比!K68*开放指数!K68</f>
        <v>168</v>
      </c>
      <c r="O68" s="20">
        <f>$D68*攻击分赃比!M68*开放指数!L68</f>
        <v>210</v>
      </c>
      <c r="P68" s="20">
        <f>$D68*攻击分赃比!N68*开放指数!M68</f>
        <v>280</v>
      </c>
      <c r="Q68" s="20">
        <f>$D68*攻击分赃比!O68*开放指数!N68</f>
        <v>350</v>
      </c>
      <c r="R68" s="20">
        <f>$D68*攻击分赃比!P68*开放指数!O68</f>
        <v>420</v>
      </c>
      <c r="S68" s="20">
        <f>$D68*攻击分赃比!Q68*开放指数!P68</f>
        <v>490</v>
      </c>
      <c r="T68" s="20">
        <f>$D68*攻击分赃比!R68*开放指数!Q68</f>
        <v>105</v>
      </c>
      <c r="U68" s="20">
        <f>$D68*攻击分赃比!S68*开放指数!R68</f>
        <v>42</v>
      </c>
      <c r="V68" s="20">
        <f>$D68*攻击分赃比!T68*开放指数!S68</f>
        <v>42</v>
      </c>
      <c r="W68" s="20">
        <f>$D68*攻击分赃比!U68*开放指数!T68</f>
        <v>7</v>
      </c>
      <c r="X68" s="21">
        <f>攻击分赃比!V68*开放指数!U68</f>
        <v>0</v>
      </c>
      <c r="Y68" s="21">
        <f>攻击分赃比!W68*开放指数!V68</f>
        <v>0</v>
      </c>
      <c r="Z68" s="21">
        <f>攻击分赃比!X68*开放指数!W68</f>
        <v>0</v>
      </c>
      <c r="AA68" s="21">
        <f>攻击分赃比!Y68*开放指数!X68</f>
        <v>0</v>
      </c>
      <c r="AB68" s="21">
        <f>攻击分赃比!Z68*开放指数!Y68</f>
        <v>0</v>
      </c>
      <c r="AC68" s="20">
        <f>$D68*攻击分赃比!AB68*开放指数!Z68</f>
        <v>140</v>
      </c>
      <c r="AD68" s="20">
        <f>$D68*攻击分赃比!AC68*开放指数!AA68</f>
        <v>168</v>
      </c>
      <c r="AE68" s="20">
        <f>$D68*攻击分赃比!AD68*开放指数!AB68</f>
        <v>210</v>
      </c>
      <c r="AF68" s="20">
        <f>$D68*攻击分赃比!AE68*开放指数!AC68</f>
        <v>280</v>
      </c>
      <c r="AG68" s="20">
        <f>$D68*攻击分赃比!AF68*开放指数!AD68</f>
        <v>350</v>
      </c>
      <c r="AH68" s="20">
        <f>$D68*攻击分赃比!AG68*开放指数!AE68</f>
        <v>70</v>
      </c>
      <c r="AI68" s="20">
        <f>$D68*攻击分赃比!AH68*开放指数!AF68</f>
        <v>28</v>
      </c>
      <c r="AJ68" s="20">
        <f>$D68*攻击分赃比!AI68*开放指数!AG68</f>
        <v>28</v>
      </c>
      <c r="AK68" s="20">
        <f>$D68*攻击分赃比!AJ68*开放指数!AH68</f>
        <v>4.2</v>
      </c>
      <c r="AL68" s="20">
        <f>$D68*攻击分赃比!AL68*开放指数!AI68</f>
        <v>0</v>
      </c>
      <c r="AM68" s="21">
        <f>攻击分赃比!AM68*开放指数!AJ68</f>
        <v>0</v>
      </c>
      <c r="AN68" s="21">
        <f>攻击分赃比!AN68*开放指数!AK68</f>
        <v>0</v>
      </c>
      <c r="AO68" s="21">
        <f>攻击分赃比!AO68*开放指数!AL68</f>
        <v>0</v>
      </c>
      <c r="AP68" s="21">
        <f>攻击分赃比!AP68*开放指数!AM68</f>
        <v>0</v>
      </c>
      <c r="AQ68" s="21">
        <f>攻击分赃比!AQ68*开放指数!AN68</f>
        <v>0</v>
      </c>
      <c r="AR68" s="20">
        <f>$D68*攻击分赃比!AS68*开放指数!AO68</f>
        <v>28</v>
      </c>
      <c r="AS68" s="20">
        <f t="shared" si="29"/>
        <v>518</v>
      </c>
      <c r="AT68" s="20">
        <f t="shared" si="30"/>
        <v>2019.2</v>
      </c>
      <c r="AW68" s="20">
        <f t="shared" si="31"/>
        <v>825</v>
      </c>
      <c r="AX68" s="20">
        <f t="shared" si="32"/>
        <v>686</v>
      </c>
      <c r="AY68" s="20">
        <f t="shared" ref="AY68:AY122" si="36">AG68+AH68+AI68+AJ68+AK68</f>
        <v>480.2</v>
      </c>
      <c r="AZ68" s="20">
        <f t="shared" ref="AZ68:AZ122" si="37">AL68*(1+AQ68)</f>
        <v>0</v>
      </c>
      <c r="BA68" s="20">
        <f t="shared" ref="BA68:BA122" si="38">AR68</f>
        <v>28</v>
      </c>
      <c r="BB68" s="73">
        <f t="shared" si="33"/>
        <v>14.422857142857143</v>
      </c>
    </row>
    <row r="69" spans="1:54" s="20" customFormat="1">
      <c r="A69" s="46">
        <v>67</v>
      </c>
      <c r="B69" s="51">
        <f t="shared" si="9"/>
        <v>2</v>
      </c>
      <c r="C69" s="9">
        <f t="shared" ref="C69:C122" si="39">C68+B69</f>
        <v>142</v>
      </c>
      <c r="D69" s="20">
        <f t="shared" si="34"/>
        <v>142</v>
      </c>
      <c r="E69" s="20">
        <f>$D69*攻击分赃比!B69*开放指数!B69</f>
        <v>170.4</v>
      </c>
      <c r="F69" s="20">
        <f>$D69*攻击分赃比!C69*开放指数!C69</f>
        <v>213</v>
      </c>
      <c r="G69" s="20">
        <f>$D69*攻击分赃比!D69*开放指数!D69</f>
        <v>284</v>
      </c>
      <c r="H69" s="20">
        <f>$D69*攻击分赃比!E69*开放指数!E69</f>
        <v>355</v>
      </c>
      <c r="I69" s="20">
        <f t="shared" si="12"/>
        <v>69</v>
      </c>
      <c r="J69" s="20">
        <f>$D69*攻击分赃比!G69*开放指数!G69</f>
        <v>42.6</v>
      </c>
      <c r="K69" s="20">
        <f>$D69*攻击分赃比!H69*开放指数!H69</f>
        <v>85.2</v>
      </c>
      <c r="L69" s="20">
        <f>$D69*攻击分赃比!I69*开放指数!I69</f>
        <v>0</v>
      </c>
      <c r="M69" s="20">
        <f>$D69*攻击分赃比!J69*开放指数!J69</f>
        <v>113.60000000000001</v>
      </c>
      <c r="N69" s="20">
        <f>$D69*攻击分赃比!K69*开放指数!K69</f>
        <v>170.4</v>
      </c>
      <c r="O69" s="20">
        <f>$D69*攻击分赃比!M69*开放指数!L69</f>
        <v>213</v>
      </c>
      <c r="P69" s="20">
        <f>$D69*攻击分赃比!N69*开放指数!M69</f>
        <v>284</v>
      </c>
      <c r="Q69" s="20">
        <f>$D69*攻击分赃比!O69*开放指数!N69</f>
        <v>355</v>
      </c>
      <c r="R69" s="20">
        <f>$D69*攻击分赃比!P69*开放指数!O69</f>
        <v>426</v>
      </c>
      <c r="S69" s="20">
        <f>$D69*攻击分赃比!Q69*开放指数!P69</f>
        <v>497</v>
      </c>
      <c r="T69" s="20">
        <f>$D69*攻击分赃比!R69*开放指数!Q69</f>
        <v>106.5</v>
      </c>
      <c r="U69" s="20">
        <f>$D69*攻击分赃比!S69*开放指数!R69</f>
        <v>42.6</v>
      </c>
      <c r="V69" s="20">
        <f>$D69*攻击分赃比!T69*开放指数!S69</f>
        <v>42.6</v>
      </c>
      <c r="W69" s="20">
        <f>$D69*攻击分赃比!U69*开放指数!T69</f>
        <v>7.1000000000000005</v>
      </c>
      <c r="X69" s="21">
        <f>攻击分赃比!V69*开放指数!U69</f>
        <v>0</v>
      </c>
      <c r="Y69" s="21">
        <f>攻击分赃比!W69*开放指数!V69</f>
        <v>0</v>
      </c>
      <c r="Z69" s="21">
        <f>攻击分赃比!X69*开放指数!W69</f>
        <v>0</v>
      </c>
      <c r="AA69" s="21">
        <f>攻击分赃比!Y69*开放指数!X69</f>
        <v>0</v>
      </c>
      <c r="AB69" s="21">
        <f>攻击分赃比!Z69*开放指数!Y69</f>
        <v>0</v>
      </c>
      <c r="AC69" s="20">
        <f>$D69*攻击分赃比!AB69*开放指数!Z69</f>
        <v>142</v>
      </c>
      <c r="AD69" s="20">
        <f>$D69*攻击分赃比!AC69*开放指数!AA69</f>
        <v>170.4</v>
      </c>
      <c r="AE69" s="20">
        <f>$D69*攻击分赃比!AD69*开放指数!AB69</f>
        <v>213</v>
      </c>
      <c r="AF69" s="20">
        <f>$D69*攻击分赃比!AE69*开放指数!AC69</f>
        <v>284</v>
      </c>
      <c r="AG69" s="20">
        <f>$D69*攻击分赃比!AF69*开放指数!AD69</f>
        <v>355</v>
      </c>
      <c r="AH69" s="20">
        <f>$D69*攻击分赃比!AG69*开放指数!AE69</f>
        <v>71</v>
      </c>
      <c r="AI69" s="20">
        <f>$D69*攻击分赃比!AH69*开放指数!AF69</f>
        <v>28.400000000000002</v>
      </c>
      <c r="AJ69" s="20">
        <f>$D69*攻击分赃比!AI69*开放指数!AG69</f>
        <v>28.400000000000002</v>
      </c>
      <c r="AK69" s="20">
        <f>$D69*攻击分赃比!AJ69*开放指数!AH69</f>
        <v>4.26</v>
      </c>
      <c r="AL69" s="20">
        <f>$D69*攻击分赃比!AL69*开放指数!AI69</f>
        <v>0</v>
      </c>
      <c r="AM69" s="21">
        <f>攻击分赃比!AM69*开放指数!AJ69</f>
        <v>0</v>
      </c>
      <c r="AN69" s="21">
        <f>攻击分赃比!AN69*开放指数!AK69</f>
        <v>0</v>
      </c>
      <c r="AO69" s="21">
        <f>攻击分赃比!AO69*开放指数!AL69</f>
        <v>0</v>
      </c>
      <c r="AP69" s="21">
        <f>攻击分赃比!AP69*开放指数!AM69</f>
        <v>0</v>
      </c>
      <c r="AQ69" s="21">
        <f>攻击分赃比!AQ69*开放指数!AN69</f>
        <v>0</v>
      </c>
      <c r="AR69" s="20">
        <f>$D69*攻击分赃比!AS69*开放指数!AO69</f>
        <v>28.400000000000002</v>
      </c>
      <c r="AS69" s="20">
        <f t="shared" si="29"/>
        <v>525.4</v>
      </c>
      <c r="AT69" s="20">
        <f t="shared" si="30"/>
        <v>2047.0600000000002</v>
      </c>
      <c r="AW69" s="20">
        <f t="shared" si="31"/>
        <v>835.80000000000007</v>
      </c>
      <c r="AX69" s="20">
        <f t="shared" si="32"/>
        <v>695.80000000000007</v>
      </c>
      <c r="AY69" s="20">
        <f t="shared" si="36"/>
        <v>487.05999999999995</v>
      </c>
      <c r="AZ69" s="20">
        <f t="shared" si="37"/>
        <v>0</v>
      </c>
      <c r="BA69" s="20">
        <f t="shared" si="38"/>
        <v>28.400000000000002</v>
      </c>
      <c r="BB69" s="73">
        <f t="shared" si="33"/>
        <v>14.415915492957748</v>
      </c>
    </row>
    <row r="70" spans="1:54" s="20" customFormat="1">
      <c r="A70" s="46">
        <v>68</v>
      </c>
      <c r="B70" s="51">
        <f t="shared" ref="B70:B122" si="40">B69</f>
        <v>2</v>
      </c>
      <c r="C70" s="9">
        <f t="shared" si="39"/>
        <v>144</v>
      </c>
      <c r="D70" s="20">
        <f t="shared" si="34"/>
        <v>144</v>
      </c>
      <c r="E70" s="20">
        <f>$D70*攻击分赃比!B70*开放指数!B70</f>
        <v>172.79999999999998</v>
      </c>
      <c r="F70" s="20">
        <f>$D70*攻击分赃比!C70*开放指数!C70</f>
        <v>216</v>
      </c>
      <c r="G70" s="20">
        <f>$D70*攻击分赃比!D70*开放指数!D70</f>
        <v>288</v>
      </c>
      <c r="H70" s="20">
        <f>$D70*攻击分赃比!E70*开放指数!E70</f>
        <v>360</v>
      </c>
      <c r="I70" s="20">
        <f t="shared" si="12"/>
        <v>69</v>
      </c>
      <c r="J70" s="20">
        <f>$D70*攻击分赃比!G70*开放指数!G70</f>
        <v>43.199999999999996</v>
      </c>
      <c r="K70" s="20">
        <f>$D70*攻击分赃比!H70*开放指数!H70</f>
        <v>86.399999999999991</v>
      </c>
      <c r="L70" s="20">
        <f>$D70*攻击分赃比!I70*开放指数!I70</f>
        <v>0</v>
      </c>
      <c r="M70" s="20">
        <f>$D70*攻击分赃比!J70*开放指数!J70</f>
        <v>115.2</v>
      </c>
      <c r="N70" s="20">
        <f>$D70*攻击分赃比!K70*开放指数!K70</f>
        <v>172.79999999999998</v>
      </c>
      <c r="O70" s="20">
        <f>$D70*攻击分赃比!M70*开放指数!L70</f>
        <v>216</v>
      </c>
      <c r="P70" s="20">
        <f>$D70*攻击分赃比!N70*开放指数!M70</f>
        <v>288</v>
      </c>
      <c r="Q70" s="20">
        <f>$D70*攻击分赃比!O70*开放指数!N70</f>
        <v>360</v>
      </c>
      <c r="R70" s="20">
        <f>$D70*攻击分赃比!P70*开放指数!O70</f>
        <v>432</v>
      </c>
      <c r="S70" s="20">
        <f>$D70*攻击分赃比!Q70*开放指数!P70</f>
        <v>504</v>
      </c>
      <c r="T70" s="20">
        <f>$D70*攻击分赃比!R70*开放指数!Q70</f>
        <v>108</v>
      </c>
      <c r="U70" s="20">
        <f>$D70*攻击分赃比!S70*开放指数!R70</f>
        <v>43.199999999999996</v>
      </c>
      <c r="V70" s="20">
        <f>$D70*攻击分赃比!T70*开放指数!S70</f>
        <v>43.199999999999996</v>
      </c>
      <c r="W70" s="20">
        <f>$D70*攻击分赃比!U70*开放指数!T70</f>
        <v>7.2</v>
      </c>
      <c r="X70" s="21">
        <f>攻击分赃比!V70*开放指数!U70</f>
        <v>0</v>
      </c>
      <c r="Y70" s="21">
        <f>攻击分赃比!W70*开放指数!V70</f>
        <v>0</v>
      </c>
      <c r="Z70" s="21">
        <f>攻击分赃比!X70*开放指数!W70</f>
        <v>0</v>
      </c>
      <c r="AA70" s="21">
        <f>攻击分赃比!Y70*开放指数!X70</f>
        <v>0</v>
      </c>
      <c r="AB70" s="21">
        <f>攻击分赃比!Z70*开放指数!Y70</f>
        <v>0</v>
      </c>
      <c r="AC70" s="20">
        <f>$D70*攻击分赃比!AB70*开放指数!Z70</f>
        <v>144</v>
      </c>
      <c r="AD70" s="20">
        <f>$D70*攻击分赃比!AC70*开放指数!AA70</f>
        <v>172.79999999999998</v>
      </c>
      <c r="AE70" s="20">
        <f>$D70*攻击分赃比!AD70*开放指数!AB70</f>
        <v>216</v>
      </c>
      <c r="AF70" s="20">
        <f>$D70*攻击分赃比!AE70*开放指数!AC70</f>
        <v>288</v>
      </c>
      <c r="AG70" s="20">
        <f>$D70*攻击分赃比!AF70*开放指数!AD70</f>
        <v>360</v>
      </c>
      <c r="AH70" s="20">
        <f>$D70*攻击分赃比!AG70*开放指数!AE70</f>
        <v>72</v>
      </c>
      <c r="AI70" s="20">
        <f>$D70*攻击分赃比!AH70*开放指数!AF70</f>
        <v>28.8</v>
      </c>
      <c r="AJ70" s="20">
        <f>$D70*攻击分赃比!AI70*开放指数!AG70</f>
        <v>28.8</v>
      </c>
      <c r="AK70" s="20">
        <f>$D70*攻击分赃比!AJ70*开放指数!AH70</f>
        <v>4.32</v>
      </c>
      <c r="AL70" s="20">
        <f>$D70*攻击分赃比!AL70*开放指数!AI70</f>
        <v>0</v>
      </c>
      <c r="AM70" s="21">
        <f>攻击分赃比!AM70*开放指数!AJ70</f>
        <v>0</v>
      </c>
      <c r="AN70" s="21">
        <f>攻击分赃比!AN70*开放指数!AK70</f>
        <v>0</v>
      </c>
      <c r="AO70" s="21">
        <f>攻击分赃比!AO70*开放指数!AL70</f>
        <v>0</v>
      </c>
      <c r="AP70" s="21">
        <f>攻击分赃比!AP70*开放指数!AM70</f>
        <v>0</v>
      </c>
      <c r="AQ70" s="21">
        <f>攻击分赃比!AQ70*开放指数!AN70</f>
        <v>0</v>
      </c>
      <c r="AR70" s="20">
        <f>$D70*攻击分赃比!AS70*开放指数!AO70</f>
        <v>28.8</v>
      </c>
      <c r="AS70" s="20">
        <f t="shared" si="29"/>
        <v>532.79999999999995</v>
      </c>
      <c r="AT70" s="20">
        <f t="shared" si="30"/>
        <v>2074.92</v>
      </c>
      <c r="AW70" s="20">
        <f t="shared" si="31"/>
        <v>846.6</v>
      </c>
      <c r="AX70" s="20">
        <f t="shared" si="32"/>
        <v>705.60000000000014</v>
      </c>
      <c r="AY70" s="20">
        <f t="shared" si="36"/>
        <v>493.92</v>
      </c>
      <c r="AZ70" s="20">
        <f t="shared" si="37"/>
        <v>0</v>
      </c>
      <c r="BA70" s="20">
        <f t="shared" si="38"/>
        <v>28.8</v>
      </c>
      <c r="BB70" s="73">
        <f t="shared" si="33"/>
        <v>14.409166666666668</v>
      </c>
    </row>
    <row r="71" spans="1:54" s="20" customFormat="1">
      <c r="A71" s="46">
        <v>69</v>
      </c>
      <c r="B71" s="51">
        <f t="shared" si="40"/>
        <v>2</v>
      </c>
      <c r="C71" s="9">
        <f t="shared" si="39"/>
        <v>146</v>
      </c>
      <c r="D71" s="20">
        <f t="shared" si="34"/>
        <v>146</v>
      </c>
      <c r="E71" s="20">
        <f>$D71*攻击分赃比!B71*开放指数!B71</f>
        <v>175.2</v>
      </c>
      <c r="F71" s="20">
        <f>$D71*攻击分赃比!C71*开放指数!C71</f>
        <v>219</v>
      </c>
      <c r="G71" s="20">
        <f>$D71*攻击分赃比!D71*开放指数!D71</f>
        <v>292</v>
      </c>
      <c r="H71" s="20">
        <f>$D71*攻击分赃比!E71*开放指数!E71</f>
        <v>365</v>
      </c>
      <c r="I71" s="20">
        <f t="shared" si="12"/>
        <v>69</v>
      </c>
      <c r="J71" s="20">
        <f>$D71*攻击分赃比!G71*开放指数!G71</f>
        <v>43.8</v>
      </c>
      <c r="K71" s="20">
        <f>$D71*攻击分赃比!H71*开放指数!H71</f>
        <v>87.6</v>
      </c>
      <c r="L71" s="20">
        <f>$D71*攻击分赃比!I71*开放指数!I71</f>
        <v>0</v>
      </c>
      <c r="M71" s="20">
        <f>$D71*攻击分赃比!J71*开放指数!J71</f>
        <v>116.80000000000001</v>
      </c>
      <c r="N71" s="20">
        <f>$D71*攻击分赃比!K71*开放指数!K71</f>
        <v>175.2</v>
      </c>
      <c r="O71" s="20">
        <f>$D71*攻击分赃比!M71*开放指数!L71</f>
        <v>219</v>
      </c>
      <c r="P71" s="20">
        <f>$D71*攻击分赃比!N71*开放指数!M71</f>
        <v>292</v>
      </c>
      <c r="Q71" s="20">
        <f>$D71*攻击分赃比!O71*开放指数!N71</f>
        <v>365</v>
      </c>
      <c r="R71" s="20">
        <f>$D71*攻击分赃比!P71*开放指数!O71</f>
        <v>438</v>
      </c>
      <c r="S71" s="20">
        <f>$D71*攻击分赃比!Q71*开放指数!P71</f>
        <v>511</v>
      </c>
      <c r="T71" s="20">
        <f>$D71*攻击分赃比!R71*开放指数!Q71</f>
        <v>109.5</v>
      </c>
      <c r="U71" s="20">
        <f>$D71*攻击分赃比!S71*开放指数!R71</f>
        <v>43.8</v>
      </c>
      <c r="V71" s="20">
        <f>$D71*攻击分赃比!T71*开放指数!S71</f>
        <v>43.8</v>
      </c>
      <c r="W71" s="20">
        <f>$D71*攻击分赃比!U71*开放指数!T71</f>
        <v>7.3000000000000007</v>
      </c>
      <c r="X71" s="21">
        <f>攻击分赃比!V71*开放指数!U71</f>
        <v>0</v>
      </c>
      <c r="Y71" s="21">
        <f>攻击分赃比!W71*开放指数!V71</f>
        <v>0</v>
      </c>
      <c r="Z71" s="21">
        <f>攻击分赃比!X71*开放指数!W71</f>
        <v>0</v>
      </c>
      <c r="AA71" s="21">
        <f>攻击分赃比!Y71*开放指数!X71</f>
        <v>0</v>
      </c>
      <c r="AB71" s="21">
        <f>攻击分赃比!Z71*开放指数!Y71</f>
        <v>0</v>
      </c>
      <c r="AC71" s="20">
        <f>$D71*攻击分赃比!AB71*开放指数!Z71</f>
        <v>146</v>
      </c>
      <c r="AD71" s="20">
        <f>$D71*攻击分赃比!AC71*开放指数!AA71</f>
        <v>175.2</v>
      </c>
      <c r="AE71" s="20">
        <f>$D71*攻击分赃比!AD71*开放指数!AB71</f>
        <v>219</v>
      </c>
      <c r="AF71" s="20">
        <f>$D71*攻击分赃比!AE71*开放指数!AC71</f>
        <v>292</v>
      </c>
      <c r="AG71" s="20">
        <f>$D71*攻击分赃比!AF71*开放指数!AD71</f>
        <v>365</v>
      </c>
      <c r="AH71" s="20">
        <f>$D71*攻击分赃比!AG71*开放指数!AE71</f>
        <v>73</v>
      </c>
      <c r="AI71" s="20">
        <f>$D71*攻击分赃比!AH71*开放指数!AF71</f>
        <v>29.200000000000003</v>
      </c>
      <c r="AJ71" s="20">
        <f>$D71*攻击分赃比!AI71*开放指数!AG71</f>
        <v>29.200000000000003</v>
      </c>
      <c r="AK71" s="20">
        <f>$D71*攻击分赃比!AJ71*开放指数!AH71</f>
        <v>4.38</v>
      </c>
      <c r="AL71" s="20">
        <f>$D71*攻击分赃比!AL71*开放指数!AI71</f>
        <v>0</v>
      </c>
      <c r="AM71" s="21">
        <f>攻击分赃比!AM71*开放指数!AJ71</f>
        <v>0</v>
      </c>
      <c r="AN71" s="21">
        <f>攻击分赃比!AN71*开放指数!AK71</f>
        <v>0</v>
      </c>
      <c r="AO71" s="21">
        <f>攻击分赃比!AO71*开放指数!AL71</f>
        <v>0</v>
      </c>
      <c r="AP71" s="21">
        <f>攻击分赃比!AP71*开放指数!AM71</f>
        <v>0</v>
      </c>
      <c r="AQ71" s="21">
        <f>攻击分赃比!AQ71*开放指数!AN71</f>
        <v>0</v>
      </c>
      <c r="AR71" s="20">
        <f>$D71*攻击分赃比!AS71*开放指数!AO71</f>
        <v>29.200000000000003</v>
      </c>
      <c r="AS71" s="20">
        <f t="shared" si="29"/>
        <v>540.20000000000005</v>
      </c>
      <c r="AT71" s="20">
        <f t="shared" si="30"/>
        <v>2102.7799999999997</v>
      </c>
      <c r="AW71" s="20">
        <f t="shared" si="31"/>
        <v>857.40000000000009</v>
      </c>
      <c r="AX71" s="20">
        <f t="shared" si="32"/>
        <v>715.39999999999986</v>
      </c>
      <c r="AY71" s="20">
        <f t="shared" si="36"/>
        <v>500.78</v>
      </c>
      <c r="AZ71" s="20">
        <f t="shared" si="37"/>
        <v>0</v>
      </c>
      <c r="BA71" s="20">
        <f t="shared" si="38"/>
        <v>29.200000000000003</v>
      </c>
      <c r="BB71" s="73">
        <f t="shared" si="33"/>
        <v>14.402602739726026</v>
      </c>
    </row>
    <row r="72" spans="1:54" s="20" customFormat="1">
      <c r="A72" s="46">
        <v>70</v>
      </c>
      <c r="B72" s="51">
        <f t="shared" si="40"/>
        <v>2</v>
      </c>
      <c r="C72" s="9">
        <f t="shared" si="39"/>
        <v>148</v>
      </c>
      <c r="D72" s="20">
        <f t="shared" si="34"/>
        <v>148</v>
      </c>
      <c r="E72" s="20">
        <f>$D72*攻击分赃比!B72*开放指数!B72</f>
        <v>177.6</v>
      </c>
      <c r="F72" s="20">
        <f>$D72*攻击分赃比!C72*开放指数!C72</f>
        <v>222</v>
      </c>
      <c r="G72" s="20">
        <f>$D72*攻击分赃比!D72*开放指数!D72</f>
        <v>296</v>
      </c>
      <c r="H72" s="20">
        <f>$D72*攻击分赃比!E72*开放指数!E72</f>
        <v>370</v>
      </c>
      <c r="I72" s="20">
        <f>$D72*攻击分赃比!F72*开放指数!F72</f>
        <v>74</v>
      </c>
      <c r="J72" s="20">
        <f>$D72*攻击分赃比!G72*开放指数!G72</f>
        <v>44.4</v>
      </c>
      <c r="K72" s="20">
        <f>$D72*攻击分赃比!H72*开放指数!H72</f>
        <v>88.8</v>
      </c>
      <c r="L72" s="20">
        <f>$D72*攻击分赃比!I72*开放指数!I72</f>
        <v>44.4</v>
      </c>
      <c r="M72" s="20">
        <f>$D72*攻击分赃比!J72*开放指数!J72</f>
        <v>118.4</v>
      </c>
      <c r="N72" s="20">
        <f>$D72*攻击分赃比!K72*开放指数!K72</f>
        <v>177.6</v>
      </c>
      <c r="O72" s="20">
        <f>$D72*攻击分赃比!M72*开放指数!L72</f>
        <v>222</v>
      </c>
      <c r="P72" s="20">
        <f>$D72*攻击分赃比!N72*开放指数!M72</f>
        <v>296</v>
      </c>
      <c r="Q72" s="20">
        <f>$D72*攻击分赃比!O72*开放指数!N72</f>
        <v>370</v>
      </c>
      <c r="R72" s="20">
        <f>$D72*攻击分赃比!P72*开放指数!O72</f>
        <v>444</v>
      </c>
      <c r="S72" s="20">
        <f>$D72*攻击分赃比!Q72*开放指数!P72</f>
        <v>518</v>
      </c>
      <c r="T72" s="20">
        <f>$D72*攻击分赃比!R72*开放指数!Q72</f>
        <v>111</v>
      </c>
      <c r="U72" s="20">
        <f>$D72*攻击分赃比!S72*开放指数!R72</f>
        <v>44.4</v>
      </c>
      <c r="V72" s="20">
        <f>$D72*攻击分赃比!T72*开放指数!S72</f>
        <v>44.4</v>
      </c>
      <c r="W72" s="20">
        <f>$D72*攻击分赃比!U72*开放指数!T72</f>
        <v>7.4</v>
      </c>
      <c r="X72" s="21">
        <f>攻击分赃比!V72*开放指数!U72</f>
        <v>0</v>
      </c>
      <c r="Y72" s="21">
        <f>攻击分赃比!W72*开放指数!V72</f>
        <v>0</v>
      </c>
      <c r="Z72" s="21">
        <f>攻击分赃比!X72*开放指数!W72</f>
        <v>0</v>
      </c>
      <c r="AA72" s="21">
        <f>攻击分赃比!Y72*开放指数!X72</f>
        <v>0</v>
      </c>
      <c r="AB72" s="21">
        <f>攻击分赃比!Z72*开放指数!Y72</f>
        <v>0</v>
      </c>
      <c r="AC72" s="20">
        <f>$D72*攻击分赃比!AB72*开放指数!Z72</f>
        <v>148</v>
      </c>
      <c r="AD72" s="20">
        <f>$D72*攻击分赃比!AC72*开放指数!AA72</f>
        <v>177.6</v>
      </c>
      <c r="AE72" s="20">
        <f>$D72*攻击分赃比!AD72*开放指数!AB72</f>
        <v>222</v>
      </c>
      <c r="AF72" s="20">
        <f>$D72*攻击分赃比!AE72*开放指数!AC72</f>
        <v>296</v>
      </c>
      <c r="AG72" s="20">
        <f>$D72*攻击分赃比!AF72*开放指数!AD72</f>
        <v>370</v>
      </c>
      <c r="AH72" s="20">
        <f>$D72*攻击分赃比!AG72*开放指数!AE72</f>
        <v>74</v>
      </c>
      <c r="AI72" s="20">
        <f>$D72*攻击分赃比!AH72*开放指数!AF72</f>
        <v>29.6</v>
      </c>
      <c r="AJ72" s="20">
        <f>$D72*攻击分赃比!AI72*开放指数!AG72</f>
        <v>29.6</v>
      </c>
      <c r="AK72" s="20">
        <f>$D72*攻击分赃比!AJ72*开放指数!AH72</f>
        <v>4.4399999999999995</v>
      </c>
      <c r="AL72" s="20">
        <f>$D72*攻击分赃比!AL72*开放指数!AI72</f>
        <v>177.6</v>
      </c>
      <c r="AM72" s="21">
        <f>攻击分赃比!AM72*开放指数!AJ72</f>
        <v>0</v>
      </c>
      <c r="AN72" s="21">
        <f>攻击分赃比!AN72*开放指数!AK72</f>
        <v>0</v>
      </c>
      <c r="AO72" s="21">
        <f>攻击分赃比!AO72*开放指数!AL72</f>
        <v>0</v>
      </c>
      <c r="AP72" s="21">
        <f>攻击分赃比!AP72*开放指数!AM72</f>
        <v>0</v>
      </c>
      <c r="AQ72" s="21">
        <f>攻击分赃比!AQ72*开放指数!AN72</f>
        <v>0</v>
      </c>
      <c r="AR72" s="20">
        <f>$D72*攻击分赃比!AS72*开放指数!AO72</f>
        <v>29.6</v>
      </c>
      <c r="AS72" s="20">
        <f t="shared" si="29"/>
        <v>725.2</v>
      </c>
      <c r="AT72" s="20">
        <f t="shared" si="30"/>
        <v>2357.64</v>
      </c>
      <c r="AW72" s="20">
        <f t="shared" si="31"/>
        <v>917.59999999999991</v>
      </c>
      <c r="AX72" s="20">
        <f t="shared" si="32"/>
        <v>725.19999999999993</v>
      </c>
      <c r="AY72" s="20">
        <f t="shared" si="36"/>
        <v>507.64000000000004</v>
      </c>
      <c r="AZ72" s="20">
        <f t="shared" si="37"/>
        <v>177.6</v>
      </c>
      <c r="BA72" s="20">
        <f t="shared" si="38"/>
        <v>29.6</v>
      </c>
      <c r="BB72" s="73">
        <f t="shared" si="33"/>
        <v>15.93</v>
      </c>
    </row>
    <row r="73" spans="1:54" s="20" customFormat="1">
      <c r="A73" s="46">
        <v>71</v>
      </c>
      <c r="B73" s="51">
        <f t="shared" si="40"/>
        <v>2</v>
      </c>
      <c r="C73" s="9">
        <f t="shared" si="39"/>
        <v>150</v>
      </c>
      <c r="D73" s="20">
        <f t="shared" si="34"/>
        <v>150</v>
      </c>
      <c r="E73" s="20">
        <f>$D73*攻击分赃比!B73*开放指数!B73</f>
        <v>180</v>
      </c>
      <c r="F73" s="20">
        <f>$D73*攻击分赃比!C73*开放指数!C73</f>
        <v>225</v>
      </c>
      <c r="G73" s="20">
        <f>$D73*攻击分赃比!D73*开放指数!D73</f>
        <v>300</v>
      </c>
      <c r="H73" s="20">
        <f>$D73*攻击分赃比!E73*开放指数!E73</f>
        <v>375</v>
      </c>
      <c r="I73" s="20">
        <f t="shared" ref="I73" si="41">I72</f>
        <v>74</v>
      </c>
      <c r="J73" s="20">
        <f>$D73*攻击分赃比!G73*开放指数!G73</f>
        <v>45</v>
      </c>
      <c r="K73" s="20">
        <f>$D73*攻击分赃比!H73*开放指数!H73</f>
        <v>90</v>
      </c>
      <c r="L73" s="20">
        <f>$D73*攻击分赃比!I73*开放指数!I73</f>
        <v>45</v>
      </c>
      <c r="M73" s="20">
        <f>$D73*攻击分赃比!J73*开放指数!J73</f>
        <v>120</v>
      </c>
      <c r="N73" s="20">
        <f>$D73*攻击分赃比!K73*开放指数!K73</f>
        <v>180</v>
      </c>
      <c r="O73" s="20">
        <f>$D73*攻击分赃比!M73*开放指数!L73</f>
        <v>225</v>
      </c>
      <c r="P73" s="20">
        <f>$D73*攻击分赃比!N73*开放指数!M73</f>
        <v>300</v>
      </c>
      <c r="Q73" s="20">
        <f>$D73*攻击分赃比!O73*开放指数!N73</f>
        <v>375</v>
      </c>
      <c r="R73" s="20">
        <f>$D73*攻击分赃比!P73*开放指数!O73</f>
        <v>450</v>
      </c>
      <c r="S73" s="20">
        <f>$D73*攻击分赃比!Q73*开放指数!P73</f>
        <v>525</v>
      </c>
      <c r="T73" s="20">
        <f>$D73*攻击分赃比!R73*开放指数!Q73</f>
        <v>112.5</v>
      </c>
      <c r="U73" s="20">
        <f>$D73*攻击分赃比!S73*开放指数!R73</f>
        <v>45</v>
      </c>
      <c r="V73" s="20">
        <f>$D73*攻击分赃比!T73*开放指数!S73</f>
        <v>45</v>
      </c>
      <c r="W73" s="20">
        <f>$D73*攻击分赃比!U73*开放指数!T73</f>
        <v>7.5</v>
      </c>
      <c r="X73" s="21">
        <f>攻击分赃比!V73*开放指数!U73</f>
        <v>0</v>
      </c>
      <c r="Y73" s="21">
        <f>攻击分赃比!W73*开放指数!V73</f>
        <v>0</v>
      </c>
      <c r="Z73" s="21">
        <f>攻击分赃比!X73*开放指数!W73</f>
        <v>0</v>
      </c>
      <c r="AA73" s="21">
        <f>攻击分赃比!Y73*开放指数!X73</f>
        <v>0</v>
      </c>
      <c r="AB73" s="21">
        <f>攻击分赃比!Z73*开放指数!Y73</f>
        <v>0</v>
      </c>
      <c r="AC73" s="20">
        <f>$D73*攻击分赃比!AB73*开放指数!Z73</f>
        <v>150</v>
      </c>
      <c r="AD73" s="20">
        <f>$D73*攻击分赃比!AC73*开放指数!AA73</f>
        <v>180</v>
      </c>
      <c r="AE73" s="20">
        <f>$D73*攻击分赃比!AD73*开放指数!AB73</f>
        <v>225</v>
      </c>
      <c r="AF73" s="20">
        <f>$D73*攻击分赃比!AE73*开放指数!AC73</f>
        <v>300</v>
      </c>
      <c r="AG73" s="20">
        <f>$D73*攻击分赃比!AF73*开放指数!AD73</f>
        <v>375</v>
      </c>
      <c r="AH73" s="20">
        <f>$D73*攻击分赃比!AG73*开放指数!AE73</f>
        <v>75</v>
      </c>
      <c r="AI73" s="20">
        <f>$D73*攻击分赃比!AH73*开放指数!AF73</f>
        <v>30</v>
      </c>
      <c r="AJ73" s="20">
        <f>$D73*攻击分赃比!AI73*开放指数!AG73</f>
        <v>30</v>
      </c>
      <c r="AK73" s="20">
        <f>$D73*攻击分赃比!AJ73*开放指数!AH73</f>
        <v>4.5</v>
      </c>
      <c r="AL73" s="20">
        <f>$D73*攻击分赃比!AL73*开放指数!AI73</f>
        <v>180</v>
      </c>
      <c r="AM73" s="21">
        <f>攻击分赃比!AM73*开放指数!AJ73</f>
        <v>0</v>
      </c>
      <c r="AN73" s="21">
        <f>攻击分赃比!AN73*开放指数!AK73</f>
        <v>0</v>
      </c>
      <c r="AO73" s="21">
        <f>攻击分赃比!AO73*开放指数!AL73</f>
        <v>0</v>
      </c>
      <c r="AP73" s="21">
        <f>攻击分赃比!AP73*开放指数!AM73</f>
        <v>0</v>
      </c>
      <c r="AQ73" s="21">
        <f>攻击分赃比!AQ73*开放指数!AN73</f>
        <v>0</v>
      </c>
      <c r="AR73" s="20">
        <f>$D73*攻击分赃比!AS73*开放指数!AO73</f>
        <v>30</v>
      </c>
      <c r="AS73" s="20">
        <f t="shared" si="29"/>
        <v>735</v>
      </c>
      <c r="AT73" s="20">
        <f t="shared" si="30"/>
        <v>2388.5</v>
      </c>
      <c r="AW73" s="20">
        <f t="shared" si="31"/>
        <v>929</v>
      </c>
      <c r="AX73" s="20">
        <f t="shared" si="32"/>
        <v>735</v>
      </c>
      <c r="AY73" s="20">
        <f t="shared" si="36"/>
        <v>514.5</v>
      </c>
      <c r="AZ73" s="20">
        <f t="shared" si="37"/>
        <v>180</v>
      </c>
      <c r="BA73" s="20">
        <f t="shared" si="38"/>
        <v>30</v>
      </c>
      <c r="BB73" s="73">
        <f t="shared" si="33"/>
        <v>15.923333333333334</v>
      </c>
    </row>
    <row r="74" spans="1:54" s="20" customFormat="1">
      <c r="A74" s="46">
        <v>72</v>
      </c>
      <c r="B74" s="51">
        <f t="shared" si="40"/>
        <v>2</v>
      </c>
      <c r="C74" s="9">
        <f t="shared" si="39"/>
        <v>152</v>
      </c>
      <c r="D74" s="20">
        <f t="shared" si="34"/>
        <v>152</v>
      </c>
      <c r="E74" s="20">
        <f>$D74*攻击分赃比!B74*开放指数!B74</f>
        <v>182.4</v>
      </c>
      <c r="F74" s="20">
        <f>$D74*攻击分赃比!C74*开放指数!C74</f>
        <v>228</v>
      </c>
      <c r="G74" s="20">
        <f>$D74*攻击分赃比!D74*开放指数!D74</f>
        <v>304</v>
      </c>
      <c r="H74" s="20">
        <f>$D74*攻击分赃比!E74*开放指数!E74</f>
        <v>380</v>
      </c>
      <c r="I74" s="20">
        <f t="shared" si="12"/>
        <v>74</v>
      </c>
      <c r="J74" s="20">
        <f>$D74*攻击分赃比!G74*开放指数!G74</f>
        <v>45.6</v>
      </c>
      <c r="K74" s="20">
        <f>$D74*攻击分赃比!H74*开放指数!H74</f>
        <v>91.2</v>
      </c>
      <c r="L74" s="20">
        <f>$D74*攻击分赃比!I74*开放指数!I74</f>
        <v>45.6</v>
      </c>
      <c r="M74" s="20">
        <f>$D74*攻击分赃比!J74*开放指数!J74</f>
        <v>121.60000000000001</v>
      </c>
      <c r="N74" s="20">
        <f>$D74*攻击分赃比!K74*开放指数!K74</f>
        <v>182.4</v>
      </c>
      <c r="O74" s="20">
        <f>$D74*攻击分赃比!M74*开放指数!L74</f>
        <v>228</v>
      </c>
      <c r="P74" s="20">
        <f>$D74*攻击分赃比!N74*开放指数!M74</f>
        <v>304</v>
      </c>
      <c r="Q74" s="20">
        <f>$D74*攻击分赃比!O74*开放指数!N74</f>
        <v>380</v>
      </c>
      <c r="R74" s="20">
        <f>$D74*攻击分赃比!P74*开放指数!O74</f>
        <v>456</v>
      </c>
      <c r="S74" s="20">
        <f>$D74*攻击分赃比!Q74*开放指数!P74</f>
        <v>532</v>
      </c>
      <c r="T74" s="20">
        <f>$D74*攻击分赃比!R74*开放指数!Q74</f>
        <v>114</v>
      </c>
      <c r="U74" s="20">
        <f>$D74*攻击分赃比!S74*开放指数!R74</f>
        <v>45.6</v>
      </c>
      <c r="V74" s="20">
        <f>$D74*攻击分赃比!T74*开放指数!S74</f>
        <v>45.6</v>
      </c>
      <c r="W74" s="20">
        <f>$D74*攻击分赃比!U74*开放指数!T74</f>
        <v>7.6000000000000005</v>
      </c>
      <c r="X74" s="21">
        <f>攻击分赃比!V74*开放指数!U74</f>
        <v>0</v>
      </c>
      <c r="Y74" s="21">
        <f>攻击分赃比!W74*开放指数!V74</f>
        <v>0</v>
      </c>
      <c r="Z74" s="21">
        <f>攻击分赃比!X74*开放指数!W74</f>
        <v>0</v>
      </c>
      <c r="AA74" s="21">
        <f>攻击分赃比!Y74*开放指数!X74</f>
        <v>0</v>
      </c>
      <c r="AB74" s="21">
        <f>攻击分赃比!Z74*开放指数!Y74</f>
        <v>0</v>
      </c>
      <c r="AC74" s="20">
        <f>$D74*攻击分赃比!AB74*开放指数!Z74</f>
        <v>152</v>
      </c>
      <c r="AD74" s="20">
        <f>$D74*攻击分赃比!AC74*开放指数!AA74</f>
        <v>182.4</v>
      </c>
      <c r="AE74" s="20">
        <f>$D74*攻击分赃比!AD74*开放指数!AB74</f>
        <v>228</v>
      </c>
      <c r="AF74" s="20">
        <f>$D74*攻击分赃比!AE74*开放指数!AC74</f>
        <v>304</v>
      </c>
      <c r="AG74" s="20">
        <f>$D74*攻击分赃比!AF74*开放指数!AD74</f>
        <v>380</v>
      </c>
      <c r="AH74" s="20">
        <f>$D74*攻击分赃比!AG74*开放指数!AE74</f>
        <v>76</v>
      </c>
      <c r="AI74" s="20">
        <f>$D74*攻击分赃比!AH74*开放指数!AF74</f>
        <v>30.400000000000002</v>
      </c>
      <c r="AJ74" s="20">
        <f>$D74*攻击分赃比!AI74*开放指数!AG74</f>
        <v>30.400000000000002</v>
      </c>
      <c r="AK74" s="20">
        <f>$D74*攻击分赃比!AJ74*开放指数!AH74</f>
        <v>4.5599999999999996</v>
      </c>
      <c r="AL74" s="20">
        <f>$D74*攻击分赃比!AL74*开放指数!AI74</f>
        <v>182.4</v>
      </c>
      <c r="AM74" s="21">
        <f>攻击分赃比!AM74*开放指数!AJ74</f>
        <v>0</v>
      </c>
      <c r="AN74" s="21">
        <f>攻击分赃比!AN74*开放指数!AK74</f>
        <v>0</v>
      </c>
      <c r="AO74" s="21">
        <f>攻击分赃比!AO74*开放指数!AL74</f>
        <v>0</v>
      </c>
      <c r="AP74" s="21">
        <f>攻击分赃比!AP74*开放指数!AM74</f>
        <v>0</v>
      </c>
      <c r="AQ74" s="21">
        <f>攻击分赃比!AQ74*开放指数!AN74</f>
        <v>0</v>
      </c>
      <c r="AR74" s="20">
        <f>$D74*攻击分赃比!AS74*开放指数!AO74</f>
        <v>30.400000000000002</v>
      </c>
      <c r="AS74" s="20">
        <f t="shared" si="29"/>
        <v>744.8</v>
      </c>
      <c r="AT74" s="20">
        <f t="shared" si="30"/>
        <v>2419.36</v>
      </c>
      <c r="AW74" s="20">
        <f t="shared" si="31"/>
        <v>940.40000000000009</v>
      </c>
      <c r="AX74" s="20">
        <f t="shared" si="32"/>
        <v>744.80000000000007</v>
      </c>
      <c r="AY74" s="20">
        <f t="shared" si="36"/>
        <v>521.3599999999999</v>
      </c>
      <c r="AZ74" s="20">
        <f t="shared" si="37"/>
        <v>182.4</v>
      </c>
      <c r="BA74" s="20">
        <f t="shared" si="38"/>
        <v>30.400000000000002</v>
      </c>
      <c r="BB74" s="73">
        <f t="shared" si="33"/>
        <v>15.916842105263159</v>
      </c>
    </row>
    <row r="75" spans="1:54" s="20" customFormat="1">
      <c r="A75" s="46">
        <v>73</v>
      </c>
      <c r="B75" s="51">
        <f t="shared" si="40"/>
        <v>2</v>
      </c>
      <c r="C75" s="9">
        <f t="shared" si="39"/>
        <v>154</v>
      </c>
      <c r="D75" s="20">
        <f t="shared" si="34"/>
        <v>154</v>
      </c>
      <c r="E75" s="20">
        <f>$D75*攻击分赃比!B75*开放指数!B75</f>
        <v>184.79999999999998</v>
      </c>
      <c r="F75" s="20">
        <f>$D75*攻击分赃比!C75*开放指数!C75</f>
        <v>231</v>
      </c>
      <c r="G75" s="20">
        <f>$D75*攻击分赃比!D75*开放指数!D75</f>
        <v>308</v>
      </c>
      <c r="H75" s="20">
        <f>$D75*攻击分赃比!E75*开放指数!E75</f>
        <v>385</v>
      </c>
      <c r="I75" s="20">
        <f t="shared" si="12"/>
        <v>74</v>
      </c>
      <c r="J75" s="20">
        <f>$D75*攻击分赃比!G75*开放指数!G75</f>
        <v>46.199999999999996</v>
      </c>
      <c r="K75" s="20">
        <f>$D75*攻击分赃比!H75*开放指数!H75</f>
        <v>92.399999999999991</v>
      </c>
      <c r="L75" s="20">
        <f>$D75*攻击分赃比!I75*开放指数!I75</f>
        <v>46.199999999999996</v>
      </c>
      <c r="M75" s="20">
        <f>$D75*攻击分赃比!J75*开放指数!J75</f>
        <v>123.2</v>
      </c>
      <c r="N75" s="20">
        <f>$D75*攻击分赃比!K75*开放指数!K75</f>
        <v>184.79999999999998</v>
      </c>
      <c r="O75" s="20">
        <f>$D75*攻击分赃比!M75*开放指数!L75</f>
        <v>231</v>
      </c>
      <c r="P75" s="20">
        <f>$D75*攻击分赃比!N75*开放指数!M75</f>
        <v>308</v>
      </c>
      <c r="Q75" s="20">
        <f>$D75*攻击分赃比!O75*开放指数!N75</f>
        <v>385</v>
      </c>
      <c r="R75" s="20">
        <f>$D75*攻击分赃比!P75*开放指数!O75</f>
        <v>462</v>
      </c>
      <c r="S75" s="20">
        <f>$D75*攻击分赃比!Q75*开放指数!P75</f>
        <v>539</v>
      </c>
      <c r="T75" s="20">
        <f>$D75*攻击分赃比!R75*开放指数!Q75</f>
        <v>115.5</v>
      </c>
      <c r="U75" s="20">
        <f>$D75*攻击分赃比!S75*开放指数!R75</f>
        <v>46.199999999999996</v>
      </c>
      <c r="V75" s="20">
        <f>$D75*攻击分赃比!T75*开放指数!S75</f>
        <v>46.199999999999996</v>
      </c>
      <c r="W75" s="20">
        <f>$D75*攻击分赃比!U75*开放指数!T75</f>
        <v>7.7</v>
      </c>
      <c r="X75" s="21">
        <f>攻击分赃比!V75*开放指数!U75</f>
        <v>0</v>
      </c>
      <c r="Y75" s="21">
        <f>攻击分赃比!W75*开放指数!V75</f>
        <v>0</v>
      </c>
      <c r="Z75" s="21">
        <f>攻击分赃比!X75*开放指数!W75</f>
        <v>0</v>
      </c>
      <c r="AA75" s="21">
        <f>攻击分赃比!Y75*开放指数!X75</f>
        <v>0</v>
      </c>
      <c r="AB75" s="21">
        <f>攻击分赃比!Z75*开放指数!Y75</f>
        <v>0</v>
      </c>
      <c r="AC75" s="20">
        <f>$D75*攻击分赃比!AB75*开放指数!Z75</f>
        <v>154</v>
      </c>
      <c r="AD75" s="20">
        <f>$D75*攻击分赃比!AC75*开放指数!AA75</f>
        <v>184.79999999999998</v>
      </c>
      <c r="AE75" s="20">
        <f>$D75*攻击分赃比!AD75*开放指数!AB75</f>
        <v>231</v>
      </c>
      <c r="AF75" s="20">
        <f>$D75*攻击分赃比!AE75*开放指数!AC75</f>
        <v>308</v>
      </c>
      <c r="AG75" s="20">
        <f>$D75*攻击分赃比!AF75*开放指数!AD75</f>
        <v>385</v>
      </c>
      <c r="AH75" s="20">
        <f>$D75*攻击分赃比!AG75*开放指数!AE75</f>
        <v>77</v>
      </c>
      <c r="AI75" s="20">
        <f>$D75*攻击分赃比!AH75*开放指数!AF75</f>
        <v>30.8</v>
      </c>
      <c r="AJ75" s="20">
        <f>$D75*攻击分赃比!AI75*开放指数!AG75</f>
        <v>30.8</v>
      </c>
      <c r="AK75" s="20">
        <f>$D75*攻击分赃比!AJ75*开放指数!AH75</f>
        <v>4.62</v>
      </c>
      <c r="AL75" s="20">
        <f>$D75*攻击分赃比!AL75*开放指数!AI75</f>
        <v>184.79999999999998</v>
      </c>
      <c r="AM75" s="21">
        <f>攻击分赃比!AM75*开放指数!AJ75</f>
        <v>0</v>
      </c>
      <c r="AN75" s="21">
        <f>攻击分赃比!AN75*开放指数!AK75</f>
        <v>0</v>
      </c>
      <c r="AO75" s="21">
        <f>攻击分赃比!AO75*开放指数!AL75</f>
        <v>0</v>
      </c>
      <c r="AP75" s="21">
        <f>攻击分赃比!AP75*开放指数!AM75</f>
        <v>0</v>
      </c>
      <c r="AQ75" s="21">
        <f>攻击分赃比!AQ75*开放指数!AN75</f>
        <v>0</v>
      </c>
      <c r="AR75" s="20">
        <f>$D75*攻击分赃比!AS75*开放指数!AO75</f>
        <v>30.8</v>
      </c>
      <c r="AS75" s="20">
        <f t="shared" si="29"/>
        <v>754.6</v>
      </c>
      <c r="AT75" s="20">
        <f t="shared" si="30"/>
        <v>2450.2200000000012</v>
      </c>
      <c r="AW75" s="20">
        <f t="shared" si="31"/>
        <v>951.80000000000007</v>
      </c>
      <c r="AX75" s="20">
        <f t="shared" si="32"/>
        <v>754.60000000000014</v>
      </c>
      <c r="AY75" s="20">
        <f t="shared" si="36"/>
        <v>528.22</v>
      </c>
      <c r="AZ75" s="20">
        <f t="shared" si="37"/>
        <v>184.79999999999998</v>
      </c>
      <c r="BA75" s="20">
        <f t="shared" si="38"/>
        <v>30.8</v>
      </c>
      <c r="BB75" s="73">
        <f t="shared" si="33"/>
        <v>15.910519480519488</v>
      </c>
    </row>
    <row r="76" spans="1:54" s="20" customFormat="1">
      <c r="A76" s="46">
        <v>74</v>
      </c>
      <c r="B76" s="51">
        <f t="shared" si="40"/>
        <v>2</v>
      </c>
      <c r="C76" s="9">
        <f t="shared" si="39"/>
        <v>156</v>
      </c>
      <c r="D76" s="20">
        <f t="shared" si="34"/>
        <v>156</v>
      </c>
      <c r="E76" s="20">
        <f>$D76*攻击分赃比!B76*开放指数!B76</f>
        <v>187.2</v>
      </c>
      <c r="F76" s="20">
        <f>$D76*攻击分赃比!C76*开放指数!C76</f>
        <v>234</v>
      </c>
      <c r="G76" s="20">
        <f>$D76*攻击分赃比!D76*开放指数!D76</f>
        <v>312</v>
      </c>
      <c r="H76" s="20">
        <f>$D76*攻击分赃比!E76*开放指数!E76</f>
        <v>390</v>
      </c>
      <c r="I76" s="20">
        <f t="shared" si="12"/>
        <v>74</v>
      </c>
      <c r="J76" s="20">
        <f>$D76*攻击分赃比!G76*开放指数!G76</f>
        <v>46.8</v>
      </c>
      <c r="K76" s="20">
        <f>$D76*攻击分赃比!H76*开放指数!H76</f>
        <v>93.6</v>
      </c>
      <c r="L76" s="20">
        <f>$D76*攻击分赃比!I76*开放指数!I76</f>
        <v>46.8</v>
      </c>
      <c r="M76" s="20">
        <f>$D76*攻击分赃比!J76*开放指数!J76</f>
        <v>124.80000000000001</v>
      </c>
      <c r="N76" s="20">
        <f>$D76*攻击分赃比!K76*开放指数!K76</f>
        <v>187.2</v>
      </c>
      <c r="O76" s="20">
        <f>$D76*攻击分赃比!M76*开放指数!L76</f>
        <v>234</v>
      </c>
      <c r="P76" s="20">
        <f>$D76*攻击分赃比!N76*开放指数!M76</f>
        <v>312</v>
      </c>
      <c r="Q76" s="20">
        <f>$D76*攻击分赃比!O76*开放指数!N76</f>
        <v>390</v>
      </c>
      <c r="R76" s="20">
        <f>$D76*攻击分赃比!P76*开放指数!O76</f>
        <v>468</v>
      </c>
      <c r="S76" s="20">
        <f>$D76*攻击分赃比!Q76*开放指数!P76</f>
        <v>546</v>
      </c>
      <c r="T76" s="20">
        <f>$D76*攻击分赃比!R76*开放指数!Q76</f>
        <v>117</v>
      </c>
      <c r="U76" s="20">
        <f>$D76*攻击分赃比!S76*开放指数!R76</f>
        <v>46.8</v>
      </c>
      <c r="V76" s="20">
        <f>$D76*攻击分赃比!T76*开放指数!S76</f>
        <v>46.8</v>
      </c>
      <c r="W76" s="20">
        <f>$D76*攻击分赃比!U76*开放指数!T76</f>
        <v>7.8000000000000007</v>
      </c>
      <c r="X76" s="21">
        <f>攻击分赃比!V76*开放指数!U76</f>
        <v>0</v>
      </c>
      <c r="Y76" s="21">
        <f>攻击分赃比!W76*开放指数!V76</f>
        <v>0</v>
      </c>
      <c r="Z76" s="21">
        <f>攻击分赃比!X76*开放指数!W76</f>
        <v>0</v>
      </c>
      <c r="AA76" s="21">
        <f>攻击分赃比!Y76*开放指数!X76</f>
        <v>0</v>
      </c>
      <c r="AB76" s="21">
        <f>攻击分赃比!Z76*开放指数!Y76</f>
        <v>0</v>
      </c>
      <c r="AC76" s="20">
        <f>$D76*攻击分赃比!AB76*开放指数!Z76</f>
        <v>156</v>
      </c>
      <c r="AD76" s="20">
        <f>$D76*攻击分赃比!AC76*开放指数!AA76</f>
        <v>187.2</v>
      </c>
      <c r="AE76" s="20">
        <f>$D76*攻击分赃比!AD76*开放指数!AB76</f>
        <v>234</v>
      </c>
      <c r="AF76" s="20">
        <f>$D76*攻击分赃比!AE76*开放指数!AC76</f>
        <v>312</v>
      </c>
      <c r="AG76" s="20">
        <f>$D76*攻击分赃比!AF76*开放指数!AD76</f>
        <v>390</v>
      </c>
      <c r="AH76" s="20">
        <f>$D76*攻击分赃比!AG76*开放指数!AE76</f>
        <v>78</v>
      </c>
      <c r="AI76" s="20">
        <f>$D76*攻击分赃比!AH76*开放指数!AF76</f>
        <v>31.200000000000003</v>
      </c>
      <c r="AJ76" s="20">
        <f>$D76*攻击分赃比!AI76*开放指数!AG76</f>
        <v>31.200000000000003</v>
      </c>
      <c r="AK76" s="20">
        <f>$D76*攻击分赃比!AJ76*开放指数!AH76</f>
        <v>4.68</v>
      </c>
      <c r="AL76" s="20">
        <f>$D76*攻击分赃比!AL76*开放指数!AI76</f>
        <v>187.2</v>
      </c>
      <c r="AM76" s="21">
        <f>攻击分赃比!AM76*开放指数!AJ76</f>
        <v>0</v>
      </c>
      <c r="AN76" s="21">
        <f>攻击分赃比!AN76*开放指数!AK76</f>
        <v>0</v>
      </c>
      <c r="AO76" s="21">
        <f>攻击分赃比!AO76*开放指数!AL76</f>
        <v>0</v>
      </c>
      <c r="AP76" s="21">
        <f>攻击分赃比!AP76*开放指数!AM76</f>
        <v>0</v>
      </c>
      <c r="AQ76" s="21">
        <f>攻击分赃比!AQ76*开放指数!AN76</f>
        <v>0</v>
      </c>
      <c r="AR76" s="20">
        <f>$D76*攻击分赃比!AS76*开放指数!AO76</f>
        <v>31.200000000000003</v>
      </c>
      <c r="AS76" s="20">
        <f t="shared" si="29"/>
        <v>764.4</v>
      </c>
      <c r="AT76" s="20">
        <f t="shared" si="30"/>
        <v>2481.079999999999</v>
      </c>
      <c r="AW76" s="20">
        <f t="shared" si="31"/>
        <v>963.2</v>
      </c>
      <c r="AX76" s="20">
        <f t="shared" si="32"/>
        <v>764.39999999999986</v>
      </c>
      <c r="AY76" s="20">
        <f t="shared" si="36"/>
        <v>535.07999999999993</v>
      </c>
      <c r="AZ76" s="20">
        <f t="shared" si="37"/>
        <v>187.2</v>
      </c>
      <c r="BA76" s="20">
        <f t="shared" si="38"/>
        <v>31.200000000000003</v>
      </c>
      <c r="BB76" s="73">
        <f t="shared" si="33"/>
        <v>15.904358974358969</v>
      </c>
    </row>
    <row r="77" spans="1:54" s="20" customFormat="1">
      <c r="A77" s="46">
        <v>75</v>
      </c>
      <c r="B77" s="51">
        <f t="shared" si="40"/>
        <v>2</v>
      </c>
      <c r="C77" s="9">
        <f t="shared" si="39"/>
        <v>158</v>
      </c>
      <c r="D77" s="20">
        <f t="shared" si="34"/>
        <v>158</v>
      </c>
      <c r="E77" s="20">
        <f>$D77*攻击分赃比!B77*开放指数!B77</f>
        <v>189.6</v>
      </c>
      <c r="F77" s="20">
        <f>$D77*攻击分赃比!C77*开放指数!C77</f>
        <v>237</v>
      </c>
      <c r="G77" s="20">
        <f>$D77*攻击分赃比!D77*开放指数!D77</f>
        <v>316</v>
      </c>
      <c r="H77" s="20">
        <f>$D77*攻击分赃比!E77*开放指数!E77</f>
        <v>395</v>
      </c>
      <c r="I77" s="20">
        <f>$D77*攻击分赃比!F77*开放指数!F77</f>
        <v>79</v>
      </c>
      <c r="J77" s="20">
        <f>$D77*攻击分赃比!G77*开放指数!G77</f>
        <v>47.4</v>
      </c>
      <c r="K77" s="20">
        <f>$D77*攻击分赃比!H77*开放指数!H77</f>
        <v>94.8</v>
      </c>
      <c r="L77" s="20">
        <f>$D77*攻击分赃比!I77*开放指数!I77</f>
        <v>47.4</v>
      </c>
      <c r="M77" s="20">
        <f>$D77*攻击分赃比!J77*开放指数!J77</f>
        <v>126.4</v>
      </c>
      <c r="N77" s="20">
        <f>$D77*攻击分赃比!K77*开放指数!K77</f>
        <v>189.6</v>
      </c>
      <c r="O77" s="20">
        <f>$D77*攻击分赃比!M77*开放指数!L77</f>
        <v>237</v>
      </c>
      <c r="P77" s="20">
        <f>$D77*攻击分赃比!N77*开放指数!M77</f>
        <v>316</v>
      </c>
      <c r="Q77" s="20">
        <f>$D77*攻击分赃比!O77*开放指数!N77</f>
        <v>395</v>
      </c>
      <c r="R77" s="20">
        <f>$D77*攻击分赃比!P77*开放指数!O77</f>
        <v>474</v>
      </c>
      <c r="S77" s="20">
        <f>$D77*攻击分赃比!Q77*开放指数!P77</f>
        <v>553</v>
      </c>
      <c r="T77" s="20">
        <f>$D77*攻击分赃比!R77*开放指数!Q77</f>
        <v>118.5</v>
      </c>
      <c r="U77" s="20">
        <f>$D77*攻击分赃比!S77*开放指数!R77</f>
        <v>47.4</v>
      </c>
      <c r="V77" s="20">
        <f>$D77*攻击分赃比!T77*开放指数!S77</f>
        <v>47.4</v>
      </c>
      <c r="W77" s="20">
        <f>$D77*攻击分赃比!U77*开放指数!T77</f>
        <v>7.9</v>
      </c>
      <c r="X77" s="21">
        <f>攻击分赃比!V77*开放指数!U77</f>
        <v>0</v>
      </c>
      <c r="Y77" s="21">
        <f>攻击分赃比!W77*开放指数!V77</f>
        <v>0</v>
      </c>
      <c r="Z77" s="21">
        <f>攻击分赃比!X77*开放指数!W77</f>
        <v>0</v>
      </c>
      <c r="AA77" s="21">
        <f>攻击分赃比!Y77*开放指数!X77</f>
        <v>0</v>
      </c>
      <c r="AB77" s="21">
        <f>攻击分赃比!Z77*开放指数!Y77</f>
        <v>0</v>
      </c>
      <c r="AC77" s="20">
        <f>$D77*攻击分赃比!AB77*开放指数!Z77</f>
        <v>158</v>
      </c>
      <c r="AD77" s="20">
        <f>$D77*攻击分赃比!AC77*开放指数!AA77</f>
        <v>189.6</v>
      </c>
      <c r="AE77" s="20">
        <f>$D77*攻击分赃比!AD77*开放指数!AB77</f>
        <v>237</v>
      </c>
      <c r="AF77" s="20">
        <f>$D77*攻击分赃比!AE77*开放指数!AC77</f>
        <v>316</v>
      </c>
      <c r="AG77" s="20">
        <f>$D77*攻击分赃比!AF77*开放指数!AD77</f>
        <v>395</v>
      </c>
      <c r="AH77" s="20">
        <f>$D77*攻击分赃比!AG77*开放指数!AE77</f>
        <v>79</v>
      </c>
      <c r="AI77" s="20">
        <f>$D77*攻击分赃比!AH77*开放指数!AF77</f>
        <v>31.6</v>
      </c>
      <c r="AJ77" s="20">
        <f>$D77*攻击分赃比!AI77*开放指数!AG77</f>
        <v>31.6</v>
      </c>
      <c r="AK77" s="20">
        <f>$D77*攻击分赃比!AJ77*开放指数!AH77</f>
        <v>4.74</v>
      </c>
      <c r="AL77" s="20">
        <f>$D77*攻击分赃比!AL77*开放指数!AI77</f>
        <v>189.6</v>
      </c>
      <c r="AM77" s="21">
        <f>攻击分赃比!AM77*开放指数!AJ77</f>
        <v>0</v>
      </c>
      <c r="AN77" s="21">
        <f>攻击分赃比!AN77*开放指数!AK77</f>
        <v>0</v>
      </c>
      <c r="AO77" s="21">
        <f>攻击分赃比!AO77*开放指数!AL77</f>
        <v>0</v>
      </c>
      <c r="AP77" s="21">
        <f>攻击分赃比!AP77*开放指数!AM77</f>
        <v>0</v>
      </c>
      <c r="AQ77" s="21">
        <f>攻击分赃比!AQ77*开放指数!AN77</f>
        <v>0</v>
      </c>
      <c r="AR77" s="20">
        <f>$D77*攻击分赃比!AS77*开放指数!AO77</f>
        <v>31.6</v>
      </c>
      <c r="AS77" s="20">
        <f t="shared" si="29"/>
        <v>774.2</v>
      </c>
      <c r="AT77" s="20">
        <f t="shared" si="30"/>
        <v>2516.9399999999996</v>
      </c>
      <c r="AW77" s="20">
        <f t="shared" si="31"/>
        <v>979.59999999999991</v>
      </c>
      <c r="AX77" s="20">
        <f t="shared" si="32"/>
        <v>774.19999999999993</v>
      </c>
      <c r="AY77" s="20">
        <f t="shared" si="36"/>
        <v>541.94000000000005</v>
      </c>
      <c r="AZ77" s="20">
        <f t="shared" si="37"/>
        <v>189.6</v>
      </c>
      <c r="BA77" s="20">
        <f t="shared" si="38"/>
        <v>31.6</v>
      </c>
      <c r="BB77" s="73">
        <f t="shared" si="33"/>
        <v>15.929999999999998</v>
      </c>
    </row>
    <row r="78" spans="1:54" s="20" customFormat="1">
      <c r="A78" s="46">
        <v>76</v>
      </c>
      <c r="B78" s="51">
        <f t="shared" si="40"/>
        <v>2</v>
      </c>
      <c r="C78" s="9">
        <f t="shared" si="39"/>
        <v>160</v>
      </c>
      <c r="D78" s="20">
        <f t="shared" si="34"/>
        <v>160</v>
      </c>
      <c r="E78" s="20">
        <f>$D78*攻击分赃比!B78*开放指数!B78</f>
        <v>192</v>
      </c>
      <c r="F78" s="20">
        <f>$D78*攻击分赃比!C78*开放指数!C78</f>
        <v>240</v>
      </c>
      <c r="G78" s="20">
        <f>$D78*攻击分赃比!D78*开放指数!D78</f>
        <v>320</v>
      </c>
      <c r="H78" s="20">
        <f>$D78*攻击分赃比!E78*开放指数!E78</f>
        <v>400</v>
      </c>
      <c r="I78" s="20">
        <f t="shared" ref="I78:I121" si="42">I77</f>
        <v>79</v>
      </c>
      <c r="J78" s="20">
        <f>$D78*攻击分赃比!G78*开放指数!G78</f>
        <v>48</v>
      </c>
      <c r="K78" s="20">
        <f>$D78*攻击分赃比!H78*开放指数!H78</f>
        <v>96</v>
      </c>
      <c r="L78" s="20">
        <f>$D78*攻击分赃比!I78*开放指数!I78</f>
        <v>48</v>
      </c>
      <c r="M78" s="20">
        <f>$D78*攻击分赃比!J78*开放指数!J78</f>
        <v>128</v>
      </c>
      <c r="N78" s="20">
        <f>$D78*攻击分赃比!K78*开放指数!K78</f>
        <v>192</v>
      </c>
      <c r="O78" s="20">
        <f>$D78*攻击分赃比!M78*开放指数!L78</f>
        <v>240</v>
      </c>
      <c r="P78" s="20">
        <f>$D78*攻击分赃比!N78*开放指数!M78</f>
        <v>320</v>
      </c>
      <c r="Q78" s="20">
        <f>$D78*攻击分赃比!O78*开放指数!N78</f>
        <v>400</v>
      </c>
      <c r="R78" s="20">
        <f>$D78*攻击分赃比!P78*开放指数!O78</f>
        <v>480</v>
      </c>
      <c r="S78" s="20">
        <f>$D78*攻击分赃比!Q78*开放指数!P78</f>
        <v>560</v>
      </c>
      <c r="T78" s="20">
        <f>$D78*攻击分赃比!R78*开放指数!Q78</f>
        <v>120</v>
      </c>
      <c r="U78" s="20">
        <f>$D78*攻击分赃比!S78*开放指数!R78</f>
        <v>48</v>
      </c>
      <c r="V78" s="20">
        <f>$D78*攻击分赃比!T78*开放指数!S78</f>
        <v>48</v>
      </c>
      <c r="W78" s="20">
        <f>$D78*攻击分赃比!U78*开放指数!T78</f>
        <v>8</v>
      </c>
      <c r="X78" s="21">
        <f>攻击分赃比!V78*开放指数!U78</f>
        <v>0</v>
      </c>
      <c r="Y78" s="21">
        <f>攻击分赃比!W78*开放指数!V78</f>
        <v>0</v>
      </c>
      <c r="Z78" s="21">
        <f>攻击分赃比!X78*开放指数!W78</f>
        <v>0</v>
      </c>
      <c r="AA78" s="21">
        <f>攻击分赃比!Y78*开放指数!X78</f>
        <v>0</v>
      </c>
      <c r="AB78" s="21">
        <f>攻击分赃比!Z78*开放指数!Y78</f>
        <v>0</v>
      </c>
      <c r="AC78" s="20">
        <f>$D78*攻击分赃比!AB78*开放指数!Z78</f>
        <v>160</v>
      </c>
      <c r="AD78" s="20">
        <f>$D78*攻击分赃比!AC78*开放指数!AA78</f>
        <v>192</v>
      </c>
      <c r="AE78" s="20">
        <f>$D78*攻击分赃比!AD78*开放指数!AB78</f>
        <v>240</v>
      </c>
      <c r="AF78" s="20">
        <f>$D78*攻击分赃比!AE78*开放指数!AC78</f>
        <v>320</v>
      </c>
      <c r="AG78" s="20">
        <f>$D78*攻击分赃比!AF78*开放指数!AD78</f>
        <v>400</v>
      </c>
      <c r="AH78" s="20">
        <f>$D78*攻击分赃比!AG78*开放指数!AE78</f>
        <v>80</v>
      </c>
      <c r="AI78" s="20">
        <f>$D78*攻击分赃比!AH78*开放指数!AF78</f>
        <v>32</v>
      </c>
      <c r="AJ78" s="20">
        <f>$D78*攻击分赃比!AI78*开放指数!AG78</f>
        <v>32</v>
      </c>
      <c r="AK78" s="20">
        <f>$D78*攻击分赃比!AJ78*开放指数!AH78</f>
        <v>4.8</v>
      </c>
      <c r="AL78" s="20">
        <f>$D78*攻击分赃比!AL78*开放指数!AI78</f>
        <v>192</v>
      </c>
      <c r="AM78" s="21">
        <f>攻击分赃比!AM78*开放指数!AJ78</f>
        <v>0</v>
      </c>
      <c r="AN78" s="21">
        <f>攻击分赃比!AN78*开放指数!AK78</f>
        <v>0</v>
      </c>
      <c r="AO78" s="21">
        <f>攻击分赃比!AO78*开放指数!AL78</f>
        <v>0</v>
      </c>
      <c r="AP78" s="21">
        <f>攻击分赃比!AP78*开放指数!AM78</f>
        <v>0</v>
      </c>
      <c r="AQ78" s="21">
        <f>攻击分赃比!AQ78*开放指数!AN78</f>
        <v>0</v>
      </c>
      <c r="AR78" s="20">
        <f>$D78*攻击分赃比!AS78*开放指数!AO78</f>
        <v>32</v>
      </c>
      <c r="AS78" s="20">
        <f t="shared" si="29"/>
        <v>784</v>
      </c>
      <c r="AT78" s="20">
        <f t="shared" si="30"/>
        <v>2547.8000000000002</v>
      </c>
      <c r="AW78" s="20">
        <f t="shared" si="31"/>
        <v>991</v>
      </c>
      <c r="AX78" s="20">
        <f t="shared" si="32"/>
        <v>784</v>
      </c>
      <c r="AY78" s="20">
        <f t="shared" si="36"/>
        <v>548.79999999999995</v>
      </c>
      <c r="AZ78" s="20">
        <f t="shared" si="37"/>
        <v>192</v>
      </c>
      <c r="BA78" s="20">
        <f t="shared" si="38"/>
        <v>32</v>
      </c>
      <c r="BB78" s="73">
        <f t="shared" si="33"/>
        <v>15.923750000000002</v>
      </c>
    </row>
    <row r="79" spans="1:54" s="20" customFormat="1">
      <c r="A79" s="46">
        <v>77</v>
      </c>
      <c r="B79" s="51">
        <f t="shared" si="40"/>
        <v>2</v>
      </c>
      <c r="C79" s="9">
        <f t="shared" si="39"/>
        <v>162</v>
      </c>
      <c r="D79" s="20">
        <f t="shared" si="34"/>
        <v>162</v>
      </c>
      <c r="E79" s="20">
        <f>$D79*攻击分赃比!B79*开放指数!B79</f>
        <v>194.4</v>
      </c>
      <c r="F79" s="20">
        <f>$D79*攻击分赃比!C79*开放指数!C79</f>
        <v>243</v>
      </c>
      <c r="G79" s="20">
        <f>$D79*攻击分赃比!D79*开放指数!D79</f>
        <v>324</v>
      </c>
      <c r="H79" s="20">
        <f>$D79*攻击分赃比!E79*开放指数!E79</f>
        <v>405</v>
      </c>
      <c r="I79" s="20">
        <f t="shared" si="42"/>
        <v>79</v>
      </c>
      <c r="J79" s="20">
        <f>$D79*攻击分赃比!G79*开放指数!G79</f>
        <v>48.6</v>
      </c>
      <c r="K79" s="20">
        <f>$D79*攻击分赃比!H79*开放指数!H79</f>
        <v>97.2</v>
      </c>
      <c r="L79" s="20">
        <f>$D79*攻击分赃比!I79*开放指数!I79</f>
        <v>48.6</v>
      </c>
      <c r="M79" s="20">
        <f>$D79*攻击分赃比!J79*开放指数!J79</f>
        <v>129.6</v>
      </c>
      <c r="N79" s="20">
        <f>$D79*攻击分赃比!K79*开放指数!K79</f>
        <v>194.4</v>
      </c>
      <c r="O79" s="20">
        <f>$D79*攻击分赃比!M79*开放指数!L79</f>
        <v>243</v>
      </c>
      <c r="P79" s="20">
        <f>$D79*攻击分赃比!N79*开放指数!M79</f>
        <v>324</v>
      </c>
      <c r="Q79" s="20">
        <f>$D79*攻击分赃比!O79*开放指数!N79</f>
        <v>405</v>
      </c>
      <c r="R79" s="20">
        <f>$D79*攻击分赃比!P79*开放指数!O79</f>
        <v>486</v>
      </c>
      <c r="S79" s="20">
        <f>$D79*攻击分赃比!Q79*开放指数!P79</f>
        <v>567</v>
      </c>
      <c r="T79" s="20">
        <f>$D79*攻击分赃比!R79*开放指数!Q79</f>
        <v>121.5</v>
      </c>
      <c r="U79" s="20">
        <f>$D79*攻击分赃比!S79*开放指数!R79</f>
        <v>48.6</v>
      </c>
      <c r="V79" s="20">
        <f>$D79*攻击分赃比!T79*开放指数!S79</f>
        <v>48.6</v>
      </c>
      <c r="W79" s="20">
        <f>$D79*攻击分赃比!U79*开放指数!T79</f>
        <v>8.1</v>
      </c>
      <c r="X79" s="21">
        <f>攻击分赃比!V79*开放指数!U79</f>
        <v>0</v>
      </c>
      <c r="Y79" s="21">
        <f>攻击分赃比!W79*开放指数!V79</f>
        <v>0</v>
      </c>
      <c r="Z79" s="21">
        <f>攻击分赃比!X79*开放指数!W79</f>
        <v>0</v>
      </c>
      <c r="AA79" s="21">
        <f>攻击分赃比!Y79*开放指数!X79</f>
        <v>0</v>
      </c>
      <c r="AB79" s="21">
        <f>攻击分赃比!Z79*开放指数!Y79</f>
        <v>0</v>
      </c>
      <c r="AC79" s="20">
        <f>$D79*攻击分赃比!AB79*开放指数!Z79</f>
        <v>162</v>
      </c>
      <c r="AD79" s="20">
        <f>$D79*攻击分赃比!AC79*开放指数!AA79</f>
        <v>194.4</v>
      </c>
      <c r="AE79" s="20">
        <f>$D79*攻击分赃比!AD79*开放指数!AB79</f>
        <v>243</v>
      </c>
      <c r="AF79" s="20">
        <f>$D79*攻击分赃比!AE79*开放指数!AC79</f>
        <v>324</v>
      </c>
      <c r="AG79" s="20">
        <f>$D79*攻击分赃比!AF79*开放指数!AD79</f>
        <v>405</v>
      </c>
      <c r="AH79" s="20">
        <f>$D79*攻击分赃比!AG79*开放指数!AE79</f>
        <v>81</v>
      </c>
      <c r="AI79" s="20">
        <f>$D79*攻击分赃比!AH79*开放指数!AF79</f>
        <v>32.4</v>
      </c>
      <c r="AJ79" s="20">
        <f>$D79*攻击分赃比!AI79*开放指数!AG79</f>
        <v>32.4</v>
      </c>
      <c r="AK79" s="20">
        <f>$D79*攻击分赃比!AJ79*开放指数!AH79</f>
        <v>4.8599999999999994</v>
      </c>
      <c r="AL79" s="20">
        <f>$D79*攻击分赃比!AL79*开放指数!AI79</f>
        <v>194.4</v>
      </c>
      <c r="AM79" s="21">
        <f>攻击分赃比!AM79*开放指数!AJ79</f>
        <v>0</v>
      </c>
      <c r="AN79" s="21">
        <f>攻击分赃比!AN79*开放指数!AK79</f>
        <v>0</v>
      </c>
      <c r="AO79" s="21">
        <f>攻击分赃比!AO79*开放指数!AL79</f>
        <v>0</v>
      </c>
      <c r="AP79" s="21">
        <f>攻击分赃比!AP79*开放指数!AM79</f>
        <v>0</v>
      </c>
      <c r="AQ79" s="21">
        <f>攻击分赃比!AQ79*开放指数!AN79</f>
        <v>0</v>
      </c>
      <c r="AR79" s="20">
        <f>$D79*攻击分赃比!AS79*开放指数!AO79</f>
        <v>32.4</v>
      </c>
      <c r="AS79" s="20">
        <f t="shared" si="29"/>
        <v>793.8</v>
      </c>
      <c r="AT79" s="20">
        <f t="shared" si="30"/>
        <v>2578.6600000000003</v>
      </c>
      <c r="AW79" s="20">
        <f t="shared" si="31"/>
        <v>1002.4000000000001</v>
      </c>
      <c r="AX79" s="20">
        <f t="shared" si="32"/>
        <v>793.80000000000007</v>
      </c>
      <c r="AY79" s="20">
        <f t="shared" si="36"/>
        <v>555.66</v>
      </c>
      <c r="AZ79" s="20">
        <f t="shared" si="37"/>
        <v>194.4</v>
      </c>
      <c r="BA79" s="20">
        <f t="shared" si="38"/>
        <v>32.4</v>
      </c>
      <c r="BB79" s="73">
        <f t="shared" si="33"/>
        <v>15.917654320987657</v>
      </c>
    </row>
    <row r="80" spans="1:54" s="20" customFormat="1">
      <c r="A80" s="46">
        <v>78</v>
      </c>
      <c r="B80" s="51">
        <f t="shared" si="40"/>
        <v>2</v>
      </c>
      <c r="C80" s="9">
        <f t="shared" si="39"/>
        <v>164</v>
      </c>
      <c r="D80" s="20">
        <f t="shared" si="34"/>
        <v>164</v>
      </c>
      <c r="E80" s="20">
        <f>$D80*攻击分赃比!B80*开放指数!B80</f>
        <v>196.79999999999998</v>
      </c>
      <c r="F80" s="20">
        <f>$D80*攻击分赃比!C80*开放指数!C80</f>
        <v>246</v>
      </c>
      <c r="G80" s="20">
        <f>$D80*攻击分赃比!D80*开放指数!D80</f>
        <v>328</v>
      </c>
      <c r="H80" s="20">
        <f>$D80*攻击分赃比!E80*开放指数!E80</f>
        <v>410</v>
      </c>
      <c r="I80" s="20">
        <f t="shared" si="42"/>
        <v>79</v>
      </c>
      <c r="J80" s="20">
        <f>$D80*攻击分赃比!G80*开放指数!G80</f>
        <v>49.199999999999996</v>
      </c>
      <c r="K80" s="20">
        <f>$D80*攻击分赃比!H80*开放指数!H80</f>
        <v>98.399999999999991</v>
      </c>
      <c r="L80" s="20">
        <f>$D80*攻击分赃比!I80*开放指数!I80</f>
        <v>49.199999999999996</v>
      </c>
      <c r="M80" s="20">
        <f>$D80*攻击分赃比!J80*开放指数!J80</f>
        <v>131.20000000000002</v>
      </c>
      <c r="N80" s="20">
        <f>$D80*攻击分赃比!K80*开放指数!K80</f>
        <v>196.79999999999998</v>
      </c>
      <c r="O80" s="20">
        <f>$D80*攻击分赃比!M80*开放指数!L80</f>
        <v>246</v>
      </c>
      <c r="P80" s="20">
        <f>$D80*攻击分赃比!N80*开放指数!M80</f>
        <v>328</v>
      </c>
      <c r="Q80" s="20">
        <f>$D80*攻击分赃比!O80*开放指数!N80</f>
        <v>410</v>
      </c>
      <c r="R80" s="20">
        <f>$D80*攻击分赃比!P80*开放指数!O80</f>
        <v>492</v>
      </c>
      <c r="S80" s="20">
        <f>$D80*攻击分赃比!Q80*开放指数!P80</f>
        <v>574</v>
      </c>
      <c r="T80" s="20">
        <f>$D80*攻击分赃比!R80*开放指数!Q80</f>
        <v>123</v>
      </c>
      <c r="U80" s="20">
        <f>$D80*攻击分赃比!S80*开放指数!R80</f>
        <v>49.199999999999996</v>
      </c>
      <c r="V80" s="20">
        <f>$D80*攻击分赃比!T80*开放指数!S80</f>
        <v>49.199999999999996</v>
      </c>
      <c r="W80" s="20">
        <f>$D80*攻击分赃比!U80*开放指数!T80</f>
        <v>8.2000000000000011</v>
      </c>
      <c r="X80" s="21">
        <f>攻击分赃比!V80*开放指数!U80</f>
        <v>0</v>
      </c>
      <c r="Y80" s="21">
        <f>攻击分赃比!W80*开放指数!V80</f>
        <v>0</v>
      </c>
      <c r="Z80" s="21">
        <f>攻击分赃比!X80*开放指数!W80</f>
        <v>0</v>
      </c>
      <c r="AA80" s="21">
        <f>攻击分赃比!Y80*开放指数!X80</f>
        <v>0</v>
      </c>
      <c r="AB80" s="21">
        <f>攻击分赃比!Z80*开放指数!Y80</f>
        <v>0</v>
      </c>
      <c r="AC80" s="20">
        <f>$D80*攻击分赃比!AB80*开放指数!Z80</f>
        <v>164</v>
      </c>
      <c r="AD80" s="20">
        <f>$D80*攻击分赃比!AC80*开放指数!AA80</f>
        <v>196.79999999999998</v>
      </c>
      <c r="AE80" s="20">
        <f>$D80*攻击分赃比!AD80*开放指数!AB80</f>
        <v>246</v>
      </c>
      <c r="AF80" s="20">
        <f>$D80*攻击分赃比!AE80*开放指数!AC80</f>
        <v>328</v>
      </c>
      <c r="AG80" s="20">
        <f>$D80*攻击分赃比!AF80*开放指数!AD80</f>
        <v>410</v>
      </c>
      <c r="AH80" s="20">
        <f>$D80*攻击分赃比!AG80*开放指数!AE80</f>
        <v>82</v>
      </c>
      <c r="AI80" s="20">
        <f>$D80*攻击分赃比!AH80*开放指数!AF80</f>
        <v>32.800000000000004</v>
      </c>
      <c r="AJ80" s="20">
        <f>$D80*攻击分赃比!AI80*开放指数!AG80</f>
        <v>32.800000000000004</v>
      </c>
      <c r="AK80" s="20">
        <f>$D80*攻击分赃比!AJ80*开放指数!AH80</f>
        <v>4.92</v>
      </c>
      <c r="AL80" s="20">
        <f>$D80*攻击分赃比!AL80*开放指数!AI80</f>
        <v>196.79999999999998</v>
      </c>
      <c r="AM80" s="21">
        <f>攻击分赃比!AM80*开放指数!AJ80</f>
        <v>0</v>
      </c>
      <c r="AN80" s="21">
        <f>攻击分赃比!AN80*开放指数!AK80</f>
        <v>0</v>
      </c>
      <c r="AO80" s="21">
        <f>攻击分赃比!AO80*开放指数!AL80</f>
        <v>0</v>
      </c>
      <c r="AP80" s="21">
        <f>攻击分赃比!AP80*开放指数!AM80</f>
        <v>0</v>
      </c>
      <c r="AQ80" s="21">
        <f>攻击分赃比!AQ80*开放指数!AN80</f>
        <v>0</v>
      </c>
      <c r="AR80" s="20">
        <f>$D80*攻击分赃比!AS80*开放指数!AO80</f>
        <v>32.800000000000004</v>
      </c>
      <c r="AS80" s="20">
        <f t="shared" si="29"/>
        <v>803.6</v>
      </c>
      <c r="AT80" s="20">
        <f t="shared" si="30"/>
        <v>2609.5200000000013</v>
      </c>
      <c r="AW80" s="20">
        <f t="shared" si="31"/>
        <v>1013.8000000000001</v>
      </c>
      <c r="AX80" s="20">
        <f t="shared" si="32"/>
        <v>803.60000000000014</v>
      </c>
      <c r="AY80" s="20">
        <f t="shared" si="36"/>
        <v>562.51999999999987</v>
      </c>
      <c r="AZ80" s="20">
        <f t="shared" si="37"/>
        <v>196.79999999999998</v>
      </c>
      <c r="BA80" s="20">
        <f t="shared" si="38"/>
        <v>32.800000000000004</v>
      </c>
      <c r="BB80" s="73">
        <f t="shared" si="33"/>
        <v>15.911707317073178</v>
      </c>
    </row>
    <row r="81" spans="1:54" s="20" customFormat="1">
      <c r="A81" s="46">
        <v>79</v>
      </c>
      <c r="B81" s="51">
        <f t="shared" si="40"/>
        <v>2</v>
      </c>
      <c r="C81" s="9">
        <f t="shared" si="39"/>
        <v>166</v>
      </c>
      <c r="D81" s="20">
        <f t="shared" si="34"/>
        <v>166</v>
      </c>
      <c r="E81" s="20">
        <f>$D81*攻击分赃比!B81*开放指数!B81</f>
        <v>199.2</v>
      </c>
      <c r="F81" s="20">
        <f>$D81*攻击分赃比!C81*开放指数!C81</f>
        <v>249</v>
      </c>
      <c r="G81" s="20">
        <f>$D81*攻击分赃比!D81*开放指数!D81</f>
        <v>332</v>
      </c>
      <c r="H81" s="20">
        <f>$D81*攻击分赃比!E81*开放指数!E81</f>
        <v>415</v>
      </c>
      <c r="I81" s="20">
        <f t="shared" si="42"/>
        <v>79</v>
      </c>
      <c r="J81" s="20">
        <f>$D81*攻击分赃比!G81*开放指数!G81</f>
        <v>49.8</v>
      </c>
      <c r="K81" s="20">
        <f>$D81*攻击分赃比!H81*开放指数!H81</f>
        <v>99.6</v>
      </c>
      <c r="L81" s="20">
        <f>$D81*攻击分赃比!I81*开放指数!I81</f>
        <v>49.8</v>
      </c>
      <c r="M81" s="20">
        <f>$D81*攻击分赃比!J81*开放指数!J81</f>
        <v>132.80000000000001</v>
      </c>
      <c r="N81" s="20">
        <f>$D81*攻击分赃比!K81*开放指数!K81</f>
        <v>199.2</v>
      </c>
      <c r="O81" s="20">
        <f>$D81*攻击分赃比!M81*开放指数!L81</f>
        <v>249</v>
      </c>
      <c r="P81" s="20">
        <f>$D81*攻击分赃比!N81*开放指数!M81</f>
        <v>332</v>
      </c>
      <c r="Q81" s="20">
        <f>$D81*攻击分赃比!O81*开放指数!N81</f>
        <v>415</v>
      </c>
      <c r="R81" s="20">
        <f>$D81*攻击分赃比!P81*开放指数!O81</f>
        <v>498</v>
      </c>
      <c r="S81" s="20">
        <f>$D81*攻击分赃比!Q81*开放指数!P81</f>
        <v>581</v>
      </c>
      <c r="T81" s="20">
        <f>$D81*攻击分赃比!R81*开放指数!Q81</f>
        <v>124.5</v>
      </c>
      <c r="U81" s="20">
        <f>$D81*攻击分赃比!S81*开放指数!R81</f>
        <v>49.8</v>
      </c>
      <c r="V81" s="20">
        <f>$D81*攻击分赃比!T81*开放指数!S81</f>
        <v>49.8</v>
      </c>
      <c r="W81" s="20">
        <f>$D81*攻击分赃比!U81*开放指数!T81</f>
        <v>8.3000000000000007</v>
      </c>
      <c r="X81" s="21">
        <f>攻击分赃比!V81*开放指数!U81</f>
        <v>0</v>
      </c>
      <c r="Y81" s="21">
        <f>攻击分赃比!W81*开放指数!V81</f>
        <v>0</v>
      </c>
      <c r="Z81" s="21">
        <f>攻击分赃比!X81*开放指数!W81</f>
        <v>0</v>
      </c>
      <c r="AA81" s="21">
        <f>攻击分赃比!Y81*开放指数!X81</f>
        <v>0</v>
      </c>
      <c r="AB81" s="21">
        <f>攻击分赃比!Z81*开放指数!Y81</f>
        <v>0</v>
      </c>
      <c r="AC81" s="20">
        <f>$D81*攻击分赃比!AB81*开放指数!Z81</f>
        <v>166</v>
      </c>
      <c r="AD81" s="20">
        <f>$D81*攻击分赃比!AC81*开放指数!AA81</f>
        <v>199.2</v>
      </c>
      <c r="AE81" s="20">
        <f>$D81*攻击分赃比!AD81*开放指数!AB81</f>
        <v>249</v>
      </c>
      <c r="AF81" s="20">
        <f>$D81*攻击分赃比!AE81*开放指数!AC81</f>
        <v>332</v>
      </c>
      <c r="AG81" s="20">
        <f>$D81*攻击分赃比!AF81*开放指数!AD81</f>
        <v>415</v>
      </c>
      <c r="AH81" s="20">
        <f>$D81*攻击分赃比!AG81*开放指数!AE81</f>
        <v>83</v>
      </c>
      <c r="AI81" s="20">
        <f>$D81*攻击分赃比!AH81*开放指数!AF81</f>
        <v>33.200000000000003</v>
      </c>
      <c r="AJ81" s="20">
        <f>$D81*攻击分赃比!AI81*开放指数!AG81</f>
        <v>33.200000000000003</v>
      </c>
      <c r="AK81" s="20">
        <f>$D81*攻击分赃比!AJ81*开放指数!AH81</f>
        <v>4.9799999999999995</v>
      </c>
      <c r="AL81" s="20">
        <f>$D81*攻击分赃比!AL81*开放指数!AI81</f>
        <v>199.2</v>
      </c>
      <c r="AM81" s="21">
        <f>攻击分赃比!AM81*开放指数!AJ81</f>
        <v>0</v>
      </c>
      <c r="AN81" s="21">
        <f>攻击分赃比!AN81*开放指数!AK81</f>
        <v>0</v>
      </c>
      <c r="AO81" s="21">
        <f>攻击分赃比!AO81*开放指数!AL81</f>
        <v>0</v>
      </c>
      <c r="AP81" s="21">
        <f>攻击分赃比!AP81*开放指数!AM81</f>
        <v>0</v>
      </c>
      <c r="AQ81" s="21">
        <f>攻击分赃比!AQ81*开放指数!AN81</f>
        <v>0</v>
      </c>
      <c r="AR81" s="20">
        <f>$D81*攻击分赃比!AS81*开放指数!AO81</f>
        <v>33.200000000000003</v>
      </c>
      <c r="AS81" s="20">
        <f t="shared" si="29"/>
        <v>813.4</v>
      </c>
      <c r="AT81" s="20">
        <f t="shared" si="30"/>
        <v>2640.3799999999992</v>
      </c>
      <c r="AW81" s="20">
        <f t="shared" si="31"/>
        <v>1025.2</v>
      </c>
      <c r="AX81" s="20">
        <f t="shared" si="32"/>
        <v>813.39999999999986</v>
      </c>
      <c r="AY81" s="20">
        <f t="shared" si="36"/>
        <v>569.38000000000011</v>
      </c>
      <c r="AZ81" s="20">
        <f t="shared" si="37"/>
        <v>199.2</v>
      </c>
      <c r="BA81" s="20">
        <f t="shared" si="38"/>
        <v>33.200000000000003</v>
      </c>
      <c r="BB81" s="73">
        <f t="shared" si="33"/>
        <v>15.905903614457827</v>
      </c>
    </row>
    <row r="82" spans="1:54" s="20" customFormat="1">
      <c r="A82" s="46">
        <v>80</v>
      </c>
      <c r="B82" s="51">
        <f t="shared" si="40"/>
        <v>2</v>
      </c>
      <c r="C82" s="9">
        <f t="shared" si="39"/>
        <v>168</v>
      </c>
      <c r="D82" s="20">
        <f t="shared" si="34"/>
        <v>168</v>
      </c>
      <c r="E82" s="20">
        <f>$D82*攻击分赃比!B82*开放指数!B82</f>
        <v>201.6</v>
      </c>
      <c r="F82" s="20">
        <f>$D82*攻击分赃比!C82*开放指数!C82</f>
        <v>252</v>
      </c>
      <c r="G82" s="20">
        <f>$D82*攻击分赃比!D82*开放指数!D82</f>
        <v>336</v>
      </c>
      <c r="H82" s="20">
        <f>$D82*攻击分赃比!E82*开放指数!E82</f>
        <v>420</v>
      </c>
      <c r="I82" s="20">
        <f>$D82*攻击分赃比!F82*开放指数!F82</f>
        <v>84</v>
      </c>
      <c r="J82" s="20">
        <f>$D82*攻击分赃比!G82*开放指数!G82</f>
        <v>50.4</v>
      </c>
      <c r="K82" s="20">
        <f>$D82*攻击分赃比!H82*开放指数!H82</f>
        <v>100.8</v>
      </c>
      <c r="L82" s="20">
        <f>$D82*攻击分赃比!I82*开放指数!I82</f>
        <v>50.4</v>
      </c>
      <c r="M82" s="20">
        <f>$D82*攻击分赃比!J82*开放指数!J82</f>
        <v>134.4</v>
      </c>
      <c r="N82" s="20">
        <f>$D82*攻击分赃比!K82*开放指数!K82</f>
        <v>201.6</v>
      </c>
      <c r="O82" s="20">
        <f>$D82*攻击分赃比!M82*开放指数!L82</f>
        <v>252</v>
      </c>
      <c r="P82" s="20">
        <f>$D82*攻击分赃比!N82*开放指数!M82</f>
        <v>336</v>
      </c>
      <c r="Q82" s="20">
        <f>$D82*攻击分赃比!O82*开放指数!N82</f>
        <v>420</v>
      </c>
      <c r="R82" s="20">
        <f>$D82*攻击分赃比!P82*开放指数!O82</f>
        <v>504</v>
      </c>
      <c r="S82" s="20">
        <f>$D82*攻击分赃比!Q82*开放指数!P82</f>
        <v>588</v>
      </c>
      <c r="T82" s="20">
        <f>$D82*攻击分赃比!R82*开放指数!Q82</f>
        <v>126</v>
      </c>
      <c r="U82" s="20">
        <f>$D82*攻击分赃比!S82*开放指数!R82</f>
        <v>50.4</v>
      </c>
      <c r="V82" s="20">
        <f>$D82*攻击分赃比!T82*开放指数!S82</f>
        <v>50.4</v>
      </c>
      <c r="W82" s="20">
        <f>$D82*攻击分赃比!U82*开放指数!T82</f>
        <v>8.4</v>
      </c>
      <c r="X82" s="21">
        <f>攻击分赃比!V82*开放指数!U82</f>
        <v>0.2</v>
      </c>
      <c r="Y82" s="21">
        <f>攻击分赃比!W82*开放指数!V82</f>
        <v>0.3</v>
      </c>
      <c r="Z82" s="21">
        <f>攻击分赃比!X82*开放指数!W82</f>
        <v>0.5</v>
      </c>
      <c r="AA82" s="21">
        <f>攻击分赃比!Y82*开放指数!X82</f>
        <v>0.8</v>
      </c>
      <c r="AB82" s="21">
        <f>攻击分赃比!Z82*开放指数!Y82</f>
        <v>1.2</v>
      </c>
      <c r="AC82" s="20">
        <f>$D82*攻击分赃比!AB82*开放指数!Z82</f>
        <v>168</v>
      </c>
      <c r="AD82" s="20">
        <f>$D82*攻击分赃比!AC82*开放指数!AA82</f>
        <v>201.6</v>
      </c>
      <c r="AE82" s="20">
        <f>$D82*攻击分赃比!AD82*开放指数!AB82</f>
        <v>252</v>
      </c>
      <c r="AF82" s="20">
        <f>$D82*攻击分赃比!AE82*开放指数!AC82</f>
        <v>336</v>
      </c>
      <c r="AG82" s="20">
        <f>$D82*攻击分赃比!AF82*开放指数!AD82</f>
        <v>420</v>
      </c>
      <c r="AH82" s="20">
        <f>$D82*攻击分赃比!AG82*开放指数!AE82</f>
        <v>84</v>
      </c>
      <c r="AI82" s="20">
        <f>$D82*攻击分赃比!AH82*开放指数!AF82</f>
        <v>33.6</v>
      </c>
      <c r="AJ82" s="20">
        <f>$D82*攻击分赃比!AI82*开放指数!AG82</f>
        <v>33.6</v>
      </c>
      <c r="AK82" s="20">
        <f>$D82*攻击分赃比!AJ82*开放指数!AH82</f>
        <v>5.04</v>
      </c>
      <c r="AL82" s="20">
        <f>$D82*攻击分赃比!AL82*开放指数!AI82</f>
        <v>201.6</v>
      </c>
      <c r="AM82" s="21">
        <f>攻击分赃比!AM82*开放指数!AJ82</f>
        <v>0.2</v>
      </c>
      <c r="AN82" s="21">
        <f>攻击分赃比!AN82*开放指数!AK82</f>
        <v>0.3</v>
      </c>
      <c r="AO82" s="21">
        <f>攻击分赃比!AO82*开放指数!AL82</f>
        <v>0.5</v>
      </c>
      <c r="AP82" s="21">
        <f>攻击分赃比!AP82*开放指数!AM82</f>
        <v>0.8</v>
      </c>
      <c r="AQ82" s="21">
        <f>攻击分赃比!AQ82*开放指数!AN82</f>
        <v>1.2</v>
      </c>
      <c r="AR82" s="20">
        <f>$D82*攻击分赃比!AS82*开放指数!AO82</f>
        <v>33.6</v>
      </c>
      <c r="AS82" s="20">
        <f t="shared" si="29"/>
        <v>823.2</v>
      </c>
      <c r="AT82" s="20">
        <f t="shared" si="30"/>
        <v>3623.7599999999998</v>
      </c>
      <c r="AW82" s="20">
        <f t="shared" si="31"/>
        <v>1041.5999999999999</v>
      </c>
      <c r="AX82" s="20">
        <f t="shared" si="32"/>
        <v>1528.8000000000004</v>
      </c>
      <c r="AY82" s="20">
        <f t="shared" si="36"/>
        <v>576.24</v>
      </c>
      <c r="AZ82" s="20">
        <f t="shared" si="37"/>
        <v>443.52000000000004</v>
      </c>
      <c r="BA82" s="20">
        <f t="shared" si="38"/>
        <v>33.6</v>
      </c>
      <c r="BB82" s="73">
        <f t="shared" si="33"/>
        <v>21.57</v>
      </c>
    </row>
    <row r="83" spans="1:54" s="20" customFormat="1">
      <c r="A83" s="46">
        <v>81</v>
      </c>
      <c r="B83" s="51">
        <f t="shared" si="40"/>
        <v>2</v>
      </c>
      <c r="C83" s="9">
        <f t="shared" si="39"/>
        <v>170</v>
      </c>
      <c r="D83" s="20">
        <f t="shared" si="34"/>
        <v>170</v>
      </c>
      <c r="E83" s="20">
        <f>$D83*攻击分赃比!B83*开放指数!B83</f>
        <v>204</v>
      </c>
      <c r="F83" s="20">
        <f>$D83*攻击分赃比!C83*开放指数!C83</f>
        <v>255</v>
      </c>
      <c r="G83" s="20">
        <f>$D83*攻击分赃比!D83*开放指数!D83</f>
        <v>340</v>
      </c>
      <c r="H83" s="20">
        <f>$D83*攻击分赃比!E83*开放指数!E83</f>
        <v>425</v>
      </c>
      <c r="I83" s="20">
        <f t="shared" ref="I83" si="43">I82</f>
        <v>84</v>
      </c>
      <c r="J83" s="20">
        <f>$D83*攻击分赃比!G83*开放指数!G83</f>
        <v>51</v>
      </c>
      <c r="K83" s="20">
        <f>$D83*攻击分赃比!H83*开放指数!H83</f>
        <v>102</v>
      </c>
      <c r="L83" s="20">
        <f>$D83*攻击分赃比!I83*开放指数!I83</f>
        <v>51</v>
      </c>
      <c r="M83" s="20">
        <f>$D83*攻击分赃比!J83*开放指数!J83</f>
        <v>136</v>
      </c>
      <c r="N83" s="20">
        <f>$D83*攻击分赃比!K83*开放指数!K83</f>
        <v>204</v>
      </c>
      <c r="O83" s="20">
        <f>$D83*攻击分赃比!M83*开放指数!L83</f>
        <v>255</v>
      </c>
      <c r="P83" s="20">
        <f>$D83*攻击分赃比!N83*开放指数!M83</f>
        <v>340</v>
      </c>
      <c r="Q83" s="20">
        <f>$D83*攻击分赃比!O83*开放指数!N83</f>
        <v>425</v>
      </c>
      <c r="R83" s="20">
        <f>$D83*攻击分赃比!P83*开放指数!O83</f>
        <v>510</v>
      </c>
      <c r="S83" s="20">
        <f>$D83*攻击分赃比!Q83*开放指数!P83</f>
        <v>595</v>
      </c>
      <c r="T83" s="20">
        <f>$D83*攻击分赃比!R83*开放指数!Q83</f>
        <v>127.5</v>
      </c>
      <c r="U83" s="20">
        <f>$D83*攻击分赃比!S83*开放指数!R83</f>
        <v>51</v>
      </c>
      <c r="V83" s="20">
        <f>$D83*攻击分赃比!T83*开放指数!S83</f>
        <v>51</v>
      </c>
      <c r="W83" s="20">
        <f>$D83*攻击分赃比!U83*开放指数!T83</f>
        <v>8.5</v>
      </c>
      <c r="X83" s="21">
        <f>攻击分赃比!V83*开放指数!U83</f>
        <v>0.2</v>
      </c>
      <c r="Y83" s="21">
        <f>攻击分赃比!W83*开放指数!V83</f>
        <v>0.3</v>
      </c>
      <c r="Z83" s="21">
        <f>攻击分赃比!X83*开放指数!W83</f>
        <v>0.5</v>
      </c>
      <c r="AA83" s="21">
        <f>攻击分赃比!Y83*开放指数!X83</f>
        <v>0.8</v>
      </c>
      <c r="AB83" s="21">
        <f>攻击分赃比!Z83*开放指数!Y83</f>
        <v>1.2</v>
      </c>
      <c r="AC83" s="20">
        <f>$D83*攻击分赃比!AB83*开放指数!Z83</f>
        <v>170</v>
      </c>
      <c r="AD83" s="20">
        <f>$D83*攻击分赃比!AC83*开放指数!AA83</f>
        <v>204</v>
      </c>
      <c r="AE83" s="20">
        <f>$D83*攻击分赃比!AD83*开放指数!AB83</f>
        <v>255</v>
      </c>
      <c r="AF83" s="20">
        <f>$D83*攻击分赃比!AE83*开放指数!AC83</f>
        <v>340</v>
      </c>
      <c r="AG83" s="20">
        <f>$D83*攻击分赃比!AF83*开放指数!AD83</f>
        <v>425</v>
      </c>
      <c r="AH83" s="20">
        <f>$D83*攻击分赃比!AG83*开放指数!AE83</f>
        <v>85</v>
      </c>
      <c r="AI83" s="20">
        <f>$D83*攻击分赃比!AH83*开放指数!AF83</f>
        <v>34</v>
      </c>
      <c r="AJ83" s="20">
        <f>$D83*攻击分赃比!AI83*开放指数!AG83</f>
        <v>34</v>
      </c>
      <c r="AK83" s="20">
        <f>$D83*攻击分赃比!AJ83*开放指数!AH83</f>
        <v>5.0999999999999996</v>
      </c>
      <c r="AL83" s="20">
        <f>$D83*攻击分赃比!AL83*开放指数!AI83</f>
        <v>204</v>
      </c>
      <c r="AM83" s="21">
        <f>攻击分赃比!AM83*开放指数!AJ83</f>
        <v>0.2</v>
      </c>
      <c r="AN83" s="21">
        <f>攻击分赃比!AN83*开放指数!AK83</f>
        <v>0.3</v>
      </c>
      <c r="AO83" s="21">
        <f>攻击分赃比!AO83*开放指数!AL83</f>
        <v>0.5</v>
      </c>
      <c r="AP83" s="21">
        <f>攻击分赃比!AP83*开放指数!AM83</f>
        <v>0.8</v>
      </c>
      <c r="AQ83" s="21">
        <f>攻击分赃比!AQ83*开放指数!AN83</f>
        <v>1.2</v>
      </c>
      <c r="AR83" s="20">
        <f>$D83*攻击分赃比!AS83*开放指数!AO83</f>
        <v>34</v>
      </c>
      <c r="AS83" s="20">
        <f t="shared" si="29"/>
        <v>833</v>
      </c>
      <c r="AT83" s="20">
        <f t="shared" si="30"/>
        <v>3665.9</v>
      </c>
      <c r="AW83" s="20">
        <f t="shared" si="31"/>
        <v>1053</v>
      </c>
      <c r="AX83" s="20">
        <f t="shared" si="32"/>
        <v>1547</v>
      </c>
      <c r="AY83" s="20">
        <f t="shared" si="36"/>
        <v>583.1</v>
      </c>
      <c r="AZ83" s="20">
        <f t="shared" si="37"/>
        <v>448.8</v>
      </c>
      <c r="BA83" s="20">
        <f t="shared" si="38"/>
        <v>34</v>
      </c>
      <c r="BB83" s="73">
        <f t="shared" si="33"/>
        <v>21.564117647058826</v>
      </c>
    </row>
    <row r="84" spans="1:54" s="20" customFormat="1">
      <c r="A84" s="46">
        <v>82</v>
      </c>
      <c r="B84" s="51">
        <f t="shared" si="40"/>
        <v>2</v>
      </c>
      <c r="C84" s="9">
        <f t="shared" si="39"/>
        <v>172</v>
      </c>
      <c r="D84" s="20">
        <f t="shared" si="34"/>
        <v>172</v>
      </c>
      <c r="E84" s="20">
        <f>$D84*攻击分赃比!B84*开放指数!B84</f>
        <v>206.4</v>
      </c>
      <c r="F84" s="20">
        <f>$D84*攻击分赃比!C84*开放指数!C84</f>
        <v>258</v>
      </c>
      <c r="G84" s="20">
        <f>$D84*攻击分赃比!D84*开放指数!D84</f>
        <v>344</v>
      </c>
      <c r="H84" s="20">
        <f>$D84*攻击分赃比!E84*开放指数!E84</f>
        <v>430</v>
      </c>
      <c r="I84" s="20">
        <f t="shared" si="42"/>
        <v>84</v>
      </c>
      <c r="J84" s="20">
        <f>$D84*攻击分赃比!G84*开放指数!G84</f>
        <v>51.6</v>
      </c>
      <c r="K84" s="20">
        <f>$D84*攻击分赃比!H84*开放指数!H84</f>
        <v>103.2</v>
      </c>
      <c r="L84" s="20">
        <f>$D84*攻击分赃比!I84*开放指数!I84</f>
        <v>51.6</v>
      </c>
      <c r="M84" s="20">
        <f>$D84*攻击分赃比!J84*开放指数!J84</f>
        <v>137.6</v>
      </c>
      <c r="N84" s="20">
        <f>$D84*攻击分赃比!K84*开放指数!K84</f>
        <v>206.4</v>
      </c>
      <c r="O84" s="20">
        <f>$D84*攻击分赃比!M84*开放指数!L84</f>
        <v>258</v>
      </c>
      <c r="P84" s="20">
        <f>$D84*攻击分赃比!N84*开放指数!M84</f>
        <v>344</v>
      </c>
      <c r="Q84" s="20">
        <f>$D84*攻击分赃比!O84*开放指数!N84</f>
        <v>430</v>
      </c>
      <c r="R84" s="20">
        <f>$D84*攻击分赃比!P84*开放指数!O84</f>
        <v>516</v>
      </c>
      <c r="S84" s="20">
        <f>$D84*攻击分赃比!Q84*开放指数!P84</f>
        <v>602</v>
      </c>
      <c r="T84" s="20">
        <f>$D84*攻击分赃比!R84*开放指数!Q84</f>
        <v>129</v>
      </c>
      <c r="U84" s="20">
        <f>$D84*攻击分赃比!S84*开放指数!R84</f>
        <v>51.6</v>
      </c>
      <c r="V84" s="20">
        <f>$D84*攻击分赃比!T84*开放指数!S84</f>
        <v>51.6</v>
      </c>
      <c r="W84" s="20">
        <f>$D84*攻击分赃比!U84*开放指数!T84</f>
        <v>8.6</v>
      </c>
      <c r="X84" s="21">
        <f>攻击分赃比!V84*开放指数!U84</f>
        <v>0.2</v>
      </c>
      <c r="Y84" s="21">
        <f>攻击分赃比!W84*开放指数!V84</f>
        <v>0.3</v>
      </c>
      <c r="Z84" s="21">
        <f>攻击分赃比!X84*开放指数!W84</f>
        <v>0.5</v>
      </c>
      <c r="AA84" s="21">
        <f>攻击分赃比!Y84*开放指数!X84</f>
        <v>0.8</v>
      </c>
      <c r="AB84" s="21">
        <f>攻击分赃比!Z84*开放指数!Y84</f>
        <v>1.2</v>
      </c>
      <c r="AC84" s="20">
        <f>$D84*攻击分赃比!AB84*开放指数!Z84</f>
        <v>172</v>
      </c>
      <c r="AD84" s="20">
        <f>$D84*攻击分赃比!AC84*开放指数!AA84</f>
        <v>206.4</v>
      </c>
      <c r="AE84" s="20">
        <f>$D84*攻击分赃比!AD84*开放指数!AB84</f>
        <v>258</v>
      </c>
      <c r="AF84" s="20">
        <f>$D84*攻击分赃比!AE84*开放指数!AC84</f>
        <v>344</v>
      </c>
      <c r="AG84" s="20">
        <f>$D84*攻击分赃比!AF84*开放指数!AD84</f>
        <v>430</v>
      </c>
      <c r="AH84" s="20">
        <f>$D84*攻击分赃比!AG84*开放指数!AE84</f>
        <v>86</v>
      </c>
      <c r="AI84" s="20">
        <f>$D84*攻击分赃比!AH84*开放指数!AF84</f>
        <v>34.4</v>
      </c>
      <c r="AJ84" s="20">
        <f>$D84*攻击分赃比!AI84*开放指数!AG84</f>
        <v>34.4</v>
      </c>
      <c r="AK84" s="20">
        <f>$D84*攻击分赃比!AJ84*开放指数!AH84</f>
        <v>5.16</v>
      </c>
      <c r="AL84" s="20">
        <f>$D84*攻击分赃比!AL84*开放指数!AI84</f>
        <v>206.4</v>
      </c>
      <c r="AM84" s="21">
        <f>攻击分赃比!AM84*开放指数!AJ84</f>
        <v>0.2</v>
      </c>
      <c r="AN84" s="21">
        <f>攻击分赃比!AN84*开放指数!AK84</f>
        <v>0.3</v>
      </c>
      <c r="AO84" s="21">
        <f>攻击分赃比!AO84*开放指数!AL84</f>
        <v>0.5</v>
      </c>
      <c r="AP84" s="21">
        <f>攻击分赃比!AP84*开放指数!AM84</f>
        <v>0.8</v>
      </c>
      <c r="AQ84" s="21">
        <f>攻击分赃比!AQ84*开放指数!AN84</f>
        <v>1.2</v>
      </c>
      <c r="AR84" s="20">
        <f>$D84*攻击分赃比!AS84*开放指数!AO84</f>
        <v>34.4</v>
      </c>
      <c r="AS84" s="20">
        <f t="shared" si="29"/>
        <v>842.8</v>
      </c>
      <c r="AT84" s="20">
        <f t="shared" si="30"/>
        <v>3708.04</v>
      </c>
      <c r="AW84" s="20">
        <f t="shared" si="31"/>
        <v>1064.4000000000001</v>
      </c>
      <c r="AX84" s="20">
        <f t="shared" si="32"/>
        <v>1565.1999999999998</v>
      </c>
      <c r="AY84" s="20">
        <f t="shared" si="36"/>
        <v>589.95999999999992</v>
      </c>
      <c r="AZ84" s="20">
        <f t="shared" si="37"/>
        <v>454.08000000000004</v>
      </c>
      <c r="BA84" s="20">
        <f t="shared" si="38"/>
        <v>34.4</v>
      </c>
      <c r="BB84" s="73">
        <f t="shared" si="33"/>
        <v>21.558372093023255</v>
      </c>
    </row>
    <row r="85" spans="1:54" s="20" customFormat="1">
      <c r="A85" s="46">
        <v>83</v>
      </c>
      <c r="B85" s="51">
        <f t="shared" si="40"/>
        <v>2</v>
      </c>
      <c r="C85" s="9">
        <f t="shared" si="39"/>
        <v>174</v>
      </c>
      <c r="D85" s="20">
        <f t="shared" si="34"/>
        <v>174</v>
      </c>
      <c r="E85" s="20">
        <f>$D85*攻击分赃比!B85*开放指数!B85</f>
        <v>208.79999999999998</v>
      </c>
      <c r="F85" s="20">
        <f>$D85*攻击分赃比!C85*开放指数!C85</f>
        <v>261</v>
      </c>
      <c r="G85" s="20">
        <f>$D85*攻击分赃比!D85*开放指数!D85</f>
        <v>348</v>
      </c>
      <c r="H85" s="20">
        <f>$D85*攻击分赃比!E85*开放指数!E85</f>
        <v>435</v>
      </c>
      <c r="I85" s="20">
        <f t="shared" si="42"/>
        <v>84</v>
      </c>
      <c r="J85" s="20">
        <f>$D85*攻击分赃比!G85*开放指数!G85</f>
        <v>52.199999999999996</v>
      </c>
      <c r="K85" s="20">
        <f>$D85*攻击分赃比!H85*开放指数!H85</f>
        <v>104.39999999999999</v>
      </c>
      <c r="L85" s="20">
        <f>$D85*攻击分赃比!I85*开放指数!I85</f>
        <v>52.199999999999996</v>
      </c>
      <c r="M85" s="20">
        <f>$D85*攻击分赃比!J85*开放指数!J85</f>
        <v>139.20000000000002</v>
      </c>
      <c r="N85" s="20">
        <f>$D85*攻击分赃比!K85*开放指数!K85</f>
        <v>208.79999999999998</v>
      </c>
      <c r="O85" s="20">
        <f>$D85*攻击分赃比!M85*开放指数!L85</f>
        <v>261</v>
      </c>
      <c r="P85" s="20">
        <f>$D85*攻击分赃比!N85*开放指数!M85</f>
        <v>348</v>
      </c>
      <c r="Q85" s="20">
        <f>$D85*攻击分赃比!O85*开放指数!N85</f>
        <v>435</v>
      </c>
      <c r="R85" s="20">
        <f>$D85*攻击分赃比!P85*开放指数!O85</f>
        <v>522</v>
      </c>
      <c r="S85" s="20">
        <f>$D85*攻击分赃比!Q85*开放指数!P85</f>
        <v>609</v>
      </c>
      <c r="T85" s="20">
        <f>$D85*攻击分赃比!R85*开放指数!Q85</f>
        <v>130.5</v>
      </c>
      <c r="U85" s="20">
        <f>$D85*攻击分赃比!S85*开放指数!R85</f>
        <v>52.199999999999996</v>
      </c>
      <c r="V85" s="20">
        <f>$D85*攻击分赃比!T85*开放指数!S85</f>
        <v>52.199999999999996</v>
      </c>
      <c r="W85" s="20">
        <f>$D85*攻击分赃比!U85*开放指数!T85</f>
        <v>8.7000000000000011</v>
      </c>
      <c r="X85" s="21">
        <f>攻击分赃比!V85*开放指数!U85</f>
        <v>0.2</v>
      </c>
      <c r="Y85" s="21">
        <f>攻击分赃比!W85*开放指数!V85</f>
        <v>0.3</v>
      </c>
      <c r="Z85" s="21">
        <f>攻击分赃比!X85*开放指数!W85</f>
        <v>0.5</v>
      </c>
      <c r="AA85" s="21">
        <f>攻击分赃比!Y85*开放指数!X85</f>
        <v>0.8</v>
      </c>
      <c r="AB85" s="21">
        <f>攻击分赃比!Z85*开放指数!Y85</f>
        <v>1.2</v>
      </c>
      <c r="AC85" s="20">
        <f>$D85*攻击分赃比!AB85*开放指数!Z85</f>
        <v>174</v>
      </c>
      <c r="AD85" s="20">
        <f>$D85*攻击分赃比!AC85*开放指数!AA85</f>
        <v>208.79999999999998</v>
      </c>
      <c r="AE85" s="20">
        <f>$D85*攻击分赃比!AD85*开放指数!AB85</f>
        <v>261</v>
      </c>
      <c r="AF85" s="20">
        <f>$D85*攻击分赃比!AE85*开放指数!AC85</f>
        <v>348</v>
      </c>
      <c r="AG85" s="20">
        <f>$D85*攻击分赃比!AF85*开放指数!AD85</f>
        <v>435</v>
      </c>
      <c r="AH85" s="20">
        <f>$D85*攻击分赃比!AG85*开放指数!AE85</f>
        <v>87</v>
      </c>
      <c r="AI85" s="20">
        <f>$D85*攻击分赃比!AH85*开放指数!AF85</f>
        <v>34.800000000000004</v>
      </c>
      <c r="AJ85" s="20">
        <f>$D85*攻击分赃比!AI85*开放指数!AG85</f>
        <v>34.800000000000004</v>
      </c>
      <c r="AK85" s="20">
        <f>$D85*攻击分赃比!AJ85*开放指数!AH85</f>
        <v>5.22</v>
      </c>
      <c r="AL85" s="20">
        <f>$D85*攻击分赃比!AL85*开放指数!AI85</f>
        <v>208.79999999999998</v>
      </c>
      <c r="AM85" s="21">
        <f>攻击分赃比!AM85*开放指数!AJ85</f>
        <v>0.2</v>
      </c>
      <c r="AN85" s="21">
        <f>攻击分赃比!AN85*开放指数!AK85</f>
        <v>0.3</v>
      </c>
      <c r="AO85" s="21">
        <f>攻击分赃比!AO85*开放指数!AL85</f>
        <v>0.5</v>
      </c>
      <c r="AP85" s="21">
        <f>攻击分赃比!AP85*开放指数!AM85</f>
        <v>0.8</v>
      </c>
      <c r="AQ85" s="21">
        <f>攻击分赃比!AQ85*开放指数!AN85</f>
        <v>1.2</v>
      </c>
      <c r="AR85" s="20">
        <f>$D85*攻击分赃比!AS85*开放指数!AO85</f>
        <v>34.800000000000004</v>
      </c>
      <c r="AS85" s="20">
        <f t="shared" si="29"/>
        <v>852.6</v>
      </c>
      <c r="AT85" s="20">
        <f t="shared" si="30"/>
        <v>3750.1800000000003</v>
      </c>
      <c r="AW85" s="20">
        <f t="shared" si="31"/>
        <v>1075.8000000000002</v>
      </c>
      <c r="AX85" s="20">
        <f t="shared" si="32"/>
        <v>1583.4000000000003</v>
      </c>
      <c r="AY85" s="20">
        <f t="shared" si="36"/>
        <v>596.81999999999994</v>
      </c>
      <c r="AZ85" s="20">
        <f t="shared" si="37"/>
        <v>459.36</v>
      </c>
      <c r="BA85" s="20">
        <f t="shared" si="38"/>
        <v>34.800000000000004</v>
      </c>
      <c r="BB85" s="73">
        <f t="shared" si="33"/>
        <v>21.552758620689655</v>
      </c>
    </row>
    <row r="86" spans="1:54" s="20" customFormat="1">
      <c r="A86" s="46">
        <v>84</v>
      </c>
      <c r="B86" s="51">
        <f t="shared" si="40"/>
        <v>2</v>
      </c>
      <c r="C86" s="9">
        <f t="shared" si="39"/>
        <v>176</v>
      </c>
      <c r="D86" s="20">
        <f t="shared" si="34"/>
        <v>176</v>
      </c>
      <c r="E86" s="20">
        <f>$D86*攻击分赃比!B86*开放指数!B86</f>
        <v>211.2</v>
      </c>
      <c r="F86" s="20">
        <f>$D86*攻击分赃比!C86*开放指数!C86</f>
        <v>264</v>
      </c>
      <c r="G86" s="20">
        <f>$D86*攻击分赃比!D86*开放指数!D86</f>
        <v>352</v>
      </c>
      <c r="H86" s="20">
        <f>$D86*攻击分赃比!E86*开放指数!E86</f>
        <v>440</v>
      </c>
      <c r="I86" s="20">
        <f t="shared" si="42"/>
        <v>84</v>
      </c>
      <c r="J86" s="20">
        <f>$D86*攻击分赃比!G86*开放指数!G86</f>
        <v>52.8</v>
      </c>
      <c r="K86" s="20">
        <f>$D86*攻击分赃比!H86*开放指数!H86</f>
        <v>105.6</v>
      </c>
      <c r="L86" s="20">
        <f>$D86*攻击分赃比!I86*开放指数!I86</f>
        <v>52.8</v>
      </c>
      <c r="M86" s="20">
        <f>$D86*攻击分赃比!J86*开放指数!J86</f>
        <v>140.80000000000001</v>
      </c>
      <c r="N86" s="20">
        <f>$D86*攻击分赃比!K86*开放指数!K86</f>
        <v>211.2</v>
      </c>
      <c r="O86" s="20">
        <f>$D86*攻击分赃比!M86*开放指数!L86</f>
        <v>264</v>
      </c>
      <c r="P86" s="20">
        <f>$D86*攻击分赃比!N86*开放指数!M86</f>
        <v>352</v>
      </c>
      <c r="Q86" s="20">
        <f>$D86*攻击分赃比!O86*开放指数!N86</f>
        <v>440</v>
      </c>
      <c r="R86" s="20">
        <f>$D86*攻击分赃比!P86*开放指数!O86</f>
        <v>528</v>
      </c>
      <c r="S86" s="20">
        <f>$D86*攻击分赃比!Q86*开放指数!P86</f>
        <v>616</v>
      </c>
      <c r="T86" s="20">
        <f>$D86*攻击分赃比!R86*开放指数!Q86</f>
        <v>132</v>
      </c>
      <c r="U86" s="20">
        <f>$D86*攻击分赃比!S86*开放指数!R86</f>
        <v>52.8</v>
      </c>
      <c r="V86" s="20">
        <f>$D86*攻击分赃比!T86*开放指数!S86</f>
        <v>52.8</v>
      </c>
      <c r="W86" s="20">
        <f>$D86*攻击分赃比!U86*开放指数!T86</f>
        <v>8.8000000000000007</v>
      </c>
      <c r="X86" s="21">
        <f>攻击分赃比!V86*开放指数!U86</f>
        <v>0.2</v>
      </c>
      <c r="Y86" s="21">
        <f>攻击分赃比!W86*开放指数!V86</f>
        <v>0.3</v>
      </c>
      <c r="Z86" s="21">
        <f>攻击分赃比!X86*开放指数!W86</f>
        <v>0.5</v>
      </c>
      <c r="AA86" s="21">
        <f>攻击分赃比!Y86*开放指数!X86</f>
        <v>0.8</v>
      </c>
      <c r="AB86" s="21">
        <f>攻击分赃比!Z86*开放指数!Y86</f>
        <v>1.2</v>
      </c>
      <c r="AC86" s="20">
        <f>$D86*攻击分赃比!AB86*开放指数!Z86</f>
        <v>176</v>
      </c>
      <c r="AD86" s="20">
        <f>$D86*攻击分赃比!AC86*开放指数!AA86</f>
        <v>211.2</v>
      </c>
      <c r="AE86" s="20">
        <f>$D86*攻击分赃比!AD86*开放指数!AB86</f>
        <v>264</v>
      </c>
      <c r="AF86" s="20">
        <f>$D86*攻击分赃比!AE86*开放指数!AC86</f>
        <v>352</v>
      </c>
      <c r="AG86" s="20">
        <f>$D86*攻击分赃比!AF86*开放指数!AD86</f>
        <v>440</v>
      </c>
      <c r="AH86" s="20">
        <f>$D86*攻击分赃比!AG86*开放指数!AE86</f>
        <v>88</v>
      </c>
      <c r="AI86" s="20">
        <f>$D86*攻击分赃比!AH86*开放指数!AF86</f>
        <v>35.200000000000003</v>
      </c>
      <c r="AJ86" s="20">
        <f>$D86*攻击分赃比!AI86*开放指数!AG86</f>
        <v>35.200000000000003</v>
      </c>
      <c r="AK86" s="20">
        <f>$D86*攻击分赃比!AJ86*开放指数!AH86</f>
        <v>5.2799999999999994</v>
      </c>
      <c r="AL86" s="20">
        <f>$D86*攻击分赃比!AL86*开放指数!AI86</f>
        <v>211.2</v>
      </c>
      <c r="AM86" s="21">
        <f>攻击分赃比!AM86*开放指数!AJ86</f>
        <v>0.2</v>
      </c>
      <c r="AN86" s="21">
        <f>攻击分赃比!AN86*开放指数!AK86</f>
        <v>0.3</v>
      </c>
      <c r="AO86" s="21">
        <f>攻击分赃比!AO86*开放指数!AL86</f>
        <v>0.5</v>
      </c>
      <c r="AP86" s="21">
        <f>攻击分赃比!AP86*开放指数!AM86</f>
        <v>0.8</v>
      </c>
      <c r="AQ86" s="21">
        <f>攻击分赃比!AQ86*开放指数!AN86</f>
        <v>1.2</v>
      </c>
      <c r="AR86" s="20">
        <f>$D86*攻击分赃比!AS86*开放指数!AO86</f>
        <v>35.200000000000003</v>
      </c>
      <c r="AS86" s="20">
        <f t="shared" si="29"/>
        <v>862.4</v>
      </c>
      <c r="AT86" s="20">
        <f t="shared" si="30"/>
        <v>3792.32</v>
      </c>
      <c r="AW86" s="20">
        <f t="shared" si="31"/>
        <v>1087.2</v>
      </c>
      <c r="AX86" s="20">
        <f t="shared" si="32"/>
        <v>1601.6</v>
      </c>
      <c r="AY86" s="20">
        <f t="shared" si="36"/>
        <v>603.68000000000006</v>
      </c>
      <c r="AZ86" s="20">
        <f t="shared" si="37"/>
        <v>464.64</v>
      </c>
      <c r="BA86" s="20">
        <f t="shared" si="38"/>
        <v>35.200000000000003</v>
      </c>
      <c r="BB86" s="73">
        <f t="shared" si="33"/>
        <v>21.547272727272727</v>
      </c>
    </row>
    <row r="87" spans="1:54" s="20" customFormat="1">
      <c r="A87" s="46">
        <v>85</v>
      </c>
      <c r="B87" s="51">
        <f t="shared" si="40"/>
        <v>2</v>
      </c>
      <c r="C87" s="9">
        <f t="shared" si="39"/>
        <v>178</v>
      </c>
      <c r="D87" s="20">
        <f t="shared" si="34"/>
        <v>178</v>
      </c>
      <c r="E87" s="20">
        <f>$D87*攻击分赃比!B87*开放指数!B87</f>
        <v>213.6</v>
      </c>
      <c r="F87" s="20">
        <f>$D87*攻击分赃比!C87*开放指数!C87</f>
        <v>267</v>
      </c>
      <c r="G87" s="20">
        <f>$D87*攻击分赃比!D87*开放指数!D87</f>
        <v>356</v>
      </c>
      <c r="H87" s="20">
        <f>$D87*攻击分赃比!E87*开放指数!E87</f>
        <v>445</v>
      </c>
      <c r="I87" s="20">
        <f>$D87*攻击分赃比!F87*开放指数!F87</f>
        <v>89</v>
      </c>
      <c r="J87" s="20">
        <f>$D87*攻击分赃比!G87*开放指数!G87</f>
        <v>53.4</v>
      </c>
      <c r="K87" s="20">
        <f>$D87*攻击分赃比!H87*开放指数!H87</f>
        <v>106.8</v>
      </c>
      <c r="L87" s="20">
        <f>$D87*攻击分赃比!I87*开放指数!I87</f>
        <v>53.4</v>
      </c>
      <c r="M87" s="20">
        <f>$D87*攻击分赃比!J87*开放指数!J87</f>
        <v>142.4</v>
      </c>
      <c r="N87" s="20">
        <f>$D87*攻击分赃比!K87*开放指数!K87</f>
        <v>213.6</v>
      </c>
      <c r="O87" s="20">
        <f>$D87*攻击分赃比!M87*开放指数!L87</f>
        <v>267</v>
      </c>
      <c r="P87" s="20">
        <f>$D87*攻击分赃比!N87*开放指数!M87</f>
        <v>356</v>
      </c>
      <c r="Q87" s="20">
        <f>$D87*攻击分赃比!O87*开放指数!N87</f>
        <v>445</v>
      </c>
      <c r="R87" s="20">
        <f>$D87*攻击分赃比!P87*开放指数!O87</f>
        <v>534</v>
      </c>
      <c r="S87" s="20">
        <f>$D87*攻击分赃比!Q87*开放指数!P87</f>
        <v>623</v>
      </c>
      <c r="T87" s="20">
        <f>$D87*攻击分赃比!R87*开放指数!Q87</f>
        <v>133.5</v>
      </c>
      <c r="U87" s="20">
        <f>$D87*攻击分赃比!S87*开放指数!R87</f>
        <v>53.4</v>
      </c>
      <c r="V87" s="20">
        <f>$D87*攻击分赃比!T87*开放指数!S87</f>
        <v>53.4</v>
      </c>
      <c r="W87" s="20">
        <f>$D87*攻击分赃比!U87*开放指数!T87</f>
        <v>8.9</v>
      </c>
      <c r="X87" s="21">
        <f>攻击分赃比!V87*开放指数!U87</f>
        <v>0.2</v>
      </c>
      <c r="Y87" s="21">
        <f>攻击分赃比!W87*开放指数!V87</f>
        <v>0.3</v>
      </c>
      <c r="Z87" s="21">
        <f>攻击分赃比!X87*开放指数!W87</f>
        <v>0.5</v>
      </c>
      <c r="AA87" s="21">
        <f>攻击分赃比!Y87*开放指数!X87</f>
        <v>0.8</v>
      </c>
      <c r="AB87" s="21">
        <f>攻击分赃比!Z87*开放指数!Y87</f>
        <v>1.2</v>
      </c>
      <c r="AC87" s="20">
        <f>$D87*攻击分赃比!AB87*开放指数!Z87</f>
        <v>178</v>
      </c>
      <c r="AD87" s="20">
        <f>$D87*攻击分赃比!AC87*开放指数!AA87</f>
        <v>213.6</v>
      </c>
      <c r="AE87" s="20">
        <f>$D87*攻击分赃比!AD87*开放指数!AB87</f>
        <v>267</v>
      </c>
      <c r="AF87" s="20">
        <f>$D87*攻击分赃比!AE87*开放指数!AC87</f>
        <v>356</v>
      </c>
      <c r="AG87" s="20">
        <f>$D87*攻击分赃比!AF87*开放指数!AD87</f>
        <v>445</v>
      </c>
      <c r="AH87" s="20">
        <f>$D87*攻击分赃比!AG87*开放指数!AE87</f>
        <v>89</v>
      </c>
      <c r="AI87" s="20">
        <f>$D87*攻击分赃比!AH87*开放指数!AF87</f>
        <v>35.6</v>
      </c>
      <c r="AJ87" s="20">
        <f>$D87*攻击分赃比!AI87*开放指数!AG87</f>
        <v>35.6</v>
      </c>
      <c r="AK87" s="20">
        <f>$D87*攻击分赃比!AJ87*开放指数!AH87</f>
        <v>5.34</v>
      </c>
      <c r="AL87" s="20">
        <f>$D87*攻击分赃比!AL87*开放指数!AI87</f>
        <v>213.6</v>
      </c>
      <c r="AM87" s="21">
        <f>攻击分赃比!AM87*开放指数!AJ87</f>
        <v>0.2</v>
      </c>
      <c r="AN87" s="21">
        <f>攻击分赃比!AN87*开放指数!AK87</f>
        <v>0.3</v>
      </c>
      <c r="AO87" s="21">
        <f>攻击分赃比!AO87*开放指数!AL87</f>
        <v>0.5</v>
      </c>
      <c r="AP87" s="21">
        <f>攻击分赃比!AP87*开放指数!AM87</f>
        <v>0.8</v>
      </c>
      <c r="AQ87" s="21">
        <f>攻击分赃比!AQ87*开放指数!AN87</f>
        <v>1.2</v>
      </c>
      <c r="AR87" s="20">
        <f>$D87*攻击分赃比!AS87*开放指数!AO87</f>
        <v>35.6</v>
      </c>
      <c r="AS87" s="20">
        <f t="shared" si="29"/>
        <v>872.2</v>
      </c>
      <c r="AT87" s="20">
        <f t="shared" si="30"/>
        <v>3839.46</v>
      </c>
      <c r="AW87" s="20">
        <f t="shared" si="31"/>
        <v>1103.5999999999999</v>
      </c>
      <c r="AX87" s="20">
        <f t="shared" si="32"/>
        <v>1619.8000000000004</v>
      </c>
      <c r="AY87" s="20">
        <f t="shared" si="36"/>
        <v>610.54000000000008</v>
      </c>
      <c r="AZ87" s="20">
        <f t="shared" si="37"/>
        <v>469.92</v>
      </c>
      <c r="BA87" s="20">
        <f t="shared" si="38"/>
        <v>35.6</v>
      </c>
      <c r="BB87" s="73">
        <f t="shared" si="33"/>
        <v>21.57</v>
      </c>
    </row>
    <row r="88" spans="1:54" s="20" customFormat="1">
      <c r="A88" s="46">
        <v>86</v>
      </c>
      <c r="B88" s="51">
        <f t="shared" si="40"/>
        <v>2</v>
      </c>
      <c r="C88" s="9">
        <f t="shared" si="39"/>
        <v>180</v>
      </c>
      <c r="D88" s="20">
        <f t="shared" si="34"/>
        <v>180</v>
      </c>
      <c r="E88" s="20">
        <f>$D88*攻击分赃比!B88*开放指数!B88</f>
        <v>216</v>
      </c>
      <c r="F88" s="20">
        <f>$D88*攻击分赃比!C88*开放指数!C88</f>
        <v>270</v>
      </c>
      <c r="G88" s="20">
        <f>$D88*攻击分赃比!D88*开放指数!D88</f>
        <v>360</v>
      </c>
      <c r="H88" s="20">
        <f>$D88*攻击分赃比!E88*开放指数!E88</f>
        <v>450</v>
      </c>
      <c r="I88" s="20">
        <f t="shared" ref="I88" si="44">I87</f>
        <v>89</v>
      </c>
      <c r="J88" s="20">
        <f>$D88*攻击分赃比!G88*开放指数!G88</f>
        <v>54</v>
      </c>
      <c r="K88" s="20">
        <f>$D88*攻击分赃比!H88*开放指数!H88</f>
        <v>108</v>
      </c>
      <c r="L88" s="20">
        <f>$D88*攻击分赃比!I88*开放指数!I88</f>
        <v>54</v>
      </c>
      <c r="M88" s="20">
        <f>$D88*攻击分赃比!J88*开放指数!J88</f>
        <v>144</v>
      </c>
      <c r="N88" s="20">
        <f>$D88*攻击分赃比!K88*开放指数!K88</f>
        <v>216</v>
      </c>
      <c r="O88" s="20">
        <f>$D88*攻击分赃比!M88*开放指数!L88</f>
        <v>270</v>
      </c>
      <c r="P88" s="20">
        <f>$D88*攻击分赃比!N88*开放指数!M88</f>
        <v>360</v>
      </c>
      <c r="Q88" s="20">
        <f>$D88*攻击分赃比!O88*开放指数!N88</f>
        <v>450</v>
      </c>
      <c r="R88" s="20">
        <f>$D88*攻击分赃比!P88*开放指数!O88</f>
        <v>540</v>
      </c>
      <c r="S88" s="20">
        <f>$D88*攻击分赃比!Q88*开放指数!P88</f>
        <v>630</v>
      </c>
      <c r="T88" s="20">
        <f>$D88*攻击分赃比!R88*开放指数!Q88</f>
        <v>135</v>
      </c>
      <c r="U88" s="20">
        <f>$D88*攻击分赃比!S88*开放指数!R88</f>
        <v>54</v>
      </c>
      <c r="V88" s="20">
        <f>$D88*攻击分赃比!T88*开放指数!S88</f>
        <v>54</v>
      </c>
      <c r="W88" s="20">
        <f>$D88*攻击分赃比!U88*开放指数!T88</f>
        <v>9</v>
      </c>
      <c r="X88" s="21">
        <f>攻击分赃比!V88*开放指数!U88</f>
        <v>0.2</v>
      </c>
      <c r="Y88" s="21">
        <f>攻击分赃比!W88*开放指数!V88</f>
        <v>0.3</v>
      </c>
      <c r="Z88" s="21">
        <f>攻击分赃比!X88*开放指数!W88</f>
        <v>0.5</v>
      </c>
      <c r="AA88" s="21">
        <f>攻击分赃比!Y88*开放指数!X88</f>
        <v>0.8</v>
      </c>
      <c r="AB88" s="21">
        <f>攻击分赃比!Z88*开放指数!Y88</f>
        <v>1.2</v>
      </c>
      <c r="AC88" s="20">
        <f>$D88*攻击分赃比!AB88*开放指数!Z88</f>
        <v>180</v>
      </c>
      <c r="AD88" s="20">
        <f>$D88*攻击分赃比!AC88*开放指数!AA88</f>
        <v>216</v>
      </c>
      <c r="AE88" s="20">
        <f>$D88*攻击分赃比!AD88*开放指数!AB88</f>
        <v>270</v>
      </c>
      <c r="AF88" s="20">
        <f>$D88*攻击分赃比!AE88*开放指数!AC88</f>
        <v>360</v>
      </c>
      <c r="AG88" s="20">
        <f>$D88*攻击分赃比!AF88*开放指数!AD88</f>
        <v>450</v>
      </c>
      <c r="AH88" s="20">
        <f>$D88*攻击分赃比!AG88*开放指数!AE88</f>
        <v>90</v>
      </c>
      <c r="AI88" s="20">
        <f>$D88*攻击分赃比!AH88*开放指数!AF88</f>
        <v>36</v>
      </c>
      <c r="AJ88" s="20">
        <f>$D88*攻击分赃比!AI88*开放指数!AG88</f>
        <v>36</v>
      </c>
      <c r="AK88" s="20">
        <f>$D88*攻击分赃比!AJ88*开放指数!AH88</f>
        <v>5.3999999999999995</v>
      </c>
      <c r="AL88" s="20">
        <f>$D88*攻击分赃比!AL88*开放指数!AI88</f>
        <v>216</v>
      </c>
      <c r="AM88" s="21">
        <f>攻击分赃比!AM88*开放指数!AJ88</f>
        <v>0.2</v>
      </c>
      <c r="AN88" s="21">
        <f>攻击分赃比!AN88*开放指数!AK88</f>
        <v>0.3</v>
      </c>
      <c r="AO88" s="21">
        <f>攻击分赃比!AO88*开放指数!AL88</f>
        <v>0.5</v>
      </c>
      <c r="AP88" s="21">
        <f>攻击分赃比!AP88*开放指数!AM88</f>
        <v>0.8</v>
      </c>
      <c r="AQ88" s="21">
        <f>攻击分赃比!AQ88*开放指数!AN88</f>
        <v>1.2</v>
      </c>
      <c r="AR88" s="20">
        <f>$D88*攻击分赃比!AS88*开放指数!AO88</f>
        <v>36</v>
      </c>
      <c r="AS88" s="20">
        <f t="shared" si="29"/>
        <v>882</v>
      </c>
      <c r="AT88" s="20">
        <f t="shared" si="30"/>
        <v>3881.6000000000004</v>
      </c>
      <c r="AW88" s="20">
        <f t="shared" si="31"/>
        <v>1115</v>
      </c>
      <c r="AX88" s="20">
        <f t="shared" si="32"/>
        <v>1638</v>
      </c>
      <c r="AY88" s="20">
        <f t="shared" si="36"/>
        <v>617.4</v>
      </c>
      <c r="AZ88" s="20">
        <f t="shared" si="37"/>
        <v>475.20000000000005</v>
      </c>
      <c r="BA88" s="20">
        <f t="shared" si="38"/>
        <v>36</v>
      </c>
      <c r="BB88" s="73">
        <f t="shared" si="33"/>
        <v>21.564444444444447</v>
      </c>
    </row>
    <row r="89" spans="1:54" s="20" customFormat="1">
      <c r="A89" s="46">
        <v>87</v>
      </c>
      <c r="B89" s="51">
        <f t="shared" si="40"/>
        <v>2</v>
      </c>
      <c r="C89" s="9">
        <f t="shared" si="39"/>
        <v>182</v>
      </c>
      <c r="D89" s="20">
        <f t="shared" si="34"/>
        <v>182</v>
      </c>
      <c r="E89" s="20">
        <f>$D89*攻击分赃比!B89*开放指数!B89</f>
        <v>218.4</v>
      </c>
      <c r="F89" s="20">
        <f>$D89*攻击分赃比!C89*开放指数!C89</f>
        <v>273</v>
      </c>
      <c r="G89" s="20">
        <f>$D89*攻击分赃比!D89*开放指数!D89</f>
        <v>364</v>
      </c>
      <c r="H89" s="20">
        <f>$D89*攻击分赃比!E89*开放指数!E89</f>
        <v>455</v>
      </c>
      <c r="I89" s="20">
        <f t="shared" si="42"/>
        <v>89</v>
      </c>
      <c r="J89" s="20">
        <f>$D89*攻击分赃比!G89*开放指数!G89</f>
        <v>54.6</v>
      </c>
      <c r="K89" s="20">
        <f>$D89*攻击分赃比!H89*开放指数!H89</f>
        <v>109.2</v>
      </c>
      <c r="L89" s="20">
        <f>$D89*攻击分赃比!I89*开放指数!I89</f>
        <v>54.6</v>
      </c>
      <c r="M89" s="20">
        <f>$D89*攻击分赃比!J89*开放指数!J89</f>
        <v>145.6</v>
      </c>
      <c r="N89" s="20">
        <f>$D89*攻击分赃比!K89*开放指数!K89</f>
        <v>218.4</v>
      </c>
      <c r="O89" s="20">
        <f>$D89*攻击分赃比!M89*开放指数!L89</f>
        <v>273</v>
      </c>
      <c r="P89" s="20">
        <f>$D89*攻击分赃比!N89*开放指数!M89</f>
        <v>364</v>
      </c>
      <c r="Q89" s="20">
        <f>$D89*攻击分赃比!O89*开放指数!N89</f>
        <v>455</v>
      </c>
      <c r="R89" s="20">
        <f>$D89*攻击分赃比!P89*开放指数!O89</f>
        <v>546</v>
      </c>
      <c r="S89" s="20">
        <f>$D89*攻击分赃比!Q89*开放指数!P89</f>
        <v>637</v>
      </c>
      <c r="T89" s="20">
        <f>$D89*攻击分赃比!R89*开放指数!Q89</f>
        <v>136.5</v>
      </c>
      <c r="U89" s="20">
        <f>$D89*攻击分赃比!S89*开放指数!R89</f>
        <v>54.6</v>
      </c>
      <c r="V89" s="20">
        <f>$D89*攻击分赃比!T89*开放指数!S89</f>
        <v>54.6</v>
      </c>
      <c r="W89" s="20">
        <f>$D89*攻击分赃比!U89*开放指数!T89</f>
        <v>9.1</v>
      </c>
      <c r="X89" s="21">
        <f>攻击分赃比!V89*开放指数!U89</f>
        <v>0.2</v>
      </c>
      <c r="Y89" s="21">
        <f>攻击分赃比!W89*开放指数!V89</f>
        <v>0.3</v>
      </c>
      <c r="Z89" s="21">
        <f>攻击分赃比!X89*开放指数!W89</f>
        <v>0.5</v>
      </c>
      <c r="AA89" s="21">
        <f>攻击分赃比!Y89*开放指数!X89</f>
        <v>0.8</v>
      </c>
      <c r="AB89" s="21">
        <f>攻击分赃比!Z89*开放指数!Y89</f>
        <v>1.2</v>
      </c>
      <c r="AC89" s="20">
        <f>$D89*攻击分赃比!AB89*开放指数!Z89</f>
        <v>182</v>
      </c>
      <c r="AD89" s="20">
        <f>$D89*攻击分赃比!AC89*开放指数!AA89</f>
        <v>218.4</v>
      </c>
      <c r="AE89" s="20">
        <f>$D89*攻击分赃比!AD89*开放指数!AB89</f>
        <v>273</v>
      </c>
      <c r="AF89" s="20">
        <f>$D89*攻击分赃比!AE89*开放指数!AC89</f>
        <v>364</v>
      </c>
      <c r="AG89" s="20">
        <f>$D89*攻击分赃比!AF89*开放指数!AD89</f>
        <v>455</v>
      </c>
      <c r="AH89" s="20">
        <f>$D89*攻击分赃比!AG89*开放指数!AE89</f>
        <v>91</v>
      </c>
      <c r="AI89" s="20">
        <f>$D89*攻击分赃比!AH89*开放指数!AF89</f>
        <v>36.4</v>
      </c>
      <c r="AJ89" s="20">
        <f>$D89*攻击分赃比!AI89*开放指数!AG89</f>
        <v>36.4</v>
      </c>
      <c r="AK89" s="20">
        <f>$D89*攻击分赃比!AJ89*开放指数!AH89</f>
        <v>5.46</v>
      </c>
      <c r="AL89" s="20">
        <f>$D89*攻击分赃比!AL89*开放指数!AI89</f>
        <v>218.4</v>
      </c>
      <c r="AM89" s="21">
        <f>攻击分赃比!AM89*开放指数!AJ89</f>
        <v>0.2</v>
      </c>
      <c r="AN89" s="21">
        <f>攻击分赃比!AN89*开放指数!AK89</f>
        <v>0.3</v>
      </c>
      <c r="AO89" s="21">
        <f>攻击分赃比!AO89*开放指数!AL89</f>
        <v>0.5</v>
      </c>
      <c r="AP89" s="21">
        <f>攻击分赃比!AP89*开放指数!AM89</f>
        <v>0.8</v>
      </c>
      <c r="AQ89" s="21">
        <f>攻击分赃比!AQ89*开放指数!AN89</f>
        <v>1.2</v>
      </c>
      <c r="AR89" s="20">
        <f>$D89*攻击分赃比!AS89*开放指数!AO89</f>
        <v>36.4</v>
      </c>
      <c r="AS89" s="20">
        <f t="shared" si="29"/>
        <v>891.8</v>
      </c>
      <c r="AT89" s="20">
        <f t="shared" si="30"/>
        <v>3923.7400000000002</v>
      </c>
      <c r="AW89" s="20">
        <f t="shared" si="31"/>
        <v>1126.4000000000001</v>
      </c>
      <c r="AX89" s="20">
        <f t="shared" si="32"/>
        <v>1656.1999999999998</v>
      </c>
      <c r="AY89" s="20">
        <f t="shared" si="36"/>
        <v>624.26</v>
      </c>
      <c r="AZ89" s="20">
        <f t="shared" si="37"/>
        <v>480.48000000000008</v>
      </c>
      <c r="BA89" s="20">
        <f t="shared" si="38"/>
        <v>36.4</v>
      </c>
      <c r="BB89" s="73">
        <f t="shared" si="33"/>
        <v>21.559010989010989</v>
      </c>
    </row>
    <row r="90" spans="1:54" s="20" customFormat="1">
      <c r="A90" s="46">
        <v>88</v>
      </c>
      <c r="B90" s="51">
        <f t="shared" si="40"/>
        <v>2</v>
      </c>
      <c r="C90" s="9">
        <f t="shared" si="39"/>
        <v>184</v>
      </c>
      <c r="D90" s="20">
        <f t="shared" si="34"/>
        <v>184</v>
      </c>
      <c r="E90" s="20">
        <f>$D90*攻击分赃比!B90*开放指数!B90</f>
        <v>220.79999999999998</v>
      </c>
      <c r="F90" s="20">
        <f>$D90*攻击分赃比!C90*开放指数!C90</f>
        <v>276</v>
      </c>
      <c r="G90" s="20">
        <f>$D90*攻击分赃比!D90*开放指数!D90</f>
        <v>368</v>
      </c>
      <c r="H90" s="20">
        <f>$D90*攻击分赃比!E90*开放指数!E90</f>
        <v>460</v>
      </c>
      <c r="I90" s="20">
        <f t="shared" si="42"/>
        <v>89</v>
      </c>
      <c r="J90" s="20">
        <f>$D90*攻击分赃比!G90*开放指数!G90</f>
        <v>55.199999999999996</v>
      </c>
      <c r="K90" s="20">
        <f>$D90*攻击分赃比!H90*开放指数!H90</f>
        <v>110.39999999999999</v>
      </c>
      <c r="L90" s="20">
        <f>$D90*攻击分赃比!I90*开放指数!I90</f>
        <v>55.199999999999996</v>
      </c>
      <c r="M90" s="20">
        <f>$D90*攻击分赃比!J90*开放指数!J90</f>
        <v>147.20000000000002</v>
      </c>
      <c r="N90" s="20">
        <f>$D90*攻击分赃比!K90*开放指数!K90</f>
        <v>220.79999999999998</v>
      </c>
      <c r="O90" s="20">
        <f>$D90*攻击分赃比!M90*开放指数!L90</f>
        <v>276</v>
      </c>
      <c r="P90" s="20">
        <f>$D90*攻击分赃比!N90*开放指数!M90</f>
        <v>368</v>
      </c>
      <c r="Q90" s="20">
        <f>$D90*攻击分赃比!O90*开放指数!N90</f>
        <v>460</v>
      </c>
      <c r="R90" s="20">
        <f>$D90*攻击分赃比!P90*开放指数!O90</f>
        <v>552</v>
      </c>
      <c r="S90" s="20">
        <f>$D90*攻击分赃比!Q90*开放指数!P90</f>
        <v>644</v>
      </c>
      <c r="T90" s="20">
        <f>$D90*攻击分赃比!R90*开放指数!Q90</f>
        <v>138</v>
      </c>
      <c r="U90" s="20">
        <f>$D90*攻击分赃比!S90*开放指数!R90</f>
        <v>55.199999999999996</v>
      </c>
      <c r="V90" s="20">
        <f>$D90*攻击分赃比!T90*开放指数!S90</f>
        <v>55.199999999999996</v>
      </c>
      <c r="W90" s="20">
        <f>$D90*攻击分赃比!U90*开放指数!T90</f>
        <v>9.2000000000000011</v>
      </c>
      <c r="X90" s="21">
        <f>攻击分赃比!V90*开放指数!U90</f>
        <v>0.2</v>
      </c>
      <c r="Y90" s="21">
        <f>攻击分赃比!W90*开放指数!V90</f>
        <v>0.3</v>
      </c>
      <c r="Z90" s="21">
        <f>攻击分赃比!X90*开放指数!W90</f>
        <v>0.5</v>
      </c>
      <c r="AA90" s="21">
        <f>攻击分赃比!Y90*开放指数!X90</f>
        <v>0.8</v>
      </c>
      <c r="AB90" s="21">
        <f>攻击分赃比!Z90*开放指数!Y90</f>
        <v>1.2</v>
      </c>
      <c r="AC90" s="20">
        <f>$D90*攻击分赃比!AB90*开放指数!Z90</f>
        <v>184</v>
      </c>
      <c r="AD90" s="20">
        <f>$D90*攻击分赃比!AC90*开放指数!AA90</f>
        <v>220.79999999999998</v>
      </c>
      <c r="AE90" s="20">
        <f>$D90*攻击分赃比!AD90*开放指数!AB90</f>
        <v>276</v>
      </c>
      <c r="AF90" s="20">
        <f>$D90*攻击分赃比!AE90*开放指数!AC90</f>
        <v>368</v>
      </c>
      <c r="AG90" s="20">
        <f>$D90*攻击分赃比!AF90*开放指数!AD90</f>
        <v>460</v>
      </c>
      <c r="AH90" s="20">
        <f>$D90*攻击分赃比!AG90*开放指数!AE90</f>
        <v>92</v>
      </c>
      <c r="AI90" s="20">
        <f>$D90*攻击分赃比!AH90*开放指数!AF90</f>
        <v>36.800000000000004</v>
      </c>
      <c r="AJ90" s="20">
        <f>$D90*攻击分赃比!AI90*开放指数!AG90</f>
        <v>36.800000000000004</v>
      </c>
      <c r="AK90" s="20">
        <f>$D90*攻击分赃比!AJ90*开放指数!AH90</f>
        <v>5.52</v>
      </c>
      <c r="AL90" s="20">
        <f>$D90*攻击分赃比!AL90*开放指数!AI90</f>
        <v>220.79999999999998</v>
      </c>
      <c r="AM90" s="21">
        <f>攻击分赃比!AM90*开放指数!AJ90</f>
        <v>0.2</v>
      </c>
      <c r="AN90" s="21">
        <f>攻击分赃比!AN90*开放指数!AK90</f>
        <v>0.3</v>
      </c>
      <c r="AO90" s="21">
        <f>攻击分赃比!AO90*开放指数!AL90</f>
        <v>0.5</v>
      </c>
      <c r="AP90" s="21">
        <f>攻击分赃比!AP90*开放指数!AM90</f>
        <v>0.8</v>
      </c>
      <c r="AQ90" s="21">
        <f>攻击分赃比!AQ90*开放指数!AN90</f>
        <v>1.2</v>
      </c>
      <c r="AR90" s="20">
        <f>$D90*攻击分赃比!AS90*开放指数!AO90</f>
        <v>36.800000000000004</v>
      </c>
      <c r="AS90" s="20">
        <f t="shared" si="29"/>
        <v>901.6</v>
      </c>
      <c r="AT90" s="20">
        <f t="shared" si="30"/>
        <v>3965.88</v>
      </c>
      <c r="AW90" s="20">
        <f t="shared" si="31"/>
        <v>1137.8000000000002</v>
      </c>
      <c r="AX90" s="20">
        <f t="shared" si="32"/>
        <v>1674.4000000000003</v>
      </c>
      <c r="AY90" s="20">
        <f t="shared" si="36"/>
        <v>631.11999999999989</v>
      </c>
      <c r="AZ90" s="20">
        <f t="shared" si="37"/>
        <v>485.76</v>
      </c>
      <c r="BA90" s="20">
        <f t="shared" si="38"/>
        <v>36.800000000000004</v>
      </c>
      <c r="BB90" s="73">
        <f t="shared" si="33"/>
        <v>21.553695652173914</v>
      </c>
    </row>
    <row r="91" spans="1:54" s="20" customFormat="1">
      <c r="A91" s="46">
        <v>89</v>
      </c>
      <c r="B91" s="51">
        <f t="shared" si="40"/>
        <v>2</v>
      </c>
      <c r="C91" s="9">
        <f t="shared" si="39"/>
        <v>186</v>
      </c>
      <c r="D91" s="20">
        <f t="shared" si="34"/>
        <v>186</v>
      </c>
      <c r="E91" s="20">
        <f>$D91*攻击分赃比!B91*开放指数!B91</f>
        <v>223.2</v>
      </c>
      <c r="F91" s="20">
        <f>$D91*攻击分赃比!C91*开放指数!C91</f>
        <v>279</v>
      </c>
      <c r="G91" s="20">
        <f>$D91*攻击分赃比!D91*开放指数!D91</f>
        <v>372</v>
      </c>
      <c r="H91" s="20">
        <f>$D91*攻击分赃比!E91*开放指数!E91</f>
        <v>465</v>
      </c>
      <c r="I91" s="20">
        <f t="shared" si="42"/>
        <v>89</v>
      </c>
      <c r="J91" s="20">
        <f>$D91*攻击分赃比!G91*开放指数!G91</f>
        <v>55.8</v>
      </c>
      <c r="K91" s="20">
        <f>$D91*攻击分赃比!H91*开放指数!H91</f>
        <v>111.6</v>
      </c>
      <c r="L91" s="20">
        <f>$D91*攻击分赃比!I91*开放指数!I91</f>
        <v>55.8</v>
      </c>
      <c r="M91" s="20">
        <f>$D91*攻击分赃比!J91*开放指数!J91</f>
        <v>148.80000000000001</v>
      </c>
      <c r="N91" s="20">
        <f>$D91*攻击分赃比!K91*开放指数!K91</f>
        <v>223.2</v>
      </c>
      <c r="O91" s="20">
        <f>$D91*攻击分赃比!M91*开放指数!L91</f>
        <v>279</v>
      </c>
      <c r="P91" s="20">
        <f>$D91*攻击分赃比!N91*开放指数!M91</f>
        <v>372</v>
      </c>
      <c r="Q91" s="20">
        <f>$D91*攻击分赃比!O91*开放指数!N91</f>
        <v>465</v>
      </c>
      <c r="R91" s="20">
        <f>$D91*攻击分赃比!P91*开放指数!O91</f>
        <v>558</v>
      </c>
      <c r="S91" s="20">
        <f>$D91*攻击分赃比!Q91*开放指数!P91</f>
        <v>651</v>
      </c>
      <c r="T91" s="20">
        <f>$D91*攻击分赃比!R91*开放指数!Q91</f>
        <v>139.5</v>
      </c>
      <c r="U91" s="20">
        <f>$D91*攻击分赃比!S91*开放指数!R91</f>
        <v>55.8</v>
      </c>
      <c r="V91" s="20">
        <f>$D91*攻击分赃比!T91*开放指数!S91</f>
        <v>55.8</v>
      </c>
      <c r="W91" s="20">
        <f>$D91*攻击分赃比!U91*开放指数!T91</f>
        <v>9.3000000000000007</v>
      </c>
      <c r="X91" s="21">
        <f>攻击分赃比!V91*开放指数!U91</f>
        <v>0.2</v>
      </c>
      <c r="Y91" s="21">
        <f>攻击分赃比!W91*开放指数!V91</f>
        <v>0.3</v>
      </c>
      <c r="Z91" s="21">
        <f>攻击分赃比!X91*开放指数!W91</f>
        <v>0.5</v>
      </c>
      <c r="AA91" s="21">
        <f>攻击分赃比!Y91*开放指数!X91</f>
        <v>0.8</v>
      </c>
      <c r="AB91" s="21">
        <f>攻击分赃比!Z91*开放指数!Y91</f>
        <v>1.2</v>
      </c>
      <c r="AC91" s="20">
        <f>$D91*攻击分赃比!AB91*开放指数!Z91</f>
        <v>186</v>
      </c>
      <c r="AD91" s="20">
        <f>$D91*攻击分赃比!AC91*开放指数!AA91</f>
        <v>223.2</v>
      </c>
      <c r="AE91" s="20">
        <f>$D91*攻击分赃比!AD91*开放指数!AB91</f>
        <v>279</v>
      </c>
      <c r="AF91" s="20">
        <f>$D91*攻击分赃比!AE91*开放指数!AC91</f>
        <v>372</v>
      </c>
      <c r="AG91" s="20">
        <f>$D91*攻击分赃比!AF91*开放指数!AD91</f>
        <v>465</v>
      </c>
      <c r="AH91" s="20">
        <f>$D91*攻击分赃比!AG91*开放指数!AE91</f>
        <v>93</v>
      </c>
      <c r="AI91" s="20">
        <f>$D91*攻击分赃比!AH91*开放指数!AF91</f>
        <v>37.200000000000003</v>
      </c>
      <c r="AJ91" s="20">
        <f>$D91*攻击分赃比!AI91*开放指数!AG91</f>
        <v>37.200000000000003</v>
      </c>
      <c r="AK91" s="20">
        <f>$D91*攻击分赃比!AJ91*开放指数!AH91</f>
        <v>5.58</v>
      </c>
      <c r="AL91" s="20">
        <f>$D91*攻击分赃比!AL91*开放指数!AI91</f>
        <v>223.2</v>
      </c>
      <c r="AM91" s="21">
        <f>攻击分赃比!AM91*开放指数!AJ91</f>
        <v>0.2</v>
      </c>
      <c r="AN91" s="21">
        <f>攻击分赃比!AN91*开放指数!AK91</f>
        <v>0.3</v>
      </c>
      <c r="AO91" s="21">
        <f>攻击分赃比!AO91*开放指数!AL91</f>
        <v>0.5</v>
      </c>
      <c r="AP91" s="21">
        <f>攻击分赃比!AP91*开放指数!AM91</f>
        <v>0.8</v>
      </c>
      <c r="AQ91" s="21">
        <f>攻击分赃比!AQ91*开放指数!AN91</f>
        <v>1.2</v>
      </c>
      <c r="AR91" s="20">
        <f>$D91*攻击分赃比!AS91*开放指数!AO91</f>
        <v>37.200000000000003</v>
      </c>
      <c r="AS91" s="20">
        <f t="shared" si="29"/>
        <v>911.4</v>
      </c>
      <c r="AT91" s="20">
        <f t="shared" si="30"/>
        <v>4008.02</v>
      </c>
      <c r="AW91" s="20">
        <f t="shared" si="31"/>
        <v>1149.2</v>
      </c>
      <c r="AX91" s="20">
        <f t="shared" si="32"/>
        <v>1692.6</v>
      </c>
      <c r="AY91" s="20">
        <f t="shared" si="36"/>
        <v>637.98000000000013</v>
      </c>
      <c r="AZ91" s="20">
        <f t="shared" si="37"/>
        <v>491.04</v>
      </c>
      <c r="BA91" s="20">
        <f t="shared" si="38"/>
        <v>37.200000000000003</v>
      </c>
      <c r="BB91" s="73">
        <f t="shared" si="33"/>
        <v>21.548494623655913</v>
      </c>
    </row>
    <row r="92" spans="1:54" s="20" customFormat="1">
      <c r="A92" s="46">
        <v>90</v>
      </c>
      <c r="B92" s="51">
        <f t="shared" si="40"/>
        <v>2</v>
      </c>
      <c r="C92" s="9">
        <f t="shared" si="39"/>
        <v>188</v>
      </c>
      <c r="D92" s="20">
        <f t="shared" si="34"/>
        <v>188</v>
      </c>
      <c r="E92" s="20">
        <f>$D92*攻击分赃比!B92*开放指数!B92</f>
        <v>225.6</v>
      </c>
      <c r="F92" s="20">
        <f>$D92*攻击分赃比!C92*开放指数!C92</f>
        <v>282</v>
      </c>
      <c r="G92" s="20">
        <f>$D92*攻击分赃比!D92*开放指数!D92</f>
        <v>376</v>
      </c>
      <c r="H92" s="20">
        <f>$D92*攻击分赃比!E92*开放指数!E92</f>
        <v>470</v>
      </c>
      <c r="I92" s="20">
        <f>$D92*攻击分赃比!F92*开放指数!F92</f>
        <v>94</v>
      </c>
      <c r="J92" s="20">
        <f>$D92*攻击分赃比!G92*开放指数!G92</f>
        <v>56.4</v>
      </c>
      <c r="K92" s="20">
        <f>$D92*攻击分赃比!H92*开放指数!H92</f>
        <v>112.8</v>
      </c>
      <c r="L92" s="20">
        <f>$D92*攻击分赃比!I92*开放指数!I92</f>
        <v>56.4</v>
      </c>
      <c r="M92" s="20">
        <f>$D92*攻击分赃比!J92*开放指数!J92</f>
        <v>150.4</v>
      </c>
      <c r="N92" s="20">
        <f>$D92*攻击分赃比!K92*开放指数!K92</f>
        <v>225.6</v>
      </c>
      <c r="O92" s="20">
        <f>$D92*攻击分赃比!M92*开放指数!L92</f>
        <v>282</v>
      </c>
      <c r="P92" s="20">
        <f>$D92*攻击分赃比!N92*开放指数!M92</f>
        <v>376</v>
      </c>
      <c r="Q92" s="20">
        <f>$D92*攻击分赃比!O92*开放指数!N92</f>
        <v>470</v>
      </c>
      <c r="R92" s="20">
        <f>$D92*攻击分赃比!P92*开放指数!O92</f>
        <v>564</v>
      </c>
      <c r="S92" s="20">
        <f>$D92*攻击分赃比!Q92*开放指数!P92</f>
        <v>658</v>
      </c>
      <c r="T92" s="20">
        <f>$D92*攻击分赃比!R92*开放指数!Q92</f>
        <v>141</v>
      </c>
      <c r="U92" s="20">
        <f>$D92*攻击分赃比!S92*开放指数!R92</f>
        <v>56.4</v>
      </c>
      <c r="V92" s="20">
        <f>$D92*攻击分赃比!T92*开放指数!S92</f>
        <v>56.4</v>
      </c>
      <c r="W92" s="20">
        <f>$D92*攻击分赃比!U92*开放指数!T92</f>
        <v>9.4</v>
      </c>
      <c r="X92" s="21">
        <f>攻击分赃比!V92*开放指数!U92</f>
        <v>0.2</v>
      </c>
      <c r="Y92" s="21">
        <f>攻击分赃比!W92*开放指数!V92</f>
        <v>0.3</v>
      </c>
      <c r="Z92" s="21">
        <f>攻击分赃比!X92*开放指数!W92</f>
        <v>0.5</v>
      </c>
      <c r="AA92" s="21">
        <f>攻击分赃比!Y92*开放指数!X92</f>
        <v>0.8</v>
      </c>
      <c r="AB92" s="21">
        <f>攻击分赃比!Z92*开放指数!Y92</f>
        <v>1.2</v>
      </c>
      <c r="AC92" s="20">
        <f>$D92*攻击分赃比!AB92*开放指数!Z92</f>
        <v>188</v>
      </c>
      <c r="AD92" s="20">
        <f>$D92*攻击分赃比!AC92*开放指数!AA92</f>
        <v>225.6</v>
      </c>
      <c r="AE92" s="20">
        <f>$D92*攻击分赃比!AD92*开放指数!AB92</f>
        <v>282</v>
      </c>
      <c r="AF92" s="20">
        <f>$D92*攻击分赃比!AE92*开放指数!AC92</f>
        <v>376</v>
      </c>
      <c r="AG92" s="20">
        <f>$D92*攻击分赃比!AF92*开放指数!AD92</f>
        <v>470</v>
      </c>
      <c r="AH92" s="20">
        <f>$D92*攻击分赃比!AG92*开放指数!AE92</f>
        <v>94</v>
      </c>
      <c r="AI92" s="20">
        <f>$D92*攻击分赃比!AH92*开放指数!AF92</f>
        <v>37.6</v>
      </c>
      <c r="AJ92" s="20">
        <f>$D92*攻击分赃比!AI92*开放指数!AG92</f>
        <v>37.6</v>
      </c>
      <c r="AK92" s="20">
        <f>$D92*攻击分赃比!AJ92*开放指数!AH92</f>
        <v>5.64</v>
      </c>
      <c r="AL92" s="20">
        <f>$D92*攻击分赃比!AL92*开放指数!AI92</f>
        <v>225.6</v>
      </c>
      <c r="AM92" s="21">
        <f>攻击分赃比!AM92*开放指数!AJ92</f>
        <v>0.2</v>
      </c>
      <c r="AN92" s="21">
        <f>攻击分赃比!AN92*开放指数!AK92</f>
        <v>0.3</v>
      </c>
      <c r="AO92" s="21">
        <f>攻击分赃比!AO92*开放指数!AL92</f>
        <v>0.5</v>
      </c>
      <c r="AP92" s="21">
        <f>攻击分赃比!AP92*开放指数!AM92</f>
        <v>0.8</v>
      </c>
      <c r="AQ92" s="21">
        <f>攻击分赃比!AQ92*开放指数!AN92</f>
        <v>1.2</v>
      </c>
      <c r="AR92" s="20">
        <f>$D92*攻击分赃比!AS92*开放指数!AO92</f>
        <v>37.6</v>
      </c>
      <c r="AS92" s="20">
        <f t="shared" si="29"/>
        <v>921.2</v>
      </c>
      <c r="AT92" s="20">
        <f t="shared" si="30"/>
        <v>4055.16</v>
      </c>
      <c r="AW92" s="20">
        <f t="shared" si="31"/>
        <v>1165.5999999999999</v>
      </c>
      <c r="AX92" s="20">
        <f t="shared" si="32"/>
        <v>1710.8000000000004</v>
      </c>
      <c r="AY92" s="20">
        <f t="shared" si="36"/>
        <v>644.84</v>
      </c>
      <c r="AZ92" s="20">
        <f t="shared" si="37"/>
        <v>496.32000000000005</v>
      </c>
      <c r="BA92" s="20">
        <f t="shared" si="38"/>
        <v>37.6</v>
      </c>
      <c r="BB92" s="73">
        <f t="shared" si="33"/>
        <v>21.57</v>
      </c>
    </row>
    <row r="93" spans="1:54" s="20" customFormat="1">
      <c r="A93" s="46">
        <v>91</v>
      </c>
      <c r="B93" s="51">
        <f t="shared" si="40"/>
        <v>2</v>
      </c>
      <c r="C93" s="9">
        <f t="shared" si="39"/>
        <v>190</v>
      </c>
      <c r="D93" s="20">
        <f t="shared" si="34"/>
        <v>190</v>
      </c>
      <c r="E93" s="20">
        <f>$D93*攻击分赃比!B93*开放指数!B93</f>
        <v>228</v>
      </c>
      <c r="F93" s="20">
        <f>$D93*攻击分赃比!C93*开放指数!C93</f>
        <v>285</v>
      </c>
      <c r="G93" s="20">
        <f>$D93*攻击分赃比!D93*开放指数!D93</f>
        <v>380</v>
      </c>
      <c r="H93" s="20">
        <f>$D93*攻击分赃比!E93*开放指数!E93</f>
        <v>475</v>
      </c>
      <c r="I93" s="20">
        <f t="shared" ref="I93" si="45">I92</f>
        <v>94</v>
      </c>
      <c r="J93" s="20">
        <f>$D93*攻击分赃比!G93*开放指数!G93</f>
        <v>57</v>
      </c>
      <c r="K93" s="20">
        <f>$D93*攻击分赃比!H93*开放指数!H93</f>
        <v>114</v>
      </c>
      <c r="L93" s="20">
        <f>$D93*攻击分赃比!I93*开放指数!I93</f>
        <v>57</v>
      </c>
      <c r="M93" s="20">
        <f>$D93*攻击分赃比!J93*开放指数!J93</f>
        <v>152</v>
      </c>
      <c r="N93" s="20">
        <f>$D93*攻击分赃比!K93*开放指数!K93</f>
        <v>228</v>
      </c>
      <c r="O93" s="20">
        <f>$D93*攻击分赃比!M93*开放指数!L93</f>
        <v>285</v>
      </c>
      <c r="P93" s="20">
        <f>$D93*攻击分赃比!N93*开放指数!M93</f>
        <v>380</v>
      </c>
      <c r="Q93" s="20">
        <f>$D93*攻击分赃比!O93*开放指数!N93</f>
        <v>475</v>
      </c>
      <c r="R93" s="20">
        <f>$D93*攻击分赃比!P93*开放指数!O93</f>
        <v>570</v>
      </c>
      <c r="S93" s="20">
        <f>$D93*攻击分赃比!Q93*开放指数!P93</f>
        <v>665</v>
      </c>
      <c r="T93" s="20">
        <f>$D93*攻击分赃比!R93*开放指数!Q93</f>
        <v>142.5</v>
      </c>
      <c r="U93" s="20">
        <f>$D93*攻击分赃比!S93*开放指数!R93</f>
        <v>57</v>
      </c>
      <c r="V93" s="20">
        <f>$D93*攻击分赃比!T93*开放指数!S93</f>
        <v>57</v>
      </c>
      <c r="W93" s="20">
        <f>$D93*攻击分赃比!U93*开放指数!T93</f>
        <v>9.5</v>
      </c>
      <c r="X93" s="21">
        <f>攻击分赃比!V93*开放指数!U93</f>
        <v>0.2</v>
      </c>
      <c r="Y93" s="21">
        <f>攻击分赃比!W93*开放指数!V93</f>
        <v>0.3</v>
      </c>
      <c r="Z93" s="21">
        <f>攻击分赃比!X93*开放指数!W93</f>
        <v>0.5</v>
      </c>
      <c r="AA93" s="21">
        <f>攻击分赃比!Y93*开放指数!X93</f>
        <v>0.8</v>
      </c>
      <c r="AB93" s="21">
        <f>攻击分赃比!Z93*开放指数!Y93</f>
        <v>1.2</v>
      </c>
      <c r="AC93" s="20">
        <f>$D93*攻击分赃比!AB93*开放指数!Z93</f>
        <v>190</v>
      </c>
      <c r="AD93" s="20">
        <f>$D93*攻击分赃比!AC93*开放指数!AA93</f>
        <v>228</v>
      </c>
      <c r="AE93" s="20">
        <f>$D93*攻击分赃比!AD93*开放指数!AB93</f>
        <v>285</v>
      </c>
      <c r="AF93" s="20">
        <f>$D93*攻击分赃比!AE93*开放指数!AC93</f>
        <v>380</v>
      </c>
      <c r="AG93" s="20">
        <f>$D93*攻击分赃比!AF93*开放指数!AD93</f>
        <v>475</v>
      </c>
      <c r="AH93" s="20">
        <f>$D93*攻击分赃比!AG93*开放指数!AE93</f>
        <v>95</v>
      </c>
      <c r="AI93" s="20">
        <f>$D93*攻击分赃比!AH93*开放指数!AF93</f>
        <v>38</v>
      </c>
      <c r="AJ93" s="20">
        <f>$D93*攻击分赃比!AI93*开放指数!AG93</f>
        <v>38</v>
      </c>
      <c r="AK93" s="20">
        <f>$D93*攻击分赃比!AJ93*开放指数!AH93</f>
        <v>5.7</v>
      </c>
      <c r="AL93" s="20">
        <f>$D93*攻击分赃比!AL93*开放指数!AI93</f>
        <v>228</v>
      </c>
      <c r="AM93" s="21">
        <f>攻击分赃比!AM93*开放指数!AJ93</f>
        <v>0.2</v>
      </c>
      <c r="AN93" s="21">
        <f>攻击分赃比!AN93*开放指数!AK93</f>
        <v>0.3</v>
      </c>
      <c r="AO93" s="21">
        <f>攻击分赃比!AO93*开放指数!AL93</f>
        <v>0.5</v>
      </c>
      <c r="AP93" s="21">
        <f>攻击分赃比!AP93*开放指数!AM93</f>
        <v>0.8</v>
      </c>
      <c r="AQ93" s="21">
        <f>攻击分赃比!AQ93*开放指数!AN93</f>
        <v>1.2</v>
      </c>
      <c r="AR93" s="20">
        <f>$D93*攻击分赃比!AS93*开放指数!AO93</f>
        <v>38</v>
      </c>
      <c r="AS93" s="20">
        <f t="shared" si="29"/>
        <v>931</v>
      </c>
      <c r="AT93" s="20">
        <f t="shared" si="30"/>
        <v>4097.2999999999993</v>
      </c>
      <c r="AW93" s="20">
        <f t="shared" si="31"/>
        <v>1177</v>
      </c>
      <c r="AX93" s="20">
        <f t="shared" si="32"/>
        <v>1729.0000000000002</v>
      </c>
      <c r="AY93" s="20">
        <f t="shared" si="36"/>
        <v>651.70000000000005</v>
      </c>
      <c r="AZ93" s="20">
        <f t="shared" si="37"/>
        <v>501.6</v>
      </c>
      <c r="BA93" s="20">
        <f t="shared" si="38"/>
        <v>38</v>
      </c>
      <c r="BB93" s="73">
        <f t="shared" si="33"/>
        <v>21.564736842105258</v>
      </c>
    </row>
    <row r="94" spans="1:54" s="20" customFormat="1">
      <c r="A94" s="46">
        <v>92</v>
      </c>
      <c r="B94" s="51">
        <f t="shared" si="40"/>
        <v>2</v>
      </c>
      <c r="C94" s="9">
        <f t="shared" si="39"/>
        <v>192</v>
      </c>
      <c r="D94" s="20">
        <f t="shared" si="34"/>
        <v>192</v>
      </c>
      <c r="E94" s="20">
        <f>$D94*攻击分赃比!B94*开放指数!B94</f>
        <v>230.39999999999998</v>
      </c>
      <c r="F94" s="20">
        <f>$D94*攻击分赃比!C94*开放指数!C94</f>
        <v>288</v>
      </c>
      <c r="G94" s="20">
        <f>$D94*攻击分赃比!D94*开放指数!D94</f>
        <v>384</v>
      </c>
      <c r="H94" s="20">
        <f>$D94*攻击分赃比!E94*开放指数!E94</f>
        <v>480</v>
      </c>
      <c r="I94" s="20">
        <f t="shared" si="42"/>
        <v>94</v>
      </c>
      <c r="J94" s="20">
        <f>$D94*攻击分赃比!G94*开放指数!G94</f>
        <v>57.599999999999994</v>
      </c>
      <c r="K94" s="20">
        <f>$D94*攻击分赃比!H94*开放指数!H94</f>
        <v>115.19999999999999</v>
      </c>
      <c r="L94" s="20">
        <f>$D94*攻击分赃比!I94*开放指数!I94</f>
        <v>57.599999999999994</v>
      </c>
      <c r="M94" s="20">
        <f>$D94*攻击分赃比!J94*开放指数!J94</f>
        <v>153.60000000000002</v>
      </c>
      <c r="N94" s="20">
        <f>$D94*攻击分赃比!K94*开放指数!K94</f>
        <v>230.39999999999998</v>
      </c>
      <c r="O94" s="20">
        <f>$D94*攻击分赃比!M94*开放指数!L94</f>
        <v>288</v>
      </c>
      <c r="P94" s="20">
        <f>$D94*攻击分赃比!N94*开放指数!M94</f>
        <v>384</v>
      </c>
      <c r="Q94" s="20">
        <f>$D94*攻击分赃比!O94*开放指数!N94</f>
        <v>480</v>
      </c>
      <c r="R94" s="20">
        <f>$D94*攻击分赃比!P94*开放指数!O94</f>
        <v>576</v>
      </c>
      <c r="S94" s="20">
        <f>$D94*攻击分赃比!Q94*开放指数!P94</f>
        <v>672</v>
      </c>
      <c r="T94" s="20">
        <f>$D94*攻击分赃比!R94*开放指数!Q94</f>
        <v>144</v>
      </c>
      <c r="U94" s="20">
        <f>$D94*攻击分赃比!S94*开放指数!R94</f>
        <v>57.599999999999994</v>
      </c>
      <c r="V94" s="20">
        <f>$D94*攻击分赃比!T94*开放指数!S94</f>
        <v>57.599999999999994</v>
      </c>
      <c r="W94" s="20">
        <f>$D94*攻击分赃比!U94*开放指数!T94</f>
        <v>9.6000000000000014</v>
      </c>
      <c r="X94" s="21">
        <f>攻击分赃比!V94*开放指数!U94</f>
        <v>0.2</v>
      </c>
      <c r="Y94" s="21">
        <f>攻击分赃比!W94*开放指数!V94</f>
        <v>0.3</v>
      </c>
      <c r="Z94" s="21">
        <f>攻击分赃比!X94*开放指数!W94</f>
        <v>0.5</v>
      </c>
      <c r="AA94" s="21">
        <f>攻击分赃比!Y94*开放指数!X94</f>
        <v>0.8</v>
      </c>
      <c r="AB94" s="21">
        <f>攻击分赃比!Z94*开放指数!Y94</f>
        <v>1.2</v>
      </c>
      <c r="AC94" s="20">
        <f>$D94*攻击分赃比!AB94*开放指数!Z94</f>
        <v>192</v>
      </c>
      <c r="AD94" s="20">
        <f>$D94*攻击分赃比!AC94*开放指数!AA94</f>
        <v>230.39999999999998</v>
      </c>
      <c r="AE94" s="20">
        <f>$D94*攻击分赃比!AD94*开放指数!AB94</f>
        <v>288</v>
      </c>
      <c r="AF94" s="20">
        <f>$D94*攻击分赃比!AE94*开放指数!AC94</f>
        <v>384</v>
      </c>
      <c r="AG94" s="20">
        <f>$D94*攻击分赃比!AF94*开放指数!AD94</f>
        <v>480</v>
      </c>
      <c r="AH94" s="20">
        <f>$D94*攻击分赃比!AG94*开放指数!AE94</f>
        <v>96</v>
      </c>
      <c r="AI94" s="20">
        <f>$D94*攻击分赃比!AH94*开放指数!AF94</f>
        <v>38.400000000000006</v>
      </c>
      <c r="AJ94" s="20">
        <f>$D94*攻击分赃比!AI94*开放指数!AG94</f>
        <v>38.400000000000006</v>
      </c>
      <c r="AK94" s="20">
        <f>$D94*攻击分赃比!AJ94*开放指数!AH94</f>
        <v>5.76</v>
      </c>
      <c r="AL94" s="20">
        <f>$D94*攻击分赃比!AL94*开放指数!AI94</f>
        <v>230.39999999999998</v>
      </c>
      <c r="AM94" s="21">
        <f>攻击分赃比!AM94*开放指数!AJ94</f>
        <v>0.2</v>
      </c>
      <c r="AN94" s="21">
        <f>攻击分赃比!AN94*开放指数!AK94</f>
        <v>0.3</v>
      </c>
      <c r="AO94" s="21">
        <f>攻击分赃比!AO94*开放指数!AL94</f>
        <v>0.5</v>
      </c>
      <c r="AP94" s="21">
        <f>攻击分赃比!AP94*开放指数!AM94</f>
        <v>0.8</v>
      </c>
      <c r="AQ94" s="21">
        <f>攻击分赃比!AQ94*开放指数!AN94</f>
        <v>1.2</v>
      </c>
      <c r="AR94" s="20">
        <f>$D94*攻击分赃比!AS94*开放指数!AO94</f>
        <v>38.400000000000006</v>
      </c>
      <c r="AS94" s="20">
        <f t="shared" si="29"/>
        <v>940.8</v>
      </c>
      <c r="AT94" s="20">
        <f t="shared" si="30"/>
        <v>4139.4399999999996</v>
      </c>
      <c r="AW94" s="20">
        <f t="shared" si="31"/>
        <v>1188.4000000000001</v>
      </c>
      <c r="AX94" s="20">
        <f t="shared" si="32"/>
        <v>1747.1999999999998</v>
      </c>
      <c r="AY94" s="20">
        <f t="shared" si="36"/>
        <v>658.56</v>
      </c>
      <c r="AZ94" s="20">
        <f t="shared" si="37"/>
        <v>506.88</v>
      </c>
      <c r="BA94" s="20">
        <f t="shared" si="38"/>
        <v>38.400000000000006</v>
      </c>
      <c r="BB94" s="73">
        <f t="shared" si="33"/>
        <v>21.559583333333332</v>
      </c>
    </row>
    <row r="95" spans="1:54" s="20" customFormat="1">
      <c r="A95" s="46">
        <v>93</v>
      </c>
      <c r="B95" s="51">
        <f t="shared" si="40"/>
        <v>2</v>
      </c>
      <c r="C95" s="9">
        <f t="shared" si="39"/>
        <v>194</v>
      </c>
      <c r="D95" s="20">
        <f t="shared" si="34"/>
        <v>194</v>
      </c>
      <c r="E95" s="20">
        <f>$D95*攻击分赃比!B95*开放指数!B95</f>
        <v>232.79999999999998</v>
      </c>
      <c r="F95" s="20">
        <f>$D95*攻击分赃比!C95*开放指数!C95</f>
        <v>291</v>
      </c>
      <c r="G95" s="20">
        <f>$D95*攻击分赃比!D95*开放指数!D95</f>
        <v>388</v>
      </c>
      <c r="H95" s="20">
        <f>$D95*攻击分赃比!E95*开放指数!E95</f>
        <v>485</v>
      </c>
      <c r="I95" s="20">
        <f t="shared" si="42"/>
        <v>94</v>
      </c>
      <c r="J95" s="20">
        <f>$D95*攻击分赃比!G95*开放指数!G95</f>
        <v>58.199999999999996</v>
      </c>
      <c r="K95" s="20">
        <f>$D95*攻击分赃比!H95*开放指数!H95</f>
        <v>116.39999999999999</v>
      </c>
      <c r="L95" s="20">
        <f>$D95*攻击分赃比!I95*开放指数!I95</f>
        <v>58.199999999999996</v>
      </c>
      <c r="M95" s="20">
        <f>$D95*攻击分赃比!J95*开放指数!J95</f>
        <v>155.20000000000002</v>
      </c>
      <c r="N95" s="20">
        <f>$D95*攻击分赃比!K95*开放指数!K95</f>
        <v>232.79999999999998</v>
      </c>
      <c r="O95" s="20">
        <f>$D95*攻击分赃比!M95*开放指数!L95</f>
        <v>291</v>
      </c>
      <c r="P95" s="20">
        <f>$D95*攻击分赃比!N95*开放指数!M95</f>
        <v>388</v>
      </c>
      <c r="Q95" s="20">
        <f>$D95*攻击分赃比!O95*开放指数!N95</f>
        <v>485</v>
      </c>
      <c r="R95" s="20">
        <f>$D95*攻击分赃比!P95*开放指数!O95</f>
        <v>582</v>
      </c>
      <c r="S95" s="20">
        <f>$D95*攻击分赃比!Q95*开放指数!P95</f>
        <v>679</v>
      </c>
      <c r="T95" s="20">
        <f>$D95*攻击分赃比!R95*开放指数!Q95</f>
        <v>145.5</v>
      </c>
      <c r="U95" s="20">
        <f>$D95*攻击分赃比!S95*开放指数!R95</f>
        <v>58.199999999999996</v>
      </c>
      <c r="V95" s="20">
        <f>$D95*攻击分赃比!T95*开放指数!S95</f>
        <v>58.199999999999996</v>
      </c>
      <c r="W95" s="20">
        <f>$D95*攻击分赃比!U95*开放指数!T95</f>
        <v>9.7000000000000011</v>
      </c>
      <c r="X95" s="21">
        <f>攻击分赃比!V95*开放指数!U95</f>
        <v>0.2</v>
      </c>
      <c r="Y95" s="21">
        <f>攻击分赃比!W95*开放指数!V95</f>
        <v>0.3</v>
      </c>
      <c r="Z95" s="21">
        <f>攻击分赃比!X95*开放指数!W95</f>
        <v>0.5</v>
      </c>
      <c r="AA95" s="21">
        <f>攻击分赃比!Y95*开放指数!X95</f>
        <v>0.8</v>
      </c>
      <c r="AB95" s="21">
        <f>攻击分赃比!Z95*开放指数!Y95</f>
        <v>1.2</v>
      </c>
      <c r="AC95" s="20">
        <f>$D95*攻击分赃比!AB95*开放指数!Z95</f>
        <v>194</v>
      </c>
      <c r="AD95" s="20">
        <f>$D95*攻击分赃比!AC95*开放指数!AA95</f>
        <v>232.79999999999998</v>
      </c>
      <c r="AE95" s="20">
        <f>$D95*攻击分赃比!AD95*开放指数!AB95</f>
        <v>291</v>
      </c>
      <c r="AF95" s="20">
        <f>$D95*攻击分赃比!AE95*开放指数!AC95</f>
        <v>388</v>
      </c>
      <c r="AG95" s="20">
        <f>$D95*攻击分赃比!AF95*开放指数!AD95</f>
        <v>485</v>
      </c>
      <c r="AH95" s="20">
        <f>$D95*攻击分赃比!AG95*开放指数!AE95</f>
        <v>97</v>
      </c>
      <c r="AI95" s="20">
        <f>$D95*攻击分赃比!AH95*开放指数!AF95</f>
        <v>38.800000000000004</v>
      </c>
      <c r="AJ95" s="20">
        <f>$D95*攻击分赃比!AI95*开放指数!AG95</f>
        <v>38.800000000000004</v>
      </c>
      <c r="AK95" s="20">
        <f>$D95*攻击分赃比!AJ95*开放指数!AH95</f>
        <v>5.8199999999999994</v>
      </c>
      <c r="AL95" s="20">
        <f>$D95*攻击分赃比!AL95*开放指数!AI95</f>
        <v>232.79999999999998</v>
      </c>
      <c r="AM95" s="21">
        <f>攻击分赃比!AM95*开放指数!AJ95</f>
        <v>0.2</v>
      </c>
      <c r="AN95" s="21">
        <f>攻击分赃比!AN95*开放指数!AK95</f>
        <v>0.3</v>
      </c>
      <c r="AO95" s="21">
        <f>攻击分赃比!AO95*开放指数!AL95</f>
        <v>0.5</v>
      </c>
      <c r="AP95" s="21">
        <f>攻击分赃比!AP95*开放指数!AM95</f>
        <v>0.8</v>
      </c>
      <c r="AQ95" s="21">
        <f>攻击分赃比!AQ95*开放指数!AN95</f>
        <v>1.2</v>
      </c>
      <c r="AR95" s="20">
        <f>$D95*攻击分赃比!AS95*开放指数!AO95</f>
        <v>38.800000000000004</v>
      </c>
      <c r="AS95" s="20">
        <f t="shared" si="29"/>
        <v>950.59999999999991</v>
      </c>
      <c r="AT95" s="20">
        <f t="shared" si="30"/>
        <v>4181.5800000000008</v>
      </c>
      <c r="AW95" s="20">
        <f t="shared" si="31"/>
        <v>1199.8000000000002</v>
      </c>
      <c r="AX95" s="20">
        <f t="shared" si="32"/>
        <v>1765.4000000000003</v>
      </c>
      <c r="AY95" s="20">
        <f t="shared" si="36"/>
        <v>665.42</v>
      </c>
      <c r="AZ95" s="20">
        <f t="shared" si="37"/>
        <v>512.16</v>
      </c>
      <c r="BA95" s="20">
        <f t="shared" si="38"/>
        <v>38.800000000000004</v>
      </c>
      <c r="BB95" s="73">
        <f t="shared" si="33"/>
        <v>21.554536082474232</v>
      </c>
    </row>
    <row r="96" spans="1:54" s="20" customFormat="1">
      <c r="A96" s="46">
        <v>94</v>
      </c>
      <c r="B96" s="51">
        <f t="shared" si="40"/>
        <v>2</v>
      </c>
      <c r="C96" s="9">
        <f t="shared" si="39"/>
        <v>196</v>
      </c>
      <c r="D96" s="20">
        <f t="shared" si="34"/>
        <v>196</v>
      </c>
      <c r="E96" s="20">
        <f>$D96*攻击分赃比!B96*开放指数!B96</f>
        <v>235.2</v>
      </c>
      <c r="F96" s="20">
        <f>$D96*攻击分赃比!C96*开放指数!C96</f>
        <v>294</v>
      </c>
      <c r="G96" s="20">
        <f>$D96*攻击分赃比!D96*开放指数!D96</f>
        <v>392</v>
      </c>
      <c r="H96" s="20">
        <f>$D96*攻击分赃比!E96*开放指数!E96</f>
        <v>490</v>
      </c>
      <c r="I96" s="20">
        <f t="shared" si="42"/>
        <v>94</v>
      </c>
      <c r="J96" s="20">
        <f>$D96*攻击分赃比!G96*开放指数!G96</f>
        <v>58.8</v>
      </c>
      <c r="K96" s="20">
        <f>$D96*攻击分赃比!H96*开放指数!H96</f>
        <v>117.6</v>
      </c>
      <c r="L96" s="20">
        <f>$D96*攻击分赃比!I96*开放指数!I96</f>
        <v>58.8</v>
      </c>
      <c r="M96" s="20">
        <f>$D96*攻击分赃比!J96*开放指数!J96</f>
        <v>156.80000000000001</v>
      </c>
      <c r="N96" s="20">
        <f>$D96*攻击分赃比!K96*开放指数!K96</f>
        <v>235.2</v>
      </c>
      <c r="O96" s="20">
        <f>$D96*攻击分赃比!M96*开放指数!L96</f>
        <v>294</v>
      </c>
      <c r="P96" s="20">
        <f>$D96*攻击分赃比!N96*开放指数!M96</f>
        <v>392</v>
      </c>
      <c r="Q96" s="20">
        <f>$D96*攻击分赃比!O96*开放指数!N96</f>
        <v>490</v>
      </c>
      <c r="R96" s="20">
        <f>$D96*攻击分赃比!P96*开放指数!O96</f>
        <v>588</v>
      </c>
      <c r="S96" s="20">
        <f>$D96*攻击分赃比!Q96*开放指数!P96</f>
        <v>686</v>
      </c>
      <c r="T96" s="20">
        <f>$D96*攻击分赃比!R96*开放指数!Q96</f>
        <v>147</v>
      </c>
      <c r="U96" s="20">
        <f>$D96*攻击分赃比!S96*开放指数!R96</f>
        <v>58.8</v>
      </c>
      <c r="V96" s="20">
        <f>$D96*攻击分赃比!T96*开放指数!S96</f>
        <v>58.8</v>
      </c>
      <c r="W96" s="20">
        <f>$D96*攻击分赃比!U96*开放指数!T96</f>
        <v>9.8000000000000007</v>
      </c>
      <c r="X96" s="21">
        <f>攻击分赃比!V96*开放指数!U96</f>
        <v>0.2</v>
      </c>
      <c r="Y96" s="21">
        <f>攻击分赃比!W96*开放指数!V96</f>
        <v>0.3</v>
      </c>
      <c r="Z96" s="21">
        <f>攻击分赃比!X96*开放指数!W96</f>
        <v>0.5</v>
      </c>
      <c r="AA96" s="21">
        <f>攻击分赃比!Y96*开放指数!X96</f>
        <v>0.8</v>
      </c>
      <c r="AB96" s="21">
        <f>攻击分赃比!Z96*开放指数!Y96</f>
        <v>1.2</v>
      </c>
      <c r="AC96" s="20">
        <f>$D96*攻击分赃比!AB96*开放指数!Z96</f>
        <v>196</v>
      </c>
      <c r="AD96" s="20">
        <f>$D96*攻击分赃比!AC96*开放指数!AA96</f>
        <v>235.2</v>
      </c>
      <c r="AE96" s="20">
        <f>$D96*攻击分赃比!AD96*开放指数!AB96</f>
        <v>294</v>
      </c>
      <c r="AF96" s="20">
        <f>$D96*攻击分赃比!AE96*开放指数!AC96</f>
        <v>392</v>
      </c>
      <c r="AG96" s="20">
        <f>$D96*攻击分赃比!AF96*开放指数!AD96</f>
        <v>490</v>
      </c>
      <c r="AH96" s="20">
        <f>$D96*攻击分赃比!AG96*开放指数!AE96</f>
        <v>98</v>
      </c>
      <c r="AI96" s="20">
        <f>$D96*攻击分赃比!AH96*开放指数!AF96</f>
        <v>39.200000000000003</v>
      </c>
      <c r="AJ96" s="20">
        <f>$D96*攻击分赃比!AI96*开放指数!AG96</f>
        <v>39.200000000000003</v>
      </c>
      <c r="AK96" s="20">
        <f>$D96*攻击分赃比!AJ96*开放指数!AH96</f>
        <v>5.88</v>
      </c>
      <c r="AL96" s="20">
        <f>$D96*攻击分赃比!AL96*开放指数!AI96</f>
        <v>235.2</v>
      </c>
      <c r="AM96" s="21">
        <f>攻击分赃比!AM96*开放指数!AJ96</f>
        <v>0.2</v>
      </c>
      <c r="AN96" s="21">
        <f>攻击分赃比!AN96*开放指数!AK96</f>
        <v>0.3</v>
      </c>
      <c r="AO96" s="21">
        <f>攻击分赃比!AO96*开放指数!AL96</f>
        <v>0.5</v>
      </c>
      <c r="AP96" s="21">
        <f>攻击分赃比!AP96*开放指数!AM96</f>
        <v>0.8</v>
      </c>
      <c r="AQ96" s="21">
        <f>攻击分赃比!AQ96*开放指数!AN96</f>
        <v>1.2</v>
      </c>
      <c r="AR96" s="20">
        <f>$D96*攻击分赃比!AS96*开放指数!AO96</f>
        <v>39.200000000000003</v>
      </c>
      <c r="AS96" s="20">
        <f t="shared" si="29"/>
        <v>960.40000000000009</v>
      </c>
      <c r="AT96" s="20">
        <f t="shared" si="30"/>
        <v>4223.72</v>
      </c>
      <c r="AW96" s="20">
        <f t="shared" si="31"/>
        <v>1211.2</v>
      </c>
      <c r="AX96" s="20">
        <f t="shared" si="32"/>
        <v>1783.6</v>
      </c>
      <c r="AY96" s="20">
        <f t="shared" si="36"/>
        <v>672.28000000000009</v>
      </c>
      <c r="AZ96" s="20">
        <f t="shared" si="37"/>
        <v>517.44000000000005</v>
      </c>
      <c r="BA96" s="20">
        <f t="shared" si="38"/>
        <v>39.200000000000003</v>
      </c>
      <c r="BB96" s="73">
        <f t="shared" si="33"/>
        <v>21.549591836734695</v>
      </c>
    </row>
    <row r="97" spans="1:54" s="20" customFormat="1">
      <c r="A97" s="46">
        <v>95</v>
      </c>
      <c r="B97" s="51">
        <f t="shared" si="40"/>
        <v>2</v>
      </c>
      <c r="C97" s="9">
        <f t="shared" si="39"/>
        <v>198</v>
      </c>
      <c r="D97" s="20">
        <f t="shared" si="34"/>
        <v>198</v>
      </c>
      <c r="E97" s="20">
        <f>$D97*攻击分赃比!B97*开放指数!B97</f>
        <v>237.6</v>
      </c>
      <c r="F97" s="20">
        <f>$D97*攻击分赃比!C97*开放指数!C97</f>
        <v>297</v>
      </c>
      <c r="G97" s="20">
        <f>$D97*攻击分赃比!D97*开放指数!D97</f>
        <v>396</v>
      </c>
      <c r="H97" s="20">
        <f>$D97*攻击分赃比!E97*开放指数!E97</f>
        <v>495</v>
      </c>
      <c r="I97" s="20">
        <f>$D97*攻击分赃比!F97*开放指数!F97</f>
        <v>99</v>
      </c>
      <c r="J97" s="20">
        <f>$D97*攻击分赃比!G97*开放指数!G97</f>
        <v>59.4</v>
      </c>
      <c r="K97" s="20">
        <f>$D97*攻击分赃比!H97*开放指数!H97</f>
        <v>118.8</v>
      </c>
      <c r="L97" s="20">
        <f>$D97*攻击分赃比!I97*开放指数!I97</f>
        <v>59.4</v>
      </c>
      <c r="M97" s="20">
        <f>$D97*攻击分赃比!J97*开放指数!J97</f>
        <v>158.4</v>
      </c>
      <c r="N97" s="20">
        <f>$D97*攻击分赃比!K97*开放指数!K97</f>
        <v>237.6</v>
      </c>
      <c r="O97" s="20">
        <f>$D97*攻击分赃比!M97*开放指数!L97</f>
        <v>297</v>
      </c>
      <c r="P97" s="20">
        <f>$D97*攻击分赃比!N97*开放指数!M97</f>
        <v>396</v>
      </c>
      <c r="Q97" s="20">
        <f>$D97*攻击分赃比!O97*开放指数!N97</f>
        <v>495</v>
      </c>
      <c r="R97" s="20">
        <f>$D97*攻击分赃比!P97*开放指数!O97</f>
        <v>594</v>
      </c>
      <c r="S97" s="20">
        <f>$D97*攻击分赃比!Q97*开放指数!P97</f>
        <v>693</v>
      </c>
      <c r="T97" s="20">
        <f>$D97*攻击分赃比!R97*开放指数!Q97</f>
        <v>148.5</v>
      </c>
      <c r="U97" s="20">
        <f>$D97*攻击分赃比!S97*开放指数!R97</f>
        <v>59.4</v>
      </c>
      <c r="V97" s="20">
        <f>$D97*攻击分赃比!T97*开放指数!S97</f>
        <v>59.4</v>
      </c>
      <c r="W97" s="20">
        <f>$D97*攻击分赃比!U97*开放指数!T97</f>
        <v>9.9</v>
      </c>
      <c r="X97" s="21">
        <f>攻击分赃比!V97*开放指数!U97</f>
        <v>0.2</v>
      </c>
      <c r="Y97" s="21">
        <f>攻击分赃比!W97*开放指数!V97</f>
        <v>0.3</v>
      </c>
      <c r="Z97" s="21">
        <f>攻击分赃比!X97*开放指数!W97</f>
        <v>0.5</v>
      </c>
      <c r="AA97" s="21">
        <f>攻击分赃比!Y97*开放指数!X97</f>
        <v>0.8</v>
      </c>
      <c r="AB97" s="21">
        <f>攻击分赃比!Z97*开放指数!Y97</f>
        <v>1.2</v>
      </c>
      <c r="AC97" s="20">
        <f>$D97*攻击分赃比!AB97*开放指数!Z97</f>
        <v>198</v>
      </c>
      <c r="AD97" s="20">
        <f>$D97*攻击分赃比!AC97*开放指数!AA97</f>
        <v>237.6</v>
      </c>
      <c r="AE97" s="20">
        <f>$D97*攻击分赃比!AD97*开放指数!AB97</f>
        <v>297</v>
      </c>
      <c r="AF97" s="20">
        <f>$D97*攻击分赃比!AE97*开放指数!AC97</f>
        <v>396</v>
      </c>
      <c r="AG97" s="20">
        <f>$D97*攻击分赃比!AF97*开放指数!AD97</f>
        <v>495</v>
      </c>
      <c r="AH97" s="20">
        <f>$D97*攻击分赃比!AG97*开放指数!AE97</f>
        <v>99</v>
      </c>
      <c r="AI97" s="20">
        <f>$D97*攻击分赃比!AH97*开放指数!AF97</f>
        <v>39.6</v>
      </c>
      <c r="AJ97" s="20">
        <f>$D97*攻击分赃比!AI97*开放指数!AG97</f>
        <v>39.6</v>
      </c>
      <c r="AK97" s="20">
        <f>$D97*攻击分赃比!AJ97*开放指数!AH97</f>
        <v>5.9399999999999995</v>
      </c>
      <c r="AL97" s="20">
        <f>$D97*攻击分赃比!AL97*开放指数!AI97</f>
        <v>237.6</v>
      </c>
      <c r="AM97" s="21">
        <f>攻击分赃比!AM97*开放指数!AJ97</f>
        <v>0.2</v>
      </c>
      <c r="AN97" s="21">
        <f>攻击分赃比!AN97*开放指数!AK97</f>
        <v>0.3</v>
      </c>
      <c r="AO97" s="21">
        <f>攻击分赃比!AO97*开放指数!AL97</f>
        <v>0.5</v>
      </c>
      <c r="AP97" s="21">
        <f>攻击分赃比!AP97*开放指数!AM97</f>
        <v>0.8</v>
      </c>
      <c r="AQ97" s="21">
        <f>攻击分赃比!AQ97*开放指数!AN97</f>
        <v>1.2</v>
      </c>
      <c r="AR97" s="20">
        <f>$D97*攻击分赃比!AS97*开放指数!AO97</f>
        <v>39.6</v>
      </c>
      <c r="AS97" s="20">
        <f t="shared" si="29"/>
        <v>970.2</v>
      </c>
      <c r="AT97" s="20">
        <f t="shared" si="30"/>
        <v>4270.8600000000006</v>
      </c>
      <c r="AW97" s="20">
        <f t="shared" si="31"/>
        <v>1227.5999999999999</v>
      </c>
      <c r="AX97" s="20">
        <f t="shared" si="32"/>
        <v>1801.8000000000004</v>
      </c>
      <c r="AY97" s="20">
        <f t="shared" si="36"/>
        <v>679.1400000000001</v>
      </c>
      <c r="AZ97" s="20">
        <f t="shared" si="37"/>
        <v>522.72</v>
      </c>
      <c r="BA97" s="20">
        <f t="shared" si="38"/>
        <v>39.6</v>
      </c>
      <c r="BB97" s="73">
        <f t="shared" si="33"/>
        <v>21.570000000000004</v>
      </c>
    </row>
    <row r="98" spans="1:54" s="20" customFormat="1">
      <c r="A98" s="46">
        <v>96</v>
      </c>
      <c r="B98" s="51">
        <f t="shared" si="40"/>
        <v>2</v>
      </c>
      <c r="C98" s="9">
        <f t="shared" si="39"/>
        <v>200</v>
      </c>
      <c r="D98" s="20">
        <f t="shared" si="34"/>
        <v>200</v>
      </c>
      <c r="E98" s="20">
        <f>$D98*攻击分赃比!B98*开放指数!B98</f>
        <v>240</v>
      </c>
      <c r="F98" s="20">
        <f>$D98*攻击分赃比!C98*开放指数!C98</f>
        <v>300</v>
      </c>
      <c r="G98" s="20">
        <f>$D98*攻击分赃比!D98*开放指数!D98</f>
        <v>400</v>
      </c>
      <c r="H98" s="20">
        <f>$D98*攻击分赃比!E98*开放指数!E98</f>
        <v>500</v>
      </c>
      <c r="I98" s="20">
        <f t="shared" ref="I98" si="46">I97</f>
        <v>99</v>
      </c>
      <c r="J98" s="20">
        <f>$D98*攻击分赃比!G98*开放指数!G98</f>
        <v>60</v>
      </c>
      <c r="K98" s="20">
        <f>$D98*攻击分赃比!H98*开放指数!H98</f>
        <v>120</v>
      </c>
      <c r="L98" s="20">
        <f>$D98*攻击分赃比!I98*开放指数!I98</f>
        <v>60</v>
      </c>
      <c r="M98" s="20">
        <f>$D98*攻击分赃比!J98*开放指数!J98</f>
        <v>160</v>
      </c>
      <c r="N98" s="20">
        <f>$D98*攻击分赃比!K98*开放指数!K98</f>
        <v>240</v>
      </c>
      <c r="O98" s="20">
        <f>$D98*攻击分赃比!M98*开放指数!L98</f>
        <v>300</v>
      </c>
      <c r="P98" s="20">
        <f>$D98*攻击分赃比!N98*开放指数!M98</f>
        <v>400</v>
      </c>
      <c r="Q98" s="20">
        <f>$D98*攻击分赃比!O98*开放指数!N98</f>
        <v>500</v>
      </c>
      <c r="R98" s="20">
        <f>$D98*攻击分赃比!P98*开放指数!O98</f>
        <v>600</v>
      </c>
      <c r="S98" s="20">
        <f>$D98*攻击分赃比!Q98*开放指数!P98</f>
        <v>700</v>
      </c>
      <c r="T98" s="20">
        <f>$D98*攻击分赃比!R98*开放指数!Q98</f>
        <v>150</v>
      </c>
      <c r="U98" s="20">
        <f>$D98*攻击分赃比!S98*开放指数!R98</f>
        <v>60</v>
      </c>
      <c r="V98" s="20">
        <f>$D98*攻击分赃比!T98*开放指数!S98</f>
        <v>60</v>
      </c>
      <c r="W98" s="20">
        <f>$D98*攻击分赃比!U98*开放指数!T98</f>
        <v>10</v>
      </c>
      <c r="X98" s="21">
        <f>攻击分赃比!V98*开放指数!U98</f>
        <v>0.2</v>
      </c>
      <c r="Y98" s="21">
        <f>攻击分赃比!W98*开放指数!V98</f>
        <v>0.3</v>
      </c>
      <c r="Z98" s="21">
        <f>攻击分赃比!X98*开放指数!W98</f>
        <v>0.5</v>
      </c>
      <c r="AA98" s="21">
        <f>攻击分赃比!Y98*开放指数!X98</f>
        <v>0.8</v>
      </c>
      <c r="AB98" s="21">
        <f>攻击分赃比!Z98*开放指数!Y98</f>
        <v>1.2</v>
      </c>
      <c r="AC98" s="20">
        <f>$D98*攻击分赃比!AB98*开放指数!Z98</f>
        <v>200</v>
      </c>
      <c r="AD98" s="20">
        <f>$D98*攻击分赃比!AC98*开放指数!AA98</f>
        <v>240</v>
      </c>
      <c r="AE98" s="20">
        <f>$D98*攻击分赃比!AD98*开放指数!AB98</f>
        <v>300</v>
      </c>
      <c r="AF98" s="20">
        <f>$D98*攻击分赃比!AE98*开放指数!AC98</f>
        <v>400</v>
      </c>
      <c r="AG98" s="20">
        <f>$D98*攻击分赃比!AF98*开放指数!AD98</f>
        <v>500</v>
      </c>
      <c r="AH98" s="20">
        <f>$D98*攻击分赃比!AG98*开放指数!AE98</f>
        <v>100</v>
      </c>
      <c r="AI98" s="20">
        <f>$D98*攻击分赃比!AH98*开放指数!AF98</f>
        <v>40</v>
      </c>
      <c r="AJ98" s="20">
        <f>$D98*攻击分赃比!AI98*开放指数!AG98</f>
        <v>40</v>
      </c>
      <c r="AK98" s="20">
        <f>$D98*攻击分赃比!AJ98*开放指数!AH98</f>
        <v>6</v>
      </c>
      <c r="AL98" s="20">
        <f>$D98*攻击分赃比!AL98*开放指数!AI98</f>
        <v>240</v>
      </c>
      <c r="AM98" s="21">
        <f>攻击分赃比!AM98*开放指数!AJ98</f>
        <v>0.2</v>
      </c>
      <c r="AN98" s="21">
        <f>攻击分赃比!AN98*开放指数!AK98</f>
        <v>0.3</v>
      </c>
      <c r="AO98" s="21">
        <f>攻击分赃比!AO98*开放指数!AL98</f>
        <v>0.5</v>
      </c>
      <c r="AP98" s="21">
        <f>攻击分赃比!AP98*开放指数!AM98</f>
        <v>0.8</v>
      </c>
      <c r="AQ98" s="21">
        <f>攻击分赃比!AQ98*开放指数!AN98</f>
        <v>1.2</v>
      </c>
      <c r="AR98" s="20">
        <f>$D98*攻击分赃比!AS98*开放指数!AO98</f>
        <v>40</v>
      </c>
      <c r="AS98" s="20">
        <f t="shared" si="29"/>
        <v>980</v>
      </c>
      <c r="AT98" s="20">
        <f t="shared" si="30"/>
        <v>4313</v>
      </c>
      <c r="AW98" s="20">
        <f t="shared" si="31"/>
        <v>1239</v>
      </c>
      <c r="AX98" s="20">
        <f t="shared" si="32"/>
        <v>1820.0000000000002</v>
      </c>
      <c r="AY98" s="20">
        <f t="shared" si="36"/>
        <v>686</v>
      </c>
      <c r="AZ98" s="20">
        <f t="shared" si="37"/>
        <v>528</v>
      </c>
      <c r="BA98" s="20">
        <f t="shared" si="38"/>
        <v>40</v>
      </c>
      <c r="BB98" s="73">
        <f t="shared" si="33"/>
        <v>21.565000000000001</v>
      </c>
    </row>
    <row r="99" spans="1:54" s="20" customFormat="1">
      <c r="A99" s="46">
        <v>97</v>
      </c>
      <c r="B99" s="51">
        <f t="shared" si="40"/>
        <v>2</v>
      </c>
      <c r="C99" s="9">
        <f t="shared" si="39"/>
        <v>202</v>
      </c>
      <c r="D99" s="20">
        <f t="shared" si="34"/>
        <v>202</v>
      </c>
      <c r="E99" s="20">
        <f>$D99*攻击分赃比!B99*开放指数!B99</f>
        <v>242.39999999999998</v>
      </c>
      <c r="F99" s="20">
        <f>$D99*攻击分赃比!C99*开放指数!C99</f>
        <v>303</v>
      </c>
      <c r="G99" s="20">
        <f>$D99*攻击分赃比!D99*开放指数!D99</f>
        <v>404</v>
      </c>
      <c r="H99" s="20">
        <f>$D99*攻击分赃比!E99*开放指数!E99</f>
        <v>505</v>
      </c>
      <c r="I99" s="20">
        <f t="shared" si="42"/>
        <v>99</v>
      </c>
      <c r="J99" s="20">
        <f>$D99*攻击分赃比!G99*开放指数!G99</f>
        <v>60.599999999999994</v>
      </c>
      <c r="K99" s="20">
        <f>$D99*攻击分赃比!H99*开放指数!H99</f>
        <v>121.19999999999999</v>
      </c>
      <c r="L99" s="20">
        <f>$D99*攻击分赃比!I99*开放指数!I99</f>
        <v>60.599999999999994</v>
      </c>
      <c r="M99" s="20">
        <f>$D99*攻击分赃比!J99*开放指数!J99</f>
        <v>161.60000000000002</v>
      </c>
      <c r="N99" s="20">
        <f>$D99*攻击分赃比!K99*开放指数!K99</f>
        <v>242.39999999999998</v>
      </c>
      <c r="O99" s="20">
        <f>$D99*攻击分赃比!M99*开放指数!L99</f>
        <v>303</v>
      </c>
      <c r="P99" s="20">
        <f>$D99*攻击分赃比!N99*开放指数!M99</f>
        <v>404</v>
      </c>
      <c r="Q99" s="20">
        <f>$D99*攻击分赃比!O99*开放指数!N99</f>
        <v>505</v>
      </c>
      <c r="R99" s="20">
        <f>$D99*攻击分赃比!P99*开放指数!O99</f>
        <v>606</v>
      </c>
      <c r="S99" s="20">
        <f>$D99*攻击分赃比!Q99*开放指数!P99</f>
        <v>707</v>
      </c>
      <c r="T99" s="20">
        <f>$D99*攻击分赃比!R99*开放指数!Q99</f>
        <v>151.5</v>
      </c>
      <c r="U99" s="20">
        <f>$D99*攻击分赃比!S99*开放指数!R99</f>
        <v>60.599999999999994</v>
      </c>
      <c r="V99" s="20">
        <f>$D99*攻击分赃比!T99*开放指数!S99</f>
        <v>60.599999999999994</v>
      </c>
      <c r="W99" s="20">
        <f>$D99*攻击分赃比!U99*开放指数!T99</f>
        <v>10.100000000000001</v>
      </c>
      <c r="X99" s="21">
        <f>攻击分赃比!V99*开放指数!U99</f>
        <v>0.2</v>
      </c>
      <c r="Y99" s="21">
        <f>攻击分赃比!W99*开放指数!V99</f>
        <v>0.3</v>
      </c>
      <c r="Z99" s="21">
        <f>攻击分赃比!X99*开放指数!W99</f>
        <v>0.5</v>
      </c>
      <c r="AA99" s="21">
        <f>攻击分赃比!Y99*开放指数!X99</f>
        <v>0.8</v>
      </c>
      <c r="AB99" s="21">
        <f>攻击分赃比!Z99*开放指数!Y99</f>
        <v>1.2</v>
      </c>
      <c r="AC99" s="20">
        <f>$D99*攻击分赃比!AB99*开放指数!Z99</f>
        <v>202</v>
      </c>
      <c r="AD99" s="20">
        <f>$D99*攻击分赃比!AC99*开放指数!AA99</f>
        <v>242.39999999999998</v>
      </c>
      <c r="AE99" s="20">
        <f>$D99*攻击分赃比!AD99*开放指数!AB99</f>
        <v>303</v>
      </c>
      <c r="AF99" s="20">
        <f>$D99*攻击分赃比!AE99*开放指数!AC99</f>
        <v>404</v>
      </c>
      <c r="AG99" s="20">
        <f>$D99*攻击分赃比!AF99*开放指数!AD99</f>
        <v>505</v>
      </c>
      <c r="AH99" s="20">
        <f>$D99*攻击分赃比!AG99*开放指数!AE99</f>
        <v>101</v>
      </c>
      <c r="AI99" s="20">
        <f>$D99*攻击分赃比!AH99*开放指数!AF99</f>
        <v>40.400000000000006</v>
      </c>
      <c r="AJ99" s="20">
        <f>$D99*攻击分赃比!AI99*开放指数!AG99</f>
        <v>40.400000000000006</v>
      </c>
      <c r="AK99" s="20">
        <f>$D99*攻击分赃比!AJ99*开放指数!AH99</f>
        <v>6.06</v>
      </c>
      <c r="AL99" s="20">
        <f>$D99*攻击分赃比!AL99*开放指数!AI99</f>
        <v>242.39999999999998</v>
      </c>
      <c r="AM99" s="21">
        <f>攻击分赃比!AM99*开放指数!AJ99</f>
        <v>0.2</v>
      </c>
      <c r="AN99" s="21">
        <f>攻击分赃比!AN99*开放指数!AK99</f>
        <v>0.3</v>
      </c>
      <c r="AO99" s="21">
        <f>攻击分赃比!AO99*开放指数!AL99</f>
        <v>0.5</v>
      </c>
      <c r="AP99" s="21">
        <f>攻击分赃比!AP99*开放指数!AM99</f>
        <v>0.8</v>
      </c>
      <c r="AQ99" s="21">
        <f>攻击分赃比!AQ99*开放指数!AN99</f>
        <v>1.2</v>
      </c>
      <c r="AR99" s="20">
        <f>$D99*攻击分赃比!AS99*开放指数!AO99</f>
        <v>40.400000000000006</v>
      </c>
      <c r="AS99" s="20">
        <f t="shared" ref="AS99:AS130" si="47">D99+O99+AR99+AL99+AC99</f>
        <v>989.8</v>
      </c>
      <c r="AT99" s="20">
        <f t="shared" ref="AT99:AT122" si="48">H99+I99+J99+K99+L99+M99+N99+S99*(1+AB99)+T99+U99+V99+W99+AG99+AH99+AI99+AJ99+AK99+AL99*(1+AQ99)+AR99</f>
        <v>4355.1399999999994</v>
      </c>
      <c r="AW99" s="20">
        <f t="shared" ref="AW99:AW122" si="49">H99+I99+J99+K99+L99+M99+N99</f>
        <v>1250.4000000000001</v>
      </c>
      <c r="AX99" s="20">
        <f t="shared" ref="AX99:AX122" si="50">S99*(1+AB99)+T99+U99+V99+W99</f>
        <v>1838.1999999999998</v>
      </c>
      <c r="AY99" s="20">
        <f t="shared" si="36"/>
        <v>692.8599999999999</v>
      </c>
      <c r="AZ99" s="20">
        <f t="shared" si="37"/>
        <v>533.28</v>
      </c>
      <c r="BA99" s="20">
        <f t="shared" si="38"/>
        <v>40.400000000000006</v>
      </c>
      <c r="BB99" s="73">
        <f t="shared" ref="BB99:BB122" si="51">AT99/D99</f>
        <v>21.560099009900988</v>
      </c>
    </row>
    <row r="100" spans="1:54" s="20" customFormat="1">
      <c r="A100" s="46">
        <v>98</v>
      </c>
      <c r="B100" s="51">
        <f t="shared" si="40"/>
        <v>2</v>
      </c>
      <c r="C100" s="9">
        <f t="shared" si="39"/>
        <v>204</v>
      </c>
      <c r="D100" s="20">
        <f t="shared" ref="D100:D121" si="52">B100+D99</f>
        <v>204</v>
      </c>
      <c r="E100" s="20">
        <f>$D100*攻击分赃比!B100*开放指数!B100</f>
        <v>244.79999999999998</v>
      </c>
      <c r="F100" s="20">
        <f>$D100*攻击分赃比!C100*开放指数!C100</f>
        <v>306</v>
      </c>
      <c r="G100" s="20">
        <f>$D100*攻击分赃比!D100*开放指数!D100</f>
        <v>408</v>
      </c>
      <c r="H100" s="20">
        <f>$D100*攻击分赃比!E100*开放指数!E100</f>
        <v>510</v>
      </c>
      <c r="I100" s="20">
        <f t="shared" si="42"/>
        <v>99</v>
      </c>
      <c r="J100" s="20">
        <f>$D100*攻击分赃比!G100*开放指数!G100</f>
        <v>61.199999999999996</v>
      </c>
      <c r="K100" s="20">
        <f>$D100*攻击分赃比!H100*开放指数!H100</f>
        <v>122.39999999999999</v>
      </c>
      <c r="L100" s="20">
        <f>$D100*攻击分赃比!I100*开放指数!I100</f>
        <v>61.199999999999996</v>
      </c>
      <c r="M100" s="20">
        <f>$D100*攻击分赃比!J100*开放指数!J100</f>
        <v>163.20000000000002</v>
      </c>
      <c r="N100" s="20">
        <f>$D100*攻击分赃比!K100*开放指数!K100</f>
        <v>244.79999999999998</v>
      </c>
      <c r="O100" s="20">
        <f>$D100*攻击分赃比!M100*开放指数!L100</f>
        <v>306</v>
      </c>
      <c r="P100" s="20">
        <f>$D100*攻击分赃比!N100*开放指数!M100</f>
        <v>408</v>
      </c>
      <c r="Q100" s="20">
        <f>$D100*攻击分赃比!O100*开放指数!N100</f>
        <v>510</v>
      </c>
      <c r="R100" s="20">
        <f>$D100*攻击分赃比!P100*开放指数!O100</f>
        <v>612</v>
      </c>
      <c r="S100" s="20">
        <f>$D100*攻击分赃比!Q100*开放指数!P100</f>
        <v>714</v>
      </c>
      <c r="T100" s="20">
        <f>$D100*攻击分赃比!R100*开放指数!Q100</f>
        <v>153</v>
      </c>
      <c r="U100" s="20">
        <f>$D100*攻击分赃比!S100*开放指数!R100</f>
        <v>61.199999999999996</v>
      </c>
      <c r="V100" s="20">
        <f>$D100*攻击分赃比!T100*开放指数!S100</f>
        <v>61.199999999999996</v>
      </c>
      <c r="W100" s="20">
        <f>$D100*攻击分赃比!U100*开放指数!T100</f>
        <v>10.200000000000001</v>
      </c>
      <c r="X100" s="21">
        <f>攻击分赃比!V100*开放指数!U100</f>
        <v>0.2</v>
      </c>
      <c r="Y100" s="21">
        <f>攻击分赃比!W100*开放指数!V100</f>
        <v>0.3</v>
      </c>
      <c r="Z100" s="21">
        <f>攻击分赃比!X100*开放指数!W100</f>
        <v>0.5</v>
      </c>
      <c r="AA100" s="21">
        <f>攻击分赃比!Y100*开放指数!X100</f>
        <v>0.8</v>
      </c>
      <c r="AB100" s="21">
        <f>攻击分赃比!Z100*开放指数!Y100</f>
        <v>1.2</v>
      </c>
      <c r="AC100" s="20">
        <f>$D100*攻击分赃比!AB100*开放指数!Z100</f>
        <v>204</v>
      </c>
      <c r="AD100" s="20">
        <f>$D100*攻击分赃比!AC100*开放指数!AA100</f>
        <v>244.79999999999998</v>
      </c>
      <c r="AE100" s="20">
        <f>$D100*攻击分赃比!AD100*开放指数!AB100</f>
        <v>306</v>
      </c>
      <c r="AF100" s="20">
        <f>$D100*攻击分赃比!AE100*开放指数!AC100</f>
        <v>408</v>
      </c>
      <c r="AG100" s="20">
        <f>$D100*攻击分赃比!AF100*开放指数!AD100</f>
        <v>510</v>
      </c>
      <c r="AH100" s="20">
        <f>$D100*攻击分赃比!AG100*开放指数!AE100</f>
        <v>102</v>
      </c>
      <c r="AI100" s="20">
        <f>$D100*攻击分赃比!AH100*开放指数!AF100</f>
        <v>40.800000000000004</v>
      </c>
      <c r="AJ100" s="20">
        <f>$D100*攻击分赃比!AI100*开放指数!AG100</f>
        <v>40.800000000000004</v>
      </c>
      <c r="AK100" s="20">
        <f>$D100*攻击分赃比!AJ100*开放指数!AH100</f>
        <v>6.12</v>
      </c>
      <c r="AL100" s="20">
        <f>$D100*攻击分赃比!AL100*开放指数!AI100</f>
        <v>244.79999999999998</v>
      </c>
      <c r="AM100" s="21">
        <f>攻击分赃比!AM100*开放指数!AJ100</f>
        <v>0.2</v>
      </c>
      <c r="AN100" s="21">
        <f>攻击分赃比!AN100*开放指数!AK100</f>
        <v>0.3</v>
      </c>
      <c r="AO100" s="21">
        <f>攻击分赃比!AO100*开放指数!AL100</f>
        <v>0.5</v>
      </c>
      <c r="AP100" s="21">
        <f>攻击分赃比!AP100*开放指数!AM100</f>
        <v>0.8</v>
      </c>
      <c r="AQ100" s="21">
        <f>攻击分赃比!AQ100*开放指数!AN100</f>
        <v>1.2</v>
      </c>
      <c r="AR100" s="20">
        <f>$D100*攻击分赃比!AS100*开放指数!AO100</f>
        <v>40.800000000000004</v>
      </c>
      <c r="AS100" s="20">
        <f t="shared" si="47"/>
        <v>999.59999999999991</v>
      </c>
      <c r="AT100" s="20">
        <f t="shared" si="48"/>
        <v>4397.2800000000007</v>
      </c>
      <c r="AW100" s="20">
        <f t="shared" si="49"/>
        <v>1261.8000000000002</v>
      </c>
      <c r="AX100" s="20">
        <f t="shared" si="50"/>
        <v>1856.4000000000003</v>
      </c>
      <c r="AY100" s="20">
        <f t="shared" si="36"/>
        <v>699.71999999999991</v>
      </c>
      <c r="AZ100" s="20">
        <f t="shared" si="37"/>
        <v>538.56000000000006</v>
      </c>
      <c r="BA100" s="20">
        <f t="shared" si="38"/>
        <v>40.800000000000004</v>
      </c>
      <c r="BB100" s="73">
        <f t="shared" si="51"/>
        <v>21.555294117647062</v>
      </c>
    </row>
    <row r="101" spans="1:54" s="20" customFormat="1">
      <c r="A101" s="46">
        <v>99</v>
      </c>
      <c r="B101" s="51">
        <f t="shared" si="40"/>
        <v>2</v>
      </c>
      <c r="C101" s="9">
        <f t="shared" si="39"/>
        <v>206</v>
      </c>
      <c r="D101" s="20">
        <f t="shared" si="52"/>
        <v>206</v>
      </c>
      <c r="E101" s="20">
        <f>$D101*攻击分赃比!B101*开放指数!B101</f>
        <v>247.2</v>
      </c>
      <c r="F101" s="20">
        <f>$D101*攻击分赃比!C101*开放指数!C101</f>
        <v>309</v>
      </c>
      <c r="G101" s="20">
        <f>$D101*攻击分赃比!D101*开放指数!D101</f>
        <v>412</v>
      </c>
      <c r="H101" s="20">
        <f>$D101*攻击分赃比!E101*开放指数!E101</f>
        <v>515</v>
      </c>
      <c r="I101" s="20">
        <f t="shared" si="42"/>
        <v>99</v>
      </c>
      <c r="J101" s="20">
        <f>$D101*攻击分赃比!G101*开放指数!G101</f>
        <v>61.8</v>
      </c>
      <c r="K101" s="20">
        <f>$D101*攻击分赃比!H101*开放指数!H101</f>
        <v>123.6</v>
      </c>
      <c r="L101" s="20">
        <f>$D101*攻击分赃比!I101*开放指数!I101</f>
        <v>61.8</v>
      </c>
      <c r="M101" s="20">
        <f>$D101*攻击分赃比!J101*开放指数!J101</f>
        <v>164.8</v>
      </c>
      <c r="N101" s="20">
        <f>$D101*攻击分赃比!K101*开放指数!K101</f>
        <v>247.2</v>
      </c>
      <c r="O101" s="20">
        <f>$D101*攻击分赃比!M101*开放指数!L101</f>
        <v>309</v>
      </c>
      <c r="P101" s="20">
        <f>$D101*攻击分赃比!N101*开放指数!M101</f>
        <v>412</v>
      </c>
      <c r="Q101" s="20">
        <f>$D101*攻击分赃比!O101*开放指数!N101</f>
        <v>515</v>
      </c>
      <c r="R101" s="20">
        <f>$D101*攻击分赃比!P101*开放指数!O101</f>
        <v>618</v>
      </c>
      <c r="S101" s="20">
        <f>$D101*攻击分赃比!Q101*开放指数!P101</f>
        <v>721</v>
      </c>
      <c r="T101" s="20">
        <f>$D101*攻击分赃比!R101*开放指数!Q101</f>
        <v>154.5</v>
      </c>
      <c r="U101" s="20">
        <f>$D101*攻击分赃比!S101*开放指数!R101</f>
        <v>61.8</v>
      </c>
      <c r="V101" s="20">
        <f>$D101*攻击分赃比!T101*开放指数!S101</f>
        <v>61.8</v>
      </c>
      <c r="W101" s="20">
        <f>$D101*攻击分赃比!U101*开放指数!T101</f>
        <v>10.3</v>
      </c>
      <c r="X101" s="21">
        <f>攻击分赃比!V101*开放指数!U101</f>
        <v>0.2</v>
      </c>
      <c r="Y101" s="21">
        <f>攻击分赃比!W101*开放指数!V101</f>
        <v>0.3</v>
      </c>
      <c r="Z101" s="21">
        <f>攻击分赃比!X101*开放指数!W101</f>
        <v>0.5</v>
      </c>
      <c r="AA101" s="21">
        <f>攻击分赃比!Y101*开放指数!X101</f>
        <v>0.8</v>
      </c>
      <c r="AB101" s="21">
        <f>攻击分赃比!Z101*开放指数!Y101</f>
        <v>1.2</v>
      </c>
      <c r="AC101" s="20">
        <f>$D101*攻击分赃比!AB101*开放指数!Z101</f>
        <v>206</v>
      </c>
      <c r="AD101" s="20">
        <f>$D101*攻击分赃比!AC101*开放指数!AA101</f>
        <v>247.2</v>
      </c>
      <c r="AE101" s="20">
        <f>$D101*攻击分赃比!AD101*开放指数!AB101</f>
        <v>309</v>
      </c>
      <c r="AF101" s="20">
        <f>$D101*攻击分赃比!AE101*开放指数!AC101</f>
        <v>412</v>
      </c>
      <c r="AG101" s="20">
        <f>$D101*攻击分赃比!AF101*开放指数!AD101</f>
        <v>515</v>
      </c>
      <c r="AH101" s="20">
        <f>$D101*攻击分赃比!AG101*开放指数!AE101</f>
        <v>103</v>
      </c>
      <c r="AI101" s="20">
        <f>$D101*攻击分赃比!AH101*开放指数!AF101</f>
        <v>41.2</v>
      </c>
      <c r="AJ101" s="20">
        <f>$D101*攻击分赃比!AI101*开放指数!AG101</f>
        <v>41.2</v>
      </c>
      <c r="AK101" s="20">
        <f>$D101*攻击分赃比!AJ101*开放指数!AH101</f>
        <v>6.18</v>
      </c>
      <c r="AL101" s="20">
        <f>$D101*攻击分赃比!AL101*开放指数!AI101</f>
        <v>247.2</v>
      </c>
      <c r="AM101" s="21">
        <f>攻击分赃比!AM101*开放指数!AJ101</f>
        <v>0.2</v>
      </c>
      <c r="AN101" s="21">
        <f>攻击分赃比!AN101*开放指数!AK101</f>
        <v>0.3</v>
      </c>
      <c r="AO101" s="21">
        <f>攻击分赃比!AO101*开放指数!AL101</f>
        <v>0.5</v>
      </c>
      <c r="AP101" s="21">
        <f>攻击分赃比!AP101*开放指数!AM101</f>
        <v>0.8</v>
      </c>
      <c r="AQ101" s="21">
        <f>攻击分赃比!AQ101*开放指数!AN101</f>
        <v>1.2</v>
      </c>
      <c r="AR101" s="20">
        <f>$D101*攻击分赃比!AS101*开放指数!AO101</f>
        <v>41.2</v>
      </c>
      <c r="AS101" s="20">
        <f t="shared" si="47"/>
        <v>1009.4000000000001</v>
      </c>
      <c r="AT101" s="20">
        <f t="shared" si="48"/>
        <v>4439.42</v>
      </c>
      <c r="AW101" s="20">
        <f t="shared" si="49"/>
        <v>1273.2</v>
      </c>
      <c r="AX101" s="20">
        <f t="shared" si="50"/>
        <v>1874.6</v>
      </c>
      <c r="AY101" s="20">
        <f t="shared" si="36"/>
        <v>706.58</v>
      </c>
      <c r="AZ101" s="20">
        <f t="shared" si="37"/>
        <v>543.84</v>
      </c>
      <c r="BA101" s="20">
        <f t="shared" si="38"/>
        <v>41.2</v>
      </c>
      <c r="BB101" s="73">
        <f t="shared" si="51"/>
        <v>21.550582524271846</v>
      </c>
    </row>
    <row r="102" spans="1:54" s="20" customFormat="1">
      <c r="A102" s="46">
        <v>100</v>
      </c>
      <c r="B102" s="51">
        <f t="shared" si="40"/>
        <v>2</v>
      </c>
      <c r="C102" s="9">
        <f t="shared" si="39"/>
        <v>208</v>
      </c>
      <c r="D102" s="20">
        <f t="shared" si="52"/>
        <v>208</v>
      </c>
      <c r="E102" s="20">
        <f>$D102*攻击分赃比!B102*开放指数!B102</f>
        <v>249.6</v>
      </c>
      <c r="F102" s="20">
        <f>$D102*攻击分赃比!C102*开放指数!C102</f>
        <v>312</v>
      </c>
      <c r="G102" s="20">
        <f>$D102*攻击分赃比!D102*开放指数!D102</f>
        <v>416</v>
      </c>
      <c r="H102" s="20">
        <f>$D102*攻击分赃比!E102*开放指数!E102</f>
        <v>520</v>
      </c>
      <c r="I102" s="20">
        <f>$D102*攻击分赃比!F102*开放指数!F102</f>
        <v>104</v>
      </c>
      <c r="J102" s="20">
        <f>$D102*攻击分赃比!G102*开放指数!G102</f>
        <v>62.4</v>
      </c>
      <c r="K102" s="20">
        <f>$D102*攻击分赃比!H102*开放指数!H102</f>
        <v>124.8</v>
      </c>
      <c r="L102" s="20">
        <f>$D102*攻击分赃比!I102*开放指数!I102</f>
        <v>62.4</v>
      </c>
      <c r="M102" s="20">
        <f>$D102*攻击分赃比!J102*开放指数!J102</f>
        <v>166.4</v>
      </c>
      <c r="N102" s="20">
        <f>$D102*攻击分赃比!K102*开放指数!K102</f>
        <v>249.6</v>
      </c>
      <c r="O102" s="20">
        <f>$D102*攻击分赃比!M102*开放指数!L102</f>
        <v>312</v>
      </c>
      <c r="P102" s="20">
        <f>$D102*攻击分赃比!N102*开放指数!M102</f>
        <v>416</v>
      </c>
      <c r="Q102" s="20">
        <f>$D102*攻击分赃比!O102*开放指数!N102</f>
        <v>520</v>
      </c>
      <c r="R102" s="20">
        <f>$D102*攻击分赃比!P102*开放指数!O102</f>
        <v>624</v>
      </c>
      <c r="S102" s="20">
        <f>$D102*攻击分赃比!Q102*开放指数!P102</f>
        <v>728</v>
      </c>
      <c r="T102" s="20">
        <f>$D102*攻击分赃比!R102*开放指数!Q102</f>
        <v>156</v>
      </c>
      <c r="U102" s="20">
        <f>$D102*攻击分赃比!S102*开放指数!R102</f>
        <v>62.4</v>
      </c>
      <c r="V102" s="20">
        <f>$D102*攻击分赃比!T102*开放指数!S102</f>
        <v>62.4</v>
      </c>
      <c r="W102" s="20">
        <f>$D102*攻击分赃比!U102*开放指数!T102</f>
        <v>10.4</v>
      </c>
      <c r="X102" s="21">
        <f>攻击分赃比!V102*开放指数!U102</f>
        <v>0.2</v>
      </c>
      <c r="Y102" s="21">
        <f>攻击分赃比!W102*开放指数!V102</f>
        <v>0.3</v>
      </c>
      <c r="Z102" s="21">
        <f>攻击分赃比!X102*开放指数!W102</f>
        <v>0.5</v>
      </c>
      <c r="AA102" s="21">
        <f>攻击分赃比!Y102*开放指数!X102</f>
        <v>0.8</v>
      </c>
      <c r="AB102" s="21">
        <f>攻击分赃比!Z102*开放指数!Y102</f>
        <v>1.2</v>
      </c>
      <c r="AC102" s="20">
        <f>$D102*攻击分赃比!AB102*开放指数!Z102</f>
        <v>208</v>
      </c>
      <c r="AD102" s="20">
        <f>$D102*攻击分赃比!AC102*开放指数!AA102</f>
        <v>249.6</v>
      </c>
      <c r="AE102" s="20">
        <f>$D102*攻击分赃比!AD102*开放指数!AB102</f>
        <v>312</v>
      </c>
      <c r="AF102" s="20">
        <f>$D102*攻击分赃比!AE102*开放指数!AC102</f>
        <v>416</v>
      </c>
      <c r="AG102" s="20">
        <f>$D102*攻击分赃比!AF102*开放指数!AD102</f>
        <v>520</v>
      </c>
      <c r="AH102" s="20">
        <f>$D102*攻击分赃比!AG102*开放指数!AE102</f>
        <v>104</v>
      </c>
      <c r="AI102" s="20">
        <f>$D102*攻击分赃比!AH102*开放指数!AF102</f>
        <v>41.6</v>
      </c>
      <c r="AJ102" s="20">
        <f>$D102*攻击分赃比!AI102*开放指数!AG102</f>
        <v>41.6</v>
      </c>
      <c r="AK102" s="20">
        <f>$D102*攻击分赃比!AJ102*开放指数!AH102</f>
        <v>6.24</v>
      </c>
      <c r="AL102" s="20">
        <f>$D102*攻击分赃比!AL102*开放指数!AI102</f>
        <v>249.6</v>
      </c>
      <c r="AM102" s="21">
        <f>攻击分赃比!AM102*开放指数!AJ102</f>
        <v>0.2</v>
      </c>
      <c r="AN102" s="21">
        <f>攻击分赃比!AN102*开放指数!AK102</f>
        <v>0.3</v>
      </c>
      <c r="AO102" s="21">
        <f>攻击分赃比!AO102*开放指数!AL102</f>
        <v>0.5</v>
      </c>
      <c r="AP102" s="21">
        <f>攻击分赃比!AP102*开放指数!AM102</f>
        <v>0.8</v>
      </c>
      <c r="AQ102" s="21">
        <f>攻击分赃比!AQ102*开放指数!AN102</f>
        <v>1.2</v>
      </c>
      <c r="AR102" s="20">
        <f>$D102*攻击分赃比!AS102*开放指数!AO102</f>
        <v>41.6</v>
      </c>
      <c r="AS102" s="20">
        <f t="shared" si="47"/>
        <v>1019.2</v>
      </c>
      <c r="AT102" s="20">
        <f t="shared" si="48"/>
        <v>4486.5600000000004</v>
      </c>
      <c r="AW102" s="20">
        <f t="shared" si="49"/>
        <v>1289.5999999999999</v>
      </c>
      <c r="AX102" s="20">
        <f t="shared" si="50"/>
        <v>1892.8000000000004</v>
      </c>
      <c r="AY102" s="20">
        <f t="shared" si="36"/>
        <v>713.44</v>
      </c>
      <c r="AZ102" s="20">
        <f t="shared" si="37"/>
        <v>549.12</v>
      </c>
      <c r="BA102" s="20">
        <f t="shared" si="38"/>
        <v>41.6</v>
      </c>
      <c r="BB102" s="73">
        <f t="shared" si="51"/>
        <v>21.57</v>
      </c>
    </row>
    <row r="103" spans="1:54" s="20" customFormat="1">
      <c r="A103" s="46">
        <v>101</v>
      </c>
      <c r="B103" s="51">
        <f t="shared" si="40"/>
        <v>2</v>
      </c>
      <c r="C103" s="9">
        <f t="shared" si="39"/>
        <v>210</v>
      </c>
      <c r="D103" s="20">
        <f t="shared" si="52"/>
        <v>210</v>
      </c>
      <c r="E103" s="20">
        <f>$D103*攻击分赃比!B103*开放指数!B103</f>
        <v>252</v>
      </c>
      <c r="F103" s="20">
        <f>$D103*攻击分赃比!C103*开放指数!C103</f>
        <v>315</v>
      </c>
      <c r="G103" s="20">
        <f>$D103*攻击分赃比!D103*开放指数!D103</f>
        <v>420</v>
      </c>
      <c r="H103" s="20">
        <f>$D103*攻击分赃比!E103*开放指数!E103</f>
        <v>525</v>
      </c>
      <c r="I103" s="20">
        <f t="shared" ref="I103" si="53">I102</f>
        <v>104</v>
      </c>
      <c r="J103" s="20">
        <f>$D103*攻击分赃比!G103*开放指数!G103</f>
        <v>63</v>
      </c>
      <c r="K103" s="20">
        <f>$D103*攻击分赃比!H103*开放指数!H103</f>
        <v>126</v>
      </c>
      <c r="L103" s="20">
        <f>$D103*攻击分赃比!I103*开放指数!I103</f>
        <v>63</v>
      </c>
      <c r="M103" s="20">
        <f>$D103*攻击分赃比!J103*开放指数!J103</f>
        <v>168</v>
      </c>
      <c r="N103" s="20">
        <f>$D103*攻击分赃比!K103*开放指数!K103</f>
        <v>252</v>
      </c>
      <c r="O103" s="20">
        <f>$D103*攻击分赃比!M103*开放指数!L103</f>
        <v>315</v>
      </c>
      <c r="P103" s="20">
        <f>$D103*攻击分赃比!N103*开放指数!M103</f>
        <v>420</v>
      </c>
      <c r="Q103" s="20">
        <f>$D103*攻击分赃比!O103*开放指数!N103</f>
        <v>525</v>
      </c>
      <c r="R103" s="20">
        <f>$D103*攻击分赃比!P103*开放指数!O103</f>
        <v>630</v>
      </c>
      <c r="S103" s="20">
        <f>$D103*攻击分赃比!Q103*开放指数!P103</f>
        <v>735</v>
      </c>
      <c r="T103" s="20">
        <f>$D103*攻击分赃比!R103*开放指数!Q103</f>
        <v>157.5</v>
      </c>
      <c r="U103" s="20">
        <f>$D103*攻击分赃比!S103*开放指数!R103</f>
        <v>63</v>
      </c>
      <c r="V103" s="20">
        <f>$D103*攻击分赃比!T103*开放指数!S103</f>
        <v>63</v>
      </c>
      <c r="W103" s="20">
        <f>$D103*攻击分赃比!U103*开放指数!T103</f>
        <v>10.5</v>
      </c>
      <c r="X103" s="21">
        <f>攻击分赃比!V103*开放指数!U103</f>
        <v>0.2</v>
      </c>
      <c r="Y103" s="21">
        <f>攻击分赃比!W103*开放指数!V103</f>
        <v>0.3</v>
      </c>
      <c r="Z103" s="21">
        <f>攻击分赃比!X103*开放指数!W103</f>
        <v>0.5</v>
      </c>
      <c r="AA103" s="21">
        <f>攻击分赃比!Y103*开放指数!X103</f>
        <v>0.8</v>
      </c>
      <c r="AB103" s="21">
        <f>攻击分赃比!Z103*开放指数!Y103</f>
        <v>1.2</v>
      </c>
      <c r="AC103" s="20">
        <f>$D103*攻击分赃比!AB103*开放指数!Z103</f>
        <v>210</v>
      </c>
      <c r="AD103" s="20">
        <f>$D103*攻击分赃比!AC103*开放指数!AA103</f>
        <v>252</v>
      </c>
      <c r="AE103" s="20">
        <f>$D103*攻击分赃比!AD103*开放指数!AB103</f>
        <v>315</v>
      </c>
      <c r="AF103" s="20">
        <f>$D103*攻击分赃比!AE103*开放指数!AC103</f>
        <v>420</v>
      </c>
      <c r="AG103" s="20">
        <f>$D103*攻击分赃比!AF103*开放指数!AD103</f>
        <v>525</v>
      </c>
      <c r="AH103" s="20">
        <f>$D103*攻击分赃比!AG103*开放指数!AE103</f>
        <v>105</v>
      </c>
      <c r="AI103" s="20">
        <f>$D103*攻击分赃比!AH103*开放指数!AF103</f>
        <v>42</v>
      </c>
      <c r="AJ103" s="20">
        <f>$D103*攻击分赃比!AI103*开放指数!AG103</f>
        <v>42</v>
      </c>
      <c r="AK103" s="20">
        <f>$D103*攻击分赃比!AJ103*开放指数!AH103</f>
        <v>6.3</v>
      </c>
      <c r="AL103" s="20">
        <f>$D103*攻击分赃比!AL103*开放指数!AI103</f>
        <v>252</v>
      </c>
      <c r="AM103" s="21">
        <f>攻击分赃比!AM103*开放指数!AJ103</f>
        <v>0.2</v>
      </c>
      <c r="AN103" s="21">
        <f>攻击分赃比!AN103*开放指数!AK103</f>
        <v>0.3</v>
      </c>
      <c r="AO103" s="21">
        <f>攻击分赃比!AO103*开放指数!AL103</f>
        <v>0.5</v>
      </c>
      <c r="AP103" s="21">
        <f>攻击分赃比!AP103*开放指数!AM103</f>
        <v>0.8</v>
      </c>
      <c r="AQ103" s="21">
        <f>攻击分赃比!AQ103*开放指数!AN103</f>
        <v>1.2</v>
      </c>
      <c r="AR103" s="20">
        <f>$D103*攻击分赃比!AS103*开放指数!AO103</f>
        <v>42</v>
      </c>
      <c r="AS103" s="20">
        <f t="shared" si="47"/>
        <v>1029</v>
      </c>
      <c r="AT103" s="20">
        <f t="shared" si="48"/>
        <v>4528.7000000000007</v>
      </c>
      <c r="AW103" s="20">
        <f t="shared" si="49"/>
        <v>1301</v>
      </c>
      <c r="AX103" s="20">
        <f t="shared" si="50"/>
        <v>1911.0000000000002</v>
      </c>
      <c r="AY103" s="20">
        <f t="shared" si="36"/>
        <v>720.3</v>
      </c>
      <c r="AZ103" s="20">
        <f t="shared" si="37"/>
        <v>554.40000000000009</v>
      </c>
      <c r="BA103" s="20">
        <f t="shared" si="38"/>
        <v>42</v>
      </c>
      <c r="BB103" s="73">
        <f t="shared" si="51"/>
        <v>21.565238095238097</v>
      </c>
    </row>
    <row r="104" spans="1:54" s="20" customFormat="1">
      <c r="A104" s="46">
        <v>102</v>
      </c>
      <c r="B104" s="51">
        <f t="shared" si="40"/>
        <v>2</v>
      </c>
      <c r="C104" s="9">
        <f t="shared" si="39"/>
        <v>212</v>
      </c>
      <c r="D104" s="20">
        <f t="shared" si="52"/>
        <v>212</v>
      </c>
      <c r="E104" s="20">
        <f>$D104*攻击分赃比!B104*开放指数!B104</f>
        <v>254.39999999999998</v>
      </c>
      <c r="F104" s="20">
        <f>$D104*攻击分赃比!C104*开放指数!C104</f>
        <v>318</v>
      </c>
      <c r="G104" s="20">
        <f>$D104*攻击分赃比!D104*开放指数!D104</f>
        <v>424</v>
      </c>
      <c r="H104" s="20">
        <f>$D104*攻击分赃比!E104*开放指数!E104</f>
        <v>530</v>
      </c>
      <c r="I104" s="20">
        <f t="shared" si="42"/>
        <v>104</v>
      </c>
      <c r="J104" s="20">
        <f>$D104*攻击分赃比!G104*开放指数!G104</f>
        <v>63.599999999999994</v>
      </c>
      <c r="K104" s="20">
        <f>$D104*攻击分赃比!H104*开放指数!H104</f>
        <v>127.19999999999999</v>
      </c>
      <c r="L104" s="20">
        <f>$D104*攻击分赃比!I104*开放指数!I104</f>
        <v>63.599999999999994</v>
      </c>
      <c r="M104" s="20">
        <f>$D104*攻击分赃比!J104*开放指数!J104</f>
        <v>169.60000000000002</v>
      </c>
      <c r="N104" s="20">
        <f>$D104*攻击分赃比!K104*开放指数!K104</f>
        <v>254.39999999999998</v>
      </c>
      <c r="O104" s="20">
        <f>$D104*攻击分赃比!M104*开放指数!L104</f>
        <v>318</v>
      </c>
      <c r="P104" s="20">
        <f>$D104*攻击分赃比!N104*开放指数!M104</f>
        <v>424</v>
      </c>
      <c r="Q104" s="20">
        <f>$D104*攻击分赃比!O104*开放指数!N104</f>
        <v>530</v>
      </c>
      <c r="R104" s="20">
        <f>$D104*攻击分赃比!P104*开放指数!O104</f>
        <v>636</v>
      </c>
      <c r="S104" s="20">
        <f>$D104*攻击分赃比!Q104*开放指数!P104</f>
        <v>742</v>
      </c>
      <c r="T104" s="20">
        <f>$D104*攻击分赃比!R104*开放指数!Q104</f>
        <v>159</v>
      </c>
      <c r="U104" s="20">
        <f>$D104*攻击分赃比!S104*开放指数!R104</f>
        <v>63.599999999999994</v>
      </c>
      <c r="V104" s="20">
        <f>$D104*攻击分赃比!T104*开放指数!S104</f>
        <v>63.599999999999994</v>
      </c>
      <c r="W104" s="20">
        <f>$D104*攻击分赃比!U104*开放指数!T104</f>
        <v>10.600000000000001</v>
      </c>
      <c r="X104" s="21">
        <f>攻击分赃比!V104*开放指数!U104</f>
        <v>0.2</v>
      </c>
      <c r="Y104" s="21">
        <f>攻击分赃比!W104*开放指数!V104</f>
        <v>0.3</v>
      </c>
      <c r="Z104" s="21">
        <f>攻击分赃比!X104*开放指数!W104</f>
        <v>0.5</v>
      </c>
      <c r="AA104" s="21">
        <f>攻击分赃比!Y104*开放指数!X104</f>
        <v>0.8</v>
      </c>
      <c r="AB104" s="21">
        <f>攻击分赃比!Z104*开放指数!Y104</f>
        <v>1.2</v>
      </c>
      <c r="AC104" s="20">
        <f>$D104*攻击分赃比!AB104*开放指数!Z104</f>
        <v>212</v>
      </c>
      <c r="AD104" s="20">
        <f>$D104*攻击分赃比!AC104*开放指数!AA104</f>
        <v>254.39999999999998</v>
      </c>
      <c r="AE104" s="20">
        <f>$D104*攻击分赃比!AD104*开放指数!AB104</f>
        <v>318</v>
      </c>
      <c r="AF104" s="20">
        <f>$D104*攻击分赃比!AE104*开放指数!AC104</f>
        <v>424</v>
      </c>
      <c r="AG104" s="20">
        <f>$D104*攻击分赃比!AF104*开放指数!AD104</f>
        <v>530</v>
      </c>
      <c r="AH104" s="20">
        <f>$D104*攻击分赃比!AG104*开放指数!AE104</f>
        <v>106</v>
      </c>
      <c r="AI104" s="20">
        <f>$D104*攻击分赃比!AH104*开放指数!AF104</f>
        <v>42.400000000000006</v>
      </c>
      <c r="AJ104" s="20">
        <f>$D104*攻击分赃比!AI104*开放指数!AG104</f>
        <v>42.400000000000006</v>
      </c>
      <c r="AK104" s="20">
        <f>$D104*攻击分赃比!AJ104*开放指数!AH104</f>
        <v>6.3599999999999994</v>
      </c>
      <c r="AL104" s="20">
        <f>$D104*攻击分赃比!AL104*开放指数!AI104</f>
        <v>254.39999999999998</v>
      </c>
      <c r="AM104" s="21">
        <f>攻击分赃比!AM104*开放指数!AJ104</f>
        <v>0.2</v>
      </c>
      <c r="AN104" s="21">
        <f>攻击分赃比!AN104*开放指数!AK104</f>
        <v>0.3</v>
      </c>
      <c r="AO104" s="21">
        <f>攻击分赃比!AO104*开放指数!AL104</f>
        <v>0.5</v>
      </c>
      <c r="AP104" s="21">
        <f>攻击分赃比!AP104*开放指数!AM104</f>
        <v>0.8</v>
      </c>
      <c r="AQ104" s="21">
        <f>攻击分赃比!AQ104*开放指数!AN104</f>
        <v>1.2</v>
      </c>
      <c r="AR104" s="20">
        <f>$D104*攻击分赃比!AS104*开放指数!AO104</f>
        <v>42.400000000000006</v>
      </c>
      <c r="AS104" s="20">
        <f t="shared" si="47"/>
        <v>1038.8</v>
      </c>
      <c r="AT104" s="20">
        <f t="shared" si="48"/>
        <v>4570.84</v>
      </c>
      <c r="AW104" s="20">
        <f t="shared" si="49"/>
        <v>1312.4</v>
      </c>
      <c r="AX104" s="20">
        <f t="shared" si="50"/>
        <v>1929.1999999999998</v>
      </c>
      <c r="AY104" s="20">
        <f t="shared" si="36"/>
        <v>727.16</v>
      </c>
      <c r="AZ104" s="20">
        <f t="shared" si="37"/>
        <v>559.67999999999995</v>
      </c>
      <c r="BA104" s="20">
        <f t="shared" si="38"/>
        <v>42.400000000000006</v>
      </c>
      <c r="BB104" s="73">
        <f t="shared" si="51"/>
        <v>21.56056603773585</v>
      </c>
    </row>
    <row r="105" spans="1:54" s="20" customFormat="1">
      <c r="A105" s="46">
        <v>103</v>
      </c>
      <c r="B105" s="51">
        <f t="shared" si="40"/>
        <v>2</v>
      </c>
      <c r="C105" s="9">
        <f t="shared" si="39"/>
        <v>214</v>
      </c>
      <c r="D105" s="20">
        <f t="shared" si="52"/>
        <v>214</v>
      </c>
      <c r="E105" s="20">
        <f>$D105*攻击分赃比!B105*开放指数!B105</f>
        <v>256.8</v>
      </c>
      <c r="F105" s="20">
        <f>$D105*攻击分赃比!C105*开放指数!C105</f>
        <v>321</v>
      </c>
      <c r="G105" s="20">
        <f>$D105*攻击分赃比!D105*开放指数!D105</f>
        <v>428</v>
      </c>
      <c r="H105" s="20">
        <f>$D105*攻击分赃比!E105*开放指数!E105</f>
        <v>535</v>
      </c>
      <c r="I105" s="20">
        <f t="shared" si="42"/>
        <v>104</v>
      </c>
      <c r="J105" s="20">
        <f>$D105*攻击分赃比!G105*开放指数!G105</f>
        <v>64.2</v>
      </c>
      <c r="K105" s="20">
        <f>$D105*攻击分赃比!H105*开放指数!H105</f>
        <v>128.4</v>
      </c>
      <c r="L105" s="20">
        <f>$D105*攻击分赃比!I105*开放指数!I105</f>
        <v>64.2</v>
      </c>
      <c r="M105" s="20">
        <f>$D105*攻击分赃比!J105*开放指数!J105</f>
        <v>171.20000000000002</v>
      </c>
      <c r="N105" s="20">
        <f>$D105*攻击分赃比!K105*开放指数!K105</f>
        <v>256.8</v>
      </c>
      <c r="O105" s="20">
        <f>$D105*攻击分赃比!M105*开放指数!L105</f>
        <v>321</v>
      </c>
      <c r="P105" s="20">
        <f>$D105*攻击分赃比!N105*开放指数!M105</f>
        <v>428</v>
      </c>
      <c r="Q105" s="20">
        <f>$D105*攻击分赃比!O105*开放指数!N105</f>
        <v>535</v>
      </c>
      <c r="R105" s="20">
        <f>$D105*攻击分赃比!P105*开放指数!O105</f>
        <v>642</v>
      </c>
      <c r="S105" s="20">
        <f>$D105*攻击分赃比!Q105*开放指数!P105</f>
        <v>749</v>
      </c>
      <c r="T105" s="20">
        <f>$D105*攻击分赃比!R105*开放指数!Q105</f>
        <v>160.5</v>
      </c>
      <c r="U105" s="20">
        <f>$D105*攻击分赃比!S105*开放指数!R105</f>
        <v>64.2</v>
      </c>
      <c r="V105" s="20">
        <f>$D105*攻击分赃比!T105*开放指数!S105</f>
        <v>64.2</v>
      </c>
      <c r="W105" s="20">
        <f>$D105*攻击分赃比!U105*开放指数!T105</f>
        <v>10.700000000000001</v>
      </c>
      <c r="X105" s="21">
        <f>攻击分赃比!V105*开放指数!U105</f>
        <v>0.2</v>
      </c>
      <c r="Y105" s="21">
        <f>攻击分赃比!W105*开放指数!V105</f>
        <v>0.3</v>
      </c>
      <c r="Z105" s="21">
        <f>攻击分赃比!X105*开放指数!W105</f>
        <v>0.5</v>
      </c>
      <c r="AA105" s="21">
        <f>攻击分赃比!Y105*开放指数!X105</f>
        <v>0.8</v>
      </c>
      <c r="AB105" s="21">
        <f>攻击分赃比!Z105*开放指数!Y105</f>
        <v>1.2</v>
      </c>
      <c r="AC105" s="20">
        <f>$D105*攻击分赃比!AB105*开放指数!Z105</f>
        <v>214</v>
      </c>
      <c r="AD105" s="20">
        <f>$D105*攻击分赃比!AC105*开放指数!AA105</f>
        <v>256.8</v>
      </c>
      <c r="AE105" s="20">
        <f>$D105*攻击分赃比!AD105*开放指数!AB105</f>
        <v>321</v>
      </c>
      <c r="AF105" s="20">
        <f>$D105*攻击分赃比!AE105*开放指数!AC105</f>
        <v>428</v>
      </c>
      <c r="AG105" s="20">
        <f>$D105*攻击分赃比!AF105*开放指数!AD105</f>
        <v>535</v>
      </c>
      <c r="AH105" s="20">
        <f>$D105*攻击分赃比!AG105*开放指数!AE105</f>
        <v>107</v>
      </c>
      <c r="AI105" s="20">
        <f>$D105*攻击分赃比!AH105*开放指数!AF105</f>
        <v>42.800000000000004</v>
      </c>
      <c r="AJ105" s="20">
        <f>$D105*攻击分赃比!AI105*开放指数!AG105</f>
        <v>42.800000000000004</v>
      </c>
      <c r="AK105" s="20">
        <f>$D105*攻击分赃比!AJ105*开放指数!AH105</f>
        <v>6.42</v>
      </c>
      <c r="AL105" s="20">
        <f>$D105*攻击分赃比!AL105*开放指数!AI105</f>
        <v>256.8</v>
      </c>
      <c r="AM105" s="21">
        <f>攻击分赃比!AM105*开放指数!AJ105</f>
        <v>0.2</v>
      </c>
      <c r="AN105" s="21">
        <f>攻击分赃比!AN105*开放指数!AK105</f>
        <v>0.3</v>
      </c>
      <c r="AO105" s="21">
        <f>攻击分赃比!AO105*开放指数!AL105</f>
        <v>0.5</v>
      </c>
      <c r="AP105" s="21">
        <f>攻击分赃比!AP105*开放指数!AM105</f>
        <v>0.8</v>
      </c>
      <c r="AQ105" s="21">
        <f>攻击分赃比!AQ105*开放指数!AN105</f>
        <v>1.2</v>
      </c>
      <c r="AR105" s="20">
        <f>$D105*攻击分赃比!AS105*开放指数!AO105</f>
        <v>42.800000000000004</v>
      </c>
      <c r="AS105" s="20">
        <f t="shared" si="47"/>
        <v>1048.5999999999999</v>
      </c>
      <c r="AT105" s="20">
        <f t="shared" si="48"/>
        <v>4612.9800000000005</v>
      </c>
      <c r="AW105" s="20">
        <f t="shared" si="49"/>
        <v>1323.8</v>
      </c>
      <c r="AX105" s="20">
        <f t="shared" si="50"/>
        <v>1947.4000000000003</v>
      </c>
      <c r="AY105" s="20">
        <f t="shared" si="36"/>
        <v>734.01999999999987</v>
      </c>
      <c r="AZ105" s="20">
        <f t="shared" si="37"/>
        <v>564.96</v>
      </c>
      <c r="BA105" s="20">
        <f t="shared" si="38"/>
        <v>42.800000000000004</v>
      </c>
      <c r="BB105" s="73">
        <f t="shared" si="51"/>
        <v>21.555981308411216</v>
      </c>
    </row>
    <row r="106" spans="1:54" s="20" customFormat="1">
      <c r="A106" s="46">
        <v>104</v>
      </c>
      <c r="B106" s="51">
        <f t="shared" si="40"/>
        <v>2</v>
      </c>
      <c r="C106" s="9">
        <f t="shared" si="39"/>
        <v>216</v>
      </c>
      <c r="D106" s="20">
        <f t="shared" si="52"/>
        <v>216</v>
      </c>
      <c r="E106" s="20">
        <f>$D106*攻击分赃比!B106*开放指数!B106</f>
        <v>259.2</v>
      </c>
      <c r="F106" s="20">
        <f>$D106*攻击分赃比!C106*开放指数!C106</f>
        <v>324</v>
      </c>
      <c r="G106" s="20">
        <f>$D106*攻击分赃比!D106*开放指数!D106</f>
        <v>432</v>
      </c>
      <c r="H106" s="20">
        <f>$D106*攻击分赃比!E106*开放指数!E106</f>
        <v>540</v>
      </c>
      <c r="I106" s="20">
        <f t="shared" si="42"/>
        <v>104</v>
      </c>
      <c r="J106" s="20">
        <f>$D106*攻击分赃比!G106*开放指数!G106</f>
        <v>64.8</v>
      </c>
      <c r="K106" s="20">
        <f>$D106*攻击分赃比!H106*开放指数!H106</f>
        <v>129.6</v>
      </c>
      <c r="L106" s="20">
        <f>$D106*攻击分赃比!I106*开放指数!I106</f>
        <v>64.8</v>
      </c>
      <c r="M106" s="20">
        <f>$D106*攻击分赃比!J106*开放指数!J106</f>
        <v>172.8</v>
      </c>
      <c r="N106" s="20">
        <f>$D106*攻击分赃比!K106*开放指数!K106</f>
        <v>259.2</v>
      </c>
      <c r="O106" s="20">
        <f>$D106*攻击分赃比!M106*开放指数!L106</f>
        <v>324</v>
      </c>
      <c r="P106" s="20">
        <f>$D106*攻击分赃比!N106*开放指数!M106</f>
        <v>432</v>
      </c>
      <c r="Q106" s="20">
        <f>$D106*攻击分赃比!O106*开放指数!N106</f>
        <v>540</v>
      </c>
      <c r="R106" s="20">
        <f>$D106*攻击分赃比!P106*开放指数!O106</f>
        <v>648</v>
      </c>
      <c r="S106" s="20">
        <f>$D106*攻击分赃比!Q106*开放指数!P106</f>
        <v>756</v>
      </c>
      <c r="T106" s="20">
        <f>$D106*攻击分赃比!R106*开放指数!Q106</f>
        <v>162</v>
      </c>
      <c r="U106" s="20">
        <f>$D106*攻击分赃比!S106*开放指数!R106</f>
        <v>64.8</v>
      </c>
      <c r="V106" s="20">
        <f>$D106*攻击分赃比!T106*开放指数!S106</f>
        <v>64.8</v>
      </c>
      <c r="W106" s="20">
        <f>$D106*攻击分赃比!U106*开放指数!T106</f>
        <v>10.8</v>
      </c>
      <c r="X106" s="21">
        <f>攻击分赃比!V106*开放指数!U106</f>
        <v>0.2</v>
      </c>
      <c r="Y106" s="21">
        <f>攻击分赃比!W106*开放指数!V106</f>
        <v>0.3</v>
      </c>
      <c r="Z106" s="21">
        <f>攻击分赃比!X106*开放指数!W106</f>
        <v>0.5</v>
      </c>
      <c r="AA106" s="21">
        <f>攻击分赃比!Y106*开放指数!X106</f>
        <v>0.8</v>
      </c>
      <c r="AB106" s="21">
        <f>攻击分赃比!Z106*开放指数!Y106</f>
        <v>1.2</v>
      </c>
      <c r="AC106" s="20">
        <f>$D106*攻击分赃比!AB106*开放指数!Z106</f>
        <v>216</v>
      </c>
      <c r="AD106" s="20">
        <f>$D106*攻击分赃比!AC106*开放指数!AA106</f>
        <v>259.2</v>
      </c>
      <c r="AE106" s="20">
        <f>$D106*攻击分赃比!AD106*开放指数!AB106</f>
        <v>324</v>
      </c>
      <c r="AF106" s="20">
        <f>$D106*攻击分赃比!AE106*开放指数!AC106</f>
        <v>432</v>
      </c>
      <c r="AG106" s="20">
        <f>$D106*攻击分赃比!AF106*开放指数!AD106</f>
        <v>540</v>
      </c>
      <c r="AH106" s="20">
        <f>$D106*攻击分赃比!AG106*开放指数!AE106</f>
        <v>108</v>
      </c>
      <c r="AI106" s="20">
        <f>$D106*攻击分赃比!AH106*开放指数!AF106</f>
        <v>43.2</v>
      </c>
      <c r="AJ106" s="20">
        <f>$D106*攻击分赃比!AI106*开放指数!AG106</f>
        <v>43.2</v>
      </c>
      <c r="AK106" s="20">
        <f>$D106*攻击分赃比!AJ106*开放指数!AH106</f>
        <v>6.4799999999999995</v>
      </c>
      <c r="AL106" s="20">
        <f>$D106*攻击分赃比!AL106*开放指数!AI106</f>
        <v>259.2</v>
      </c>
      <c r="AM106" s="21">
        <f>攻击分赃比!AM106*开放指数!AJ106</f>
        <v>0.2</v>
      </c>
      <c r="AN106" s="21">
        <f>攻击分赃比!AN106*开放指数!AK106</f>
        <v>0.3</v>
      </c>
      <c r="AO106" s="21">
        <f>攻击分赃比!AO106*开放指数!AL106</f>
        <v>0.5</v>
      </c>
      <c r="AP106" s="21">
        <f>攻击分赃比!AP106*开放指数!AM106</f>
        <v>0.8</v>
      </c>
      <c r="AQ106" s="21">
        <f>攻击分赃比!AQ106*开放指数!AN106</f>
        <v>1.2</v>
      </c>
      <c r="AR106" s="20">
        <f>$D106*攻击分赃比!AS106*开放指数!AO106</f>
        <v>43.2</v>
      </c>
      <c r="AS106" s="20">
        <f t="shared" si="47"/>
        <v>1058.4000000000001</v>
      </c>
      <c r="AT106" s="20">
        <f t="shared" si="48"/>
        <v>4655.12</v>
      </c>
      <c r="AW106" s="20">
        <f t="shared" si="49"/>
        <v>1335.2</v>
      </c>
      <c r="AX106" s="20">
        <f t="shared" si="50"/>
        <v>1965.6</v>
      </c>
      <c r="AY106" s="20">
        <f t="shared" si="36"/>
        <v>740.88000000000011</v>
      </c>
      <c r="AZ106" s="20">
        <f t="shared" si="37"/>
        <v>570.24</v>
      </c>
      <c r="BA106" s="20">
        <f t="shared" si="38"/>
        <v>43.2</v>
      </c>
      <c r="BB106" s="73">
        <f t="shared" si="51"/>
        <v>21.551481481481481</v>
      </c>
    </row>
    <row r="107" spans="1:54" s="20" customFormat="1">
      <c r="A107" s="46">
        <v>105</v>
      </c>
      <c r="B107" s="51">
        <f t="shared" si="40"/>
        <v>2</v>
      </c>
      <c r="C107" s="9">
        <f t="shared" si="39"/>
        <v>218</v>
      </c>
      <c r="D107" s="20">
        <f t="shared" si="52"/>
        <v>218</v>
      </c>
      <c r="E107" s="20">
        <f>$D107*攻击分赃比!B107*开放指数!B107</f>
        <v>261.59999999999997</v>
      </c>
      <c r="F107" s="20">
        <f>$D107*攻击分赃比!C107*开放指数!C107</f>
        <v>327</v>
      </c>
      <c r="G107" s="20">
        <f>$D107*攻击分赃比!D107*开放指数!D107</f>
        <v>436</v>
      </c>
      <c r="H107" s="20">
        <f>$D107*攻击分赃比!E107*开放指数!E107</f>
        <v>545</v>
      </c>
      <c r="I107" s="20">
        <f>$D107*攻击分赃比!F107*开放指数!F107</f>
        <v>109</v>
      </c>
      <c r="J107" s="20">
        <f>$D107*攻击分赃比!G107*开放指数!G107</f>
        <v>65.399999999999991</v>
      </c>
      <c r="K107" s="20">
        <f>$D107*攻击分赃比!H107*开放指数!H107</f>
        <v>130.79999999999998</v>
      </c>
      <c r="L107" s="20">
        <f>$D107*攻击分赃比!I107*开放指数!I107</f>
        <v>65.399999999999991</v>
      </c>
      <c r="M107" s="20">
        <f>$D107*攻击分赃比!J107*开放指数!J107</f>
        <v>174.4</v>
      </c>
      <c r="N107" s="20">
        <f>$D107*攻击分赃比!K107*开放指数!K107</f>
        <v>261.59999999999997</v>
      </c>
      <c r="O107" s="20">
        <f>$D107*攻击分赃比!M107*开放指数!L107</f>
        <v>327</v>
      </c>
      <c r="P107" s="20">
        <f>$D107*攻击分赃比!N107*开放指数!M107</f>
        <v>436</v>
      </c>
      <c r="Q107" s="20">
        <f>$D107*攻击分赃比!O107*开放指数!N107</f>
        <v>545</v>
      </c>
      <c r="R107" s="20">
        <f>$D107*攻击分赃比!P107*开放指数!O107</f>
        <v>654</v>
      </c>
      <c r="S107" s="20">
        <f>$D107*攻击分赃比!Q107*开放指数!P107</f>
        <v>763</v>
      </c>
      <c r="T107" s="20">
        <f>$D107*攻击分赃比!R107*开放指数!Q107</f>
        <v>163.5</v>
      </c>
      <c r="U107" s="20">
        <f>$D107*攻击分赃比!S107*开放指数!R107</f>
        <v>65.399999999999991</v>
      </c>
      <c r="V107" s="20">
        <f>$D107*攻击分赃比!T107*开放指数!S107</f>
        <v>65.399999999999991</v>
      </c>
      <c r="W107" s="20">
        <f>$D107*攻击分赃比!U107*开放指数!T107</f>
        <v>10.9</v>
      </c>
      <c r="X107" s="21">
        <f>攻击分赃比!V107*开放指数!U107</f>
        <v>0.2</v>
      </c>
      <c r="Y107" s="21">
        <f>攻击分赃比!W107*开放指数!V107</f>
        <v>0.3</v>
      </c>
      <c r="Z107" s="21">
        <f>攻击分赃比!X107*开放指数!W107</f>
        <v>0.5</v>
      </c>
      <c r="AA107" s="21">
        <f>攻击分赃比!Y107*开放指数!X107</f>
        <v>0.8</v>
      </c>
      <c r="AB107" s="21">
        <f>攻击分赃比!Z107*开放指数!Y107</f>
        <v>1.2</v>
      </c>
      <c r="AC107" s="20">
        <f>$D107*攻击分赃比!AB107*开放指数!Z107</f>
        <v>218</v>
      </c>
      <c r="AD107" s="20">
        <f>$D107*攻击分赃比!AC107*开放指数!AA107</f>
        <v>261.59999999999997</v>
      </c>
      <c r="AE107" s="20">
        <f>$D107*攻击分赃比!AD107*开放指数!AB107</f>
        <v>327</v>
      </c>
      <c r="AF107" s="20">
        <f>$D107*攻击分赃比!AE107*开放指数!AC107</f>
        <v>436</v>
      </c>
      <c r="AG107" s="20">
        <f>$D107*攻击分赃比!AF107*开放指数!AD107</f>
        <v>545</v>
      </c>
      <c r="AH107" s="20">
        <f>$D107*攻击分赃比!AG107*开放指数!AE107</f>
        <v>109</v>
      </c>
      <c r="AI107" s="20">
        <f>$D107*攻击分赃比!AH107*开放指数!AF107</f>
        <v>43.6</v>
      </c>
      <c r="AJ107" s="20">
        <f>$D107*攻击分赃比!AI107*开放指数!AG107</f>
        <v>43.6</v>
      </c>
      <c r="AK107" s="20">
        <f>$D107*攻击分赃比!AJ107*开放指数!AH107</f>
        <v>6.54</v>
      </c>
      <c r="AL107" s="20">
        <f>$D107*攻击分赃比!AL107*开放指数!AI107</f>
        <v>261.59999999999997</v>
      </c>
      <c r="AM107" s="21">
        <f>攻击分赃比!AM107*开放指数!AJ107</f>
        <v>0.2</v>
      </c>
      <c r="AN107" s="21">
        <f>攻击分赃比!AN107*开放指数!AK107</f>
        <v>0.3</v>
      </c>
      <c r="AO107" s="21">
        <f>攻击分赃比!AO107*开放指数!AL107</f>
        <v>0.5</v>
      </c>
      <c r="AP107" s="21">
        <f>攻击分赃比!AP107*开放指数!AM107</f>
        <v>0.8</v>
      </c>
      <c r="AQ107" s="21">
        <f>攻击分赃比!AQ107*开放指数!AN107</f>
        <v>1.2</v>
      </c>
      <c r="AR107" s="20">
        <f>$D107*攻击分赃比!AS107*开放指数!AO107</f>
        <v>43.6</v>
      </c>
      <c r="AS107" s="20">
        <f t="shared" si="47"/>
        <v>1068.2</v>
      </c>
      <c r="AT107" s="20">
        <f t="shared" si="48"/>
        <v>4702.26</v>
      </c>
      <c r="AW107" s="20">
        <f t="shared" si="49"/>
        <v>1351.6</v>
      </c>
      <c r="AX107" s="20">
        <f t="shared" si="50"/>
        <v>1983.8000000000004</v>
      </c>
      <c r="AY107" s="20">
        <f t="shared" si="36"/>
        <v>747.74</v>
      </c>
      <c r="AZ107" s="20">
        <f t="shared" si="37"/>
        <v>575.52</v>
      </c>
      <c r="BA107" s="20">
        <f t="shared" si="38"/>
        <v>43.6</v>
      </c>
      <c r="BB107" s="73">
        <f t="shared" si="51"/>
        <v>21.57</v>
      </c>
    </row>
    <row r="108" spans="1:54" s="20" customFormat="1">
      <c r="A108" s="46">
        <v>106</v>
      </c>
      <c r="B108" s="51">
        <f t="shared" si="40"/>
        <v>2</v>
      </c>
      <c r="C108" s="9">
        <f t="shared" si="39"/>
        <v>220</v>
      </c>
      <c r="D108" s="20">
        <f t="shared" si="52"/>
        <v>220</v>
      </c>
      <c r="E108" s="20">
        <f>$D108*攻击分赃比!B108*开放指数!B108</f>
        <v>264</v>
      </c>
      <c r="F108" s="20">
        <f>$D108*攻击分赃比!C108*开放指数!C108</f>
        <v>330</v>
      </c>
      <c r="G108" s="20">
        <f>$D108*攻击分赃比!D108*开放指数!D108</f>
        <v>440</v>
      </c>
      <c r="H108" s="20">
        <f>$D108*攻击分赃比!E108*开放指数!E108</f>
        <v>550</v>
      </c>
      <c r="I108" s="20">
        <f t="shared" ref="I108" si="54">I107</f>
        <v>109</v>
      </c>
      <c r="J108" s="20">
        <f>$D108*攻击分赃比!G108*开放指数!G108</f>
        <v>66</v>
      </c>
      <c r="K108" s="20">
        <f>$D108*攻击分赃比!H108*开放指数!H108</f>
        <v>132</v>
      </c>
      <c r="L108" s="20">
        <f>$D108*攻击分赃比!I108*开放指数!I108</f>
        <v>66</v>
      </c>
      <c r="M108" s="20">
        <f>$D108*攻击分赃比!J108*开放指数!J108</f>
        <v>176</v>
      </c>
      <c r="N108" s="20">
        <f>$D108*攻击分赃比!K108*开放指数!K108</f>
        <v>264</v>
      </c>
      <c r="O108" s="20">
        <f>$D108*攻击分赃比!M108*开放指数!L108</f>
        <v>330</v>
      </c>
      <c r="P108" s="20">
        <f>$D108*攻击分赃比!N108*开放指数!M108</f>
        <v>440</v>
      </c>
      <c r="Q108" s="20">
        <f>$D108*攻击分赃比!O108*开放指数!N108</f>
        <v>550</v>
      </c>
      <c r="R108" s="20">
        <f>$D108*攻击分赃比!P108*开放指数!O108</f>
        <v>660</v>
      </c>
      <c r="S108" s="20">
        <f>$D108*攻击分赃比!Q108*开放指数!P108</f>
        <v>770</v>
      </c>
      <c r="T108" s="20">
        <f>$D108*攻击分赃比!R108*开放指数!Q108</f>
        <v>165</v>
      </c>
      <c r="U108" s="20">
        <f>$D108*攻击分赃比!S108*开放指数!R108</f>
        <v>66</v>
      </c>
      <c r="V108" s="20">
        <f>$D108*攻击分赃比!T108*开放指数!S108</f>
        <v>66</v>
      </c>
      <c r="W108" s="20">
        <f>$D108*攻击分赃比!U108*开放指数!T108</f>
        <v>11</v>
      </c>
      <c r="X108" s="21">
        <f>攻击分赃比!V108*开放指数!U108</f>
        <v>0.2</v>
      </c>
      <c r="Y108" s="21">
        <f>攻击分赃比!W108*开放指数!V108</f>
        <v>0.3</v>
      </c>
      <c r="Z108" s="21">
        <f>攻击分赃比!X108*开放指数!W108</f>
        <v>0.5</v>
      </c>
      <c r="AA108" s="21">
        <f>攻击分赃比!Y108*开放指数!X108</f>
        <v>0.8</v>
      </c>
      <c r="AB108" s="21">
        <f>攻击分赃比!Z108*开放指数!Y108</f>
        <v>1.2</v>
      </c>
      <c r="AC108" s="20">
        <f>$D108*攻击分赃比!AB108*开放指数!Z108</f>
        <v>220</v>
      </c>
      <c r="AD108" s="20">
        <f>$D108*攻击分赃比!AC108*开放指数!AA108</f>
        <v>264</v>
      </c>
      <c r="AE108" s="20">
        <f>$D108*攻击分赃比!AD108*开放指数!AB108</f>
        <v>330</v>
      </c>
      <c r="AF108" s="20">
        <f>$D108*攻击分赃比!AE108*开放指数!AC108</f>
        <v>440</v>
      </c>
      <c r="AG108" s="20">
        <f>$D108*攻击分赃比!AF108*开放指数!AD108</f>
        <v>550</v>
      </c>
      <c r="AH108" s="20">
        <f>$D108*攻击分赃比!AG108*开放指数!AE108</f>
        <v>110</v>
      </c>
      <c r="AI108" s="20">
        <f>$D108*攻击分赃比!AH108*开放指数!AF108</f>
        <v>44</v>
      </c>
      <c r="AJ108" s="20">
        <f>$D108*攻击分赃比!AI108*开放指数!AG108</f>
        <v>44</v>
      </c>
      <c r="AK108" s="20">
        <f>$D108*攻击分赃比!AJ108*开放指数!AH108</f>
        <v>6.6</v>
      </c>
      <c r="AL108" s="20">
        <f>$D108*攻击分赃比!AL108*开放指数!AI108</f>
        <v>264</v>
      </c>
      <c r="AM108" s="21">
        <f>攻击分赃比!AM108*开放指数!AJ108</f>
        <v>0.2</v>
      </c>
      <c r="AN108" s="21">
        <f>攻击分赃比!AN108*开放指数!AK108</f>
        <v>0.3</v>
      </c>
      <c r="AO108" s="21">
        <f>攻击分赃比!AO108*开放指数!AL108</f>
        <v>0.5</v>
      </c>
      <c r="AP108" s="21">
        <f>攻击分赃比!AP108*开放指数!AM108</f>
        <v>0.8</v>
      </c>
      <c r="AQ108" s="21">
        <f>攻击分赃比!AQ108*开放指数!AN108</f>
        <v>1.2</v>
      </c>
      <c r="AR108" s="20">
        <f>$D108*攻击分赃比!AS108*开放指数!AO108</f>
        <v>44</v>
      </c>
      <c r="AS108" s="20">
        <f t="shared" si="47"/>
        <v>1078</v>
      </c>
      <c r="AT108" s="20">
        <f t="shared" si="48"/>
        <v>4744.4000000000005</v>
      </c>
      <c r="AW108" s="20">
        <f t="shared" si="49"/>
        <v>1363</v>
      </c>
      <c r="AX108" s="20">
        <f t="shared" si="50"/>
        <v>2002.0000000000002</v>
      </c>
      <c r="AY108" s="20">
        <f t="shared" si="36"/>
        <v>754.6</v>
      </c>
      <c r="AZ108" s="20">
        <f t="shared" si="37"/>
        <v>580.80000000000007</v>
      </c>
      <c r="BA108" s="20">
        <f t="shared" si="38"/>
        <v>44</v>
      </c>
      <c r="BB108" s="73">
        <f t="shared" si="51"/>
        <v>21.565454545454546</v>
      </c>
    </row>
    <row r="109" spans="1:54" s="20" customFormat="1">
      <c r="A109" s="46">
        <v>107</v>
      </c>
      <c r="B109" s="51">
        <f t="shared" si="40"/>
        <v>2</v>
      </c>
      <c r="C109" s="9">
        <f t="shared" si="39"/>
        <v>222</v>
      </c>
      <c r="D109" s="20">
        <f t="shared" si="52"/>
        <v>222</v>
      </c>
      <c r="E109" s="20">
        <f>$D109*攻击分赃比!B109*开放指数!B109</f>
        <v>266.39999999999998</v>
      </c>
      <c r="F109" s="20">
        <f>$D109*攻击分赃比!C109*开放指数!C109</f>
        <v>333</v>
      </c>
      <c r="G109" s="20">
        <f>$D109*攻击分赃比!D109*开放指数!D109</f>
        <v>444</v>
      </c>
      <c r="H109" s="20">
        <f>$D109*攻击分赃比!E109*开放指数!E109</f>
        <v>555</v>
      </c>
      <c r="I109" s="20">
        <f t="shared" si="42"/>
        <v>109</v>
      </c>
      <c r="J109" s="20">
        <f>$D109*攻击分赃比!G109*开放指数!G109</f>
        <v>66.599999999999994</v>
      </c>
      <c r="K109" s="20">
        <f>$D109*攻击分赃比!H109*开放指数!H109</f>
        <v>133.19999999999999</v>
      </c>
      <c r="L109" s="20">
        <f>$D109*攻击分赃比!I109*开放指数!I109</f>
        <v>66.599999999999994</v>
      </c>
      <c r="M109" s="20">
        <f>$D109*攻击分赃比!J109*开放指数!J109</f>
        <v>177.60000000000002</v>
      </c>
      <c r="N109" s="20">
        <f>$D109*攻击分赃比!K109*开放指数!K109</f>
        <v>266.39999999999998</v>
      </c>
      <c r="O109" s="20">
        <f>$D109*攻击分赃比!M109*开放指数!L109</f>
        <v>333</v>
      </c>
      <c r="P109" s="20">
        <f>$D109*攻击分赃比!N109*开放指数!M109</f>
        <v>444</v>
      </c>
      <c r="Q109" s="20">
        <f>$D109*攻击分赃比!O109*开放指数!N109</f>
        <v>555</v>
      </c>
      <c r="R109" s="20">
        <f>$D109*攻击分赃比!P109*开放指数!O109</f>
        <v>666</v>
      </c>
      <c r="S109" s="20">
        <f>$D109*攻击分赃比!Q109*开放指数!P109</f>
        <v>777</v>
      </c>
      <c r="T109" s="20">
        <f>$D109*攻击分赃比!R109*开放指数!Q109</f>
        <v>166.5</v>
      </c>
      <c r="U109" s="20">
        <f>$D109*攻击分赃比!S109*开放指数!R109</f>
        <v>66.599999999999994</v>
      </c>
      <c r="V109" s="20">
        <f>$D109*攻击分赃比!T109*开放指数!S109</f>
        <v>66.599999999999994</v>
      </c>
      <c r="W109" s="20">
        <f>$D109*攻击分赃比!U109*开放指数!T109</f>
        <v>11.100000000000001</v>
      </c>
      <c r="X109" s="21">
        <f>攻击分赃比!V109*开放指数!U109</f>
        <v>0.2</v>
      </c>
      <c r="Y109" s="21">
        <f>攻击分赃比!W109*开放指数!V109</f>
        <v>0.3</v>
      </c>
      <c r="Z109" s="21">
        <f>攻击分赃比!X109*开放指数!W109</f>
        <v>0.5</v>
      </c>
      <c r="AA109" s="21">
        <f>攻击分赃比!Y109*开放指数!X109</f>
        <v>0.8</v>
      </c>
      <c r="AB109" s="21">
        <f>攻击分赃比!Z109*开放指数!Y109</f>
        <v>1.2</v>
      </c>
      <c r="AC109" s="20">
        <f>$D109*攻击分赃比!AB109*开放指数!Z109</f>
        <v>222</v>
      </c>
      <c r="AD109" s="20">
        <f>$D109*攻击分赃比!AC109*开放指数!AA109</f>
        <v>266.39999999999998</v>
      </c>
      <c r="AE109" s="20">
        <f>$D109*攻击分赃比!AD109*开放指数!AB109</f>
        <v>333</v>
      </c>
      <c r="AF109" s="20">
        <f>$D109*攻击分赃比!AE109*开放指数!AC109</f>
        <v>444</v>
      </c>
      <c r="AG109" s="20">
        <f>$D109*攻击分赃比!AF109*开放指数!AD109</f>
        <v>555</v>
      </c>
      <c r="AH109" s="20">
        <f>$D109*攻击分赃比!AG109*开放指数!AE109</f>
        <v>111</v>
      </c>
      <c r="AI109" s="20">
        <f>$D109*攻击分赃比!AH109*开放指数!AF109</f>
        <v>44.400000000000006</v>
      </c>
      <c r="AJ109" s="20">
        <f>$D109*攻击分赃比!AI109*开放指数!AG109</f>
        <v>44.400000000000006</v>
      </c>
      <c r="AK109" s="20">
        <f>$D109*攻击分赃比!AJ109*开放指数!AH109</f>
        <v>6.66</v>
      </c>
      <c r="AL109" s="20">
        <f>$D109*攻击分赃比!AL109*开放指数!AI109</f>
        <v>266.39999999999998</v>
      </c>
      <c r="AM109" s="21">
        <f>攻击分赃比!AM109*开放指数!AJ109</f>
        <v>0.2</v>
      </c>
      <c r="AN109" s="21">
        <f>攻击分赃比!AN109*开放指数!AK109</f>
        <v>0.3</v>
      </c>
      <c r="AO109" s="21">
        <f>攻击分赃比!AO109*开放指数!AL109</f>
        <v>0.5</v>
      </c>
      <c r="AP109" s="21">
        <f>攻击分赃比!AP109*开放指数!AM109</f>
        <v>0.8</v>
      </c>
      <c r="AQ109" s="21">
        <f>攻击分赃比!AQ109*开放指数!AN109</f>
        <v>1.2</v>
      </c>
      <c r="AR109" s="20">
        <f>$D109*攻击分赃比!AS109*开放指数!AO109</f>
        <v>44.400000000000006</v>
      </c>
      <c r="AS109" s="20">
        <f t="shared" si="47"/>
        <v>1087.8</v>
      </c>
      <c r="AT109" s="20">
        <f t="shared" si="48"/>
        <v>4786.5399999999991</v>
      </c>
      <c r="AW109" s="20">
        <f t="shared" si="49"/>
        <v>1374.4</v>
      </c>
      <c r="AX109" s="20">
        <f t="shared" si="50"/>
        <v>2020.1999999999998</v>
      </c>
      <c r="AY109" s="20">
        <f t="shared" si="36"/>
        <v>761.45999999999992</v>
      </c>
      <c r="AZ109" s="20">
        <f t="shared" si="37"/>
        <v>586.08000000000004</v>
      </c>
      <c r="BA109" s="20">
        <f t="shared" si="38"/>
        <v>44.400000000000006</v>
      </c>
      <c r="BB109" s="73">
        <f t="shared" si="51"/>
        <v>21.560990990990987</v>
      </c>
    </row>
    <row r="110" spans="1:54" s="20" customFormat="1">
      <c r="A110" s="46">
        <v>108</v>
      </c>
      <c r="B110" s="51">
        <f t="shared" si="40"/>
        <v>2</v>
      </c>
      <c r="C110" s="9">
        <f t="shared" si="39"/>
        <v>224</v>
      </c>
      <c r="D110" s="20">
        <f t="shared" si="52"/>
        <v>224</v>
      </c>
      <c r="E110" s="20">
        <f>$D110*攻击分赃比!B110*开放指数!B110</f>
        <v>268.8</v>
      </c>
      <c r="F110" s="20">
        <f>$D110*攻击分赃比!C110*开放指数!C110</f>
        <v>336</v>
      </c>
      <c r="G110" s="20">
        <f>$D110*攻击分赃比!D110*开放指数!D110</f>
        <v>448</v>
      </c>
      <c r="H110" s="20">
        <f>$D110*攻击分赃比!E110*开放指数!E110</f>
        <v>560</v>
      </c>
      <c r="I110" s="20">
        <f t="shared" si="42"/>
        <v>109</v>
      </c>
      <c r="J110" s="20">
        <f>$D110*攻击分赃比!G110*开放指数!G110</f>
        <v>67.2</v>
      </c>
      <c r="K110" s="20">
        <f>$D110*攻击分赃比!H110*开放指数!H110</f>
        <v>134.4</v>
      </c>
      <c r="L110" s="20">
        <f>$D110*攻击分赃比!I110*开放指数!I110</f>
        <v>67.2</v>
      </c>
      <c r="M110" s="20">
        <f>$D110*攻击分赃比!J110*开放指数!J110</f>
        <v>179.20000000000002</v>
      </c>
      <c r="N110" s="20">
        <f>$D110*攻击分赃比!K110*开放指数!K110</f>
        <v>268.8</v>
      </c>
      <c r="O110" s="20">
        <f>$D110*攻击分赃比!M110*开放指数!L110</f>
        <v>336</v>
      </c>
      <c r="P110" s="20">
        <f>$D110*攻击分赃比!N110*开放指数!M110</f>
        <v>448</v>
      </c>
      <c r="Q110" s="20">
        <f>$D110*攻击分赃比!O110*开放指数!N110</f>
        <v>560</v>
      </c>
      <c r="R110" s="20">
        <f>$D110*攻击分赃比!P110*开放指数!O110</f>
        <v>672</v>
      </c>
      <c r="S110" s="20">
        <f>$D110*攻击分赃比!Q110*开放指数!P110</f>
        <v>784</v>
      </c>
      <c r="T110" s="20">
        <f>$D110*攻击分赃比!R110*开放指数!Q110</f>
        <v>168</v>
      </c>
      <c r="U110" s="20">
        <f>$D110*攻击分赃比!S110*开放指数!R110</f>
        <v>67.2</v>
      </c>
      <c r="V110" s="20">
        <f>$D110*攻击分赃比!T110*开放指数!S110</f>
        <v>67.2</v>
      </c>
      <c r="W110" s="20">
        <f>$D110*攻击分赃比!U110*开放指数!T110</f>
        <v>11.200000000000001</v>
      </c>
      <c r="X110" s="21">
        <f>攻击分赃比!V110*开放指数!U110</f>
        <v>0.2</v>
      </c>
      <c r="Y110" s="21">
        <f>攻击分赃比!W110*开放指数!V110</f>
        <v>0.3</v>
      </c>
      <c r="Z110" s="21">
        <f>攻击分赃比!X110*开放指数!W110</f>
        <v>0.5</v>
      </c>
      <c r="AA110" s="21">
        <f>攻击分赃比!Y110*开放指数!X110</f>
        <v>0.8</v>
      </c>
      <c r="AB110" s="21">
        <f>攻击分赃比!Z110*开放指数!Y110</f>
        <v>1.2</v>
      </c>
      <c r="AC110" s="20">
        <f>$D110*攻击分赃比!AB110*开放指数!Z110</f>
        <v>224</v>
      </c>
      <c r="AD110" s="20">
        <f>$D110*攻击分赃比!AC110*开放指数!AA110</f>
        <v>268.8</v>
      </c>
      <c r="AE110" s="20">
        <f>$D110*攻击分赃比!AD110*开放指数!AB110</f>
        <v>336</v>
      </c>
      <c r="AF110" s="20">
        <f>$D110*攻击分赃比!AE110*开放指数!AC110</f>
        <v>448</v>
      </c>
      <c r="AG110" s="20">
        <f>$D110*攻击分赃比!AF110*开放指数!AD110</f>
        <v>560</v>
      </c>
      <c r="AH110" s="20">
        <f>$D110*攻击分赃比!AG110*开放指数!AE110</f>
        <v>112</v>
      </c>
      <c r="AI110" s="20">
        <f>$D110*攻击分赃比!AH110*开放指数!AF110</f>
        <v>44.800000000000004</v>
      </c>
      <c r="AJ110" s="20">
        <f>$D110*攻击分赃比!AI110*开放指数!AG110</f>
        <v>44.800000000000004</v>
      </c>
      <c r="AK110" s="20">
        <f>$D110*攻击分赃比!AJ110*开放指数!AH110</f>
        <v>6.72</v>
      </c>
      <c r="AL110" s="20">
        <f>$D110*攻击分赃比!AL110*开放指数!AI110</f>
        <v>268.8</v>
      </c>
      <c r="AM110" s="21">
        <f>攻击分赃比!AM110*开放指数!AJ110</f>
        <v>0.2</v>
      </c>
      <c r="AN110" s="21">
        <f>攻击分赃比!AN110*开放指数!AK110</f>
        <v>0.3</v>
      </c>
      <c r="AO110" s="21">
        <f>攻击分赃比!AO110*开放指数!AL110</f>
        <v>0.5</v>
      </c>
      <c r="AP110" s="21">
        <f>攻击分赃比!AP110*开放指数!AM110</f>
        <v>0.8</v>
      </c>
      <c r="AQ110" s="21">
        <f>攻击分赃比!AQ110*开放指数!AN110</f>
        <v>1.2</v>
      </c>
      <c r="AR110" s="20">
        <f>$D110*攻击分赃比!AS110*开放指数!AO110</f>
        <v>44.800000000000004</v>
      </c>
      <c r="AS110" s="20">
        <f t="shared" si="47"/>
        <v>1097.5999999999999</v>
      </c>
      <c r="AT110" s="20">
        <f t="shared" si="48"/>
        <v>4828.6800000000012</v>
      </c>
      <c r="AW110" s="20">
        <f t="shared" si="49"/>
        <v>1385.8</v>
      </c>
      <c r="AX110" s="20">
        <f t="shared" si="50"/>
        <v>2038.4000000000003</v>
      </c>
      <c r="AY110" s="20">
        <f t="shared" si="36"/>
        <v>768.31999999999994</v>
      </c>
      <c r="AZ110" s="20">
        <f t="shared" si="37"/>
        <v>591.36000000000013</v>
      </c>
      <c r="BA110" s="20">
        <f t="shared" si="38"/>
        <v>44.800000000000004</v>
      </c>
      <c r="BB110" s="73">
        <f t="shared" si="51"/>
        <v>21.55660714285715</v>
      </c>
    </row>
    <row r="111" spans="1:54" s="20" customFormat="1">
      <c r="A111" s="46">
        <v>109</v>
      </c>
      <c r="B111" s="51">
        <f t="shared" si="40"/>
        <v>2</v>
      </c>
      <c r="C111" s="9">
        <f t="shared" si="39"/>
        <v>226</v>
      </c>
      <c r="D111" s="20">
        <f t="shared" si="52"/>
        <v>226</v>
      </c>
      <c r="E111" s="20">
        <f>$D111*攻击分赃比!B111*开放指数!B111</f>
        <v>271.2</v>
      </c>
      <c r="F111" s="20">
        <f>$D111*攻击分赃比!C111*开放指数!C111</f>
        <v>339</v>
      </c>
      <c r="G111" s="20">
        <f>$D111*攻击分赃比!D111*开放指数!D111</f>
        <v>452</v>
      </c>
      <c r="H111" s="20">
        <f>$D111*攻击分赃比!E111*开放指数!E111</f>
        <v>565</v>
      </c>
      <c r="I111" s="20">
        <f t="shared" si="42"/>
        <v>109</v>
      </c>
      <c r="J111" s="20">
        <f>$D111*攻击分赃比!G111*开放指数!G111</f>
        <v>67.8</v>
      </c>
      <c r="K111" s="20">
        <f>$D111*攻击分赃比!H111*开放指数!H111</f>
        <v>135.6</v>
      </c>
      <c r="L111" s="20">
        <f>$D111*攻击分赃比!I111*开放指数!I111</f>
        <v>67.8</v>
      </c>
      <c r="M111" s="20">
        <f>$D111*攻击分赃比!J111*开放指数!J111</f>
        <v>180.8</v>
      </c>
      <c r="N111" s="20">
        <f>$D111*攻击分赃比!K111*开放指数!K111</f>
        <v>271.2</v>
      </c>
      <c r="O111" s="20">
        <f>$D111*攻击分赃比!M111*开放指数!L111</f>
        <v>339</v>
      </c>
      <c r="P111" s="20">
        <f>$D111*攻击分赃比!N111*开放指数!M111</f>
        <v>452</v>
      </c>
      <c r="Q111" s="20">
        <f>$D111*攻击分赃比!O111*开放指数!N111</f>
        <v>565</v>
      </c>
      <c r="R111" s="20">
        <f>$D111*攻击分赃比!P111*开放指数!O111</f>
        <v>678</v>
      </c>
      <c r="S111" s="20">
        <f>$D111*攻击分赃比!Q111*开放指数!P111</f>
        <v>791</v>
      </c>
      <c r="T111" s="20">
        <f>$D111*攻击分赃比!R111*开放指数!Q111</f>
        <v>169.5</v>
      </c>
      <c r="U111" s="20">
        <f>$D111*攻击分赃比!S111*开放指数!R111</f>
        <v>67.8</v>
      </c>
      <c r="V111" s="20">
        <f>$D111*攻击分赃比!T111*开放指数!S111</f>
        <v>67.8</v>
      </c>
      <c r="W111" s="20">
        <f>$D111*攻击分赃比!U111*开放指数!T111</f>
        <v>11.3</v>
      </c>
      <c r="X111" s="21">
        <f>攻击分赃比!V111*开放指数!U111</f>
        <v>0.2</v>
      </c>
      <c r="Y111" s="21">
        <f>攻击分赃比!W111*开放指数!V111</f>
        <v>0.3</v>
      </c>
      <c r="Z111" s="21">
        <f>攻击分赃比!X111*开放指数!W111</f>
        <v>0.5</v>
      </c>
      <c r="AA111" s="21">
        <f>攻击分赃比!Y111*开放指数!X111</f>
        <v>0.8</v>
      </c>
      <c r="AB111" s="21">
        <f>攻击分赃比!Z111*开放指数!Y111</f>
        <v>1.2</v>
      </c>
      <c r="AC111" s="20">
        <f>$D111*攻击分赃比!AB111*开放指数!Z111</f>
        <v>226</v>
      </c>
      <c r="AD111" s="20">
        <f>$D111*攻击分赃比!AC111*开放指数!AA111</f>
        <v>271.2</v>
      </c>
      <c r="AE111" s="20">
        <f>$D111*攻击分赃比!AD111*开放指数!AB111</f>
        <v>339</v>
      </c>
      <c r="AF111" s="20">
        <f>$D111*攻击分赃比!AE111*开放指数!AC111</f>
        <v>452</v>
      </c>
      <c r="AG111" s="20">
        <f>$D111*攻击分赃比!AF111*开放指数!AD111</f>
        <v>565</v>
      </c>
      <c r="AH111" s="20">
        <f>$D111*攻击分赃比!AG111*开放指数!AE111</f>
        <v>113</v>
      </c>
      <c r="AI111" s="20">
        <f>$D111*攻击分赃比!AH111*开放指数!AF111</f>
        <v>45.2</v>
      </c>
      <c r="AJ111" s="20">
        <f>$D111*攻击分赃比!AI111*开放指数!AG111</f>
        <v>45.2</v>
      </c>
      <c r="AK111" s="20">
        <f>$D111*攻击分赃比!AJ111*开放指数!AH111</f>
        <v>6.7799999999999994</v>
      </c>
      <c r="AL111" s="20">
        <f>$D111*攻击分赃比!AL111*开放指数!AI111</f>
        <v>271.2</v>
      </c>
      <c r="AM111" s="21">
        <f>攻击分赃比!AM111*开放指数!AJ111</f>
        <v>0.2</v>
      </c>
      <c r="AN111" s="21">
        <f>攻击分赃比!AN111*开放指数!AK111</f>
        <v>0.3</v>
      </c>
      <c r="AO111" s="21">
        <f>攻击分赃比!AO111*开放指数!AL111</f>
        <v>0.5</v>
      </c>
      <c r="AP111" s="21">
        <f>攻击分赃比!AP111*开放指数!AM111</f>
        <v>0.8</v>
      </c>
      <c r="AQ111" s="21">
        <f>攻击分赃比!AQ111*开放指数!AN111</f>
        <v>1.2</v>
      </c>
      <c r="AR111" s="20">
        <f>$D111*攻击分赃比!AS111*开放指数!AO111</f>
        <v>45.2</v>
      </c>
      <c r="AS111" s="20">
        <f t="shared" si="47"/>
        <v>1107.4000000000001</v>
      </c>
      <c r="AT111" s="20">
        <f t="shared" si="48"/>
        <v>4870.8200000000006</v>
      </c>
      <c r="AW111" s="20">
        <f t="shared" si="49"/>
        <v>1397.2</v>
      </c>
      <c r="AX111" s="20">
        <f t="shared" si="50"/>
        <v>2056.6</v>
      </c>
      <c r="AY111" s="20">
        <f t="shared" si="36"/>
        <v>775.18000000000006</v>
      </c>
      <c r="AZ111" s="20">
        <f t="shared" si="37"/>
        <v>596.64</v>
      </c>
      <c r="BA111" s="20">
        <f t="shared" si="38"/>
        <v>45.2</v>
      </c>
      <c r="BB111" s="73">
        <f t="shared" si="51"/>
        <v>21.552300884955756</v>
      </c>
    </row>
    <row r="112" spans="1:54" s="20" customFormat="1">
      <c r="A112" s="46">
        <v>110</v>
      </c>
      <c r="B112" s="51">
        <f t="shared" si="40"/>
        <v>2</v>
      </c>
      <c r="C112" s="9">
        <f t="shared" si="39"/>
        <v>228</v>
      </c>
      <c r="D112" s="20">
        <f t="shared" si="52"/>
        <v>228</v>
      </c>
      <c r="E112" s="20">
        <f>$D112*攻击分赃比!B112*开放指数!B112</f>
        <v>273.59999999999997</v>
      </c>
      <c r="F112" s="20">
        <f>$D112*攻击分赃比!C112*开放指数!C112</f>
        <v>342</v>
      </c>
      <c r="G112" s="20">
        <f>$D112*攻击分赃比!D112*开放指数!D112</f>
        <v>456</v>
      </c>
      <c r="H112" s="20">
        <f>$D112*攻击分赃比!E112*开放指数!E112</f>
        <v>570</v>
      </c>
      <c r="I112" s="20">
        <f>$D112*攻击分赃比!F112*开放指数!F112</f>
        <v>114</v>
      </c>
      <c r="J112" s="20">
        <f>$D112*攻击分赃比!G112*开放指数!G112</f>
        <v>68.399999999999991</v>
      </c>
      <c r="K112" s="20">
        <f>$D112*攻击分赃比!H112*开放指数!H112</f>
        <v>136.79999999999998</v>
      </c>
      <c r="L112" s="20">
        <f>$D112*攻击分赃比!I112*开放指数!I112</f>
        <v>68.399999999999991</v>
      </c>
      <c r="M112" s="20">
        <f>$D112*攻击分赃比!J112*开放指数!J112</f>
        <v>182.4</v>
      </c>
      <c r="N112" s="20">
        <f>$D112*攻击分赃比!K112*开放指数!K112</f>
        <v>273.59999999999997</v>
      </c>
      <c r="O112" s="20">
        <f>$D112*攻击分赃比!M112*开放指数!L112</f>
        <v>342</v>
      </c>
      <c r="P112" s="20">
        <f>$D112*攻击分赃比!N112*开放指数!M112</f>
        <v>456</v>
      </c>
      <c r="Q112" s="20">
        <f>$D112*攻击分赃比!O112*开放指数!N112</f>
        <v>570</v>
      </c>
      <c r="R112" s="20">
        <f>$D112*攻击分赃比!P112*开放指数!O112</f>
        <v>684</v>
      </c>
      <c r="S112" s="20">
        <f>$D112*攻击分赃比!Q112*开放指数!P112</f>
        <v>798</v>
      </c>
      <c r="T112" s="20">
        <f>$D112*攻击分赃比!R112*开放指数!Q112</f>
        <v>171</v>
      </c>
      <c r="U112" s="20">
        <f>$D112*攻击分赃比!S112*开放指数!R112</f>
        <v>68.399999999999991</v>
      </c>
      <c r="V112" s="20">
        <f>$D112*攻击分赃比!T112*开放指数!S112</f>
        <v>68.399999999999991</v>
      </c>
      <c r="W112" s="20">
        <f>$D112*攻击分赃比!U112*开放指数!T112</f>
        <v>11.4</v>
      </c>
      <c r="X112" s="21">
        <f>攻击分赃比!V112*开放指数!U112</f>
        <v>0.2</v>
      </c>
      <c r="Y112" s="21">
        <f>攻击分赃比!W112*开放指数!V112</f>
        <v>0.3</v>
      </c>
      <c r="Z112" s="21">
        <f>攻击分赃比!X112*开放指数!W112</f>
        <v>0.5</v>
      </c>
      <c r="AA112" s="21">
        <f>攻击分赃比!Y112*开放指数!X112</f>
        <v>0.8</v>
      </c>
      <c r="AB112" s="21">
        <f>攻击分赃比!Z112*开放指数!Y112</f>
        <v>1.2</v>
      </c>
      <c r="AC112" s="20">
        <f>$D112*攻击分赃比!AB112*开放指数!Z112</f>
        <v>228</v>
      </c>
      <c r="AD112" s="20">
        <f>$D112*攻击分赃比!AC112*开放指数!AA112</f>
        <v>273.59999999999997</v>
      </c>
      <c r="AE112" s="20">
        <f>$D112*攻击分赃比!AD112*开放指数!AB112</f>
        <v>342</v>
      </c>
      <c r="AF112" s="20">
        <f>$D112*攻击分赃比!AE112*开放指数!AC112</f>
        <v>456</v>
      </c>
      <c r="AG112" s="20">
        <f>$D112*攻击分赃比!AF112*开放指数!AD112</f>
        <v>570</v>
      </c>
      <c r="AH112" s="20">
        <f>$D112*攻击分赃比!AG112*开放指数!AE112</f>
        <v>114</v>
      </c>
      <c r="AI112" s="20">
        <f>$D112*攻击分赃比!AH112*开放指数!AF112</f>
        <v>45.6</v>
      </c>
      <c r="AJ112" s="20">
        <f>$D112*攻击分赃比!AI112*开放指数!AG112</f>
        <v>45.6</v>
      </c>
      <c r="AK112" s="20">
        <f>$D112*攻击分赃比!AJ112*开放指数!AH112</f>
        <v>6.84</v>
      </c>
      <c r="AL112" s="20">
        <f>$D112*攻击分赃比!AL112*开放指数!AI112</f>
        <v>273.59999999999997</v>
      </c>
      <c r="AM112" s="21">
        <f>攻击分赃比!AM112*开放指数!AJ112</f>
        <v>0.2</v>
      </c>
      <c r="AN112" s="21">
        <f>攻击分赃比!AN112*开放指数!AK112</f>
        <v>0.3</v>
      </c>
      <c r="AO112" s="21">
        <f>攻击分赃比!AO112*开放指数!AL112</f>
        <v>0.5</v>
      </c>
      <c r="AP112" s="21">
        <f>攻击分赃比!AP112*开放指数!AM112</f>
        <v>0.8</v>
      </c>
      <c r="AQ112" s="21">
        <f>攻击分赃比!AQ112*开放指数!AN112</f>
        <v>1.2</v>
      </c>
      <c r="AR112" s="20">
        <f>$D112*攻击分赃比!AS112*开放指数!AO112</f>
        <v>45.6</v>
      </c>
      <c r="AS112" s="20">
        <f t="shared" si="47"/>
        <v>1117.2</v>
      </c>
      <c r="AT112" s="20">
        <f t="shared" si="48"/>
        <v>4917.9600000000009</v>
      </c>
      <c r="AW112" s="20">
        <f t="shared" si="49"/>
        <v>1413.6</v>
      </c>
      <c r="AX112" s="20">
        <f t="shared" si="50"/>
        <v>2074.8000000000002</v>
      </c>
      <c r="AY112" s="20">
        <f t="shared" si="36"/>
        <v>782.04000000000008</v>
      </c>
      <c r="AZ112" s="20">
        <f t="shared" si="37"/>
        <v>601.91999999999996</v>
      </c>
      <c r="BA112" s="20">
        <f t="shared" si="38"/>
        <v>45.6</v>
      </c>
      <c r="BB112" s="73">
        <f t="shared" si="51"/>
        <v>21.570000000000004</v>
      </c>
    </row>
    <row r="113" spans="1:54" s="20" customFormat="1">
      <c r="A113" s="46">
        <v>111</v>
      </c>
      <c r="B113" s="51">
        <f t="shared" si="40"/>
        <v>2</v>
      </c>
      <c r="C113" s="9">
        <f t="shared" si="39"/>
        <v>230</v>
      </c>
      <c r="D113" s="20">
        <f t="shared" si="52"/>
        <v>230</v>
      </c>
      <c r="E113" s="20">
        <f>$D113*攻击分赃比!B113*开放指数!B113</f>
        <v>276</v>
      </c>
      <c r="F113" s="20">
        <f>$D113*攻击分赃比!C113*开放指数!C113</f>
        <v>345</v>
      </c>
      <c r="G113" s="20">
        <f>$D113*攻击分赃比!D113*开放指数!D113</f>
        <v>460</v>
      </c>
      <c r="H113" s="20">
        <f>$D113*攻击分赃比!E113*开放指数!E113</f>
        <v>575</v>
      </c>
      <c r="I113" s="20">
        <f t="shared" ref="I113" si="55">I112</f>
        <v>114</v>
      </c>
      <c r="J113" s="20">
        <f>$D113*攻击分赃比!G113*开放指数!G113</f>
        <v>69</v>
      </c>
      <c r="K113" s="20">
        <f>$D113*攻击分赃比!H113*开放指数!H113</f>
        <v>138</v>
      </c>
      <c r="L113" s="20">
        <f>$D113*攻击分赃比!I113*开放指数!I113</f>
        <v>69</v>
      </c>
      <c r="M113" s="20">
        <f>$D113*攻击分赃比!J113*开放指数!J113</f>
        <v>184</v>
      </c>
      <c r="N113" s="20">
        <f>$D113*攻击分赃比!K113*开放指数!K113</f>
        <v>276</v>
      </c>
      <c r="O113" s="20">
        <f>$D113*攻击分赃比!M113*开放指数!L113</f>
        <v>345</v>
      </c>
      <c r="P113" s="20">
        <f>$D113*攻击分赃比!N113*开放指数!M113</f>
        <v>460</v>
      </c>
      <c r="Q113" s="20">
        <f>$D113*攻击分赃比!O113*开放指数!N113</f>
        <v>575</v>
      </c>
      <c r="R113" s="20">
        <f>$D113*攻击分赃比!P113*开放指数!O113</f>
        <v>690</v>
      </c>
      <c r="S113" s="20">
        <f>$D113*攻击分赃比!Q113*开放指数!P113</f>
        <v>805</v>
      </c>
      <c r="T113" s="20">
        <f>$D113*攻击分赃比!R113*开放指数!Q113</f>
        <v>172.5</v>
      </c>
      <c r="U113" s="20">
        <f>$D113*攻击分赃比!S113*开放指数!R113</f>
        <v>69</v>
      </c>
      <c r="V113" s="20">
        <f>$D113*攻击分赃比!T113*开放指数!S113</f>
        <v>69</v>
      </c>
      <c r="W113" s="20">
        <f>$D113*攻击分赃比!U113*开放指数!T113</f>
        <v>11.5</v>
      </c>
      <c r="X113" s="21">
        <f>攻击分赃比!V113*开放指数!U113</f>
        <v>0.2</v>
      </c>
      <c r="Y113" s="21">
        <f>攻击分赃比!W113*开放指数!V113</f>
        <v>0.3</v>
      </c>
      <c r="Z113" s="21">
        <f>攻击分赃比!X113*开放指数!W113</f>
        <v>0.5</v>
      </c>
      <c r="AA113" s="21">
        <f>攻击分赃比!Y113*开放指数!X113</f>
        <v>0.8</v>
      </c>
      <c r="AB113" s="21">
        <f>攻击分赃比!Z113*开放指数!Y113</f>
        <v>1.2</v>
      </c>
      <c r="AC113" s="20">
        <f>$D113*攻击分赃比!AB113*开放指数!Z113</f>
        <v>230</v>
      </c>
      <c r="AD113" s="20">
        <f>$D113*攻击分赃比!AC113*开放指数!AA113</f>
        <v>276</v>
      </c>
      <c r="AE113" s="20">
        <f>$D113*攻击分赃比!AD113*开放指数!AB113</f>
        <v>345</v>
      </c>
      <c r="AF113" s="20">
        <f>$D113*攻击分赃比!AE113*开放指数!AC113</f>
        <v>460</v>
      </c>
      <c r="AG113" s="20">
        <f>$D113*攻击分赃比!AF113*开放指数!AD113</f>
        <v>575</v>
      </c>
      <c r="AH113" s="20">
        <f>$D113*攻击分赃比!AG113*开放指数!AE113</f>
        <v>115</v>
      </c>
      <c r="AI113" s="20">
        <f>$D113*攻击分赃比!AH113*开放指数!AF113</f>
        <v>46</v>
      </c>
      <c r="AJ113" s="20">
        <f>$D113*攻击分赃比!AI113*开放指数!AG113</f>
        <v>46</v>
      </c>
      <c r="AK113" s="20">
        <f>$D113*攻击分赃比!AJ113*开放指数!AH113</f>
        <v>6.8999999999999995</v>
      </c>
      <c r="AL113" s="20">
        <f>$D113*攻击分赃比!AL113*开放指数!AI113</f>
        <v>276</v>
      </c>
      <c r="AM113" s="21">
        <f>攻击分赃比!AM113*开放指数!AJ113</f>
        <v>0.2</v>
      </c>
      <c r="AN113" s="21">
        <f>攻击分赃比!AN113*开放指数!AK113</f>
        <v>0.3</v>
      </c>
      <c r="AO113" s="21">
        <f>攻击分赃比!AO113*开放指数!AL113</f>
        <v>0.5</v>
      </c>
      <c r="AP113" s="21">
        <f>攻击分赃比!AP113*开放指数!AM113</f>
        <v>0.8</v>
      </c>
      <c r="AQ113" s="21">
        <f>攻击分赃比!AQ113*开放指数!AN113</f>
        <v>1.2</v>
      </c>
      <c r="AR113" s="20">
        <f>$D113*攻击分赃比!AS113*开放指数!AO113</f>
        <v>46</v>
      </c>
      <c r="AS113" s="20">
        <f t="shared" si="47"/>
        <v>1127</v>
      </c>
      <c r="AT113" s="20">
        <f t="shared" si="48"/>
        <v>4960.0999999999995</v>
      </c>
      <c r="AW113" s="20">
        <f t="shared" si="49"/>
        <v>1425</v>
      </c>
      <c r="AX113" s="20">
        <f t="shared" si="50"/>
        <v>2093</v>
      </c>
      <c r="AY113" s="20">
        <f t="shared" si="36"/>
        <v>788.9</v>
      </c>
      <c r="AZ113" s="20">
        <f t="shared" si="37"/>
        <v>607.20000000000005</v>
      </c>
      <c r="BA113" s="20">
        <f t="shared" si="38"/>
        <v>46</v>
      </c>
      <c r="BB113" s="73">
        <f t="shared" si="51"/>
        <v>21.56565217391304</v>
      </c>
    </row>
    <row r="114" spans="1:54" s="20" customFormat="1">
      <c r="A114" s="46">
        <v>112</v>
      </c>
      <c r="B114" s="51">
        <f t="shared" si="40"/>
        <v>2</v>
      </c>
      <c r="C114" s="9">
        <f t="shared" si="39"/>
        <v>232</v>
      </c>
      <c r="D114" s="20">
        <f t="shared" si="52"/>
        <v>232</v>
      </c>
      <c r="E114" s="20">
        <f>$D114*攻击分赃比!B114*开放指数!B114</f>
        <v>278.39999999999998</v>
      </c>
      <c r="F114" s="20">
        <f>$D114*攻击分赃比!C114*开放指数!C114</f>
        <v>348</v>
      </c>
      <c r="G114" s="20">
        <f>$D114*攻击分赃比!D114*开放指数!D114</f>
        <v>464</v>
      </c>
      <c r="H114" s="20">
        <f>$D114*攻击分赃比!E114*开放指数!E114</f>
        <v>580</v>
      </c>
      <c r="I114" s="20">
        <f t="shared" si="42"/>
        <v>114</v>
      </c>
      <c r="J114" s="20">
        <f>$D114*攻击分赃比!G114*开放指数!G114</f>
        <v>69.599999999999994</v>
      </c>
      <c r="K114" s="20">
        <f>$D114*攻击分赃比!H114*开放指数!H114</f>
        <v>139.19999999999999</v>
      </c>
      <c r="L114" s="20">
        <f>$D114*攻击分赃比!I114*开放指数!I114</f>
        <v>69.599999999999994</v>
      </c>
      <c r="M114" s="20">
        <f>$D114*攻击分赃比!J114*开放指数!J114</f>
        <v>185.60000000000002</v>
      </c>
      <c r="N114" s="20">
        <f>$D114*攻击分赃比!K114*开放指数!K114</f>
        <v>278.39999999999998</v>
      </c>
      <c r="O114" s="20">
        <f>$D114*攻击分赃比!M114*开放指数!L114</f>
        <v>348</v>
      </c>
      <c r="P114" s="20">
        <f>$D114*攻击分赃比!N114*开放指数!M114</f>
        <v>464</v>
      </c>
      <c r="Q114" s="20">
        <f>$D114*攻击分赃比!O114*开放指数!N114</f>
        <v>580</v>
      </c>
      <c r="R114" s="20">
        <f>$D114*攻击分赃比!P114*开放指数!O114</f>
        <v>696</v>
      </c>
      <c r="S114" s="20">
        <f>$D114*攻击分赃比!Q114*开放指数!P114</f>
        <v>812</v>
      </c>
      <c r="T114" s="20">
        <f>$D114*攻击分赃比!R114*开放指数!Q114</f>
        <v>174</v>
      </c>
      <c r="U114" s="20">
        <f>$D114*攻击分赃比!S114*开放指数!R114</f>
        <v>69.599999999999994</v>
      </c>
      <c r="V114" s="20">
        <f>$D114*攻击分赃比!T114*开放指数!S114</f>
        <v>69.599999999999994</v>
      </c>
      <c r="W114" s="20">
        <f>$D114*攻击分赃比!U114*开放指数!T114</f>
        <v>11.600000000000001</v>
      </c>
      <c r="X114" s="21">
        <f>攻击分赃比!V114*开放指数!U114</f>
        <v>0.2</v>
      </c>
      <c r="Y114" s="21">
        <f>攻击分赃比!W114*开放指数!V114</f>
        <v>0.3</v>
      </c>
      <c r="Z114" s="21">
        <f>攻击分赃比!X114*开放指数!W114</f>
        <v>0.5</v>
      </c>
      <c r="AA114" s="21">
        <f>攻击分赃比!Y114*开放指数!X114</f>
        <v>0.8</v>
      </c>
      <c r="AB114" s="21">
        <f>攻击分赃比!Z114*开放指数!Y114</f>
        <v>1.2</v>
      </c>
      <c r="AC114" s="20">
        <f>$D114*攻击分赃比!AB114*开放指数!Z114</f>
        <v>232</v>
      </c>
      <c r="AD114" s="20">
        <f>$D114*攻击分赃比!AC114*开放指数!AA114</f>
        <v>278.39999999999998</v>
      </c>
      <c r="AE114" s="20">
        <f>$D114*攻击分赃比!AD114*开放指数!AB114</f>
        <v>348</v>
      </c>
      <c r="AF114" s="20">
        <f>$D114*攻击分赃比!AE114*开放指数!AC114</f>
        <v>464</v>
      </c>
      <c r="AG114" s="20">
        <f>$D114*攻击分赃比!AF114*开放指数!AD114</f>
        <v>580</v>
      </c>
      <c r="AH114" s="20">
        <f>$D114*攻击分赃比!AG114*开放指数!AE114</f>
        <v>116</v>
      </c>
      <c r="AI114" s="20">
        <f>$D114*攻击分赃比!AH114*开放指数!AF114</f>
        <v>46.400000000000006</v>
      </c>
      <c r="AJ114" s="20">
        <f>$D114*攻击分赃比!AI114*开放指数!AG114</f>
        <v>46.400000000000006</v>
      </c>
      <c r="AK114" s="20">
        <f>$D114*攻击分赃比!AJ114*开放指数!AH114</f>
        <v>6.96</v>
      </c>
      <c r="AL114" s="20">
        <f>$D114*攻击分赃比!AL114*开放指数!AI114</f>
        <v>278.39999999999998</v>
      </c>
      <c r="AM114" s="21">
        <f>攻击分赃比!AM114*开放指数!AJ114</f>
        <v>0.2</v>
      </c>
      <c r="AN114" s="21">
        <f>攻击分赃比!AN114*开放指数!AK114</f>
        <v>0.3</v>
      </c>
      <c r="AO114" s="21">
        <f>攻击分赃比!AO114*开放指数!AL114</f>
        <v>0.5</v>
      </c>
      <c r="AP114" s="21">
        <f>攻击分赃比!AP114*开放指数!AM114</f>
        <v>0.8</v>
      </c>
      <c r="AQ114" s="21">
        <f>攻击分赃比!AQ114*开放指数!AN114</f>
        <v>1.2</v>
      </c>
      <c r="AR114" s="20">
        <f>$D114*攻击分赃比!AS114*开放指数!AO114</f>
        <v>46.400000000000006</v>
      </c>
      <c r="AS114" s="20">
        <f t="shared" si="47"/>
        <v>1136.8</v>
      </c>
      <c r="AT114" s="20">
        <f t="shared" si="48"/>
        <v>5002.24</v>
      </c>
      <c r="AW114" s="20">
        <f t="shared" si="49"/>
        <v>1436.4</v>
      </c>
      <c r="AX114" s="20">
        <f t="shared" si="50"/>
        <v>2111.1999999999998</v>
      </c>
      <c r="AY114" s="20">
        <f t="shared" si="36"/>
        <v>795.76</v>
      </c>
      <c r="AZ114" s="20">
        <f t="shared" si="37"/>
        <v>612.48</v>
      </c>
      <c r="BA114" s="20">
        <f t="shared" si="38"/>
        <v>46.400000000000006</v>
      </c>
      <c r="BB114" s="73">
        <f t="shared" si="51"/>
        <v>21.561379310344826</v>
      </c>
    </row>
    <row r="115" spans="1:54" s="20" customFormat="1">
      <c r="A115" s="46">
        <v>113</v>
      </c>
      <c r="B115" s="51">
        <f t="shared" si="40"/>
        <v>2</v>
      </c>
      <c r="C115" s="9">
        <f t="shared" si="39"/>
        <v>234</v>
      </c>
      <c r="D115" s="20">
        <f t="shared" si="52"/>
        <v>234</v>
      </c>
      <c r="E115" s="20">
        <f>$D115*攻击分赃比!B115*开放指数!B115</f>
        <v>280.8</v>
      </c>
      <c r="F115" s="20">
        <f>$D115*攻击分赃比!C115*开放指数!C115</f>
        <v>351</v>
      </c>
      <c r="G115" s="20">
        <f>$D115*攻击分赃比!D115*开放指数!D115</f>
        <v>468</v>
      </c>
      <c r="H115" s="20">
        <f>$D115*攻击分赃比!E115*开放指数!E115</f>
        <v>585</v>
      </c>
      <c r="I115" s="20">
        <f t="shared" si="42"/>
        <v>114</v>
      </c>
      <c r="J115" s="20">
        <f>$D115*攻击分赃比!G115*开放指数!G115</f>
        <v>70.2</v>
      </c>
      <c r="K115" s="20">
        <f>$D115*攻击分赃比!H115*开放指数!H115</f>
        <v>140.4</v>
      </c>
      <c r="L115" s="20">
        <f>$D115*攻击分赃比!I115*开放指数!I115</f>
        <v>70.2</v>
      </c>
      <c r="M115" s="20">
        <f>$D115*攻击分赃比!J115*开放指数!J115</f>
        <v>187.20000000000002</v>
      </c>
      <c r="N115" s="20">
        <f>$D115*攻击分赃比!K115*开放指数!K115</f>
        <v>280.8</v>
      </c>
      <c r="O115" s="20">
        <f>$D115*攻击分赃比!M115*开放指数!L115</f>
        <v>351</v>
      </c>
      <c r="P115" s="20">
        <f>$D115*攻击分赃比!N115*开放指数!M115</f>
        <v>468</v>
      </c>
      <c r="Q115" s="20">
        <f>$D115*攻击分赃比!O115*开放指数!N115</f>
        <v>585</v>
      </c>
      <c r="R115" s="20">
        <f>$D115*攻击分赃比!P115*开放指数!O115</f>
        <v>702</v>
      </c>
      <c r="S115" s="20">
        <f>$D115*攻击分赃比!Q115*开放指数!P115</f>
        <v>819</v>
      </c>
      <c r="T115" s="20">
        <f>$D115*攻击分赃比!R115*开放指数!Q115</f>
        <v>175.5</v>
      </c>
      <c r="U115" s="20">
        <f>$D115*攻击分赃比!S115*开放指数!R115</f>
        <v>70.2</v>
      </c>
      <c r="V115" s="20">
        <f>$D115*攻击分赃比!T115*开放指数!S115</f>
        <v>70.2</v>
      </c>
      <c r="W115" s="20">
        <f>$D115*攻击分赃比!U115*开放指数!T115</f>
        <v>11.700000000000001</v>
      </c>
      <c r="X115" s="21">
        <f>攻击分赃比!V115*开放指数!U115</f>
        <v>0.2</v>
      </c>
      <c r="Y115" s="21">
        <f>攻击分赃比!W115*开放指数!V115</f>
        <v>0.3</v>
      </c>
      <c r="Z115" s="21">
        <f>攻击分赃比!X115*开放指数!W115</f>
        <v>0.5</v>
      </c>
      <c r="AA115" s="21">
        <f>攻击分赃比!Y115*开放指数!X115</f>
        <v>0.8</v>
      </c>
      <c r="AB115" s="21">
        <f>攻击分赃比!Z115*开放指数!Y115</f>
        <v>1.2</v>
      </c>
      <c r="AC115" s="20">
        <f>$D115*攻击分赃比!AB115*开放指数!Z115</f>
        <v>234</v>
      </c>
      <c r="AD115" s="20">
        <f>$D115*攻击分赃比!AC115*开放指数!AA115</f>
        <v>280.8</v>
      </c>
      <c r="AE115" s="20">
        <f>$D115*攻击分赃比!AD115*开放指数!AB115</f>
        <v>351</v>
      </c>
      <c r="AF115" s="20">
        <f>$D115*攻击分赃比!AE115*开放指数!AC115</f>
        <v>468</v>
      </c>
      <c r="AG115" s="20">
        <f>$D115*攻击分赃比!AF115*开放指数!AD115</f>
        <v>585</v>
      </c>
      <c r="AH115" s="20">
        <f>$D115*攻击分赃比!AG115*开放指数!AE115</f>
        <v>117</v>
      </c>
      <c r="AI115" s="20">
        <f>$D115*攻击分赃比!AH115*开放指数!AF115</f>
        <v>46.800000000000004</v>
      </c>
      <c r="AJ115" s="20">
        <f>$D115*攻击分赃比!AI115*开放指数!AG115</f>
        <v>46.800000000000004</v>
      </c>
      <c r="AK115" s="20">
        <f>$D115*攻击分赃比!AJ115*开放指数!AH115</f>
        <v>7.02</v>
      </c>
      <c r="AL115" s="20">
        <f>$D115*攻击分赃比!AL115*开放指数!AI115</f>
        <v>280.8</v>
      </c>
      <c r="AM115" s="21">
        <f>攻击分赃比!AM115*开放指数!AJ115</f>
        <v>0.2</v>
      </c>
      <c r="AN115" s="21">
        <f>攻击分赃比!AN115*开放指数!AK115</f>
        <v>0.3</v>
      </c>
      <c r="AO115" s="21">
        <f>攻击分赃比!AO115*开放指数!AL115</f>
        <v>0.5</v>
      </c>
      <c r="AP115" s="21">
        <f>攻击分赃比!AP115*开放指数!AM115</f>
        <v>0.8</v>
      </c>
      <c r="AQ115" s="21">
        <f>攻击分赃比!AQ115*开放指数!AN115</f>
        <v>1.2</v>
      </c>
      <c r="AR115" s="20">
        <f>$D115*攻击分赃比!AS115*开放指数!AO115</f>
        <v>46.800000000000004</v>
      </c>
      <c r="AS115" s="20">
        <f t="shared" si="47"/>
        <v>1146.5999999999999</v>
      </c>
      <c r="AT115" s="20">
        <f t="shared" si="48"/>
        <v>5044.380000000001</v>
      </c>
      <c r="AW115" s="20">
        <f t="shared" si="49"/>
        <v>1447.8</v>
      </c>
      <c r="AX115" s="20">
        <f t="shared" si="50"/>
        <v>2129.4</v>
      </c>
      <c r="AY115" s="20">
        <f t="shared" si="36"/>
        <v>802.61999999999989</v>
      </c>
      <c r="AZ115" s="20">
        <f t="shared" si="37"/>
        <v>617.7600000000001</v>
      </c>
      <c r="BA115" s="20">
        <f t="shared" si="38"/>
        <v>46.800000000000004</v>
      </c>
      <c r="BB115" s="73">
        <f t="shared" si="51"/>
        <v>21.557179487179493</v>
      </c>
    </row>
    <row r="116" spans="1:54" s="20" customFormat="1">
      <c r="A116" s="46">
        <v>114</v>
      </c>
      <c r="B116" s="51">
        <f t="shared" si="40"/>
        <v>2</v>
      </c>
      <c r="C116" s="9">
        <f t="shared" si="39"/>
        <v>236</v>
      </c>
      <c r="D116" s="20">
        <f t="shared" si="52"/>
        <v>236</v>
      </c>
      <c r="E116" s="20">
        <f>$D116*攻击分赃比!B116*开放指数!B116</f>
        <v>283.2</v>
      </c>
      <c r="F116" s="20">
        <f>$D116*攻击分赃比!C116*开放指数!C116</f>
        <v>354</v>
      </c>
      <c r="G116" s="20">
        <f>$D116*攻击分赃比!D116*开放指数!D116</f>
        <v>472</v>
      </c>
      <c r="H116" s="20">
        <f>$D116*攻击分赃比!E116*开放指数!E116</f>
        <v>590</v>
      </c>
      <c r="I116" s="20">
        <f t="shared" si="42"/>
        <v>114</v>
      </c>
      <c r="J116" s="20">
        <f>$D116*攻击分赃比!G116*开放指数!G116</f>
        <v>70.8</v>
      </c>
      <c r="K116" s="20">
        <f>$D116*攻击分赃比!H116*开放指数!H116</f>
        <v>141.6</v>
      </c>
      <c r="L116" s="20">
        <f>$D116*攻击分赃比!I116*开放指数!I116</f>
        <v>70.8</v>
      </c>
      <c r="M116" s="20">
        <f>$D116*攻击分赃比!J116*开放指数!J116</f>
        <v>188.8</v>
      </c>
      <c r="N116" s="20">
        <f>$D116*攻击分赃比!K116*开放指数!K116</f>
        <v>283.2</v>
      </c>
      <c r="O116" s="20">
        <f>$D116*攻击分赃比!M116*开放指数!L116</f>
        <v>354</v>
      </c>
      <c r="P116" s="20">
        <f>$D116*攻击分赃比!N116*开放指数!M116</f>
        <v>472</v>
      </c>
      <c r="Q116" s="20">
        <f>$D116*攻击分赃比!O116*开放指数!N116</f>
        <v>590</v>
      </c>
      <c r="R116" s="20">
        <f>$D116*攻击分赃比!P116*开放指数!O116</f>
        <v>708</v>
      </c>
      <c r="S116" s="20">
        <f>$D116*攻击分赃比!Q116*开放指数!P116</f>
        <v>826</v>
      </c>
      <c r="T116" s="20">
        <f>$D116*攻击分赃比!R116*开放指数!Q116</f>
        <v>177</v>
      </c>
      <c r="U116" s="20">
        <f>$D116*攻击分赃比!S116*开放指数!R116</f>
        <v>70.8</v>
      </c>
      <c r="V116" s="20">
        <f>$D116*攻击分赃比!T116*开放指数!S116</f>
        <v>70.8</v>
      </c>
      <c r="W116" s="20">
        <f>$D116*攻击分赃比!U116*开放指数!T116</f>
        <v>11.8</v>
      </c>
      <c r="X116" s="21">
        <f>攻击分赃比!V116*开放指数!U116</f>
        <v>0.2</v>
      </c>
      <c r="Y116" s="21">
        <f>攻击分赃比!W116*开放指数!V116</f>
        <v>0.3</v>
      </c>
      <c r="Z116" s="21">
        <f>攻击分赃比!X116*开放指数!W116</f>
        <v>0.5</v>
      </c>
      <c r="AA116" s="21">
        <f>攻击分赃比!Y116*开放指数!X116</f>
        <v>0.8</v>
      </c>
      <c r="AB116" s="21">
        <f>攻击分赃比!Z116*开放指数!Y116</f>
        <v>1.2</v>
      </c>
      <c r="AC116" s="20">
        <f>$D116*攻击分赃比!AB116*开放指数!Z116</f>
        <v>236</v>
      </c>
      <c r="AD116" s="20">
        <f>$D116*攻击分赃比!AC116*开放指数!AA116</f>
        <v>283.2</v>
      </c>
      <c r="AE116" s="20">
        <f>$D116*攻击分赃比!AD116*开放指数!AB116</f>
        <v>354</v>
      </c>
      <c r="AF116" s="20">
        <f>$D116*攻击分赃比!AE116*开放指数!AC116</f>
        <v>472</v>
      </c>
      <c r="AG116" s="20">
        <f>$D116*攻击分赃比!AF116*开放指数!AD116</f>
        <v>590</v>
      </c>
      <c r="AH116" s="20">
        <f>$D116*攻击分赃比!AG116*开放指数!AE116</f>
        <v>118</v>
      </c>
      <c r="AI116" s="20">
        <f>$D116*攻击分赃比!AH116*开放指数!AF116</f>
        <v>47.2</v>
      </c>
      <c r="AJ116" s="20">
        <f>$D116*攻击分赃比!AI116*开放指数!AG116</f>
        <v>47.2</v>
      </c>
      <c r="AK116" s="20">
        <f>$D116*攻击分赃比!AJ116*开放指数!AH116</f>
        <v>7.08</v>
      </c>
      <c r="AL116" s="20">
        <f>$D116*攻击分赃比!AL116*开放指数!AI116</f>
        <v>283.2</v>
      </c>
      <c r="AM116" s="21">
        <f>攻击分赃比!AM116*开放指数!AJ116</f>
        <v>0.2</v>
      </c>
      <c r="AN116" s="21">
        <f>攻击分赃比!AN116*开放指数!AK116</f>
        <v>0.3</v>
      </c>
      <c r="AO116" s="21">
        <f>攻击分赃比!AO116*开放指数!AL116</f>
        <v>0.5</v>
      </c>
      <c r="AP116" s="21">
        <f>攻击分赃比!AP116*开放指数!AM116</f>
        <v>0.8</v>
      </c>
      <c r="AQ116" s="21">
        <f>攻击分赃比!AQ116*开放指数!AN116</f>
        <v>1.2</v>
      </c>
      <c r="AR116" s="20">
        <f>$D116*攻击分赃比!AS116*开放指数!AO116</f>
        <v>47.2</v>
      </c>
      <c r="AS116" s="20">
        <f t="shared" si="47"/>
        <v>1156.4000000000001</v>
      </c>
      <c r="AT116" s="20">
        <f t="shared" si="48"/>
        <v>5086.5200000000004</v>
      </c>
      <c r="AW116" s="20">
        <f t="shared" si="49"/>
        <v>1459.2</v>
      </c>
      <c r="AX116" s="20">
        <f t="shared" si="50"/>
        <v>2147.6000000000004</v>
      </c>
      <c r="AY116" s="20">
        <f t="shared" si="36"/>
        <v>809.48000000000013</v>
      </c>
      <c r="AZ116" s="20">
        <f t="shared" si="37"/>
        <v>623.04000000000008</v>
      </c>
      <c r="BA116" s="20">
        <f t="shared" si="38"/>
        <v>47.2</v>
      </c>
      <c r="BB116" s="73">
        <f t="shared" si="51"/>
        <v>21.55305084745763</v>
      </c>
    </row>
    <row r="117" spans="1:54" s="20" customFormat="1">
      <c r="A117" s="46">
        <v>115</v>
      </c>
      <c r="B117" s="51">
        <f t="shared" si="40"/>
        <v>2</v>
      </c>
      <c r="C117" s="9">
        <f t="shared" si="39"/>
        <v>238</v>
      </c>
      <c r="D117" s="20">
        <f t="shared" si="52"/>
        <v>238</v>
      </c>
      <c r="E117" s="20">
        <f>$D117*攻击分赃比!B117*开放指数!B117</f>
        <v>285.59999999999997</v>
      </c>
      <c r="F117" s="20">
        <f>$D117*攻击分赃比!C117*开放指数!C117</f>
        <v>357</v>
      </c>
      <c r="G117" s="20">
        <f>$D117*攻击分赃比!D117*开放指数!D117</f>
        <v>476</v>
      </c>
      <c r="H117" s="20">
        <f>$D117*攻击分赃比!E117*开放指数!E117</f>
        <v>595</v>
      </c>
      <c r="I117" s="20">
        <f>$D117*攻击分赃比!F117*开放指数!F117</f>
        <v>119</v>
      </c>
      <c r="J117" s="20">
        <f>$D117*攻击分赃比!G117*开放指数!G117</f>
        <v>71.399999999999991</v>
      </c>
      <c r="K117" s="20">
        <f>$D117*攻击分赃比!H117*开放指数!H117</f>
        <v>142.79999999999998</v>
      </c>
      <c r="L117" s="20">
        <f>$D117*攻击分赃比!I117*开放指数!I117</f>
        <v>71.399999999999991</v>
      </c>
      <c r="M117" s="20">
        <f>$D117*攻击分赃比!J117*开放指数!J117</f>
        <v>190.4</v>
      </c>
      <c r="N117" s="20">
        <f>$D117*攻击分赃比!K117*开放指数!K117</f>
        <v>285.59999999999997</v>
      </c>
      <c r="O117" s="20">
        <f>$D117*攻击分赃比!M117*开放指数!L117</f>
        <v>357</v>
      </c>
      <c r="P117" s="20">
        <f>$D117*攻击分赃比!N117*开放指数!M117</f>
        <v>476</v>
      </c>
      <c r="Q117" s="20">
        <f>$D117*攻击分赃比!O117*开放指数!N117</f>
        <v>595</v>
      </c>
      <c r="R117" s="20">
        <f>$D117*攻击分赃比!P117*开放指数!O117</f>
        <v>714</v>
      </c>
      <c r="S117" s="20">
        <f>$D117*攻击分赃比!Q117*开放指数!P117</f>
        <v>833</v>
      </c>
      <c r="T117" s="20">
        <f>$D117*攻击分赃比!R117*开放指数!Q117</f>
        <v>178.5</v>
      </c>
      <c r="U117" s="20">
        <f>$D117*攻击分赃比!S117*开放指数!R117</f>
        <v>71.399999999999991</v>
      </c>
      <c r="V117" s="20">
        <f>$D117*攻击分赃比!T117*开放指数!S117</f>
        <v>71.399999999999991</v>
      </c>
      <c r="W117" s="20">
        <f>$D117*攻击分赃比!U117*开放指数!T117</f>
        <v>11.9</v>
      </c>
      <c r="X117" s="21">
        <f>攻击分赃比!V117*开放指数!U117</f>
        <v>0.2</v>
      </c>
      <c r="Y117" s="21">
        <f>攻击分赃比!W117*开放指数!V117</f>
        <v>0.3</v>
      </c>
      <c r="Z117" s="21">
        <f>攻击分赃比!X117*开放指数!W117</f>
        <v>0.5</v>
      </c>
      <c r="AA117" s="21">
        <f>攻击分赃比!Y117*开放指数!X117</f>
        <v>0.8</v>
      </c>
      <c r="AB117" s="21">
        <f>攻击分赃比!Z117*开放指数!Y117</f>
        <v>1.2</v>
      </c>
      <c r="AC117" s="20">
        <f>$D117*攻击分赃比!AB117*开放指数!Z117</f>
        <v>238</v>
      </c>
      <c r="AD117" s="20">
        <f>$D117*攻击分赃比!AC117*开放指数!AA117</f>
        <v>285.59999999999997</v>
      </c>
      <c r="AE117" s="20">
        <f>$D117*攻击分赃比!AD117*开放指数!AB117</f>
        <v>357</v>
      </c>
      <c r="AF117" s="20">
        <f>$D117*攻击分赃比!AE117*开放指数!AC117</f>
        <v>476</v>
      </c>
      <c r="AG117" s="20">
        <f>$D117*攻击分赃比!AF117*开放指数!AD117</f>
        <v>595</v>
      </c>
      <c r="AH117" s="20">
        <f>$D117*攻击分赃比!AG117*开放指数!AE117</f>
        <v>119</v>
      </c>
      <c r="AI117" s="20">
        <f>$D117*攻击分赃比!AH117*开放指数!AF117</f>
        <v>47.6</v>
      </c>
      <c r="AJ117" s="20">
        <f>$D117*攻击分赃比!AI117*开放指数!AG117</f>
        <v>47.6</v>
      </c>
      <c r="AK117" s="20">
        <f>$D117*攻击分赃比!AJ117*开放指数!AH117</f>
        <v>7.14</v>
      </c>
      <c r="AL117" s="20">
        <f>$D117*攻击分赃比!AL117*开放指数!AI117</f>
        <v>285.59999999999997</v>
      </c>
      <c r="AM117" s="21">
        <f>攻击分赃比!AM117*开放指数!AJ117</f>
        <v>0.2</v>
      </c>
      <c r="AN117" s="21">
        <f>攻击分赃比!AN117*开放指数!AK117</f>
        <v>0.3</v>
      </c>
      <c r="AO117" s="21">
        <f>攻击分赃比!AO117*开放指数!AL117</f>
        <v>0.5</v>
      </c>
      <c r="AP117" s="21">
        <f>攻击分赃比!AP117*开放指数!AM117</f>
        <v>0.8</v>
      </c>
      <c r="AQ117" s="21">
        <f>攻击分赃比!AQ117*开放指数!AN117</f>
        <v>1.2</v>
      </c>
      <c r="AR117" s="20">
        <f>$D117*攻击分赃比!AS117*开放指数!AO117</f>
        <v>47.6</v>
      </c>
      <c r="AS117" s="20">
        <f t="shared" si="47"/>
        <v>1166.2</v>
      </c>
      <c r="AT117" s="20">
        <f t="shared" si="48"/>
        <v>5133.6600000000008</v>
      </c>
      <c r="AW117" s="20">
        <f t="shared" si="49"/>
        <v>1475.6</v>
      </c>
      <c r="AX117" s="20">
        <f t="shared" si="50"/>
        <v>2165.8000000000002</v>
      </c>
      <c r="AY117" s="20">
        <f t="shared" si="36"/>
        <v>816.34</v>
      </c>
      <c r="AZ117" s="20">
        <f t="shared" si="37"/>
        <v>628.31999999999994</v>
      </c>
      <c r="BA117" s="20">
        <f t="shared" si="38"/>
        <v>47.6</v>
      </c>
      <c r="BB117" s="73">
        <f t="shared" si="51"/>
        <v>21.570000000000004</v>
      </c>
    </row>
    <row r="118" spans="1:54" s="20" customFormat="1">
      <c r="A118" s="46">
        <v>116</v>
      </c>
      <c r="B118" s="51">
        <f t="shared" si="40"/>
        <v>2</v>
      </c>
      <c r="C118" s="9">
        <f t="shared" si="39"/>
        <v>240</v>
      </c>
      <c r="D118" s="20">
        <f t="shared" si="52"/>
        <v>240</v>
      </c>
      <c r="E118" s="20">
        <f>$D118*攻击分赃比!B118*开放指数!B118</f>
        <v>288</v>
      </c>
      <c r="F118" s="20">
        <f>$D118*攻击分赃比!C118*开放指数!C118</f>
        <v>360</v>
      </c>
      <c r="G118" s="20">
        <f>$D118*攻击分赃比!D118*开放指数!D118</f>
        <v>480</v>
      </c>
      <c r="H118" s="20">
        <f>$D118*攻击分赃比!E118*开放指数!E118</f>
        <v>600</v>
      </c>
      <c r="I118" s="20">
        <f t="shared" ref="I118" si="56">I117</f>
        <v>119</v>
      </c>
      <c r="J118" s="20">
        <f>$D118*攻击分赃比!G118*开放指数!G118</f>
        <v>72</v>
      </c>
      <c r="K118" s="20">
        <f>$D118*攻击分赃比!H118*开放指数!H118</f>
        <v>144</v>
      </c>
      <c r="L118" s="20">
        <f>$D118*攻击分赃比!I118*开放指数!I118</f>
        <v>72</v>
      </c>
      <c r="M118" s="20">
        <f>$D118*攻击分赃比!J118*开放指数!J118</f>
        <v>192</v>
      </c>
      <c r="N118" s="20">
        <f>$D118*攻击分赃比!K118*开放指数!K118</f>
        <v>288</v>
      </c>
      <c r="O118" s="20">
        <f>$D118*攻击分赃比!M118*开放指数!L118</f>
        <v>360</v>
      </c>
      <c r="P118" s="20">
        <f>$D118*攻击分赃比!N118*开放指数!M118</f>
        <v>480</v>
      </c>
      <c r="Q118" s="20">
        <f>$D118*攻击分赃比!O118*开放指数!N118</f>
        <v>600</v>
      </c>
      <c r="R118" s="20">
        <f>$D118*攻击分赃比!P118*开放指数!O118</f>
        <v>720</v>
      </c>
      <c r="S118" s="20">
        <f>$D118*攻击分赃比!Q118*开放指数!P118</f>
        <v>840</v>
      </c>
      <c r="T118" s="20">
        <f>$D118*攻击分赃比!R118*开放指数!Q118</f>
        <v>180</v>
      </c>
      <c r="U118" s="20">
        <f>$D118*攻击分赃比!S118*开放指数!R118</f>
        <v>72</v>
      </c>
      <c r="V118" s="20">
        <f>$D118*攻击分赃比!T118*开放指数!S118</f>
        <v>72</v>
      </c>
      <c r="W118" s="20">
        <f>$D118*攻击分赃比!U118*开放指数!T118</f>
        <v>12</v>
      </c>
      <c r="X118" s="21">
        <f>攻击分赃比!V118*开放指数!U118</f>
        <v>0.2</v>
      </c>
      <c r="Y118" s="21">
        <f>攻击分赃比!W118*开放指数!V118</f>
        <v>0.3</v>
      </c>
      <c r="Z118" s="21">
        <f>攻击分赃比!X118*开放指数!W118</f>
        <v>0.5</v>
      </c>
      <c r="AA118" s="21">
        <f>攻击分赃比!Y118*开放指数!X118</f>
        <v>0.8</v>
      </c>
      <c r="AB118" s="21">
        <f>攻击分赃比!Z118*开放指数!Y118</f>
        <v>1.2</v>
      </c>
      <c r="AC118" s="20">
        <f>$D118*攻击分赃比!AB118*开放指数!Z118</f>
        <v>240</v>
      </c>
      <c r="AD118" s="20">
        <f>$D118*攻击分赃比!AC118*开放指数!AA118</f>
        <v>288</v>
      </c>
      <c r="AE118" s="20">
        <f>$D118*攻击分赃比!AD118*开放指数!AB118</f>
        <v>360</v>
      </c>
      <c r="AF118" s="20">
        <f>$D118*攻击分赃比!AE118*开放指数!AC118</f>
        <v>480</v>
      </c>
      <c r="AG118" s="20">
        <f>$D118*攻击分赃比!AF118*开放指数!AD118</f>
        <v>600</v>
      </c>
      <c r="AH118" s="20">
        <f>$D118*攻击分赃比!AG118*开放指数!AE118</f>
        <v>120</v>
      </c>
      <c r="AI118" s="20">
        <f>$D118*攻击分赃比!AH118*开放指数!AF118</f>
        <v>48</v>
      </c>
      <c r="AJ118" s="20">
        <f>$D118*攻击分赃比!AI118*开放指数!AG118</f>
        <v>48</v>
      </c>
      <c r="AK118" s="20">
        <f>$D118*攻击分赃比!AJ118*开放指数!AH118</f>
        <v>7.1999999999999993</v>
      </c>
      <c r="AL118" s="20">
        <f>$D118*攻击分赃比!AL118*开放指数!AI118</f>
        <v>288</v>
      </c>
      <c r="AM118" s="21">
        <f>攻击分赃比!AM118*开放指数!AJ118</f>
        <v>0.2</v>
      </c>
      <c r="AN118" s="21">
        <f>攻击分赃比!AN118*开放指数!AK118</f>
        <v>0.3</v>
      </c>
      <c r="AO118" s="21">
        <f>攻击分赃比!AO118*开放指数!AL118</f>
        <v>0.5</v>
      </c>
      <c r="AP118" s="21">
        <f>攻击分赃比!AP118*开放指数!AM118</f>
        <v>0.8</v>
      </c>
      <c r="AQ118" s="21">
        <f>攻击分赃比!AQ118*开放指数!AN118</f>
        <v>1.2</v>
      </c>
      <c r="AR118" s="20">
        <f>$D118*攻击分赃比!AS118*开放指数!AO118</f>
        <v>48</v>
      </c>
      <c r="AS118" s="20">
        <f t="shared" si="47"/>
        <v>1176</v>
      </c>
      <c r="AT118" s="20">
        <f t="shared" si="48"/>
        <v>5175.8</v>
      </c>
      <c r="AW118" s="20">
        <f t="shared" si="49"/>
        <v>1487</v>
      </c>
      <c r="AX118" s="20">
        <f t="shared" si="50"/>
        <v>2184</v>
      </c>
      <c r="AY118" s="20">
        <f t="shared" si="36"/>
        <v>823.2</v>
      </c>
      <c r="AZ118" s="20">
        <f t="shared" si="37"/>
        <v>633.6</v>
      </c>
      <c r="BA118" s="20">
        <f t="shared" si="38"/>
        <v>48</v>
      </c>
      <c r="BB118" s="73">
        <f t="shared" si="51"/>
        <v>21.565833333333334</v>
      </c>
    </row>
    <row r="119" spans="1:54" s="20" customFormat="1">
      <c r="A119" s="46">
        <v>117</v>
      </c>
      <c r="B119" s="51">
        <f t="shared" si="40"/>
        <v>2</v>
      </c>
      <c r="C119" s="9">
        <f t="shared" si="39"/>
        <v>242</v>
      </c>
      <c r="D119" s="20">
        <f t="shared" si="52"/>
        <v>242</v>
      </c>
      <c r="E119" s="20">
        <f>$D119*攻击分赃比!B119*开放指数!B119</f>
        <v>290.39999999999998</v>
      </c>
      <c r="F119" s="20">
        <f>$D119*攻击分赃比!C119*开放指数!C119</f>
        <v>363</v>
      </c>
      <c r="G119" s="20">
        <f>$D119*攻击分赃比!D119*开放指数!D119</f>
        <v>484</v>
      </c>
      <c r="H119" s="20">
        <f>$D119*攻击分赃比!E119*开放指数!E119</f>
        <v>605</v>
      </c>
      <c r="I119" s="20">
        <f t="shared" si="42"/>
        <v>119</v>
      </c>
      <c r="J119" s="20">
        <f>$D119*攻击分赃比!G119*开放指数!G119</f>
        <v>72.599999999999994</v>
      </c>
      <c r="K119" s="20">
        <f>$D119*攻击分赃比!H119*开放指数!H119</f>
        <v>145.19999999999999</v>
      </c>
      <c r="L119" s="20">
        <f>$D119*攻击分赃比!I119*开放指数!I119</f>
        <v>72.599999999999994</v>
      </c>
      <c r="M119" s="20">
        <f>$D119*攻击分赃比!J119*开放指数!J119</f>
        <v>193.60000000000002</v>
      </c>
      <c r="N119" s="20">
        <f>$D119*攻击分赃比!K119*开放指数!K119</f>
        <v>290.39999999999998</v>
      </c>
      <c r="O119" s="20">
        <f>$D119*攻击分赃比!M119*开放指数!L119</f>
        <v>363</v>
      </c>
      <c r="P119" s="20">
        <f>$D119*攻击分赃比!N119*开放指数!M119</f>
        <v>484</v>
      </c>
      <c r="Q119" s="20">
        <f>$D119*攻击分赃比!O119*开放指数!N119</f>
        <v>605</v>
      </c>
      <c r="R119" s="20">
        <f>$D119*攻击分赃比!P119*开放指数!O119</f>
        <v>726</v>
      </c>
      <c r="S119" s="20">
        <f>$D119*攻击分赃比!Q119*开放指数!P119</f>
        <v>847</v>
      </c>
      <c r="T119" s="20">
        <f>$D119*攻击分赃比!R119*开放指数!Q119</f>
        <v>181.5</v>
      </c>
      <c r="U119" s="20">
        <f>$D119*攻击分赃比!S119*开放指数!R119</f>
        <v>72.599999999999994</v>
      </c>
      <c r="V119" s="20">
        <f>$D119*攻击分赃比!T119*开放指数!S119</f>
        <v>72.599999999999994</v>
      </c>
      <c r="W119" s="20">
        <f>$D119*攻击分赃比!U119*开放指数!T119</f>
        <v>12.100000000000001</v>
      </c>
      <c r="X119" s="21">
        <f>攻击分赃比!V119*开放指数!U119</f>
        <v>0.2</v>
      </c>
      <c r="Y119" s="21">
        <f>攻击分赃比!W119*开放指数!V119</f>
        <v>0.3</v>
      </c>
      <c r="Z119" s="21">
        <f>攻击分赃比!X119*开放指数!W119</f>
        <v>0.5</v>
      </c>
      <c r="AA119" s="21">
        <f>攻击分赃比!Y119*开放指数!X119</f>
        <v>0.8</v>
      </c>
      <c r="AB119" s="21">
        <f>攻击分赃比!Z119*开放指数!Y119</f>
        <v>1.2</v>
      </c>
      <c r="AC119" s="20">
        <f>$D119*攻击分赃比!AB119*开放指数!Z119</f>
        <v>242</v>
      </c>
      <c r="AD119" s="20">
        <f>$D119*攻击分赃比!AC119*开放指数!AA119</f>
        <v>290.39999999999998</v>
      </c>
      <c r="AE119" s="20">
        <f>$D119*攻击分赃比!AD119*开放指数!AB119</f>
        <v>363</v>
      </c>
      <c r="AF119" s="20">
        <f>$D119*攻击分赃比!AE119*开放指数!AC119</f>
        <v>484</v>
      </c>
      <c r="AG119" s="20">
        <f>$D119*攻击分赃比!AF119*开放指数!AD119</f>
        <v>605</v>
      </c>
      <c r="AH119" s="20">
        <f>$D119*攻击分赃比!AG119*开放指数!AE119</f>
        <v>121</v>
      </c>
      <c r="AI119" s="20">
        <f>$D119*攻击分赃比!AH119*开放指数!AF119</f>
        <v>48.400000000000006</v>
      </c>
      <c r="AJ119" s="20">
        <f>$D119*攻击分赃比!AI119*开放指数!AG119</f>
        <v>48.400000000000006</v>
      </c>
      <c r="AK119" s="20">
        <f>$D119*攻击分赃比!AJ119*开放指数!AH119</f>
        <v>7.26</v>
      </c>
      <c r="AL119" s="20">
        <f>$D119*攻击分赃比!AL119*开放指数!AI119</f>
        <v>290.39999999999998</v>
      </c>
      <c r="AM119" s="21">
        <f>攻击分赃比!AM119*开放指数!AJ119</f>
        <v>0.2</v>
      </c>
      <c r="AN119" s="21">
        <f>攻击分赃比!AN119*开放指数!AK119</f>
        <v>0.3</v>
      </c>
      <c r="AO119" s="21">
        <f>攻击分赃比!AO119*开放指数!AL119</f>
        <v>0.5</v>
      </c>
      <c r="AP119" s="21">
        <f>攻击分赃比!AP119*开放指数!AM119</f>
        <v>0.8</v>
      </c>
      <c r="AQ119" s="21">
        <f>攻击分赃比!AQ119*开放指数!AN119</f>
        <v>1.2</v>
      </c>
      <c r="AR119" s="20">
        <f>$D119*攻击分赃比!AS119*开放指数!AO119</f>
        <v>48.400000000000006</v>
      </c>
      <c r="AS119" s="20">
        <f t="shared" si="47"/>
        <v>1185.8</v>
      </c>
      <c r="AT119" s="20">
        <f t="shared" si="48"/>
        <v>5217.9399999999996</v>
      </c>
      <c r="AW119" s="20">
        <f t="shared" si="49"/>
        <v>1498.4</v>
      </c>
      <c r="AX119" s="20">
        <f t="shared" si="50"/>
        <v>2202.1999999999998</v>
      </c>
      <c r="AY119" s="20">
        <f t="shared" si="36"/>
        <v>830.06</v>
      </c>
      <c r="AZ119" s="20">
        <f t="shared" si="37"/>
        <v>638.88</v>
      </c>
      <c r="BA119" s="20">
        <f t="shared" si="38"/>
        <v>48.400000000000006</v>
      </c>
      <c r="BB119" s="73">
        <f t="shared" si="51"/>
        <v>21.561735537190081</v>
      </c>
    </row>
    <row r="120" spans="1:54" s="20" customFormat="1">
      <c r="A120" s="46">
        <v>118</v>
      </c>
      <c r="B120" s="51">
        <f t="shared" si="40"/>
        <v>2</v>
      </c>
      <c r="C120" s="9">
        <f t="shared" si="39"/>
        <v>244</v>
      </c>
      <c r="D120" s="20">
        <f t="shared" si="52"/>
        <v>244</v>
      </c>
      <c r="E120" s="20">
        <f>$D120*攻击分赃比!B120*开放指数!B120</f>
        <v>292.8</v>
      </c>
      <c r="F120" s="20">
        <f>$D120*攻击分赃比!C120*开放指数!C120</f>
        <v>366</v>
      </c>
      <c r="G120" s="20">
        <f>$D120*攻击分赃比!D120*开放指数!D120</f>
        <v>488</v>
      </c>
      <c r="H120" s="20">
        <f>$D120*攻击分赃比!E120*开放指数!E120</f>
        <v>610</v>
      </c>
      <c r="I120" s="20">
        <f t="shared" si="42"/>
        <v>119</v>
      </c>
      <c r="J120" s="20">
        <f>$D120*攻击分赃比!G120*开放指数!G120</f>
        <v>73.2</v>
      </c>
      <c r="K120" s="20">
        <f>$D120*攻击分赃比!H120*开放指数!H120</f>
        <v>146.4</v>
      </c>
      <c r="L120" s="20">
        <f>$D120*攻击分赃比!I120*开放指数!I120</f>
        <v>73.2</v>
      </c>
      <c r="M120" s="20">
        <f>$D120*攻击分赃比!J120*开放指数!J120</f>
        <v>195.20000000000002</v>
      </c>
      <c r="N120" s="20">
        <f>$D120*攻击分赃比!K120*开放指数!K120</f>
        <v>292.8</v>
      </c>
      <c r="O120" s="20">
        <f>$D120*攻击分赃比!M120*开放指数!L120</f>
        <v>366</v>
      </c>
      <c r="P120" s="20">
        <f>$D120*攻击分赃比!N120*开放指数!M120</f>
        <v>488</v>
      </c>
      <c r="Q120" s="20">
        <f>$D120*攻击分赃比!O120*开放指数!N120</f>
        <v>610</v>
      </c>
      <c r="R120" s="20">
        <f>$D120*攻击分赃比!P120*开放指数!O120</f>
        <v>732</v>
      </c>
      <c r="S120" s="20">
        <f>$D120*攻击分赃比!Q120*开放指数!P120</f>
        <v>854</v>
      </c>
      <c r="T120" s="20">
        <f>$D120*攻击分赃比!R120*开放指数!Q120</f>
        <v>183</v>
      </c>
      <c r="U120" s="20">
        <f>$D120*攻击分赃比!S120*开放指数!R120</f>
        <v>73.2</v>
      </c>
      <c r="V120" s="20">
        <f>$D120*攻击分赃比!T120*开放指数!S120</f>
        <v>73.2</v>
      </c>
      <c r="W120" s="20">
        <f>$D120*攻击分赃比!U120*开放指数!T120</f>
        <v>12.200000000000001</v>
      </c>
      <c r="X120" s="21">
        <f>攻击分赃比!V120*开放指数!U120</f>
        <v>0.2</v>
      </c>
      <c r="Y120" s="21">
        <f>攻击分赃比!W120*开放指数!V120</f>
        <v>0.3</v>
      </c>
      <c r="Z120" s="21">
        <f>攻击分赃比!X120*开放指数!W120</f>
        <v>0.5</v>
      </c>
      <c r="AA120" s="21">
        <f>攻击分赃比!Y120*开放指数!X120</f>
        <v>0.8</v>
      </c>
      <c r="AB120" s="21">
        <f>攻击分赃比!Z120*开放指数!Y120</f>
        <v>1.2</v>
      </c>
      <c r="AC120" s="20">
        <f>$D120*攻击分赃比!AB120*开放指数!Z120</f>
        <v>244</v>
      </c>
      <c r="AD120" s="20">
        <f>$D120*攻击分赃比!AC120*开放指数!AA120</f>
        <v>292.8</v>
      </c>
      <c r="AE120" s="20">
        <f>$D120*攻击分赃比!AD120*开放指数!AB120</f>
        <v>366</v>
      </c>
      <c r="AF120" s="20">
        <f>$D120*攻击分赃比!AE120*开放指数!AC120</f>
        <v>488</v>
      </c>
      <c r="AG120" s="20">
        <f>$D120*攻击分赃比!AF120*开放指数!AD120</f>
        <v>610</v>
      </c>
      <c r="AH120" s="20">
        <f>$D120*攻击分赃比!AG120*开放指数!AE120</f>
        <v>122</v>
      </c>
      <c r="AI120" s="20">
        <f>$D120*攻击分赃比!AH120*开放指数!AF120</f>
        <v>48.800000000000004</v>
      </c>
      <c r="AJ120" s="20">
        <f>$D120*攻击分赃比!AI120*开放指数!AG120</f>
        <v>48.800000000000004</v>
      </c>
      <c r="AK120" s="20">
        <f>$D120*攻击分赃比!AJ120*开放指数!AH120</f>
        <v>7.3199999999999994</v>
      </c>
      <c r="AL120" s="20">
        <f>$D120*攻击分赃比!AL120*开放指数!AI120</f>
        <v>292.8</v>
      </c>
      <c r="AM120" s="21">
        <f>攻击分赃比!AM120*开放指数!AJ120</f>
        <v>0.2</v>
      </c>
      <c r="AN120" s="21">
        <f>攻击分赃比!AN120*开放指数!AK120</f>
        <v>0.3</v>
      </c>
      <c r="AO120" s="21">
        <f>攻击分赃比!AO120*开放指数!AL120</f>
        <v>0.5</v>
      </c>
      <c r="AP120" s="21">
        <f>攻击分赃比!AP120*开放指数!AM120</f>
        <v>0.8</v>
      </c>
      <c r="AQ120" s="21">
        <f>攻击分赃比!AQ120*开放指数!AN120</f>
        <v>1.2</v>
      </c>
      <c r="AR120" s="20">
        <f>$D120*攻击分赃比!AS120*开放指数!AO120</f>
        <v>48.800000000000004</v>
      </c>
      <c r="AS120" s="20">
        <f t="shared" si="47"/>
        <v>1195.5999999999999</v>
      </c>
      <c r="AT120" s="20">
        <f t="shared" si="48"/>
        <v>5260.08</v>
      </c>
      <c r="AW120" s="20">
        <f t="shared" si="49"/>
        <v>1509.8</v>
      </c>
      <c r="AX120" s="20">
        <f t="shared" si="50"/>
        <v>2220.3999999999996</v>
      </c>
      <c r="AY120" s="20">
        <f t="shared" si="36"/>
        <v>836.92</v>
      </c>
      <c r="AZ120" s="20">
        <f t="shared" si="37"/>
        <v>644.16000000000008</v>
      </c>
      <c r="BA120" s="20">
        <f t="shared" si="38"/>
        <v>48.800000000000004</v>
      </c>
      <c r="BB120" s="73">
        <f t="shared" si="51"/>
        <v>21.557704918032787</v>
      </c>
    </row>
    <row r="121" spans="1:54" s="20" customFormat="1">
      <c r="A121" s="46">
        <v>119</v>
      </c>
      <c r="B121" s="51">
        <f t="shared" si="40"/>
        <v>2</v>
      </c>
      <c r="C121" s="9">
        <f t="shared" si="39"/>
        <v>246</v>
      </c>
      <c r="D121" s="20">
        <f t="shared" si="52"/>
        <v>246</v>
      </c>
      <c r="E121" s="20">
        <f>$D121*攻击分赃比!B121*开放指数!B121</f>
        <v>295.2</v>
      </c>
      <c r="F121" s="20">
        <f>$D121*攻击分赃比!C121*开放指数!C121</f>
        <v>369</v>
      </c>
      <c r="G121" s="20">
        <f>$D121*攻击分赃比!D121*开放指数!D121</f>
        <v>492</v>
      </c>
      <c r="H121" s="20">
        <f>$D121*攻击分赃比!E121*开放指数!E121</f>
        <v>615</v>
      </c>
      <c r="I121" s="20">
        <f t="shared" si="42"/>
        <v>119</v>
      </c>
      <c r="J121" s="20">
        <f>$D121*攻击分赃比!G121*开放指数!G121</f>
        <v>73.8</v>
      </c>
      <c r="K121" s="20">
        <f>$D121*攻击分赃比!H121*开放指数!H121</f>
        <v>147.6</v>
      </c>
      <c r="L121" s="20">
        <f>$D121*攻击分赃比!I121*开放指数!I121</f>
        <v>73.8</v>
      </c>
      <c r="M121" s="20">
        <f>$D121*攻击分赃比!J121*开放指数!J121</f>
        <v>196.8</v>
      </c>
      <c r="N121" s="20">
        <f>$D121*攻击分赃比!K121*开放指数!K121</f>
        <v>295.2</v>
      </c>
      <c r="O121" s="20">
        <f>$D121*攻击分赃比!M121*开放指数!L121</f>
        <v>369</v>
      </c>
      <c r="P121" s="20">
        <f>$D121*攻击分赃比!N121*开放指数!M121</f>
        <v>492</v>
      </c>
      <c r="Q121" s="20">
        <f>$D121*攻击分赃比!O121*开放指数!N121</f>
        <v>615</v>
      </c>
      <c r="R121" s="20">
        <f>$D121*攻击分赃比!P121*开放指数!O121</f>
        <v>738</v>
      </c>
      <c r="S121" s="20">
        <f>$D121*攻击分赃比!Q121*开放指数!P121</f>
        <v>861</v>
      </c>
      <c r="T121" s="20">
        <f>$D121*攻击分赃比!R121*开放指数!Q121</f>
        <v>184.5</v>
      </c>
      <c r="U121" s="20">
        <f>$D121*攻击分赃比!S121*开放指数!R121</f>
        <v>73.8</v>
      </c>
      <c r="V121" s="20">
        <f>$D121*攻击分赃比!T121*开放指数!S121</f>
        <v>73.8</v>
      </c>
      <c r="W121" s="20">
        <f>$D121*攻击分赃比!U121*开放指数!T121</f>
        <v>12.3</v>
      </c>
      <c r="X121" s="21">
        <f>攻击分赃比!V121*开放指数!U121</f>
        <v>0.2</v>
      </c>
      <c r="Y121" s="21">
        <f>攻击分赃比!W121*开放指数!V121</f>
        <v>0.3</v>
      </c>
      <c r="Z121" s="21">
        <f>攻击分赃比!X121*开放指数!W121</f>
        <v>0.5</v>
      </c>
      <c r="AA121" s="21">
        <f>攻击分赃比!Y121*开放指数!X121</f>
        <v>0.8</v>
      </c>
      <c r="AB121" s="21">
        <f>攻击分赃比!Z121*开放指数!Y121</f>
        <v>1.2</v>
      </c>
      <c r="AC121" s="20">
        <f>$D121*攻击分赃比!AB121*开放指数!Z121</f>
        <v>246</v>
      </c>
      <c r="AD121" s="20">
        <f>$D121*攻击分赃比!AC121*开放指数!AA121</f>
        <v>295.2</v>
      </c>
      <c r="AE121" s="20">
        <f>$D121*攻击分赃比!AD121*开放指数!AB121</f>
        <v>369</v>
      </c>
      <c r="AF121" s="20">
        <f>$D121*攻击分赃比!AE121*开放指数!AC121</f>
        <v>492</v>
      </c>
      <c r="AG121" s="20">
        <f>$D121*攻击分赃比!AF121*开放指数!AD121</f>
        <v>615</v>
      </c>
      <c r="AH121" s="20">
        <f>$D121*攻击分赃比!AG121*开放指数!AE121</f>
        <v>123</v>
      </c>
      <c r="AI121" s="20">
        <f>$D121*攻击分赃比!AH121*开放指数!AF121</f>
        <v>49.2</v>
      </c>
      <c r="AJ121" s="20">
        <f>$D121*攻击分赃比!AI121*开放指数!AG121</f>
        <v>49.2</v>
      </c>
      <c r="AK121" s="20">
        <f>$D121*攻击分赃比!AJ121*开放指数!AH121</f>
        <v>7.38</v>
      </c>
      <c r="AL121" s="20">
        <f>$D121*攻击分赃比!AL121*开放指数!AI121</f>
        <v>295.2</v>
      </c>
      <c r="AM121" s="21">
        <f>攻击分赃比!AM121*开放指数!AJ121</f>
        <v>0.2</v>
      </c>
      <c r="AN121" s="21">
        <f>攻击分赃比!AN121*开放指数!AK121</f>
        <v>0.3</v>
      </c>
      <c r="AO121" s="21">
        <f>攻击分赃比!AO121*开放指数!AL121</f>
        <v>0.5</v>
      </c>
      <c r="AP121" s="21">
        <f>攻击分赃比!AP121*开放指数!AM121</f>
        <v>0.8</v>
      </c>
      <c r="AQ121" s="21">
        <f>攻击分赃比!AQ121*开放指数!AN121</f>
        <v>1.2</v>
      </c>
      <c r="AR121" s="20">
        <f>$D121*攻击分赃比!AS121*开放指数!AO121</f>
        <v>49.2</v>
      </c>
      <c r="AS121" s="20">
        <f t="shared" si="47"/>
        <v>1205.4000000000001</v>
      </c>
      <c r="AT121" s="20">
        <f t="shared" si="48"/>
        <v>5302.22</v>
      </c>
      <c r="AW121" s="20">
        <f t="shared" si="49"/>
        <v>1521.2</v>
      </c>
      <c r="AX121" s="20">
        <f t="shared" si="50"/>
        <v>2238.6000000000004</v>
      </c>
      <c r="AY121" s="20">
        <f t="shared" si="36"/>
        <v>843.78000000000009</v>
      </c>
      <c r="AZ121" s="20">
        <f t="shared" si="37"/>
        <v>649.44000000000005</v>
      </c>
      <c r="BA121" s="20">
        <f t="shared" si="38"/>
        <v>49.2</v>
      </c>
      <c r="BB121" s="73">
        <f t="shared" si="51"/>
        <v>21.553739837398375</v>
      </c>
    </row>
    <row r="122" spans="1:54" s="20" customFormat="1">
      <c r="A122" s="46">
        <v>120</v>
      </c>
      <c r="B122" s="51">
        <f t="shared" si="40"/>
        <v>2</v>
      </c>
      <c r="C122" s="9">
        <f t="shared" si="39"/>
        <v>248</v>
      </c>
      <c r="D122" s="20">
        <f>B122+D121</f>
        <v>248</v>
      </c>
      <c r="E122" s="20">
        <f>$D122*攻击分赃比!B122*开放指数!B122</f>
        <v>297.59999999999997</v>
      </c>
      <c r="F122" s="20">
        <f>$D122*攻击分赃比!C122*开放指数!C122</f>
        <v>372</v>
      </c>
      <c r="G122" s="20">
        <f>$D122*攻击分赃比!D122*开放指数!D122</f>
        <v>496</v>
      </c>
      <c r="H122" s="20">
        <f>$D122*攻击分赃比!E122*开放指数!E122</f>
        <v>620</v>
      </c>
      <c r="I122" s="20">
        <f>$D122*攻击分赃比!F122*开放指数!F122</f>
        <v>124</v>
      </c>
      <c r="J122" s="20">
        <f>$D122*攻击分赃比!G122*开放指数!G122</f>
        <v>74.399999999999991</v>
      </c>
      <c r="K122" s="20">
        <f>$D122*攻击分赃比!H122*开放指数!H122</f>
        <v>148.79999999999998</v>
      </c>
      <c r="L122" s="20">
        <f>$D122*攻击分赃比!I122*开放指数!I122</f>
        <v>74.399999999999991</v>
      </c>
      <c r="M122" s="20">
        <f>$D122*攻击分赃比!J122*开放指数!J122</f>
        <v>198.4</v>
      </c>
      <c r="N122" s="20">
        <f>$D122*攻击分赃比!K122*开放指数!K122</f>
        <v>297.59999999999997</v>
      </c>
      <c r="O122" s="20">
        <f>$D122*攻击分赃比!M122*开放指数!L122</f>
        <v>372</v>
      </c>
      <c r="P122" s="20">
        <f>$D122*攻击分赃比!N122*开放指数!M122</f>
        <v>496</v>
      </c>
      <c r="Q122" s="20">
        <f>$D122*攻击分赃比!O122*开放指数!N122</f>
        <v>620</v>
      </c>
      <c r="R122" s="20">
        <f>$D122*攻击分赃比!P122*开放指数!O122</f>
        <v>744</v>
      </c>
      <c r="S122" s="20">
        <f>$D122*攻击分赃比!Q122*开放指数!P122</f>
        <v>868</v>
      </c>
      <c r="T122" s="20">
        <f>$D122*攻击分赃比!R122*开放指数!Q122</f>
        <v>186</v>
      </c>
      <c r="U122" s="20">
        <f>$D122*攻击分赃比!S122*开放指数!R122</f>
        <v>74.399999999999991</v>
      </c>
      <c r="V122" s="20">
        <f>$D122*攻击分赃比!T122*开放指数!S122</f>
        <v>74.399999999999991</v>
      </c>
      <c r="W122" s="20">
        <f>$D122*攻击分赃比!U122*开放指数!T122</f>
        <v>12.4</v>
      </c>
      <c r="X122" s="21">
        <f>攻击分赃比!V122*开放指数!U122</f>
        <v>0.2</v>
      </c>
      <c r="Y122" s="21">
        <f>攻击分赃比!W122*开放指数!V122</f>
        <v>0.3</v>
      </c>
      <c r="Z122" s="21">
        <f>攻击分赃比!X122*开放指数!W122</f>
        <v>0.5</v>
      </c>
      <c r="AA122" s="21">
        <f>攻击分赃比!Y122*开放指数!X122</f>
        <v>0.8</v>
      </c>
      <c r="AB122" s="21">
        <f>攻击分赃比!Z122*开放指数!Y122</f>
        <v>1.2</v>
      </c>
      <c r="AC122" s="20">
        <f>$D122*攻击分赃比!AB122*开放指数!Z122</f>
        <v>248</v>
      </c>
      <c r="AD122" s="20">
        <f>$D122*攻击分赃比!AC122*开放指数!AA122</f>
        <v>297.59999999999997</v>
      </c>
      <c r="AE122" s="20">
        <f>$D122*攻击分赃比!AD122*开放指数!AB122</f>
        <v>372</v>
      </c>
      <c r="AF122" s="20">
        <f>$D122*攻击分赃比!AE122*开放指数!AC122</f>
        <v>496</v>
      </c>
      <c r="AG122" s="20">
        <f>$D122*攻击分赃比!AF122*开放指数!AD122</f>
        <v>620</v>
      </c>
      <c r="AH122" s="20">
        <f>$D122*攻击分赃比!AG122*开放指数!AE122</f>
        <v>124</v>
      </c>
      <c r="AI122" s="20">
        <f>$D122*攻击分赃比!AH122*开放指数!AF122</f>
        <v>49.6</v>
      </c>
      <c r="AJ122" s="20">
        <f>$D122*攻击分赃比!AI122*开放指数!AG122</f>
        <v>49.6</v>
      </c>
      <c r="AK122" s="20">
        <f>$D122*攻击分赃比!AJ122*开放指数!AH122</f>
        <v>7.4399999999999995</v>
      </c>
      <c r="AL122" s="20">
        <f>$D122*攻击分赃比!AL122*开放指数!AI122</f>
        <v>297.59999999999997</v>
      </c>
      <c r="AM122" s="21">
        <f>攻击分赃比!AM122*开放指数!AJ122</f>
        <v>0.2</v>
      </c>
      <c r="AN122" s="21">
        <f>攻击分赃比!AN122*开放指数!AK122</f>
        <v>0.3</v>
      </c>
      <c r="AO122" s="21">
        <f>攻击分赃比!AO122*开放指数!AL122</f>
        <v>0.5</v>
      </c>
      <c r="AP122" s="21">
        <f>攻击分赃比!AP122*开放指数!AM122</f>
        <v>0.8</v>
      </c>
      <c r="AQ122" s="21">
        <f>攻击分赃比!AQ122*开放指数!AN122</f>
        <v>1.2</v>
      </c>
      <c r="AR122" s="20">
        <f>$D122*攻击分赃比!AS122*开放指数!AO122</f>
        <v>49.6</v>
      </c>
      <c r="AS122" s="20">
        <f t="shared" si="47"/>
        <v>1215.2</v>
      </c>
      <c r="AT122" s="20">
        <f t="shared" si="48"/>
        <v>5349.3600000000006</v>
      </c>
      <c r="AW122" s="20">
        <f t="shared" si="49"/>
        <v>1537.6</v>
      </c>
      <c r="AX122" s="20">
        <f t="shared" si="50"/>
        <v>2256.8000000000006</v>
      </c>
      <c r="AY122" s="20">
        <f t="shared" si="36"/>
        <v>850.6400000000001</v>
      </c>
      <c r="AZ122" s="20">
        <f t="shared" si="37"/>
        <v>654.72</v>
      </c>
      <c r="BA122" s="20">
        <f t="shared" si="38"/>
        <v>49.6</v>
      </c>
      <c r="BB122" s="73">
        <f t="shared" si="51"/>
        <v>21.570000000000004</v>
      </c>
    </row>
    <row r="123" spans="1:54">
      <c r="Q123" s="24"/>
      <c r="R123" s="24"/>
      <c r="S123" s="24"/>
      <c r="T123" s="24"/>
      <c r="U123" s="24"/>
      <c r="X123" s="22"/>
      <c r="Y123" s="22"/>
      <c r="Z123" s="22"/>
      <c r="AA123" s="22"/>
      <c r="AB123" s="22"/>
      <c r="AD123" s="78"/>
      <c r="AF123" s="24"/>
      <c r="AG123" s="24"/>
      <c r="AH123" s="24"/>
      <c r="AI123" s="24"/>
      <c r="AJ123" s="24"/>
      <c r="AK123" s="22"/>
      <c r="AM123" s="22"/>
      <c r="AN123" s="22"/>
      <c r="AO123" s="22"/>
      <c r="AP123" s="22"/>
      <c r="AQ123" s="22"/>
      <c r="AU123" s="77"/>
    </row>
    <row r="124" spans="1:54">
      <c r="Q124" s="24"/>
      <c r="R124" s="24"/>
      <c r="S124" s="24"/>
      <c r="T124" s="24"/>
      <c r="U124" s="24"/>
      <c r="X124" s="22"/>
      <c r="Y124" s="22"/>
      <c r="Z124" s="22"/>
      <c r="AA124" s="22"/>
      <c r="AB124" s="22"/>
      <c r="AD124" s="78"/>
      <c r="AF124" s="24"/>
      <c r="AG124" s="24"/>
      <c r="AH124" s="24"/>
      <c r="AI124" s="24"/>
      <c r="AJ124" s="24"/>
      <c r="AK124" s="22"/>
      <c r="AM124" s="22"/>
      <c r="AN124" s="22"/>
      <c r="AO124" s="22"/>
      <c r="AP124" s="22"/>
      <c r="AQ124" s="22"/>
      <c r="AU124" s="77"/>
    </row>
  </sheetData>
  <mergeCells count="4">
    <mergeCell ref="AL1:AQ1"/>
    <mergeCell ref="B1:N1"/>
    <mergeCell ref="O1:AB1"/>
    <mergeCell ref="AC1:AK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2"/>
  <sheetViews>
    <sheetView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" sqref="B1:K1"/>
    </sheetView>
  </sheetViews>
  <sheetFormatPr defaultRowHeight="14.25"/>
  <cols>
    <col min="1" max="1" width="5.25" style="8" bestFit="1" customWidth="1"/>
    <col min="2" max="5" width="3.375" style="8" bestFit="1" customWidth="1"/>
    <col min="6" max="10" width="5.25" style="8" bestFit="1" customWidth="1"/>
    <col min="11" max="11" width="5.25" style="8" customWidth="1"/>
    <col min="12" max="16" width="3.375" style="8" bestFit="1" customWidth="1"/>
    <col min="17" max="17" width="5.25" style="8" bestFit="1" customWidth="1"/>
    <col min="18" max="19" width="7.125" style="8" bestFit="1" customWidth="1"/>
    <col min="20" max="20" width="5.25" style="8" bestFit="1" customWidth="1"/>
    <col min="21" max="25" width="4.375" style="8" bestFit="1" customWidth="1"/>
    <col min="26" max="30" width="3.375" style="8" bestFit="1" customWidth="1"/>
    <col min="31" max="31" width="5.25" style="8" bestFit="1" customWidth="1"/>
    <col min="32" max="33" width="7.125" style="8" bestFit="1" customWidth="1"/>
    <col min="34" max="35" width="5.25" style="8" bestFit="1" customWidth="1"/>
    <col min="36" max="40" width="4.375" style="8" bestFit="1" customWidth="1"/>
    <col min="41" max="41" width="5.25" style="8" bestFit="1" customWidth="1"/>
    <col min="42" max="16384" width="9" style="8"/>
  </cols>
  <sheetData>
    <row r="1" spans="1:41">
      <c r="A1" s="7"/>
      <c r="B1" s="106" t="s">
        <v>119</v>
      </c>
      <c r="C1" s="106"/>
      <c r="D1" s="106"/>
      <c r="E1" s="106"/>
      <c r="F1" s="106"/>
      <c r="G1" s="106"/>
      <c r="H1" s="106"/>
      <c r="I1" s="106"/>
      <c r="J1" s="106"/>
      <c r="K1" s="106"/>
      <c r="L1" s="107" t="s">
        <v>22</v>
      </c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9"/>
      <c r="Z1" s="107" t="s">
        <v>24</v>
      </c>
      <c r="AA1" s="108"/>
      <c r="AB1" s="108"/>
      <c r="AC1" s="108"/>
      <c r="AD1" s="108"/>
      <c r="AE1" s="108"/>
      <c r="AF1" s="108"/>
      <c r="AG1" s="108"/>
      <c r="AH1" s="109"/>
      <c r="AI1" s="106" t="s">
        <v>25</v>
      </c>
      <c r="AJ1" s="106"/>
      <c r="AK1" s="106"/>
      <c r="AL1" s="106"/>
      <c r="AM1" s="106"/>
      <c r="AN1" s="106"/>
      <c r="AO1" s="48" t="s">
        <v>27</v>
      </c>
    </row>
    <row r="2" spans="1:41">
      <c r="A2" s="7" t="s">
        <v>0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7" t="s">
        <v>20</v>
      </c>
      <c r="J2" s="7" t="s">
        <v>21</v>
      </c>
      <c r="K2" s="7" t="s">
        <v>41</v>
      </c>
      <c r="L2" s="7" t="s">
        <v>12</v>
      </c>
      <c r="M2" s="7" t="s">
        <v>13</v>
      </c>
      <c r="N2" s="7" t="s">
        <v>14</v>
      </c>
      <c r="O2" s="7" t="s">
        <v>15</v>
      </c>
      <c r="P2" s="7" t="s">
        <v>16</v>
      </c>
      <c r="Q2" s="7" t="s">
        <v>23</v>
      </c>
      <c r="R2" s="7" t="s">
        <v>64</v>
      </c>
      <c r="S2" s="7" t="s">
        <v>65</v>
      </c>
      <c r="T2" s="18" t="s">
        <v>47</v>
      </c>
      <c r="U2" s="18" t="s">
        <v>44</v>
      </c>
      <c r="V2" s="18" t="s">
        <v>30</v>
      </c>
      <c r="W2" s="18" t="s">
        <v>31</v>
      </c>
      <c r="X2" s="18" t="s">
        <v>32</v>
      </c>
      <c r="Y2" s="18" t="s">
        <v>33</v>
      </c>
      <c r="Z2" s="7" t="s">
        <v>12</v>
      </c>
      <c r="AA2" s="7" t="s">
        <v>13</v>
      </c>
      <c r="AB2" s="7" t="s">
        <v>14</v>
      </c>
      <c r="AC2" s="7" t="s">
        <v>15</v>
      </c>
      <c r="AD2" s="7" t="s">
        <v>16</v>
      </c>
      <c r="AE2" s="7" t="s">
        <v>23</v>
      </c>
      <c r="AF2" s="7" t="s">
        <v>64</v>
      </c>
      <c r="AG2" s="7" t="s">
        <v>65</v>
      </c>
      <c r="AH2" s="18" t="s">
        <v>47</v>
      </c>
      <c r="AI2" s="7" t="s">
        <v>26</v>
      </c>
      <c r="AJ2" s="18" t="s">
        <v>44</v>
      </c>
      <c r="AK2" s="18" t="s">
        <v>30</v>
      </c>
      <c r="AL2" s="18" t="s">
        <v>31</v>
      </c>
      <c r="AM2" s="18" t="s">
        <v>32</v>
      </c>
      <c r="AN2" s="18" t="s">
        <v>33</v>
      </c>
      <c r="AO2" s="7" t="s">
        <v>27</v>
      </c>
    </row>
    <row r="3" spans="1:41">
      <c r="A3" s="49">
        <v>1</v>
      </c>
      <c r="B3" s="2">
        <v>1</v>
      </c>
      <c r="C3" s="2">
        <v>1</v>
      </c>
      <c r="D3" s="2">
        <v>1</v>
      </c>
      <c r="E3" s="2">
        <v>1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5">
        <v>0</v>
      </c>
      <c r="R3" s="2">
        <v>1</v>
      </c>
      <c r="S3" s="5">
        <v>0</v>
      </c>
      <c r="T3" s="2">
        <v>1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2">
        <v>1</v>
      </c>
    </row>
    <row r="4" spans="1:41">
      <c r="A4" s="49">
        <v>2</v>
      </c>
      <c r="B4" s="2">
        <v>1</v>
      </c>
      <c r="C4" s="2">
        <v>1</v>
      </c>
      <c r="D4" s="2">
        <v>1</v>
      </c>
      <c r="E4" s="2">
        <v>1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5">
        <v>0</v>
      </c>
      <c r="R4" s="2">
        <v>1</v>
      </c>
      <c r="S4" s="5">
        <v>0</v>
      </c>
      <c r="T4" s="2">
        <v>1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2">
        <v>1</v>
      </c>
    </row>
    <row r="5" spans="1:41">
      <c r="A5" s="49">
        <v>3</v>
      </c>
      <c r="B5" s="2">
        <v>1</v>
      </c>
      <c r="C5" s="2">
        <v>1</v>
      </c>
      <c r="D5" s="2">
        <v>1</v>
      </c>
      <c r="E5" s="2">
        <v>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5">
        <v>0</v>
      </c>
      <c r="R5" s="2">
        <v>1</v>
      </c>
      <c r="S5" s="5">
        <v>0</v>
      </c>
      <c r="T5" s="2">
        <v>1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2">
        <v>1</v>
      </c>
    </row>
    <row r="6" spans="1:41">
      <c r="A6" s="49">
        <v>4</v>
      </c>
      <c r="B6" s="2">
        <v>1</v>
      </c>
      <c r="C6" s="2">
        <v>1</v>
      </c>
      <c r="D6" s="2">
        <v>1</v>
      </c>
      <c r="E6" s="2">
        <v>1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5">
        <v>0</v>
      </c>
      <c r="R6" s="2">
        <v>1</v>
      </c>
      <c r="S6" s="5">
        <v>0</v>
      </c>
      <c r="T6" s="2">
        <v>1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2">
        <v>1</v>
      </c>
    </row>
    <row r="7" spans="1:41">
      <c r="A7" s="49">
        <v>5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5">
        <v>0</v>
      </c>
      <c r="H7" s="5">
        <v>0</v>
      </c>
      <c r="I7" s="5">
        <v>0</v>
      </c>
      <c r="J7" s="5">
        <v>0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5">
        <v>0</v>
      </c>
      <c r="R7" s="2">
        <v>1</v>
      </c>
      <c r="S7" s="5">
        <v>0</v>
      </c>
      <c r="T7" s="2">
        <v>1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2">
        <v>1</v>
      </c>
    </row>
    <row r="8" spans="1:41">
      <c r="A8" s="49">
        <v>6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5">
        <v>0</v>
      </c>
      <c r="H8" s="5">
        <v>0</v>
      </c>
      <c r="I8" s="5">
        <v>0</v>
      </c>
      <c r="J8" s="5">
        <v>0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5">
        <v>0</v>
      </c>
      <c r="R8" s="2">
        <v>1</v>
      </c>
      <c r="S8" s="5">
        <v>0</v>
      </c>
      <c r="T8" s="2">
        <v>1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2">
        <v>1</v>
      </c>
    </row>
    <row r="9" spans="1:41">
      <c r="A9" s="49">
        <v>7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5">
        <v>0</v>
      </c>
      <c r="H9" s="5">
        <v>0</v>
      </c>
      <c r="I9" s="5">
        <v>0</v>
      </c>
      <c r="J9" s="5">
        <v>0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5">
        <v>0</v>
      </c>
      <c r="R9" s="2">
        <v>1</v>
      </c>
      <c r="S9" s="5">
        <v>0</v>
      </c>
      <c r="T9" s="2">
        <v>1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2">
        <v>1</v>
      </c>
    </row>
    <row r="10" spans="1:41">
      <c r="A10" s="49">
        <v>8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5">
        <v>0</v>
      </c>
      <c r="H10" s="5">
        <v>0</v>
      </c>
      <c r="I10" s="5">
        <v>0</v>
      </c>
      <c r="J10" s="5">
        <v>0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5">
        <v>0</v>
      </c>
      <c r="R10" s="2">
        <v>1</v>
      </c>
      <c r="S10" s="5">
        <v>0</v>
      </c>
      <c r="T10" s="2">
        <v>1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2">
        <v>1</v>
      </c>
    </row>
    <row r="11" spans="1:41">
      <c r="A11" s="49">
        <v>9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5">
        <v>0</v>
      </c>
      <c r="H11" s="5">
        <v>0</v>
      </c>
      <c r="I11" s="5">
        <v>0</v>
      </c>
      <c r="J11" s="5">
        <v>0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5">
        <v>0</v>
      </c>
      <c r="R11" s="2">
        <v>1</v>
      </c>
      <c r="S11" s="5">
        <v>0</v>
      </c>
      <c r="T11" s="2">
        <v>1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2">
        <v>1</v>
      </c>
    </row>
    <row r="12" spans="1:41">
      <c r="A12" s="49">
        <v>10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5">
        <v>0</v>
      </c>
      <c r="I12" s="5">
        <v>0</v>
      </c>
      <c r="J12" s="5">
        <v>0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5">
        <v>0</v>
      </c>
      <c r="R12" s="2">
        <v>1</v>
      </c>
      <c r="S12" s="5">
        <v>0</v>
      </c>
      <c r="T12" s="2">
        <v>1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2">
        <v>1</v>
      </c>
    </row>
    <row r="13" spans="1:41">
      <c r="A13" s="49">
        <v>11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5">
        <v>0</v>
      </c>
      <c r="I13" s="5">
        <v>0</v>
      </c>
      <c r="J13" s="5">
        <v>0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5">
        <v>0</v>
      </c>
      <c r="R13" s="2">
        <v>1</v>
      </c>
      <c r="S13" s="5">
        <v>0</v>
      </c>
      <c r="T13" s="2">
        <v>1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2">
        <v>1</v>
      </c>
    </row>
    <row r="14" spans="1:41">
      <c r="A14" s="49">
        <v>12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5">
        <v>0</v>
      </c>
      <c r="I14" s="5">
        <v>0</v>
      </c>
      <c r="J14" s="5">
        <v>0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5">
        <v>0</v>
      </c>
      <c r="R14" s="2">
        <v>1</v>
      </c>
      <c r="S14" s="5">
        <v>0</v>
      </c>
      <c r="T14" s="2">
        <v>1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2">
        <v>1</v>
      </c>
    </row>
    <row r="15" spans="1:41">
      <c r="A15" s="49">
        <v>13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5">
        <v>0</v>
      </c>
      <c r="I15" s="5">
        <v>0</v>
      </c>
      <c r="J15" s="5">
        <v>0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5">
        <v>0</v>
      </c>
      <c r="R15" s="2">
        <v>1</v>
      </c>
      <c r="S15" s="5">
        <v>0</v>
      </c>
      <c r="T15" s="2">
        <v>1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2">
        <v>1</v>
      </c>
    </row>
    <row r="16" spans="1:41">
      <c r="A16" s="49">
        <v>14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5">
        <v>0</v>
      </c>
      <c r="I16" s="5">
        <v>0</v>
      </c>
      <c r="J16" s="5">
        <v>0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5">
        <v>0</v>
      </c>
      <c r="R16" s="2">
        <v>1</v>
      </c>
      <c r="S16" s="5">
        <v>0</v>
      </c>
      <c r="T16" s="2">
        <v>1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2">
        <v>1</v>
      </c>
    </row>
    <row r="17" spans="1:41">
      <c r="A17" s="49">
        <v>15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5">
        <v>0</v>
      </c>
      <c r="J17" s="5">
        <v>0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5">
        <v>0</v>
      </c>
      <c r="R17" s="2">
        <v>1</v>
      </c>
      <c r="S17" s="5">
        <v>0</v>
      </c>
      <c r="T17" s="2">
        <v>1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5">
        <v>0</v>
      </c>
      <c r="AF17" s="2">
        <v>1</v>
      </c>
      <c r="AG17" s="5">
        <v>0</v>
      </c>
      <c r="AH17" s="2">
        <v>1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2">
        <v>1</v>
      </c>
    </row>
    <row r="18" spans="1:41">
      <c r="A18" s="49">
        <v>16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5">
        <v>0</v>
      </c>
      <c r="J18" s="5">
        <v>0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5">
        <v>0</v>
      </c>
      <c r="R18" s="2">
        <v>1</v>
      </c>
      <c r="S18" s="5">
        <v>0</v>
      </c>
      <c r="T18" s="2">
        <v>1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2">
        <v>1</v>
      </c>
      <c r="AA18" s="2">
        <v>1</v>
      </c>
      <c r="AB18" s="2">
        <v>1</v>
      </c>
      <c r="AC18" s="2">
        <v>1</v>
      </c>
      <c r="AD18" s="2">
        <v>1</v>
      </c>
      <c r="AE18" s="5">
        <v>0</v>
      </c>
      <c r="AF18" s="2">
        <v>1</v>
      </c>
      <c r="AG18" s="5">
        <v>0</v>
      </c>
      <c r="AH18" s="2">
        <v>1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2">
        <v>1</v>
      </c>
    </row>
    <row r="19" spans="1:41">
      <c r="A19" s="49">
        <v>17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5">
        <v>0</v>
      </c>
      <c r="J19" s="5">
        <v>0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5">
        <v>0</v>
      </c>
      <c r="R19" s="2">
        <v>1</v>
      </c>
      <c r="S19" s="5">
        <v>0</v>
      </c>
      <c r="T19" s="2">
        <v>1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2">
        <v>1</v>
      </c>
      <c r="AA19" s="2">
        <v>1</v>
      </c>
      <c r="AB19" s="2">
        <v>1</v>
      </c>
      <c r="AC19" s="2">
        <v>1</v>
      </c>
      <c r="AD19" s="2">
        <v>1</v>
      </c>
      <c r="AE19" s="5">
        <v>0</v>
      </c>
      <c r="AF19" s="2">
        <v>1</v>
      </c>
      <c r="AG19" s="5">
        <v>0</v>
      </c>
      <c r="AH19" s="2">
        <v>1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2">
        <v>1</v>
      </c>
    </row>
    <row r="20" spans="1:41">
      <c r="A20" s="49">
        <v>18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5">
        <v>0</v>
      </c>
      <c r="J20" s="5">
        <v>0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5">
        <v>0</v>
      </c>
      <c r="R20" s="2">
        <v>1</v>
      </c>
      <c r="S20" s="5">
        <v>0</v>
      </c>
      <c r="T20" s="2">
        <v>1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5">
        <v>0</v>
      </c>
      <c r="AF20" s="2">
        <v>1</v>
      </c>
      <c r="AG20" s="5">
        <v>0</v>
      </c>
      <c r="AH20" s="2">
        <v>1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2">
        <v>1</v>
      </c>
    </row>
    <row r="21" spans="1:41">
      <c r="A21" s="49">
        <v>19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5">
        <v>0</v>
      </c>
      <c r="J21" s="5">
        <v>0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5">
        <v>0</v>
      </c>
      <c r="R21" s="2">
        <v>1</v>
      </c>
      <c r="S21" s="5">
        <v>0</v>
      </c>
      <c r="T21" s="2">
        <v>1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5">
        <v>0</v>
      </c>
      <c r="AF21" s="2">
        <v>1</v>
      </c>
      <c r="AG21" s="5">
        <v>0</v>
      </c>
      <c r="AH21" s="2">
        <v>1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2">
        <v>1</v>
      </c>
    </row>
    <row r="22" spans="1:41">
      <c r="A22" s="49">
        <v>20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5">
        <v>0</v>
      </c>
      <c r="J22" s="5">
        <v>0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5">
        <v>0</v>
      </c>
      <c r="R22" s="2">
        <v>1</v>
      </c>
      <c r="S22" s="5">
        <v>0</v>
      </c>
      <c r="T22" s="2">
        <v>1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2">
        <v>1</v>
      </c>
      <c r="AA22" s="2">
        <v>1</v>
      </c>
      <c r="AB22" s="2">
        <v>1</v>
      </c>
      <c r="AC22" s="2">
        <v>1</v>
      </c>
      <c r="AD22" s="2">
        <v>1</v>
      </c>
      <c r="AE22" s="5">
        <v>0</v>
      </c>
      <c r="AF22" s="2">
        <v>1</v>
      </c>
      <c r="AG22" s="5">
        <v>0</v>
      </c>
      <c r="AH22" s="2">
        <v>1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2">
        <v>1</v>
      </c>
    </row>
    <row r="23" spans="1:41">
      <c r="A23" s="49">
        <v>21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5">
        <v>0</v>
      </c>
      <c r="J23" s="5">
        <v>0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5">
        <v>0</v>
      </c>
      <c r="R23" s="2">
        <v>1</v>
      </c>
      <c r="S23" s="5">
        <v>0</v>
      </c>
      <c r="T23" s="2">
        <v>1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5">
        <v>0</v>
      </c>
      <c r="AF23" s="2">
        <v>1</v>
      </c>
      <c r="AG23" s="5">
        <v>0</v>
      </c>
      <c r="AH23" s="2">
        <v>1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2">
        <v>1</v>
      </c>
    </row>
    <row r="24" spans="1:41">
      <c r="A24" s="49">
        <v>22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5">
        <v>0</v>
      </c>
      <c r="J24" s="5">
        <v>0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5">
        <v>0</v>
      </c>
      <c r="R24" s="2">
        <v>1</v>
      </c>
      <c r="S24" s="5">
        <v>0</v>
      </c>
      <c r="T24" s="2">
        <v>1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2">
        <v>1</v>
      </c>
      <c r="AA24" s="2">
        <v>1</v>
      </c>
      <c r="AB24" s="2">
        <v>1</v>
      </c>
      <c r="AC24" s="2">
        <v>1</v>
      </c>
      <c r="AD24" s="2">
        <v>1</v>
      </c>
      <c r="AE24" s="5">
        <v>0</v>
      </c>
      <c r="AF24" s="2">
        <v>1</v>
      </c>
      <c r="AG24" s="5">
        <v>0</v>
      </c>
      <c r="AH24" s="2">
        <v>1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2">
        <v>1</v>
      </c>
    </row>
    <row r="25" spans="1:41">
      <c r="A25" s="49">
        <v>23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5">
        <v>0</v>
      </c>
      <c r="J25" s="5">
        <v>0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5">
        <v>0</v>
      </c>
      <c r="R25" s="2">
        <v>1</v>
      </c>
      <c r="S25" s="5">
        <v>0</v>
      </c>
      <c r="T25" s="2">
        <v>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5">
        <v>0</v>
      </c>
      <c r="AF25" s="2">
        <v>1</v>
      </c>
      <c r="AG25" s="5">
        <v>0</v>
      </c>
      <c r="AH25" s="2">
        <v>1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2">
        <v>1</v>
      </c>
    </row>
    <row r="26" spans="1:41">
      <c r="A26" s="49">
        <v>24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5">
        <v>0</v>
      </c>
      <c r="J26" s="5">
        <v>0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5">
        <v>0</v>
      </c>
      <c r="R26" s="2">
        <v>1</v>
      </c>
      <c r="S26" s="5">
        <v>0</v>
      </c>
      <c r="T26" s="2">
        <v>1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5">
        <v>0</v>
      </c>
      <c r="AF26" s="2">
        <v>1</v>
      </c>
      <c r="AG26" s="5">
        <v>0</v>
      </c>
      <c r="AH26" s="2">
        <v>1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2">
        <v>1</v>
      </c>
    </row>
    <row r="27" spans="1:41">
      <c r="A27" s="49">
        <v>25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5">
        <v>0</v>
      </c>
      <c r="J27" s="5">
        <v>0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5">
        <v>0</v>
      </c>
      <c r="R27" s="2">
        <v>1</v>
      </c>
      <c r="S27" s="5">
        <v>0</v>
      </c>
      <c r="T27" s="2">
        <v>1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5">
        <v>0</v>
      </c>
      <c r="AF27" s="2">
        <v>1</v>
      </c>
      <c r="AG27" s="5">
        <v>0</v>
      </c>
      <c r="AH27" s="2">
        <v>1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2">
        <v>1</v>
      </c>
    </row>
    <row r="28" spans="1:41">
      <c r="A28" s="49">
        <v>26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5">
        <v>0</v>
      </c>
      <c r="J28" s="5">
        <v>0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5">
        <v>0</v>
      </c>
      <c r="R28" s="2">
        <v>1</v>
      </c>
      <c r="S28" s="5">
        <v>0</v>
      </c>
      <c r="T28" s="2">
        <v>1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5">
        <v>0</v>
      </c>
      <c r="AF28" s="2">
        <v>1</v>
      </c>
      <c r="AG28" s="5">
        <v>0</v>
      </c>
      <c r="AH28" s="2">
        <v>1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2">
        <v>1</v>
      </c>
    </row>
    <row r="29" spans="1:41">
      <c r="A29" s="49">
        <v>27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5">
        <v>0</v>
      </c>
      <c r="J29" s="5">
        <v>0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5">
        <v>0</v>
      </c>
      <c r="R29" s="2">
        <v>1</v>
      </c>
      <c r="S29" s="5">
        <v>0</v>
      </c>
      <c r="T29" s="2">
        <v>1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5">
        <v>0</v>
      </c>
      <c r="AF29" s="2">
        <v>1</v>
      </c>
      <c r="AG29" s="5">
        <v>0</v>
      </c>
      <c r="AH29" s="2">
        <v>1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2">
        <v>1</v>
      </c>
    </row>
    <row r="30" spans="1:41">
      <c r="A30" s="49">
        <v>28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5">
        <v>0</v>
      </c>
      <c r="J30" s="5">
        <v>0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5">
        <v>0</v>
      </c>
      <c r="R30" s="2">
        <v>1</v>
      </c>
      <c r="S30" s="5">
        <v>0</v>
      </c>
      <c r="T30" s="2">
        <v>1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2">
        <v>1</v>
      </c>
      <c r="AA30" s="2">
        <v>1</v>
      </c>
      <c r="AB30" s="2">
        <v>1</v>
      </c>
      <c r="AC30" s="2">
        <v>1</v>
      </c>
      <c r="AD30" s="2">
        <v>1</v>
      </c>
      <c r="AE30" s="5">
        <v>0</v>
      </c>
      <c r="AF30" s="2">
        <v>1</v>
      </c>
      <c r="AG30" s="5">
        <v>0</v>
      </c>
      <c r="AH30" s="2">
        <v>1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2">
        <v>1</v>
      </c>
    </row>
    <row r="31" spans="1:41">
      <c r="A31" s="49">
        <v>29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5">
        <v>0</v>
      </c>
      <c r="J31" s="5">
        <v>0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5">
        <v>0</v>
      </c>
      <c r="R31" s="2">
        <v>1</v>
      </c>
      <c r="S31" s="5">
        <v>0</v>
      </c>
      <c r="T31" s="2">
        <v>1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2">
        <v>1</v>
      </c>
      <c r="AA31" s="2">
        <v>1</v>
      </c>
      <c r="AB31" s="2">
        <v>1</v>
      </c>
      <c r="AC31" s="2">
        <v>1</v>
      </c>
      <c r="AD31" s="2">
        <v>1</v>
      </c>
      <c r="AE31" s="5">
        <v>0</v>
      </c>
      <c r="AF31" s="2">
        <v>1</v>
      </c>
      <c r="AG31" s="5">
        <v>0</v>
      </c>
      <c r="AH31" s="2">
        <v>1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2">
        <v>1</v>
      </c>
    </row>
    <row r="32" spans="1:41">
      <c r="A32" s="49">
        <v>30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5">
        <v>0</v>
      </c>
      <c r="J32" s="5">
        <v>0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2">
        <v>1</v>
      </c>
      <c r="AA32" s="2">
        <v>1</v>
      </c>
      <c r="AB32" s="2">
        <v>1</v>
      </c>
      <c r="AC32" s="2">
        <v>1</v>
      </c>
      <c r="AD32" s="2">
        <v>1</v>
      </c>
      <c r="AE32" s="5">
        <v>0</v>
      </c>
      <c r="AF32" s="2">
        <v>1</v>
      </c>
      <c r="AG32" s="5">
        <v>0</v>
      </c>
      <c r="AH32" s="2">
        <v>1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2">
        <v>1</v>
      </c>
    </row>
    <row r="33" spans="1:41">
      <c r="A33" s="49">
        <v>31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5">
        <v>0</v>
      </c>
      <c r="J33" s="5">
        <v>0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2">
        <v>1</v>
      </c>
      <c r="AA33" s="2">
        <v>1</v>
      </c>
      <c r="AB33" s="2">
        <v>1</v>
      </c>
      <c r="AC33" s="2">
        <v>1</v>
      </c>
      <c r="AD33" s="2">
        <v>1</v>
      </c>
      <c r="AE33" s="5">
        <v>0</v>
      </c>
      <c r="AF33" s="2">
        <v>1</v>
      </c>
      <c r="AG33" s="5">
        <v>0</v>
      </c>
      <c r="AH33" s="2">
        <v>1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2">
        <v>1</v>
      </c>
    </row>
    <row r="34" spans="1:41">
      <c r="A34" s="49">
        <v>32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5">
        <v>0</v>
      </c>
      <c r="J34" s="5">
        <v>0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5">
        <v>0</v>
      </c>
      <c r="AF34" s="2">
        <v>1</v>
      </c>
      <c r="AG34" s="5">
        <v>0</v>
      </c>
      <c r="AH34" s="2">
        <v>1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2">
        <v>1</v>
      </c>
    </row>
    <row r="35" spans="1:41">
      <c r="A35" s="49">
        <v>33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5">
        <v>0</v>
      </c>
      <c r="J35" s="5">
        <v>0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2">
        <v>1</v>
      </c>
      <c r="AA35" s="2">
        <v>1</v>
      </c>
      <c r="AB35" s="2">
        <v>1</v>
      </c>
      <c r="AC35" s="2">
        <v>1</v>
      </c>
      <c r="AD35" s="2">
        <v>1</v>
      </c>
      <c r="AE35" s="5">
        <v>0</v>
      </c>
      <c r="AF35" s="2">
        <v>1</v>
      </c>
      <c r="AG35" s="5">
        <v>0</v>
      </c>
      <c r="AH35" s="2">
        <v>1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2">
        <v>1</v>
      </c>
    </row>
    <row r="36" spans="1:41">
      <c r="A36" s="49">
        <v>34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5">
        <v>0</v>
      </c>
      <c r="J36" s="5">
        <v>0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5">
        <v>0</v>
      </c>
      <c r="AF36" s="2">
        <v>1</v>
      </c>
      <c r="AG36" s="5">
        <v>0</v>
      </c>
      <c r="AH36" s="2">
        <v>1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2">
        <v>1</v>
      </c>
    </row>
    <row r="37" spans="1:41">
      <c r="A37" s="49">
        <v>35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5">
        <v>0</v>
      </c>
      <c r="J37" s="5">
        <v>0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2">
        <v>1</v>
      </c>
      <c r="AA37" s="2">
        <v>1</v>
      </c>
      <c r="AB37" s="2">
        <v>1</v>
      </c>
      <c r="AC37" s="2">
        <v>1</v>
      </c>
      <c r="AD37" s="2">
        <v>1</v>
      </c>
      <c r="AE37" s="5">
        <v>0</v>
      </c>
      <c r="AF37" s="2">
        <v>1</v>
      </c>
      <c r="AG37" s="5">
        <v>0</v>
      </c>
      <c r="AH37" s="2">
        <v>1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2">
        <v>1</v>
      </c>
    </row>
    <row r="38" spans="1:41">
      <c r="A38" s="49">
        <v>36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5">
        <v>0</v>
      </c>
      <c r="J38" s="5">
        <v>0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2">
        <v>1</v>
      </c>
      <c r="AA38" s="2">
        <v>1</v>
      </c>
      <c r="AB38" s="2">
        <v>1</v>
      </c>
      <c r="AC38" s="2">
        <v>1</v>
      </c>
      <c r="AD38" s="2">
        <v>1</v>
      </c>
      <c r="AE38" s="5">
        <v>0</v>
      </c>
      <c r="AF38" s="2">
        <v>1</v>
      </c>
      <c r="AG38" s="5">
        <v>0</v>
      </c>
      <c r="AH38" s="2">
        <v>1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2">
        <v>1</v>
      </c>
    </row>
    <row r="39" spans="1:41">
      <c r="A39" s="49">
        <v>37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5">
        <v>0</v>
      </c>
      <c r="J39" s="5">
        <v>0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5">
        <v>0</v>
      </c>
      <c r="AF39" s="2">
        <v>1</v>
      </c>
      <c r="AG39" s="5">
        <v>0</v>
      </c>
      <c r="AH39" s="2">
        <v>1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2">
        <v>1</v>
      </c>
    </row>
    <row r="40" spans="1:41">
      <c r="A40" s="49">
        <v>38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5">
        <v>0</v>
      </c>
      <c r="J40" s="5">
        <v>0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2">
        <v>1</v>
      </c>
      <c r="AA40" s="2">
        <v>1</v>
      </c>
      <c r="AB40" s="2">
        <v>1</v>
      </c>
      <c r="AC40" s="2">
        <v>1</v>
      </c>
      <c r="AD40" s="2">
        <v>1</v>
      </c>
      <c r="AE40" s="5">
        <v>0</v>
      </c>
      <c r="AF40" s="2">
        <v>1</v>
      </c>
      <c r="AG40" s="5">
        <v>0</v>
      </c>
      <c r="AH40" s="2">
        <v>1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2">
        <v>1</v>
      </c>
    </row>
    <row r="41" spans="1:41">
      <c r="A41" s="49">
        <v>39</v>
      </c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5">
        <v>0</v>
      </c>
      <c r="J41" s="5">
        <v>0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2">
        <v>1</v>
      </c>
      <c r="AA41" s="2">
        <v>1</v>
      </c>
      <c r="AB41" s="2">
        <v>1</v>
      </c>
      <c r="AC41" s="2">
        <v>1</v>
      </c>
      <c r="AD41" s="2">
        <v>1</v>
      </c>
      <c r="AE41" s="5">
        <v>0</v>
      </c>
      <c r="AF41" s="2">
        <v>1</v>
      </c>
      <c r="AG41" s="5">
        <v>0</v>
      </c>
      <c r="AH41" s="2">
        <v>1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2">
        <v>1</v>
      </c>
    </row>
    <row r="42" spans="1:41">
      <c r="A42" s="49">
        <v>40</v>
      </c>
      <c r="B42" s="2">
        <v>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5">
        <v>0</v>
      </c>
      <c r="J42" s="5">
        <v>0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1</v>
      </c>
      <c r="AH42" s="2">
        <v>1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2">
        <v>1</v>
      </c>
    </row>
    <row r="43" spans="1:41">
      <c r="A43" s="49">
        <v>41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5">
        <v>0</v>
      </c>
      <c r="J43" s="5">
        <v>0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  <c r="S43" s="2">
        <v>1</v>
      </c>
      <c r="T43" s="2">
        <v>1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2">
        <v>1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2">
        <v>1</v>
      </c>
    </row>
    <row r="44" spans="1:41">
      <c r="A44" s="49">
        <v>42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5">
        <v>0</v>
      </c>
      <c r="J44" s="5">
        <v>0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  <c r="S44" s="2">
        <v>1</v>
      </c>
      <c r="T44" s="2">
        <v>1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2">
        <v>1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1</v>
      </c>
      <c r="AH44" s="2">
        <v>1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2">
        <v>1</v>
      </c>
    </row>
    <row r="45" spans="1:41">
      <c r="A45" s="49">
        <v>43</v>
      </c>
      <c r="B45" s="2">
        <v>1</v>
      </c>
      <c r="C45" s="2">
        <v>1</v>
      </c>
      <c r="D45" s="2">
        <v>1</v>
      </c>
      <c r="E45" s="2">
        <v>1</v>
      </c>
      <c r="F45" s="2">
        <v>1</v>
      </c>
      <c r="G45" s="2">
        <v>1</v>
      </c>
      <c r="H45" s="2">
        <v>1</v>
      </c>
      <c r="I45" s="5">
        <v>0</v>
      </c>
      <c r="J45" s="5">
        <v>0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2">
        <v>1</v>
      </c>
      <c r="AA45" s="2">
        <v>1</v>
      </c>
      <c r="AB45" s="2">
        <v>1</v>
      </c>
      <c r="AC45" s="2">
        <v>1</v>
      </c>
      <c r="AD45" s="2">
        <v>1</v>
      </c>
      <c r="AE45" s="2">
        <v>1</v>
      </c>
      <c r="AF45" s="2">
        <v>1</v>
      </c>
      <c r="AG45" s="2">
        <v>1</v>
      </c>
      <c r="AH45" s="2">
        <v>1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2">
        <v>1</v>
      </c>
    </row>
    <row r="46" spans="1:41">
      <c r="A46" s="49">
        <v>44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5">
        <v>0</v>
      </c>
      <c r="J46" s="5">
        <v>0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2">
        <v>1</v>
      </c>
    </row>
    <row r="47" spans="1:41">
      <c r="A47" s="49">
        <v>45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5">
        <v>0</v>
      </c>
      <c r="J47" s="5">
        <v>0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1</v>
      </c>
      <c r="Q47" s="2">
        <v>1</v>
      </c>
      <c r="R47" s="2">
        <v>1</v>
      </c>
      <c r="S47" s="2">
        <v>1</v>
      </c>
      <c r="T47" s="2">
        <v>1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1</v>
      </c>
      <c r="AF47" s="2">
        <v>1</v>
      </c>
      <c r="AG47" s="2">
        <v>1</v>
      </c>
      <c r="AH47" s="2">
        <v>1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2">
        <v>1</v>
      </c>
    </row>
    <row r="48" spans="1:41">
      <c r="A48" s="49">
        <v>46</v>
      </c>
      <c r="B48" s="2">
        <v>1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5">
        <v>0</v>
      </c>
      <c r="J48" s="5">
        <v>0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2">
        <v>1</v>
      </c>
    </row>
    <row r="49" spans="1:41">
      <c r="A49" s="49">
        <v>47</v>
      </c>
      <c r="B49" s="2">
        <v>1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5">
        <v>0</v>
      </c>
      <c r="J49" s="5">
        <v>0</v>
      </c>
      <c r="K49" s="2">
        <v>1</v>
      </c>
      <c r="L49" s="2">
        <v>1</v>
      </c>
      <c r="M49" s="2">
        <v>1</v>
      </c>
      <c r="N49" s="2">
        <v>1</v>
      </c>
      <c r="O49" s="2">
        <v>1</v>
      </c>
      <c r="P49" s="2">
        <v>1</v>
      </c>
      <c r="Q49" s="2">
        <v>1</v>
      </c>
      <c r="R49" s="2">
        <v>1</v>
      </c>
      <c r="S49" s="2">
        <v>1</v>
      </c>
      <c r="T49" s="2">
        <v>1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2">
        <v>1</v>
      </c>
      <c r="AA49" s="2">
        <v>1</v>
      </c>
      <c r="AB49" s="2">
        <v>1</v>
      </c>
      <c r="AC49" s="2">
        <v>1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2">
        <v>1</v>
      </c>
    </row>
    <row r="50" spans="1:41">
      <c r="A50" s="49">
        <v>48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5">
        <v>0</v>
      </c>
      <c r="J50" s="5">
        <v>0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2">
        <v>1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2">
        <v>1</v>
      </c>
    </row>
    <row r="51" spans="1:41">
      <c r="A51" s="49">
        <v>49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5">
        <v>0</v>
      </c>
      <c r="J51" s="5">
        <v>0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2">
        <v>1</v>
      </c>
      <c r="AA51" s="2">
        <v>1</v>
      </c>
      <c r="AB51" s="2">
        <v>1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>
        <v>1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2">
        <v>1</v>
      </c>
    </row>
    <row r="52" spans="1:41">
      <c r="A52" s="49">
        <v>50</v>
      </c>
      <c r="B52" s="2">
        <v>1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5">
        <v>0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2">
        <v>1</v>
      </c>
    </row>
    <row r="53" spans="1:41">
      <c r="A53" s="49">
        <v>51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1</v>
      </c>
      <c r="H53" s="2">
        <v>1</v>
      </c>
      <c r="I53" s="5">
        <v>0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2">
        <v>1</v>
      </c>
    </row>
    <row r="54" spans="1:41">
      <c r="A54" s="49">
        <v>52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5">
        <v>0</v>
      </c>
      <c r="J54" s="2">
        <v>1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1</v>
      </c>
      <c r="Q54" s="2">
        <v>1</v>
      </c>
      <c r="R54" s="2">
        <v>1</v>
      </c>
      <c r="S54" s="2">
        <v>1</v>
      </c>
      <c r="T54" s="2">
        <v>1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2">
        <v>1</v>
      </c>
      <c r="AA54" s="2">
        <v>1</v>
      </c>
      <c r="AB54" s="2">
        <v>1</v>
      </c>
      <c r="AC54" s="2">
        <v>1</v>
      </c>
      <c r="AD54" s="2">
        <v>1</v>
      </c>
      <c r="AE54" s="2">
        <v>1</v>
      </c>
      <c r="AF54" s="2">
        <v>1</v>
      </c>
      <c r="AG54" s="2">
        <v>1</v>
      </c>
      <c r="AH54" s="2">
        <v>1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2">
        <v>1</v>
      </c>
    </row>
    <row r="55" spans="1:41">
      <c r="A55" s="49">
        <v>53</v>
      </c>
      <c r="B55" s="2">
        <v>1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5">
        <v>0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2">
        <v>1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1</v>
      </c>
      <c r="AG55" s="2">
        <v>1</v>
      </c>
      <c r="AH55" s="2">
        <v>1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2">
        <v>1</v>
      </c>
    </row>
    <row r="56" spans="1:41">
      <c r="A56" s="49">
        <v>54</v>
      </c>
      <c r="B56" s="2">
        <v>1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5">
        <v>0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>
        <v>1</v>
      </c>
      <c r="R56" s="2">
        <v>1</v>
      </c>
      <c r="S56" s="2">
        <v>1</v>
      </c>
      <c r="T56" s="2">
        <v>1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2">
        <v>1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2">
        <v>1</v>
      </c>
    </row>
    <row r="57" spans="1:41">
      <c r="A57" s="49">
        <v>55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5">
        <v>0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2">
        <v>1</v>
      </c>
      <c r="AA57" s="2">
        <v>1</v>
      </c>
      <c r="AB57" s="2">
        <v>1</v>
      </c>
      <c r="AC57" s="2">
        <v>1</v>
      </c>
      <c r="AD57" s="2">
        <v>1</v>
      </c>
      <c r="AE57" s="2">
        <v>1</v>
      </c>
      <c r="AF57" s="2">
        <v>1</v>
      </c>
      <c r="AG57" s="2">
        <v>1</v>
      </c>
      <c r="AH57" s="2">
        <v>1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2">
        <v>1</v>
      </c>
    </row>
    <row r="58" spans="1:41">
      <c r="A58" s="49">
        <v>56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5">
        <v>0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2">
        <v>1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1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2">
        <v>1</v>
      </c>
    </row>
    <row r="59" spans="1:41">
      <c r="A59" s="49">
        <v>57</v>
      </c>
      <c r="B59" s="2">
        <v>1</v>
      </c>
      <c r="C59" s="2">
        <v>1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5">
        <v>0</v>
      </c>
      <c r="J59" s="2">
        <v>1</v>
      </c>
      <c r="K59" s="2">
        <v>1</v>
      </c>
      <c r="L59" s="2">
        <v>1</v>
      </c>
      <c r="M59" s="2">
        <v>1</v>
      </c>
      <c r="N59" s="2">
        <v>1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2">
        <v>1</v>
      </c>
      <c r="AA59" s="2">
        <v>1</v>
      </c>
      <c r="AB59" s="2">
        <v>1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2">
        <v>1</v>
      </c>
    </row>
    <row r="60" spans="1:41">
      <c r="A60" s="49">
        <v>58</v>
      </c>
      <c r="B60" s="2">
        <v>1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5">
        <v>0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2">
        <v>1</v>
      </c>
      <c r="AA60" s="2">
        <v>1</v>
      </c>
      <c r="AB60" s="2">
        <v>1</v>
      </c>
      <c r="AC60" s="2">
        <v>1</v>
      </c>
      <c r="AD60" s="2">
        <v>1</v>
      </c>
      <c r="AE60" s="2">
        <v>1</v>
      </c>
      <c r="AF60" s="2">
        <v>1</v>
      </c>
      <c r="AG60" s="2">
        <v>1</v>
      </c>
      <c r="AH60" s="2">
        <v>1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2">
        <v>1</v>
      </c>
    </row>
    <row r="61" spans="1:41">
      <c r="A61" s="49">
        <v>59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1</v>
      </c>
      <c r="H61" s="2">
        <v>1</v>
      </c>
      <c r="I61" s="5">
        <v>0</v>
      </c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2">
        <v>1</v>
      </c>
      <c r="AA61" s="2">
        <v>1</v>
      </c>
      <c r="AB61" s="2">
        <v>1</v>
      </c>
      <c r="AC61" s="2">
        <v>1</v>
      </c>
      <c r="AD61" s="2">
        <v>1</v>
      </c>
      <c r="AE61" s="2">
        <v>1</v>
      </c>
      <c r="AF61" s="2">
        <v>1</v>
      </c>
      <c r="AG61" s="2">
        <v>1</v>
      </c>
      <c r="AH61" s="2">
        <v>1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2">
        <v>1</v>
      </c>
    </row>
    <row r="62" spans="1:41">
      <c r="A62" s="49">
        <v>60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5">
        <v>0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1</v>
      </c>
      <c r="T62" s="2">
        <v>1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1</v>
      </c>
      <c r="AF62" s="2">
        <v>1</v>
      </c>
      <c r="AG62" s="2">
        <v>1</v>
      </c>
      <c r="AH62" s="2">
        <v>1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2">
        <v>1</v>
      </c>
    </row>
    <row r="63" spans="1:41">
      <c r="A63" s="49">
        <v>61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5">
        <v>0</v>
      </c>
      <c r="J63" s="2">
        <v>1</v>
      </c>
      <c r="K63" s="2">
        <v>1</v>
      </c>
      <c r="L63" s="2">
        <v>1</v>
      </c>
      <c r="M63" s="2">
        <v>1</v>
      </c>
      <c r="N63" s="2">
        <v>1</v>
      </c>
      <c r="O63" s="2">
        <v>1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2">
        <v>1</v>
      </c>
      <c r="AA63" s="2">
        <v>1</v>
      </c>
      <c r="AB63" s="2">
        <v>1</v>
      </c>
      <c r="AC63" s="2">
        <v>1</v>
      </c>
      <c r="AD63" s="2">
        <v>1</v>
      </c>
      <c r="AE63" s="2">
        <v>1</v>
      </c>
      <c r="AF63" s="2">
        <v>1</v>
      </c>
      <c r="AG63" s="2">
        <v>1</v>
      </c>
      <c r="AH63" s="2">
        <v>1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2">
        <v>1</v>
      </c>
    </row>
    <row r="64" spans="1:41">
      <c r="A64" s="49">
        <v>62</v>
      </c>
      <c r="B64" s="2">
        <v>1</v>
      </c>
      <c r="C64" s="2">
        <v>1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  <c r="I64" s="5">
        <v>0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2">
        <v>1</v>
      </c>
      <c r="AA64" s="2">
        <v>1</v>
      </c>
      <c r="AB64" s="2">
        <v>1</v>
      </c>
      <c r="AC64" s="2">
        <v>1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2">
        <v>1</v>
      </c>
    </row>
    <row r="65" spans="1:41">
      <c r="A65" s="49">
        <v>63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5">
        <v>0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1</v>
      </c>
      <c r="Q65" s="2">
        <v>1</v>
      </c>
      <c r="R65" s="2">
        <v>1</v>
      </c>
      <c r="S65" s="2">
        <v>1</v>
      </c>
      <c r="T65" s="2">
        <v>1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2">
        <v>1</v>
      </c>
      <c r="AA65" s="2">
        <v>1</v>
      </c>
      <c r="AB65" s="2">
        <v>1</v>
      </c>
      <c r="AC65" s="2">
        <v>1</v>
      </c>
      <c r="AD65" s="2">
        <v>1</v>
      </c>
      <c r="AE65" s="2">
        <v>1</v>
      </c>
      <c r="AF65" s="2">
        <v>1</v>
      </c>
      <c r="AG65" s="2">
        <v>1</v>
      </c>
      <c r="AH65" s="2">
        <v>1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2">
        <v>1</v>
      </c>
    </row>
    <row r="66" spans="1:41">
      <c r="A66" s="49">
        <v>64</v>
      </c>
      <c r="B66" s="2">
        <v>1</v>
      </c>
      <c r="C66" s="2">
        <v>1</v>
      </c>
      <c r="D66" s="2">
        <v>1</v>
      </c>
      <c r="E66" s="2">
        <v>1</v>
      </c>
      <c r="F66" s="2">
        <v>1</v>
      </c>
      <c r="G66" s="2">
        <v>1</v>
      </c>
      <c r="H66" s="2">
        <v>1</v>
      </c>
      <c r="I66" s="5">
        <v>0</v>
      </c>
      <c r="J66" s="2">
        <v>1</v>
      </c>
      <c r="K66" s="2">
        <v>1</v>
      </c>
      <c r="L66" s="2">
        <v>1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2">
        <v>1</v>
      </c>
      <c r="T66" s="2">
        <v>1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2">
        <v>1</v>
      </c>
      <c r="AA66" s="2">
        <v>1</v>
      </c>
      <c r="AB66" s="2">
        <v>1</v>
      </c>
      <c r="AC66" s="2">
        <v>1</v>
      </c>
      <c r="AD66" s="2">
        <v>1</v>
      </c>
      <c r="AE66" s="2">
        <v>1</v>
      </c>
      <c r="AF66" s="2">
        <v>1</v>
      </c>
      <c r="AG66" s="2">
        <v>1</v>
      </c>
      <c r="AH66" s="2">
        <v>1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2">
        <v>1</v>
      </c>
    </row>
    <row r="67" spans="1:41">
      <c r="A67" s="49">
        <v>65</v>
      </c>
      <c r="B67" s="2">
        <v>1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5">
        <v>0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2">
        <v>1</v>
      </c>
      <c r="AA67" s="2">
        <v>1</v>
      </c>
      <c r="AB67" s="2">
        <v>1</v>
      </c>
      <c r="AC67" s="2">
        <v>1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2">
        <v>1</v>
      </c>
    </row>
    <row r="68" spans="1:41">
      <c r="A68" s="49">
        <v>66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5">
        <v>0</v>
      </c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2">
        <v>1</v>
      </c>
      <c r="AA68" s="2">
        <v>1</v>
      </c>
      <c r="AB68" s="2">
        <v>1</v>
      </c>
      <c r="AC68" s="2">
        <v>1</v>
      </c>
      <c r="AD68" s="2">
        <v>1</v>
      </c>
      <c r="AE68" s="2">
        <v>1</v>
      </c>
      <c r="AF68" s="2">
        <v>1</v>
      </c>
      <c r="AG68" s="2">
        <v>1</v>
      </c>
      <c r="AH68" s="2">
        <v>1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2">
        <v>1</v>
      </c>
    </row>
    <row r="69" spans="1:41">
      <c r="A69" s="49">
        <v>67</v>
      </c>
      <c r="B69" s="2">
        <v>1</v>
      </c>
      <c r="C69" s="2">
        <v>1</v>
      </c>
      <c r="D69" s="2">
        <v>1</v>
      </c>
      <c r="E69" s="2">
        <v>1</v>
      </c>
      <c r="F69" s="2">
        <v>1</v>
      </c>
      <c r="G69" s="2">
        <v>1</v>
      </c>
      <c r="H69" s="2">
        <v>1</v>
      </c>
      <c r="I69" s="5">
        <v>0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2">
        <v>1</v>
      </c>
      <c r="AA69" s="2">
        <v>1</v>
      </c>
      <c r="AB69" s="2">
        <v>1</v>
      </c>
      <c r="AC69" s="2">
        <v>1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2">
        <v>1</v>
      </c>
    </row>
    <row r="70" spans="1:41">
      <c r="A70" s="49">
        <v>68</v>
      </c>
      <c r="B70" s="2">
        <v>1</v>
      </c>
      <c r="C70" s="2">
        <v>1</v>
      </c>
      <c r="D70" s="2">
        <v>1</v>
      </c>
      <c r="E70" s="2">
        <v>1</v>
      </c>
      <c r="F70" s="2">
        <v>1</v>
      </c>
      <c r="G70" s="2">
        <v>1</v>
      </c>
      <c r="H70" s="2">
        <v>1</v>
      </c>
      <c r="I70" s="5">
        <v>0</v>
      </c>
      <c r="J70" s="2">
        <v>1</v>
      </c>
      <c r="K70" s="2">
        <v>1</v>
      </c>
      <c r="L70" s="2">
        <v>1</v>
      </c>
      <c r="M70" s="2">
        <v>1</v>
      </c>
      <c r="N70" s="2">
        <v>1</v>
      </c>
      <c r="O70" s="2">
        <v>1</v>
      </c>
      <c r="P70" s="2">
        <v>1</v>
      </c>
      <c r="Q70" s="2">
        <v>1</v>
      </c>
      <c r="R70" s="2">
        <v>1</v>
      </c>
      <c r="S70" s="2">
        <v>1</v>
      </c>
      <c r="T70" s="2">
        <v>1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2">
        <v>1</v>
      </c>
      <c r="AA70" s="2">
        <v>1</v>
      </c>
      <c r="AB70" s="2">
        <v>1</v>
      </c>
      <c r="AC70" s="2">
        <v>1</v>
      </c>
      <c r="AD70" s="2">
        <v>1</v>
      </c>
      <c r="AE70" s="2">
        <v>1</v>
      </c>
      <c r="AF70" s="2">
        <v>1</v>
      </c>
      <c r="AG70" s="2">
        <v>1</v>
      </c>
      <c r="AH70" s="2">
        <v>1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2">
        <v>1</v>
      </c>
    </row>
    <row r="71" spans="1:41">
      <c r="A71" s="49">
        <v>69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5">
        <v>0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1</v>
      </c>
      <c r="Q71" s="2">
        <v>1</v>
      </c>
      <c r="R71" s="2">
        <v>1</v>
      </c>
      <c r="S71" s="2">
        <v>1</v>
      </c>
      <c r="T71" s="2">
        <v>1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2">
        <v>1</v>
      </c>
      <c r="AA71" s="2">
        <v>1</v>
      </c>
      <c r="AB71" s="2">
        <v>1</v>
      </c>
      <c r="AC71" s="2">
        <v>1</v>
      </c>
      <c r="AD71" s="2">
        <v>1</v>
      </c>
      <c r="AE71" s="2">
        <v>1</v>
      </c>
      <c r="AF71" s="2">
        <v>1</v>
      </c>
      <c r="AG71" s="2">
        <v>1</v>
      </c>
      <c r="AH71" s="2">
        <v>1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2">
        <v>1</v>
      </c>
    </row>
    <row r="72" spans="1:41">
      <c r="A72" s="49">
        <v>70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1</v>
      </c>
      <c r="O72" s="2">
        <v>1</v>
      </c>
      <c r="P72" s="2">
        <v>1</v>
      </c>
      <c r="Q72" s="2">
        <v>1</v>
      </c>
      <c r="R72" s="2">
        <v>1</v>
      </c>
      <c r="S72" s="2">
        <v>1</v>
      </c>
      <c r="T72" s="2">
        <v>1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1</v>
      </c>
      <c r="AG72" s="2">
        <v>1</v>
      </c>
      <c r="AH72" s="2">
        <v>1</v>
      </c>
      <c r="AI72" s="2">
        <v>1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2">
        <v>1</v>
      </c>
    </row>
    <row r="73" spans="1:41">
      <c r="A73" s="49">
        <v>71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1</v>
      </c>
      <c r="Q73" s="2">
        <v>1</v>
      </c>
      <c r="R73" s="2">
        <v>1</v>
      </c>
      <c r="S73" s="2">
        <v>1</v>
      </c>
      <c r="T73" s="2">
        <v>1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2">
        <v>1</v>
      </c>
      <c r="AA73" s="2">
        <v>1</v>
      </c>
      <c r="AB73" s="2">
        <v>1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2">
        <v>1</v>
      </c>
    </row>
    <row r="74" spans="1:41">
      <c r="A74" s="49">
        <v>72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2">
        <v>1</v>
      </c>
      <c r="AA74" s="2">
        <v>1</v>
      </c>
      <c r="AB74" s="2">
        <v>1</v>
      </c>
      <c r="AC74" s="2">
        <v>1</v>
      </c>
      <c r="AD74" s="2">
        <v>1</v>
      </c>
      <c r="AE74" s="2">
        <v>1</v>
      </c>
      <c r="AF74" s="2">
        <v>1</v>
      </c>
      <c r="AG74" s="2">
        <v>1</v>
      </c>
      <c r="AH74" s="2">
        <v>1</v>
      </c>
      <c r="AI74" s="2">
        <v>1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2">
        <v>1</v>
      </c>
    </row>
    <row r="75" spans="1:41">
      <c r="A75" s="49">
        <v>73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  <c r="T75" s="2">
        <v>1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2">
        <v>1</v>
      </c>
      <c r="AA75" s="2">
        <v>1</v>
      </c>
      <c r="AB75" s="2">
        <v>1</v>
      </c>
      <c r="AC75" s="2">
        <v>1</v>
      </c>
      <c r="AD75" s="2">
        <v>1</v>
      </c>
      <c r="AE75" s="2">
        <v>1</v>
      </c>
      <c r="AF75" s="2">
        <v>1</v>
      </c>
      <c r="AG75" s="2">
        <v>1</v>
      </c>
      <c r="AH75" s="2">
        <v>1</v>
      </c>
      <c r="AI75" s="2">
        <v>1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2">
        <v>1</v>
      </c>
    </row>
    <row r="76" spans="1:41">
      <c r="A76" s="49">
        <v>74</v>
      </c>
      <c r="B76" s="2">
        <v>1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1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2">
        <v>1</v>
      </c>
    </row>
    <row r="77" spans="1:41">
      <c r="A77" s="49">
        <v>75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1</v>
      </c>
      <c r="Q77" s="2">
        <v>1</v>
      </c>
      <c r="R77" s="2">
        <v>1</v>
      </c>
      <c r="S77" s="2">
        <v>1</v>
      </c>
      <c r="T77" s="2">
        <v>1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2">
        <v>1</v>
      </c>
      <c r="AA77" s="2">
        <v>1</v>
      </c>
      <c r="AB77" s="2">
        <v>1</v>
      </c>
      <c r="AC77" s="2">
        <v>1</v>
      </c>
      <c r="AD77" s="2">
        <v>1</v>
      </c>
      <c r="AE77" s="2">
        <v>1</v>
      </c>
      <c r="AF77" s="2">
        <v>1</v>
      </c>
      <c r="AG77" s="2">
        <v>1</v>
      </c>
      <c r="AH77" s="2">
        <v>1</v>
      </c>
      <c r="AI77" s="2">
        <v>1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2">
        <v>1</v>
      </c>
    </row>
    <row r="78" spans="1:41">
      <c r="A78" s="49">
        <v>76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1</v>
      </c>
      <c r="Q78" s="2">
        <v>1</v>
      </c>
      <c r="R78" s="2">
        <v>1</v>
      </c>
      <c r="S78" s="2">
        <v>1</v>
      </c>
      <c r="T78" s="2">
        <v>1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2">
        <v>1</v>
      </c>
      <c r="AA78" s="2">
        <v>1</v>
      </c>
      <c r="AB78" s="2">
        <v>1</v>
      </c>
      <c r="AC78" s="2">
        <v>1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2">
        <v>1</v>
      </c>
      <c r="AJ78" s="5">
        <v>0</v>
      </c>
      <c r="AK78" s="5">
        <v>0</v>
      </c>
      <c r="AL78" s="5">
        <v>0</v>
      </c>
      <c r="AM78" s="5">
        <v>0</v>
      </c>
      <c r="AN78" s="5">
        <v>0</v>
      </c>
      <c r="AO78" s="2">
        <v>1</v>
      </c>
    </row>
    <row r="79" spans="1:41">
      <c r="A79" s="49">
        <v>77</v>
      </c>
      <c r="B79" s="2">
        <v>1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1</v>
      </c>
      <c r="Q79" s="2">
        <v>1</v>
      </c>
      <c r="R79" s="2">
        <v>1</v>
      </c>
      <c r="S79" s="2">
        <v>1</v>
      </c>
      <c r="T79" s="2">
        <v>1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2">
        <v>1</v>
      </c>
      <c r="AA79" s="2">
        <v>1</v>
      </c>
      <c r="AB79" s="2">
        <v>1</v>
      </c>
      <c r="AC79" s="2">
        <v>1</v>
      </c>
      <c r="AD79" s="2">
        <v>1</v>
      </c>
      <c r="AE79" s="2">
        <v>1</v>
      </c>
      <c r="AF79" s="2">
        <v>1</v>
      </c>
      <c r="AG79" s="2">
        <v>1</v>
      </c>
      <c r="AH79" s="2">
        <v>1</v>
      </c>
      <c r="AI79" s="2">
        <v>1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2">
        <v>1</v>
      </c>
    </row>
    <row r="80" spans="1:41">
      <c r="A80" s="49">
        <v>78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2">
        <v>1</v>
      </c>
      <c r="AA80" s="2">
        <v>1</v>
      </c>
      <c r="AB80" s="2">
        <v>1</v>
      </c>
      <c r="AC80" s="2">
        <v>1</v>
      </c>
      <c r="AD80" s="2">
        <v>1</v>
      </c>
      <c r="AE80" s="2">
        <v>1</v>
      </c>
      <c r="AF80" s="2">
        <v>1</v>
      </c>
      <c r="AG80" s="2">
        <v>1</v>
      </c>
      <c r="AH80" s="2">
        <v>1</v>
      </c>
      <c r="AI80" s="2">
        <v>1</v>
      </c>
      <c r="AJ80" s="5">
        <v>0</v>
      </c>
      <c r="AK80" s="5">
        <v>0</v>
      </c>
      <c r="AL80" s="5">
        <v>0</v>
      </c>
      <c r="AM80" s="5">
        <v>0</v>
      </c>
      <c r="AN80" s="5">
        <v>0</v>
      </c>
      <c r="AO80" s="2">
        <v>1</v>
      </c>
    </row>
    <row r="81" spans="1:41">
      <c r="A81" s="49">
        <v>79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1</v>
      </c>
      <c r="T81" s="2">
        <v>1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2">
        <v>1</v>
      </c>
      <c r="AA81" s="2">
        <v>1</v>
      </c>
      <c r="AB81" s="2">
        <v>1</v>
      </c>
      <c r="AC81" s="2">
        <v>1</v>
      </c>
      <c r="AD81" s="2">
        <v>1</v>
      </c>
      <c r="AE81" s="2">
        <v>1</v>
      </c>
      <c r="AF81" s="2">
        <v>1</v>
      </c>
      <c r="AG81" s="2">
        <v>1</v>
      </c>
      <c r="AH81" s="2">
        <v>1</v>
      </c>
      <c r="AI81" s="2">
        <v>1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2">
        <v>1</v>
      </c>
    </row>
    <row r="82" spans="1:41">
      <c r="A82" s="49">
        <v>80</v>
      </c>
      <c r="B82" s="2">
        <v>1</v>
      </c>
      <c r="C82" s="2">
        <v>1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>
        <v>1</v>
      </c>
      <c r="N82" s="2">
        <v>1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1</v>
      </c>
      <c r="V82" s="2">
        <v>1</v>
      </c>
      <c r="W82" s="2">
        <v>1</v>
      </c>
      <c r="X82" s="2">
        <v>1</v>
      </c>
      <c r="Y82" s="2">
        <v>1</v>
      </c>
      <c r="Z82" s="2">
        <v>1</v>
      </c>
      <c r="AA82" s="2">
        <v>1</v>
      </c>
      <c r="AB82" s="2">
        <v>1</v>
      </c>
      <c r="AC82" s="2">
        <v>1</v>
      </c>
      <c r="AD82" s="2">
        <v>1</v>
      </c>
      <c r="AE82" s="2">
        <v>1</v>
      </c>
      <c r="AF82" s="2">
        <v>1</v>
      </c>
      <c r="AG82" s="2">
        <v>1</v>
      </c>
      <c r="AH82" s="2">
        <v>1</v>
      </c>
      <c r="AI82" s="2">
        <v>1</v>
      </c>
      <c r="AJ82" s="2">
        <v>1</v>
      </c>
      <c r="AK82" s="2">
        <v>1</v>
      </c>
      <c r="AL82" s="2">
        <v>1</v>
      </c>
      <c r="AM82" s="2">
        <v>1</v>
      </c>
      <c r="AN82" s="2">
        <v>1</v>
      </c>
      <c r="AO82" s="2">
        <v>1</v>
      </c>
    </row>
    <row r="83" spans="1:41">
      <c r="A83" s="49">
        <v>81</v>
      </c>
      <c r="B83" s="2">
        <v>1</v>
      </c>
      <c r="C83" s="2">
        <v>1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  <c r="R83" s="2">
        <v>1</v>
      </c>
      <c r="S83" s="2">
        <v>1</v>
      </c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2">
        <v>1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1</v>
      </c>
      <c r="AG83" s="2">
        <v>1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2">
        <v>1</v>
      </c>
      <c r="AN83" s="2">
        <v>1</v>
      </c>
      <c r="AO83" s="2">
        <v>1</v>
      </c>
    </row>
    <row r="84" spans="1:41">
      <c r="A84" s="49">
        <v>82</v>
      </c>
      <c r="B84" s="2">
        <v>1</v>
      </c>
      <c r="C84" s="2">
        <v>1</v>
      </c>
      <c r="D84" s="2">
        <v>1</v>
      </c>
      <c r="E84" s="2">
        <v>1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1</v>
      </c>
      <c r="AA84" s="2">
        <v>1</v>
      </c>
      <c r="AB84" s="2">
        <v>1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  <c r="AN84" s="2">
        <v>1</v>
      </c>
      <c r="AO84" s="2">
        <v>1</v>
      </c>
    </row>
    <row r="85" spans="1:41">
      <c r="A85" s="49">
        <v>83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  <c r="R85" s="2">
        <v>1</v>
      </c>
      <c r="S85" s="2">
        <v>1</v>
      </c>
      <c r="T85" s="2">
        <v>1</v>
      </c>
      <c r="U85" s="2">
        <v>1</v>
      </c>
      <c r="V85" s="2">
        <v>1</v>
      </c>
      <c r="W85" s="2">
        <v>1</v>
      </c>
      <c r="X85" s="2">
        <v>1</v>
      </c>
      <c r="Y85" s="2">
        <v>1</v>
      </c>
      <c r="Z85" s="2">
        <v>1</v>
      </c>
      <c r="AA85" s="2">
        <v>1</v>
      </c>
      <c r="AB85" s="2">
        <v>1</v>
      </c>
      <c r="AC85" s="2">
        <v>1</v>
      </c>
      <c r="AD85" s="2">
        <v>1</v>
      </c>
      <c r="AE85" s="2">
        <v>1</v>
      </c>
      <c r="AF85" s="2">
        <v>1</v>
      </c>
      <c r="AG85" s="2">
        <v>1</v>
      </c>
      <c r="AH85" s="2">
        <v>1</v>
      </c>
      <c r="AI85" s="2">
        <v>1</v>
      </c>
      <c r="AJ85" s="2">
        <v>1</v>
      </c>
      <c r="AK85" s="2">
        <v>1</v>
      </c>
      <c r="AL85" s="2">
        <v>1</v>
      </c>
      <c r="AM85" s="2">
        <v>1</v>
      </c>
      <c r="AN85" s="2">
        <v>1</v>
      </c>
      <c r="AO85" s="2">
        <v>1</v>
      </c>
    </row>
    <row r="86" spans="1:41">
      <c r="A86" s="49">
        <v>84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  <c r="R86" s="2">
        <v>1</v>
      </c>
      <c r="S86" s="2">
        <v>1</v>
      </c>
      <c r="T86" s="2">
        <v>1</v>
      </c>
      <c r="U86" s="2">
        <v>1</v>
      </c>
      <c r="V86" s="2">
        <v>1</v>
      </c>
      <c r="W86" s="2">
        <v>1</v>
      </c>
      <c r="X86" s="2">
        <v>1</v>
      </c>
      <c r="Y86" s="2">
        <v>1</v>
      </c>
      <c r="Z86" s="2">
        <v>1</v>
      </c>
      <c r="AA86" s="2">
        <v>1</v>
      </c>
      <c r="AB86" s="2">
        <v>1</v>
      </c>
      <c r="AC86" s="2">
        <v>1</v>
      </c>
      <c r="AD86" s="2">
        <v>1</v>
      </c>
      <c r="AE86" s="2">
        <v>1</v>
      </c>
      <c r="AF86" s="2">
        <v>1</v>
      </c>
      <c r="AG86" s="2">
        <v>1</v>
      </c>
      <c r="AH86" s="2">
        <v>1</v>
      </c>
      <c r="AI86" s="2">
        <v>1</v>
      </c>
      <c r="AJ86" s="2">
        <v>1</v>
      </c>
      <c r="AK86" s="2">
        <v>1</v>
      </c>
      <c r="AL86" s="2">
        <v>1</v>
      </c>
      <c r="AM86" s="2">
        <v>1</v>
      </c>
      <c r="AN86" s="2">
        <v>1</v>
      </c>
      <c r="AO86" s="2">
        <v>1</v>
      </c>
    </row>
    <row r="87" spans="1:41">
      <c r="A87" s="49">
        <v>85</v>
      </c>
      <c r="B87" s="2">
        <v>1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1</v>
      </c>
      <c r="U87" s="2">
        <v>1</v>
      </c>
      <c r="V87" s="2">
        <v>1</v>
      </c>
      <c r="W87" s="2">
        <v>1</v>
      </c>
      <c r="X87" s="2">
        <v>1</v>
      </c>
      <c r="Y87" s="2">
        <v>1</v>
      </c>
      <c r="Z87" s="2">
        <v>1</v>
      </c>
      <c r="AA87" s="2">
        <v>1</v>
      </c>
      <c r="AB87" s="2">
        <v>1</v>
      </c>
      <c r="AC87" s="2">
        <v>1</v>
      </c>
      <c r="AD87" s="2">
        <v>1</v>
      </c>
      <c r="AE87" s="2">
        <v>1</v>
      </c>
      <c r="AF87" s="2">
        <v>1</v>
      </c>
      <c r="AG87" s="2">
        <v>1</v>
      </c>
      <c r="AH87" s="2">
        <v>1</v>
      </c>
      <c r="AI87" s="2">
        <v>1</v>
      </c>
      <c r="AJ87" s="2">
        <v>1</v>
      </c>
      <c r="AK87" s="2">
        <v>1</v>
      </c>
      <c r="AL87" s="2">
        <v>1</v>
      </c>
      <c r="AM87" s="2">
        <v>1</v>
      </c>
      <c r="AN87" s="2">
        <v>1</v>
      </c>
      <c r="AO87" s="2">
        <v>1</v>
      </c>
    </row>
    <row r="88" spans="1:41">
      <c r="A88" s="49">
        <v>86</v>
      </c>
      <c r="B88" s="2">
        <v>1</v>
      </c>
      <c r="C88" s="2">
        <v>1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</v>
      </c>
      <c r="U88" s="2">
        <v>1</v>
      </c>
      <c r="V88" s="2">
        <v>1</v>
      </c>
      <c r="W88" s="2">
        <v>1</v>
      </c>
      <c r="X88" s="2">
        <v>1</v>
      </c>
      <c r="Y88" s="2">
        <v>1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1</v>
      </c>
      <c r="AF88" s="2">
        <v>1</v>
      </c>
      <c r="AG88" s="2">
        <v>1</v>
      </c>
      <c r="AH88" s="2">
        <v>1</v>
      </c>
      <c r="AI88" s="2">
        <v>1</v>
      </c>
      <c r="AJ88" s="2">
        <v>1</v>
      </c>
      <c r="AK88" s="2">
        <v>1</v>
      </c>
      <c r="AL88" s="2">
        <v>1</v>
      </c>
      <c r="AM88" s="2">
        <v>1</v>
      </c>
      <c r="AN88" s="2">
        <v>1</v>
      </c>
      <c r="AO88" s="2">
        <v>1</v>
      </c>
    </row>
    <row r="89" spans="1:41">
      <c r="A89" s="49">
        <v>87</v>
      </c>
      <c r="B89" s="2">
        <v>1</v>
      </c>
      <c r="C89" s="2">
        <v>1</v>
      </c>
      <c r="D89" s="2">
        <v>1</v>
      </c>
      <c r="E89" s="2">
        <v>1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  <c r="R89" s="2">
        <v>1</v>
      </c>
      <c r="S89" s="2">
        <v>1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1</v>
      </c>
      <c r="Z89" s="2">
        <v>1</v>
      </c>
      <c r="AA89" s="2">
        <v>1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2">
        <v>1</v>
      </c>
      <c r="AK89" s="2">
        <v>1</v>
      </c>
      <c r="AL89" s="2">
        <v>1</v>
      </c>
      <c r="AM89" s="2">
        <v>1</v>
      </c>
      <c r="AN89" s="2">
        <v>1</v>
      </c>
      <c r="AO89" s="2">
        <v>1</v>
      </c>
    </row>
    <row r="90" spans="1:41">
      <c r="A90" s="49">
        <v>88</v>
      </c>
      <c r="B90" s="2">
        <v>1</v>
      </c>
      <c r="C90" s="2">
        <v>1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1</v>
      </c>
      <c r="Q90" s="2">
        <v>1</v>
      </c>
      <c r="R90" s="2">
        <v>1</v>
      </c>
      <c r="S90" s="2">
        <v>1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1</v>
      </c>
      <c r="AA90" s="2">
        <v>1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1</v>
      </c>
      <c r="AH90" s="2">
        <v>1</v>
      </c>
      <c r="AI90" s="2">
        <v>1</v>
      </c>
      <c r="AJ90" s="2">
        <v>1</v>
      </c>
      <c r="AK90" s="2">
        <v>1</v>
      </c>
      <c r="AL90" s="2">
        <v>1</v>
      </c>
      <c r="AM90" s="2">
        <v>1</v>
      </c>
      <c r="AN90" s="2">
        <v>1</v>
      </c>
      <c r="AO90" s="2">
        <v>1</v>
      </c>
    </row>
    <row r="91" spans="1:41">
      <c r="A91" s="49">
        <v>89</v>
      </c>
      <c r="B91" s="2">
        <v>1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1</v>
      </c>
      <c r="S91" s="2">
        <v>1</v>
      </c>
      <c r="T91" s="2">
        <v>1</v>
      </c>
      <c r="U91" s="2">
        <v>1</v>
      </c>
      <c r="V91" s="2">
        <v>1</v>
      </c>
      <c r="W91" s="2">
        <v>1</v>
      </c>
      <c r="X91" s="2">
        <v>1</v>
      </c>
      <c r="Y91" s="2">
        <v>1</v>
      </c>
      <c r="Z91" s="2">
        <v>1</v>
      </c>
      <c r="AA91" s="2">
        <v>1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>
        <v>1</v>
      </c>
      <c r="AH91" s="2">
        <v>1</v>
      </c>
      <c r="AI91" s="2">
        <v>1</v>
      </c>
      <c r="AJ91" s="2">
        <v>1</v>
      </c>
      <c r="AK91" s="2">
        <v>1</v>
      </c>
      <c r="AL91" s="2">
        <v>1</v>
      </c>
      <c r="AM91" s="2">
        <v>1</v>
      </c>
      <c r="AN91" s="2">
        <v>1</v>
      </c>
      <c r="AO91" s="2">
        <v>1</v>
      </c>
    </row>
    <row r="92" spans="1:41">
      <c r="A92" s="49">
        <v>90</v>
      </c>
      <c r="B92" s="2">
        <v>1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1</v>
      </c>
      <c r="Q92" s="2">
        <v>1</v>
      </c>
      <c r="R92" s="2">
        <v>1</v>
      </c>
      <c r="S92" s="2">
        <v>1</v>
      </c>
      <c r="T92" s="2">
        <v>1</v>
      </c>
      <c r="U92" s="2">
        <v>1</v>
      </c>
      <c r="V92" s="2">
        <v>1</v>
      </c>
      <c r="W92" s="2">
        <v>1</v>
      </c>
      <c r="X92" s="2">
        <v>1</v>
      </c>
      <c r="Y92" s="2">
        <v>1</v>
      </c>
      <c r="Z92" s="2">
        <v>1</v>
      </c>
      <c r="AA92" s="2">
        <v>1</v>
      </c>
      <c r="AB92" s="2">
        <v>1</v>
      </c>
      <c r="AC92" s="2">
        <v>1</v>
      </c>
      <c r="AD92" s="2">
        <v>1</v>
      </c>
      <c r="AE92" s="2">
        <v>1</v>
      </c>
      <c r="AF92" s="2">
        <v>1</v>
      </c>
      <c r="AG92" s="2">
        <v>1</v>
      </c>
      <c r="AH92" s="2">
        <v>1</v>
      </c>
      <c r="AI92" s="2">
        <v>1</v>
      </c>
      <c r="AJ92" s="2">
        <v>1</v>
      </c>
      <c r="AK92" s="2">
        <v>1</v>
      </c>
      <c r="AL92" s="2">
        <v>1</v>
      </c>
      <c r="AM92" s="2">
        <v>1</v>
      </c>
      <c r="AN92" s="2">
        <v>1</v>
      </c>
      <c r="AO92" s="2">
        <v>1</v>
      </c>
    </row>
    <row r="93" spans="1:41">
      <c r="A93" s="49">
        <v>91</v>
      </c>
      <c r="B93" s="2">
        <v>1</v>
      </c>
      <c r="C93" s="2">
        <v>1</v>
      </c>
      <c r="D93" s="2">
        <v>1</v>
      </c>
      <c r="E93" s="2">
        <v>1</v>
      </c>
      <c r="F93" s="2">
        <v>1</v>
      </c>
      <c r="G93" s="2">
        <v>1</v>
      </c>
      <c r="H93" s="2">
        <v>1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s="2">
        <v>1</v>
      </c>
      <c r="V93" s="2">
        <v>1</v>
      </c>
      <c r="W93" s="2">
        <v>1</v>
      </c>
      <c r="X93" s="2">
        <v>1</v>
      </c>
      <c r="Y93" s="2">
        <v>1</v>
      </c>
      <c r="Z93" s="2">
        <v>1</v>
      </c>
      <c r="AA93" s="2">
        <v>1</v>
      </c>
      <c r="AB93" s="2">
        <v>1</v>
      </c>
      <c r="AC93" s="2">
        <v>1</v>
      </c>
      <c r="AD93" s="2">
        <v>1</v>
      </c>
      <c r="AE93" s="2">
        <v>1</v>
      </c>
      <c r="AF93" s="2">
        <v>1</v>
      </c>
      <c r="AG93" s="2">
        <v>1</v>
      </c>
      <c r="AH93" s="2">
        <v>1</v>
      </c>
      <c r="AI93" s="2">
        <v>1</v>
      </c>
      <c r="AJ93" s="2">
        <v>1</v>
      </c>
      <c r="AK93" s="2">
        <v>1</v>
      </c>
      <c r="AL93" s="2">
        <v>1</v>
      </c>
      <c r="AM93" s="2">
        <v>1</v>
      </c>
      <c r="AN93" s="2">
        <v>1</v>
      </c>
      <c r="AO93" s="2">
        <v>1</v>
      </c>
    </row>
    <row r="94" spans="1:41">
      <c r="A94" s="49">
        <v>92</v>
      </c>
      <c r="B94" s="2">
        <v>1</v>
      </c>
      <c r="C94" s="2">
        <v>1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1</v>
      </c>
      <c r="U94" s="2">
        <v>1</v>
      </c>
      <c r="V94" s="2">
        <v>1</v>
      </c>
      <c r="W94" s="2">
        <v>1</v>
      </c>
      <c r="X94" s="2">
        <v>1</v>
      </c>
      <c r="Y94" s="2">
        <v>1</v>
      </c>
      <c r="Z94" s="2">
        <v>1</v>
      </c>
      <c r="AA94" s="2">
        <v>1</v>
      </c>
      <c r="AB94" s="2">
        <v>1</v>
      </c>
      <c r="AC94" s="2">
        <v>1</v>
      </c>
      <c r="AD94" s="2">
        <v>1</v>
      </c>
      <c r="AE94" s="2">
        <v>1</v>
      </c>
      <c r="AF94" s="2">
        <v>1</v>
      </c>
      <c r="AG94" s="2">
        <v>1</v>
      </c>
      <c r="AH94" s="2">
        <v>1</v>
      </c>
      <c r="AI94" s="2">
        <v>1</v>
      </c>
      <c r="AJ94" s="2">
        <v>1</v>
      </c>
      <c r="AK94" s="2">
        <v>1</v>
      </c>
      <c r="AL94" s="2">
        <v>1</v>
      </c>
      <c r="AM94" s="2">
        <v>1</v>
      </c>
      <c r="AN94" s="2">
        <v>1</v>
      </c>
      <c r="AO94" s="2">
        <v>1</v>
      </c>
    </row>
    <row r="95" spans="1:41">
      <c r="A95" s="49">
        <v>93</v>
      </c>
      <c r="B95" s="2">
        <v>1</v>
      </c>
      <c r="C95" s="2">
        <v>1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1</v>
      </c>
      <c r="T95" s="2">
        <v>1</v>
      </c>
      <c r="U95" s="2">
        <v>1</v>
      </c>
      <c r="V95" s="2">
        <v>1</v>
      </c>
      <c r="W95" s="2">
        <v>1</v>
      </c>
      <c r="X95" s="2">
        <v>1</v>
      </c>
      <c r="Y95" s="2">
        <v>1</v>
      </c>
      <c r="Z95" s="2">
        <v>1</v>
      </c>
      <c r="AA95" s="2">
        <v>1</v>
      </c>
      <c r="AB95" s="2">
        <v>1</v>
      </c>
      <c r="AC95" s="2">
        <v>1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1</v>
      </c>
      <c r="AL95" s="2">
        <v>1</v>
      </c>
      <c r="AM95" s="2">
        <v>1</v>
      </c>
      <c r="AN95" s="2">
        <v>1</v>
      </c>
      <c r="AO95" s="2">
        <v>1</v>
      </c>
    </row>
    <row r="96" spans="1:41">
      <c r="A96" s="49">
        <v>94</v>
      </c>
      <c r="B96" s="2">
        <v>1</v>
      </c>
      <c r="C96" s="2">
        <v>1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1</v>
      </c>
      <c r="V96" s="2">
        <v>1</v>
      </c>
      <c r="W96" s="2">
        <v>1</v>
      </c>
      <c r="X96" s="2">
        <v>1</v>
      </c>
      <c r="Y96" s="2">
        <v>1</v>
      </c>
      <c r="Z96" s="2">
        <v>1</v>
      </c>
      <c r="AA96" s="2">
        <v>1</v>
      </c>
      <c r="AB96" s="2">
        <v>1</v>
      </c>
      <c r="AC96" s="2">
        <v>1</v>
      </c>
      <c r="AD96" s="2">
        <v>1</v>
      </c>
      <c r="AE96" s="2">
        <v>1</v>
      </c>
      <c r="AF96" s="2">
        <v>1</v>
      </c>
      <c r="AG96" s="2">
        <v>1</v>
      </c>
      <c r="AH96" s="2">
        <v>1</v>
      </c>
      <c r="AI96" s="2">
        <v>1</v>
      </c>
      <c r="AJ96" s="2">
        <v>1</v>
      </c>
      <c r="AK96" s="2">
        <v>1</v>
      </c>
      <c r="AL96" s="2">
        <v>1</v>
      </c>
      <c r="AM96" s="2">
        <v>1</v>
      </c>
      <c r="AN96" s="2">
        <v>1</v>
      </c>
      <c r="AO96" s="2">
        <v>1</v>
      </c>
    </row>
    <row r="97" spans="1:41">
      <c r="A97" s="49">
        <v>95</v>
      </c>
      <c r="B97" s="2">
        <v>1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1</v>
      </c>
      <c r="U97" s="2">
        <v>1</v>
      </c>
      <c r="V97" s="2">
        <v>1</v>
      </c>
      <c r="W97" s="2">
        <v>1</v>
      </c>
      <c r="X97" s="2">
        <v>1</v>
      </c>
      <c r="Y97" s="2">
        <v>1</v>
      </c>
      <c r="Z97" s="2">
        <v>1</v>
      </c>
      <c r="AA97" s="2">
        <v>1</v>
      </c>
      <c r="AB97" s="2">
        <v>1</v>
      </c>
      <c r="AC97" s="2">
        <v>1</v>
      </c>
      <c r="AD97" s="2">
        <v>1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1</v>
      </c>
      <c r="AL97" s="2">
        <v>1</v>
      </c>
      <c r="AM97" s="2">
        <v>1</v>
      </c>
      <c r="AN97" s="2">
        <v>1</v>
      </c>
      <c r="AO97" s="2">
        <v>1</v>
      </c>
    </row>
    <row r="98" spans="1:41">
      <c r="A98" s="49">
        <v>96</v>
      </c>
      <c r="B98" s="2">
        <v>1</v>
      </c>
      <c r="C98" s="2">
        <v>1</v>
      </c>
      <c r="D98" s="2">
        <v>1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1</v>
      </c>
      <c r="U98" s="2">
        <v>1</v>
      </c>
      <c r="V98" s="2">
        <v>1</v>
      </c>
      <c r="W98" s="2">
        <v>1</v>
      </c>
      <c r="X98" s="2">
        <v>1</v>
      </c>
      <c r="Y98" s="2">
        <v>1</v>
      </c>
      <c r="Z98" s="2">
        <v>1</v>
      </c>
      <c r="AA98" s="2">
        <v>1</v>
      </c>
      <c r="AB98" s="2">
        <v>1</v>
      </c>
      <c r="AC98" s="2">
        <v>1</v>
      </c>
      <c r="AD98" s="2">
        <v>1</v>
      </c>
      <c r="AE98" s="2">
        <v>1</v>
      </c>
      <c r="AF98" s="2">
        <v>1</v>
      </c>
      <c r="AG98" s="2">
        <v>1</v>
      </c>
      <c r="AH98" s="2">
        <v>1</v>
      </c>
      <c r="AI98" s="2">
        <v>1</v>
      </c>
      <c r="AJ98" s="2">
        <v>1</v>
      </c>
      <c r="AK98" s="2">
        <v>1</v>
      </c>
      <c r="AL98" s="2">
        <v>1</v>
      </c>
      <c r="AM98" s="2">
        <v>1</v>
      </c>
      <c r="AN98" s="2">
        <v>1</v>
      </c>
      <c r="AO98" s="2">
        <v>1</v>
      </c>
    </row>
    <row r="99" spans="1:41">
      <c r="A99" s="49">
        <v>97</v>
      </c>
      <c r="B99" s="2">
        <v>1</v>
      </c>
      <c r="C99" s="2">
        <v>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1</v>
      </c>
      <c r="M99" s="2">
        <v>1</v>
      </c>
      <c r="N99" s="2">
        <v>1</v>
      </c>
      <c r="O99" s="2">
        <v>1</v>
      </c>
      <c r="P99" s="2">
        <v>1</v>
      </c>
      <c r="Q99" s="2">
        <v>1</v>
      </c>
      <c r="R99" s="2">
        <v>1</v>
      </c>
      <c r="S99" s="2">
        <v>1</v>
      </c>
      <c r="T99" s="2">
        <v>1</v>
      </c>
      <c r="U99" s="2">
        <v>1</v>
      </c>
      <c r="V99" s="2">
        <v>1</v>
      </c>
      <c r="W99" s="2">
        <v>1</v>
      </c>
      <c r="X99" s="2">
        <v>1</v>
      </c>
      <c r="Y99" s="2">
        <v>1</v>
      </c>
      <c r="Z99" s="2">
        <v>1</v>
      </c>
      <c r="AA99" s="2">
        <v>1</v>
      </c>
      <c r="AB99" s="2">
        <v>1</v>
      </c>
      <c r="AC99" s="2">
        <v>1</v>
      </c>
      <c r="AD99" s="2">
        <v>1</v>
      </c>
      <c r="AE99" s="2">
        <v>1</v>
      </c>
      <c r="AF99" s="2">
        <v>1</v>
      </c>
      <c r="AG99" s="2">
        <v>1</v>
      </c>
      <c r="AH99" s="2">
        <v>1</v>
      </c>
      <c r="AI99" s="2">
        <v>1</v>
      </c>
      <c r="AJ99" s="2">
        <v>1</v>
      </c>
      <c r="AK99" s="2">
        <v>1</v>
      </c>
      <c r="AL99" s="2">
        <v>1</v>
      </c>
      <c r="AM99" s="2">
        <v>1</v>
      </c>
      <c r="AN99" s="2">
        <v>1</v>
      </c>
      <c r="AO99" s="2">
        <v>1</v>
      </c>
    </row>
    <row r="100" spans="1:41">
      <c r="A100" s="49">
        <v>98</v>
      </c>
      <c r="B100" s="2">
        <v>1</v>
      </c>
      <c r="C100" s="2">
        <v>1</v>
      </c>
      <c r="D100" s="2">
        <v>1</v>
      </c>
      <c r="E100" s="2">
        <v>1</v>
      </c>
      <c r="F100" s="2">
        <v>1</v>
      </c>
      <c r="G100" s="2">
        <v>1</v>
      </c>
      <c r="H100" s="2">
        <v>1</v>
      </c>
      <c r="I100" s="2">
        <v>1</v>
      </c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1</v>
      </c>
      <c r="X100" s="2">
        <v>1</v>
      </c>
      <c r="Y100" s="2">
        <v>1</v>
      </c>
      <c r="Z100" s="2">
        <v>1</v>
      </c>
      <c r="AA100" s="2">
        <v>1</v>
      </c>
      <c r="AB100" s="2">
        <v>1</v>
      </c>
      <c r="AC100" s="2">
        <v>1</v>
      </c>
      <c r="AD100" s="2">
        <v>1</v>
      </c>
      <c r="AE100" s="2">
        <v>1</v>
      </c>
      <c r="AF100" s="2">
        <v>1</v>
      </c>
      <c r="AG100" s="2">
        <v>1</v>
      </c>
      <c r="AH100" s="2">
        <v>1</v>
      </c>
      <c r="AI100" s="2">
        <v>1</v>
      </c>
      <c r="AJ100" s="2">
        <v>1</v>
      </c>
      <c r="AK100" s="2">
        <v>1</v>
      </c>
      <c r="AL100" s="2">
        <v>1</v>
      </c>
      <c r="AM100" s="2">
        <v>1</v>
      </c>
      <c r="AN100" s="2">
        <v>1</v>
      </c>
      <c r="AO100" s="2">
        <v>1</v>
      </c>
    </row>
    <row r="101" spans="1:41">
      <c r="A101" s="49">
        <v>99</v>
      </c>
      <c r="B101" s="2">
        <v>1</v>
      </c>
      <c r="C101" s="2">
        <v>1</v>
      </c>
      <c r="D101" s="2">
        <v>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1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1</v>
      </c>
      <c r="AA101" s="2">
        <v>1</v>
      </c>
      <c r="AB101" s="2">
        <v>1</v>
      </c>
      <c r="AC101" s="2">
        <v>1</v>
      </c>
      <c r="AD101" s="2">
        <v>1</v>
      </c>
      <c r="AE101" s="2">
        <v>1</v>
      </c>
      <c r="AF101" s="2">
        <v>1</v>
      </c>
      <c r="AG101" s="2">
        <v>1</v>
      </c>
      <c r="AH101" s="2">
        <v>1</v>
      </c>
      <c r="AI101" s="2">
        <v>1</v>
      </c>
      <c r="AJ101" s="2">
        <v>1</v>
      </c>
      <c r="AK101" s="2">
        <v>1</v>
      </c>
      <c r="AL101" s="2">
        <v>1</v>
      </c>
      <c r="AM101" s="2">
        <v>1</v>
      </c>
      <c r="AN101" s="2">
        <v>1</v>
      </c>
      <c r="AO101" s="2">
        <v>1</v>
      </c>
    </row>
    <row r="102" spans="1:41">
      <c r="A102" s="49">
        <v>100</v>
      </c>
      <c r="B102" s="2">
        <v>1</v>
      </c>
      <c r="C102" s="2">
        <v>1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1</v>
      </c>
      <c r="S102" s="2">
        <v>1</v>
      </c>
      <c r="T102" s="2">
        <v>1</v>
      </c>
      <c r="U102" s="2">
        <v>1</v>
      </c>
      <c r="V102" s="2">
        <v>1</v>
      </c>
      <c r="W102" s="2">
        <v>1</v>
      </c>
      <c r="X102" s="2">
        <v>1</v>
      </c>
      <c r="Y102" s="2">
        <v>1</v>
      </c>
      <c r="Z102" s="2">
        <v>1</v>
      </c>
      <c r="AA102" s="2">
        <v>1</v>
      </c>
      <c r="AB102" s="2">
        <v>1</v>
      </c>
      <c r="AC102" s="2">
        <v>1</v>
      </c>
      <c r="AD102" s="2">
        <v>1</v>
      </c>
      <c r="AE102" s="2">
        <v>1</v>
      </c>
      <c r="AF102" s="2">
        <v>1</v>
      </c>
      <c r="AG102" s="2">
        <v>1</v>
      </c>
      <c r="AH102" s="2">
        <v>1</v>
      </c>
      <c r="AI102" s="2">
        <v>1</v>
      </c>
      <c r="AJ102" s="2">
        <v>1</v>
      </c>
      <c r="AK102" s="2">
        <v>1</v>
      </c>
      <c r="AL102" s="2">
        <v>1</v>
      </c>
      <c r="AM102" s="2">
        <v>1</v>
      </c>
      <c r="AN102" s="2">
        <v>1</v>
      </c>
      <c r="AO102" s="2">
        <v>1</v>
      </c>
    </row>
    <row r="103" spans="1:41">
      <c r="A103" s="49">
        <v>101</v>
      </c>
      <c r="B103" s="2">
        <v>1</v>
      </c>
      <c r="C103" s="2">
        <v>1</v>
      </c>
      <c r="D103" s="2">
        <v>1</v>
      </c>
      <c r="E103" s="2">
        <v>1</v>
      </c>
      <c r="F103" s="2">
        <v>1</v>
      </c>
      <c r="G103" s="2">
        <v>1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1</v>
      </c>
      <c r="T103" s="2">
        <v>1</v>
      </c>
      <c r="U103" s="2">
        <v>1</v>
      </c>
      <c r="V103" s="2">
        <v>1</v>
      </c>
      <c r="W103" s="2">
        <v>1</v>
      </c>
      <c r="X103" s="2">
        <v>1</v>
      </c>
      <c r="Y103" s="2">
        <v>1</v>
      </c>
      <c r="Z103" s="2">
        <v>1</v>
      </c>
      <c r="AA103" s="2">
        <v>1</v>
      </c>
      <c r="AB103" s="2">
        <v>1</v>
      </c>
      <c r="AC103" s="2">
        <v>1</v>
      </c>
      <c r="AD103" s="2">
        <v>1</v>
      </c>
      <c r="AE103" s="2">
        <v>1</v>
      </c>
      <c r="AF103" s="2">
        <v>1</v>
      </c>
      <c r="AG103" s="2">
        <v>1</v>
      </c>
      <c r="AH103" s="2">
        <v>1</v>
      </c>
      <c r="AI103" s="2">
        <v>1</v>
      </c>
      <c r="AJ103" s="2">
        <v>1</v>
      </c>
      <c r="AK103" s="2">
        <v>1</v>
      </c>
      <c r="AL103" s="2">
        <v>1</v>
      </c>
      <c r="AM103" s="2">
        <v>1</v>
      </c>
      <c r="AN103" s="2">
        <v>1</v>
      </c>
      <c r="AO103" s="2">
        <v>1</v>
      </c>
    </row>
    <row r="104" spans="1:41">
      <c r="A104" s="49">
        <v>102</v>
      </c>
      <c r="B104" s="2">
        <v>1</v>
      </c>
      <c r="C104" s="2">
        <v>1</v>
      </c>
      <c r="D104" s="2">
        <v>1</v>
      </c>
      <c r="E104" s="2">
        <v>1</v>
      </c>
      <c r="F104" s="2">
        <v>1</v>
      </c>
      <c r="G104" s="2">
        <v>1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1</v>
      </c>
      <c r="Q104" s="2">
        <v>1</v>
      </c>
      <c r="R104" s="2">
        <v>1</v>
      </c>
      <c r="S104" s="2">
        <v>1</v>
      </c>
      <c r="T104" s="2">
        <v>1</v>
      </c>
      <c r="U104" s="2">
        <v>1</v>
      </c>
      <c r="V104" s="2">
        <v>1</v>
      </c>
      <c r="W104" s="2">
        <v>1</v>
      </c>
      <c r="X104" s="2">
        <v>1</v>
      </c>
      <c r="Y104" s="2">
        <v>1</v>
      </c>
      <c r="Z104" s="2">
        <v>1</v>
      </c>
      <c r="AA104" s="2">
        <v>1</v>
      </c>
      <c r="AB104" s="2">
        <v>1</v>
      </c>
      <c r="AC104" s="2">
        <v>1</v>
      </c>
      <c r="AD104" s="2">
        <v>1</v>
      </c>
      <c r="AE104" s="2">
        <v>1</v>
      </c>
      <c r="AF104" s="2">
        <v>1</v>
      </c>
      <c r="AG104" s="2">
        <v>1</v>
      </c>
      <c r="AH104" s="2">
        <v>1</v>
      </c>
      <c r="AI104" s="2">
        <v>1</v>
      </c>
      <c r="AJ104" s="2">
        <v>1</v>
      </c>
      <c r="AK104" s="2">
        <v>1</v>
      </c>
      <c r="AL104" s="2">
        <v>1</v>
      </c>
      <c r="AM104" s="2">
        <v>1</v>
      </c>
      <c r="AN104" s="2">
        <v>1</v>
      </c>
      <c r="AO104" s="2">
        <v>1</v>
      </c>
    </row>
    <row r="105" spans="1:41">
      <c r="A105" s="49">
        <v>103</v>
      </c>
      <c r="B105" s="2">
        <v>1</v>
      </c>
      <c r="C105" s="2">
        <v>1</v>
      </c>
      <c r="D105" s="2">
        <v>1</v>
      </c>
      <c r="E105" s="2">
        <v>1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>
        <v>1</v>
      </c>
      <c r="P105" s="2">
        <v>1</v>
      </c>
      <c r="Q105" s="2">
        <v>1</v>
      </c>
      <c r="R105" s="2">
        <v>1</v>
      </c>
      <c r="S105" s="2">
        <v>1</v>
      </c>
      <c r="T105" s="2">
        <v>1</v>
      </c>
      <c r="U105" s="2">
        <v>1</v>
      </c>
      <c r="V105" s="2">
        <v>1</v>
      </c>
      <c r="W105" s="2">
        <v>1</v>
      </c>
      <c r="X105" s="2">
        <v>1</v>
      </c>
      <c r="Y105" s="2">
        <v>1</v>
      </c>
      <c r="Z105" s="2">
        <v>1</v>
      </c>
      <c r="AA105" s="2">
        <v>1</v>
      </c>
      <c r="AB105" s="2">
        <v>1</v>
      </c>
      <c r="AC105" s="2">
        <v>1</v>
      </c>
      <c r="AD105" s="2">
        <v>1</v>
      </c>
      <c r="AE105" s="2">
        <v>1</v>
      </c>
      <c r="AF105" s="2">
        <v>1</v>
      </c>
      <c r="AG105" s="2">
        <v>1</v>
      </c>
      <c r="AH105" s="2">
        <v>1</v>
      </c>
      <c r="AI105" s="2">
        <v>1</v>
      </c>
      <c r="AJ105" s="2">
        <v>1</v>
      </c>
      <c r="AK105" s="2">
        <v>1</v>
      </c>
      <c r="AL105" s="2">
        <v>1</v>
      </c>
      <c r="AM105" s="2">
        <v>1</v>
      </c>
      <c r="AN105" s="2">
        <v>1</v>
      </c>
      <c r="AO105" s="2">
        <v>1</v>
      </c>
    </row>
    <row r="106" spans="1:41">
      <c r="A106" s="49">
        <v>104</v>
      </c>
      <c r="B106" s="2">
        <v>1</v>
      </c>
      <c r="C106" s="2">
        <v>1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</v>
      </c>
      <c r="U106" s="2">
        <v>1</v>
      </c>
      <c r="V106" s="2">
        <v>1</v>
      </c>
      <c r="W106" s="2">
        <v>1</v>
      </c>
      <c r="X106" s="2">
        <v>1</v>
      </c>
      <c r="Y106" s="2">
        <v>1</v>
      </c>
      <c r="Z106" s="2">
        <v>1</v>
      </c>
      <c r="AA106" s="2">
        <v>1</v>
      </c>
      <c r="AB106" s="2">
        <v>1</v>
      </c>
      <c r="AC106" s="2">
        <v>1</v>
      </c>
      <c r="AD106" s="2">
        <v>1</v>
      </c>
      <c r="AE106" s="2">
        <v>1</v>
      </c>
      <c r="AF106" s="2">
        <v>1</v>
      </c>
      <c r="AG106" s="2">
        <v>1</v>
      </c>
      <c r="AH106" s="2">
        <v>1</v>
      </c>
      <c r="AI106" s="2">
        <v>1</v>
      </c>
      <c r="AJ106" s="2">
        <v>1</v>
      </c>
      <c r="AK106" s="2">
        <v>1</v>
      </c>
      <c r="AL106" s="2">
        <v>1</v>
      </c>
      <c r="AM106" s="2">
        <v>1</v>
      </c>
      <c r="AN106" s="2">
        <v>1</v>
      </c>
      <c r="AO106" s="2">
        <v>1</v>
      </c>
    </row>
    <row r="107" spans="1:41">
      <c r="A107" s="49">
        <v>105</v>
      </c>
      <c r="B107" s="2">
        <v>1</v>
      </c>
      <c r="C107" s="2">
        <v>1</v>
      </c>
      <c r="D107" s="2">
        <v>1</v>
      </c>
      <c r="E107" s="2">
        <v>1</v>
      </c>
      <c r="F107" s="2">
        <v>1</v>
      </c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>
        <v>1</v>
      </c>
      <c r="P107" s="2">
        <v>1</v>
      </c>
      <c r="Q107" s="2">
        <v>1</v>
      </c>
      <c r="R107" s="2">
        <v>1</v>
      </c>
      <c r="S107" s="2">
        <v>1</v>
      </c>
      <c r="T107" s="2">
        <v>1</v>
      </c>
      <c r="U107" s="2">
        <v>1</v>
      </c>
      <c r="V107" s="2">
        <v>1</v>
      </c>
      <c r="W107" s="2">
        <v>1</v>
      </c>
      <c r="X107" s="2">
        <v>1</v>
      </c>
      <c r="Y107" s="2">
        <v>1</v>
      </c>
      <c r="Z107" s="2">
        <v>1</v>
      </c>
      <c r="AA107" s="2">
        <v>1</v>
      </c>
      <c r="AB107" s="2">
        <v>1</v>
      </c>
      <c r="AC107" s="2">
        <v>1</v>
      </c>
      <c r="AD107" s="2">
        <v>1</v>
      </c>
      <c r="AE107" s="2">
        <v>1</v>
      </c>
      <c r="AF107" s="2">
        <v>1</v>
      </c>
      <c r="AG107" s="2">
        <v>1</v>
      </c>
      <c r="AH107" s="2">
        <v>1</v>
      </c>
      <c r="AI107" s="2">
        <v>1</v>
      </c>
      <c r="AJ107" s="2">
        <v>1</v>
      </c>
      <c r="AK107" s="2">
        <v>1</v>
      </c>
      <c r="AL107" s="2">
        <v>1</v>
      </c>
      <c r="AM107" s="2">
        <v>1</v>
      </c>
      <c r="AN107" s="2">
        <v>1</v>
      </c>
      <c r="AO107" s="2">
        <v>1</v>
      </c>
    </row>
    <row r="108" spans="1:41">
      <c r="A108" s="49">
        <v>106</v>
      </c>
      <c r="B108" s="2">
        <v>1</v>
      </c>
      <c r="C108" s="2">
        <v>1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1</v>
      </c>
      <c r="V108" s="2">
        <v>1</v>
      </c>
      <c r="W108" s="2">
        <v>1</v>
      </c>
      <c r="X108" s="2">
        <v>1</v>
      </c>
      <c r="Y108" s="2">
        <v>1</v>
      </c>
      <c r="Z108" s="2">
        <v>1</v>
      </c>
      <c r="AA108" s="2">
        <v>1</v>
      </c>
      <c r="AB108" s="2">
        <v>1</v>
      </c>
      <c r="AC108" s="2">
        <v>1</v>
      </c>
      <c r="AD108" s="2">
        <v>1</v>
      </c>
      <c r="AE108" s="2">
        <v>1</v>
      </c>
      <c r="AF108" s="2">
        <v>1</v>
      </c>
      <c r="AG108" s="2">
        <v>1</v>
      </c>
      <c r="AH108" s="2">
        <v>1</v>
      </c>
      <c r="AI108" s="2">
        <v>1</v>
      </c>
      <c r="AJ108" s="2">
        <v>1</v>
      </c>
      <c r="AK108" s="2">
        <v>1</v>
      </c>
      <c r="AL108" s="2">
        <v>1</v>
      </c>
      <c r="AM108" s="2">
        <v>1</v>
      </c>
      <c r="AN108" s="2">
        <v>1</v>
      </c>
      <c r="AO108" s="2">
        <v>1</v>
      </c>
    </row>
    <row r="109" spans="1:41">
      <c r="A109" s="49">
        <v>107</v>
      </c>
      <c r="B109" s="2">
        <v>1</v>
      </c>
      <c r="C109" s="2">
        <v>1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1</v>
      </c>
      <c r="R109" s="2">
        <v>1</v>
      </c>
      <c r="S109" s="2">
        <v>1</v>
      </c>
      <c r="T109" s="2">
        <v>1</v>
      </c>
      <c r="U109" s="2">
        <v>1</v>
      </c>
      <c r="V109" s="2">
        <v>1</v>
      </c>
      <c r="W109" s="2">
        <v>1</v>
      </c>
      <c r="X109" s="2">
        <v>1</v>
      </c>
      <c r="Y109" s="2">
        <v>1</v>
      </c>
      <c r="Z109" s="2">
        <v>1</v>
      </c>
      <c r="AA109" s="2">
        <v>1</v>
      </c>
      <c r="AB109" s="2">
        <v>1</v>
      </c>
      <c r="AC109" s="2">
        <v>1</v>
      </c>
      <c r="AD109" s="2">
        <v>1</v>
      </c>
      <c r="AE109" s="2">
        <v>1</v>
      </c>
      <c r="AF109" s="2">
        <v>1</v>
      </c>
      <c r="AG109" s="2">
        <v>1</v>
      </c>
      <c r="AH109" s="2">
        <v>1</v>
      </c>
      <c r="AI109" s="2">
        <v>1</v>
      </c>
      <c r="AJ109" s="2">
        <v>1</v>
      </c>
      <c r="AK109" s="2">
        <v>1</v>
      </c>
      <c r="AL109" s="2">
        <v>1</v>
      </c>
      <c r="AM109" s="2">
        <v>1</v>
      </c>
      <c r="AN109" s="2">
        <v>1</v>
      </c>
      <c r="AO109" s="2">
        <v>1</v>
      </c>
    </row>
    <row r="110" spans="1:41">
      <c r="A110" s="49">
        <v>108</v>
      </c>
      <c r="B110" s="2">
        <v>1</v>
      </c>
      <c r="C110" s="2">
        <v>1</v>
      </c>
      <c r="D110" s="2">
        <v>1</v>
      </c>
      <c r="E110" s="2">
        <v>1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1</v>
      </c>
      <c r="R110" s="2">
        <v>1</v>
      </c>
      <c r="S110" s="2">
        <v>1</v>
      </c>
      <c r="T110" s="2">
        <v>1</v>
      </c>
      <c r="U110" s="2">
        <v>1</v>
      </c>
      <c r="V110" s="2">
        <v>1</v>
      </c>
      <c r="W110" s="2">
        <v>1</v>
      </c>
      <c r="X110" s="2">
        <v>1</v>
      </c>
      <c r="Y110" s="2">
        <v>1</v>
      </c>
      <c r="Z110" s="2">
        <v>1</v>
      </c>
      <c r="AA110" s="2">
        <v>1</v>
      </c>
      <c r="AB110" s="2">
        <v>1</v>
      </c>
      <c r="AC110" s="2">
        <v>1</v>
      </c>
      <c r="AD110" s="2">
        <v>1</v>
      </c>
      <c r="AE110" s="2">
        <v>1</v>
      </c>
      <c r="AF110" s="2">
        <v>1</v>
      </c>
      <c r="AG110" s="2">
        <v>1</v>
      </c>
      <c r="AH110" s="2">
        <v>1</v>
      </c>
      <c r="AI110" s="2">
        <v>1</v>
      </c>
      <c r="AJ110" s="2">
        <v>1</v>
      </c>
      <c r="AK110" s="2">
        <v>1</v>
      </c>
      <c r="AL110" s="2">
        <v>1</v>
      </c>
      <c r="AM110" s="2">
        <v>1</v>
      </c>
      <c r="AN110" s="2">
        <v>1</v>
      </c>
      <c r="AO110" s="2">
        <v>1</v>
      </c>
    </row>
    <row r="111" spans="1:41">
      <c r="A111" s="49">
        <v>109</v>
      </c>
      <c r="B111" s="2">
        <v>1</v>
      </c>
      <c r="C111" s="2">
        <v>1</v>
      </c>
      <c r="D111" s="2">
        <v>1</v>
      </c>
      <c r="E111" s="2">
        <v>1</v>
      </c>
      <c r="F111" s="2">
        <v>1</v>
      </c>
      <c r="G111" s="2">
        <v>1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1</v>
      </c>
      <c r="R111" s="2">
        <v>1</v>
      </c>
      <c r="S111" s="2">
        <v>1</v>
      </c>
      <c r="T111" s="2">
        <v>1</v>
      </c>
      <c r="U111" s="2">
        <v>1</v>
      </c>
      <c r="V111" s="2">
        <v>1</v>
      </c>
      <c r="W111" s="2">
        <v>1</v>
      </c>
      <c r="X111" s="2">
        <v>1</v>
      </c>
      <c r="Y111" s="2">
        <v>1</v>
      </c>
      <c r="Z111" s="2">
        <v>1</v>
      </c>
      <c r="AA111" s="2">
        <v>1</v>
      </c>
      <c r="AB111" s="2">
        <v>1</v>
      </c>
      <c r="AC111" s="2">
        <v>1</v>
      </c>
      <c r="AD111" s="2">
        <v>1</v>
      </c>
      <c r="AE111" s="2">
        <v>1</v>
      </c>
      <c r="AF111" s="2">
        <v>1</v>
      </c>
      <c r="AG111" s="2">
        <v>1</v>
      </c>
      <c r="AH111" s="2">
        <v>1</v>
      </c>
      <c r="AI111" s="2">
        <v>1</v>
      </c>
      <c r="AJ111" s="2">
        <v>1</v>
      </c>
      <c r="AK111" s="2">
        <v>1</v>
      </c>
      <c r="AL111" s="2">
        <v>1</v>
      </c>
      <c r="AM111" s="2">
        <v>1</v>
      </c>
      <c r="AN111" s="2">
        <v>1</v>
      </c>
      <c r="AO111" s="2">
        <v>1</v>
      </c>
    </row>
    <row r="112" spans="1:41">
      <c r="A112" s="49">
        <v>110</v>
      </c>
      <c r="B112" s="2">
        <v>1</v>
      </c>
      <c r="C112" s="2">
        <v>1</v>
      </c>
      <c r="D112" s="2">
        <v>1</v>
      </c>
      <c r="E112" s="2">
        <v>1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>
        <v>1</v>
      </c>
      <c r="P112" s="2">
        <v>1</v>
      </c>
      <c r="Q112" s="2">
        <v>1</v>
      </c>
      <c r="R112" s="2">
        <v>1</v>
      </c>
      <c r="S112" s="2">
        <v>1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1</v>
      </c>
      <c r="AA112" s="2">
        <v>1</v>
      </c>
      <c r="AB112" s="2">
        <v>1</v>
      </c>
      <c r="AC112" s="2">
        <v>1</v>
      </c>
      <c r="AD112" s="2">
        <v>1</v>
      </c>
      <c r="AE112" s="2">
        <v>1</v>
      </c>
      <c r="AF112" s="2">
        <v>1</v>
      </c>
      <c r="AG112" s="2">
        <v>1</v>
      </c>
      <c r="AH112" s="2">
        <v>1</v>
      </c>
      <c r="AI112" s="2">
        <v>1</v>
      </c>
      <c r="AJ112" s="2">
        <v>1</v>
      </c>
      <c r="AK112" s="2">
        <v>1</v>
      </c>
      <c r="AL112" s="2">
        <v>1</v>
      </c>
      <c r="AM112" s="2">
        <v>1</v>
      </c>
      <c r="AN112" s="2">
        <v>1</v>
      </c>
      <c r="AO112" s="2">
        <v>1</v>
      </c>
    </row>
    <row r="113" spans="1:41">
      <c r="A113" s="49">
        <v>111</v>
      </c>
      <c r="B113" s="2">
        <v>1</v>
      </c>
      <c r="C113" s="2">
        <v>1</v>
      </c>
      <c r="D113" s="2">
        <v>1</v>
      </c>
      <c r="E113" s="2">
        <v>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>
        <v>1</v>
      </c>
      <c r="P113" s="2">
        <v>1</v>
      </c>
      <c r="Q113" s="2">
        <v>1</v>
      </c>
      <c r="R113" s="2">
        <v>1</v>
      </c>
      <c r="S113" s="2">
        <v>1</v>
      </c>
      <c r="T113" s="2">
        <v>1</v>
      </c>
      <c r="U113" s="2">
        <v>1</v>
      </c>
      <c r="V113" s="2">
        <v>1</v>
      </c>
      <c r="W113" s="2">
        <v>1</v>
      </c>
      <c r="X113" s="2">
        <v>1</v>
      </c>
      <c r="Y113" s="2">
        <v>1</v>
      </c>
      <c r="Z113" s="2">
        <v>1</v>
      </c>
      <c r="AA113" s="2">
        <v>1</v>
      </c>
      <c r="AB113" s="2">
        <v>1</v>
      </c>
      <c r="AC113" s="2">
        <v>1</v>
      </c>
      <c r="AD113" s="2">
        <v>1</v>
      </c>
      <c r="AE113" s="2">
        <v>1</v>
      </c>
      <c r="AF113" s="2">
        <v>1</v>
      </c>
      <c r="AG113" s="2">
        <v>1</v>
      </c>
      <c r="AH113" s="2">
        <v>1</v>
      </c>
      <c r="AI113" s="2">
        <v>1</v>
      </c>
      <c r="AJ113" s="2">
        <v>1</v>
      </c>
      <c r="AK113" s="2">
        <v>1</v>
      </c>
      <c r="AL113" s="2">
        <v>1</v>
      </c>
      <c r="AM113" s="2">
        <v>1</v>
      </c>
      <c r="AN113" s="2">
        <v>1</v>
      </c>
      <c r="AO113" s="2">
        <v>1</v>
      </c>
    </row>
    <row r="114" spans="1:41">
      <c r="A114" s="49">
        <v>112</v>
      </c>
      <c r="B114" s="2">
        <v>1</v>
      </c>
      <c r="C114" s="2">
        <v>1</v>
      </c>
      <c r="D114" s="2">
        <v>1</v>
      </c>
      <c r="E114" s="2">
        <v>1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1</v>
      </c>
      <c r="T114" s="2">
        <v>1</v>
      </c>
      <c r="U114" s="2">
        <v>1</v>
      </c>
      <c r="V114" s="2">
        <v>1</v>
      </c>
      <c r="W114" s="2">
        <v>1</v>
      </c>
      <c r="X114" s="2">
        <v>1</v>
      </c>
      <c r="Y114" s="2">
        <v>1</v>
      </c>
      <c r="Z114" s="2">
        <v>1</v>
      </c>
      <c r="AA114" s="2">
        <v>1</v>
      </c>
      <c r="AB114" s="2">
        <v>1</v>
      </c>
      <c r="AC114" s="2">
        <v>1</v>
      </c>
      <c r="AD114" s="2">
        <v>1</v>
      </c>
      <c r="AE114" s="2">
        <v>1</v>
      </c>
      <c r="AF114" s="2">
        <v>1</v>
      </c>
      <c r="AG114" s="2">
        <v>1</v>
      </c>
      <c r="AH114" s="2">
        <v>1</v>
      </c>
      <c r="AI114" s="2">
        <v>1</v>
      </c>
      <c r="AJ114" s="2">
        <v>1</v>
      </c>
      <c r="AK114" s="2">
        <v>1</v>
      </c>
      <c r="AL114" s="2">
        <v>1</v>
      </c>
      <c r="AM114" s="2">
        <v>1</v>
      </c>
      <c r="AN114" s="2">
        <v>1</v>
      </c>
      <c r="AO114" s="2">
        <v>1</v>
      </c>
    </row>
    <row r="115" spans="1:41">
      <c r="A115" s="49">
        <v>113</v>
      </c>
      <c r="B115" s="2">
        <v>1</v>
      </c>
      <c r="C115" s="2">
        <v>1</v>
      </c>
      <c r="D115" s="2">
        <v>1</v>
      </c>
      <c r="E115" s="2">
        <v>1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1</v>
      </c>
      <c r="T115" s="2">
        <v>1</v>
      </c>
      <c r="U115" s="2">
        <v>1</v>
      </c>
      <c r="V115" s="2">
        <v>1</v>
      </c>
      <c r="W115" s="2">
        <v>1</v>
      </c>
      <c r="X115" s="2">
        <v>1</v>
      </c>
      <c r="Y115" s="2">
        <v>1</v>
      </c>
      <c r="Z115" s="2">
        <v>1</v>
      </c>
      <c r="AA115" s="2">
        <v>1</v>
      </c>
      <c r="AB115" s="2">
        <v>1</v>
      </c>
      <c r="AC115" s="2">
        <v>1</v>
      </c>
      <c r="AD115" s="2">
        <v>1</v>
      </c>
      <c r="AE115" s="2">
        <v>1</v>
      </c>
      <c r="AF115" s="2">
        <v>1</v>
      </c>
      <c r="AG115" s="2">
        <v>1</v>
      </c>
      <c r="AH115" s="2">
        <v>1</v>
      </c>
      <c r="AI115" s="2">
        <v>1</v>
      </c>
      <c r="AJ115" s="2">
        <v>1</v>
      </c>
      <c r="AK115" s="2">
        <v>1</v>
      </c>
      <c r="AL115" s="2">
        <v>1</v>
      </c>
      <c r="AM115" s="2">
        <v>1</v>
      </c>
      <c r="AN115" s="2">
        <v>1</v>
      </c>
      <c r="AO115" s="2">
        <v>1</v>
      </c>
    </row>
    <row r="116" spans="1:41">
      <c r="A116" s="49">
        <v>114</v>
      </c>
      <c r="B116" s="2">
        <v>1</v>
      </c>
      <c r="C116" s="2">
        <v>1</v>
      </c>
      <c r="D116" s="2">
        <v>1</v>
      </c>
      <c r="E116" s="2">
        <v>1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1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1</v>
      </c>
      <c r="W116" s="2">
        <v>1</v>
      </c>
      <c r="X116" s="2">
        <v>1</v>
      </c>
      <c r="Y116" s="2">
        <v>1</v>
      </c>
      <c r="Z116" s="2">
        <v>1</v>
      </c>
      <c r="AA116" s="2">
        <v>1</v>
      </c>
      <c r="AB116" s="2">
        <v>1</v>
      </c>
      <c r="AC116" s="2">
        <v>1</v>
      </c>
      <c r="AD116" s="2">
        <v>1</v>
      </c>
      <c r="AE116" s="2">
        <v>1</v>
      </c>
      <c r="AF116" s="2">
        <v>1</v>
      </c>
      <c r="AG116" s="2">
        <v>1</v>
      </c>
      <c r="AH116" s="2">
        <v>1</v>
      </c>
      <c r="AI116" s="2">
        <v>1</v>
      </c>
      <c r="AJ116" s="2">
        <v>1</v>
      </c>
      <c r="AK116" s="2">
        <v>1</v>
      </c>
      <c r="AL116" s="2">
        <v>1</v>
      </c>
      <c r="AM116" s="2">
        <v>1</v>
      </c>
      <c r="AN116" s="2">
        <v>1</v>
      </c>
      <c r="AO116" s="2">
        <v>1</v>
      </c>
    </row>
    <row r="117" spans="1:41">
      <c r="A117" s="49">
        <v>115</v>
      </c>
      <c r="B117" s="2">
        <v>1</v>
      </c>
      <c r="C117" s="2">
        <v>1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>
        <v>1</v>
      </c>
      <c r="P117" s="2">
        <v>1</v>
      </c>
      <c r="Q117" s="2">
        <v>1</v>
      </c>
      <c r="R117" s="2">
        <v>1</v>
      </c>
      <c r="S117" s="2">
        <v>1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1</v>
      </c>
      <c r="Z117" s="2">
        <v>1</v>
      </c>
      <c r="AA117" s="2">
        <v>1</v>
      </c>
      <c r="AB117" s="2">
        <v>1</v>
      </c>
      <c r="AC117" s="2">
        <v>1</v>
      </c>
      <c r="AD117" s="2">
        <v>1</v>
      </c>
      <c r="AE117" s="2">
        <v>1</v>
      </c>
      <c r="AF117" s="2">
        <v>1</v>
      </c>
      <c r="AG117" s="2">
        <v>1</v>
      </c>
      <c r="AH117" s="2">
        <v>1</v>
      </c>
      <c r="AI117" s="2">
        <v>1</v>
      </c>
      <c r="AJ117" s="2">
        <v>1</v>
      </c>
      <c r="AK117" s="2">
        <v>1</v>
      </c>
      <c r="AL117" s="2">
        <v>1</v>
      </c>
      <c r="AM117" s="2">
        <v>1</v>
      </c>
      <c r="AN117" s="2">
        <v>1</v>
      </c>
      <c r="AO117" s="2">
        <v>1</v>
      </c>
    </row>
    <row r="118" spans="1:41">
      <c r="A118" s="49">
        <v>116</v>
      </c>
      <c r="B118" s="2">
        <v>1</v>
      </c>
      <c r="C118" s="2">
        <v>1</v>
      </c>
      <c r="D118" s="2">
        <v>1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1</v>
      </c>
      <c r="X118" s="2">
        <v>1</v>
      </c>
      <c r="Y118" s="2">
        <v>1</v>
      </c>
      <c r="Z118" s="2">
        <v>1</v>
      </c>
      <c r="AA118" s="2">
        <v>1</v>
      </c>
      <c r="AB118" s="2">
        <v>1</v>
      </c>
      <c r="AC118" s="2">
        <v>1</v>
      </c>
      <c r="AD118" s="2">
        <v>1</v>
      </c>
      <c r="AE118" s="2">
        <v>1</v>
      </c>
      <c r="AF118" s="2">
        <v>1</v>
      </c>
      <c r="AG118" s="2">
        <v>1</v>
      </c>
      <c r="AH118" s="2">
        <v>1</v>
      </c>
      <c r="AI118" s="2">
        <v>1</v>
      </c>
      <c r="AJ118" s="2">
        <v>1</v>
      </c>
      <c r="AK118" s="2">
        <v>1</v>
      </c>
      <c r="AL118" s="2">
        <v>1</v>
      </c>
      <c r="AM118" s="2">
        <v>1</v>
      </c>
      <c r="AN118" s="2">
        <v>1</v>
      </c>
      <c r="AO118" s="2">
        <v>1</v>
      </c>
    </row>
    <row r="119" spans="1:41">
      <c r="A119" s="49">
        <v>117</v>
      </c>
      <c r="B119" s="2">
        <v>1</v>
      </c>
      <c r="C119" s="2">
        <v>1</v>
      </c>
      <c r="D119" s="2">
        <v>1</v>
      </c>
      <c r="E119" s="2">
        <v>1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2">
        <v>1</v>
      </c>
      <c r="Z119" s="2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1</v>
      </c>
      <c r="AF119" s="2">
        <v>1</v>
      </c>
      <c r="AG119" s="2">
        <v>1</v>
      </c>
      <c r="AH119" s="2">
        <v>1</v>
      </c>
      <c r="AI119" s="2">
        <v>1</v>
      </c>
      <c r="AJ119" s="2">
        <v>1</v>
      </c>
      <c r="AK119" s="2">
        <v>1</v>
      </c>
      <c r="AL119" s="2">
        <v>1</v>
      </c>
      <c r="AM119" s="2">
        <v>1</v>
      </c>
      <c r="AN119" s="2">
        <v>1</v>
      </c>
      <c r="AO119" s="2">
        <v>1</v>
      </c>
    </row>
    <row r="120" spans="1:41">
      <c r="A120" s="49">
        <v>118</v>
      </c>
      <c r="B120" s="2">
        <v>1</v>
      </c>
      <c r="C120" s="2">
        <v>1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>
        <v>1</v>
      </c>
      <c r="P120" s="2">
        <v>1</v>
      </c>
      <c r="Q120" s="2">
        <v>1</v>
      </c>
      <c r="R120" s="2">
        <v>1</v>
      </c>
      <c r="S120" s="2">
        <v>1</v>
      </c>
      <c r="T120" s="2">
        <v>1</v>
      </c>
      <c r="U120" s="2">
        <v>1</v>
      </c>
      <c r="V120" s="2">
        <v>1</v>
      </c>
      <c r="W120" s="2">
        <v>1</v>
      </c>
      <c r="X120" s="2">
        <v>1</v>
      </c>
      <c r="Y120" s="2">
        <v>1</v>
      </c>
      <c r="Z120" s="2">
        <v>1</v>
      </c>
      <c r="AA120" s="2">
        <v>1</v>
      </c>
      <c r="AB120" s="2">
        <v>1</v>
      </c>
      <c r="AC120" s="2">
        <v>1</v>
      </c>
      <c r="AD120" s="2">
        <v>1</v>
      </c>
      <c r="AE120" s="2">
        <v>1</v>
      </c>
      <c r="AF120" s="2">
        <v>1</v>
      </c>
      <c r="AG120" s="2">
        <v>1</v>
      </c>
      <c r="AH120" s="2">
        <v>1</v>
      </c>
      <c r="AI120" s="2">
        <v>1</v>
      </c>
      <c r="AJ120" s="2">
        <v>1</v>
      </c>
      <c r="AK120" s="2">
        <v>1</v>
      </c>
      <c r="AL120" s="2">
        <v>1</v>
      </c>
      <c r="AM120" s="2">
        <v>1</v>
      </c>
      <c r="AN120" s="2">
        <v>1</v>
      </c>
      <c r="AO120" s="2">
        <v>1</v>
      </c>
    </row>
    <row r="121" spans="1:41">
      <c r="A121" s="49">
        <v>119</v>
      </c>
      <c r="B121" s="2">
        <v>1</v>
      </c>
      <c r="C121" s="2">
        <v>1</v>
      </c>
      <c r="D121" s="2">
        <v>1</v>
      </c>
      <c r="E121" s="2">
        <v>1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  <c r="S121" s="2">
        <v>1</v>
      </c>
      <c r="T121" s="2">
        <v>1</v>
      </c>
      <c r="U121" s="2">
        <v>1</v>
      </c>
      <c r="V121" s="2">
        <v>1</v>
      </c>
      <c r="W121" s="2">
        <v>1</v>
      </c>
      <c r="X121" s="2">
        <v>1</v>
      </c>
      <c r="Y121" s="2">
        <v>1</v>
      </c>
      <c r="Z121" s="2">
        <v>1</v>
      </c>
      <c r="AA121" s="2">
        <v>1</v>
      </c>
      <c r="AB121" s="2">
        <v>1</v>
      </c>
      <c r="AC121" s="2">
        <v>1</v>
      </c>
      <c r="AD121" s="2">
        <v>1</v>
      </c>
      <c r="AE121" s="2">
        <v>1</v>
      </c>
      <c r="AF121" s="2">
        <v>1</v>
      </c>
      <c r="AG121" s="2">
        <v>1</v>
      </c>
      <c r="AH121" s="2">
        <v>1</v>
      </c>
      <c r="AI121" s="2">
        <v>1</v>
      </c>
      <c r="AJ121" s="2">
        <v>1</v>
      </c>
      <c r="AK121" s="2">
        <v>1</v>
      </c>
      <c r="AL121" s="2">
        <v>1</v>
      </c>
      <c r="AM121" s="2">
        <v>1</v>
      </c>
      <c r="AN121" s="2">
        <v>1</v>
      </c>
      <c r="AO121" s="2">
        <v>1</v>
      </c>
    </row>
    <row r="122" spans="1:41">
      <c r="A122" s="49">
        <v>120</v>
      </c>
      <c r="B122" s="2">
        <v>1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>
        <v>1</v>
      </c>
      <c r="P122" s="2">
        <v>1</v>
      </c>
      <c r="Q122" s="2">
        <v>1</v>
      </c>
      <c r="R122" s="2">
        <v>1</v>
      </c>
      <c r="S122" s="2">
        <v>1</v>
      </c>
      <c r="T122" s="2">
        <v>1</v>
      </c>
      <c r="U122" s="2">
        <v>1</v>
      </c>
      <c r="V122" s="2">
        <v>1</v>
      </c>
      <c r="W122" s="2">
        <v>1</v>
      </c>
      <c r="X122" s="2">
        <v>1</v>
      </c>
      <c r="Y122" s="2">
        <v>1</v>
      </c>
      <c r="Z122" s="2">
        <v>1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  <c r="AF122" s="2">
        <v>1</v>
      </c>
      <c r="AG122" s="2">
        <v>1</v>
      </c>
      <c r="AH122" s="2">
        <v>1</v>
      </c>
      <c r="AI122" s="2">
        <v>1</v>
      </c>
      <c r="AJ122" s="2">
        <v>1</v>
      </c>
      <c r="AK122" s="2">
        <v>1</v>
      </c>
      <c r="AL122" s="2">
        <v>1</v>
      </c>
      <c r="AM122" s="2">
        <v>1</v>
      </c>
      <c r="AN122" s="2">
        <v>1</v>
      </c>
      <c r="AO122" s="2">
        <v>1</v>
      </c>
    </row>
  </sheetData>
  <mergeCells count="4">
    <mergeCell ref="B1:K1"/>
    <mergeCell ref="AI1:AN1"/>
    <mergeCell ref="Z1:AH1"/>
    <mergeCell ref="L1:Y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23"/>
  <sheetViews>
    <sheetView zoomScaleNormal="100" workbookViewId="0">
      <selection activeCell="F25" sqref="F25"/>
    </sheetView>
  </sheetViews>
  <sheetFormatPr defaultColWidth="6.375" defaultRowHeight="14.25"/>
  <cols>
    <col min="1" max="1" width="5" style="23" bestFit="1" customWidth="1"/>
    <col min="2" max="2" width="5.25" style="8" bestFit="1" customWidth="1"/>
    <col min="3" max="8" width="5.75" style="22" bestFit="1" customWidth="1"/>
    <col min="9" max="9" width="5" style="22" bestFit="1" customWidth="1"/>
    <col min="10" max="10" width="5.75" style="22" bestFit="1" customWidth="1"/>
    <col min="11" max="11" width="5" style="22" bestFit="1" customWidth="1"/>
    <col min="12" max="19" width="5.75" style="22" bestFit="1" customWidth="1"/>
    <col min="20" max="21" width="6.625" style="22" bestFit="1" customWidth="1"/>
    <col min="22" max="22" width="5" style="22" bestFit="1" customWidth="1"/>
    <col min="23" max="26" width="4.375" style="24" bestFit="1" customWidth="1"/>
    <col min="27" max="27" width="5.25" style="24" bestFit="1" customWidth="1"/>
    <col min="28" max="33" width="5.75" style="22" bestFit="1" customWidth="1"/>
    <col min="34" max="35" width="6.625" style="22" bestFit="1" customWidth="1"/>
    <col min="36" max="36" width="5" style="22" bestFit="1" customWidth="1"/>
    <col min="37" max="37" width="5.75" style="22" bestFit="1" customWidth="1"/>
    <col min="38" max="41" width="4.375" style="24" bestFit="1" customWidth="1"/>
    <col min="42" max="42" width="5.25" style="24" bestFit="1" customWidth="1"/>
    <col min="43" max="43" width="5" style="22" bestFit="1" customWidth="1"/>
    <col min="44" max="16384" width="6.375" style="22"/>
  </cols>
  <sheetData>
    <row r="1" spans="1:44" s="52" customFormat="1" ht="15" customHeight="1" thickBot="1">
      <c r="A1" s="53"/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5"/>
      <c r="N1" s="103" t="s">
        <v>22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 t="s">
        <v>24</v>
      </c>
      <c r="AC1" s="104"/>
      <c r="AD1" s="104"/>
      <c r="AE1" s="104"/>
      <c r="AF1" s="104"/>
      <c r="AG1" s="104"/>
      <c r="AH1" s="104"/>
      <c r="AI1" s="104"/>
      <c r="AJ1" s="105"/>
      <c r="AK1" s="102" t="s">
        <v>25</v>
      </c>
      <c r="AL1" s="102"/>
      <c r="AM1" s="102"/>
      <c r="AN1" s="102"/>
      <c r="AO1" s="102"/>
      <c r="AP1" s="102"/>
      <c r="AQ1" s="52" t="s">
        <v>27</v>
      </c>
    </row>
    <row r="2" spans="1:44" s="43" customFormat="1">
      <c r="A2" s="41" t="s">
        <v>0</v>
      </c>
      <c r="B2" s="42" t="s">
        <v>67</v>
      </c>
      <c r="C2" s="43" t="s">
        <v>12</v>
      </c>
      <c r="D2" s="43" t="s">
        <v>13</v>
      </c>
      <c r="E2" s="43" t="s">
        <v>14</v>
      </c>
      <c r="F2" s="43" t="s">
        <v>15</v>
      </c>
      <c r="G2" s="43" t="s">
        <v>16</v>
      </c>
      <c r="H2" s="43" t="s">
        <v>17</v>
      </c>
      <c r="I2" s="43" t="s">
        <v>18</v>
      </c>
      <c r="J2" s="43" t="s">
        <v>19</v>
      </c>
      <c r="K2" s="43" t="s">
        <v>20</v>
      </c>
      <c r="L2" s="43" t="s">
        <v>21</v>
      </c>
      <c r="M2" s="43" t="s">
        <v>41</v>
      </c>
      <c r="N2" s="43" t="s">
        <v>12</v>
      </c>
      <c r="O2" s="43" t="s">
        <v>13</v>
      </c>
      <c r="P2" s="43" t="s">
        <v>14</v>
      </c>
      <c r="Q2" s="43" t="s">
        <v>15</v>
      </c>
      <c r="R2" s="43" t="s">
        <v>16</v>
      </c>
      <c r="S2" s="43" t="s">
        <v>23</v>
      </c>
      <c r="T2" s="43" t="s">
        <v>42</v>
      </c>
      <c r="U2" s="43" t="s">
        <v>43</v>
      </c>
      <c r="V2" s="43" t="s">
        <v>47</v>
      </c>
      <c r="W2" s="44" t="s">
        <v>44</v>
      </c>
      <c r="X2" s="44" t="s">
        <v>30</v>
      </c>
      <c r="Y2" s="44" t="s">
        <v>31</v>
      </c>
      <c r="Z2" s="44" t="s">
        <v>32</v>
      </c>
      <c r="AA2" s="44" t="s">
        <v>33</v>
      </c>
      <c r="AB2" s="43" t="s">
        <v>12</v>
      </c>
      <c r="AC2" s="43" t="s">
        <v>13</v>
      </c>
      <c r="AD2" s="43" t="s">
        <v>14</v>
      </c>
      <c r="AE2" s="43" t="s">
        <v>15</v>
      </c>
      <c r="AF2" s="43" t="s">
        <v>16</v>
      </c>
      <c r="AG2" s="43" t="s">
        <v>23</v>
      </c>
      <c r="AH2" s="43" t="s">
        <v>42</v>
      </c>
      <c r="AI2" s="43" t="s">
        <v>43</v>
      </c>
      <c r="AJ2" s="43" t="s">
        <v>47</v>
      </c>
      <c r="AK2" s="43" t="s">
        <v>26</v>
      </c>
      <c r="AL2" s="44" t="s">
        <v>44</v>
      </c>
      <c r="AM2" s="44" t="s">
        <v>30</v>
      </c>
      <c r="AN2" s="44" t="s">
        <v>31</v>
      </c>
      <c r="AO2" s="44" t="s">
        <v>32</v>
      </c>
      <c r="AP2" s="44" t="s">
        <v>33</v>
      </c>
      <c r="AQ2" s="43" t="s">
        <v>27</v>
      </c>
      <c r="AR2" s="43" t="s">
        <v>94</v>
      </c>
    </row>
    <row r="3" spans="1:44" s="20" customFormat="1">
      <c r="A3" s="46">
        <v>1</v>
      </c>
      <c r="B3" s="9">
        <v>10</v>
      </c>
      <c r="C3" s="47">
        <f>攻击!D3*$B3</f>
        <v>100</v>
      </c>
      <c r="D3" s="47">
        <f>攻击!E3*$B3</f>
        <v>120</v>
      </c>
      <c r="E3" s="47">
        <f>攻击!F3*$B3</f>
        <v>150</v>
      </c>
      <c r="F3" s="47">
        <f>攻击!G3*$B3</f>
        <v>200</v>
      </c>
      <c r="G3" s="47">
        <f>攻击!H3*$B3</f>
        <v>250</v>
      </c>
      <c r="H3" s="47">
        <f>攻击!I3*$B3</f>
        <v>0</v>
      </c>
      <c r="I3" s="47">
        <f>攻击!J3*$B3</f>
        <v>0</v>
      </c>
      <c r="J3" s="47">
        <f>攻击!K3*$B3</f>
        <v>0</v>
      </c>
      <c r="K3" s="47">
        <f>攻击!L3*$B3</f>
        <v>0</v>
      </c>
      <c r="L3" s="47">
        <f>攻击!M3*$B3</f>
        <v>0</v>
      </c>
      <c r="M3" s="47">
        <f>攻击!N3*$B3</f>
        <v>120</v>
      </c>
      <c r="N3" s="47">
        <f>攻击!O3*$B3</f>
        <v>150</v>
      </c>
      <c r="O3" s="47">
        <f>攻击!P3*$B3</f>
        <v>200</v>
      </c>
      <c r="P3" s="47">
        <f>攻击!Q3*$B3</f>
        <v>250</v>
      </c>
      <c r="Q3" s="47">
        <f>攻击!R3*$B3</f>
        <v>300</v>
      </c>
      <c r="R3" s="47">
        <f>攻击!S3*$B3</f>
        <v>350</v>
      </c>
      <c r="S3" s="47">
        <f>攻击!T3*$B3</f>
        <v>0</v>
      </c>
      <c r="T3" s="47">
        <f>攻击!U3*$B3</f>
        <v>30</v>
      </c>
      <c r="U3" s="47">
        <f>攻击!V3*$B3</f>
        <v>0</v>
      </c>
      <c r="V3" s="47">
        <f>攻击!W3*$B3</f>
        <v>5</v>
      </c>
      <c r="W3" s="54">
        <f>攻击!X3</f>
        <v>0</v>
      </c>
      <c r="X3" s="54">
        <f>攻击!Y3</f>
        <v>0</v>
      </c>
      <c r="Y3" s="54">
        <f>攻击!Z3</f>
        <v>0</v>
      </c>
      <c r="Z3" s="54">
        <f>攻击!AA3</f>
        <v>0</v>
      </c>
      <c r="AA3" s="54">
        <f>攻击!AB3</f>
        <v>0</v>
      </c>
      <c r="AB3" s="47">
        <f>攻击!AC3*$B3</f>
        <v>0</v>
      </c>
      <c r="AC3" s="47">
        <f>攻击!AD3*$B3</f>
        <v>0</v>
      </c>
      <c r="AD3" s="47">
        <f>攻击!AE3*$B3</f>
        <v>0</v>
      </c>
      <c r="AE3" s="47">
        <f>攻击!AF3*$B3</f>
        <v>0</v>
      </c>
      <c r="AF3" s="47">
        <f>攻击!AG3*$B3</f>
        <v>0</v>
      </c>
      <c r="AG3" s="47">
        <f>攻击!AH3*$B3</f>
        <v>0</v>
      </c>
      <c r="AH3" s="47">
        <f>攻击!AI3*$B3</f>
        <v>0</v>
      </c>
      <c r="AI3" s="47">
        <f>攻击!AJ3*$B3</f>
        <v>0</v>
      </c>
      <c r="AJ3" s="47">
        <f>攻击!AK3*$B3</f>
        <v>0</v>
      </c>
      <c r="AK3" s="47">
        <f>攻击!AL3*$B3</f>
        <v>0</v>
      </c>
      <c r="AL3" s="54">
        <f>攻击!AM3</f>
        <v>0</v>
      </c>
      <c r="AM3" s="54">
        <f>攻击!AN3</f>
        <v>0</v>
      </c>
      <c r="AN3" s="54">
        <f>攻击!AO3</f>
        <v>0</v>
      </c>
      <c r="AO3" s="54">
        <f>攻击!AP3</f>
        <v>0</v>
      </c>
      <c r="AP3" s="54">
        <f>攻击!AQ3</f>
        <v>0</v>
      </c>
      <c r="AQ3" s="47">
        <f>攻击!AR3*$B3</f>
        <v>20</v>
      </c>
      <c r="AR3" s="20">
        <f>C3+N3+AB3+AK3+AQ3</f>
        <v>270</v>
      </c>
    </row>
    <row r="4" spans="1:44" s="20" customFormat="1">
      <c r="A4" s="46">
        <v>2</v>
      </c>
      <c r="B4" s="51">
        <f>B3</f>
        <v>10</v>
      </c>
      <c r="C4" s="47">
        <f>攻击!D4*$B4</f>
        <v>120</v>
      </c>
      <c r="D4" s="47">
        <f>攻击!E4*$B4</f>
        <v>144</v>
      </c>
      <c r="E4" s="47">
        <f>攻击!F4*$B4</f>
        <v>180</v>
      </c>
      <c r="F4" s="47">
        <f>攻击!G4*$B4</f>
        <v>240</v>
      </c>
      <c r="G4" s="47">
        <f>攻击!H4*$B4</f>
        <v>300</v>
      </c>
      <c r="H4" s="47">
        <f>攻击!I4*$B4</f>
        <v>0</v>
      </c>
      <c r="I4" s="47">
        <f>攻击!J4*$B4</f>
        <v>0</v>
      </c>
      <c r="J4" s="47">
        <f>攻击!K4*$B4</f>
        <v>0</v>
      </c>
      <c r="K4" s="47">
        <f>攻击!L4*$B4</f>
        <v>0</v>
      </c>
      <c r="L4" s="47">
        <f>攻击!M4*$B4</f>
        <v>0</v>
      </c>
      <c r="M4" s="47">
        <f>攻击!N4*$B4</f>
        <v>144</v>
      </c>
      <c r="N4" s="47">
        <f>攻击!O4*$B4</f>
        <v>180</v>
      </c>
      <c r="O4" s="47">
        <f>攻击!P4*$B4</f>
        <v>240</v>
      </c>
      <c r="P4" s="47">
        <f>攻击!Q4*$B4</f>
        <v>300</v>
      </c>
      <c r="Q4" s="47">
        <f>攻击!R4*$B4</f>
        <v>360</v>
      </c>
      <c r="R4" s="47">
        <f>攻击!S4*$B4</f>
        <v>420</v>
      </c>
      <c r="S4" s="47">
        <f>攻击!T4*$B4</f>
        <v>0</v>
      </c>
      <c r="T4" s="47">
        <f>攻击!U4*$B4</f>
        <v>36</v>
      </c>
      <c r="U4" s="47">
        <f>攻击!V4*$B4</f>
        <v>0</v>
      </c>
      <c r="V4" s="47">
        <f>攻击!W4*$B4</f>
        <v>6.0000000000000009</v>
      </c>
      <c r="W4" s="54">
        <f>攻击!X4</f>
        <v>0</v>
      </c>
      <c r="X4" s="54">
        <f>攻击!Y4</f>
        <v>0</v>
      </c>
      <c r="Y4" s="54">
        <f>攻击!Z4</f>
        <v>0</v>
      </c>
      <c r="Z4" s="54">
        <f>攻击!AA4</f>
        <v>0</v>
      </c>
      <c r="AA4" s="54">
        <f>攻击!AB4</f>
        <v>0</v>
      </c>
      <c r="AB4" s="47">
        <f>攻击!AC4*$B4</f>
        <v>0</v>
      </c>
      <c r="AC4" s="47">
        <f>攻击!AD4*$B4</f>
        <v>0</v>
      </c>
      <c r="AD4" s="47">
        <f>攻击!AE4*$B4</f>
        <v>0</v>
      </c>
      <c r="AE4" s="47">
        <f>攻击!AF4*$B4</f>
        <v>0</v>
      </c>
      <c r="AF4" s="47">
        <f>攻击!AG4*$B4</f>
        <v>0</v>
      </c>
      <c r="AG4" s="47">
        <f>攻击!AH4*$B4</f>
        <v>0</v>
      </c>
      <c r="AH4" s="47">
        <f>攻击!AI4*$B4</f>
        <v>0</v>
      </c>
      <c r="AI4" s="47">
        <f>攻击!AJ4*$B4</f>
        <v>0</v>
      </c>
      <c r="AJ4" s="47">
        <f>攻击!AK4*$B4</f>
        <v>0</v>
      </c>
      <c r="AK4" s="47">
        <f>攻击!AL4*$B4</f>
        <v>0</v>
      </c>
      <c r="AL4" s="54">
        <f>攻击!AM4</f>
        <v>0</v>
      </c>
      <c r="AM4" s="54">
        <f>攻击!AN4</f>
        <v>0</v>
      </c>
      <c r="AN4" s="54">
        <f>攻击!AO4</f>
        <v>0</v>
      </c>
      <c r="AO4" s="54">
        <f>攻击!AP4</f>
        <v>0</v>
      </c>
      <c r="AP4" s="54">
        <f>攻击!AQ4</f>
        <v>0</v>
      </c>
      <c r="AQ4" s="47">
        <f>攻击!AR4*$B4</f>
        <v>24.000000000000004</v>
      </c>
      <c r="AR4" s="20">
        <f t="shared" ref="AR4:AR67" si="0">C4+N4+AB4+AK4+AQ4</f>
        <v>324</v>
      </c>
    </row>
    <row r="5" spans="1:44" s="20" customFormat="1">
      <c r="A5" s="46">
        <v>3</v>
      </c>
      <c r="B5" s="51">
        <f t="shared" ref="B5:B68" si="1">B4</f>
        <v>10</v>
      </c>
      <c r="C5" s="47">
        <f>攻击!D5*$B5</f>
        <v>140</v>
      </c>
      <c r="D5" s="47">
        <f>攻击!E5*$B5</f>
        <v>168</v>
      </c>
      <c r="E5" s="47">
        <f>攻击!F5*$B5</f>
        <v>210</v>
      </c>
      <c r="F5" s="47">
        <f>攻击!G5*$B5</f>
        <v>280</v>
      </c>
      <c r="G5" s="47">
        <f>攻击!H5*$B5</f>
        <v>350</v>
      </c>
      <c r="H5" s="47">
        <f>攻击!I5*$B5</f>
        <v>0</v>
      </c>
      <c r="I5" s="47">
        <f>攻击!J5*$B5</f>
        <v>0</v>
      </c>
      <c r="J5" s="47">
        <f>攻击!K5*$B5</f>
        <v>0</v>
      </c>
      <c r="K5" s="47">
        <f>攻击!L5*$B5</f>
        <v>0</v>
      </c>
      <c r="L5" s="47">
        <f>攻击!M5*$B5</f>
        <v>0</v>
      </c>
      <c r="M5" s="47">
        <f>攻击!N5*$B5</f>
        <v>168</v>
      </c>
      <c r="N5" s="47">
        <f>攻击!O5*$B5</f>
        <v>210</v>
      </c>
      <c r="O5" s="47">
        <f>攻击!P5*$B5</f>
        <v>280</v>
      </c>
      <c r="P5" s="47">
        <f>攻击!Q5*$B5</f>
        <v>350</v>
      </c>
      <c r="Q5" s="47">
        <f>攻击!R5*$B5</f>
        <v>420</v>
      </c>
      <c r="R5" s="47">
        <f>攻击!S5*$B5</f>
        <v>490</v>
      </c>
      <c r="S5" s="47">
        <f>攻击!T5*$B5</f>
        <v>0</v>
      </c>
      <c r="T5" s="47">
        <f>攻击!U5*$B5</f>
        <v>42</v>
      </c>
      <c r="U5" s="47">
        <f>攻击!V5*$B5</f>
        <v>0</v>
      </c>
      <c r="V5" s="47">
        <f>攻击!W5*$B5</f>
        <v>7.0000000000000009</v>
      </c>
      <c r="W5" s="54">
        <f>攻击!X5</f>
        <v>0</v>
      </c>
      <c r="X5" s="54">
        <f>攻击!Y5</f>
        <v>0</v>
      </c>
      <c r="Y5" s="54">
        <f>攻击!Z5</f>
        <v>0</v>
      </c>
      <c r="Z5" s="54">
        <f>攻击!AA5</f>
        <v>0</v>
      </c>
      <c r="AA5" s="54">
        <f>攻击!AB5</f>
        <v>0</v>
      </c>
      <c r="AB5" s="47">
        <f>攻击!AC5*$B5</f>
        <v>0</v>
      </c>
      <c r="AC5" s="47">
        <f>攻击!AD5*$B5</f>
        <v>0</v>
      </c>
      <c r="AD5" s="47">
        <f>攻击!AE5*$B5</f>
        <v>0</v>
      </c>
      <c r="AE5" s="47">
        <f>攻击!AF5*$B5</f>
        <v>0</v>
      </c>
      <c r="AF5" s="47">
        <f>攻击!AG5*$B5</f>
        <v>0</v>
      </c>
      <c r="AG5" s="47">
        <f>攻击!AH5*$B5</f>
        <v>0</v>
      </c>
      <c r="AH5" s="47">
        <f>攻击!AI5*$B5</f>
        <v>0</v>
      </c>
      <c r="AI5" s="47">
        <f>攻击!AJ5*$B5</f>
        <v>0</v>
      </c>
      <c r="AJ5" s="47">
        <f>攻击!AK5*$B5</f>
        <v>0</v>
      </c>
      <c r="AK5" s="47">
        <f>攻击!AL5*$B5</f>
        <v>0</v>
      </c>
      <c r="AL5" s="54">
        <f>攻击!AM5</f>
        <v>0</v>
      </c>
      <c r="AM5" s="54">
        <f>攻击!AN5</f>
        <v>0</v>
      </c>
      <c r="AN5" s="54">
        <f>攻击!AO5</f>
        <v>0</v>
      </c>
      <c r="AO5" s="54">
        <f>攻击!AP5</f>
        <v>0</v>
      </c>
      <c r="AP5" s="54">
        <f>攻击!AQ5</f>
        <v>0</v>
      </c>
      <c r="AQ5" s="47">
        <f>攻击!AR5*$B5</f>
        <v>28.000000000000004</v>
      </c>
      <c r="AR5" s="20">
        <f t="shared" si="0"/>
        <v>378</v>
      </c>
    </row>
    <row r="6" spans="1:44" s="20" customFormat="1">
      <c r="A6" s="46">
        <v>4</v>
      </c>
      <c r="B6" s="51">
        <f t="shared" si="1"/>
        <v>10</v>
      </c>
      <c r="C6" s="47">
        <f>攻击!D6*$B6</f>
        <v>160</v>
      </c>
      <c r="D6" s="47">
        <f>攻击!E6*$B6</f>
        <v>192</v>
      </c>
      <c r="E6" s="47">
        <f>攻击!F6*$B6</f>
        <v>240</v>
      </c>
      <c r="F6" s="47">
        <f>攻击!G6*$B6</f>
        <v>320</v>
      </c>
      <c r="G6" s="47">
        <f>攻击!H6*$B6</f>
        <v>400</v>
      </c>
      <c r="H6" s="47">
        <f>攻击!I6*$B6</f>
        <v>0</v>
      </c>
      <c r="I6" s="47">
        <f>攻击!J6*$B6</f>
        <v>0</v>
      </c>
      <c r="J6" s="47">
        <f>攻击!K6*$B6</f>
        <v>0</v>
      </c>
      <c r="K6" s="47">
        <f>攻击!L6*$B6</f>
        <v>0</v>
      </c>
      <c r="L6" s="47">
        <f>攻击!M6*$B6</f>
        <v>0</v>
      </c>
      <c r="M6" s="47">
        <f>攻击!N6*$B6</f>
        <v>192</v>
      </c>
      <c r="N6" s="47">
        <f>攻击!O6*$B6</f>
        <v>240</v>
      </c>
      <c r="O6" s="47">
        <f>攻击!P6*$B6</f>
        <v>320</v>
      </c>
      <c r="P6" s="47">
        <f>攻击!Q6*$B6</f>
        <v>400</v>
      </c>
      <c r="Q6" s="47">
        <f>攻击!R6*$B6</f>
        <v>480</v>
      </c>
      <c r="R6" s="47">
        <f>攻击!S6*$B6</f>
        <v>560</v>
      </c>
      <c r="S6" s="47">
        <f>攻击!T6*$B6</f>
        <v>0</v>
      </c>
      <c r="T6" s="47">
        <f>攻击!U6*$B6</f>
        <v>48</v>
      </c>
      <c r="U6" s="47">
        <f>攻击!V6*$B6</f>
        <v>0</v>
      </c>
      <c r="V6" s="47">
        <f>攻击!W6*$B6</f>
        <v>8</v>
      </c>
      <c r="W6" s="54">
        <f>攻击!X6</f>
        <v>0</v>
      </c>
      <c r="X6" s="54">
        <f>攻击!Y6</f>
        <v>0</v>
      </c>
      <c r="Y6" s="54">
        <f>攻击!Z6</f>
        <v>0</v>
      </c>
      <c r="Z6" s="54">
        <f>攻击!AA6</f>
        <v>0</v>
      </c>
      <c r="AA6" s="54">
        <f>攻击!AB6</f>
        <v>0</v>
      </c>
      <c r="AB6" s="47">
        <f>攻击!AC6*$B6</f>
        <v>0</v>
      </c>
      <c r="AC6" s="47">
        <f>攻击!AD6*$B6</f>
        <v>0</v>
      </c>
      <c r="AD6" s="47">
        <f>攻击!AE6*$B6</f>
        <v>0</v>
      </c>
      <c r="AE6" s="47">
        <f>攻击!AF6*$B6</f>
        <v>0</v>
      </c>
      <c r="AF6" s="47">
        <f>攻击!AG6*$B6</f>
        <v>0</v>
      </c>
      <c r="AG6" s="47">
        <f>攻击!AH6*$B6</f>
        <v>0</v>
      </c>
      <c r="AH6" s="47">
        <f>攻击!AI6*$B6</f>
        <v>0</v>
      </c>
      <c r="AI6" s="47">
        <f>攻击!AJ6*$B6</f>
        <v>0</v>
      </c>
      <c r="AJ6" s="47">
        <f>攻击!AK6*$B6</f>
        <v>0</v>
      </c>
      <c r="AK6" s="47">
        <f>攻击!AL6*$B6</f>
        <v>0</v>
      </c>
      <c r="AL6" s="54">
        <f>攻击!AM6</f>
        <v>0</v>
      </c>
      <c r="AM6" s="54">
        <f>攻击!AN6</f>
        <v>0</v>
      </c>
      <c r="AN6" s="54">
        <f>攻击!AO6</f>
        <v>0</v>
      </c>
      <c r="AO6" s="54">
        <f>攻击!AP6</f>
        <v>0</v>
      </c>
      <c r="AP6" s="54">
        <f>攻击!AQ6</f>
        <v>0</v>
      </c>
      <c r="AQ6" s="47">
        <f>攻击!AR6*$B6</f>
        <v>32</v>
      </c>
      <c r="AR6" s="20">
        <f t="shared" si="0"/>
        <v>432</v>
      </c>
    </row>
    <row r="7" spans="1:44" s="20" customFormat="1">
      <c r="A7" s="46">
        <v>5</v>
      </c>
      <c r="B7" s="51">
        <f t="shared" si="1"/>
        <v>10</v>
      </c>
      <c r="C7" s="47">
        <f>攻击!D7*$B7</f>
        <v>180</v>
      </c>
      <c r="D7" s="47">
        <f>攻击!E7*$B7</f>
        <v>215.99999999999997</v>
      </c>
      <c r="E7" s="47">
        <f>攻击!F7*$B7</f>
        <v>270</v>
      </c>
      <c r="F7" s="47">
        <f>攻击!G7*$B7</f>
        <v>360</v>
      </c>
      <c r="G7" s="47">
        <f>攻击!H7*$B7</f>
        <v>450</v>
      </c>
      <c r="H7" s="47">
        <f>攻击!I7*$B7</f>
        <v>90</v>
      </c>
      <c r="I7" s="47">
        <f>攻击!J7*$B7</f>
        <v>0</v>
      </c>
      <c r="J7" s="47">
        <f>攻击!K7*$B7</f>
        <v>0</v>
      </c>
      <c r="K7" s="47">
        <f>攻击!L7*$B7</f>
        <v>0</v>
      </c>
      <c r="L7" s="47">
        <f>攻击!M7*$B7</f>
        <v>0</v>
      </c>
      <c r="M7" s="47">
        <f>攻击!N7*$B7</f>
        <v>215.99999999999997</v>
      </c>
      <c r="N7" s="47">
        <f>攻击!O7*$B7</f>
        <v>270</v>
      </c>
      <c r="O7" s="47">
        <f>攻击!P7*$B7</f>
        <v>360</v>
      </c>
      <c r="P7" s="47">
        <f>攻击!Q7*$B7</f>
        <v>450</v>
      </c>
      <c r="Q7" s="47">
        <f>攻击!R7*$B7</f>
        <v>540</v>
      </c>
      <c r="R7" s="47">
        <f>攻击!S7*$B7</f>
        <v>630</v>
      </c>
      <c r="S7" s="47">
        <f>攻击!T7*$B7</f>
        <v>0</v>
      </c>
      <c r="T7" s="47">
        <f>攻击!U7*$B7</f>
        <v>53.999999999999993</v>
      </c>
      <c r="U7" s="47">
        <f>攻击!V7*$B7</f>
        <v>0</v>
      </c>
      <c r="V7" s="47">
        <f>攻击!W7*$B7</f>
        <v>9</v>
      </c>
      <c r="W7" s="54">
        <f>攻击!X7</f>
        <v>0</v>
      </c>
      <c r="X7" s="54">
        <f>攻击!Y7</f>
        <v>0</v>
      </c>
      <c r="Y7" s="54">
        <f>攻击!Z7</f>
        <v>0</v>
      </c>
      <c r="Z7" s="54">
        <f>攻击!AA7</f>
        <v>0</v>
      </c>
      <c r="AA7" s="54">
        <f>攻击!AB7</f>
        <v>0</v>
      </c>
      <c r="AB7" s="47">
        <f>攻击!AC7*$B7</f>
        <v>0</v>
      </c>
      <c r="AC7" s="47">
        <f>攻击!AD7*$B7</f>
        <v>0</v>
      </c>
      <c r="AD7" s="47">
        <f>攻击!AE7*$B7</f>
        <v>0</v>
      </c>
      <c r="AE7" s="47">
        <f>攻击!AF7*$B7</f>
        <v>0</v>
      </c>
      <c r="AF7" s="47">
        <f>攻击!AG7*$B7</f>
        <v>0</v>
      </c>
      <c r="AG7" s="47">
        <f>攻击!AH7*$B7</f>
        <v>0</v>
      </c>
      <c r="AH7" s="47">
        <f>攻击!AI7*$B7</f>
        <v>0</v>
      </c>
      <c r="AI7" s="47">
        <f>攻击!AJ7*$B7</f>
        <v>0</v>
      </c>
      <c r="AJ7" s="47">
        <f>攻击!AK7*$B7</f>
        <v>0</v>
      </c>
      <c r="AK7" s="47">
        <f>攻击!AL7*$B7</f>
        <v>0</v>
      </c>
      <c r="AL7" s="54">
        <f>攻击!AM7</f>
        <v>0</v>
      </c>
      <c r="AM7" s="54">
        <f>攻击!AN7</f>
        <v>0</v>
      </c>
      <c r="AN7" s="54">
        <f>攻击!AO7</f>
        <v>0</v>
      </c>
      <c r="AO7" s="54">
        <f>攻击!AP7</f>
        <v>0</v>
      </c>
      <c r="AP7" s="54">
        <f>攻击!AQ7</f>
        <v>0</v>
      </c>
      <c r="AQ7" s="47">
        <f>攻击!AR7*$B7</f>
        <v>36</v>
      </c>
      <c r="AR7" s="20">
        <f t="shared" si="0"/>
        <v>486</v>
      </c>
    </row>
    <row r="8" spans="1:44" s="20" customFormat="1">
      <c r="A8" s="46">
        <v>6</v>
      </c>
      <c r="B8" s="51">
        <f t="shared" si="1"/>
        <v>10</v>
      </c>
      <c r="C8" s="47">
        <f>攻击!D8*$B8</f>
        <v>200</v>
      </c>
      <c r="D8" s="47">
        <f>攻击!E8*$B8</f>
        <v>240</v>
      </c>
      <c r="E8" s="47">
        <f>攻击!F8*$B8</f>
        <v>300</v>
      </c>
      <c r="F8" s="47">
        <f>攻击!G8*$B8</f>
        <v>400</v>
      </c>
      <c r="G8" s="47">
        <f>攻击!H8*$B8</f>
        <v>500</v>
      </c>
      <c r="H8" s="47">
        <f>攻击!I8*$B8</f>
        <v>90</v>
      </c>
      <c r="I8" s="47">
        <f>攻击!J8*$B8</f>
        <v>0</v>
      </c>
      <c r="J8" s="47">
        <f>攻击!K8*$B8</f>
        <v>0</v>
      </c>
      <c r="K8" s="47">
        <f>攻击!L8*$B8</f>
        <v>0</v>
      </c>
      <c r="L8" s="47">
        <f>攻击!M8*$B8</f>
        <v>0</v>
      </c>
      <c r="M8" s="47">
        <f>攻击!N8*$B8</f>
        <v>240</v>
      </c>
      <c r="N8" s="47">
        <f>攻击!O8*$B8</f>
        <v>300</v>
      </c>
      <c r="O8" s="47">
        <f>攻击!P8*$B8</f>
        <v>400</v>
      </c>
      <c r="P8" s="47">
        <f>攻击!Q8*$B8</f>
        <v>500</v>
      </c>
      <c r="Q8" s="47">
        <f>攻击!R8*$B8</f>
        <v>600</v>
      </c>
      <c r="R8" s="47">
        <f>攻击!S8*$B8</f>
        <v>700</v>
      </c>
      <c r="S8" s="47">
        <f>攻击!T8*$B8</f>
        <v>0</v>
      </c>
      <c r="T8" s="47">
        <f>攻击!U8*$B8</f>
        <v>60</v>
      </c>
      <c r="U8" s="47">
        <f>攻击!V8*$B8</f>
        <v>0</v>
      </c>
      <c r="V8" s="47">
        <f>攻击!W8*$B8</f>
        <v>10</v>
      </c>
      <c r="W8" s="54">
        <f>攻击!X8</f>
        <v>0</v>
      </c>
      <c r="X8" s="54">
        <f>攻击!Y8</f>
        <v>0</v>
      </c>
      <c r="Y8" s="54">
        <f>攻击!Z8</f>
        <v>0</v>
      </c>
      <c r="Z8" s="54">
        <f>攻击!AA8</f>
        <v>0</v>
      </c>
      <c r="AA8" s="54">
        <f>攻击!AB8</f>
        <v>0</v>
      </c>
      <c r="AB8" s="47">
        <f>攻击!AC8*$B8</f>
        <v>0</v>
      </c>
      <c r="AC8" s="47">
        <f>攻击!AD8*$B8</f>
        <v>0</v>
      </c>
      <c r="AD8" s="47">
        <f>攻击!AE8*$B8</f>
        <v>0</v>
      </c>
      <c r="AE8" s="47">
        <f>攻击!AF8*$B8</f>
        <v>0</v>
      </c>
      <c r="AF8" s="47">
        <f>攻击!AG8*$B8</f>
        <v>0</v>
      </c>
      <c r="AG8" s="47">
        <f>攻击!AH8*$B8</f>
        <v>0</v>
      </c>
      <c r="AH8" s="47">
        <f>攻击!AI8*$B8</f>
        <v>0</v>
      </c>
      <c r="AI8" s="47">
        <f>攻击!AJ8*$B8</f>
        <v>0</v>
      </c>
      <c r="AJ8" s="47">
        <f>攻击!AK8*$B8</f>
        <v>0</v>
      </c>
      <c r="AK8" s="47">
        <f>攻击!AL8*$B8</f>
        <v>0</v>
      </c>
      <c r="AL8" s="54">
        <f>攻击!AM8</f>
        <v>0</v>
      </c>
      <c r="AM8" s="54">
        <f>攻击!AN8</f>
        <v>0</v>
      </c>
      <c r="AN8" s="54">
        <f>攻击!AO8</f>
        <v>0</v>
      </c>
      <c r="AO8" s="54">
        <f>攻击!AP8</f>
        <v>0</v>
      </c>
      <c r="AP8" s="54">
        <f>攻击!AQ8</f>
        <v>0</v>
      </c>
      <c r="AQ8" s="47">
        <f>攻击!AR8*$B8</f>
        <v>40</v>
      </c>
      <c r="AR8" s="20">
        <f t="shared" si="0"/>
        <v>540</v>
      </c>
    </row>
    <row r="9" spans="1:44" s="20" customFormat="1">
      <c r="A9" s="46">
        <v>7</v>
      </c>
      <c r="B9" s="51">
        <f t="shared" si="1"/>
        <v>10</v>
      </c>
      <c r="C9" s="47">
        <f>攻击!D9*$B9</f>
        <v>220</v>
      </c>
      <c r="D9" s="47">
        <f>攻击!E9*$B9</f>
        <v>264</v>
      </c>
      <c r="E9" s="47">
        <f>攻击!F9*$B9</f>
        <v>330</v>
      </c>
      <c r="F9" s="47">
        <f>攻击!G9*$B9</f>
        <v>440</v>
      </c>
      <c r="G9" s="47">
        <f>攻击!H9*$B9</f>
        <v>550</v>
      </c>
      <c r="H9" s="47">
        <f>攻击!I9*$B9</f>
        <v>90</v>
      </c>
      <c r="I9" s="47">
        <f>攻击!J9*$B9</f>
        <v>0</v>
      </c>
      <c r="J9" s="47">
        <f>攻击!K9*$B9</f>
        <v>0</v>
      </c>
      <c r="K9" s="47">
        <f>攻击!L9*$B9</f>
        <v>0</v>
      </c>
      <c r="L9" s="47">
        <f>攻击!M9*$B9</f>
        <v>0</v>
      </c>
      <c r="M9" s="47">
        <f>攻击!N9*$B9</f>
        <v>264</v>
      </c>
      <c r="N9" s="47">
        <f>攻击!O9*$B9</f>
        <v>330</v>
      </c>
      <c r="O9" s="47">
        <f>攻击!P9*$B9</f>
        <v>440</v>
      </c>
      <c r="P9" s="47">
        <f>攻击!Q9*$B9</f>
        <v>550</v>
      </c>
      <c r="Q9" s="47">
        <f>攻击!R9*$B9</f>
        <v>660</v>
      </c>
      <c r="R9" s="47">
        <f>攻击!S9*$B9</f>
        <v>770</v>
      </c>
      <c r="S9" s="47">
        <f>攻击!T9*$B9</f>
        <v>0</v>
      </c>
      <c r="T9" s="47">
        <f>攻击!U9*$B9</f>
        <v>66</v>
      </c>
      <c r="U9" s="47">
        <f>攻击!V9*$B9</f>
        <v>0</v>
      </c>
      <c r="V9" s="47">
        <f>攻击!W9*$B9</f>
        <v>11</v>
      </c>
      <c r="W9" s="54">
        <f>攻击!X9</f>
        <v>0</v>
      </c>
      <c r="X9" s="54">
        <f>攻击!Y9</f>
        <v>0</v>
      </c>
      <c r="Y9" s="54">
        <f>攻击!Z9</f>
        <v>0</v>
      </c>
      <c r="Z9" s="54">
        <f>攻击!AA9</f>
        <v>0</v>
      </c>
      <c r="AA9" s="54">
        <f>攻击!AB9</f>
        <v>0</v>
      </c>
      <c r="AB9" s="47">
        <f>攻击!AC9*$B9</f>
        <v>0</v>
      </c>
      <c r="AC9" s="47">
        <f>攻击!AD9*$B9</f>
        <v>0</v>
      </c>
      <c r="AD9" s="47">
        <f>攻击!AE9*$B9</f>
        <v>0</v>
      </c>
      <c r="AE9" s="47">
        <f>攻击!AF9*$B9</f>
        <v>0</v>
      </c>
      <c r="AF9" s="47">
        <f>攻击!AG9*$B9</f>
        <v>0</v>
      </c>
      <c r="AG9" s="47">
        <f>攻击!AH9*$B9</f>
        <v>0</v>
      </c>
      <c r="AH9" s="47">
        <f>攻击!AI9*$B9</f>
        <v>0</v>
      </c>
      <c r="AI9" s="47">
        <f>攻击!AJ9*$B9</f>
        <v>0</v>
      </c>
      <c r="AJ9" s="47">
        <f>攻击!AK9*$B9</f>
        <v>0</v>
      </c>
      <c r="AK9" s="47">
        <f>攻击!AL9*$B9</f>
        <v>0</v>
      </c>
      <c r="AL9" s="54">
        <f>攻击!AM9</f>
        <v>0</v>
      </c>
      <c r="AM9" s="54">
        <f>攻击!AN9</f>
        <v>0</v>
      </c>
      <c r="AN9" s="54">
        <f>攻击!AO9</f>
        <v>0</v>
      </c>
      <c r="AO9" s="54">
        <f>攻击!AP9</f>
        <v>0</v>
      </c>
      <c r="AP9" s="54">
        <f>攻击!AQ9</f>
        <v>0</v>
      </c>
      <c r="AQ9" s="47">
        <f>攻击!AR9*$B9</f>
        <v>44</v>
      </c>
      <c r="AR9" s="20">
        <f t="shared" si="0"/>
        <v>594</v>
      </c>
    </row>
    <row r="10" spans="1:44" s="20" customFormat="1">
      <c r="A10" s="46">
        <v>8</v>
      </c>
      <c r="B10" s="51">
        <f t="shared" si="1"/>
        <v>10</v>
      </c>
      <c r="C10" s="47">
        <f>攻击!D10*$B10</f>
        <v>240</v>
      </c>
      <c r="D10" s="47">
        <f>攻击!E10*$B10</f>
        <v>288</v>
      </c>
      <c r="E10" s="47">
        <f>攻击!F10*$B10</f>
        <v>360</v>
      </c>
      <c r="F10" s="47">
        <f>攻击!G10*$B10</f>
        <v>480</v>
      </c>
      <c r="G10" s="47">
        <f>攻击!H10*$B10</f>
        <v>600</v>
      </c>
      <c r="H10" s="47">
        <f>攻击!I10*$B10</f>
        <v>90</v>
      </c>
      <c r="I10" s="47">
        <f>攻击!J10*$B10</f>
        <v>0</v>
      </c>
      <c r="J10" s="47">
        <f>攻击!K10*$B10</f>
        <v>0</v>
      </c>
      <c r="K10" s="47">
        <f>攻击!L10*$B10</f>
        <v>0</v>
      </c>
      <c r="L10" s="47">
        <f>攻击!M10*$B10</f>
        <v>0</v>
      </c>
      <c r="M10" s="47">
        <f>攻击!N10*$B10</f>
        <v>288</v>
      </c>
      <c r="N10" s="47">
        <f>攻击!O10*$B10</f>
        <v>360</v>
      </c>
      <c r="O10" s="47">
        <f>攻击!P10*$B10</f>
        <v>480</v>
      </c>
      <c r="P10" s="47">
        <f>攻击!Q10*$B10</f>
        <v>600</v>
      </c>
      <c r="Q10" s="47">
        <f>攻击!R10*$B10</f>
        <v>720</v>
      </c>
      <c r="R10" s="47">
        <f>攻击!S10*$B10</f>
        <v>840</v>
      </c>
      <c r="S10" s="47">
        <f>攻击!T10*$B10</f>
        <v>0</v>
      </c>
      <c r="T10" s="47">
        <f>攻击!U10*$B10</f>
        <v>72</v>
      </c>
      <c r="U10" s="47">
        <f>攻击!V10*$B10</f>
        <v>0</v>
      </c>
      <c r="V10" s="47">
        <f>攻击!W10*$B10</f>
        <v>12.000000000000002</v>
      </c>
      <c r="W10" s="54">
        <f>攻击!X10</f>
        <v>0</v>
      </c>
      <c r="X10" s="54">
        <f>攻击!Y10</f>
        <v>0</v>
      </c>
      <c r="Y10" s="54">
        <f>攻击!Z10</f>
        <v>0</v>
      </c>
      <c r="Z10" s="54">
        <f>攻击!AA10</f>
        <v>0</v>
      </c>
      <c r="AA10" s="54">
        <f>攻击!AB10</f>
        <v>0</v>
      </c>
      <c r="AB10" s="47">
        <f>攻击!AC10*$B10</f>
        <v>0</v>
      </c>
      <c r="AC10" s="47">
        <f>攻击!AD10*$B10</f>
        <v>0</v>
      </c>
      <c r="AD10" s="47">
        <f>攻击!AE10*$B10</f>
        <v>0</v>
      </c>
      <c r="AE10" s="47">
        <f>攻击!AF10*$B10</f>
        <v>0</v>
      </c>
      <c r="AF10" s="47">
        <f>攻击!AG10*$B10</f>
        <v>0</v>
      </c>
      <c r="AG10" s="47">
        <f>攻击!AH10*$B10</f>
        <v>0</v>
      </c>
      <c r="AH10" s="47">
        <f>攻击!AI10*$B10</f>
        <v>0</v>
      </c>
      <c r="AI10" s="47">
        <f>攻击!AJ10*$B10</f>
        <v>0</v>
      </c>
      <c r="AJ10" s="47">
        <f>攻击!AK10*$B10</f>
        <v>0</v>
      </c>
      <c r="AK10" s="47">
        <f>攻击!AL10*$B10</f>
        <v>0</v>
      </c>
      <c r="AL10" s="54">
        <f>攻击!AM10</f>
        <v>0</v>
      </c>
      <c r="AM10" s="54">
        <f>攻击!AN10</f>
        <v>0</v>
      </c>
      <c r="AN10" s="54">
        <f>攻击!AO10</f>
        <v>0</v>
      </c>
      <c r="AO10" s="54">
        <f>攻击!AP10</f>
        <v>0</v>
      </c>
      <c r="AP10" s="54">
        <f>攻击!AQ10</f>
        <v>0</v>
      </c>
      <c r="AQ10" s="47">
        <f>攻击!AR10*$B10</f>
        <v>48.000000000000007</v>
      </c>
      <c r="AR10" s="20">
        <f t="shared" si="0"/>
        <v>648</v>
      </c>
    </row>
    <row r="11" spans="1:44" s="20" customFormat="1">
      <c r="A11" s="46">
        <v>9</v>
      </c>
      <c r="B11" s="51">
        <f t="shared" si="1"/>
        <v>10</v>
      </c>
      <c r="C11" s="47">
        <f>攻击!D11*$B11</f>
        <v>260</v>
      </c>
      <c r="D11" s="47">
        <f>攻击!E11*$B11</f>
        <v>312</v>
      </c>
      <c r="E11" s="47">
        <f>攻击!F11*$B11</f>
        <v>390</v>
      </c>
      <c r="F11" s="47">
        <f>攻击!G11*$B11</f>
        <v>520</v>
      </c>
      <c r="G11" s="47">
        <f>攻击!H11*$B11</f>
        <v>650</v>
      </c>
      <c r="H11" s="47">
        <f>攻击!I11*$B11</f>
        <v>90</v>
      </c>
      <c r="I11" s="47">
        <f>攻击!J11*$B11</f>
        <v>0</v>
      </c>
      <c r="J11" s="47">
        <f>攻击!K11*$B11</f>
        <v>0</v>
      </c>
      <c r="K11" s="47">
        <f>攻击!L11*$B11</f>
        <v>0</v>
      </c>
      <c r="L11" s="47">
        <f>攻击!M11*$B11</f>
        <v>0</v>
      </c>
      <c r="M11" s="47">
        <f>攻击!N11*$B11</f>
        <v>312</v>
      </c>
      <c r="N11" s="47">
        <f>攻击!O11*$B11</f>
        <v>390</v>
      </c>
      <c r="O11" s="47">
        <f>攻击!P11*$B11</f>
        <v>520</v>
      </c>
      <c r="P11" s="47">
        <f>攻击!Q11*$B11</f>
        <v>650</v>
      </c>
      <c r="Q11" s="47">
        <f>攻击!R11*$B11</f>
        <v>780</v>
      </c>
      <c r="R11" s="47">
        <f>攻击!S11*$B11</f>
        <v>910</v>
      </c>
      <c r="S11" s="47">
        <f>攻击!T11*$B11</f>
        <v>0</v>
      </c>
      <c r="T11" s="47">
        <f>攻击!U11*$B11</f>
        <v>78</v>
      </c>
      <c r="U11" s="47">
        <f>攻击!V11*$B11</f>
        <v>0</v>
      </c>
      <c r="V11" s="47">
        <f>攻击!W11*$B11</f>
        <v>13</v>
      </c>
      <c r="W11" s="54">
        <f>攻击!X11</f>
        <v>0</v>
      </c>
      <c r="X11" s="54">
        <f>攻击!Y11</f>
        <v>0</v>
      </c>
      <c r="Y11" s="54">
        <f>攻击!Z11</f>
        <v>0</v>
      </c>
      <c r="Z11" s="54">
        <f>攻击!AA11</f>
        <v>0</v>
      </c>
      <c r="AA11" s="54">
        <f>攻击!AB11</f>
        <v>0</v>
      </c>
      <c r="AB11" s="47">
        <f>攻击!AC11*$B11</f>
        <v>0</v>
      </c>
      <c r="AC11" s="47">
        <f>攻击!AD11*$B11</f>
        <v>0</v>
      </c>
      <c r="AD11" s="47">
        <f>攻击!AE11*$B11</f>
        <v>0</v>
      </c>
      <c r="AE11" s="47">
        <f>攻击!AF11*$B11</f>
        <v>0</v>
      </c>
      <c r="AF11" s="47">
        <f>攻击!AG11*$B11</f>
        <v>0</v>
      </c>
      <c r="AG11" s="47">
        <f>攻击!AH11*$B11</f>
        <v>0</v>
      </c>
      <c r="AH11" s="47">
        <f>攻击!AI11*$B11</f>
        <v>0</v>
      </c>
      <c r="AI11" s="47">
        <f>攻击!AJ11*$B11</f>
        <v>0</v>
      </c>
      <c r="AJ11" s="47">
        <f>攻击!AK11*$B11</f>
        <v>0</v>
      </c>
      <c r="AK11" s="47">
        <f>攻击!AL11*$B11</f>
        <v>0</v>
      </c>
      <c r="AL11" s="54">
        <f>攻击!AM11</f>
        <v>0</v>
      </c>
      <c r="AM11" s="54">
        <f>攻击!AN11</f>
        <v>0</v>
      </c>
      <c r="AN11" s="54">
        <f>攻击!AO11</f>
        <v>0</v>
      </c>
      <c r="AO11" s="54">
        <f>攻击!AP11</f>
        <v>0</v>
      </c>
      <c r="AP11" s="54">
        <f>攻击!AQ11</f>
        <v>0</v>
      </c>
      <c r="AQ11" s="47">
        <f>攻击!AR11*$B11</f>
        <v>52</v>
      </c>
      <c r="AR11" s="20">
        <f t="shared" si="0"/>
        <v>702</v>
      </c>
    </row>
    <row r="12" spans="1:44" s="20" customFormat="1">
      <c r="A12" s="46">
        <v>10</v>
      </c>
      <c r="B12" s="51">
        <f t="shared" si="1"/>
        <v>10</v>
      </c>
      <c r="C12" s="47">
        <f>攻击!D12*$B12</f>
        <v>280</v>
      </c>
      <c r="D12" s="47">
        <f>攻击!E12*$B12</f>
        <v>336</v>
      </c>
      <c r="E12" s="47">
        <f>攻击!F12*$B12</f>
        <v>420</v>
      </c>
      <c r="F12" s="47">
        <f>攻击!G12*$B12</f>
        <v>560</v>
      </c>
      <c r="G12" s="47">
        <f>攻击!H12*$B12</f>
        <v>700</v>
      </c>
      <c r="H12" s="47">
        <f>攻击!I12*$B12</f>
        <v>140</v>
      </c>
      <c r="I12" s="47">
        <f>攻击!J12*$B12</f>
        <v>84</v>
      </c>
      <c r="J12" s="47">
        <f>攻击!K12*$B12</f>
        <v>0</v>
      </c>
      <c r="K12" s="47">
        <f>攻击!L12*$B12</f>
        <v>0</v>
      </c>
      <c r="L12" s="47">
        <f>攻击!M12*$B12</f>
        <v>0</v>
      </c>
      <c r="M12" s="47">
        <f>攻击!N12*$B12</f>
        <v>336</v>
      </c>
      <c r="N12" s="47">
        <f>攻击!O12*$B12</f>
        <v>420</v>
      </c>
      <c r="O12" s="47">
        <f>攻击!P12*$B12</f>
        <v>560</v>
      </c>
      <c r="P12" s="47">
        <f>攻击!Q12*$B12</f>
        <v>700</v>
      </c>
      <c r="Q12" s="47">
        <f>攻击!R12*$B12</f>
        <v>840</v>
      </c>
      <c r="R12" s="47">
        <f>攻击!S12*$B12</f>
        <v>980</v>
      </c>
      <c r="S12" s="47">
        <f>攻击!T12*$B12</f>
        <v>0</v>
      </c>
      <c r="T12" s="47">
        <f>攻击!U12*$B12</f>
        <v>84</v>
      </c>
      <c r="U12" s="47">
        <f>攻击!V12*$B12</f>
        <v>0</v>
      </c>
      <c r="V12" s="47">
        <f>攻击!W12*$B12</f>
        <v>14.000000000000002</v>
      </c>
      <c r="W12" s="54">
        <f>攻击!X12</f>
        <v>0</v>
      </c>
      <c r="X12" s="54">
        <f>攻击!Y12</f>
        <v>0</v>
      </c>
      <c r="Y12" s="54">
        <f>攻击!Z12</f>
        <v>0</v>
      </c>
      <c r="Z12" s="54">
        <f>攻击!AA12</f>
        <v>0</v>
      </c>
      <c r="AA12" s="54">
        <f>攻击!AB12</f>
        <v>0</v>
      </c>
      <c r="AB12" s="47">
        <f>攻击!AC12*$B12</f>
        <v>0</v>
      </c>
      <c r="AC12" s="47">
        <f>攻击!AD12*$B12</f>
        <v>0</v>
      </c>
      <c r="AD12" s="47">
        <f>攻击!AE12*$B12</f>
        <v>0</v>
      </c>
      <c r="AE12" s="47">
        <f>攻击!AF12*$B12</f>
        <v>0</v>
      </c>
      <c r="AF12" s="47">
        <f>攻击!AG12*$B12</f>
        <v>0</v>
      </c>
      <c r="AG12" s="47">
        <f>攻击!AH12*$B12</f>
        <v>0</v>
      </c>
      <c r="AH12" s="47">
        <f>攻击!AI12*$B12</f>
        <v>0</v>
      </c>
      <c r="AI12" s="47">
        <f>攻击!AJ12*$B12</f>
        <v>0</v>
      </c>
      <c r="AJ12" s="47">
        <f>攻击!AK12*$B12</f>
        <v>0</v>
      </c>
      <c r="AK12" s="47">
        <f>攻击!AL12*$B12</f>
        <v>0</v>
      </c>
      <c r="AL12" s="54">
        <f>攻击!AM12</f>
        <v>0</v>
      </c>
      <c r="AM12" s="54">
        <f>攻击!AN12</f>
        <v>0</v>
      </c>
      <c r="AN12" s="54">
        <f>攻击!AO12</f>
        <v>0</v>
      </c>
      <c r="AO12" s="54">
        <f>攻击!AP12</f>
        <v>0</v>
      </c>
      <c r="AP12" s="54">
        <f>攻击!AQ12</f>
        <v>0</v>
      </c>
      <c r="AQ12" s="47">
        <f>攻击!AR12*$B12</f>
        <v>56.000000000000007</v>
      </c>
      <c r="AR12" s="20">
        <f t="shared" si="0"/>
        <v>756</v>
      </c>
    </row>
    <row r="13" spans="1:44" s="20" customFormat="1">
      <c r="A13" s="46">
        <v>11</v>
      </c>
      <c r="B13" s="51">
        <f t="shared" si="1"/>
        <v>10</v>
      </c>
      <c r="C13" s="47">
        <f>攻击!D13*$B13</f>
        <v>300</v>
      </c>
      <c r="D13" s="47">
        <f>攻击!E13*$B13</f>
        <v>360</v>
      </c>
      <c r="E13" s="47">
        <f>攻击!F13*$B13</f>
        <v>450</v>
      </c>
      <c r="F13" s="47">
        <f>攻击!G13*$B13</f>
        <v>600</v>
      </c>
      <c r="G13" s="47">
        <f>攻击!H13*$B13</f>
        <v>750</v>
      </c>
      <c r="H13" s="47">
        <f>攻击!I13*$B13</f>
        <v>140</v>
      </c>
      <c r="I13" s="47">
        <f>攻击!J13*$B13</f>
        <v>90</v>
      </c>
      <c r="J13" s="47">
        <f>攻击!K13*$B13</f>
        <v>0</v>
      </c>
      <c r="K13" s="47">
        <f>攻击!L13*$B13</f>
        <v>0</v>
      </c>
      <c r="L13" s="47">
        <f>攻击!M13*$B13</f>
        <v>0</v>
      </c>
      <c r="M13" s="47">
        <f>攻击!N13*$B13</f>
        <v>360</v>
      </c>
      <c r="N13" s="47">
        <f>攻击!O13*$B13</f>
        <v>450</v>
      </c>
      <c r="O13" s="47">
        <f>攻击!P13*$B13</f>
        <v>600</v>
      </c>
      <c r="P13" s="47">
        <f>攻击!Q13*$B13</f>
        <v>750</v>
      </c>
      <c r="Q13" s="47">
        <f>攻击!R13*$B13</f>
        <v>900</v>
      </c>
      <c r="R13" s="47">
        <f>攻击!S13*$B13</f>
        <v>1050</v>
      </c>
      <c r="S13" s="47">
        <f>攻击!T13*$B13</f>
        <v>0</v>
      </c>
      <c r="T13" s="47">
        <f>攻击!U13*$B13</f>
        <v>90</v>
      </c>
      <c r="U13" s="47">
        <f>攻击!V13*$B13</f>
        <v>0</v>
      </c>
      <c r="V13" s="47">
        <f>攻击!W13*$B13</f>
        <v>15</v>
      </c>
      <c r="W13" s="54">
        <f>攻击!X13</f>
        <v>0</v>
      </c>
      <c r="X13" s="54">
        <f>攻击!Y13</f>
        <v>0</v>
      </c>
      <c r="Y13" s="54">
        <f>攻击!Z13</f>
        <v>0</v>
      </c>
      <c r="Z13" s="54">
        <f>攻击!AA13</f>
        <v>0</v>
      </c>
      <c r="AA13" s="54">
        <f>攻击!AB13</f>
        <v>0</v>
      </c>
      <c r="AB13" s="47">
        <f>攻击!AC13*$B13</f>
        <v>0</v>
      </c>
      <c r="AC13" s="47">
        <f>攻击!AD13*$B13</f>
        <v>0</v>
      </c>
      <c r="AD13" s="47">
        <f>攻击!AE13*$B13</f>
        <v>0</v>
      </c>
      <c r="AE13" s="47">
        <f>攻击!AF13*$B13</f>
        <v>0</v>
      </c>
      <c r="AF13" s="47">
        <f>攻击!AG13*$B13</f>
        <v>0</v>
      </c>
      <c r="AG13" s="47">
        <f>攻击!AH13*$B13</f>
        <v>0</v>
      </c>
      <c r="AH13" s="47">
        <f>攻击!AI13*$B13</f>
        <v>0</v>
      </c>
      <c r="AI13" s="47">
        <f>攻击!AJ13*$B13</f>
        <v>0</v>
      </c>
      <c r="AJ13" s="47">
        <f>攻击!AK13*$B13</f>
        <v>0</v>
      </c>
      <c r="AK13" s="47">
        <f>攻击!AL13*$B13</f>
        <v>0</v>
      </c>
      <c r="AL13" s="54">
        <f>攻击!AM13</f>
        <v>0</v>
      </c>
      <c r="AM13" s="54">
        <f>攻击!AN13</f>
        <v>0</v>
      </c>
      <c r="AN13" s="54">
        <f>攻击!AO13</f>
        <v>0</v>
      </c>
      <c r="AO13" s="54">
        <f>攻击!AP13</f>
        <v>0</v>
      </c>
      <c r="AP13" s="54">
        <f>攻击!AQ13</f>
        <v>0</v>
      </c>
      <c r="AQ13" s="47">
        <f>攻击!AR13*$B13</f>
        <v>60</v>
      </c>
      <c r="AR13" s="20">
        <f t="shared" si="0"/>
        <v>810</v>
      </c>
    </row>
    <row r="14" spans="1:44" s="20" customFormat="1">
      <c r="A14" s="46">
        <v>12</v>
      </c>
      <c r="B14" s="51">
        <f t="shared" si="1"/>
        <v>10</v>
      </c>
      <c r="C14" s="47">
        <f>攻击!D14*$B14</f>
        <v>320</v>
      </c>
      <c r="D14" s="47">
        <f>攻击!E14*$B14</f>
        <v>384</v>
      </c>
      <c r="E14" s="47">
        <f>攻击!F14*$B14</f>
        <v>480</v>
      </c>
      <c r="F14" s="47">
        <f>攻击!G14*$B14</f>
        <v>640</v>
      </c>
      <c r="G14" s="47">
        <f>攻击!H14*$B14</f>
        <v>800</v>
      </c>
      <c r="H14" s="47">
        <f>攻击!I14*$B14</f>
        <v>140</v>
      </c>
      <c r="I14" s="47">
        <f>攻击!J14*$B14</f>
        <v>96</v>
      </c>
      <c r="J14" s="47">
        <f>攻击!K14*$B14</f>
        <v>0</v>
      </c>
      <c r="K14" s="47">
        <f>攻击!L14*$B14</f>
        <v>0</v>
      </c>
      <c r="L14" s="47">
        <f>攻击!M14*$B14</f>
        <v>0</v>
      </c>
      <c r="M14" s="47">
        <f>攻击!N14*$B14</f>
        <v>384</v>
      </c>
      <c r="N14" s="47">
        <f>攻击!O14*$B14</f>
        <v>480</v>
      </c>
      <c r="O14" s="47">
        <f>攻击!P14*$B14</f>
        <v>640</v>
      </c>
      <c r="P14" s="47">
        <f>攻击!Q14*$B14</f>
        <v>800</v>
      </c>
      <c r="Q14" s="47">
        <f>攻击!R14*$B14</f>
        <v>960</v>
      </c>
      <c r="R14" s="47">
        <f>攻击!S14*$B14</f>
        <v>1120</v>
      </c>
      <c r="S14" s="47">
        <f>攻击!T14*$B14</f>
        <v>0</v>
      </c>
      <c r="T14" s="47">
        <f>攻击!U14*$B14</f>
        <v>96</v>
      </c>
      <c r="U14" s="47">
        <f>攻击!V14*$B14</f>
        <v>0</v>
      </c>
      <c r="V14" s="47">
        <f>攻击!W14*$B14</f>
        <v>16</v>
      </c>
      <c r="W14" s="54">
        <f>攻击!X14</f>
        <v>0</v>
      </c>
      <c r="X14" s="54">
        <f>攻击!Y14</f>
        <v>0</v>
      </c>
      <c r="Y14" s="54">
        <f>攻击!Z14</f>
        <v>0</v>
      </c>
      <c r="Z14" s="54">
        <f>攻击!AA14</f>
        <v>0</v>
      </c>
      <c r="AA14" s="54">
        <f>攻击!AB14</f>
        <v>0</v>
      </c>
      <c r="AB14" s="47">
        <f>攻击!AC14*$B14</f>
        <v>0</v>
      </c>
      <c r="AC14" s="47">
        <f>攻击!AD14*$B14</f>
        <v>0</v>
      </c>
      <c r="AD14" s="47">
        <f>攻击!AE14*$B14</f>
        <v>0</v>
      </c>
      <c r="AE14" s="47">
        <f>攻击!AF14*$B14</f>
        <v>0</v>
      </c>
      <c r="AF14" s="47">
        <f>攻击!AG14*$B14</f>
        <v>0</v>
      </c>
      <c r="AG14" s="47">
        <f>攻击!AH14*$B14</f>
        <v>0</v>
      </c>
      <c r="AH14" s="47">
        <f>攻击!AI14*$B14</f>
        <v>0</v>
      </c>
      <c r="AI14" s="47">
        <f>攻击!AJ14*$B14</f>
        <v>0</v>
      </c>
      <c r="AJ14" s="47">
        <f>攻击!AK14*$B14</f>
        <v>0</v>
      </c>
      <c r="AK14" s="47">
        <f>攻击!AL14*$B14</f>
        <v>0</v>
      </c>
      <c r="AL14" s="54">
        <f>攻击!AM14</f>
        <v>0</v>
      </c>
      <c r="AM14" s="54">
        <f>攻击!AN14</f>
        <v>0</v>
      </c>
      <c r="AN14" s="54">
        <f>攻击!AO14</f>
        <v>0</v>
      </c>
      <c r="AO14" s="54">
        <f>攻击!AP14</f>
        <v>0</v>
      </c>
      <c r="AP14" s="54">
        <f>攻击!AQ14</f>
        <v>0</v>
      </c>
      <c r="AQ14" s="47">
        <f>攻击!AR14*$B14</f>
        <v>64</v>
      </c>
      <c r="AR14" s="20">
        <f t="shared" si="0"/>
        <v>864</v>
      </c>
    </row>
    <row r="15" spans="1:44" s="20" customFormat="1">
      <c r="A15" s="46">
        <v>13</v>
      </c>
      <c r="B15" s="51">
        <f t="shared" si="1"/>
        <v>10</v>
      </c>
      <c r="C15" s="47">
        <f>攻击!D15*$B15</f>
        <v>340</v>
      </c>
      <c r="D15" s="47">
        <f>攻击!E15*$B15</f>
        <v>408</v>
      </c>
      <c r="E15" s="47">
        <f>攻击!F15*$B15</f>
        <v>510</v>
      </c>
      <c r="F15" s="47">
        <f>攻击!G15*$B15</f>
        <v>680</v>
      </c>
      <c r="G15" s="47">
        <f>攻击!H15*$B15</f>
        <v>850</v>
      </c>
      <c r="H15" s="47">
        <f>攻击!I15*$B15</f>
        <v>140</v>
      </c>
      <c r="I15" s="47">
        <f>攻击!J15*$B15</f>
        <v>102</v>
      </c>
      <c r="J15" s="47">
        <f>攻击!K15*$B15</f>
        <v>0</v>
      </c>
      <c r="K15" s="47">
        <f>攻击!L15*$B15</f>
        <v>0</v>
      </c>
      <c r="L15" s="47">
        <f>攻击!M15*$B15</f>
        <v>0</v>
      </c>
      <c r="M15" s="47">
        <f>攻击!N15*$B15</f>
        <v>408</v>
      </c>
      <c r="N15" s="47">
        <f>攻击!O15*$B15</f>
        <v>510</v>
      </c>
      <c r="O15" s="47">
        <f>攻击!P15*$B15</f>
        <v>680</v>
      </c>
      <c r="P15" s="47">
        <f>攻击!Q15*$B15</f>
        <v>850</v>
      </c>
      <c r="Q15" s="47">
        <f>攻击!R15*$B15</f>
        <v>1020</v>
      </c>
      <c r="R15" s="47">
        <f>攻击!S15*$B15</f>
        <v>1190</v>
      </c>
      <c r="S15" s="47">
        <f>攻击!T15*$B15</f>
        <v>0</v>
      </c>
      <c r="T15" s="47">
        <f>攻击!U15*$B15</f>
        <v>102</v>
      </c>
      <c r="U15" s="47">
        <f>攻击!V15*$B15</f>
        <v>0</v>
      </c>
      <c r="V15" s="47">
        <f>攻击!W15*$B15</f>
        <v>17</v>
      </c>
      <c r="W15" s="54">
        <f>攻击!X15</f>
        <v>0</v>
      </c>
      <c r="X15" s="54">
        <f>攻击!Y15</f>
        <v>0</v>
      </c>
      <c r="Y15" s="54">
        <f>攻击!Z15</f>
        <v>0</v>
      </c>
      <c r="Z15" s="54">
        <f>攻击!AA15</f>
        <v>0</v>
      </c>
      <c r="AA15" s="54">
        <f>攻击!AB15</f>
        <v>0</v>
      </c>
      <c r="AB15" s="47">
        <f>攻击!AC15*$B15</f>
        <v>0</v>
      </c>
      <c r="AC15" s="47">
        <f>攻击!AD15*$B15</f>
        <v>0</v>
      </c>
      <c r="AD15" s="47">
        <f>攻击!AE15*$B15</f>
        <v>0</v>
      </c>
      <c r="AE15" s="47">
        <f>攻击!AF15*$B15</f>
        <v>0</v>
      </c>
      <c r="AF15" s="47">
        <f>攻击!AG15*$B15</f>
        <v>0</v>
      </c>
      <c r="AG15" s="47">
        <f>攻击!AH15*$B15</f>
        <v>0</v>
      </c>
      <c r="AH15" s="47">
        <f>攻击!AI15*$B15</f>
        <v>0</v>
      </c>
      <c r="AI15" s="47">
        <f>攻击!AJ15*$B15</f>
        <v>0</v>
      </c>
      <c r="AJ15" s="47">
        <f>攻击!AK15*$B15</f>
        <v>0</v>
      </c>
      <c r="AK15" s="47">
        <f>攻击!AL15*$B15</f>
        <v>0</v>
      </c>
      <c r="AL15" s="54">
        <f>攻击!AM15</f>
        <v>0</v>
      </c>
      <c r="AM15" s="54">
        <f>攻击!AN15</f>
        <v>0</v>
      </c>
      <c r="AN15" s="54">
        <f>攻击!AO15</f>
        <v>0</v>
      </c>
      <c r="AO15" s="54">
        <f>攻击!AP15</f>
        <v>0</v>
      </c>
      <c r="AP15" s="54">
        <f>攻击!AQ15</f>
        <v>0</v>
      </c>
      <c r="AQ15" s="47">
        <f>攻击!AR15*$B15</f>
        <v>68</v>
      </c>
      <c r="AR15" s="20">
        <f t="shared" si="0"/>
        <v>918</v>
      </c>
    </row>
    <row r="16" spans="1:44" s="20" customFormat="1">
      <c r="A16" s="46">
        <v>14</v>
      </c>
      <c r="B16" s="51">
        <f t="shared" si="1"/>
        <v>10</v>
      </c>
      <c r="C16" s="47">
        <f>攻击!D16*$B16</f>
        <v>360</v>
      </c>
      <c r="D16" s="47">
        <f>攻击!E16*$B16</f>
        <v>431.99999999999994</v>
      </c>
      <c r="E16" s="47">
        <f>攻击!F16*$B16</f>
        <v>540</v>
      </c>
      <c r="F16" s="47">
        <f>攻击!G16*$B16</f>
        <v>720</v>
      </c>
      <c r="G16" s="47">
        <f>攻击!H16*$B16</f>
        <v>900</v>
      </c>
      <c r="H16" s="47">
        <f>攻击!I16*$B16</f>
        <v>140</v>
      </c>
      <c r="I16" s="47">
        <f>攻击!J16*$B16</f>
        <v>107.99999999999999</v>
      </c>
      <c r="J16" s="47">
        <f>攻击!K16*$B16</f>
        <v>0</v>
      </c>
      <c r="K16" s="47">
        <f>攻击!L16*$B16</f>
        <v>0</v>
      </c>
      <c r="L16" s="47">
        <f>攻击!M16*$B16</f>
        <v>0</v>
      </c>
      <c r="M16" s="47">
        <f>攻击!N16*$B16</f>
        <v>431.99999999999994</v>
      </c>
      <c r="N16" s="47">
        <f>攻击!O16*$B16</f>
        <v>540</v>
      </c>
      <c r="O16" s="47">
        <f>攻击!P16*$B16</f>
        <v>720</v>
      </c>
      <c r="P16" s="47">
        <f>攻击!Q16*$B16</f>
        <v>900</v>
      </c>
      <c r="Q16" s="47">
        <f>攻击!R16*$B16</f>
        <v>1080</v>
      </c>
      <c r="R16" s="47">
        <f>攻击!S16*$B16</f>
        <v>1260</v>
      </c>
      <c r="S16" s="47">
        <f>攻击!T16*$B16</f>
        <v>0</v>
      </c>
      <c r="T16" s="47">
        <f>攻击!U16*$B16</f>
        <v>107.99999999999999</v>
      </c>
      <c r="U16" s="47">
        <f>攻击!V16*$B16</f>
        <v>0</v>
      </c>
      <c r="V16" s="47">
        <f>攻击!W16*$B16</f>
        <v>18</v>
      </c>
      <c r="W16" s="54">
        <f>攻击!X16</f>
        <v>0</v>
      </c>
      <c r="X16" s="54">
        <f>攻击!Y16</f>
        <v>0</v>
      </c>
      <c r="Y16" s="54">
        <f>攻击!Z16</f>
        <v>0</v>
      </c>
      <c r="Z16" s="54">
        <f>攻击!AA16</f>
        <v>0</v>
      </c>
      <c r="AA16" s="54">
        <f>攻击!AB16</f>
        <v>0</v>
      </c>
      <c r="AB16" s="47">
        <f>攻击!AC16*$B16</f>
        <v>0</v>
      </c>
      <c r="AC16" s="47">
        <f>攻击!AD16*$B16</f>
        <v>0</v>
      </c>
      <c r="AD16" s="47">
        <f>攻击!AE16*$B16</f>
        <v>0</v>
      </c>
      <c r="AE16" s="47">
        <f>攻击!AF16*$B16</f>
        <v>0</v>
      </c>
      <c r="AF16" s="47">
        <f>攻击!AG16*$B16</f>
        <v>0</v>
      </c>
      <c r="AG16" s="47">
        <f>攻击!AH16*$B16</f>
        <v>0</v>
      </c>
      <c r="AH16" s="47">
        <f>攻击!AI16*$B16</f>
        <v>0</v>
      </c>
      <c r="AI16" s="47">
        <f>攻击!AJ16*$B16</f>
        <v>0</v>
      </c>
      <c r="AJ16" s="47">
        <f>攻击!AK16*$B16</f>
        <v>0</v>
      </c>
      <c r="AK16" s="47">
        <f>攻击!AL16*$B16</f>
        <v>0</v>
      </c>
      <c r="AL16" s="54">
        <f>攻击!AM16</f>
        <v>0</v>
      </c>
      <c r="AM16" s="54">
        <f>攻击!AN16</f>
        <v>0</v>
      </c>
      <c r="AN16" s="54">
        <f>攻击!AO16</f>
        <v>0</v>
      </c>
      <c r="AO16" s="54">
        <f>攻击!AP16</f>
        <v>0</v>
      </c>
      <c r="AP16" s="54">
        <f>攻击!AQ16</f>
        <v>0</v>
      </c>
      <c r="AQ16" s="47">
        <f>攻击!AR16*$B16</f>
        <v>72</v>
      </c>
      <c r="AR16" s="20">
        <f t="shared" si="0"/>
        <v>972</v>
      </c>
    </row>
    <row r="17" spans="1:44" s="20" customFormat="1">
      <c r="A17" s="46">
        <v>15</v>
      </c>
      <c r="B17" s="51">
        <f t="shared" si="1"/>
        <v>10</v>
      </c>
      <c r="C17" s="47">
        <f>攻击!D17*$B17</f>
        <v>380</v>
      </c>
      <c r="D17" s="47">
        <f>攻击!E17*$B17</f>
        <v>456</v>
      </c>
      <c r="E17" s="47">
        <f>攻击!F17*$B17</f>
        <v>570</v>
      </c>
      <c r="F17" s="47">
        <f>攻击!G17*$B17</f>
        <v>760</v>
      </c>
      <c r="G17" s="47">
        <f>攻击!H17*$B17</f>
        <v>950</v>
      </c>
      <c r="H17" s="47">
        <f>攻击!I17*$B17</f>
        <v>190</v>
      </c>
      <c r="I17" s="47">
        <f>攻击!J17*$B17</f>
        <v>114</v>
      </c>
      <c r="J17" s="47">
        <f>攻击!K17*$B17</f>
        <v>228</v>
      </c>
      <c r="K17" s="47">
        <f>攻击!L17*$B17</f>
        <v>0</v>
      </c>
      <c r="L17" s="47">
        <f>攻击!M17*$B17</f>
        <v>0</v>
      </c>
      <c r="M17" s="47">
        <f>攻击!N17*$B17</f>
        <v>456</v>
      </c>
      <c r="N17" s="47">
        <f>攻击!O17*$B17</f>
        <v>570</v>
      </c>
      <c r="O17" s="47">
        <f>攻击!P17*$B17</f>
        <v>760</v>
      </c>
      <c r="P17" s="47">
        <f>攻击!Q17*$B17</f>
        <v>950</v>
      </c>
      <c r="Q17" s="47">
        <f>攻击!R17*$B17</f>
        <v>1140</v>
      </c>
      <c r="R17" s="47">
        <f>攻击!S17*$B17</f>
        <v>1330</v>
      </c>
      <c r="S17" s="47">
        <f>攻击!T17*$B17</f>
        <v>0</v>
      </c>
      <c r="T17" s="47">
        <f>攻击!U17*$B17</f>
        <v>114</v>
      </c>
      <c r="U17" s="47">
        <f>攻击!V17*$B17</f>
        <v>0</v>
      </c>
      <c r="V17" s="47">
        <f>攻击!W17*$B17</f>
        <v>19</v>
      </c>
      <c r="W17" s="54">
        <f>攻击!X17</f>
        <v>0</v>
      </c>
      <c r="X17" s="54">
        <f>攻击!Y17</f>
        <v>0</v>
      </c>
      <c r="Y17" s="54">
        <f>攻击!Z17</f>
        <v>0</v>
      </c>
      <c r="Z17" s="54">
        <f>攻击!AA17</f>
        <v>0</v>
      </c>
      <c r="AA17" s="54">
        <f>攻击!AB17</f>
        <v>0</v>
      </c>
      <c r="AB17" s="47">
        <f>攻击!AC17*$B17</f>
        <v>380</v>
      </c>
      <c r="AC17" s="47">
        <f>攻击!AD17*$B17</f>
        <v>456</v>
      </c>
      <c r="AD17" s="47">
        <f>攻击!AE17*$B17</f>
        <v>570</v>
      </c>
      <c r="AE17" s="47">
        <f>攻击!AF17*$B17</f>
        <v>760</v>
      </c>
      <c r="AF17" s="47">
        <f>攻击!AG17*$B17</f>
        <v>950</v>
      </c>
      <c r="AG17" s="47">
        <f>攻击!AH17*$B17</f>
        <v>0</v>
      </c>
      <c r="AH17" s="47">
        <f>攻击!AI17*$B17</f>
        <v>76</v>
      </c>
      <c r="AI17" s="47">
        <f>攻击!AJ17*$B17</f>
        <v>0</v>
      </c>
      <c r="AJ17" s="47">
        <f>攻击!AK17*$B17</f>
        <v>11.399999999999999</v>
      </c>
      <c r="AK17" s="47">
        <f>攻击!AL17*$B17</f>
        <v>0</v>
      </c>
      <c r="AL17" s="54">
        <f>攻击!AM17</f>
        <v>0</v>
      </c>
      <c r="AM17" s="54">
        <f>攻击!AN17</f>
        <v>0</v>
      </c>
      <c r="AN17" s="54">
        <f>攻击!AO17</f>
        <v>0</v>
      </c>
      <c r="AO17" s="54">
        <f>攻击!AP17</f>
        <v>0</v>
      </c>
      <c r="AP17" s="54">
        <f>攻击!AQ17</f>
        <v>0</v>
      </c>
      <c r="AQ17" s="47">
        <f>攻击!AR17*$B17</f>
        <v>76</v>
      </c>
      <c r="AR17" s="20">
        <f t="shared" si="0"/>
        <v>1406</v>
      </c>
    </row>
    <row r="18" spans="1:44" s="20" customFormat="1">
      <c r="A18" s="46">
        <v>16</v>
      </c>
      <c r="B18" s="51">
        <f t="shared" si="1"/>
        <v>10</v>
      </c>
      <c r="C18" s="47">
        <f>攻击!D18*$B18</f>
        <v>400</v>
      </c>
      <c r="D18" s="47">
        <f>攻击!E18*$B18</f>
        <v>480</v>
      </c>
      <c r="E18" s="47">
        <f>攻击!F18*$B18</f>
        <v>600</v>
      </c>
      <c r="F18" s="47">
        <f>攻击!G18*$B18</f>
        <v>800</v>
      </c>
      <c r="G18" s="47">
        <f>攻击!H18*$B18</f>
        <v>1000</v>
      </c>
      <c r="H18" s="47">
        <f>攻击!I18*$B18</f>
        <v>190</v>
      </c>
      <c r="I18" s="47">
        <f>攻击!J18*$B18</f>
        <v>120</v>
      </c>
      <c r="J18" s="47">
        <f>攻击!K18*$B18</f>
        <v>240</v>
      </c>
      <c r="K18" s="47">
        <f>攻击!L18*$B18</f>
        <v>0</v>
      </c>
      <c r="L18" s="47">
        <f>攻击!M18*$B18</f>
        <v>0</v>
      </c>
      <c r="M18" s="47">
        <f>攻击!N18*$B18</f>
        <v>480</v>
      </c>
      <c r="N18" s="47">
        <f>攻击!O18*$B18</f>
        <v>600</v>
      </c>
      <c r="O18" s="47">
        <f>攻击!P18*$B18</f>
        <v>800</v>
      </c>
      <c r="P18" s="47">
        <f>攻击!Q18*$B18</f>
        <v>1000</v>
      </c>
      <c r="Q18" s="47">
        <f>攻击!R18*$B18</f>
        <v>1200</v>
      </c>
      <c r="R18" s="47">
        <f>攻击!S18*$B18</f>
        <v>1400</v>
      </c>
      <c r="S18" s="47">
        <f>攻击!T18*$B18</f>
        <v>0</v>
      </c>
      <c r="T18" s="47">
        <f>攻击!U18*$B18</f>
        <v>120</v>
      </c>
      <c r="U18" s="47">
        <f>攻击!V18*$B18</f>
        <v>0</v>
      </c>
      <c r="V18" s="47">
        <f>攻击!W18*$B18</f>
        <v>20</v>
      </c>
      <c r="W18" s="54">
        <f>攻击!X18</f>
        <v>0</v>
      </c>
      <c r="X18" s="54">
        <f>攻击!Y18</f>
        <v>0</v>
      </c>
      <c r="Y18" s="54">
        <f>攻击!Z18</f>
        <v>0</v>
      </c>
      <c r="Z18" s="54">
        <f>攻击!AA18</f>
        <v>0</v>
      </c>
      <c r="AA18" s="54">
        <f>攻击!AB18</f>
        <v>0</v>
      </c>
      <c r="AB18" s="47">
        <f>攻击!AC18*$B18</f>
        <v>400</v>
      </c>
      <c r="AC18" s="47">
        <f>攻击!AD18*$B18</f>
        <v>480</v>
      </c>
      <c r="AD18" s="47">
        <f>攻击!AE18*$B18</f>
        <v>600</v>
      </c>
      <c r="AE18" s="47">
        <f>攻击!AF18*$B18</f>
        <v>800</v>
      </c>
      <c r="AF18" s="47">
        <f>攻击!AG18*$B18</f>
        <v>1000</v>
      </c>
      <c r="AG18" s="47">
        <f>攻击!AH18*$B18</f>
        <v>0</v>
      </c>
      <c r="AH18" s="47">
        <f>攻击!AI18*$B18</f>
        <v>80</v>
      </c>
      <c r="AI18" s="47">
        <f>攻击!AJ18*$B18</f>
        <v>0</v>
      </c>
      <c r="AJ18" s="47">
        <f>攻击!AK18*$B18</f>
        <v>12</v>
      </c>
      <c r="AK18" s="47">
        <f>攻击!AL18*$B18</f>
        <v>0</v>
      </c>
      <c r="AL18" s="54">
        <f>攻击!AM18</f>
        <v>0</v>
      </c>
      <c r="AM18" s="54">
        <f>攻击!AN18</f>
        <v>0</v>
      </c>
      <c r="AN18" s="54">
        <f>攻击!AO18</f>
        <v>0</v>
      </c>
      <c r="AO18" s="54">
        <f>攻击!AP18</f>
        <v>0</v>
      </c>
      <c r="AP18" s="54">
        <f>攻击!AQ18</f>
        <v>0</v>
      </c>
      <c r="AQ18" s="47">
        <f>攻击!AR18*$B18</f>
        <v>80</v>
      </c>
      <c r="AR18" s="20">
        <f t="shared" si="0"/>
        <v>1480</v>
      </c>
    </row>
    <row r="19" spans="1:44" s="20" customFormat="1">
      <c r="A19" s="46">
        <v>17</v>
      </c>
      <c r="B19" s="51">
        <f t="shared" si="1"/>
        <v>10</v>
      </c>
      <c r="C19" s="47">
        <f>攻击!D19*$B19</f>
        <v>420</v>
      </c>
      <c r="D19" s="47">
        <f>攻击!E19*$B19</f>
        <v>504</v>
      </c>
      <c r="E19" s="47">
        <f>攻击!F19*$B19</f>
        <v>630</v>
      </c>
      <c r="F19" s="47">
        <f>攻击!G19*$B19</f>
        <v>840</v>
      </c>
      <c r="G19" s="47">
        <f>攻击!H19*$B19</f>
        <v>1050</v>
      </c>
      <c r="H19" s="47">
        <f>攻击!I19*$B19</f>
        <v>190</v>
      </c>
      <c r="I19" s="47">
        <f>攻击!J19*$B19</f>
        <v>126</v>
      </c>
      <c r="J19" s="47">
        <f>攻击!K19*$B19</f>
        <v>252</v>
      </c>
      <c r="K19" s="47">
        <f>攻击!L19*$B19</f>
        <v>0</v>
      </c>
      <c r="L19" s="47">
        <f>攻击!M19*$B19</f>
        <v>0</v>
      </c>
      <c r="M19" s="47">
        <f>攻击!N19*$B19</f>
        <v>504</v>
      </c>
      <c r="N19" s="47">
        <f>攻击!O19*$B19</f>
        <v>630</v>
      </c>
      <c r="O19" s="47">
        <f>攻击!P19*$B19</f>
        <v>840</v>
      </c>
      <c r="P19" s="47">
        <f>攻击!Q19*$B19</f>
        <v>1050</v>
      </c>
      <c r="Q19" s="47">
        <f>攻击!R19*$B19</f>
        <v>1260</v>
      </c>
      <c r="R19" s="47">
        <f>攻击!S19*$B19</f>
        <v>1470</v>
      </c>
      <c r="S19" s="47">
        <f>攻击!T19*$B19</f>
        <v>0</v>
      </c>
      <c r="T19" s="47">
        <f>攻击!U19*$B19</f>
        <v>126</v>
      </c>
      <c r="U19" s="47">
        <f>攻击!V19*$B19</f>
        <v>0</v>
      </c>
      <c r="V19" s="47">
        <f>攻击!W19*$B19</f>
        <v>21</v>
      </c>
      <c r="W19" s="54">
        <f>攻击!X19</f>
        <v>0</v>
      </c>
      <c r="X19" s="54">
        <f>攻击!Y19</f>
        <v>0</v>
      </c>
      <c r="Y19" s="54">
        <f>攻击!Z19</f>
        <v>0</v>
      </c>
      <c r="Z19" s="54">
        <f>攻击!AA19</f>
        <v>0</v>
      </c>
      <c r="AA19" s="54">
        <f>攻击!AB19</f>
        <v>0</v>
      </c>
      <c r="AB19" s="47">
        <f>攻击!AC19*$B19</f>
        <v>420</v>
      </c>
      <c r="AC19" s="47">
        <f>攻击!AD19*$B19</f>
        <v>504</v>
      </c>
      <c r="AD19" s="47">
        <f>攻击!AE19*$B19</f>
        <v>630</v>
      </c>
      <c r="AE19" s="47">
        <f>攻击!AF19*$B19</f>
        <v>840</v>
      </c>
      <c r="AF19" s="47">
        <f>攻击!AG19*$B19</f>
        <v>1050</v>
      </c>
      <c r="AG19" s="47">
        <f>攻击!AH19*$B19</f>
        <v>0</v>
      </c>
      <c r="AH19" s="47">
        <f>攻击!AI19*$B19</f>
        <v>84</v>
      </c>
      <c r="AI19" s="47">
        <f>攻击!AJ19*$B19</f>
        <v>0</v>
      </c>
      <c r="AJ19" s="47">
        <f>攻击!AK19*$B19</f>
        <v>12.6</v>
      </c>
      <c r="AK19" s="47">
        <f>攻击!AL19*$B19</f>
        <v>0</v>
      </c>
      <c r="AL19" s="54">
        <f>攻击!AM19</f>
        <v>0</v>
      </c>
      <c r="AM19" s="54">
        <f>攻击!AN19</f>
        <v>0</v>
      </c>
      <c r="AN19" s="54">
        <f>攻击!AO19</f>
        <v>0</v>
      </c>
      <c r="AO19" s="54">
        <f>攻击!AP19</f>
        <v>0</v>
      </c>
      <c r="AP19" s="54">
        <f>攻击!AQ19</f>
        <v>0</v>
      </c>
      <c r="AQ19" s="47">
        <f>攻击!AR19*$B19</f>
        <v>84</v>
      </c>
      <c r="AR19" s="20">
        <f t="shared" si="0"/>
        <v>1554</v>
      </c>
    </row>
    <row r="20" spans="1:44" s="20" customFormat="1">
      <c r="A20" s="46">
        <v>18</v>
      </c>
      <c r="B20" s="51">
        <f t="shared" si="1"/>
        <v>10</v>
      </c>
      <c r="C20" s="47">
        <f>攻击!D20*$B20</f>
        <v>440</v>
      </c>
      <c r="D20" s="47">
        <f>攻击!E20*$B20</f>
        <v>528</v>
      </c>
      <c r="E20" s="47">
        <f>攻击!F20*$B20</f>
        <v>660</v>
      </c>
      <c r="F20" s="47">
        <f>攻击!G20*$B20</f>
        <v>880</v>
      </c>
      <c r="G20" s="47">
        <f>攻击!H20*$B20</f>
        <v>1100</v>
      </c>
      <c r="H20" s="47">
        <f>攻击!I20*$B20</f>
        <v>190</v>
      </c>
      <c r="I20" s="47">
        <f>攻击!J20*$B20</f>
        <v>132</v>
      </c>
      <c r="J20" s="47">
        <f>攻击!K20*$B20</f>
        <v>264</v>
      </c>
      <c r="K20" s="47">
        <f>攻击!L20*$B20</f>
        <v>0</v>
      </c>
      <c r="L20" s="47">
        <f>攻击!M20*$B20</f>
        <v>0</v>
      </c>
      <c r="M20" s="47">
        <f>攻击!N20*$B20</f>
        <v>528</v>
      </c>
      <c r="N20" s="47">
        <f>攻击!O20*$B20</f>
        <v>660</v>
      </c>
      <c r="O20" s="47">
        <f>攻击!P20*$B20</f>
        <v>880</v>
      </c>
      <c r="P20" s="47">
        <f>攻击!Q20*$B20</f>
        <v>1100</v>
      </c>
      <c r="Q20" s="47">
        <f>攻击!R20*$B20</f>
        <v>1320</v>
      </c>
      <c r="R20" s="47">
        <f>攻击!S20*$B20</f>
        <v>1540</v>
      </c>
      <c r="S20" s="47">
        <f>攻击!T20*$B20</f>
        <v>0</v>
      </c>
      <c r="T20" s="47">
        <f>攻击!U20*$B20</f>
        <v>132</v>
      </c>
      <c r="U20" s="47">
        <f>攻击!V20*$B20</f>
        <v>0</v>
      </c>
      <c r="V20" s="47">
        <f>攻击!W20*$B20</f>
        <v>22</v>
      </c>
      <c r="W20" s="54">
        <f>攻击!X20</f>
        <v>0</v>
      </c>
      <c r="X20" s="54">
        <f>攻击!Y20</f>
        <v>0</v>
      </c>
      <c r="Y20" s="54">
        <f>攻击!Z20</f>
        <v>0</v>
      </c>
      <c r="Z20" s="54">
        <f>攻击!AA20</f>
        <v>0</v>
      </c>
      <c r="AA20" s="54">
        <f>攻击!AB20</f>
        <v>0</v>
      </c>
      <c r="AB20" s="47">
        <f>攻击!AC20*$B20</f>
        <v>440</v>
      </c>
      <c r="AC20" s="47">
        <f>攻击!AD20*$B20</f>
        <v>528</v>
      </c>
      <c r="AD20" s="47">
        <f>攻击!AE20*$B20</f>
        <v>660</v>
      </c>
      <c r="AE20" s="47">
        <f>攻击!AF20*$B20</f>
        <v>880</v>
      </c>
      <c r="AF20" s="47">
        <f>攻击!AG20*$B20</f>
        <v>1100</v>
      </c>
      <c r="AG20" s="47">
        <f>攻击!AH20*$B20</f>
        <v>0</v>
      </c>
      <c r="AH20" s="47">
        <f>攻击!AI20*$B20</f>
        <v>88</v>
      </c>
      <c r="AI20" s="47">
        <f>攻击!AJ20*$B20</f>
        <v>0</v>
      </c>
      <c r="AJ20" s="47">
        <f>攻击!AK20*$B20</f>
        <v>13.2</v>
      </c>
      <c r="AK20" s="47">
        <f>攻击!AL20*$B20</f>
        <v>0</v>
      </c>
      <c r="AL20" s="54">
        <f>攻击!AM20</f>
        <v>0</v>
      </c>
      <c r="AM20" s="54">
        <f>攻击!AN20</f>
        <v>0</v>
      </c>
      <c r="AN20" s="54">
        <f>攻击!AO20</f>
        <v>0</v>
      </c>
      <c r="AO20" s="54">
        <f>攻击!AP20</f>
        <v>0</v>
      </c>
      <c r="AP20" s="54">
        <f>攻击!AQ20</f>
        <v>0</v>
      </c>
      <c r="AQ20" s="47">
        <f>攻击!AR20*$B20</f>
        <v>88</v>
      </c>
      <c r="AR20" s="20">
        <f t="shared" si="0"/>
        <v>1628</v>
      </c>
    </row>
    <row r="21" spans="1:44" s="20" customFormat="1">
      <c r="A21" s="46">
        <v>19</v>
      </c>
      <c r="B21" s="51">
        <f t="shared" si="1"/>
        <v>10</v>
      </c>
      <c r="C21" s="47">
        <f>攻击!D21*$B21</f>
        <v>460</v>
      </c>
      <c r="D21" s="47">
        <f>攻击!E21*$B21</f>
        <v>552</v>
      </c>
      <c r="E21" s="47">
        <f>攻击!F21*$B21</f>
        <v>690</v>
      </c>
      <c r="F21" s="47">
        <f>攻击!G21*$B21</f>
        <v>920</v>
      </c>
      <c r="G21" s="47">
        <f>攻击!H21*$B21</f>
        <v>1150</v>
      </c>
      <c r="H21" s="47">
        <f>攻击!I21*$B21</f>
        <v>190</v>
      </c>
      <c r="I21" s="47">
        <f>攻击!J21*$B21</f>
        <v>138</v>
      </c>
      <c r="J21" s="47">
        <f>攻击!K21*$B21</f>
        <v>276</v>
      </c>
      <c r="K21" s="47">
        <f>攻击!L21*$B21</f>
        <v>0</v>
      </c>
      <c r="L21" s="47">
        <f>攻击!M21*$B21</f>
        <v>0</v>
      </c>
      <c r="M21" s="47">
        <f>攻击!N21*$B21</f>
        <v>552</v>
      </c>
      <c r="N21" s="47">
        <f>攻击!O21*$B21</f>
        <v>690</v>
      </c>
      <c r="O21" s="47">
        <f>攻击!P21*$B21</f>
        <v>920</v>
      </c>
      <c r="P21" s="47">
        <f>攻击!Q21*$B21</f>
        <v>1150</v>
      </c>
      <c r="Q21" s="47">
        <f>攻击!R21*$B21</f>
        <v>1380</v>
      </c>
      <c r="R21" s="47">
        <f>攻击!S21*$B21</f>
        <v>1610</v>
      </c>
      <c r="S21" s="47">
        <f>攻击!T21*$B21</f>
        <v>0</v>
      </c>
      <c r="T21" s="47">
        <f>攻击!U21*$B21</f>
        <v>138</v>
      </c>
      <c r="U21" s="47">
        <f>攻击!V21*$B21</f>
        <v>0</v>
      </c>
      <c r="V21" s="47">
        <f>攻击!W21*$B21</f>
        <v>23.000000000000004</v>
      </c>
      <c r="W21" s="54">
        <f>攻击!X21</f>
        <v>0</v>
      </c>
      <c r="X21" s="54">
        <f>攻击!Y21</f>
        <v>0</v>
      </c>
      <c r="Y21" s="54">
        <f>攻击!Z21</f>
        <v>0</v>
      </c>
      <c r="Z21" s="54">
        <f>攻击!AA21</f>
        <v>0</v>
      </c>
      <c r="AA21" s="54">
        <f>攻击!AB21</f>
        <v>0</v>
      </c>
      <c r="AB21" s="47">
        <f>攻击!AC21*$B21</f>
        <v>460</v>
      </c>
      <c r="AC21" s="47">
        <f>攻击!AD21*$B21</f>
        <v>552</v>
      </c>
      <c r="AD21" s="47">
        <f>攻击!AE21*$B21</f>
        <v>690</v>
      </c>
      <c r="AE21" s="47">
        <f>攻击!AF21*$B21</f>
        <v>920</v>
      </c>
      <c r="AF21" s="47">
        <f>攻击!AG21*$B21</f>
        <v>1150</v>
      </c>
      <c r="AG21" s="47">
        <f>攻击!AH21*$B21</f>
        <v>0</v>
      </c>
      <c r="AH21" s="47">
        <f>攻击!AI21*$B21</f>
        <v>92.000000000000014</v>
      </c>
      <c r="AI21" s="47">
        <f>攻击!AJ21*$B21</f>
        <v>0</v>
      </c>
      <c r="AJ21" s="47">
        <f>攻击!AK21*$B21</f>
        <v>13.799999999999999</v>
      </c>
      <c r="AK21" s="47">
        <f>攻击!AL21*$B21</f>
        <v>0</v>
      </c>
      <c r="AL21" s="54">
        <f>攻击!AM21</f>
        <v>0</v>
      </c>
      <c r="AM21" s="54">
        <f>攻击!AN21</f>
        <v>0</v>
      </c>
      <c r="AN21" s="54">
        <f>攻击!AO21</f>
        <v>0</v>
      </c>
      <c r="AO21" s="54">
        <f>攻击!AP21</f>
        <v>0</v>
      </c>
      <c r="AP21" s="54">
        <f>攻击!AQ21</f>
        <v>0</v>
      </c>
      <c r="AQ21" s="47">
        <f>攻击!AR21*$B21</f>
        <v>92.000000000000014</v>
      </c>
      <c r="AR21" s="20">
        <f t="shared" si="0"/>
        <v>1702</v>
      </c>
    </row>
    <row r="22" spans="1:44" s="20" customFormat="1">
      <c r="A22" s="46">
        <v>20</v>
      </c>
      <c r="B22" s="51">
        <f t="shared" si="1"/>
        <v>10</v>
      </c>
      <c r="C22" s="47">
        <f>攻击!D22*$B22</f>
        <v>480</v>
      </c>
      <c r="D22" s="47">
        <f>攻击!E22*$B22</f>
        <v>576</v>
      </c>
      <c r="E22" s="47">
        <f>攻击!F22*$B22</f>
        <v>720</v>
      </c>
      <c r="F22" s="47">
        <f>攻击!G22*$B22</f>
        <v>960</v>
      </c>
      <c r="G22" s="47">
        <f>攻击!H22*$B22</f>
        <v>1200</v>
      </c>
      <c r="H22" s="47">
        <f>攻击!I22*$B22</f>
        <v>240</v>
      </c>
      <c r="I22" s="47">
        <f>攻击!J22*$B22</f>
        <v>144</v>
      </c>
      <c r="J22" s="47">
        <f>攻击!K22*$B22</f>
        <v>288</v>
      </c>
      <c r="K22" s="47">
        <f>攻击!L22*$B22</f>
        <v>0</v>
      </c>
      <c r="L22" s="47">
        <f>攻击!M22*$B22</f>
        <v>0</v>
      </c>
      <c r="M22" s="47">
        <f>攻击!N22*$B22</f>
        <v>576</v>
      </c>
      <c r="N22" s="47">
        <f>攻击!O22*$B22</f>
        <v>720</v>
      </c>
      <c r="O22" s="47">
        <f>攻击!P22*$B22</f>
        <v>960</v>
      </c>
      <c r="P22" s="47">
        <f>攻击!Q22*$B22</f>
        <v>1200</v>
      </c>
      <c r="Q22" s="47">
        <f>攻击!R22*$B22</f>
        <v>1440</v>
      </c>
      <c r="R22" s="47">
        <f>攻击!S22*$B22</f>
        <v>1680</v>
      </c>
      <c r="S22" s="47">
        <f>攻击!T22*$B22</f>
        <v>0</v>
      </c>
      <c r="T22" s="47">
        <f>攻击!U22*$B22</f>
        <v>144</v>
      </c>
      <c r="U22" s="47">
        <f>攻击!V22*$B22</f>
        <v>0</v>
      </c>
      <c r="V22" s="47">
        <f>攻击!W22*$B22</f>
        <v>24.000000000000004</v>
      </c>
      <c r="W22" s="54">
        <f>攻击!X22</f>
        <v>0</v>
      </c>
      <c r="X22" s="54">
        <f>攻击!Y22</f>
        <v>0</v>
      </c>
      <c r="Y22" s="54">
        <f>攻击!Z22</f>
        <v>0</v>
      </c>
      <c r="Z22" s="54">
        <f>攻击!AA22</f>
        <v>0</v>
      </c>
      <c r="AA22" s="54">
        <f>攻击!AB22</f>
        <v>0</v>
      </c>
      <c r="AB22" s="47">
        <f>攻击!AC22*$B22</f>
        <v>480</v>
      </c>
      <c r="AC22" s="47">
        <f>攻击!AD22*$B22</f>
        <v>576</v>
      </c>
      <c r="AD22" s="47">
        <f>攻击!AE22*$B22</f>
        <v>720</v>
      </c>
      <c r="AE22" s="47">
        <f>攻击!AF22*$B22</f>
        <v>960</v>
      </c>
      <c r="AF22" s="47">
        <f>攻击!AG22*$B22</f>
        <v>1200</v>
      </c>
      <c r="AG22" s="47">
        <f>攻击!AH22*$B22</f>
        <v>0</v>
      </c>
      <c r="AH22" s="47">
        <f>攻击!AI22*$B22</f>
        <v>96.000000000000014</v>
      </c>
      <c r="AI22" s="47">
        <f>攻击!AJ22*$B22</f>
        <v>0</v>
      </c>
      <c r="AJ22" s="47">
        <f>攻击!AK22*$B22</f>
        <v>14.399999999999999</v>
      </c>
      <c r="AK22" s="47">
        <f>攻击!AL22*$B22</f>
        <v>0</v>
      </c>
      <c r="AL22" s="54">
        <f>攻击!AM22</f>
        <v>0</v>
      </c>
      <c r="AM22" s="54">
        <f>攻击!AN22</f>
        <v>0</v>
      </c>
      <c r="AN22" s="54">
        <f>攻击!AO22</f>
        <v>0</v>
      </c>
      <c r="AO22" s="54">
        <f>攻击!AP22</f>
        <v>0</v>
      </c>
      <c r="AP22" s="54">
        <f>攻击!AQ22</f>
        <v>0</v>
      </c>
      <c r="AQ22" s="47">
        <f>攻击!AR22*$B22</f>
        <v>96.000000000000014</v>
      </c>
      <c r="AR22" s="20">
        <f t="shared" si="0"/>
        <v>1776</v>
      </c>
    </row>
    <row r="23" spans="1:44" s="20" customFormat="1">
      <c r="A23" s="46">
        <v>21</v>
      </c>
      <c r="B23" s="51">
        <f t="shared" si="1"/>
        <v>10</v>
      </c>
      <c r="C23" s="47">
        <f>攻击!D23*$B23</f>
        <v>500</v>
      </c>
      <c r="D23" s="47">
        <f>攻击!E23*$B23</f>
        <v>600</v>
      </c>
      <c r="E23" s="47">
        <f>攻击!F23*$B23</f>
        <v>750</v>
      </c>
      <c r="F23" s="47">
        <f>攻击!G23*$B23</f>
        <v>1000</v>
      </c>
      <c r="G23" s="47">
        <f>攻击!H23*$B23</f>
        <v>1250</v>
      </c>
      <c r="H23" s="47">
        <f>攻击!I23*$B23</f>
        <v>240</v>
      </c>
      <c r="I23" s="47">
        <f>攻击!J23*$B23</f>
        <v>150</v>
      </c>
      <c r="J23" s="47">
        <f>攻击!K23*$B23</f>
        <v>300</v>
      </c>
      <c r="K23" s="47">
        <f>攻击!L23*$B23</f>
        <v>0</v>
      </c>
      <c r="L23" s="47">
        <f>攻击!M23*$B23</f>
        <v>0</v>
      </c>
      <c r="M23" s="47">
        <f>攻击!N23*$B23</f>
        <v>600</v>
      </c>
      <c r="N23" s="47">
        <f>攻击!O23*$B23</f>
        <v>750</v>
      </c>
      <c r="O23" s="47">
        <f>攻击!P23*$B23</f>
        <v>1000</v>
      </c>
      <c r="P23" s="47">
        <f>攻击!Q23*$B23</f>
        <v>1250</v>
      </c>
      <c r="Q23" s="47">
        <f>攻击!R23*$B23</f>
        <v>1500</v>
      </c>
      <c r="R23" s="47">
        <f>攻击!S23*$B23</f>
        <v>1750</v>
      </c>
      <c r="S23" s="47">
        <f>攻击!T23*$B23</f>
        <v>0</v>
      </c>
      <c r="T23" s="47">
        <f>攻击!U23*$B23</f>
        <v>150</v>
      </c>
      <c r="U23" s="47">
        <f>攻击!V23*$B23</f>
        <v>0</v>
      </c>
      <c r="V23" s="47">
        <f>攻击!W23*$B23</f>
        <v>25</v>
      </c>
      <c r="W23" s="54">
        <f>攻击!X23</f>
        <v>0</v>
      </c>
      <c r="X23" s="54">
        <f>攻击!Y23</f>
        <v>0</v>
      </c>
      <c r="Y23" s="54">
        <f>攻击!Z23</f>
        <v>0</v>
      </c>
      <c r="Z23" s="54">
        <f>攻击!AA23</f>
        <v>0</v>
      </c>
      <c r="AA23" s="54">
        <f>攻击!AB23</f>
        <v>0</v>
      </c>
      <c r="AB23" s="47">
        <f>攻击!AC23*$B23</f>
        <v>500</v>
      </c>
      <c r="AC23" s="47">
        <f>攻击!AD23*$B23</f>
        <v>600</v>
      </c>
      <c r="AD23" s="47">
        <f>攻击!AE23*$B23</f>
        <v>750</v>
      </c>
      <c r="AE23" s="47">
        <f>攻击!AF23*$B23</f>
        <v>1000</v>
      </c>
      <c r="AF23" s="47">
        <f>攻击!AG23*$B23</f>
        <v>1250</v>
      </c>
      <c r="AG23" s="47">
        <f>攻击!AH23*$B23</f>
        <v>0</v>
      </c>
      <c r="AH23" s="47">
        <f>攻击!AI23*$B23</f>
        <v>100</v>
      </c>
      <c r="AI23" s="47">
        <f>攻击!AJ23*$B23</f>
        <v>0</v>
      </c>
      <c r="AJ23" s="47">
        <f>攻击!AK23*$B23</f>
        <v>15</v>
      </c>
      <c r="AK23" s="47">
        <f>攻击!AL23*$B23</f>
        <v>0</v>
      </c>
      <c r="AL23" s="54">
        <f>攻击!AM23</f>
        <v>0</v>
      </c>
      <c r="AM23" s="54">
        <f>攻击!AN23</f>
        <v>0</v>
      </c>
      <c r="AN23" s="54">
        <f>攻击!AO23</f>
        <v>0</v>
      </c>
      <c r="AO23" s="54">
        <f>攻击!AP23</f>
        <v>0</v>
      </c>
      <c r="AP23" s="54">
        <f>攻击!AQ23</f>
        <v>0</v>
      </c>
      <c r="AQ23" s="47">
        <f>攻击!AR23*$B23</f>
        <v>100</v>
      </c>
      <c r="AR23" s="20">
        <f t="shared" si="0"/>
        <v>1850</v>
      </c>
    </row>
    <row r="24" spans="1:44" s="20" customFormat="1">
      <c r="A24" s="46">
        <v>22</v>
      </c>
      <c r="B24" s="51">
        <f t="shared" si="1"/>
        <v>10</v>
      </c>
      <c r="C24" s="47">
        <f>攻击!D24*$B24</f>
        <v>520</v>
      </c>
      <c r="D24" s="47">
        <f>攻击!E24*$B24</f>
        <v>624</v>
      </c>
      <c r="E24" s="47">
        <f>攻击!F24*$B24</f>
        <v>780</v>
      </c>
      <c r="F24" s="47">
        <f>攻击!G24*$B24</f>
        <v>1040</v>
      </c>
      <c r="G24" s="47">
        <f>攻击!H24*$B24</f>
        <v>1300</v>
      </c>
      <c r="H24" s="47">
        <f>攻击!I24*$B24</f>
        <v>240</v>
      </c>
      <c r="I24" s="47">
        <f>攻击!J24*$B24</f>
        <v>156</v>
      </c>
      <c r="J24" s="47">
        <f>攻击!K24*$B24</f>
        <v>312</v>
      </c>
      <c r="K24" s="47">
        <f>攻击!L24*$B24</f>
        <v>0</v>
      </c>
      <c r="L24" s="47">
        <f>攻击!M24*$B24</f>
        <v>0</v>
      </c>
      <c r="M24" s="47">
        <f>攻击!N24*$B24</f>
        <v>624</v>
      </c>
      <c r="N24" s="47">
        <f>攻击!O24*$B24</f>
        <v>780</v>
      </c>
      <c r="O24" s="47">
        <f>攻击!P24*$B24</f>
        <v>1040</v>
      </c>
      <c r="P24" s="47">
        <f>攻击!Q24*$B24</f>
        <v>1300</v>
      </c>
      <c r="Q24" s="47">
        <f>攻击!R24*$B24</f>
        <v>1560</v>
      </c>
      <c r="R24" s="47">
        <f>攻击!S24*$B24</f>
        <v>1820</v>
      </c>
      <c r="S24" s="47">
        <f>攻击!T24*$B24</f>
        <v>0</v>
      </c>
      <c r="T24" s="47">
        <f>攻击!U24*$B24</f>
        <v>156</v>
      </c>
      <c r="U24" s="47">
        <f>攻击!V24*$B24</f>
        <v>0</v>
      </c>
      <c r="V24" s="47">
        <f>攻击!W24*$B24</f>
        <v>26</v>
      </c>
      <c r="W24" s="54">
        <f>攻击!X24</f>
        <v>0</v>
      </c>
      <c r="X24" s="54">
        <f>攻击!Y24</f>
        <v>0</v>
      </c>
      <c r="Y24" s="54">
        <f>攻击!Z24</f>
        <v>0</v>
      </c>
      <c r="Z24" s="54">
        <f>攻击!AA24</f>
        <v>0</v>
      </c>
      <c r="AA24" s="54">
        <f>攻击!AB24</f>
        <v>0</v>
      </c>
      <c r="AB24" s="47">
        <f>攻击!AC24*$B24</f>
        <v>520</v>
      </c>
      <c r="AC24" s="47">
        <f>攻击!AD24*$B24</f>
        <v>624</v>
      </c>
      <c r="AD24" s="47">
        <f>攻击!AE24*$B24</f>
        <v>780</v>
      </c>
      <c r="AE24" s="47">
        <f>攻击!AF24*$B24</f>
        <v>1040</v>
      </c>
      <c r="AF24" s="47">
        <f>攻击!AG24*$B24</f>
        <v>1300</v>
      </c>
      <c r="AG24" s="47">
        <f>攻击!AH24*$B24</f>
        <v>0</v>
      </c>
      <c r="AH24" s="47">
        <f>攻击!AI24*$B24</f>
        <v>104</v>
      </c>
      <c r="AI24" s="47">
        <f>攻击!AJ24*$B24</f>
        <v>0</v>
      </c>
      <c r="AJ24" s="47">
        <f>攻击!AK24*$B24</f>
        <v>15.600000000000001</v>
      </c>
      <c r="AK24" s="47">
        <f>攻击!AL24*$B24</f>
        <v>0</v>
      </c>
      <c r="AL24" s="54">
        <f>攻击!AM24</f>
        <v>0</v>
      </c>
      <c r="AM24" s="54">
        <f>攻击!AN24</f>
        <v>0</v>
      </c>
      <c r="AN24" s="54">
        <f>攻击!AO24</f>
        <v>0</v>
      </c>
      <c r="AO24" s="54">
        <f>攻击!AP24</f>
        <v>0</v>
      </c>
      <c r="AP24" s="54">
        <f>攻击!AQ24</f>
        <v>0</v>
      </c>
      <c r="AQ24" s="47">
        <f>攻击!AR24*$B24</f>
        <v>104</v>
      </c>
      <c r="AR24" s="20">
        <f t="shared" si="0"/>
        <v>1924</v>
      </c>
    </row>
    <row r="25" spans="1:44" s="20" customFormat="1">
      <c r="A25" s="46">
        <v>23</v>
      </c>
      <c r="B25" s="51">
        <f t="shared" si="1"/>
        <v>10</v>
      </c>
      <c r="C25" s="47">
        <f>攻击!D25*$B25</f>
        <v>540</v>
      </c>
      <c r="D25" s="47">
        <f>攻击!E25*$B25</f>
        <v>648</v>
      </c>
      <c r="E25" s="47">
        <f>攻击!F25*$B25</f>
        <v>810</v>
      </c>
      <c r="F25" s="47">
        <f>攻击!G25*$B25</f>
        <v>1080</v>
      </c>
      <c r="G25" s="47">
        <f>攻击!H25*$B25</f>
        <v>1350</v>
      </c>
      <c r="H25" s="47">
        <f>攻击!I25*$B25</f>
        <v>240</v>
      </c>
      <c r="I25" s="47">
        <f>攻击!J25*$B25</f>
        <v>162</v>
      </c>
      <c r="J25" s="47">
        <f>攻击!K25*$B25</f>
        <v>324</v>
      </c>
      <c r="K25" s="47">
        <f>攻击!L25*$B25</f>
        <v>0</v>
      </c>
      <c r="L25" s="47">
        <f>攻击!M25*$B25</f>
        <v>0</v>
      </c>
      <c r="M25" s="47">
        <f>攻击!N25*$B25</f>
        <v>648</v>
      </c>
      <c r="N25" s="47">
        <f>攻击!O25*$B25</f>
        <v>810</v>
      </c>
      <c r="O25" s="47">
        <f>攻击!P25*$B25</f>
        <v>1080</v>
      </c>
      <c r="P25" s="47">
        <f>攻击!Q25*$B25</f>
        <v>1350</v>
      </c>
      <c r="Q25" s="47">
        <f>攻击!R25*$B25</f>
        <v>1620</v>
      </c>
      <c r="R25" s="47">
        <f>攻击!S25*$B25</f>
        <v>1890</v>
      </c>
      <c r="S25" s="47">
        <f>攻击!T25*$B25</f>
        <v>0</v>
      </c>
      <c r="T25" s="47">
        <f>攻击!U25*$B25</f>
        <v>162</v>
      </c>
      <c r="U25" s="47">
        <f>攻击!V25*$B25</f>
        <v>0</v>
      </c>
      <c r="V25" s="47">
        <f>攻击!W25*$B25</f>
        <v>27</v>
      </c>
      <c r="W25" s="54">
        <f>攻击!X25</f>
        <v>0</v>
      </c>
      <c r="X25" s="54">
        <f>攻击!Y25</f>
        <v>0</v>
      </c>
      <c r="Y25" s="54">
        <f>攻击!Z25</f>
        <v>0</v>
      </c>
      <c r="Z25" s="54">
        <f>攻击!AA25</f>
        <v>0</v>
      </c>
      <c r="AA25" s="54">
        <f>攻击!AB25</f>
        <v>0</v>
      </c>
      <c r="AB25" s="47">
        <f>攻击!AC25*$B25</f>
        <v>540</v>
      </c>
      <c r="AC25" s="47">
        <f>攻击!AD25*$B25</f>
        <v>648</v>
      </c>
      <c r="AD25" s="47">
        <f>攻击!AE25*$B25</f>
        <v>810</v>
      </c>
      <c r="AE25" s="47">
        <f>攻击!AF25*$B25</f>
        <v>1080</v>
      </c>
      <c r="AF25" s="47">
        <f>攻击!AG25*$B25</f>
        <v>1350</v>
      </c>
      <c r="AG25" s="47">
        <f>攻击!AH25*$B25</f>
        <v>0</v>
      </c>
      <c r="AH25" s="47">
        <f>攻击!AI25*$B25</f>
        <v>108</v>
      </c>
      <c r="AI25" s="47">
        <f>攻击!AJ25*$B25</f>
        <v>0</v>
      </c>
      <c r="AJ25" s="47">
        <f>攻击!AK25*$B25</f>
        <v>16.2</v>
      </c>
      <c r="AK25" s="47">
        <f>攻击!AL25*$B25</f>
        <v>0</v>
      </c>
      <c r="AL25" s="54">
        <f>攻击!AM25</f>
        <v>0</v>
      </c>
      <c r="AM25" s="54">
        <f>攻击!AN25</f>
        <v>0</v>
      </c>
      <c r="AN25" s="54">
        <f>攻击!AO25</f>
        <v>0</v>
      </c>
      <c r="AO25" s="54">
        <f>攻击!AP25</f>
        <v>0</v>
      </c>
      <c r="AP25" s="54">
        <f>攻击!AQ25</f>
        <v>0</v>
      </c>
      <c r="AQ25" s="47">
        <f>攻击!AR25*$B25</f>
        <v>108</v>
      </c>
      <c r="AR25" s="20">
        <f t="shared" si="0"/>
        <v>1998</v>
      </c>
    </row>
    <row r="26" spans="1:44" s="20" customFormat="1">
      <c r="A26" s="46">
        <v>24</v>
      </c>
      <c r="B26" s="51">
        <f t="shared" si="1"/>
        <v>10</v>
      </c>
      <c r="C26" s="47">
        <f>攻击!D26*$B26</f>
        <v>560</v>
      </c>
      <c r="D26" s="47">
        <f>攻击!E26*$B26</f>
        <v>672</v>
      </c>
      <c r="E26" s="47">
        <f>攻击!F26*$B26</f>
        <v>840</v>
      </c>
      <c r="F26" s="47">
        <f>攻击!G26*$B26</f>
        <v>1120</v>
      </c>
      <c r="G26" s="47">
        <f>攻击!H26*$B26</f>
        <v>1400</v>
      </c>
      <c r="H26" s="47">
        <f>攻击!I26*$B26</f>
        <v>240</v>
      </c>
      <c r="I26" s="47">
        <f>攻击!J26*$B26</f>
        <v>168</v>
      </c>
      <c r="J26" s="47">
        <f>攻击!K26*$B26</f>
        <v>336</v>
      </c>
      <c r="K26" s="47">
        <f>攻击!L26*$B26</f>
        <v>0</v>
      </c>
      <c r="L26" s="47">
        <f>攻击!M26*$B26</f>
        <v>0</v>
      </c>
      <c r="M26" s="47">
        <f>攻击!N26*$B26</f>
        <v>672</v>
      </c>
      <c r="N26" s="47">
        <f>攻击!O26*$B26</f>
        <v>840</v>
      </c>
      <c r="O26" s="47">
        <f>攻击!P26*$B26</f>
        <v>1120</v>
      </c>
      <c r="P26" s="47">
        <f>攻击!Q26*$B26</f>
        <v>1400</v>
      </c>
      <c r="Q26" s="47">
        <f>攻击!R26*$B26</f>
        <v>1680</v>
      </c>
      <c r="R26" s="47">
        <f>攻击!S26*$B26</f>
        <v>1960</v>
      </c>
      <c r="S26" s="47">
        <f>攻击!T26*$B26</f>
        <v>0</v>
      </c>
      <c r="T26" s="47">
        <f>攻击!U26*$B26</f>
        <v>168</v>
      </c>
      <c r="U26" s="47">
        <f>攻击!V26*$B26</f>
        <v>0</v>
      </c>
      <c r="V26" s="47">
        <f>攻击!W26*$B26</f>
        <v>28.000000000000004</v>
      </c>
      <c r="W26" s="54">
        <f>攻击!X26</f>
        <v>0</v>
      </c>
      <c r="X26" s="54">
        <f>攻击!Y26</f>
        <v>0</v>
      </c>
      <c r="Y26" s="54">
        <f>攻击!Z26</f>
        <v>0</v>
      </c>
      <c r="Z26" s="54">
        <f>攻击!AA26</f>
        <v>0</v>
      </c>
      <c r="AA26" s="54">
        <f>攻击!AB26</f>
        <v>0</v>
      </c>
      <c r="AB26" s="47">
        <f>攻击!AC26*$B26</f>
        <v>560</v>
      </c>
      <c r="AC26" s="47">
        <f>攻击!AD26*$B26</f>
        <v>672</v>
      </c>
      <c r="AD26" s="47">
        <f>攻击!AE26*$B26</f>
        <v>840</v>
      </c>
      <c r="AE26" s="47">
        <f>攻击!AF26*$B26</f>
        <v>1120</v>
      </c>
      <c r="AF26" s="47">
        <f>攻击!AG26*$B26</f>
        <v>1400</v>
      </c>
      <c r="AG26" s="47">
        <f>攻击!AH26*$B26</f>
        <v>0</v>
      </c>
      <c r="AH26" s="47">
        <f>攻击!AI26*$B26</f>
        <v>112.00000000000001</v>
      </c>
      <c r="AI26" s="47">
        <f>攻击!AJ26*$B26</f>
        <v>0</v>
      </c>
      <c r="AJ26" s="47">
        <f>攻击!AK26*$B26</f>
        <v>16.8</v>
      </c>
      <c r="AK26" s="47">
        <f>攻击!AL26*$B26</f>
        <v>0</v>
      </c>
      <c r="AL26" s="54">
        <f>攻击!AM26</f>
        <v>0</v>
      </c>
      <c r="AM26" s="54">
        <f>攻击!AN26</f>
        <v>0</v>
      </c>
      <c r="AN26" s="54">
        <f>攻击!AO26</f>
        <v>0</v>
      </c>
      <c r="AO26" s="54">
        <f>攻击!AP26</f>
        <v>0</v>
      </c>
      <c r="AP26" s="54">
        <f>攻击!AQ26</f>
        <v>0</v>
      </c>
      <c r="AQ26" s="47">
        <f>攻击!AR26*$B26</f>
        <v>112.00000000000001</v>
      </c>
      <c r="AR26" s="20">
        <f t="shared" si="0"/>
        <v>2072</v>
      </c>
    </row>
    <row r="27" spans="1:44" s="20" customFormat="1">
      <c r="A27" s="46">
        <v>25</v>
      </c>
      <c r="B27" s="51">
        <f t="shared" si="1"/>
        <v>10</v>
      </c>
      <c r="C27" s="47">
        <f>攻击!D27*$B27</f>
        <v>580</v>
      </c>
      <c r="D27" s="47">
        <f>攻击!E27*$B27</f>
        <v>696</v>
      </c>
      <c r="E27" s="47">
        <f>攻击!F27*$B27</f>
        <v>870</v>
      </c>
      <c r="F27" s="47">
        <f>攻击!G27*$B27</f>
        <v>1160</v>
      </c>
      <c r="G27" s="47">
        <f>攻击!H27*$B27</f>
        <v>1450</v>
      </c>
      <c r="H27" s="47">
        <f>攻击!I27*$B27</f>
        <v>290</v>
      </c>
      <c r="I27" s="47">
        <f>攻击!J27*$B27</f>
        <v>174</v>
      </c>
      <c r="J27" s="47">
        <f>攻击!K27*$B27</f>
        <v>348</v>
      </c>
      <c r="K27" s="47">
        <f>攻击!L27*$B27</f>
        <v>0</v>
      </c>
      <c r="L27" s="47">
        <f>攻击!M27*$B27</f>
        <v>0</v>
      </c>
      <c r="M27" s="47">
        <f>攻击!N27*$B27</f>
        <v>696</v>
      </c>
      <c r="N27" s="47">
        <f>攻击!O27*$B27</f>
        <v>870</v>
      </c>
      <c r="O27" s="47">
        <f>攻击!P27*$B27</f>
        <v>1160</v>
      </c>
      <c r="P27" s="47">
        <f>攻击!Q27*$B27</f>
        <v>1450</v>
      </c>
      <c r="Q27" s="47">
        <f>攻击!R27*$B27</f>
        <v>1740</v>
      </c>
      <c r="R27" s="47">
        <f>攻击!S27*$B27</f>
        <v>2030</v>
      </c>
      <c r="S27" s="47">
        <f>攻击!T27*$B27</f>
        <v>0</v>
      </c>
      <c r="T27" s="47">
        <f>攻击!U27*$B27</f>
        <v>174</v>
      </c>
      <c r="U27" s="47">
        <f>攻击!V27*$B27</f>
        <v>0</v>
      </c>
      <c r="V27" s="47">
        <f>攻击!W27*$B27</f>
        <v>29.000000000000004</v>
      </c>
      <c r="W27" s="54">
        <f>攻击!X27</f>
        <v>0</v>
      </c>
      <c r="X27" s="54">
        <f>攻击!Y27</f>
        <v>0</v>
      </c>
      <c r="Y27" s="54">
        <f>攻击!Z27</f>
        <v>0</v>
      </c>
      <c r="Z27" s="54">
        <f>攻击!AA27</f>
        <v>0</v>
      </c>
      <c r="AA27" s="54">
        <f>攻击!AB27</f>
        <v>0</v>
      </c>
      <c r="AB27" s="47">
        <f>攻击!AC27*$B27</f>
        <v>580</v>
      </c>
      <c r="AC27" s="47">
        <f>攻击!AD27*$B27</f>
        <v>696</v>
      </c>
      <c r="AD27" s="47">
        <f>攻击!AE27*$B27</f>
        <v>870</v>
      </c>
      <c r="AE27" s="47">
        <f>攻击!AF27*$B27</f>
        <v>1160</v>
      </c>
      <c r="AF27" s="47">
        <f>攻击!AG27*$B27</f>
        <v>1450</v>
      </c>
      <c r="AG27" s="47">
        <f>攻击!AH27*$B27</f>
        <v>0</v>
      </c>
      <c r="AH27" s="47">
        <f>攻击!AI27*$B27</f>
        <v>116.00000000000001</v>
      </c>
      <c r="AI27" s="47">
        <f>攻击!AJ27*$B27</f>
        <v>0</v>
      </c>
      <c r="AJ27" s="47">
        <f>攻击!AK27*$B27</f>
        <v>17.399999999999999</v>
      </c>
      <c r="AK27" s="47">
        <f>攻击!AL27*$B27</f>
        <v>0</v>
      </c>
      <c r="AL27" s="54">
        <f>攻击!AM27</f>
        <v>0</v>
      </c>
      <c r="AM27" s="54">
        <f>攻击!AN27</f>
        <v>0</v>
      </c>
      <c r="AN27" s="54">
        <f>攻击!AO27</f>
        <v>0</v>
      </c>
      <c r="AO27" s="54">
        <f>攻击!AP27</f>
        <v>0</v>
      </c>
      <c r="AP27" s="54">
        <f>攻击!AQ27</f>
        <v>0</v>
      </c>
      <c r="AQ27" s="47">
        <f>攻击!AR27*$B27</f>
        <v>116.00000000000001</v>
      </c>
      <c r="AR27" s="20">
        <f t="shared" si="0"/>
        <v>2146</v>
      </c>
    </row>
    <row r="28" spans="1:44" s="20" customFormat="1">
      <c r="A28" s="46">
        <v>26</v>
      </c>
      <c r="B28" s="51">
        <f t="shared" si="1"/>
        <v>10</v>
      </c>
      <c r="C28" s="47">
        <f>攻击!D28*$B28</f>
        <v>600</v>
      </c>
      <c r="D28" s="47">
        <f>攻击!E28*$B28</f>
        <v>720</v>
      </c>
      <c r="E28" s="47">
        <f>攻击!F28*$B28</f>
        <v>900</v>
      </c>
      <c r="F28" s="47">
        <f>攻击!G28*$B28</f>
        <v>1200</v>
      </c>
      <c r="G28" s="47">
        <f>攻击!H28*$B28</f>
        <v>1500</v>
      </c>
      <c r="H28" s="47">
        <f>攻击!I28*$B28</f>
        <v>290</v>
      </c>
      <c r="I28" s="47">
        <f>攻击!J28*$B28</f>
        <v>180</v>
      </c>
      <c r="J28" s="47">
        <f>攻击!K28*$B28</f>
        <v>360</v>
      </c>
      <c r="K28" s="47">
        <f>攻击!L28*$B28</f>
        <v>0</v>
      </c>
      <c r="L28" s="47">
        <f>攻击!M28*$B28</f>
        <v>0</v>
      </c>
      <c r="M28" s="47">
        <f>攻击!N28*$B28</f>
        <v>720</v>
      </c>
      <c r="N28" s="47">
        <f>攻击!O28*$B28</f>
        <v>900</v>
      </c>
      <c r="O28" s="47">
        <f>攻击!P28*$B28</f>
        <v>1200</v>
      </c>
      <c r="P28" s="47">
        <f>攻击!Q28*$B28</f>
        <v>1500</v>
      </c>
      <c r="Q28" s="47">
        <f>攻击!R28*$B28</f>
        <v>1800</v>
      </c>
      <c r="R28" s="47">
        <f>攻击!S28*$B28</f>
        <v>2100</v>
      </c>
      <c r="S28" s="47">
        <f>攻击!T28*$B28</f>
        <v>0</v>
      </c>
      <c r="T28" s="47">
        <f>攻击!U28*$B28</f>
        <v>180</v>
      </c>
      <c r="U28" s="47">
        <f>攻击!V28*$B28</f>
        <v>0</v>
      </c>
      <c r="V28" s="47">
        <f>攻击!W28*$B28</f>
        <v>30</v>
      </c>
      <c r="W28" s="54">
        <f>攻击!X28</f>
        <v>0</v>
      </c>
      <c r="X28" s="54">
        <f>攻击!Y28</f>
        <v>0</v>
      </c>
      <c r="Y28" s="54">
        <f>攻击!Z28</f>
        <v>0</v>
      </c>
      <c r="Z28" s="54">
        <f>攻击!AA28</f>
        <v>0</v>
      </c>
      <c r="AA28" s="54">
        <f>攻击!AB28</f>
        <v>0</v>
      </c>
      <c r="AB28" s="47">
        <f>攻击!AC28*$B28</f>
        <v>600</v>
      </c>
      <c r="AC28" s="47">
        <f>攻击!AD28*$B28</f>
        <v>720</v>
      </c>
      <c r="AD28" s="47">
        <f>攻击!AE28*$B28</f>
        <v>900</v>
      </c>
      <c r="AE28" s="47">
        <f>攻击!AF28*$B28</f>
        <v>1200</v>
      </c>
      <c r="AF28" s="47">
        <f>攻击!AG28*$B28</f>
        <v>1500</v>
      </c>
      <c r="AG28" s="47">
        <f>攻击!AH28*$B28</f>
        <v>0</v>
      </c>
      <c r="AH28" s="47">
        <f>攻击!AI28*$B28</f>
        <v>120</v>
      </c>
      <c r="AI28" s="47">
        <f>攻击!AJ28*$B28</f>
        <v>0</v>
      </c>
      <c r="AJ28" s="47">
        <f>攻击!AK28*$B28</f>
        <v>18</v>
      </c>
      <c r="AK28" s="47">
        <f>攻击!AL28*$B28</f>
        <v>0</v>
      </c>
      <c r="AL28" s="54">
        <f>攻击!AM28</f>
        <v>0</v>
      </c>
      <c r="AM28" s="54">
        <f>攻击!AN28</f>
        <v>0</v>
      </c>
      <c r="AN28" s="54">
        <f>攻击!AO28</f>
        <v>0</v>
      </c>
      <c r="AO28" s="54">
        <f>攻击!AP28</f>
        <v>0</v>
      </c>
      <c r="AP28" s="54">
        <f>攻击!AQ28</f>
        <v>0</v>
      </c>
      <c r="AQ28" s="47">
        <f>攻击!AR28*$B28</f>
        <v>120</v>
      </c>
      <c r="AR28" s="20">
        <f t="shared" si="0"/>
        <v>2220</v>
      </c>
    </row>
    <row r="29" spans="1:44" s="20" customFormat="1">
      <c r="A29" s="46">
        <v>27</v>
      </c>
      <c r="B29" s="51">
        <f t="shared" si="1"/>
        <v>10</v>
      </c>
      <c r="C29" s="47">
        <f>攻击!D29*$B29</f>
        <v>620</v>
      </c>
      <c r="D29" s="47">
        <f>攻击!E29*$B29</f>
        <v>743.99999999999989</v>
      </c>
      <c r="E29" s="47">
        <f>攻击!F29*$B29</f>
        <v>930</v>
      </c>
      <c r="F29" s="47">
        <f>攻击!G29*$B29</f>
        <v>1240</v>
      </c>
      <c r="G29" s="47">
        <f>攻击!H29*$B29</f>
        <v>1550</v>
      </c>
      <c r="H29" s="47">
        <f>攻击!I29*$B29</f>
        <v>290</v>
      </c>
      <c r="I29" s="47">
        <f>攻击!J29*$B29</f>
        <v>185.99999999999997</v>
      </c>
      <c r="J29" s="47">
        <f>攻击!K29*$B29</f>
        <v>371.99999999999994</v>
      </c>
      <c r="K29" s="47">
        <f>攻击!L29*$B29</f>
        <v>0</v>
      </c>
      <c r="L29" s="47">
        <f>攻击!M29*$B29</f>
        <v>0</v>
      </c>
      <c r="M29" s="47">
        <f>攻击!N29*$B29</f>
        <v>743.99999999999989</v>
      </c>
      <c r="N29" s="47">
        <f>攻击!O29*$B29</f>
        <v>930</v>
      </c>
      <c r="O29" s="47">
        <f>攻击!P29*$B29</f>
        <v>1240</v>
      </c>
      <c r="P29" s="47">
        <f>攻击!Q29*$B29</f>
        <v>1550</v>
      </c>
      <c r="Q29" s="47">
        <f>攻击!R29*$B29</f>
        <v>1860</v>
      </c>
      <c r="R29" s="47">
        <f>攻击!S29*$B29</f>
        <v>2170</v>
      </c>
      <c r="S29" s="47">
        <f>攻击!T29*$B29</f>
        <v>0</v>
      </c>
      <c r="T29" s="47">
        <f>攻击!U29*$B29</f>
        <v>185.99999999999997</v>
      </c>
      <c r="U29" s="47">
        <f>攻击!V29*$B29</f>
        <v>0</v>
      </c>
      <c r="V29" s="47">
        <f>攻击!W29*$B29</f>
        <v>31</v>
      </c>
      <c r="W29" s="54">
        <f>攻击!X29</f>
        <v>0</v>
      </c>
      <c r="X29" s="54">
        <f>攻击!Y29</f>
        <v>0</v>
      </c>
      <c r="Y29" s="54">
        <f>攻击!Z29</f>
        <v>0</v>
      </c>
      <c r="Z29" s="54">
        <f>攻击!AA29</f>
        <v>0</v>
      </c>
      <c r="AA29" s="54">
        <f>攻击!AB29</f>
        <v>0</v>
      </c>
      <c r="AB29" s="47">
        <f>攻击!AC29*$B29</f>
        <v>620</v>
      </c>
      <c r="AC29" s="47">
        <f>攻击!AD29*$B29</f>
        <v>743.99999999999989</v>
      </c>
      <c r="AD29" s="47">
        <f>攻击!AE29*$B29</f>
        <v>930</v>
      </c>
      <c r="AE29" s="47">
        <f>攻击!AF29*$B29</f>
        <v>1240</v>
      </c>
      <c r="AF29" s="47">
        <f>攻击!AG29*$B29</f>
        <v>1550</v>
      </c>
      <c r="AG29" s="47">
        <f>攻击!AH29*$B29</f>
        <v>0</v>
      </c>
      <c r="AH29" s="47">
        <f>攻击!AI29*$B29</f>
        <v>124</v>
      </c>
      <c r="AI29" s="47">
        <f>攻击!AJ29*$B29</f>
        <v>0</v>
      </c>
      <c r="AJ29" s="47">
        <f>攻击!AK29*$B29</f>
        <v>18.599999999999998</v>
      </c>
      <c r="AK29" s="47">
        <f>攻击!AL29*$B29</f>
        <v>0</v>
      </c>
      <c r="AL29" s="54">
        <f>攻击!AM29</f>
        <v>0</v>
      </c>
      <c r="AM29" s="54">
        <f>攻击!AN29</f>
        <v>0</v>
      </c>
      <c r="AN29" s="54">
        <f>攻击!AO29</f>
        <v>0</v>
      </c>
      <c r="AO29" s="54">
        <f>攻击!AP29</f>
        <v>0</v>
      </c>
      <c r="AP29" s="54">
        <f>攻击!AQ29</f>
        <v>0</v>
      </c>
      <c r="AQ29" s="47">
        <f>攻击!AR29*$B29</f>
        <v>124</v>
      </c>
      <c r="AR29" s="20">
        <f t="shared" si="0"/>
        <v>2294</v>
      </c>
    </row>
    <row r="30" spans="1:44" s="20" customFormat="1">
      <c r="A30" s="46">
        <v>28</v>
      </c>
      <c r="B30" s="51">
        <f t="shared" si="1"/>
        <v>10</v>
      </c>
      <c r="C30" s="47">
        <f>攻击!D30*$B30</f>
        <v>640</v>
      </c>
      <c r="D30" s="47">
        <f>攻击!E30*$B30</f>
        <v>768</v>
      </c>
      <c r="E30" s="47">
        <f>攻击!F30*$B30</f>
        <v>960</v>
      </c>
      <c r="F30" s="47">
        <f>攻击!G30*$B30</f>
        <v>1280</v>
      </c>
      <c r="G30" s="47">
        <f>攻击!H30*$B30</f>
        <v>1600</v>
      </c>
      <c r="H30" s="47">
        <f>攻击!I30*$B30</f>
        <v>290</v>
      </c>
      <c r="I30" s="47">
        <f>攻击!J30*$B30</f>
        <v>192</v>
      </c>
      <c r="J30" s="47">
        <f>攻击!K30*$B30</f>
        <v>384</v>
      </c>
      <c r="K30" s="47">
        <f>攻击!L30*$B30</f>
        <v>0</v>
      </c>
      <c r="L30" s="47">
        <f>攻击!M30*$B30</f>
        <v>0</v>
      </c>
      <c r="M30" s="47">
        <f>攻击!N30*$B30</f>
        <v>768</v>
      </c>
      <c r="N30" s="47">
        <f>攻击!O30*$B30</f>
        <v>960</v>
      </c>
      <c r="O30" s="47">
        <f>攻击!P30*$B30</f>
        <v>1280</v>
      </c>
      <c r="P30" s="47">
        <f>攻击!Q30*$B30</f>
        <v>1600</v>
      </c>
      <c r="Q30" s="47">
        <f>攻击!R30*$B30</f>
        <v>1920</v>
      </c>
      <c r="R30" s="47">
        <f>攻击!S30*$B30</f>
        <v>2240</v>
      </c>
      <c r="S30" s="47">
        <f>攻击!T30*$B30</f>
        <v>0</v>
      </c>
      <c r="T30" s="47">
        <f>攻击!U30*$B30</f>
        <v>192</v>
      </c>
      <c r="U30" s="47">
        <f>攻击!V30*$B30</f>
        <v>0</v>
      </c>
      <c r="V30" s="47">
        <f>攻击!W30*$B30</f>
        <v>32</v>
      </c>
      <c r="W30" s="54">
        <f>攻击!X30</f>
        <v>0</v>
      </c>
      <c r="X30" s="54">
        <f>攻击!Y30</f>
        <v>0</v>
      </c>
      <c r="Y30" s="54">
        <f>攻击!Z30</f>
        <v>0</v>
      </c>
      <c r="Z30" s="54">
        <f>攻击!AA30</f>
        <v>0</v>
      </c>
      <c r="AA30" s="54">
        <f>攻击!AB30</f>
        <v>0</v>
      </c>
      <c r="AB30" s="47">
        <f>攻击!AC30*$B30</f>
        <v>640</v>
      </c>
      <c r="AC30" s="47">
        <f>攻击!AD30*$B30</f>
        <v>768</v>
      </c>
      <c r="AD30" s="47">
        <f>攻击!AE30*$B30</f>
        <v>960</v>
      </c>
      <c r="AE30" s="47">
        <f>攻击!AF30*$B30</f>
        <v>1280</v>
      </c>
      <c r="AF30" s="47">
        <f>攻击!AG30*$B30</f>
        <v>1600</v>
      </c>
      <c r="AG30" s="47">
        <f>攻击!AH30*$B30</f>
        <v>0</v>
      </c>
      <c r="AH30" s="47">
        <f>攻击!AI30*$B30</f>
        <v>128</v>
      </c>
      <c r="AI30" s="47">
        <f>攻击!AJ30*$B30</f>
        <v>0</v>
      </c>
      <c r="AJ30" s="47">
        <f>攻击!AK30*$B30</f>
        <v>19.2</v>
      </c>
      <c r="AK30" s="47">
        <f>攻击!AL30*$B30</f>
        <v>0</v>
      </c>
      <c r="AL30" s="54">
        <f>攻击!AM30</f>
        <v>0</v>
      </c>
      <c r="AM30" s="54">
        <f>攻击!AN30</f>
        <v>0</v>
      </c>
      <c r="AN30" s="54">
        <f>攻击!AO30</f>
        <v>0</v>
      </c>
      <c r="AO30" s="54">
        <f>攻击!AP30</f>
        <v>0</v>
      </c>
      <c r="AP30" s="54">
        <f>攻击!AQ30</f>
        <v>0</v>
      </c>
      <c r="AQ30" s="47">
        <f>攻击!AR30*$B30</f>
        <v>128</v>
      </c>
      <c r="AR30" s="20">
        <f t="shared" si="0"/>
        <v>2368</v>
      </c>
    </row>
    <row r="31" spans="1:44" s="20" customFormat="1">
      <c r="A31" s="46">
        <v>29</v>
      </c>
      <c r="B31" s="51">
        <f t="shared" si="1"/>
        <v>10</v>
      </c>
      <c r="C31" s="47">
        <f>攻击!D31*$B31</f>
        <v>660</v>
      </c>
      <c r="D31" s="47">
        <f>攻击!E31*$B31</f>
        <v>792</v>
      </c>
      <c r="E31" s="47">
        <f>攻击!F31*$B31</f>
        <v>990</v>
      </c>
      <c r="F31" s="47">
        <f>攻击!G31*$B31</f>
        <v>1320</v>
      </c>
      <c r="G31" s="47">
        <f>攻击!H31*$B31</f>
        <v>1650</v>
      </c>
      <c r="H31" s="47">
        <f>攻击!I31*$B31</f>
        <v>290</v>
      </c>
      <c r="I31" s="47">
        <f>攻击!J31*$B31</f>
        <v>198</v>
      </c>
      <c r="J31" s="47">
        <f>攻击!K31*$B31</f>
        <v>396</v>
      </c>
      <c r="K31" s="47">
        <f>攻击!L31*$B31</f>
        <v>0</v>
      </c>
      <c r="L31" s="47">
        <f>攻击!M31*$B31</f>
        <v>0</v>
      </c>
      <c r="M31" s="47">
        <f>攻击!N31*$B31</f>
        <v>792</v>
      </c>
      <c r="N31" s="47">
        <f>攻击!O31*$B31</f>
        <v>990</v>
      </c>
      <c r="O31" s="47">
        <f>攻击!P31*$B31</f>
        <v>1320</v>
      </c>
      <c r="P31" s="47">
        <f>攻击!Q31*$B31</f>
        <v>1650</v>
      </c>
      <c r="Q31" s="47">
        <f>攻击!R31*$B31</f>
        <v>1980</v>
      </c>
      <c r="R31" s="47">
        <f>攻击!S31*$B31</f>
        <v>2310</v>
      </c>
      <c r="S31" s="47">
        <f>攻击!T31*$B31</f>
        <v>0</v>
      </c>
      <c r="T31" s="47">
        <f>攻击!U31*$B31</f>
        <v>198</v>
      </c>
      <c r="U31" s="47">
        <f>攻击!V31*$B31</f>
        <v>0</v>
      </c>
      <c r="V31" s="47">
        <f>攻击!W31*$B31</f>
        <v>33</v>
      </c>
      <c r="W31" s="54">
        <f>攻击!X31</f>
        <v>0</v>
      </c>
      <c r="X31" s="54">
        <f>攻击!Y31</f>
        <v>0</v>
      </c>
      <c r="Y31" s="54">
        <f>攻击!Z31</f>
        <v>0</v>
      </c>
      <c r="Z31" s="54">
        <f>攻击!AA31</f>
        <v>0</v>
      </c>
      <c r="AA31" s="54">
        <f>攻击!AB31</f>
        <v>0</v>
      </c>
      <c r="AB31" s="47">
        <f>攻击!AC31*$B31</f>
        <v>660</v>
      </c>
      <c r="AC31" s="47">
        <f>攻击!AD31*$B31</f>
        <v>792</v>
      </c>
      <c r="AD31" s="47">
        <f>攻击!AE31*$B31</f>
        <v>990</v>
      </c>
      <c r="AE31" s="47">
        <f>攻击!AF31*$B31</f>
        <v>1320</v>
      </c>
      <c r="AF31" s="47">
        <f>攻击!AG31*$B31</f>
        <v>1650</v>
      </c>
      <c r="AG31" s="47">
        <f>攻击!AH31*$B31</f>
        <v>0</v>
      </c>
      <c r="AH31" s="47">
        <f>攻击!AI31*$B31</f>
        <v>132</v>
      </c>
      <c r="AI31" s="47">
        <f>攻击!AJ31*$B31</f>
        <v>0</v>
      </c>
      <c r="AJ31" s="47">
        <f>攻击!AK31*$B31</f>
        <v>19.8</v>
      </c>
      <c r="AK31" s="47">
        <f>攻击!AL31*$B31</f>
        <v>0</v>
      </c>
      <c r="AL31" s="54">
        <f>攻击!AM31</f>
        <v>0</v>
      </c>
      <c r="AM31" s="54">
        <f>攻击!AN31</f>
        <v>0</v>
      </c>
      <c r="AN31" s="54">
        <f>攻击!AO31</f>
        <v>0</v>
      </c>
      <c r="AO31" s="54">
        <f>攻击!AP31</f>
        <v>0</v>
      </c>
      <c r="AP31" s="54">
        <f>攻击!AQ31</f>
        <v>0</v>
      </c>
      <c r="AQ31" s="47">
        <f>攻击!AR31*$B31</f>
        <v>132</v>
      </c>
      <c r="AR31" s="20">
        <f t="shared" si="0"/>
        <v>2442</v>
      </c>
    </row>
    <row r="32" spans="1:44" s="20" customFormat="1">
      <c r="A32" s="46">
        <v>30</v>
      </c>
      <c r="B32" s="51">
        <f t="shared" si="1"/>
        <v>10</v>
      </c>
      <c r="C32" s="47">
        <f>攻击!D32*$B32</f>
        <v>680</v>
      </c>
      <c r="D32" s="47">
        <f>攻击!E32*$B32</f>
        <v>816</v>
      </c>
      <c r="E32" s="47">
        <f>攻击!F32*$B32</f>
        <v>1020</v>
      </c>
      <c r="F32" s="47">
        <f>攻击!G32*$B32</f>
        <v>1360</v>
      </c>
      <c r="G32" s="47">
        <f>攻击!H32*$B32</f>
        <v>1700</v>
      </c>
      <c r="H32" s="47">
        <f>攻击!I32*$B32</f>
        <v>340</v>
      </c>
      <c r="I32" s="47">
        <f>攻击!J32*$B32</f>
        <v>204</v>
      </c>
      <c r="J32" s="47">
        <f>攻击!K32*$B32</f>
        <v>408</v>
      </c>
      <c r="K32" s="47">
        <f>攻击!L32*$B32</f>
        <v>0</v>
      </c>
      <c r="L32" s="47">
        <f>攻击!M32*$B32</f>
        <v>0</v>
      </c>
      <c r="M32" s="47">
        <f>攻击!N32*$B32</f>
        <v>816</v>
      </c>
      <c r="N32" s="47">
        <f>攻击!O32*$B32</f>
        <v>1020</v>
      </c>
      <c r="O32" s="47">
        <f>攻击!P32*$B32</f>
        <v>1360</v>
      </c>
      <c r="P32" s="47">
        <f>攻击!Q32*$B32</f>
        <v>1700</v>
      </c>
      <c r="Q32" s="47">
        <f>攻击!R32*$B32</f>
        <v>2040</v>
      </c>
      <c r="R32" s="47">
        <f>攻击!S32*$B32</f>
        <v>2380</v>
      </c>
      <c r="S32" s="47">
        <f>攻击!T32*$B32</f>
        <v>510</v>
      </c>
      <c r="T32" s="47">
        <f>攻击!U32*$B32</f>
        <v>204</v>
      </c>
      <c r="U32" s="47">
        <f>攻击!V32*$B32</f>
        <v>204</v>
      </c>
      <c r="V32" s="47">
        <f>攻击!W32*$B32</f>
        <v>34</v>
      </c>
      <c r="W32" s="54">
        <f>攻击!X32</f>
        <v>0</v>
      </c>
      <c r="X32" s="54">
        <f>攻击!Y32</f>
        <v>0</v>
      </c>
      <c r="Y32" s="54">
        <f>攻击!Z32</f>
        <v>0</v>
      </c>
      <c r="Z32" s="54">
        <f>攻击!AA32</f>
        <v>0</v>
      </c>
      <c r="AA32" s="54">
        <f>攻击!AB32</f>
        <v>0</v>
      </c>
      <c r="AB32" s="47">
        <f>攻击!AC32*$B32</f>
        <v>680</v>
      </c>
      <c r="AC32" s="47">
        <f>攻击!AD32*$B32</f>
        <v>816</v>
      </c>
      <c r="AD32" s="47">
        <f>攻击!AE32*$B32</f>
        <v>1020</v>
      </c>
      <c r="AE32" s="47">
        <f>攻击!AF32*$B32</f>
        <v>1360</v>
      </c>
      <c r="AF32" s="47">
        <f>攻击!AG32*$B32</f>
        <v>1700</v>
      </c>
      <c r="AG32" s="47">
        <f>攻击!AH32*$B32</f>
        <v>0</v>
      </c>
      <c r="AH32" s="47">
        <f>攻击!AI32*$B32</f>
        <v>136</v>
      </c>
      <c r="AI32" s="47">
        <f>攻击!AJ32*$B32</f>
        <v>0</v>
      </c>
      <c r="AJ32" s="47">
        <f>攻击!AK32*$B32</f>
        <v>20.399999999999999</v>
      </c>
      <c r="AK32" s="47">
        <f>攻击!AL32*$B32</f>
        <v>0</v>
      </c>
      <c r="AL32" s="54">
        <f>攻击!AM32</f>
        <v>0</v>
      </c>
      <c r="AM32" s="54">
        <f>攻击!AN32</f>
        <v>0</v>
      </c>
      <c r="AN32" s="54">
        <f>攻击!AO32</f>
        <v>0</v>
      </c>
      <c r="AO32" s="54">
        <f>攻击!AP32</f>
        <v>0</v>
      </c>
      <c r="AP32" s="54">
        <f>攻击!AQ32</f>
        <v>0</v>
      </c>
      <c r="AQ32" s="47">
        <f>攻击!AR32*$B32</f>
        <v>136</v>
      </c>
      <c r="AR32" s="20">
        <f t="shared" si="0"/>
        <v>2516</v>
      </c>
    </row>
    <row r="33" spans="1:44" s="20" customFormat="1">
      <c r="A33" s="46">
        <v>31</v>
      </c>
      <c r="B33" s="51">
        <f t="shared" si="1"/>
        <v>10</v>
      </c>
      <c r="C33" s="47">
        <f>攻击!D33*$B33</f>
        <v>700</v>
      </c>
      <c r="D33" s="47">
        <f>攻击!E33*$B33</f>
        <v>840</v>
      </c>
      <c r="E33" s="47">
        <f>攻击!F33*$B33</f>
        <v>1050</v>
      </c>
      <c r="F33" s="47">
        <f>攻击!G33*$B33</f>
        <v>1400</v>
      </c>
      <c r="G33" s="47">
        <f>攻击!H33*$B33</f>
        <v>1750</v>
      </c>
      <c r="H33" s="47">
        <f>攻击!I33*$B33</f>
        <v>340</v>
      </c>
      <c r="I33" s="47">
        <f>攻击!J33*$B33</f>
        <v>210</v>
      </c>
      <c r="J33" s="47">
        <f>攻击!K33*$B33</f>
        <v>420</v>
      </c>
      <c r="K33" s="47">
        <f>攻击!L33*$B33</f>
        <v>0</v>
      </c>
      <c r="L33" s="47">
        <f>攻击!M33*$B33</f>
        <v>0</v>
      </c>
      <c r="M33" s="47">
        <f>攻击!N33*$B33</f>
        <v>840</v>
      </c>
      <c r="N33" s="47">
        <f>攻击!O33*$B33</f>
        <v>1050</v>
      </c>
      <c r="O33" s="47">
        <f>攻击!P33*$B33</f>
        <v>1400</v>
      </c>
      <c r="P33" s="47">
        <f>攻击!Q33*$B33</f>
        <v>1750</v>
      </c>
      <c r="Q33" s="47">
        <f>攻击!R33*$B33</f>
        <v>2100</v>
      </c>
      <c r="R33" s="47">
        <f>攻击!S33*$B33</f>
        <v>2450</v>
      </c>
      <c r="S33" s="47">
        <f>攻击!T33*$B33</f>
        <v>525</v>
      </c>
      <c r="T33" s="47">
        <f>攻击!U33*$B33</f>
        <v>210</v>
      </c>
      <c r="U33" s="47">
        <f>攻击!V33*$B33</f>
        <v>210</v>
      </c>
      <c r="V33" s="47">
        <f>攻击!W33*$B33</f>
        <v>35</v>
      </c>
      <c r="W33" s="54">
        <f>攻击!X33</f>
        <v>0</v>
      </c>
      <c r="X33" s="54">
        <f>攻击!Y33</f>
        <v>0</v>
      </c>
      <c r="Y33" s="54">
        <f>攻击!Z33</f>
        <v>0</v>
      </c>
      <c r="Z33" s="54">
        <f>攻击!AA33</f>
        <v>0</v>
      </c>
      <c r="AA33" s="54">
        <f>攻击!AB33</f>
        <v>0</v>
      </c>
      <c r="AB33" s="47">
        <f>攻击!AC33*$B33</f>
        <v>700</v>
      </c>
      <c r="AC33" s="47">
        <f>攻击!AD33*$B33</f>
        <v>840</v>
      </c>
      <c r="AD33" s="47">
        <f>攻击!AE33*$B33</f>
        <v>1050</v>
      </c>
      <c r="AE33" s="47">
        <f>攻击!AF33*$B33</f>
        <v>1400</v>
      </c>
      <c r="AF33" s="47">
        <f>攻击!AG33*$B33</f>
        <v>1750</v>
      </c>
      <c r="AG33" s="47">
        <f>攻击!AH33*$B33</f>
        <v>0</v>
      </c>
      <c r="AH33" s="47">
        <f>攻击!AI33*$B33</f>
        <v>140</v>
      </c>
      <c r="AI33" s="47">
        <f>攻击!AJ33*$B33</f>
        <v>0</v>
      </c>
      <c r="AJ33" s="47">
        <f>攻击!AK33*$B33</f>
        <v>21</v>
      </c>
      <c r="AK33" s="47">
        <f>攻击!AL33*$B33</f>
        <v>0</v>
      </c>
      <c r="AL33" s="54">
        <f>攻击!AM33</f>
        <v>0</v>
      </c>
      <c r="AM33" s="54">
        <f>攻击!AN33</f>
        <v>0</v>
      </c>
      <c r="AN33" s="54">
        <f>攻击!AO33</f>
        <v>0</v>
      </c>
      <c r="AO33" s="54">
        <f>攻击!AP33</f>
        <v>0</v>
      </c>
      <c r="AP33" s="54">
        <f>攻击!AQ33</f>
        <v>0</v>
      </c>
      <c r="AQ33" s="47">
        <f>攻击!AR33*$B33</f>
        <v>140</v>
      </c>
      <c r="AR33" s="20">
        <f t="shared" si="0"/>
        <v>2590</v>
      </c>
    </row>
    <row r="34" spans="1:44" s="20" customFormat="1">
      <c r="A34" s="46">
        <v>32</v>
      </c>
      <c r="B34" s="51">
        <f t="shared" si="1"/>
        <v>10</v>
      </c>
      <c r="C34" s="47">
        <f>攻击!D34*$B34</f>
        <v>720</v>
      </c>
      <c r="D34" s="47">
        <f>攻击!E34*$B34</f>
        <v>863.99999999999989</v>
      </c>
      <c r="E34" s="47">
        <f>攻击!F34*$B34</f>
        <v>1080</v>
      </c>
      <c r="F34" s="47">
        <f>攻击!G34*$B34</f>
        <v>1440</v>
      </c>
      <c r="G34" s="47">
        <f>攻击!H34*$B34</f>
        <v>1800</v>
      </c>
      <c r="H34" s="47">
        <f>攻击!I34*$B34</f>
        <v>340</v>
      </c>
      <c r="I34" s="47">
        <f>攻击!J34*$B34</f>
        <v>215.99999999999997</v>
      </c>
      <c r="J34" s="47">
        <f>攻击!K34*$B34</f>
        <v>431.99999999999994</v>
      </c>
      <c r="K34" s="47">
        <f>攻击!L34*$B34</f>
        <v>0</v>
      </c>
      <c r="L34" s="47">
        <f>攻击!M34*$B34</f>
        <v>0</v>
      </c>
      <c r="M34" s="47">
        <f>攻击!N34*$B34</f>
        <v>863.99999999999989</v>
      </c>
      <c r="N34" s="47">
        <f>攻击!O34*$B34</f>
        <v>1080</v>
      </c>
      <c r="O34" s="47">
        <f>攻击!P34*$B34</f>
        <v>1440</v>
      </c>
      <c r="P34" s="47">
        <f>攻击!Q34*$B34</f>
        <v>1800</v>
      </c>
      <c r="Q34" s="47">
        <f>攻击!R34*$B34</f>
        <v>2160</v>
      </c>
      <c r="R34" s="47">
        <f>攻击!S34*$B34</f>
        <v>2520</v>
      </c>
      <c r="S34" s="47">
        <f>攻击!T34*$B34</f>
        <v>540</v>
      </c>
      <c r="T34" s="47">
        <f>攻击!U34*$B34</f>
        <v>215.99999999999997</v>
      </c>
      <c r="U34" s="47">
        <f>攻击!V34*$B34</f>
        <v>215.99999999999997</v>
      </c>
      <c r="V34" s="47">
        <f>攻击!W34*$B34</f>
        <v>36</v>
      </c>
      <c r="W34" s="54">
        <f>攻击!X34</f>
        <v>0</v>
      </c>
      <c r="X34" s="54">
        <f>攻击!Y34</f>
        <v>0</v>
      </c>
      <c r="Y34" s="54">
        <f>攻击!Z34</f>
        <v>0</v>
      </c>
      <c r="Z34" s="54">
        <f>攻击!AA34</f>
        <v>0</v>
      </c>
      <c r="AA34" s="54">
        <f>攻击!AB34</f>
        <v>0</v>
      </c>
      <c r="AB34" s="47">
        <f>攻击!AC34*$B34</f>
        <v>720</v>
      </c>
      <c r="AC34" s="47">
        <f>攻击!AD34*$B34</f>
        <v>863.99999999999989</v>
      </c>
      <c r="AD34" s="47">
        <f>攻击!AE34*$B34</f>
        <v>1080</v>
      </c>
      <c r="AE34" s="47">
        <f>攻击!AF34*$B34</f>
        <v>1440</v>
      </c>
      <c r="AF34" s="47">
        <f>攻击!AG34*$B34</f>
        <v>1800</v>
      </c>
      <c r="AG34" s="47">
        <f>攻击!AH34*$B34</f>
        <v>0</v>
      </c>
      <c r="AH34" s="47">
        <f>攻击!AI34*$B34</f>
        <v>144</v>
      </c>
      <c r="AI34" s="47">
        <f>攻击!AJ34*$B34</f>
        <v>0</v>
      </c>
      <c r="AJ34" s="47">
        <f>攻击!AK34*$B34</f>
        <v>21.6</v>
      </c>
      <c r="AK34" s="47">
        <f>攻击!AL34*$B34</f>
        <v>0</v>
      </c>
      <c r="AL34" s="54">
        <f>攻击!AM34</f>
        <v>0</v>
      </c>
      <c r="AM34" s="54">
        <f>攻击!AN34</f>
        <v>0</v>
      </c>
      <c r="AN34" s="54">
        <f>攻击!AO34</f>
        <v>0</v>
      </c>
      <c r="AO34" s="54">
        <f>攻击!AP34</f>
        <v>0</v>
      </c>
      <c r="AP34" s="54">
        <f>攻击!AQ34</f>
        <v>0</v>
      </c>
      <c r="AQ34" s="47">
        <f>攻击!AR34*$B34</f>
        <v>144</v>
      </c>
      <c r="AR34" s="20">
        <f t="shared" si="0"/>
        <v>2664</v>
      </c>
    </row>
    <row r="35" spans="1:44" s="20" customFormat="1">
      <c r="A35" s="46">
        <v>33</v>
      </c>
      <c r="B35" s="51">
        <f t="shared" si="1"/>
        <v>10</v>
      </c>
      <c r="C35" s="47">
        <f>攻击!D35*$B35</f>
        <v>740</v>
      </c>
      <c r="D35" s="47">
        <f>攻击!E35*$B35</f>
        <v>888</v>
      </c>
      <c r="E35" s="47">
        <f>攻击!F35*$B35</f>
        <v>1110</v>
      </c>
      <c r="F35" s="47">
        <f>攻击!G35*$B35</f>
        <v>1480</v>
      </c>
      <c r="G35" s="47">
        <f>攻击!H35*$B35</f>
        <v>1850</v>
      </c>
      <c r="H35" s="47">
        <f>攻击!I35*$B35</f>
        <v>340</v>
      </c>
      <c r="I35" s="47">
        <f>攻击!J35*$B35</f>
        <v>222</v>
      </c>
      <c r="J35" s="47">
        <f>攻击!K35*$B35</f>
        <v>444</v>
      </c>
      <c r="K35" s="47">
        <f>攻击!L35*$B35</f>
        <v>0</v>
      </c>
      <c r="L35" s="47">
        <f>攻击!M35*$B35</f>
        <v>0</v>
      </c>
      <c r="M35" s="47">
        <f>攻击!N35*$B35</f>
        <v>888</v>
      </c>
      <c r="N35" s="47">
        <f>攻击!O35*$B35</f>
        <v>1110</v>
      </c>
      <c r="O35" s="47">
        <f>攻击!P35*$B35</f>
        <v>1480</v>
      </c>
      <c r="P35" s="47">
        <f>攻击!Q35*$B35</f>
        <v>1850</v>
      </c>
      <c r="Q35" s="47">
        <f>攻击!R35*$B35</f>
        <v>2220</v>
      </c>
      <c r="R35" s="47">
        <f>攻击!S35*$B35</f>
        <v>2590</v>
      </c>
      <c r="S35" s="47">
        <f>攻击!T35*$B35</f>
        <v>555</v>
      </c>
      <c r="T35" s="47">
        <f>攻击!U35*$B35</f>
        <v>222</v>
      </c>
      <c r="U35" s="47">
        <f>攻击!V35*$B35</f>
        <v>222</v>
      </c>
      <c r="V35" s="47">
        <f>攻击!W35*$B35</f>
        <v>37</v>
      </c>
      <c r="W35" s="54">
        <f>攻击!X35</f>
        <v>0</v>
      </c>
      <c r="X35" s="54">
        <f>攻击!Y35</f>
        <v>0</v>
      </c>
      <c r="Y35" s="54">
        <f>攻击!Z35</f>
        <v>0</v>
      </c>
      <c r="Z35" s="54">
        <f>攻击!AA35</f>
        <v>0</v>
      </c>
      <c r="AA35" s="54">
        <f>攻击!AB35</f>
        <v>0</v>
      </c>
      <c r="AB35" s="47">
        <f>攻击!AC35*$B35</f>
        <v>740</v>
      </c>
      <c r="AC35" s="47">
        <f>攻击!AD35*$B35</f>
        <v>888</v>
      </c>
      <c r="AD35" s="47">
        <f>攻击!AE35*$B35</f>
        <v>1110</v>
      </c>
      <c r="AE35" s="47">
        <f>攻击!AF35*$B35</f>
        <v>1480</v>
      </c>
      <c r="AF35" s="47">
        <f>攻击!AG35*$B35</f>
        <v>1850</v>
      </c>
      <c r="AG35" s="47">
        <f>攻击!AH35*$B35</f>
        <v>0</v>
      </c>
      <c r="AH35" s="47">
        <f>攻击!AI35*$B35</f>
        <v>148</v>
      </c>
      <c r="AI35" s="47">
        <f>攻击!AJ35*$B35</f>
        <v>0</v>
      </c>
      <c r="AJ35" s="47">
        <f>攻击!AK35*$B35</f>
        <v>22.199999999999996</v>
      </c>
      <c r="AK35" s="47">
        <f>攻击!AL35*$B35</f>
        <v>0</v>
      </c>
      <c r="AL35" s="54">
        <f>攻击!AM35</f>
        <v>0</v>
      </c>
      <c r="AM35" s="54">
        <f>攻击!AN35</f>
        <v>0</v>
      </c>
      <c r="AN35" s="54">
        <f>攻击!AO35</f>
        <v>0</v>
      </c>
      <c r="AO35" s="54">
        <f>攻击!AP35</f>
        <v>0</v>
      </c>
      <c r="AP35" s="54">
        <f>攻击!AQ35</f>
        <v>0</v>
      </c>
      <c r="AQ35" s="47">
        <f>攻击!AR35*$B35</f>
        <v>148</v>
      </c>
      <c r="AR35" s="20">
        <f t="shared" si="0"/>
        <v>2738</v>
      </c>
    </row>
    <row r="36" spans="1:44" s="20" customFormat="1">
      <c r="A36" s="46">
        <v>34</v>
      </c>
      <c r="B36" s="51">
        <f t="shared" si="1"/>
        <v>10</v>
      </c>
      <c r="C36" s="47">
        <f>攻击!D36*$B36</f>
        <v>760</v>
      </c>
      <c r="D36" s="47">
        <f>攻击!E36*$B36</f>
        <v>912</v>
      </c>
      <c r="E36" s="47">
        <f>攻击!F36*$B36</f>
        <v>1140</v>
      </c>
      <c r="F36" s="47">
        <f>攻击!G36*$B36</f>
        <v>1520</v>
      </c>
      <c r="G36" s="47">
        <f>攻击!H36*$B36</f>
        <v>1900</v>
      </c>
      <c r="H36" s="47">
        <f>攻击!I36*$B36</f>
        <v>340</v>
      </c>
      <c r="I36" s="47">
        <f>攻击!J36*$B36</f>
        <v>228</v>
      </c>
      <c r="J36" s="47">
        <f>攻击!K36*$B36</f>
        <v>456</v>
      </c>
      <c r="K36" s="47">
        <f>攻击!L36*$B36</f>
        <v>0</v>
      </c>
      <c r="L36" s="47">
        <f>攻击!M36*$B36</f>
        <v>0</v>
      </c>
      <c r="M36" s="47">
        <f>攻击!N36*$B36</f>
        <v>912</v>
      </c>
      <c r="N36" s="47">
        <f>攻击!O36*$B36</f>
        <v>1140</v>
      </c>
      <c r="O36" s="47">
        <f>攻击!P36*$B36</f>
        <v>1520</v>
      </c>
      <c r="P36" s="47">
        <f>攻击!Q36*$B36</f>
        <v>1900</v>
      </c>
      <c r="Q36" s="47">
        <f>攻击!R36*$B36</f>
        <v>2280</v>
      </c>
      <c r="R36" s="47">
        <f>攻击!S36*$B36</f>
        <v>2660</v>
      </c>
      <c r="S36" s="47">
        <f>攻击!T36*$B36</f>
        <v>570</v>
      </c>
      <c r="T36" s="47">
        <f>攻击!U36*$B36</f>
        <v>228</v>
      </c>
      <c r="U36" s="47">
        <f>攻击!V36*$B36</f>
        <v>228</v>
      </c>
      <c r="V36" s="47">
        <f>攻击!W36*$B36</f>
        <v>38</v>
      </c>
      <c r="W36" s="54">
        <f>攻击!X36</f>
        <v>0</v>
      </c>
      <c r="X36" s="54">
        <f>攻击!Y36</f>
        <v>0</v>
      </c>
      <c r="Y36" s="54">
        <f>攻击!Z36</f>
        <v>0</v>
      </c>
      <c r="Z36" s="54">
        <f>攻击!AA36</f>
        <v>0</v>
      </c>
      <c r="AA36" s="54">
        <f>攻击!AB36</f>
        <v>0</v>
      </c>
      <c r="AB36" s="47">
        <f>攻击!AC36*$B36</f>
        <v>760</v>
      </c>
      <c r="AC36" s="47">
        <f>攻击!AD36*$B36</f>
        <v>912</v>
      </c>
      <c r="AD36" s="47">
        <f>攻击!AE36*$B36</f>
        <v>1140</v>
      </c>
      <c r="AE36" s="47">
        <f>攻击!AF36*$B36</f>
        <v>1520</v>
      </c>
      <c r="AF36" s="47">
        <f>攻击!AG36*$B36</f>
        <v>1900</v>
      </c>
      <c r="AG36" s="47">
        <f>攻击!AH36*$B36</f>
        <v>0</v>
      </c>
      <c r="AH36" s="47">
        <f>攻击!AI36*$B36</f>
        <v>152</v>
      </c>
      <c r="AI36" s="47">
        <f>攻击!AJ36*$B36</f>
        <v>0</v>
      </c>
      <c r="AJ36" s="47">
        <f>攻击!AK36*$B36</f>
        <v>22.799999999999997</v>
      </c>
      <c r="AK36" s="47">
        <f>攻击!AL36*$B36</f>
        <v>0</v>
      </c>
      <c r="AL36" s="54">
        <f>攻击!AM36</f>
        <v>0</v>
      </c>
      <c r="AM36" s="54">
        <f>攻击!AN36</f>
        <v>0</v>
      </c>
      <c r="AN36" s="54">
        <f>攻击!AO36</f>
        <v>0</v>
      </c>
      <c r="AO36" s="54">
        <f>攻击!AP36</f>
        <v>0</v>
      </c>
      <c r="AP36" s="54">
        <f>攻击!AQ36</f>
        <v>0</v>
      </c>
      <c r="AQ36" s="47">
        <f>攻击!AR36*$B36</f>
        <v>152</v>
      </c>
      <c r="AR36" s="20">
        <f t="shared" si="0"/>
        <v>2812</v>
      </c>
    </row>
    <row r="37" spans="1:44" s="20" customFormat="1">
      <c r="A37" s="46">
        <v>35</v>
      </c>
      <c r="B37" s="51">
        <f t="shared" si="1"/>
        <v>10</v>
      </c>
      <c r="C37" s="47">
        <f>攻击!D37*$B37</f>
        <v>780</v>
      </c>
      <c r="D37" s="47">
        <f>攻击!E37*$B37</f>
        <v>936</v>
      </c>
      <c r="E37" s="47">
        <f>攻击!F37*$B37</f>
        <v>1170</v>
      </c>
      <c r="F37" s="47">
        <f>攻击!G37*$B37</f>
        <v>1560</v>
      </c>
      <c r="G37" s="47">
        <f>攻击!H37*$B37</f>
        <v>1950</v>
      </c>
      <c r="H37" s="47">
        <f>攻击!I37*$B37</f>
        <v>390</v>
      </c>
      <c r="I37" s="47">
        <f>攻击!J37*$B37</f>
        <v>234</v>
      </c>
      <c r="J37" s="47">
        <f>攻击!K37*$B37</f>
        <v>468</v>
      </c>
      <c r="K37" s="47">
        <f>攻击!L37*$B37</f>
        <v>0</v>
      </c>
      <c r="L37" s="47">
        <f>攻击!M37*$B37</f>
        <v>0</v>
      </c>
      <c r="M37" s="47">
        <f>攻击!N37*$B37</f>
        <v>936</v>
      </c>
      <c r="N37" s="47">
        <f>攻击!O37*$B37</f>
        <v>1170</v>
      </c>
      <c r="O37" s="47">
        <f>攻击!P37*$B37</f>
        <v>1560</v>
      </c>
      <c r="P37" s="47">
        <f>攻击!Q37*$B37</f>
        <v>1950</v>
      </c>
      <c r="Q37" s="47">
        <f>攻击!R37*$B37</f>
        <v>2340</v>
      </c>
      <c r="R37" s="47">
        <f>攻击!S37*$B37</f>
        <v>2730</v>
      </c>
      <c r="S37" s="47">
        <f>攻击!T37*$B37</f>
        <v>585</v>
      </c>
      <c r="T37" s="47">
        <f>攻击!U37*$B37</f>
        <v>234</v>
      </c>
      <c r="U37" s="47">
        <f>攻击!V37*$B37</f>
        <v>234</v>
      </c>
      <c r="V37" s="47">
        <f>攻击!W37*$B37</f>
        <v>39</v>
      </c>
      <c r="W37" s="54">
        <f>攻击!X37</f>
        <v>0</v>
      </c>
      <c r="X37" s="54">
        <f>攻击!Y37</f>
        <v>0</v>
      </c>
      <c r="Y37" s="54">
        <f>攻击!Z37</f>
        <v>0</v>
      </c>
      <c r="Z37" s="54">
        <f>攻击!AA37</f>
        <v>0</v>
      </c>
      <c r="AA37" s="54">
        <f>攻击!AB37</f>
        <v>0</v>
      </c>
      <c r="AB37" s="47">
        <f>攻击!AC37*$B37</f>
        <v>780</v>
      </c>
      <c r="AC37" s="47">
        <f>攻击!AD37*$B37</f>
        <v>936</v>
      </c>
      <c r="AD37" s="47">
        <f>攻击!AE37*$B37</f>
        <v>1170</v>
      </c>
      <c r="AE37" s="47">
        <f>攻击!AF37*$B37</f>
        <v>1560</v>
      </c>
      <c r="AF37" s="47">
        <f>攻击!AG37*$B37</f>
        <v>1950</v>
      </c>
      <c r="AG37" s="47">
        <f>攻击!AH37*$B37</f>
        <v>0</v>
      </c>
      <c r="AH37" s="47">
        <f>攻击!AI37*$B37</f>
        <v>156</v>
      </c>
      <c r="AI37" s="47">
        <f>攻击!AJ37*$B37</f>
        <v>0</v>
      </c>
      <c r="AJ37" s="47">
        <f>攻击!AK37*$B37</f>
        <v>23.4</v>
      </c>
      <c r="AK37" s="47">
        <f>攻击!AL37*$B37</f>
        <v>0</v>
      </c>
      <c r="AL37" s="54">
        <f>攻击!AM37</f>
        <v>0</v>
      </c>
      <c r="AM37" s="54">
        <f>攻击!AN37</f>
        <v>0</v>
      </c>
      <c r="AN37" s="54">
        <f>攻击!AO37</f>
        <v>0</v>
      </c>
      <c r="AO37" s="54">
        <f>攻击!AP37</f>
        <v>0</v>
      </c>
      <c r="AP37" s="54">
        <f>攻击!AQ37</f>
        <v>0</v>
      </c>
      <c r="AQ37" s="47">
        <f>攻击!AR37*$B37</f>
        <v>156</v>
      </c>
      <c r="AR37" s="20">
        <f t="shared" si="0"/>
        <v>2886</v>
      </c>
    </row>
    <row r="38" spans="1:44" s="20" customFormat="1">
      <c r="A38" s="46">
        <v>36</v>
      </c>
      <c r="B38" s="51">
        <f t="shared" si="1"/>
        <v>10</v>
      </c>
      <c r="C38" s="47">
        <f>攻击!D38*$B38</f>
        <v>800</v>
      </c>
      <c r="D38" s="47">
        <f>攻击!E38*$B38</f>
        <v>960</v>
      </c>
      <c r="E38" s="47">
        <f>攻击!F38*$B38</f>
        <v>1200</v>
      </c>
      <c r="F38" s="47">
        <f>攻击!G38*$B38</f>
        <v>1600</v>
      </c>
      <c r="G38" s="47">
        <f>攻击!H38*$B38</f>
        <v>2000</v>
      </c>
      <c r="H38" s="47">
        <f>攻击!I38*$B38</f>
        <v>390</v>
      </c>
      <c r="I38" s="47">
        <f>攻击!J38*$B38</f>
        <v>240</v>
      </c>
      <c r="J38" s="47">
        <f>攻击!K38*$B38</f>
        <v>480</v>
      </c>
      <c r="K38" s="47">
        <f>攻击!L38*$B38</f>
        <v>0</v>
      </c>
      <c r="L38" s="47">
        <f>攻击!M38*$B38</f>
        <v>0</v>
      </c>
      <c r="M38" s="47">
        <f>攻击!N38*$B38</f>
        <v>960</v>
      </c>
      <c r="N38" s="47">
        <f>攻击!O38*$B38</f>
        <v>1200</v>
      </c>
      <c r="O38" s="47">
        <f>攻击!P38*$B38</f>
        <v>1600</v>
      </c>
      <c r="P38" s="47">
        <f>攻击!Q38*$B38</f>
        <v>2000</v>
      </c>
      <c r="Q38" s="47">
        <f>攻击!R38*$B38</f>
        <v>2400</v>
      </c>
      <c r="R38" s="47">
        <f>攻击!S38*$B38</f>
        <v>2800</v>
      </c>
      <c r="S38" s="47">
        <f>攻击!T38*$B38</f>
        <v>600</v>
      </c>
      <c r="T38" s="47">
        <f>攻击!U38*$B38</f>
        <v>240</v>
      </c>
      <c r="U38" s="47">
        <f>攻击!V38*$B38</f>
        <v>240</v>
      </c>
      <c r="V38" s="47">
        <f>攻击!W38*$B38</f>
        <v>40</v>
      </c>
      <c r="W38" s="54">
        <f>攻击!X38</f>
        <v>0</v>
      </c>
      <c r="X38" s="54">
        <f>攻击!Y38</f>
        <v>0</v>
      </c>
      <c r="Y38" s="54">
        <f>攻击!Z38</f>
        <v>0</v>
      </c>
      <c r="Z38" s="54">
        <f>攻击!AA38</f>
        <v>0</v>
      </c>
      <c r="AA38" s="54">
        <f>攻击!AB38</f>
        <v>0</v>
      </c>
      <c r="AB38" s="47">
        <f>攻击!AC38*$B38</f>
        <v>800</v>
      </c>
      <c r="AC38" s="47">
        <f>攻击!AD38*$B38</f>
        <v>960</v>
      </c>
      <c r="AD38" s="47">
        <f>攻击!AE38*$B38</f>
        <v>1200</v>
      </c>
      <c r="AE38" s="47">
        <f>攻击!AF38*$B38</f>
        <v>1600</v>
      </c>
      <c r="AF38" s="47">
        <f>攻击!AG38*$B38</f>
        <v>2000</v>
      </c>
      <c r="AG38" s="47">
        <f>攻击!AH38*$B38</f>
        <v>0</v>
      </c>
      <c r="AH38" s="47">
        <f>攻击!AI38*$B38</f>
        <v>160</v>
      </c>
      <c r="AI38" s="47">
        <f>攻击!AJ38*$B38</f>
        <v>0</v>
      </c>
      <c r="AJ38" s="47">
        <f>攻击!AK38*$B38</f>
        <v>24</v>
      </c>
      <c r="AK38" s="47">
        <f>攻击!AL38*$B38</f>
        <v>0</v>
      </c>
      <c r="AL38" s="54">
        <f>攻击!AM38</f>
        <v>0</v>
      </c>
      <c r="AM38" s="54">
        <f>攻击!AN38</f>
        <v>0</v>
      </c>
      <c r="AN38" s="54">
        <f>攻击!AO38</f>
        <v>0</v>
      </c>
      <c r="AO38" s="54">
        <f>攻击!AP38</f>
        <v>0</v>
      </c>
      <c r="AP38" s="54">
        <f>攻击!AQ38</f>
        <v>0</v>
      </c>
      <c r="AQ38" s="47">
        <f>攻击!AR38*$B38</f>
        <v>160</v>
      </c>
      <c r="AR38" s="20">
        <f t="shared" si="0"/>
        <v>2960</v>
      </c>
    </row>
    <row r="39" spans="1:44" s="20" customFormat="1">
      <c r="A39" s="46">
        <v>37</v>
      </c>
      <c r="B39" s="51">
        <f t="shared" si="1"/>
        <v>10</v>
      </c>
      <c r="C39" s="47">
        <f>攻击!D39*$B39</f>
        <v>820</v>
      </c>
      <c r="D39" s="47">
        <f>攻击!E39*$B39</f>
        <v>983.99999999999989</v>
      </c>
      <c r="E39" s="47">
        <f>攻击!F39*$B39</f>
        <v>1230</v>
      </c>
      <c r="F39" s="47">
        <f>攻击!G39*$B39</f>
        <v>1640</v>
      </c>
      <c r="G39" s="47">
        <f>攻击!H39*$B39</f>
        <v>2050</v>
      </c>
      <c r="H39" s="47">
        <f>攻击!I39*$B39</f>
        <v>390</v>
      </c>
      <c r="I39" s="47">
        <f>攻击!J39*$B39</f>
        <v>245.99999999999997</v>
      </c>
      <c r="J39" s="47">
        <f>攻击!K39*$B39</f>
        <v>491.99999999999994</v>
      </c>
      <c r="K39" s="47">
        <f>攻击!L39*$B39</f>
        <v>0</v>
      </c>
      <c r="L39" s="47">
        <f>攻击!M39*$B39</f>
        <v>0</v>
      </c>
      <c r="M39" s="47">
        <f>攻击!N39*$B39</f>
        <v>983.99999999999989</v>
      </c>
      <c r="N39" s="47">
        <f>攻击!O39*$B39</f>
        <v>1230</v>
      </c>
      <c r="O39" s="47">
        <f>攻击!P39*$B39</f>
        <v>1640</v>
      </c>
      <c r="P39" s="47">
        <f>攻击!Q39*$B39</f>
        <v>2050</v>
      </c>
      <c r="Q39" s="47">
        <f>攻击!R39*$B39</f>
        <v>2460</v>
      </c>
      <c r="R39" s="47">
        <f>攻击!S39*$B39</f>
        <v>2870</v>
      </c>
      <c r="S39" s="47">
        <f>攻击!T39*$B39</f>
        <v>615</v>
      </c>
      <c r="T39" s="47">
        <f>攻击!U39*$B39</f>
        <v>245.99999999999997</v>
      </c>
      <c r="U39" s="47">
        <f>攻击!V39*$B39</f>
        <v>245.99999999999997</v>
      </c>
      <c r="V39" s="47">
        <f>攻击!W39*$B39</f>
        <v>41.000000000000007</v>
      </c>
      <c r="W39" s="54">
        <f>攻击!X39</f>
        <v>0</v>
      </c>
      <c r="X39" s="54">
        <f>攻击!Y39</f>
        <v>0</v>
      </c>
      <c r="Y39" s="54">
        <f>攻击!Z39</f>
        <v>0</v>
      </c>
      <c r="Z39" s="54">
        <f>攻击!AA39</f>
        <v>0</v>
      </c>
      <c r="AA39" s="54">
        <f>攻击!AB39</f>
        <v>0</v>
      </c>
      <c r="AB39" s="47">
        <f>攻击!AC39*$B39</f>
        <v>820</v>
      </c>
      <c r="AC39" s="47">
        <f>攻击!AD39*$B39</f>
        <v>983.99999999999989</v>
      </c>
      <c r="AD39" s="47">
        <f>攻击!AE39*$B39</f>
        <v>1230</v>
      </c>
      <c r="AE39" s="47">
        <f>攻击!AF39*$B39</f>
        <v>1640</v>
      </c>
      <c r="AF39" s="47">
        <f>攻击!AG39*$B39</f>
        <v>2050</v>
      </c>
      <c r="AG39" s="47">
        <f>攻击!AH39*$B39</f>
        <v>0</v>
      </c>
      <c r="AH39" s="47">
        <f>攻击!AI39*$B39</f>
        <v>164.00000000000003</v>
      </c>
      <c r="AI39" s="47">
        <f>攻击!AJ39*$B39</f>
        <v>0</v>
      </c>
      <c r="AJ39" s="47">
        <f>攻击!AK39*$B39</f>
        <v>24.6</v>
      </c>
      <c r="AK39" s="47">
        <f>攻击!AL39*$B39</f>
        <v>0</v>
      </c>
      <c r="AL39" s="54">
        <f>攻击!AM39</f>
        <v>0</v>
      </c>
      <c r="AM39" s="54">
        <f>攻击!AN39</f>
        <v>0</v>
      </c>
      <c r="AN39" s="54">
        <f>攻击!AO39</f>
        <v>0</v>
      </c>
      <c r="AO39" s="54">
        <f>攻击!AP39</f>
        <v>0</v>
      </c>
      <c r="AP39" s="54">
        <f>攻击!AQ39</f>
        <v>0</v>
      </c>
      <c r="AQ39" s="47">
        <f>攻击!AR39*$B39</f>
        <v>164.00000000000003</v>
      </c>
      <c r="AR39" s="20">
        <f t="shared" si="0"/>
        <v>3034</v>
      </c>
    </row>
    <row r="40" spans="1:44" s="20" customFormat="1">
      <c r="A40" s="46">
        <v>38</v>
      </c>
      <c r="B40" s="51">
        <f t="shared" si="1"/>
        <v>10</v>
      </c>
      <c r="C40" s="47">
        <f>攻击!D40*$B40</f>
        <v>840</v>
      </c>
      <c r="D40" s="47">
        <f>攻击!E40*$B40</f>
        <v>1008</v>
      </c>
      <c r="E40" s="47">
        <f>攻击!F40*$B40</f>
        <v>1260</v>
      </c>
      <c r="F40" s="47">
        <f>攻击!G40*$B40</f>
        <v>1680</v>
      </c>
      <c r="G40" s="47">
        <f>攻击!H40*$B40</f>
        <v>2100</v>
      </c>
      <c r="H40" s="47">
        <f>攻击!I40*$B40</f>
        <v>390</v>
      </c>
      <c r="I40" s="47">
        <f>攻击!J40*$B40</f>
        <v>252</v>
      </c>
      <c r="J40" s="47">
        <f>攻击!K40*$B40</f>
        <v>504</v>
      </c>
      <c r="K40" s="47">
        <f>攻击!L40*$B40</f>
        <v>0</v>
      </c>
      <c r="L40" s="47">
        <f>攻击!M40*$B40</f>
        <v>0</v>
      </c>
      <c r="M40" s="47">
        <f>攻击!N40*$B40</f>
        <v>1008</v>
      </c>
      <c r="N40" s="47">
        <f>攻击!O40*$B40</f>
        <v>1260</v>
      </c>
      <c r="O40" s="47">
        <f>攻击!P40*$B40</f>
        <v>1680</v>
      </c>
      <c r="P40" s="47">
        <f>攻击!Q40*$B40</f>
        <v>2100</v>
      </c>
      <c r="Q40" s="47">
        <f>攻击!R40*$B40</f>
        <v>2520</v>
      </c>
      <c r="R40" s="47">
        <f>攻击!S40*$B40</f>
        <v>2940</v>
      </c>
      <c r="S40" s="47">
        <f>攻击!T40*$B40</f>
        <v>630</v>
      </c>
      <c r="T40" s="47">
        <f>攻击!U40*$B40</f>
        <v>252</v>
      </c>
      <c r="U40" s="47">
        <f>攻击!V40*$B40</f>
        <v>252</v>
      </c>
      <c r="V40" s="47">
        <f>攻击!W40*$B40</f>
        <v>42</v>
      </c>
      <c r="W40" s="54">
        <f>攻击!X40</f>
        <v>0</v>
      </c>
      <c r="X40" s="54">
        <f>攻击!Y40</f>
        <v>0</v>
      </c>
      <c r="Y40" s="54">
        <f>攻击!Z40</f>
        <v>0</v>
      </c>
      <c r="Z40" s="54">
        <f>攻击!AA40</f>
        <v>0</v>
      </c>
      <c r="AA40" s="54">
        <f>攻击!AB40</f>
        <v>0</v>
      </c>
      <c r="AB40" s="47">
        <f>攻击!AC40*$B40</f>
        <v>840</v>
      </c>
      <c r="AC40" s="47">
        <f>攻击!AD40*$B40</f>
        <v>1008</v>
      </c>
      <c r="AD40" s="47">
        <f>攻击!AE40*$B40</f>
        <v>1260</v>
      </c>
      <c r="AE40" s="47">
        <f>攻击!AF40*$B40</f>
        <v>1680</v>
      </c>
      <c r="AF40" s="47">
        <f>攻击!AG40*$B40</f>
        <v>2100</v>
      </c>
      <c r="AG40" s="47">
        <f>攻击!AH40*$B40</f>
        <v>0</v>
      </c>
      <c r="AH40" s="47">
        <f>攻击!AI40*$B40</f>
        <v>168</v>
      </c>
      <c r="AI40" s="47">
        <f>攻击!AJ40*$B40</f>
        <v>0</v>
      </c>
      <c r="AJ40" s="47">
        <f>攻击!AK40*$B40</f>
        <v>25.2</v>
      </c>
      <c r="AK40" s="47">
        <f>攻击!AL40*$B40</f>
        <v>0</v>
      </c>
      <c r="AL40" s="54">
        <f>攻击!AM40</f>
        <v>0</v>
      </c>
      <c r="AM40" s="54">
        <f>攻击!AN40</f>
        <v>0</v>
      </c>
      <c r="AN40" s="54">
        <f>攻击!AO40</f>
        <v>0</v>
      </c>
      <c r="AO40" s="54">
        <f>攻击!AP40</f>
        <v>0</v>
      </c>
      <c r="AP40" s="54">
        <f>攻击!AQ40</f>
        <v>0</v>
      </c>
      <c r="AQ40" s="47">
        <f>攻击!AR40*$B40</f>
        <v>168</v>
      </c>
      <c r="AR40" s="20">
        <f t="shared" si="0"/>
        <v>3108</v>
      </c>
    </row>
    <row r="41" spans="1:44" s="20" customFormat="1">
      <c r="A41" s="46">
        <v>39</v>
      </c>
      <c r="B41" s="51">
        <f t="shared" si="1"/>
        <v>10</v>
      </c>
      <c r="C41" s="47">
        <f>攻击!D41*$B41</f>
        <v>860</v>
      </c>
      <c r="D41" s="47">
        <f>攻击!E41*$B41</f>
        <v>1032</v>
      </c>
      <c r="E41" s="47">
        <f>攻击!F41*$B41</f>
        <v>1290</v>
      </c>
      <c r="F41" s="47">
        <f>攻击!G41*$B41</f>
        <v>1720</v>
      </c>
      <c r="G41" s="47">
        <f>攻击!H41*$B41</f>
        <v>2150</v>
      </c>
      <c r="H41" s="47">
        <f>攻击!I41*$B41</f>
        <v>390</v>
      </c>
      <c r="I41" s="47">
        <f>攻击!J41*$B41</f>
        <v>258</v>
      </c>
      <c r="J41" s="47">
        <f>攻击!K41*$B41</f>
        <v>516</v>
      </c>
      <c r="K41" s="47">
        <f>攻击!L41*$B41</f>
        <v>0</v>
      </c>
      <c r="L41" s="47">
        <f>攻击!M41*$B41</f>
        <v>0</v>
      </c>
      <c r="M41" s="47">
        <f>攻击!N41*$B41</f>
        <v>1032</v>
      </c>
      <c r="N41" s="47">
        <f>攻击!O41*$B41</f>
        <v>1290</v>
      </c>
      <c r="O41" s="47">
        <f>攻击!P41*$B41</f>
        <v>1720</v>
      </c>
      <c r="P41" s="47">
        <f>攻击!Q41*$B41</f>
        <v>2150</v>
      </c>
      <c r="Q41" s="47">
        <f>攻击!R41*$B41</f>
        <v>2580</v>
      </c>
      <c r="R41" s="47">
        <f>攻击!S41*$B41</f>
        <v>3010</v>
      </c>
      <c r="S41" s="47">
        <f>攻击!T41*$B41</f>
        <v>645</v>
      </c>
      <c r="T41" s="47">
        <f>攻击!U41*$B41</f>
        <v>258</v>
      </c>
      <c r="U41" s="47">
        <f>攻击!V41*$B41</f>
        <v>258</v>
      </c>
      <c r="V41" s="47">
        <f>攻击!W41*$B41</f>
        <v>43</v>
      </c>
      <c r="W41" s="54">
        <f>攻击!X41</f>
        <v>0</v>
      </c>
      <c r="X41" s="54">
        <f>攻击!Y41</f>
        <v>0</v>
      </c>
      <c r="Y41" s="54">
        <f>攻击!Z41</f>
        <v>0</v>
      </c>
      <c r="Z41" s="54">
        <f>攻击!AA41</f>
        <v>0</v>
      </c>
      <c r="AA41" s="54">
        <f>攻击!AB41</f>
        <v>0</v>
      </c>
      <c r="AB41" s="47">
        <f>攻击!AC41*$B41</f>
        <v>860</v>
      </c>
      <c r="AC41" s="47">
        <f>攻击!AD41*$B41</f>
        <v>1032</v>
      </c>
      <c r="AD41" s="47">
        <f>攻击!AE41*$B41</f>
        <v>1290</v>
      </c>
      <c r="AE41" s="47">
        <f>攻击!AF41*$B41</f>
        <v>1720</v>
      </c>
      <c r="AF41" s="47">
        <f>攻击!AG41*$B41</f>
        <v>2150</v>
      </c>
      <c r="AG41" s="47">
        <f>攻击!AH41*$B41</f>
        <v>0</v>
      </c>
      <c r="AH41" s="47">
        <f>攻击!AI41*$B41</f>
        <v>172</v>
      </c>
      <c r="AI41" s="47">
        <f>攻击!AJ41*$B41</f>
        <v>0</v>
      </c>
      <c r="AJ41" s="47">
        <f>攻击!AK41*$B41</f>
        <v>25.8</v>
      </c>
      <c r="AK41" s="47">
        <f>攻击!AL41*$B41</f>
        <v>0</v>
      </c>
      <c r="AL41" s="54">
        <f>攻击!AM41</f>
        <v>0</v>
      </c>
      <c r="AM41" s="54">
        <f>攻击!AN41</f>
        <v>0</v>
      </c>
      <c r="AN41" s="54">
        <f>攻击!AO41</f>
        <v>0</v>
      </c>
      <c r="AO41" s="54">
        <f>攻击!AP41</f>
        <v>0</v>
      </c>
      <c r="AP41" s="54">
        <f>攻击!AQ41</f>
        <v>0</v>
      </c>
      <c r="AQ41" s="47">
        <f>攻击!AR41*$B41</f>
        <v>172</v>
      </c>
      <c r="AR41" s="20">
        <f t="shared" si="0"/>
        <v>3182</v>
      </c>
    </row>
    <row r="42" spans="1:44" s="20" customFormat="1">
      <c r="A42" s="46">
        <v>40</v>
      </c>
      <c r="B42" s="51">
        <f t="shared" si="1"/>
        <v>10</v>
      </c>
      <c r="C42" s="47">
        <f>攻击!D42*$B42</f>
        <v>880</v>
      </c>
      <c r="D42" s="47">
        <f>攻击!E42*$B42</f>
        <v>1056</v>
      </c>
      <c r="E42" s="47">
        <f>攻击!F42*$B42</f>
        <v>1320</v>
      </c>
      <c r="F42" s="47">
        <f>攻击!G42*$B42</f>
        <v>1760</v>
      </c>
      <c r="G42" s="47">
        <f>攻击!H42*$B42</f>
        <v>2200</v>
      </c>
      <c r="H42" s="47">
        <f>攻击!I42*$B42</f>
        <v>440</v>
      </c>
      <c r="I42" s="47">
        <f>攻击!J42*$B42</f>
        <v>264</v>
      </c>
      <c r="J42" s="47">
        <f>攻击!K42*$B42</f>
        <v>528</v>
      </c>
      <c r="K42" s="47">
        <f>攻击!L42*$B42</f>
        <v>0</v>
      </c>
      <c r="L42" s="47">
        <f>攻击!M42*$B42</f>
        <v>0</v>
      </c>
      <c r="M42" s="47">
        <f>攻击!N42*$B42</f>
        <v>1056</v>
      </c>
      <c r="N42" s="47">
        <f>攻击!O42*$B42</f>
        <v>1320</v>
      </c>
      <c r="O42" s="47">
        <f>攻击!P42*$B42</f>
        <v>1760</v>
      </c>
      <c r="P42" s="47">
        <f>攻击!Q42*$B42</f>
        <v>2200</v>
      </c>
      <c r="Q42" s="47">
        <f>攻击!R42*$B42</f>
        <v>2640</v>
      </c>
      <c r="R42" s="47">
        <f>攻击!S42*$B42</f>
        <v>3080</v>
      </c>
      <c r="S42" s="47">
        <f>攻击!T42*$B42</f>
        <v>660</v>
      </c>
      <c r="T42" s="47">
        <f>攻击!U42*$B42</f>
        <v>264</v>
      </c>
      <c r="U42" s="47">
        <f>攻击!V42*$B42</f>
        <v>264</v>
      </c>
      <c r="V42" s="47">
        <f>攻击!W42*$B42</f>
        <v>44</v>
      </c>
      <c r="W42" s="54">
        <f>攻击!X42</f>
        <v>0</v>
      </c>
      <c r="X42" s="54">
        <f>攻击!Y42</f>
        <v>0</v>
      </c>
      <c r="Y42" s="54">
        <f>攻击!Z42</f>
        <v>0</v>
      </c>
      <c r="Z42" s="54">
        <f>攻击!AA42</f>
        <v>0</v>
      </c>
      <c r="AA42" s="54">
        <f>攻击!AB42</f>
        <v>0</v>
      </c>
      <c r="AB42" s="47">
        <f>攻击!AC42*$B42</f>
        <v>880</v>
      </c>
      <c r="AC42" s="47">
        <f>攻击!AD42*$B42</f>
        <v>1056</v>
      </c>
      <c r="AD42" s="47">
        <f>攻击!AE42*$B42</f>
        <v>1320</v>
      </c>
      <c r="AE42" s="47">
        <f>攻击!AF42*$B42</f>
        <v>1760</v>
      </c>
      <c r="AF42" s="47">
        <f>攻击!AG42*$B42</f>
        <v>2200</v>
      </c>
      <c r="AG42" s="47">
        <f>攻击!AH42*$B42</f>
        <v>440</v>
      </c>
      <c r="AH42" s="47">
        <f>攻击!AI42*$B42</f>
        <v>176</v>
      </c>
      <c r="AI42" s="47">
        <f>攻击!AJ42*$B42</f>
        <v>176</v>
      </c>
      <c r="AJ42" s="47">
        <f>攻击!AK42*$B42</f>
        <v>26.4</v>
      </c>
      <c r="AK42" s="47">
        <f>攻击!AL42*$B42</f>
        <v>0</v>
      </c>
      <c r="AL42" s="54">
        <f>攻击!AM42</f>
        <v>0</v>
      </c>
      <c r="AM42" s="54">
        <f>攻击!AN42</f>
        <v>0</v>
      </c>
      <c r="AN42" s="54">
        <f>攻击!AO42</f>
        <v>0</v>
      </c>
      <c r="AO42" s="54">
        <f>攻击!AP42</f>
        <v>0</v>
      </c>
      <c r="AP42" s="54">
        <f>攻击!AQ42</f>
        <v>0</v>
      </c>
      <c r="AQ42" s="47">
        <f>攻击!AR42*$B42</f>
        <v>176</v>
      </c>
      <c r="AR42" s="20">
        <f t="shared" si="0"/>
        <v>3256</v>
      </c>
    </row>
    <row r="43" spans="1:44" s="20" customFormat="1">
      <c r="A43" s="46">
        <v>41</v>
      </c>
      <c r="B43" s="51">
        <f t="shared" si="1"/>
        <v>10</v>
      </c>
      <c r="C43" s="47">
        <f>攻击!D43*$B43</f>
        <v>900</v>
      </c>
      <c r="D43" s="47">
        <f>攻击!E43*$B43</f>
        <v>1080</v>
      </c>
      <c r="E43" s="47">
        <f>攻击!F43*$B43</f>
        <v>1350</v>
      </c>
      <c r="F43" s="47">
        <f>攻击!G43*$B43</f>
        <v>1800</v>
      </c>
      <c r="G43" s="47">
        <f>攻击!H43*$B43</f>
        <v>2250</v>
      </c>
      <c r="H43" s="47">
        <f>攻击!I43*$B43</f>
        <v>440</v>
      </c>
      <c r="I43" s="47">
        <f>攻击!J43*$B43</f>
        <v>270</v>
      </c>
      <c r="J43" s="47">
        <f>攻击!K43*$B43</f>
        <v>540</v>
      </c>
      <c r="K43" s="47">
        <f>攻击!L43*$B43</f>
        <v>0</v>
      </c>
      <c r="L43" s="47">
        <f>攻击!M43*$B43</f>
        <v>0</v>
      </c>
      <c r="M43" s="47">
        <f>攻击!N43*$B43</f>
        <v>1080</v>
      </c>
      <c r="N43" s="47">
        <f>攻击!O43*$B43</f>
        <v>1350</v>
      </c>
      <c r="O43" s="47">
        <f>攻击!P43*$B43</f>
        <v>1800</v>
      </c>
      <c r="P43" s="47">
        <f>攻击!Q43*$B43</f>
        <v>2250</v>
      </c>
      <c r="Q43" s="47">
        <f>攻击!R43*$B43</f>
        <v>2700</v>
      </c>
      <c r="R43" s="47">
        <f>攻击!S43*$B43</f>
        <v>3150</v>
      </c>
      <c r="S43" s="47">
        <f>攻击!T43*$B43</f>
        <v>675</v>
      </c>
      <c r="T43" s="47">
        <f>攻击!U43*$B43</f>
        <v>270</v>
      </c>
      <c r="U43" s="47">
        <f>攻击!V43*$B43</f>
        <v>270</v>
      </c>
      <c r="V43" s="47">
        <f>攻击!W43*$B43</f>
        <v>45</v>
      </c>
      <c r="W43" s="54">
        <f>攻击!X43</f>
        <v>0</v>
      </c>
      <c r="X43" s="54">
        <f>攻击!Y43</f>
        <v>0</v>
      </c>
      <c r="Y43" s="54">
        <f>攻击!Z43</f>
        <v>0</v>
      </c>
      <c r="Z43" s="54">
        <f>攻击!AA43</f>
        <v>0</v>
      </c>
      <c r="AA43" s="54">
        <f>攻击!AB43</f>
        <v>0</v>
      </c>
      <c r="AB43" s="47">
        <f>攻击!AC43*$B43</f>
        <v>900</v>
      </c>
      <c r="AC43" s="47">
        <f>攻击!AD43*$B43</f>
        <v>1080</v>
      </c>
      <c r="AD43" s="47">
        <f>攻击!AE43*$B43</f>
        <v>1350</v>
      </c>
      <c r="AE43" s="47">
        <f>攻击!AF43*$B43</f>
        <v>1800</v>
      </c>
      <c r="AF43" s="47">
        <f>攻击!AG43*$B43</f>
        <v>2250</v>
      </c>
      <c r="AG43" s="47">
        <f>攻击!AH43*$B43</f>
        <v>450</v>
      </c>
      <c r="AH43" s="47">
        <f>攻击!AI43*$B43</f>
        <v>180</v>
      </c>
      <c r="AI43" s="47">
        <f>攻击!AJ43*$B43</f>
        <v>180</v>
      </c>
      <c r="AJ43" s="47">
        <f>攻击!AK43*$B43</f>
        <v>26.999999999999996</v>
      </c>
      <c r="AK43" s="47">
        <f>攻击!AL43*$B43</f>
        <v>0</v>
      </c>
      <c r="AL43" s="54">
        <f>攻击!AM43</f>
        <v>0</v>
      </c>
      <c r="AM43" s="54">
        <f>攻击!AN43</f>
        <v>0</v>
      </c>
      <c r="AN43" s="54">
        <f>攻击!AO43</f>
        <v>0</v>
      </c>
      <c r="AO43" s="54">
        <f>攻击!AP43</f>
        <v>0</v>
      </c>
      <c r="AP43" s="54">
        <f>攻击!AQ43</f>
        <v>0</v>
      </c>
      <c r="AQ43" s="47">
        <f>攻击!AR43*$B43</f>
        <v>180</v>
      </c>
      <c r="AR43" s="20">
        <f t="shared" si="0"/>
        <v>3330</v>
      </c>
    </row>
    <row r="44" spans="1:44" s="20" customFormat="1">
      <c r="A44" s="46">
        <v>42</v>
      </c>
      <c r="B44" s="51">
        <f t="shared" si="1"/>
        <v>10</v>
      </c>
      <c r="C44" s="47">
        <f>攻击!D44*$B44</f>
        <v>920</v>
      </c>
      <c r="D44" s="47">
        <f>攻击!E44*$B44</f>
        <v>1104</v>
      </c>
      <c r="E44" s="47">
        <f>攻击!F44*$B44</f>
        <v>1380</v>
      </c>
      <c r="F44" s="47">
        <f>攻击!G44*$B44</f>
        <v>1840</v>
      </c>
      <c r="G44" s="47">
        <f>攻击!H44*$B44</f>
        <v>2300</v>
      </c>
      <c r="H44" s="47">
        <f>攻击!I44*$B44</f>
        <v>440</v>
      </c>
      <c r="I44" s="47">
        <f>攻击!J44*$B44</f>
        <v>276</v>
      </c>
      <c r="J44" s="47">
        <f>攻击!K44*$B44</f>
        <v>552</v>
      </c>
      <c r="K44" s="47">
        <f>攻击!L44*$B44</f>
        <v>0</v>
      </c>
      <c r="L44" s="47">
        <f>攻击!M44*$B44</f>
        <v>0</v>
      </c>
      <c r="M44" s="47">
        <f>攻击!N44*$B44</f>
        <v>1104</v>
      </c>
      <c r="N44" s="47">
        <f>攻击!O44*$B44</f>
        <v>1380</v>
      </c>
      <c r="O44" s="47">
        <f>攻击!P44*$B44</f>
        <v>1840</v>
      </c>
      <c r="P44" s="47">
        <f>攻击!Q44*$B44</f>
        <v>2300</v>
      </c>
      <c r="Q44" s="47">
        <f>攻击!R44*$B44</f>
        <v>2760</v>
      </c>
      <c r="R44" s="47">
        <f>攻击!S44*$B44</f>
        <v>3220</v>
      </c>
      <c r="S44" s="47">
        <f>攻击!T44*$B44</f>
        <v>690</v>
      </c>
      <c r="T44" s="47">
        <f>攻击!U44*$B44</f>
        <v>276</v>
      </c>
      <c r="U44" s="47">
        <f>攻击!V44*$B44</f>
        <v>276</v>
      </c>
      <c r="V44" s="47">
        <f>攻击!W44*$B44</f>
        <v>46.000000000000007</v>
      </c>
      <c r="W44" s="54">
        <f>攻击!X44</f>
        <v>0</v>
      </c>
      <c r="X44" s="54">
        <f>攻击!Y44</f>
        <v>0</v>
      </c>
      <c r="Y44" s="54">
        <f>攻击!Z44</f>
        <v>0</v>
      </c>
      <c r="Z44" s="54">
        <f>攻击!AA44</f>
        <v>0</v>
      </c>
      <c r="AA44" s="54">
        <f>攻击!AB44</f>
        <v>0</v>
      </c>
      <c r="AB44" s="47">
        <f>攻击!AC44*$B44</f>
        <v>920</v>
      </c>
      <c r="AC44" s="47">
        <f>攻击!AD44*$B44</f>
        <v>1104</v>
      </c>
      <c r="AD44" s="47">
        <f>攻击!AE44*$B44</f>
        <v>1380</v>
      </c>
      <c r="AE44" s="47">
        <f>攻击!AF44*$B44</f>
        <v>1840</v>
      </c>
      <c r="AF44" s="47">
        <f>攻击!AG44*$B44</f>
        <v>2300</v>
      </c>
      <c r="AG44" s="47">
        <f>攻击!AH44*$B44</f>
        <v>460</v>
      </c>
      <c r="AH44" s="47">
        <f>攻击!AI44*$B44</f>
        <v>184.00000000000003</v>
      </c>
      <c r="AI44" s="47">
        <f>攻击!AJ44*$B44</f>
        <v>184.00000000000003</v>
      </c>
      <c r="AJ44" s="47">
        <f>攻击!AK44*$B44</f>
        <v>27.599999999999998</v>
      </c>
      <c r="AK44" s="47">
        <f>攻击!AL44*$B44</f>
        <v>0</v>
      </c>
      <c r="AL44" s="54">
        <f>攻击!AM44</f>
        <v>0</v>
      </c>
      <c r="AM44" s="54">
        <f>攻击!AN44</f>
        <v>0</v>
      </c>
      <c r="AN44" s="54">
        <f>攻击!AO44</f>
        <v>0</v>
      </c>
      <c r="AO44" s="54">
        <f>攻击!AP44</f>
        <v>0</v>
      </c>
      <c r="AP44" s="54">
        <f>攻击!AQ44</f>
        <v>0</v>
      </c>
      <c r="AQ44" s="47">
        <f>攻击!AR44*$B44</f>
        <v>184.00000000000003</v>
      </c>
      <c r="AR44" s="20">
        <f t="shared" si="0"/>
        <v>3404</v>
      </c>
    </row>
    <row r="45" spans="1:44" s="20" customFormat="1">
      <c r="A45" s="46">
        <v>43</v>
      </c>
      <c r="B45" s="51">
        <f t="shared" si="1"/>
        <v>10</v>
      </c>
      <c r="C45" s="47">
        <f>攻击!D45*$B45</f>
        <v>940</v>
      </c>
      <c r="D45" s="47">
        <f>攻击!E45*$B45</f>
        <v>1128</v>
      </c>
      <c r="E45" s="47">
        <f>攻击!F45*$B45</f>
        <v>1410</v>
      </c>
      <c r="F45" s="47">
        <f>攻击!G45*$B45</f>
        <v>1880</v>
      </c>
      <c r="G45" s="47">
        <f>攻击!H45*$B45</f>
        <v>2350</v>
      </c>
      <c r="H45" s="47">
        <f>攻击!I45*$B45</f>
        <v>440</v>
      </c>
      <c r="I45" s="47">
        <f>攻击!J45*$B45</f>
        <v>282</v>
      </c>
      <c r="J45" s="47">
        <f>攻击!K45*$B45</f>
        <v>564</v>
      </c>
      <c r="K45" s="47">
        <f>攻击!L45*$B45</f>
        <v>0</v>
      </c>
      <c r="L45" s="47">
        <f>攻击!M45*$B45</f>
        <v>0</v>
      </c>
      <c r="M45" s="47">
        <f>攻击!N45*$B45</f>
        <v>1128</v>
      </c>
      <c r="N45" s="47">
        <f>攻击!O45*$B45</f>
        <v>1410</v>
      </c>
      <c r="O45" s="47">
        <f>攻击!P45*$B45</f>
        <v>1880</v>
      </c>
      <c r="P45" s="47">
        <f>攻击!Q45*$B45</f>
        <v>2350</v>
      </c>
      <c r="Q45" s="47">
        <f>攻击!R45*$B45</f>
        <v>2820</v>
      </c>
      <c r="R45" s="47">
        <f>攻击!S45*$B45</f>
        <v>3290</v>
      </c>
      <c r="S45" s="47">
        <f>攻击!T45*$B45</f>
        <v>705</v>
      </c>
      <c r="T45" s="47">
        <f>攻击!U45*$B45</f>
        <v>282</v>
      </c>
      <c r="U45" s="47">
        <f>攻击!V45*$B45</f>
        <v>282</v>
      </c>
      <c r="V45" s="47">
        <f>攻击!W45*$B45</f>
        <v>47</v>
      </c>
      <c r="W45" s="54">
        <f>攻击!X45</f>
        <v>0</v>
      </c>
      <c r="X45" s="54">
        <f>攻击!Y45</f>
        <v>0</v>
      </c>
      <c r="Y45" s="54">
        <f>攻击!Z45</f>
        <v>0</v>
      </c>
      <c r="Z45" s="54">
        <f>攻击!AA45</f>
        <v>0</v>
      </c>
      <c r="AA45" s="54">
        <f>攻击!AB45</f>
        <v>0</v>
      </c>
      <c r="AB45" s="47">
        <f>攻击!AC45*$B45</f>
        <v>940</v>
      </c>
      <c r="AC45" s="47">
        <f>攻击!AD45*$B45</f>
        <v>1128</v>
      </c>
      <c r="AD45" s="47">
        <f>攻击!AE45*$B45</f>
        <v>1410</v>
      </c>
      <c r="AE45" s="47">
        <f>攻击!AF45*$B45</f>
        <v>1880</v>
      </c>
      <c r="AF45" s="47">
        <f>攻击!AG45*$B45</f>
        <v>2350</v>
      </c>
      <c r="AG45" s="47">
        <f>攻击!AH45*$B45</f>
        <v>470</v>
      </c>
      <c r="AH45" s="47">
        <f>攻击!AI45*$B45</f>
        <v>188</v>
      </c>
      <c r="AI45" s="47">
        <f>攻击!AJ45*$B45</f>
        <v>188</v>
      </c>
      <c r="AJ45" s="47">
        <f>攻击!AK45*$B45</f>
        <v>28.2</v>
      </c>
      <c r="AK45" s="47">
        <f>攻击!AL45*$B45</f>
        <v>0</v>
      </c>
      <c r="AL45" s="54">
        <f>攻击!AM45</f>
        <v>0</v>
      </c>
      <c r="AM45" s="54">
        <f>攻击!AN45</f>
        <v>0</v>
      </c>
      <c r="AN45" s="54">
        <f>攻击!AO45</f>
        <v>0</v>
      </c>
      <c r="AO45" s="54">
        <f>攻击!AP45</f>
        <v>0</v>
      </c>
      <c r="AP45" s="54">
        <f>攻击!AQ45</f>
        <v>0</v>
      </c>
      <c r="AQ45" s="47">
        <f>攻击!AR45*$B45</f>
        <v>188</v>
      </c>
      <c r="AR45" s="20">
        <f t="shared" si="0"/>
        <v>3478</v>
      </c>
    </row>
    <row r="46" spans="1:44" s="20" customFormat="1">
      <c r="A46" s="46">
        <v>44</v>
      </c>
      <c r="B46" s="51">
        <f t="shared" si="1"/>
        <v>10</v>
      </c>
      <c r="C46" s="47">
        <f>攻击!D46*$B46</f>
        <v>960</v>
      </c>
      <c r="D46" s="47">
        <f>攻击!E46*$B46</f>
        <v>1152</v>
      </c>
      <c r="E46" s="47">
        <f>攻击!F46*$B46</f>
        <v>1440</v>
      </c>
      <c r="F46" s="47">
        <f>攻击!G46*$B46</f>
        <v>1920</v>
      </c>
      <c r="G46" s="47">
        <f>攻击!H46*$B46</f>
        <v>2400</v>
      </c>
      <c r="H46" s="47">
        <f>攻击!I46*$B46</f>
        <v>440</v>
      </c>
      <c r="I46" s="47">
        <f>攻击!J46*$B46</f>
        <v>288</v>
      </c>
      <c r="J46" s="47">
        <f>攻击!K46*$B46</f>
        <v>576</v>
      </c>
      <c r="K46" s="47">
        <f>攻击!L46*$B46</f>
        <v>0</v>
      </c>
      <c r="L46" s="47">
        <f>攻击!M46*$B46</f>
        <v>0</v>
      </c>
      <c r="M46" s="47">
        <f>攻击!N46*$B46</f>
        <v>1152</v>
      </c>
      <c r="N46" s="47">
        <f>攻击!O46*$B46</f>
        <v>1440</v>
      </c>
      <c r="O46" s="47">
        <f>攻击!P46*$B46</f>
        <v>1920</v>
      </c>
      <c r="P46" s="47">
        <f>攻击!Q46*$B46</f>
        <v>2400</v>
      </c>
      <c r="Q46" s="47">
        <f>攻击!R46*$B46</f>
        <v>2880</v>
      </c>
      <c r="R46" s="47">
        <f>攻击!S46*$B46</f>
        <v>3360</v>
      </c>
      <c r="S46" s="47">
        <f>攻击!T46*$B46</f>
        <v>720</v>
      </c>
      <c r="T46" s="47">
        <f>攻击!U46*$B46</f>
        <v>288</v>
      </c>
      <c r="U46" s="47">
        <f>攻击!V46*$B46</f>
        <v>288</v>
      </c>
      <c r="V46" s="47">
        <f>攻击!W46*$B46</f>
        <v>48.000000000000007</v>
      </c>
      <c r="W46" s="54">
        <f>攻击!X46</f>
        <v>0</v>
      </c>
      <c r="X46" s="54">
        <f>攻击!Y46</f>
        <v>0</v>
      </c>
      <c r="Y46" s="54">
        <f>攻击!Z46</f>
        <v>0</v>
      </c>
      <c r="Z46" s="54">
        <f>攻击!AA46</f>
        <v>0</v>
      </c>
      <c r="AA46" s="54">
        <f>攻击!AB46</f>
        <v>0</v>
      </c>
      <c r="AB46" s="47">
        <f>攻击!AC46*$B46</f>
        <v>960</v>
      </c>
      <c r="AC46" s="47">
        <f>攻击!AD46*$B46</f>
        <v>1152</v>
      </c>
      <c r="AD46" s="47">
        <f>攻击!AE46*$B46</f>
        <v>1440</v>
      </c>
      <c r="AE46" s="47">
        <f>攻击!AF46*$B46</f>
        <v>1920</v>
      </c>
      <c r="AF46" s="47">
        <f>攻击!AG46*$B46</f>
        <v>2400</v>
      </c>
      <c r="AG46" s="47">
        <f>攻击!AH46*$B46</f>
        <v>480</v>
      </c>
      <c r="AH46" s="47">
        <f>攻击!AI46*$B46</f>
        <v>192.00000000000003</v>
      </c>
      <c r="AI46" s="47">
        <f>攻击!AJ46*$B46</f>
        <v>192.00000000000003</v>
      </c>
      <c r="AJ46" s="47">
        <f>攻击!AK46*$B46</f>
        <v>28.799999999999997</v>
      </c>
      <c r="AK46" s="47">
        <f>攻击!AL46*$B46</f>
        <v>0</v>
      </c>
      <c r="AL46" s="54">
        <f>攻击!AM46</f>
        <v>0</v>
      </c>
      <c r="AM46" s="54">
        <f>攻击!AN46</f>
        <v>0</v>
      </c>
      <c r="AN46" s="54">
        <f>攻击!AO46</f>
        <v>0</v>
      </c>
      <c r="AO46" s="54">
        <f>攻击!AP46</f>
        <v>0</v>
      </c>
      <c r="AP46" s="54">
        <f>攻击!AQ46</f>
        <v>0</v>
      </c>
      <c r="AQ46" s="47">
        <f>攻击!AR46*$B46</f>
        <v>192.00000000000003</v>
      </c>
      <c r="AR46" s="20">
        <f t="shared" si="0"/>
        <v>3552</v>
      </c>
    </row>
    <row r="47" spans="1:44" s="20" customFormat="1">
      <c r="A47" s="46">
        <v>45</v>
      </c>
      <c r="B47" s="51">
        <f t="shared" si="1"/>
        <v>10</v>
      </c>
      <c r="C47" s="47">
        <f>攻击!D47*$B47</f>
        <v>980</v>
      </c>
      <c r="D47" s="47">
        <f>攻击!E47*$B47</f>
        <v>1176</v>
      </c>
      <c r="E47" s="47">
        <f>攻击!F47*$B47</f>
        <v>1470</v>
      </c>
      <c r="F47" s="47">
        <f>攻击!G47*$B47</f>
        <v>1960</v>
      </c>
      <c r="G47" s="47">
        <f>攻击!H47*$B47</f>
        <v>2450</v>
      </c>
      <c r="H47" s="47">
        <f>攻击!I47*$B47</f>
        <v>490</v>
      </c>
      <c r="I47" s="47">
        <f>攻击!J47*$B47</f>
        <v>294</v>
      </c>
      <c r="J47" s="47">
        <f>攻击!K47*$B47</f>
        <v>588</v>
      </c>
      <c r="K47" s="47">
        <f>攻击!L47*$B47</f>
        <v>0</v>
      </c>
      <c r="L47" s="47">
        <f>攻击!M47*$B47</f>
        <v>0</v>
      </c>
      <c r="M47" s="47">
        <f>攻击!N47*$B47</f>
        <v>1176</v>
      </c>
      <c r="N47" s="47">
        <f>攻击!O47*$B47</f>
        <v>1470</v>
      </c>
      <c r="O47" s="47">
        <f>攻击!P47*$B47</f>
        <v>1960</v>
      </c>
      <c r="P47" s="47">
        <f>攻击!Q47*$B47</f>
        <v>2450</v>
      </c>
      <c r="Q47" s="47">
        <f>攻击!R47*$B47</f>
        <v>2940</v>
      </c>
      <c r="R47" s="47">
        <f>攻击!S47*$B47</f>
        <v>3430</v>
      </c>
      <c r="S47" s="47">
        <f>攻击!T47*$B47</f>
        <v>735</v>
      </c>
      <c r="T47" s="47">
        <f>攻击!U47*$B47</f>
        <v>294</v>
      </c>
      <c r="U47" s="47">
        <f>攻击!V47*$B47</f>
        <v>294</v>
      </c>
      <c r="V47" s="47">
        <f>攻击!W47*$B47</f>
        <v>49</v>
      </c>
      <c r="W47" s="54">
        <f>攻击!X47</f>
        <v>0</v>
      </c>
      <c r="X47" s="54">
        <f>攻击!Y47</f>
        <v>0</v>
      </c>
      <c r="Y47" s="54">
        <f>攻击!Z47</f>
        <v>0</v>
      </c>
      <c r="Z47" s="54">
        <f>攻击!AA47</f>
        <v>0</v>
      </c>
      <c r="AA47" s="54">
        <f>攻击!AB47</f>
        <v>0</v>
      </c>
      <c r="AB47" s="47">
        <f>攻击!AC47*$B47</f>
        <v>980</v>
      </c>
      <c r="AC47" s="47">
        <f>攻击!AD47*$B47</f>
        <v>1176</v>
      </c>
      <c r="AD47" s="47">
        <f>攻击!AE47*$B47</f>
        <v>1470</v>
      </c>
      <c r="AE47" s="47">
        <f>攻击!AF47*$B47</f>
        <v>1960</v>
      </c>
      <c r="AF47" s="47">
        <f>攻击!AG47*$B47</f>
        <v>2450</v>
      </c>
      <c r="AG47" s="47">
        <f>攻击!AH47*$B47</f>
        <v>490</v>
      </c>
      <c r="AH47" s="47">
        <f>攻击!AI47*$B47</f>
        <v>196</v>
      </c>
      <c r="AI47" s="47">
        <f>攻击!AJ47*$B47</f>
        <v>196</v>
      </c>
      <c r="AJ47" s="47">
        <f>攻击!AK47*$B47</f>
        <v>29.4</v>
      </c>
      <c r="AK47" s="47">
        <f>攻击!AL47*$B47</f>
        <v>0</v>
      </c>
      <c r="AL47" s="54">
        <f>攻击!AM47</f>
        <v>0</v>
      </c>
      <c r="AM47" s="54">
        <f>攻击!AN47</f>
        <v>0</v>
      </c>
      <c r="AN47" s="54">
        <f>攻击!AO47</f>
        <v>0</v>
      </c>
      <c r="AO47" s="54">
        <f>攻击!AP47</f>
        <v>0</v>
      </c>
      <c r="AP47" s="54">
        <f>攻击!AQ47</f>
        <v>0</v>
      </c>
      <c r="AQ47" s="47">
        <f>攻击!AR47*$B47</f>
        <v>196</v>
      </c>
      <c r="AR47" s="20">
        <f t="shared" si="0"/>
        <v>3626</v>
      </c>
    </row>
    <row r="48" spans="1:44" s="20" customFormat="1">
      <c r="A48" s="46">
        <v>46</v>
      </c>
      <c r="B48" s="51">
        <f t="shared" si="1"/>
        <v>10</v>
      </c>
      <c r="C48" s="47">
        <f>攻击!D48*$B48</f>
        <v>1000</v>
      </c>
      <c r="D48" s="47">
        <f>攻击!E48*$B48</f>
        <v>1200</v>
      </c>
      <c r="E48" s="47">
        <f>攻击!F48*$B48</f>
        <v>1500</v>
      </c>
      <c r="F48" s="47">
        <f>攻击!G48*$B48</f>
        <v>2000</v>
      </c>
      <c r="G48" s="47">
        <f>攻击!H48*$B48</f>
        <v>2500</v>
      </c>
      <c r="H48" s="47">
        <f>攻击!I48*$B48</f>
        <v>490</v>
      </c>
      <c r="I48" s="47">
        <f>攻击!J48*$B48</f>
        <v>300</v>
      </c>
      <c r="J48" s="47">
        <f>攻击!K48*$B48</f>
        <v>600</v>
      </c>
      <c r="K48" s="47">
        <f>攻击!L48*$B48</f>
        <v>0</v>
      </c>
      <c r="L48" s="47">
        <f>攻击!M48*$B48</f>
        <v>0</v>
      </c>
      <c r="M48" s="47">
        <f>攻击!N48*$B48</f>
        <v>1200</v>
      </c>
      <c r="N48" s="47">
        <f>攻击!O48*$B48</f>
        <v>1500</v>
      </c>
      <c r="O48" s="47">
        <f>攻击!P48*$B48</f>
        <v>2000</v>
      </c>
      <c r="P48" s="47">
        <f>攻击!Q48*$B48</f>
        <v>2500</v>
      </c>
      <c r="Q48" s="47">
        <f>攻击!R48*$B48</f>
        <v>3000</v>
      </c>
      <c r="R48" s="47">
        <f>攻击!S48*$B48</f>
        <v>3500</v>
      </c>
      <c r="S48" s="47">
        <f>攻击!T48*$B48</f>
        <v>750</v>
      </c>
      <c r="T48" s="47">
        <f>攻击!U48*$B48</f>
        <v>300</v>
      </c>
      <c r="U48" s="47">
        <f>攻击!V48*$B48</f>
        <v>300</v>
      </c>
      <c r="V48" s="47">
        <f>攻击!W48*$B48</f>
        <v>50</v>
      </c>
      <c r="W48" s="54">
        <f>攻击!X48</f>
        <v>0</v>
      </c>
      <c r="X48" s="54">
        <f>攻击!Y48</f>
        <v>0</v>
      </c>
      <c r="Y48" s="54">
        <f>攻击!Z48</f>
        <v>0</v>
      </c>
      <c r="Z48" s="54">
        <f>攻击!AA48</f>
        <v>0</v>
      </c>
      <c r="AA48" s="54">
        <f>攻击!AB48</f>
        <v>0</v>
      </c>
      <c r="AB48" s="47">
        <f>攻击!AC48*$B48</f>
        <v>1000</v>
      </c>
      <c r="AC48" s="47">
        <f>攻击!AD48*$B48</f>
        <v>1200</v>
      </c>
      <c r="AD48" s="47">
        <f>攻击!AE48*$B48</f>
        <v>1500</v>
      </c>
      <c r="AE48" s="47">
        <f>攻击!AF48*$B48</f>
        <v>2000</v>
      </c>
      <c r="AF48" s="47">
        <f>攻击!AG48*$B48</f>
        <v>2500</v>
      </c>
      <c r="AG48" s="47">
        <f>攻击!AH48*$B48</f>
        <v>500</v>
      </c>
      <c r="AH48" s="47">
        <f>攻击!AI48*$B48</f>
        <v>200</v>
      </c>
      <c r="AI48" s="47">
        <f>攻击!AJ48*$B48</f>
        <v>200</v>
      </c>
      <c r="AJ48" s="47">
        <f>攻击!AK48*$B48</f>
        <v>30</v>
      </c>
      <c r="AK48" s="47">
        <f>攻击!AL48*$B48</f>
        <v>0</v>
      </c>
      <c r="AL48" s="54">
        <f>攻击!AM48</f>
        <v>0</v>
      </c>
      <c r="AM48" s="54">
        <f>攻击!AN48</f>
        <v>0</v>
      </c>
      <c r="AN48" s="54">
        <f>攻击!AO48</f>
        <v>0</v>
      </c>
      <c r="AO48" s="54">
        <f>攻击!AP48</f>
        <v>0</v>
      </c>
      <c r="AP48" s="54">
        <f>攻击!AQ48</f>
        <v>0</v>
      </c>
      <c r="AQ48" s="47">
        <f>攻击!AR48*$B48</f>
        <v>200</v>
      </c>
      <c r="AR48" s="20">
        <f t="shared" si="0"/>
        <v>3700</v>
      </c>
    </row>
    <row r="49" spans="1:44" s="20" customFormat="1">
      <c r="A49" s="46">
        <v>47</v>
      </c>
      <c r="B49" s="51">
        <f t="shared" si="1"/>
        <v>10</v>
      </c>
      <c r="C49" s="47">
        <f>攻击!D49*$B49</f>
        <v>1020</v>
      </c>
      <c r="D49" s="47">
        <f>攻击!E49*$B49</f>
        <v>1224</v>
      </c>
      <c r="E49" s="47">
        <f>攻击!F49*$B49</f>
        <v>1530</v>
      </c>
      <c r="F49" s="47">
        <f>攻击!G49*$B49</f>
        <v>2040</v>
      </c>
      <c r="G49" s="47">
        <f>攻击!H49*$B49</f>
        <v>2550</v>
      </c>
      <c r="H49" s="47">
        <f>攻击!I49*$B49</f>
        <v>490</v>
      </c>
      <c r="I49" s="47">
        <f>攻击!J49*$B49</f>
        <v>306</v>
      </c>
      <c r="J49" s="47">
        <f>攻击!K49*$B49</f>
        <v>612</v>
      </c>
      <c r="K49" s="47">
        <f>攻击!L49*$B49</f>
        <v>0</v>
      </c>
      <c r="L49" s="47">
        <f>攻击!M49*$B49</f>
        <v>0</v>
      </c>
      <c r="M49" s="47">
        <f>攻击!N49*$B49</f>
        <v>1224</v>
      </c>
      <c r="N49" s="47">
        <f>攻击!O49*$B49</f>
        <v>1530</v>
      </c>
      <c r="O49" s="47">
        <f>攻击!P49*$B49</f>
        <v>2040</v>
      </c>
      <c r="P49" s="47">
        <f>攻击!Q49*$B49</f>
        <v>2550</v>
      </c>
      <c r="Q49" s="47">
        <f>攻击!R49*$B49</f>
        <v>3060</v>
      </c>
      <c r="R49" s="47">
        <f>攻击!S49*$B49</f>
        <v>3570</v>
      </c>
      <c r="S49" s="47">
        <f>攻击!T49*$B49</f>
        <v>765</v>
      </c>
      <c r="T49" s="47">
        <f>攻击!U49*$B49</f>
        <v>306</v>
      </c>
      <c r="U49" s="47">
        <f>攻击!V49*$B49</f>
        <v>306</v>
      </c>
      <c r="V49" s="47">
        <f>攻击!W49*$B49</f>
        <v>51.000000000000007</v>
      </c>
      <c r="W49" s="54">
        <f>攻击!X49</f>
        <v>0</v>
      </c>
      <c r="X49" s="54">
        <f>攻击!Y49</f>
        <v>0</v>
      </c>
      <c r="Y49" s="54">
        <f>攻击!Z49</f>
        <v>0</v>
      </c>
      <c r="Z49" s="54">
        <f>攻击!AA49</f>
        <v>0</v>
      </c>
      <c r="AA49" s="54">
        <f>攻击!AB49</f>
        <v>0</v>
      </c>
      <c r="AB49" s="47">
        <f>攻击!AC49*$B49</f>
        <v>1020</v>
      </c>
      <c r="AC49" s="47">
        <f>攻击!AD49*$B49</f>
        <v>1224</v>
      </c>
      <c r="AD49" s="47">
        <f>攻击!AE49*$B49</f>
        <v>1530</v>
      </c>
      <c r="AE49" s="47">
        <f>攻击!AF49*$B49</f>
        <v>2040</v>
      </c>
      <c r="AF49" s="47">
        <f>攻击!AG49*$B49</f>
        <v>2550</v>
      </c>
      <c r="AG49" s="47">
        <f>攻击!AH49*$B49</f>
        <v>510</v>
      </c>
      <c r="AH49" s="47">
        <f>攻击!AI49*$B49</f>
        <v>204.00000000000003</v>
      </c>
      <c r="AI49" s="47">
        <f>攻击!AJ49*$B49</f>
        <v>204.00000000000003</v>
      </c>
      <c r="AJ49" s="47">
        <f>攻击!AK49*$B49</f>
        <v>30.6</v>
      </c>
      <c r="AK49" s="47">
        <f>攻击!AL49*$B49</f>
        <v>0</v>
      </c>
      <c r="AL49" s="54">
        <f>攻击!AM49</f>
        <v>0</v>
      </c>
      <c r="AM49" s="54">
        <f>攻击!AN49</f>
        <v>0</v>
      </c>
      <c r="AN49" s="54">
        <f>攻击!AO49</f>
        <v>0</v>
      </c>
      <c r="AO49" s="54">
        <f>攻击!AP49</f>
        <v>0</v>
      </c>
      <c r="AP49" s="54">
        <f>攻击!AQ49</f>
        <v>0</v>
      </c>
      <c r="AQ49" s="47">
        <f>攻击!AR49*$B49</f>
        <v>204.00000000000003</v>
      </c>
      <c r="AR49" s="20">
        <f t="shared" si="0"/>
        <v>3774</v>
      </c>
    </row>
    <row r="50" spans="1:44" s="20" customFormat="1">
      <c r="A50" s="46">
        <v>48</v>
      </c>
      <c r="B50" s="51">
        <f t="shared" si="1"/>
        <v>10</v>
      </c>
      <c r="C50" s="47">
        <f>攻击!D50*$B50</f>
        <v>1040</v>
      </c>
      <c r="D50" s="47">
        <f>攻击!E50*$B50</f>
        <v>1248</v>
      </c>
      <c r="E50" s="47">
        <f>攻击!F50*$B50</f>
        <v>1560</v>
      </c>
      <c r="F50" s="47">
        <f>攻击!G50*$B50</f>
        <v>2080</v>
      </c>
      <c r="G50" s="47">
        <f>攻击!H50*$B50</f>
        <v>2600</v>
      </c>
      <c r="H50" s="47">
        <f>攻击!I50*$B50</f>
        <v>490</v>
      </c>
      <c r="I50" s="47">
        <f>攻击!J50*$B50</f>
        <v>312</v>
      </c>
      <c r="J50" s="47">
        <f>攻击!K50*$B50</f>
        <v>624</v>
      </c>
      <c r="K50" s="47">
        <f>攻击!L50*$B50</f>
        <v>0</v>
      </c>
      <c r="L50" s="47">
        <f>攻击!M50*$B50</f>
        <v>0</v>
      </c>
      <c r="M50" s="47">
        <f>攻击!N50*$B50</f>
        <v>1248</v>
      </c>
      <c r="N50" s="47">
        <f>攻击!O50*$B50</f>
        <v>1560</v>
      </c>
      <c r="O50" s="47">
        <f>攻击!P50*$B50</f>
        <v>2080</v>
      </c>
      <c r="P50" s="47">
        <f>攻击!Q50*$B50</f>
        <v>2600</v>
      </c>
      <c r="Q50" s="47">
        <f>攻击!R50*$B50</f>
        <v>3120</v>
      </c>
      <c r="R50" s="47">
        <f>攻击!S50*$B50</f>
        <v>3640</v>
      </c>
      <c r="S50" s="47">
        <f>攻击!T50*$B50</f>
        <v>780</v>
      </c>
      <c r="T50" s="47">
        <f>攻击!U50*$B50</f>
        <v>312</v>
      </c>
      <c r="U50" s="47">
        <f>攻击!V50*$B50</f>
        <v>312</v>
      </c>
      <c r="V50" s="47">
        <f>攻击!W50*$B50</f>
        <v>52</v>
      </c>
      <c r="W50" s="54">
        <f>攻击!X50</f>
        <v>0</v>
      </c>
      <c r="X50" s="54">
        <f>攻击!Y50</f>
        <v>0</v>
      </c>
      <c r="Y50" s="54">
        <f>攻击!Z50</f>
        <v>0</v>
      </c>
      <c r="Z50" s="54">
        <f>攻击!AA50</f>
        <v>0</v>
      </c>
      <c r="AA50" s="54">
        <f>攻击!AB50</f>
        <v>0</v>
      </c>
      <c r="AB50" s="47">
        <f>攻击!AC50*$B50</f>
        <v>1040</v>
      </c>
      <c r="AC50" s="47">
        <f>攻击!AD50*$B50</f>
        <v>1248</v>
      </c>
      <c r="AD50" s="47">
        <f>攻击!AE50*$B50</f>
        <v>1560</v>
      </c>
      <c r="AE50" s="47">
        <f>攻击!AF50*$B50</f>
        <v>2080</v>
      </c>
      <c r="AF50" s="47">
        <f>攻击!AG50*$B50</f>
        <v>2600</v>
      </c>
      <c r="AG50" s="47">
        <f>攻击!AH50*$B50</f>
        <v>520</v>
      </c>
      <c r="AH50" s="47">
        <f>攻击!AI50*$B50</f>
        <v>208</v>
      </c>
      <c r="AI50" s="47">
        <f>攻击!AJ50*$B50</f>
        <v>208</v>
      </c>
      <c r="AJ50" s="47">
        <f>攻击!AK50*$B50</f>
        <v>31.200000000000003</v>
      </c>
      <c r="AK50" s="47">
        <f>攻击!AL50*$B50</f>
        <v>0</v>
      </c>
      <c r="AL50" s="54">
        <f>攻击!AM50</f>
        <v>0</v>
      </c>
      <c r="AM50" s="54">
        <f>攻击!AN50</f>
        <v>0</v>
      </c>
      <c r="AN50" s="54">
        <f>攻击!AO50</f>
        <v>0</v>
      </c>
      <c r="AO50" s="54">
        <f>攻击!AP50</f>
        <v>0</v>
      </c>
      <c r="AP50" s="54">
        <f>攻击!AQ50</f>
        <v>0</v>
      </c>
      <c r="AQ50" s="47">
        <f>攻击!AR50*$B50</f>
        <v>208</v>
      </c>
      <c r="AR50" s="20">
        <f t="shared" si="0"/>
        <v>3848</v>
      </c>
    </row>
    <row r="51" spans="1:44" s="20" customFormat="1">
      <c r="A51" s="46">
        <v>49</v>
      </c>
      <c r="B51" s="51">
        <f t="shared" si="1"/>
        <v>10</v>
      </c>
      <c r="C51" s="47">
        <f>攻击!D51*$B51</f>
        <v>1060</v>
      </c>
      <c r="D51" s="47">
        <f>攻击!E51*$B51</f>
        <v>1272</v>
      </c>
      <c r="E51" s="47">
        <f>攻击!F51*$B51</f>
        <v>1590</v>
      </c>
      <c r="F51" s="47">
        <f>攻击!G51*$B51</f>
        <v>2120</v>
      </c>
      <c r="G51" s="47">
        <f>攻击!H51*$B51</f>
        <v>2650</v>
      </c>
      <c r="H51" s="47">
        <f>攻击!I51*$B51</f>
        <v>490</v>
      </c>
      <c r="I51" s="47">
        <f>攻击!J51*$B51</f>
        <v>318</v>
      </c>
      <c r="J51" s="47">
        <f>攻击!K51*$B51</f>
        <v>636</v>
      </c>
      <c r="K51" s="47">
        <f>攻击!L51*$B51</f>
        <v>0</v>
      </c>
      <c r="L51" s="47">
        <f>攻击!M51*$B51</f>
        <v>0</v>
      </c>
      <c r="M51" s="47">
        <f>攻击!N51*$B51</f>
        <v>1272</v>
      </c>
      <c r="N51" s="47">
        <f>攻击!O51*$B51</f>
        <v>1590</v>
      </c>
      <c r="O51" s="47">
        <f>攻击!P51*$B51</f>
        <v>2120</v>
      </c>
      <c r="P51" s="47">
        <f>攻击!Q51*$B51</f>
        <v>2650</v>
      </c>
      <c r="Q51" s="47">
        <f>攻击!R51*$B51</f>
        <v>3180</v>
      </c>
      <c r="R51" s="47">
        <f>攻击!S51*$B51</f>
        <v>3710</v>
      </c>
      <c r="S51" s="47">
        <f>攻击!T51*$B51</f>
        <v>795</v>
      </c>
      <c r="T51" s="47">
        <f>攻击!U51*$B51</f>
        <v>318</v>
      </c>
      <c r="U51" s="47">
        <f>攻击!V51*$B51</f>
        <v>318</v>
      </c>
      <c r="V51" s="47">
        <f>攻击!W51*$B51</f>
        <v>53.000000000000007</v>
      </c>
      <c r="W51" s="54">
        <f>攻击!X51</f>
        <v>0</v>
      </c>
      <c r="X51" s="54">
        <f>攻击!Y51</f>
        <v>0</v>
      </c>
      <c r="Y51" s="54">
        <f>攻击!Z51</f>
        <v>0</v>
      </c>
      <c r="Z51" s="54">
        <f>攻击!AA51</f>
        <v>0</v>
      </c>
      <c r="AA51" s="54">
        <f>攻击!AB51</f>
        <v>0</v>
      </c>
      <c r="AB51" s="47">
        <f>攻击!AC51*$B51</f>
        <v>1060</v>
      </c>
      <c r="AC51" s="47">
        <f>攻击!AD51*$B51</f>
        <v>1272</v>
      </c>
      <c r="AD51" s="47">
        <f>攻击!AE51*$B51</f>
        <v>1590</v>
      </c>
      <c r="AE51" s="47">
        <f>攻击!AF51*$B51</f>
        <v>2120</v>
      </c>
      <c r="AF51" s="47">
        <f>攻击!AG51*$B51</f>
        <v>2650</v>
      </c>
      <c r="AG51" s="47">
        <f>攻击!AH51*$B51</f>
        <v>530</v>
      </c>
      <c r="AH51" s="47">
        <f>攻击!AI51*$B51</f>
        <v>212.00000000000003</v>
      </c>
      <c r="AI51" s="47">
        <f>攻击!AJ51*$B51</f>
        <v>212.00000000000003</v>
      </c>
      <c r="AJ51" s="47">
        <f>攻击!AK51*$B51</f>
        <v>31.799999999999997</v>
      </c>
      <c r="AK51" s="47">
        <f>攻击!AL51*$B51</f>
        <v>0</v>
      </c>
      <c r="AL51" s="54">
        <f>攻击!AM51</f>
        <v>0</v>
      </c>
      <c r="AM51" s="54">
        <f>攻击!AN51</f>
        <v>0</v>
      </c>
      <c r="AN51" s="54">
        <f>攻击!AO51</f>
        <v>0</v>
      </c>
      <c r="AO51" s="54">
        <f>攻击!AP51</f>
        <v>0</v>
      </c>
      <c r="AP51" s="54">
        <f>攻击!AQ51</f>
        <v>0</v>
      </c>
      <c r="AQ51" s="47">
        <f>攻击!AR51*$B51</f>
        <v>212.00000000000003</v>
      </c>
      <c r="AR51" s="20">
        <f t="shared" si="0"/>
        <v>3922</v>
      </c>
    </row>
    <row r="52" spans="1:44" s="20" customFormat="1">
      <c r="A52" s="46">
        <v>50</v>
      </c>
      <c r="B52" s="51">
        <f t="shared" si="1"/>
        <v>10</v>
      </c>
      <c r="C52" s="47">
        <f>攻击!D52*$B52</f>
        <v>1080</v>
      </c>
      <c r="D52" s="47">
        <f>攻击!E52*$B52</f>
        <v>1296</v>
      </c>
      <c r="E52" s="47">
        <f>攻击!F52*$B52</f>
        <v>1620</v>
      </c>
      <c r="F52" s="47">
        <f>攻击!G52*$B52</f>
        <v>2160</v>
      </c>
      <c r="G52" s="47">
        <f>攻击!H52*$B52</f>
        <v>2700</v>
      </c>
      <c r="H52" s="47">
        <f>攻击!I52*$B52</f>
        <v>540</v>
      </c>
      <c r="I52" s="47">
        <f>攻击!J52*$B52</f>
        <v>324</v>
      </c>
      <c r="J52" s="47">
        <f>攻击!K52*$B52</f>
        <v>648</v>
      </c>
      <c r="K52" s="47">
        <f>攻击!L52*$B52</f>
        <v>0</v>
      </c>
      <c r="L52" s="47">
        <f>攻击!M52*$B52</f>
        <v>864</v>
      </c>
      <c r="M52" s="47">
        <f>攻击!N52*$B52</f>
        <v>1296</v>
      </c>
      <c r="N52" s="47">
        <f>攻击!O52*$B52</f>
        <v>1620</v>
      </c>
      <c r="O52" s="47">
        <f>攻击!P52*$B52</f>
        <v>2160</v>
      </c>
      <c r="P52" s="47">
        <f>攻击!Q52*$B52</f>
        <v>2700</v>
      </c>
      <c r="Q52" s="47">
        <f>攻击!R52*$B52</f>
        <v>3240</v>
      </c>
      <c r="R52" s="47">
        <f>攻击!S52*$B52</f>
        <v>3780</v>
      </c>
      <c r="S52" s="47">
        <f>攻击!T52*$B52</f>
        <v>810</v>
      </c>
      <c r="T52" s="47">
        <f>攻击!U52*$B52</f>
        <v>324</v>
      </c>
      <c r="U52" s="47">
        <f>攻击!V52*$B52</f>
        <v>324</v>
      </c>
      <c r="V52" s="47">
        <f>攻击!W52*$B52</f>
        <v>54</v>
      </c>
      <c r="W52" s="54">
        <f>攻击!X52</f>
        <v>0</v>
      </c>
      <c r="X52" s="54">
        <f>攻击!Y52</f>
        <v>0</v>
      </c>
      <c r="Y52" s="54">
        <f>攻击!Z52</f>
        <v>0</v>
      </c>
      <c r="Z52" s="54">
        <f>攻击!AA52</f>
        <v>0</v>
      </c>
      <c r="AA52" s="54">
        <f>攻击!AB52</f>
        <v>0</v>
      </c>
      <c r="AB52" s="47">
        <f>攻击!AC52*$B52</f>
        <v>1080</v>
      </c>
      <c r="AC52" s="47">
        <f>攻击!AD52*$B52</f>
        <v>1296</v>
      </c>
      <c r="AD52" s="47">
        <f>攻击!AE52*$B52</f>
        <v>1620</v>
      </c>
      <c r="AE52" s="47">
        <f>攻击!AF52*$B52</f>
        <v>2160</v>
      </c>
      <c r="AF52" s="47">
        <f>攻击!AG52*$B52</f>
        <v>2700</v>
      </c>
      <c r="AG52" s="47">
        <f>攻击!AH52*$B52</f>
        <v>540</v>
      </c>
      <c r="AH52" s="47">
        <f>攻击!AI52*$B52</f>
        <v>216</v>
      </c>
      <c r="AI52" s="47">
        <f>攻击!AJ52*$B52</f>
        <v>216</v>
      </c>
      <c r="AJ52" s="47">
        <f>攻击!AK52*$B52</f>
        <v>32.4</v>
      </c>
      <c r="AK52" s="47">
        <f>攻击!AL52*$B52</f>
        <v>0</v>
      </c>
      <c r="AL52" s="54">
        <f>攻击!AM52</f>
        <v>0</v>
      </c>
      <c r="AM52" s="54">
        <f>攻击!AN52</f>
        <v>0</v>
      </c>
      <c r="AN52" s="54">
        <f>攻击!AO52</f>
        <v>0</v>
      </c>
      <c r="AO52" s="54">
        <f>攻击!AP52</f>
        <v>0</v>
      </c>
      <c r="AP52" s="54">
        <f>攻击!AQ52</f>
        <v>0</v>
      </c>
      <c r="AQ52" s="47">
        <f>攻击!AR52*$B52</f>
        <v>216</v>
      </c>
      <c r="AR52" s="20">
        <f t="shared" si="0"/>
        <v>3996</v>
      </c>
    </row>
    <row r="53" spans="1:44" s="20" customFormat="1">
      <c r="A53" s="46">
        <v>51</v>
      </c>
      <c r="B53" s="51">
        <f t="shared" si="1"/>
        <v>10</v>
      </c>
      <c r="C53" s="47">
        <f>攻击!D53*$B53</f>
        <v>1100</v>
      </c>
      <c r="D53" s="47">
        <f>攻击!E53*$B53</f>
        <v>1320</v>
      </c>
      <c r="E53" s="47">
        <f>攻击!F53*$B53</f>
        <v>1650</v>
      </c>
      <c r="F53" s="47">
        <f>攻击!G53*$B53</f>
        <v>2200</v>
      </c>
      <c r="G53" s="47">
        <f>攻击!H53*$B53</f>
        <v>2750</v>
      </c>
      <c r="H53" s="47">
        <f>攻击!I53*$B53</f>
        <v>540</v>
      </c>
      <c r="I53" s="47">
        <f>攻击!J53*$B53</f>
        <v>330</v>
      </c>
      <c r="J53" s="47">
        <f>攻击!K53*$B53</f>
        <v>660</v>
      </c>
      <c r="K53" s="47">
        <f>攻击!L53*$B53</f>
        <v>0</v>
      </c>
      <c r="L53" s="47">
        <f>攻击!M53*$B53</f>
        <v>880</v>
      </c>
      <c r="M53" s="47">
        <f>攻击!N53*$B53</f>
        <v>1320</v>
      </c>
      <c r="N53" s="47">
        <f>攻击!O53*$B53</f>
        <v>1650</v>
      </c>
      <c r="O53" s="47">
        <f>攻击!P53*$B53</f>
        <v>2200</v>
      </c>
      <c r="P53" s="47">
        <f>攻击!Q53*$B53</f>
        <v>2750</v>
      </c>
      <c r="Q53" s="47">
        <f>攻击!R53*$B53</f>
        <v>3300</v>
      </c>
      <c r="R53" s="47">
        <f>攻击!S53*$B53</f>
        <v>3850</v>
      </c>
      <c r="S53" s="47">
        <f>攻击!T53*$B53</f>
        <v>825</v>
      </c>
      <c r="T53" s="47">
        <f>攻击!U53*$B53</f>
        <v>330</v>
      </c>
      <c r="U53" s="47">
        <f>攻击!V53*$B53</f>
        <v>330</v>
      </c>
      <c r="V53" s="47">
        <f>攻击!W53*$B53</f>
        <v>55</v>
      </c>
      <c r="W53" s="54">
        <f>攻击!X53</f>
        <v>0</v>
      </c>
      <c r="X53" s="54">
        <f>攻击!Y53</f>
        <v>0</v>
      </c>
      <c r="Y53" s="54">
        <f>攻击!Z53</f>
        <v>0</v>
      </c>
      <c r="Z53" s="54">
        <f>攻击!AA53</f>
        <v>0</v>
      </c>
      <c r="AA53" s="54">
        <f>攻击!AB53</f>
        <v>0</v>
      </c>
      <c r="AB53" s="47">
        <f>攻击!AC53*$B53</f>
        <v>1100</v>
      </c>
      <c r="AC53" s="47">
        <f>攻击!AD53*$B53</f>
        <v>1320</v>
      </c>
      <c r="AD53" s="47">
        <f>攻击!AE53*$B53</f>
        <v>1650</v>
      </c>
      <c r="AE53" s="47">
        <f>攻击!AF53*$B53</f>
        <v>2200</v>
      </c>
      <c r="AF53" s="47">
        <f>攻击!AG53*$B53</f>
        <v>2750</v>
      </c>
      <c r="AG53" s="47">
        <f>攻击!AH53*$B53</f>
        <v>550</v>
      </c>
      <c r="AH53" s="47">
        <f>攻击!AI53*$B53</f>
        <v>220</v>
      </c>
      <c r="AI53" s="47">
        <f>攻击!AJ53*$B53</f>
        <v>220</v>
      </c>
      <c r="AJ53" s="47">
        <f>攻击!AK53*$B53</f>
        <v>33</v>
      </c>
      <c r="AK53" s="47">
        <f>攻击!AL53*$B53</f>
        <v>0</v>
      </c>
      <c r="AL53" s="54">
        <f>攻击!AM53</f>
        <v>0</v>
      </c>
      <c r="AM53" s="54">
        <f>攻击!AN53</f>
        <v>0</v>
      </c>
      <c r="AN53" s="54">
        <f>攻击!AO53</f>
        <v>0</v>
      </c>
      <c r="AO53" s="54">
        <f>攻击!AP53</f>
        <v>0</v>
      </c>
      <c r="AP53" s="54">
        <f>攻击!AQ53</f>
        <v>0</v>
      </c>
      <c r="AQ53" s="47">
        <f>攻击!AR53*$B53</f>
        <v>220</v>
      </c>
      <c r="AR53" s="20">
        <f t="shared" si="0"/>
        <v>4070</v>
      </c>
    </row>
    <row r="54" spans="1:44" s="20" customFormat="1">
      <c r="A54" s="46">
        <v>52</v>
      </c>
      <c r="B54" s="51">
        <f t="shared" si="1"/>
        <v>10</v>
      </c>
      <c r="C54" s="47">
        <f>攻击!D54*$B54</f>
        <v>1120</v>
      </c>
      <c r="D54" s="47">
        <f>攻击!E54*$B54</f>
        <v>1344</v>
      </c>
      <c r="E54" s="47">
        <f>攻击!F54*$B54</f>
        <v>1680</v>
      </c>
      <c r="F54" s="47">
        <f>攻击!G54*$B54</f>
        <v>2240</v>
      </c>
      <c r="G54" s="47">
        <f>攻击!H54*$B54</f>
        <v>2800</v>
      </c>
      <c r="H54" s="47">
        <f>攻击!I54*$B54</f>
        <v>540</v>
      </c>
      <c r="I54" s="47">
        <f>攻击!J54*$B54</f>
        <v>336</v>
      </c>
      <c r="J54" s="47">
        <f>攻击!K54*$B54</f>
        <v>672</v>
      </c>
      <c r="K54" s="47">
        <f>攻击!L54*$B54</f>
        <v>0</v>
      </c>
      <c r="L54" s="47">
        <f>攻击!M54*$B54</f>
        <v>896.00000000000011</v>
      </c>
      <c r="M54" s="47">
        <f>攻击!N54*$B54</f>
        <v>1344</v>
      </c>
      <c r="N54" s="47">
        <f>攻击!O54*$B54</f>
        <v>1680</v>
      </c>
      <c r="O54" s="47">
        <f>攻击!P54*$B54</f>
        <v>2240</v>
      </c>
      <c r="P54" s="47">
        <f>攻击!Q54*$B54</f>
        <v>2800</v>
      </c>
      <c r="Q54" s="47">
        <f>攻击!R54*$B54</f>
        <v>3360</v>
      </c>
      <c r="R54" s="47">
        <f>攻击!S54*$B54</f>
        <v>3920</v>
      </c>
      <c r="S54" s="47">
        <f>攻击!T54*$B54</f>
        <v>840</v>
      </c>
      <c r="T54" s="47">
        <f>攻击!U54*$B54</f>
        <v>336</v>
      </c>
      <c r="U54" s="47">
        <f>攻击!V54*$B54</f>
        <v>336</v>
      </c>
      <c r="V54" s="47">
        <f>攻击!W54*$B54</f>
        <v>56.000000000000007</v>
      </c>
      <c r="W54" s="54">
        <f>攻击!X54</f>
        <v>0</v>
      </c>
      <c r="X54" s="54">
        <f>攻击!Y54</f>
        <v>0</v>
      </c>
      <c r="Y54" s="54">
        <f>攻击!Z54</f>
        <v>0</v>
      </c>
      <c r="Z54" s="54">
        <f>攻击!AA54</f>
        <v>0</v>
      </c>
      <c r="AA54" s="54">
        <f>攻击!AB54</f>
        <v>0</v>
      </c>
      <c r="AB54" s="47">
        <f>攻击!AC54*$B54</f>
        <v>1120</v>
      </c>
      <c r="AC54" s="47">
        <f>攻击!AD54*$B54</f>
        <v>1344</v>
      </c>
      <c r="AD54" s="47">
        <f>攻击!AE54*$B54</f>
        <v>1680</v>
      </c>
      <c r="AE54" s="47">
        <f>攻击!AF54*$B54</f>
        <v>2240</v>
      </c>
      <c r="AF54" s="47">
        <f>攻击!AG54*$B54</f>
        <v>2800</v>
      </c>
      <c r="AG54" s="47">
        <f>攻击!AH54*$B54</f>
        <v>560</v>
      </c>
      <c r="AH54" s="47">
        <f>攻击!AI54*$B54</f>
        <v>224.00000000000003</v>
      </c>
      <c r="AI54" s="47">
        <f>攻击!AJ54*$B54</f>
        <v>224.00000000000003</v>
      </c>
      <c r="AJ54" s="47">
        <f>攻击!AK54*$B54</f>
        <v>33.6</v>
      </c>
      <c r="AK54" s="47">
        <f>攻击!AL54*$B54</f>
        <v>0</v>
      </c>
      <c r="AL54" s="54">
        <f>攻击!AM54</f>
        <v>0</v>
      </c>
      <c r="AM54" s="54">
        <f>攻击!AN54</f>
        <v>0</v>
      </c>
      <c r="AN54" s="54">
        <f>攻击!AO54</f>
        <v>0</v>
      </c>
      <c r="AO54" s="54">
        <f>攻击!AP54</f>
        <v>0</v>
      </c>
      <c r="AP54" s="54">
        <f>攻击!AQ54</f>
        <v>0</v>
      </c>
      <c r="AQ54" s="47">
        <f>攻击!AR54*$B54</f>
        <v>224.00000000000003</v>
      </c>
      <c r="AR54" s="20">
        <f t="shared" si="0"/>
        <v>4144</v>
      </c>
    </row>
    <row r="55" spans="1:44" s="20" customFormat="1">
      <c r="A55" s="46">
        <v>53</v>
      </c>
      <c r="B55" s="51">
        <f t="shared" si="1"/>
        <v>10</v>
      </c>
      <c r="C55" s="47">
        <f>攻击!D55*$B55</f>
        <v>1140</v>
      </c>
      <c r="D55" s="47">
        <f>攻击!E55*$B55</f>
        <v>1367.9999999999998</v>
      </c>
      <c r="E55" s="47">
        <f>攻击!F55*$B55</f>
        <v>1710</v>
      </c>
      <c r="F55" s="47">
        <f>攻击!G55*$B55</f>
        <v>2280</v>
      </c>
      <c r="G55" s="47">
        <f>攻击!H55*$B55</f>
        <v>2850</v>
      </c>
      <c r="H55" s="47">
        <f>攻击!I55*$B55</f>
        <v>540</v>
      </c>
      <c r="I55" s="47">
        <f>攻击!J55*$B55</f>
        <v>341.99999999999994</v>
      </c>
      <c r="J55" s="47">
        <f>攻击!K55*$B55</f>
        <v>683.99999999999989</v>
      </c>
      <c r="K55" s="47">
        <f>攻击!L55*$B55</f>
        <v>0</v>
      </c>
      <c r="L55" s="47">
        <f>攻击!M55*$B55</f>
        <v>912</v>
      </c>
      <c r="M55" s="47">
        <f>攻击!N55*$B55</f>
        <v>1367.9999999999998</v>
      </c>
      <c r="N55" s="47">
        <f>攻击!O55*$B55</f>
        <v>1710</v>
      </c>
      <c r="O55" s="47">
        <f>攻击!P55*$B55</f>
        <v>2280</v>
      </c>
      <c r="P55" s="47">
        <f>攻击!Q55*$B55</f>
        <v>2850</v>
      </c>
      <c r="Q55" s="47">
        <f>攻击!R55*$B55</f>
        <v>3420</v>
      </c>
      <c r="R55" s="47">
        <f>攻击!S55*$B55</f>
        <v>3990</v>
      </c>
      <c r="S55" s="47">
        <f>攻击!T55*$B55</f>
        <v>855</v>
      </c>
      <c r="T55" s="47">
        <f>攻击!U55*$B55</f>
        <v>341.99999999999994</v>
      </c>
      <c r="U55" s="47">
        <f>攻击!V55*$B55</f>
        <v>341.99999999999994</v>
      </c>
      <c r="V55" s="47">
        <f>攻击!W55*$B55</f>
        <v>57</v>
      </c>
      <c r="W55" s="54">
        <f>攻击!X55</f>
        <v>0</v>
      </c>
      <c r="X55" s="54">
        <f>攻击!Y55</f>
        <v>0</v>
      </c>
      <c r="Y55" s="54">
        <f>攻击!Z55</f>
        <v>0</v>
      </c>
      <c r="Z55" s="54">
        <f>攻击!AA55</f>
        <v>0</v>
      </c>
      <c r="AA55" s="54">
        <f>攻击!AB55</f>
        <v>0</v>
      </c>
      <c r="AB55" s="47">
        <f>攻击!AC55*$B55</f>
        <v>1140</v>
      </c>
      <c r="AC55" s="47">
        <f>攻击!AD55*$B55</f>
        <v>1367.9999999999998</v>
      </c>
      <c r="AD55" s="47">
        <f>攻击!AE55*$B55</f>
        <v>1710</v>
      </c>
      <c r="AE55" s="47">
        <f>攻击!AF55*$B55</f>
        <v>2280</v>
      </c>
      <c r="AF55" s="47">
        <f>攻击!AG55*$B55</f>
        <v>2850</v>
      </c>
      <c r="AG55" s="47">
        <f>攻击!AH55*$B55</f>
        <v>570</v>
      </c>
      <c r="AH55" s="47">
        <f>攻击!AI55*$B55</f>
        <v>228</v>
      </c>
      <c r="AI55" s="47">
        <f>攻击!AJ55*$B55</f>
        <v>228</v>
      </c>
      <c r="AJ55" s="47">
        <f>攻击!AK55*$B55</f>
        <v>34.200000000000003</v>
      </c>
      <c r="AK55" s="47">
        <f>攻击!AL55*$B55</f>
        <v>0</v>
      </c>
      <c r="AL55" s="54">
        <f>攻击!AM55</f>
        <v>0</v>
      </c>
      <c r="AM55" s="54">
        <f>攻击!AN55</f>
        <v>0</v>
      </c>
      <c r="AN55" s="54">
        <f>攻击!AO55</f>
        <v>0</v>
      </c>
      <c r="AO55" s="54">
        <f>攻击!AP55</f>
        <v>0</v>
      </c>
      <c r="AP55" s="54">
        <f>攻击!AQ55</f>
        <v>0</v>
      </c>
      <c r="AQ55" s="47">
        <f>攻击!AR55*$B55</f>
        <v>228</v>
      </c>
      <c r="AR55" s="20">
        <f t="shared" si="0"/>
        <v>4218</v>
      </c>
    </row>
    <row r="56" spans="1:44" s="20" customFormat="1">
      <c r="A56" s="46">
        <v>54</v>
      </c>
      <c r="B56" s="51">
        <f t="shared" si="1"/>
        <v>10</v>
      </c>
      <c r="C56" s="47">
        <f>攻击!D56*$B56</f>
        <v>1160</v>
      </c>
      <c r="D56" s="47">
        <f>攻击!E56*$B56</f>
        <v>1392</v>
      </c>
      <c r="E56" s="47">
        <f>攻击!F56*$B56</f>
        <v>1740</v>
      </c>
      <c r="F56" s="47">
        <f>攻击!G56*$B56</f>
        <v>2320</v>
      </c>
      <c r="G56" s="47">
        <f>攻击!H56*$B56</f>
        <v>2900</v>
      </c>
      <c r="H56" s="47">
        <f>攻击!I56*$B56</f>
        <v>540</v>
      </c>
      <c r="I56" s="47">
        <f>攻击!J56*$B56</f>
        <v>348</v>
      </c>
      <c r="J56" s="47">
        <f>攻击!K56*$B56</f>
        <v>696</v>
      </c>
      <c r="K56" s="47">
        <f>攻击!L56*$B56</f>
        <v>0</v>
      </c>
      <c r="L56" s="47">
        <f>攻击!M56*$B56</f>
        <v>928.00000000000011</v>
      </c>
      <c r="M56" s="47">
        <f>攻击!N56*$B56</f>
        <v>1392</v>
      </c>
      <c r="N56" s="47">
        <f>攻击!O56*$B56</f>
        <v>1740</v>
      </c>
      <c r="O56" s="47">
        <f>攻击!P56*$B56</f>
        <v>2320</v>
      </c>
      <c r="P56" s="47">
        <f>攻击!Q56*$B56</f>
        <v>2900</v>
      </c>
      <c r="Q56" s="47">
        <f>攻击!R56*$B56</f>
        <v>3480</v>
      </c>
      <c r="R56" s="47">
        <f>攻击!S56*$B56</f>
        <v>4060</v>
      </c>
      <c r="S56" s="47">
        <f>攻击!T56*$B56</f>
        <v>870</v>
      </c>
      <c r="T56" s="47">
        <f>攻击!U56*$B56</f>
        <v>348</v>
      </c>
      <c r="U56" s="47">
        <f>攻击!V56*$B56</f>
        <v>348</v>
      </c>
      <c r="V56" s="47">
        <f>攻击!W56*$B56</f>
        <v>58.000000000000007</v>
      </c>
      <c r="W56" s="54">
        <f>攻击!X56</f>
        <v>0</v>
      </c>
      <c r="X56" s="54">
        <f>攻击!Y56</f>
        <v>0</v>
      </c>
      <c r="Y56" s="54">
        <f>攻击!Z56</f>
        <v>0</v>
      </c>
      <c r="Z56" s="54">
        <f>攻击!AA56</f>
        <v>0</v>
      </c>
      <c r="AA56" s="54">
        <f>攻击!AB56</f>
        <v>0</v>
      </c>
      <c r="AB56" s="47">
        <f>攻击!AC56*$B56</f>
        <v>1160</v>
      </c>
      <c r="AC56" s="47">
        <f>攻击!AD56*$B56</f>
        <v>1392</v>
      </c>
      <c r="AD56" s="47">
        <f>攻击!AE56*$B56</f>
        <v>1740</v>
      </c>
      <c r="AE56" s="47">
        <f>攻击!AF56*$B56</f>
        <v>2320</v>
      </c>
      <c r="AF56" s="47">
        <f>攻击!AG56*$B56</f>
        <v>2900</v>
      </c>
      <c r="AG56" s="47">
        <f>攻击!AH56*$B56</f>
        <v>580</v>
      </c>
      <c r="AH56" s="47">
        <f>攻击!AI56*$B56</f>
        <v>232.00000000000003</v>
      </c>
      <c r="AI56" s="47">
        <f>攻击!AJ56*$B56</f>
        <v>232.00000000000003</v>
      </c>
      <c r="AJ56" s="47">
        <f>攻击!AK56*$B56</f>
        <v>34.799999999999997</v>
      </c>
      <c r="AK56" s="47">
        <f>攻击!AL56*$B56</f>
        <v>0</v>
      </c>
      <c r="AL56" s="54">
        <f>攻击!AM56</f>
        <v>0</v>
      </c>
      <c r="AM56" s="54">
        <f>攻击!AN56</f>
        <v>0</v>
      </c>
      <c r="AN56" s="54">
        <f>攻击!AO56</f>
        <v>0</v>
      </c>
      <c r="AO56" s="54">
        <f>攻击!AP56</f>
        <v>0</v>
      </c>
      <c r="AP56" s="54">
        <f>攻击!AQ56</f>
        <v>0</v>
      </c>
      <c r="AQ56" s="47">
        <f>攻击!AR56*$B56</f>
        <v>232.00000000000003</v>
      </c>
      <c r="AR56" s="20">
        <f t="shared" si="0"/>
        <v>4292</v>
      </c>
    </row>
    <row r="57" spans="1:44" s="20" customFormat="1">
      <c r="A57" s="46">
        <v>55</v>
      </c>
      <c r="B57" s="51">
        <f t="shared" si="1"/>
        <v>10</v>
      </c>
      <c r="C57" s="47">
        <f>攻击!D57*$B57</f>
        <v>1180</v>
      </c>
      <c r="D57" s="47">
        <f>攻击!E57*$B57</f>
        <v>1416</v>
      </c>
      <c r="E57" s="47">
        <f>攻击!F57*$B57</f>
        <v>1770</v>
      </c>
      <c r="F57" s="47">
        <f>攻击!G57*$B57</f>
        <v>2360</v>
      </c>
      <c r="G57" s="47">
        <f>攻击!H57*$B57</f>
        <v>2950</v>
      </c>
      <c r="H57" s="47">
        <f>攻击!I57*$B57</f>
        <v>590</v>
      </c>
      <c r="I57" s="47">
        <f>攻击!J57*$B57</f>
        <v>354</v>
      </c>
      <c r="J57" s="47">
        <f>攻击!K57*$B57</f>
        <v>708</v>
      </c>
      <c r="K57" s="47">
        <f>攻击!L57*$B57</f>
        <v>0</v>
      </c>
      <c r="L57" s="47">
        <f>攻击!M57*$B57</f>
        <v>944</v>
      </c>
      <c r="M57" s="47">
        <f>攻击!N57*$B57</f>
        <v>1416</v>
      </c>
      <c r="N57" s="47">
        <f>攻击!O57*$B57</f>
        <v>1770</v>
      </c>
      <c r="O57" s="47">
        <f>攻击!P57*$B57</f>
        <v>2360</v>
      </c>
      <c r="P57" s="47">
        <f>攻击!Q57*$B57</f>
        <v>2950</v>
      </c>
      <c r="Q57" s="47">
        <f>攻击!R57*$B57</f>
        <v>3540</v>
      </c>
      <c r="R57" s="47">
        <f>攻击!S57*$B57</f>
        <v>4130</v>
      </c>
      <c r="S57" s="47">
        <f>攻击!T57*$B57</f>
        <v>885</v>
      </c>
      <c r="T57" s="47">
        <f>攻击!U57*$B57</f>
        <v>354</v>
      </c>
      <c r="U57" s="47">
        <f>攻击!V57*$B57</f>
        <v>354</v>
      </c>
      <c r="V57" s="47">
        <f>攻击!W57*$B57</f>
        <v>59</v>
      </c>
      <c r="W57" s="54">
        <f>攻击!X57</f>
        <v>0</v>
      </c>
      <c r="X57" s="54">
        <f>攻击!Y57</f>
        <v>0</v>
      </c>
      <c r="Y57" s="54">
        <f>攻击!Z57</f>
        <v>0</v>
      </c>
      <c r="Z57" s="54">
        <f>攻击!AA57</f>
        <v>0</v>
      </c>
      <c r="AA57" s="54">
        <f>攻击!AB57</f>
        <v>0</v>
      </c>
      <c r="AB57" s="47">
        <f>攻击!AC57*$B57</f>
        <v>1180</v>
      </c>
      <c r="AC57" s="47">
        <f>攻击!AD57*$B57</f>
        <v>1416</v>
      </c>
      <c r="AD57" s="47">
        <f>攻击!AE57*$B57</f>
        <v>1770</v>
      </c>
      <c r="AE57" s="47">
        <f>攻击!AF57*$B57</f>
        <v>2360</v>
      </c>
      <c r="AF57" s="47">
        <f>攻击!AG57*$B57</f>
        <v>2950</v>
      </c>
      <c r="AG57" s="47">
        <f>攻击!AH57*$B57</f>
        <v>590</v>
      </c>
      <c r="AH57" s="47">
        <f>攻击!AI57*$B57</f>
        <v>236</v>
      </c>
      <c r="AI57" s="47">
        <f>攻击!AJ57*$B57</f>
        <v>236</v>
      </c>
      <c r="AJ57" s="47">
        <f>攻击!AK57*$B57</f>
        <v>35.4</v>
      </c>
      <c r="AK57" s="47">
        <f>攻击!AL57*$B57</f>
        <v>0</v>
      </c>
      <c r="AL57" s="54">
        <f>攻击!AM57</f>
        <v>0</v>
      </c>
      <c r="AM57" s="54">
        <f>攻击!AN57</f>
        <v>0</v>
      </c>
      <c r="AN57" s="54">
        <f>攻击!AO57</f>
        <v>0</v>
      </c>
      <c r="AO57" s="54">
        <f>攻击!AP57</f>
        <v>0</v>
      </c>
      <c r="AP57" s="54">
        <f>攻击!AQ57</f>
        <v>0</v>
      </c>
      <c r="AQ57" s="47">
        <f>攻击!AR57*$B57</f>
        <v>236</v>
      </c>
      <c r="AR57" s="20">
        <f t="shared" si="0"/>
        <v>4366</v>
      </c>
    </row>
    <row r="58" spans="1:44" s="20" customFormat="1">
      <c r="A58" s="46">
        <v>56</v>
      </c>
      <c r="B58" s="51">
        <f t="shared" si="1"/>
        <v>10</v>
      </c>
      <c r="C58" s="47">
        <f>攻击!D58*$B58</f>
        <v>1200</v>
      </c>
      <c r="D58" s="47">
        <f>攻击!E58*$B58</f>
        <v>1440</v>
      </c>
      <c r="E58" s="47">
        <f>攻击!F58*$B58</f>
        <v>1800</v>
      </c>
      <c r="F58" s="47">
        <f>攻击!G58*$B58</f>
        <v>2400</v>
      </c>
      <c r="G58" s="47">
        <f>攻击!H58*$B58</f>
        <v>3000</v>
      </c>
      <c r="H58" s="47">
        <f>攻击!I58*$B58</f>
        <v>590</v>
      </c>
      <c r="I58" s="47">
        <f>攻击!J58*$B58</f>
        <v>360</v>
      </c>
      <c r="J58" s="47">
        <f>攻击!K58*$B58</f>
        <v>720</v>
      </c>
      <c r="K58" s="47">
        <f>攻击!L58*$B58</f>
        <v>0</v>
      </c>
      <c r="L58" s="47">
        <f>攻击!M58*$B58</f>
        <v>960</v>
      </c>
      <c r="M58" s="47">
        <f>攻击!N58*$B58</f>
        <v>1440</v>
      </c>
      <c r="N58" s="47">
        <f>攻击!O58*$B58</f>
        <v>1800</v>
      </c>
      <c r="O58" s="47">
        <f>攻击!P58*$B58</f>
        <v>2400</v>
      </c>
      <c r="P58" s="47">
        <f>攻击!Q58*$B58</f>
        <v>3000</v>
      </c>
      <c r="Q58" s="47">
        <f>攻击!R58*$B58</f>
        <v>3600</v>
      </c>
      <c r="R58" s="47">
        <f>攻击!S58*$B58</f>
        <v>4200</v>
      </c>
      <c r="S58" s="47">
        <f>攻击!T58*$B58</f>
        <v>900</v>
      </c>
      <c r="T58" s="47">
        <f>攻击!U58*$B58</f>
        <v>360</v>
      </c>
      <c r="U58" s="47">
        <f>攻击!V58*$B58</f>
        <v>360</v>
      </c>
      <c r="V58" s="47">
        <f>攻击!W58*$B58</f>
        <v>60</v>
      </c>
      <c r="W58" s="54">
        <f>攻击!X58</f>
        <v>0</v>
      </c>
      <c r="X58" s="54">
        <f>攻击!Y58</f>
        <v>0</v>
      </c>
      <c r="Y58" s="54">
        <f>攻击!Z58</f>
        <v>0</v>
      </c>
      <c r="Z58" s="54">
        <f>攻击!AA58</f>
        <v>0</v>
      </c>
      <c r="AA58" s="54">
        <f>攻击!AB58</f>
        <v>0</v>
      </c>
      <c r="AB58" s="47">
        <f>攻击!AC58*$B58</f>
        <v>1200</v>
      </c>
      <c r="AC58" s="47">
        <f>攻击!AD58*$B58</f>
        <v>1440</v>
      </c>
      <c r="AD58" s="47">
        <f>攻击!AE58*$B58</f>
        <v>1800</v>
      </c>
      <c r="AE58" s="47">
        <f>攻击!AF58*$B58</f>
        <v>2400</v>
      </c>
      <c r="AF58" s="47">
        <f>攻击!AG58*$B58</f>
        <v>3000</v>
      </c>
      <c r="AG58" s="47">
        <f>攻击!AH58*$B58</f>
        <v>600</v>
      </c>
      <c r="AH58" s="47">
        <f>攻击!AI58*$B58</f>
        <v>240</v>
      </c>
      <c r="AI58" s="47">
        <f>攻击!AJ58*$B58</f>
        <v>240</v>
      </c>
      <c r="AJ58" s="47">
        <f>攻击!AK58*$B58</f>
        <v>36</v>
      </c>
      <c r="AK58" s="47">
        <f>攻击!AL58*$B58</f>
        <v>0</v>
      </c>
      <c r="AL58" s="54">
        <f>攻击!AM58</f>
        <v>0</v>
      </c>
      <c r="AM58" s="54">
        <f>攻击!AN58</f>
        <v>0</v>
      </c>
      <c r="AN58" s="54">
        <f>攻击!AO58</f>
        <v>0</v>
      </c>
      <c r="AO58" s="54">
        <f>攻击!AP58</f>
        <v>0</v>
      </c>
      <c r="AP58" s="54">
        <f>攻击!AQ58</f>
        <v>0</v>
      </c>
      <c r="AQ58" s="47">
        <f>攻击!AR58*$B58</f>
        <v>240</v>
      </c>
      <c r="AR58" s="20">
        <f t="shared" si="0"/>
        <v>4440</v>
      </c>
    </row>
    <row r="59" spans="1:44" s="20" customFormat="1">
      <c r="A59" s="46">
        <v>57</v>
      </c>
      <c r="B59" s="51">
        <f t="shared" si="1"/>
        <v>10</v>
      </c>
      <c r="C59" s="47">
        <f>攻击!D59*$B59</f>
        <v>1220</v>
      </c>
      <c r="D59" s="47">
        <f>攻击!E59*$B59</f>
        <v>1464</v>
      </c>
      <c r="E59" s="47">
        <f>攻击!F59*$B59</f>
        <v>1830</v>
      </c>
      <c r="F59" s="47">
        <f>攻击!G59*$B59</f>
        <v>2440</v>
      </c>
      <c r="G59" s="47">
        <f>攻击!H59*$B59</f>
        <v>3050</v>
      </c>
      <c r="H59" s="47">
        <f>攻击!I59*$B59</f>
        <v>590</v>
      </c>
      <c r="I59" s="47">
        <f>攻击!J59*$B59</f>
        <v>366</v>
      </c>
      <c r="J59" s="47">
        <f>攻击!K59*$B59</f>
        <v>732</v>
      </c>
      <c r="K59" s="47">
        <f>攻击!L59*$B59</f>
        <v>0</v>
      </c>
      <c r="L59" s="47">
        <f>攻击!M59*$B59</f>
        <v>976.00000000000011</v>
      </c>
      <c r="M59" s="47">
        <f>攻击!N59*$B59</f>
        <v>1464</v>
      </c>
      <c r="N59" s="47">
        <f>攻击!O59*$B59</f>
        <v>1830</v>
      </c>
      <c r="O59" s="47">
        <f>攻击!P59*$B59</f>
        <v>2440</v>
      </c>
      <c r="P59" s="47">
        <f>攻击!Q59*$B59</f>
        <v>3050</v>
      </c>
      <c r="Q59" s="47">
        <f>攻击!R59*$B59</f>
        <v>3660</v>
      </c>
      <c r="R59" s="47">
        <f>攻击!S59*$B59</f>
        <v>4270</v>
      </c>
      <c r="S59" s="47">
        <f>攻击!T59*$B59</f>
        <v>915</v>
      </c>
      <c r="T59" s="47">
        <f>攻击!U59*$B59</f>
        <v>366</v>
      </c>
      <c r="U59" s="47">
        <f>攻击!V59*$B59</f>
        <v>366</v>
      </c>
      <c r="V59" s="47">
        <f>攻击!W59*$B59</f>
        <v>61.000000000000007</v>
      </c>
      <c r="W59" s="54">
        <f>攻击!X59</f>
        <v>0</v>
      </c>
      <c r="X59" s="54">
        <f>攻击!Y59</f>
        <v>0</v>
      </c>
      <c r="Y59" s="54">
        <f>攻击!Z59</f>
        <v>0</v>
      </c>
      <c r="Z59" s="54">
        <f>攻击!AA59</f>
        <v>0</v>
      </c>
      <c r="AA59" s="54">
        <f>攻击!AB59</f>
        <v>0</v>
      </c>
      <c r="AB59" s="47">
        <f>攻击!AC59*$B59</f>
        <v>1220</v>
      </c>
      <c r="AC59" s="47">
        <f>攻击!AD59*$B59</f>
        <v>1464</v>
      </c>
      <c r="AD59" s="47">
        <f>攻击!AE59*$B59</f>
        <v>1830</v>
      </c>
      <c r="AE59" s="47">
        <f>攻击!AF59*$B59</f>
        <v>2440</v>
      </c>
      <c r="AF59" s="47">
        <f>攻击!AG59*$B59</f>
        <v>3050</v>
      </c>
      <c r="AG59" s="47">
        <f>攻击!AH59*$B59</f>
        <v>610</v>
      </c>
      <c r="AH59" s="47">
        <f>攻击!AI59*$B59</f>
        <v>244.00000000000003</v>
      </c>
      <c r="AI59" s="47">
        <f>攻击!AJ59*$B59</f>
        <v>244.00000000000003</v>
      </c>
      <c r="AJ59" s="47">
        <f>攻击!AK59*$B59</f>
        <v>36.599999999999994</v>
      </c>
      <c r="AK59" s="47">
        <f>攻击!AL59*$B59</f>
        <v>0</v>
      </c>
      <c r="AL59" s="54">
        <f>攻击!AM59</f>
        <v>0</v>
      </c>
      <c r="AM59" s="54">
        <f>攻击!AN59</f>
        <v>0</v>
      </c>
      <c r="AN59" s="54">
        <f>攻击!AO59</f>
        <v>0</v>
      </c>
      <c r="AO59" s="54">
        <f>攻击!AP59</f>
        <v>0</v>
      </c>
      <c r="AP59" s="54">
        <f>攻击!AQ59</f>
        <v>0</v>
      </c>
      <c r="AQ59" s="47">
        <f>攻击!AR59*$B59</f>
        <v>244.00000000000003</v>
      </c>
      <c r="AR59" s="20">
        <f t="shared" si="0"/>
        <v>4514</v>
      </c>
    </row>
    <row r="60" spans="1:44" s="20" customFormat="1">
      <c r="A60" s="46">
        <v>58</v>
      </c>
      <c r="B60" s="51">
        <f t="shared" si="1"/>
        <v>10</v>
      </c>
      <c r="C60" s="47">
        <f>攻击!D60*$B60</f>
        <v>1240</v>
      </c>
      <c r="D60" s="47">
        <f>攻击!E60*$B60</f>
        <v>1487.9999999999998</v>
      </c>
      <c r="E60" s="47">
        <f>攻击!F60*$B60</f>
        <v>1860</v>
      </c>
      <c r="F60" s="47">
        <f>攻击!G60*$B60</f>
        <v>2480</v>
      </c>
      <c r="G60" s="47">
        <f>攻击!H60*$B60</f>
        <v>3100</v>
      </c>
      <c r="H60" s="47">
        <f>攻击!I60*$B60</f>
        <v>590</v>
      </c>
      <c r="I60" s="47">
        <f>攻击!J60*$B60</f>
        <v>371.99999999999994</v>
      </c>
      <c r="J60" s="47">
        <f>攻击!K60*$B60</f>
        <v>743.99999999999989</v>
      </c>
      <c r="K60" s="47">
        <f>攻击!L60*$B60</f>
        <v>0</v>
      </c>
      <c r="L60" s="47">
        <f>攻击!M60*$B60</f>
        <v>992</v>
      </c>
      <c r="M60" s="47">
        <f>攻击!N60*$B60</f>
        <v>1487.9999999999998</v>
      </c>
      <c r="N60" s="47">
        <f>攻击!O60*$B60</f>
        <v>1860</v>
      </c>
      <c r="O60" s="47">
        <f>攻击!P60*$B60</f>
        <v>2480</v>
      </c>
      <c r="P60" s="47">
        <f>攻击!Q60*$B60</f>
        <v>3100</v>
      </c>
      <c r="Q60" s="47">
        <f>攻击!R60*$B60</f>
        <v>3720</v>
      </c>
      <c r="R60" s="47">
        <f>攻击!S60*$B60</f>
        <v>4340</v>
      </c>
      <c r="S60" s="47">
        <f>攻击!T60*$B60</f>
        <v>930</v>
      </c>
      <c r="T60" s="47">
        <f>攻击!U60*$B60</f>
        <v>371.99999999999994</v>
      </c>
      <c r="U60" s="47">
        <f>攻击!V60*$B60</f>
        <v>371.99999999999994</v>
      </c>
      <c r="V60" s="47">
        <f>攻击!W60*$B60</f>
        <v>62</v>
      </c>
      <c r="W60" s="54">
        <f>攻击!X60</f>
        <v>0</v>
      </c>
      <c r="X60" s="54">
        <f>攻击!Y60</f>
        <v>0</v>
      </c>
      <c r="Y60" s="54">
        <f>攻击!Z60</f>
        <v>0</v>
      </c>
      <c r="Z60" s="54">
        <f>攻击!AA60</f>
        <v>0</v>
      </c>
      <c r="AA60" s="54">
        <f>攻击!AB60</f>
        <v>0</v>
      </c>
      <c r="AB60" s="47">
        <f>攻击!AC60*$B60</f>
        <v>1240</v>
      </c>
      <c r="AC60" s="47">
        <f>攻击!AD60*$B60</f>
        <v>1487.9999999999998</v>
      </c>
      <c r="AD60" s="47">
        <f>攻击!AE60*$B60</f>
        <v>1860</v>
      </c>
      <c r="AE60" s="47">
        <f>攻击!AF60*$B60</f>
        <v>2480</v>
      </c>
      <c r="AF60" s="47">
        <f>攻击!AG60*$B60</f>
        <v>3100</v>
      </c>
      <c r="AG60" s="47">
        <f>攻击!AH60*$B60</f>
        <v>620</v>
      </c>
      <c r="AH60" s="47">
        <f>攻击!AI60*$B60</f>
        <v>248</v>
      </c>
      <c r="AI60" s="47">
        <f>攻击!AJ60*$B60</f>
        <v>248</v>
      </c>
      <c r="AJ60" s="47">
        <f>攻击!AK60*$B60</f>
        <v>37.199999999999996</v>
      </c>
      <c r="AK60" s="47">
        <f>攻击!AL60*$B60</f>
        <v>0</v>
      </c>
      <c r="AL60" s="54">
        <f>攻击!AM60</f>
        <v>0</v>
      </c>
      <c r="AM60" s="54">
        <f>攻击!AN60</f>
        <v>0</v>
      </c>
      <c r="AN60" s="54">
        <f>攻击!AO60</f>
        <v>0</v>
      </c>
      <c r="AO60" s="54">
        <f>攻击!AP60</f>
        <v>0</v>
      </c>
      <c r="AP60" s="54">
        <f>攻击!AQ60</f>
        <v>0</v>
      </c>
      <c r="AQ60" s="47">
        <f>攻击!AR60*$B60</f>
        <v>248</v>
      </c>
      <c r="AR60" s="20">
        <f t="shared" si="0"/>
        <v>4588</v>
      </c>
    </row>
    <row r="61" spans="1:44" s="20" customFormat="1">
      <c r="A61" s="46">
        <v>59</v>
      </c>
      <c r="B61" s="51">
        <f t="shared" si="1"/>
        <v>10</v>
      </c>
      <c r="C61" s="47">
        <f>攻击!D61*$B61</f>
        <v>1260</v>
      </c>
      <c r="D61" s="47">
        <f>攻击!E61*$B61</f>
        <v>1512</v>
      </c>
      <c r="E61" s="47">
        <f>攻击!F61*$B61</f>
        <v>1890</v>
      </c>
      <c r="F61" s="47">
        <f>攻击!G61*$B61</f>
        <v>2520</v>
      </c>
      <c r="G61" s="47">
        <f>攻击!H61*$B61</f>
        <v>3150</v>
      </c>
      <c r="H61" s="47">
        <f>攻击!I61*$B61</f>
        <v>590</v>
      </c>
      <c r="I61" s="47">
        <f>攻击!J61*$B61</f>
        <v>378</v>
      </c>
      <c r="J61" s="47">
        <f>攻击!K61*$B61</f>
        <v>756</v>
      </c>
      <c r="K61" s="47">
        <f>攻击!L61*$B61</f>
        <v>0</v>
      </c>
      <c r="L61" s="47">
        <f>攻击!M61*$B61</f>
        <v>1008.0000000000001</v>
      </c>
      <c r="M61" s="47">
        <f>攻击!N61*$B61</f>
        <v>1512</v>
      </c>
      <c r="N61" s="47">
        <f>攻击!O61*$B61</f>
        <v>1890</v>
      </c>
      <c r="O61" s="47">
        <f>攻击!P61*$B61</f>
        <v>2520</v>
      </c>
      <c r="P61" s="47">
        <f>攻击!Q61*$B61</f>
        <v>3150</v>
      </c>
      <c r="Q61" s="47">
        <f>攻击!R61*$B61</f>
        <v>3780</v>
      </c>
      <c r="R61" s="47">
        <f>攻击!S61*$B61</f>
        <v>4410</v>
      </c>
      <c r="S61" s="47">
        <f>攻击!T61*$B61</f>
        <v>945</v>
      </c>
      <c r="T61" s="47">
        <f>攻击!U61*$B61</f>
        <v>378</v>
      </c>
      <c r="U61" s="47">
        <f>攻击!V61*$B61</f>
        <v>378</v>
      </c>
      <c r="V61" s="47">
        <f>攻击!W61*$B61</f>
        <v>63.000000000000007</v>
      </c>
      <c r="W61" s="54">
        <f>攻击!X61</f>
        <v>0</v>
      </c>
      <c r="X61" s="54">
        <f>攻击!Y61</f>
        <v>0</v>
      </c>
      <c r="Y61" s="54">
        <f>攻击!Z61</f>
        <v>0</v>
      </c>
      <c r="Z61" s="54">
        <f>攻击!AA61</f>
        <v>0</v>
      </c>
      <c r="AA61" s="54">
        <f>攻击!AB61</f>
        <v>0</v>
      </c>
      <c r="AB61" s="47">
        <f>攻击!AC61*$B61</f>
        <v>1260</v>
      </c>
      <c r="AC61" s="47">
        <f>攻击!AD61*$B61</f>
        <v>1512</v>
      </c>
      <c r="AD61" s="47">
        <f>攻击!AE61*$B61</f>
        <v>1890</v>
      </c>
      <c r="AE61" s="47">
        <f>攻击!AF61*$B61</f>
        <v>2520</v>
      </c>
      <c r="AF61" s="47">
        <f>攻击!AG61*$B61</f>
        <v>3150</v>
      </c>
      <c r="AG61" s="47">
        <f>攻击!AH61*$B61</f>
        <v>630</v>
      </c>
      <c r="AH61" s="47">
        <f>攻击!AI61*$B61</f>
        <v>252.00000000000003</v>
      </c>
      <c r="AI61" s="47">
        <f>攻击!AJ61*$B61</f>
        <v>252.00000000000003</v>
      </c>
      <c r="AJ61" s="47">
        <f>攻击!AK61*$B61</f>
        <v>37.799999999999997</v>
      </c>
      <c r="AK61" s="47">
        <f>攻击!AL61*$B61</f>
        <v>0</v>
      </c>
      <c r="AL61" s="54">
        <f>攻击!AM61</f>
        <v>0</v>
      </c>
      <c r="AM61" s="54">
        <f>攻击!AN61</f>
        <v>0</v>
      </c>
      <c r="AN61" s="54">
        <f>攻击!AO61</f>
        <v>0</v>
      </c>
      <c r="AO61" s="54">
        <f>攻击!AP61</f>
        <v>0</v>
      </c>
      <c r="AP61" s="54">
        <f>攻击!AQ61</f>
        <v>0</v>
      </c>
      <c r="AQ61" s="47">
        <f>攻击!AR61*$B61</f>
        <v>252.00000000000003</v>
      </c>
      <c r="AR61" s="20">
        <f t="shared" si="0"/>
        <v>4662</v>
      </c>
    </row>
    <row r="62" spans="1:44" s="20" customFormat="1">
      <c r="A62" s="46">
        <v>60</v>
      </c>
      <c r="B62" s="51">
        <f t="shared" si="1"/>
        <v>10</v>
      </c>
      <c r="C62" s="47">
        <f>攻击!D62*$B62</f>
        <v>1280</v>
      </c>
      <c r="D62" s="47">
        <f>攻击!E62*$B62</f>
        <v>1536</v>
      </c>
      <c r="E62" s="47">
        <f>攻击!F62*$B62</f>
        <v>1920</v>
      </c>
      <c r="F62" s="47">
        <f>攻击!G62*$B62</f>
        <v>2560</v>
      </c>
      <c r="G62" s="47">
        <f>攻击!H62*$B62</f>
        <v>3200</v>
      </c>
      <c r="H62" s="47">
        <f>攻击!I62*$B62</f>
        <v>640</v>
      </c>
      <c r="I62" s="47">
        <f>攻击!J62*$B62</f>
        <v>384</v>
      </c>
      <c r="J62" s="47">
        <f>攻击!K62*$B62</f>
        <v>768</v>
      </c>
      <c r="K62" s="47">
        <f>攻击!L62*$B62</f>
        <v>0</v>
      </c>
      <c r="L62" s="47">
        <f>攻击!M62*$B62</f>
        <v>1024</v>
      </c>
      <c r="M62" s="47">
        <f>攻击!N62*$B62</f>
        <v>1536</v>
      </c>
      <c r="N62" s="47">
        <f>攻击!O62*$B62</f>
        <v>1920</v>
      </c>
      <c r="O62" s="47">
        <f>攻击!P62*$B62</f>
        <v>2560</v>
      </c>
      <c r="P62" s="47">
        <f>攻击!Q62*$B62</f>
        <v>3200</v>
      </c>
      <c r="Q62" s="47">
        <f>攻击!R62*$B62</f>
        <v>3840</v>
      </c>
      <c r="R62" s="47">
        <f>攻击!S62*$B62</f>
        <v>4480</v>
      </c>
      <c r="S62" s="47">
        <f>攻击!T62*$B62</f>
        <v>960</v>
      </c>
      <c r="T62" s="47">
        <f>攻击!U62*$B62</f>
        <v>384</v>
      </c>
      <c r="U62" s="47">
        <f>攻击!V62*$B62</f>
        <v>384</v>
      </c>
      <c r="V62" s="47">
        <f>攻击!W62*$B62</f>
        <v>64</v>
      </c>
      <c r="W62" s="54">
        <f>攻击!X62</f>
        <v>0</v>
      </c>
      <c r="X62" s="54">
        <f>攻击!Y62</f>
        <v>0</v>
      </c>
      <c r="Y62" s="54">
        <f>攻击!Z62</f>
        <v>0</v>
      </c>
      <c r="Z62" s="54">
        <f>攻击!AA62</f>
        <v>0</v>
      </c>
      <c r="AA62" s="54">
        <f>攻击!AB62</f>
        <v>0</v>
      </c>
      <c r="AB62" s="47">
        <f>攻击!AC62*$B62</f>
        <v>1280</v>
      </c>
      <c r="AC62" s="47">
        <f>攻击!AD62*$B62</f>
        <v>1536</v>
      </c>
      <c r="AD62" s="47">
        <f>攻击!AE62*$B62</f>
        <v>1920</v>
      </c>
      <c r="AE62" s="47">
        <f>攻击!AF62*$B62</f>
        <v>2560</v>
      </c>
      <c r="AF62" s="47">
        <f>攻击!AG62*$B62</f>
        <v>3200</v>
      </c>
      <c r="AG62" s="47">
        <f>攻击!AH62*$B62</f>
        <v>640</v>
      </c>
      <c r="AH62" s="47">
        <f>攻击!AI62*$B62</f>
        <v>256</v>
      </c>
      <c r="AI62" s="47">
        <f>攻击!AJ62*$B62</f>
        <v>256</v>
      </c>
      <c r="AJ62" s="47">
        <f>攻击!AK62*$B62</f>
        <v>38.4</v>
      </c>
      <c r="AK62" s="47">
        <f>攻击!AL62*$B62</f>
        <v>0</v>
      </c>
      <c r="AL62" s="54">
        <f>攻击!AM62</f>
        <v>0</v>
      </c>
      <c r="AM62" s="54">
        <f>攻击!AN62</f>
        <v>0</v>
      </c>
      <c r="AN62" s="54">
        <f>攻击!AO62</f>
        <v>0</v>
      </c>
      <c r="AO62" s="54">
        <f>攻击!AP62</f>
        <v>0</v>
      </c>
      <c r="AP62" s="54">
        <f>攻击!AQ62</f>
        <v>0</v>
      </c>
      <c r="AQ62" s="47">
        <f>攻击!AR62*$B62</f>
        <v>256</v>
      </c>
      <c r="AR62" s="20">
        <f t="shared" si="0"/>
        <v>4736</v>
      </c>
    </row>
    <row r="63" spans="1:44" s="20" customFormat="1">
      <c r="A63" s="46">
        <v>61</v>
      </c>
      <c r="B63" s="51">
        <f t="shared" si="1"/>
        <v>10</v>
      </c>
      <c r="C63" s="47">
        <f>攻击!D63*$B63</f>
        <v>1300</v>
      </c>
      <c r="D63" s="47">
        <f>攻击!E63*$B63</f>
        <v>1560</v>
      </c>
      <c r="E63" s="47">
        <f>攻击!F63*$B63</f>
        <v>1950</v>
      </c>
      <c r="F63" s="47">
        <f>攻击!G63*$B63</f>
        <v>2600</v>
      </c>
      <c r="G63" s="47">
        <f>攻击!H63*$B63</f>
        <v>3250</v>
      </c>
      <c r="H63" s="47">
        <f>攻击!I63*$B63</f>
        <v>640</v>
      </c>
      <c r="I63" s="47">
        <f>攻击!J63*$B63</f>
        <v>390</v>
      </c>
      <c r="J63" s="47">
        <f>攻击!K63*$B63</f>
        <v>780</v>
      </c>
      <c r="K63" s="47">
        <f>攻击!L63*$B63</f>
        <v>0</v>
      </c>
      <c r="L63" s="47">
        <f>攻击!M63*$B63</f>
        <v>1040</v>
      </c>
      <c r="M63" s="47">
        <f>攻击!N63*$B63</f>
        <v>1560</v>
      </c>
      <c r="N63" s="47">
        <f>攻击!O63*$B63</f>
        <v>1950</v>
      </c>
      <c r="O63" s="47">
        <f>攻击!P63*$B63</f>
        <v>2600</v>
      </c>
      <c r="P63" s="47">
        <f>攻击!Q63*$B63</f>
        <v>3250</v>
      </c>
      <c r="Q63" s="47">
        <f>攻击!R63*$B63</f>
        <v>3900</v>
      </c>
      <c r="R63" s="47">
        <f>攻击!S63*$B63</f>
        <v>4550</v>
      </c>
      <c r="S63" s="47">
        <f>攻击!T63*$B63</f>
        <v>975</v>
      </c>
      <c r="T63" s="47">
        <f>攻击!U63*$B63</f>
        <v>390</v>
      </c>
      <c r="U63" s="47">
        <f>攻击!V63*$B63</f>
        <v>390</v>
      </c>
      <c r="V63" s="47">
        <f>攻击!W63*$B63</f>
        <v>65</v>
      </c>
      <c r="W63" s="54">
        <f>攻击!X63</f>
        <v>0</v>
      </c>
      <c r="X63" s="54">
        <f>攻击!Y63</f>
        <v>0</v>
      </c>
      <c r="Y63" s="54">
        <f>攻击!Z63</f>
        <v>0</v>
      </c>
      <c r="Z63" s="54">
        <f>攻击!AA63</f>
        <v>0</v>
      </c>
      <c r="AA63" s="54">
        <f>攻击!AB63</f>
        <v>0</v>
      </c>
      <c r="AB63" s="47">
        <f>攻击!AC63*$B63</f>
        <v>1300</v>
      </c>
      <c r="AC63" s="47">
        <f>攻击!AD63*$B63</f>
        <v>1560</v>
      </c>
      <c r="AD63" s="47">
        <f>攻击!AE63*$B63</f>
        <v>1950</v>
      </c>
      <c r="AE63" s="47">
        <f>攻击!AF63*$B63</f>
        <v>2600</v>
      </c>
      <c r="AF63" s="47">
        <f>攻击!AG63*$B63</f>
        <v>3250</v>
      </c>
      <c r="AG63" s="47">
        <f>攻击!AH63*$B63</f>
        <v>650</v>
      </c>
      <c r="AH63" s="47">
        <f>攻击!AI63*$B63</f>
        <v>260</v>
      </c>
      <c r="AI63" s="47">
        <f>攻击!AJ63*$B63</f>
        <v>260</v>
      </c>
      <c r="AJ63" s="47">
        <f>攻击!AK63*$B63</f>
        <v>39</v>
      </c>
      <c r="AK63" s="47">
        <f>攻击!AL63*$B63</f>
        <v>0</v>
      </c>
      <c r="AL63" s="54">
        <f>攻击!AM63</f>
        <v>0</v>
      </c>
      <c r="AM63" s="54">
        <f>攻击!AN63</f>
        <v>0</v>
      </c>
      <c r="AN63" s="54">
        <f>攻击!AO63</f>
        <v>0</v>
      </c>
      <c r="AO63" s="54">
        <f>攻击!AP63</f>
        <v>0</v>
      </c>
      <c r="AP63" s="54">
        <f>攻击!AQ63</f>
        <v>0</v>
      </c>
      <c r="AQ63" s="47">
        <f>攻击!AR63*$B63</f>
        <v>260</v>
      </c>
      <c r="AR63" s="20">
        <f t="shared" si="0"/>
        <v>4810</v>
      </c>
    </row>
    <row r="64" spans="1:44" s="20" customFormat="1">
      <c r="A64" s="46">
        <v>62</v>
      </c>
      <c r="B64" s="51">
        <f t="shared" si="1"/>
        <v>10</v>
      </c>
      <c r="C64" s="47">
        <f>攻击!D64*$B64</f>
        <v>1320</v>
      </c>
      <c r="D64" s="47">
        <f>攻击!E64*$B64</f>
        <v>1584</v>
      </c>
      <c r="E64" s="47">
        <f>攻击!F64*$B64</f>
        <v>1980</v>
      </c>
      <c r="F64" s="47">
        <f>攻击!G64*$B64</f>
        <v>2640</v>
      </c>
      <c r="G64" s="47">
        <f>攻击!H64*$B64</f>
        <v>3300</v>
      </c>
      <c r="H64" s="47">
        <f>攻击!I64*$B64</f>
        <v>640</v>
      </c>
      <c r="I64" s="47">
        <f>攻击!J64*$B64</f>
        <v>396</v>
      </c>
      <c r="J64" s="47">
        <f>攻击!K64*$B64</f>
        <v>792</v>
      </c>
      <c r="K64" s="47">
        <f>攻击!L64*$B64</f>
        <v>0</v>
      </c>
      <c r="L64" s="47">
        <f>攻击!M64*$B64</f>
        <v>1056</v>
      </c>
      <c r="M64" s="47">
        <f>攻击!N64*$B64</f>
        <v>1584</v>
      </c>
      <c r="N64" s="47">
        <f>攻击!O64*$B64</f>
        <v>1980</v>
      </c>
      <c r="O64" s="47">
        <f>攻击!P64*$B64</f>
        <v>2640</v>
      </c>
      <c r="P64" s="47">
        <f>攻击!Q64*$B64</f>
        <v>3300</v>
      </c>
      <c r="Q64" s="47">
        <f>攻击!R64*$B64</f>
        <v>3960</v>
      </c>
      <c r="R64" s="47">
        <f>攻击!S64*$B64</f>
        <v>4620</v>
      </c>
      <c r="S64" s="47">
        <f>攻击!T64*$B64</f>
        <v>990</v>
      </c>
      <c r="T64" s="47">
        <f>攻击!U64*$B64</f>
        <v>396</v>
      </c>
      <c r="U64" s="47">
        <f>攻击!V64*$B64</f>
        <v>396</v>
      </c>
      <c r="V64" s="47">
        <f>攻击!W64*$B64</f>
        <v>66</v>
      </c>
      <c r="W64" s="54">
        <f>攻击!X64</f>
        <v>0</v>
      </c>
      <c r="X64" s="54">
        <f>攻击!Y64</f>
        <v>0</v>
      </c>
      <c r="Y64" s="54">
        <f>攻击!Z64</f>
        <v>0</v>
      </c>
      <c r="Z64" s="54">
        <f>攻击!AA64</f>
        <v>0</v>
      </c>
      <c r="AA64" s="54">
        <f>攻击!AB64</f>
        <v>0</v>
      </c>
      <c r="AB64" s="47">
        <f>攻击!AC64*$B64</f>
        <v>1320</v>
      </c>
      <c r="AC64" s="47">
        <f>攻击!AD64*$B64</f>
        <v>1584</v>
      </c>
      <c r="AD64" s="47">
        <f>攻击!AE64*$B64</f>
        <v>1980</v>
      </c>
      <c r="AE64" s="47">
        <f>攻击!AF64*$B64</f>
        <v>2640</v>
      </c>
      <c r="AF64" s="47">
        <f>攻击!AG64*$B64</f>
        <v>3300</v>
      </c>
      <c r="AG64" s="47">
        <f>攻击!AH64*$B64</f>
        <v>660</v>
      </c>
      <c r="AH64" s="47">
        <f>攻击!AI64*$B64</f>
        <v>264</v>
      </c>
      <c r="AI64" s="47">
        <f>攻击!AJ64*$B64</f>
        <v>264</v>
      </c>
      <c r="AJ64" s="47">
        <f>攻击!AK64*$B64</f>
        <v>39.6</v>
      </c>
      <c r="AK64" s="47">
        <f>攻击!AL64*$B64</f>
        <v>0</v>
      </c>
      <c r="AL64" s="54">
        <f>攻击!AM64</f>
        <v>0</v>
      </c>
      <c r="AM64" s="54">
        <f>攻击!AN64</f>
        <v>0</v>
      </c>
      <c r="AN64" s="54">
        <f>攻击!AO64</f>
        <v>0</v>
      </c>
      <c r="AO64" s="54">
        <f>攻击!AP64</f>
        <v>0</v>
      </c>
      <c r="AP64" s="54">
        <f>攻击!AQ64</f>
        <v>0</v>
      </c>
      <c r="AQ64" s="47">
        <f>攻击!AR64*$B64</f>
        <v>264</v>
      </c>
      <c r="AR64" s="20">
        <f t="shared" si="0"/>
        <v>4884</v>
      </c>
    </row>
    <row r="65" spans="1:44" s="20" customFormat="1">
      <c r="A65" s="46">
        <v>63</v>
      </c>
      <c r="B65" s="51">
        <f t="shared" si="1"/>
        <v>10</v>
      </c>
      <c r="C65" s="47">
        <f>攻击!D65*$B65</f>
        <v>1340</v>
      </c>
      <c r="D65" s="47">
        <f>攻击!E65*$B65</f>
        <v>1607.9999999999998</v>
      </c>
      <c r="E65" s="47">
        <f>攻击!F65*$B65</f>
        <v>2010</v>
      </c>
      <c r="F65" s="47">
        <f>攻击!G65*$B65</f>
        <v>2680</v>
      </c>
      <c r="G65" s="47">
        <f>攻击!H65*$B65</f>
        <v>3350</v>
      </c>
      <c r="H65" s="47">
        <f>攻击!I65*$B65</f>
        <v>640</v>
      </c>
      <c r="I65" s="47">
        <f>攻击!J65*$B65</f>
        <v>401.99999999999994</v>
      </c>
      <c r="J65" s="47">
        <f>攻击!K65*$B65</f>
        <v>803.99999999999989</v>
      </c>
      <c r="K65" s="47">
        <f>攻击!L65*$B65</f>
        <v>0</v>
      </c>
      <c r="L65" s="47">
        <f>攻击!M65*$B65</f>
        <v>1072</v>
      </c>
      <c r="M65" s="47">
        <f>攻击!N65*$B65</f>
        <v>1607.9999999999998</v>
      </c>
      <c r="N65" s="47">
        <f>攻击!O65*$B65</f>
        <v>2010</v>
      </c>
      <c r="O65" s="47">
        <f>攻击!P65*$B65</f>
        <v>2680</v>
      </c>
      <c r="P65" s="47">
        <f>攻击!Q65*$B65</f>
        <v>3350</v>
      </c>
      <c r="Q65" s="47">
        <f>攻击!R65*$B65</f>
        <v>4020</v>
      </c>
      <c r="R65" s="47">
        <f>攻击!S65*$B65</f>
        <v>4690</v>
      </c>
      <c r="S65" s="47">
        <f>攻击!T65*$B65</f>
        <v>1005</v>
      </c>
      <c r="T65" s="47">
        <f>攻击!U65*$B65</f>
        <v>401.99999999999994</v>
      </c>
      <c r="U65" s="47">
        <f>攻击!V65*$B65</f>
        <v>401.99999999999994</v>
      </c>
      <c r="V65" s="47">
        <f>攻击!W65*$B65</f>
        <v>67</v>
      </c>
      <c r="W65" s="54">
        <f>攻击!X65</f>
        <v>0</v>
      </c>
      <c r="X65" s="54">
        <f>攻击!Y65</f>
        <v>0</v>
      </c>
      <c r="Y65" s="54">
        <f>攻击!Z65</f>
        <v>0</v>
      </c>
      <c r="Z65" s="54">
        <f>攻击!AA65</f>
        <v>0</v>
      </c>
      <c r="AA65" s="54">
        <f>攻击!AB65</f>
        <v>0</v>
      </c>
      <c r="AB65" s="47">
        <f>攻击!AC65*$B65</f>
        <v>1340</v>
      </c>
      <c r="AC65" s="47">
        <f>攻击!AD65*$B65</f>
        <v>1607.9999999999998</v>
      </c>
      <c r="AD65" s="47">
        <f>攻击!AE65*$B65</f>
        <v>2010</v>
      </c>
      <c r="AE65" s="47">
        <f>攻击!AF65*$B65</f>
        <v>2680</v>
      </c>
      <c r="AF65" s="47">
        <f>攻击!AG65*$B65</f>
        <v>3350</v>
      </c>
      <c r="AG65" s="47">
        <f>攻击!AH65*$B65</f>
        <v>670</v>
      </c>
      <c r="AH65" s="47">
        <f>攻击!AI65*$B65</f>
        <v>268</v>
      </c>
      <c r="AI65" s="47">
        <f>攻击!AJ65*$B65</f>
        <v>268</v>
      </c>
      <c r="AJ65" s="47">
        <f>攻击!AK65*$B65</f>
        <v>40.199999999999996</v>
      </c>
      <c r="AK65" s="47">
        <f>攻击!AL65*$B65</f>
        <v>0</v>
      </c>
      <c r="AL65" s="54">
        <f>攻击!AM65</f>
        <v>0</v>
      </c>
      <c r="AM65" s="54">
        <f>攻击!AN65</f>
        <v>0</v>
      </c>
      <c r="AN65" s="54">
        <f>攻击!AO65</f>
        <v>0</v>
      </c>
      <c r="AO65" s="54">
        <f>攻击!AP65</f>
        <v>0</v>
      </c>
      <c r="AP65" s="54">
        <f>攻击!AQ65</f>
        <v>0</v>
      </c>
      <c r="AQ65" s="47">
        <f>攻击!AR65*$B65</f>
        <v>268</v>
      </c>
      <c r="AR65" s="20">
        <f t="shared" si="0"/>
        <v>4958</v>
      </c>
    </row>
    <row r="66" spans="1:44" s="20" customFormat="1">
      <c r="A66" s="46">
        <v>64</v>
      </c>
      <c r="B66" s="51">
        <f t="shared" si="1"/>
        <v>10</v>
      </c>
      <c r="C66" s="47">
        <f>攻击!D66*$B66</f>
        <v>1360</v>
      </c>
      <c r="D66" s="47">
        <f>攻击!E66*$B66</f>
        <v>1632</v>
      </c>
      <c r="E66" s="47">
        <f>攻击!F66*$B66</f>
        <v>2040</v>
      </c>
      <c r="F66" s="47">
        <f>攻击!G66*$B66</f>
        <v>2720</v>
      </c>
      <c r="G66" s="47">
        <f>攻击!H66*$B66</f>
        <v>3400</v>
      </c>
      <c r="H66" s="47">
        <f>攻击!I66*$B66</f>
        <v>640</v>
      </c>
      <c r="I66" s="47">
        <f>攻击!J66*$B66</f>
        <v>408</v>
      </c>
      <c r="J66" s="47">
        <f>攻击!K66*$B66</f>
        <v>816</v>
      </c>
      <c r="K66" s="47">
        <f>攻击!L66*$B66</f>
        <v>0</v>
      </c>
      <c r="L66" s="47">
        <f>攻击!M66*$B66</f>
        <v>1088</v>
      </c>
      <c r="M66" s="47">
        <f>攻击!N66*$B66</f>
        <v>1632</v>
      </c>
      <c r="N66" s="47">
        <f>攻击!O66*$B66</f>
        <v>2040</v>
      </c>
      <c r="O66" s="47">
        <f>攻击!P66*$B66</f>
        <v>2720</v>
      </c>
      <c r="P66" s="47">
        <f>攻击!Q66*$B66</f>
        <v>3400</v>
      </c>
      <c r="Q66" s="47">
        <f>攻击!R66*$B66</f>
        <v>4080</v>
      </c>
      <c r="R66" s="47">
        <f>攻击!S66*$B66</f>
        <v>4760</v>
      </c>
      <c r="S66" s="47">
        <f>攻击!T66*$B66</f>
        <v>1020</v>
      </c>
      <c r="T66" s="47">
        <f>攻击!U66*$B66</f>
        <v>408</v>
      </c>
      <c r="U66" s="47">
        <f>攻击!V66*$B66</f>
        <v>408</v>
      </c>
      <c r="V66" s="47">
        <f>攻击!W66*$B66</f>
        <v>68</v>
      </c>
      <c r="W66" s="54">
        <f>攻击!X66</f>
        <v>0</v>
      </c>
      <c r="X66" s="54">
        <f>攻击!Y66</f>
        <v>0</v>
      </c>
      <c r="Y66" s="54">
        <f>攻击!Z66</f>
        <v>0</v>
      </c>
      <c r="Z66" s="54">
        <f>攻击!AA66</f>
        <v>0</v>
      </c>
      <c r="AA66" s="54">
        <f>攻击!AB66</f>
        <v>0</v>
      </c>
      <c r="AB66" s="47">
        <f>攻击!AC66*$B66</f>
        <v>1360</v>
      </c>
      <c r="AC66" s="47">
        <f>攻击!AD66*$B66</f>
        <v>1632</v>
      </c>
      <c r="AD66" s="47">
        <f>攻击!AE66*$B66</f>
        <v>2040</v>
      </c>
      <c r="AE66" s="47">
        <f>攻击!AF66*$B66</f>
        <v>2720</v>
      </c>
      <c r="AF66" s="47">
        <f>攻击!AG66*$B66</f>
        <v>3400</v>
      </c>
      <c r="AG66" s="47">
        <f>攻击!AH66*$B66</f>
        <v>680</v>
      </c>
      <c r="AH66" s="47">
        <f>攻击!AI66*$B66</f>
        <v>272</v>
      </c>
      <c r="AI66" s="47">
        <f>攻击!AJ66*$B66</f>
        <v>272</v>
      </c>
      <c r="AJ66" s="47">
        <f>攻击!AK66*$B66</f>
        <v>40.799999999999997</v>
      </c>
      <c r="AK66" s="47">
        <f>攻击!AL66*$B66</f>
        <v>0</v>
      </c>
      <c r="AL66" s="54">
        <f>攻击!AM66</f>
        <v>0</v>
      </c>
      <c r="AM66" s="54">
        <f>攻击!AN66</f>
        <v>0</v>
      </c>
      <c r="AN66" s="54">
        <f>攻击!AO66</f>
        <v>0</v>
      </c>
      <c r="AO66" s="54">
        <f>攻击!AP66</f>
        <v>0</v>
      </c>
      <c r="AP66" s="54">
        <f>攻击!AQ66</f>
        <v>0</v>
      </c>
      <c r="AQ66" s="47">
        <f>攻击!AR66*$B66</f>
        <v>272</v>
      </c>
      <c r="AR66" s="20">
        <f t="shared" si="0"/>
        <v>5032</v>
      </c>
    </row>
    <row r="67" spans="1:44" s="20" customFormat="1">
      <c r="A67" s="46">
        <v>65</v>
      </c>
      <c r="B67" s="51">
        <f t="shared" si="1"/>
        <v>10</v>
      </c>
      <c r="C67" s="47">
        <f>攻击!D67*$B67</f>
        <v>1380</v>
      </c>
      <c r="D67" s="47">
        <f>攻击!E67*$B67</f>
        <v>1656</v>
      </c>
      <c r="E67" s="47">
        <f>攻击!F67*$B67</f>
        <v>2070</v>
      </c>
      <c r="F67" s="47">
        <f>攻击!G67*$B67</f>
        <v>2760</v>
      </c>
      <c r="G67" s="47">
        <f>攻击!H67*$B67</f>
        <v>3450</v>
      </c>
      <c r="H67" s="47">
        <f>攻击!I67*$B67</f>
        <v>690</v>
      </c>
      <c r="I67" s="47">
        <f>攻击!J67*$B67</f>
        <v>414</v>
      </c>
      <c r="J67" s="47">
        <f>攻击!K67*$B67</f>
        <v>828</v>
      </c>
      <c r="K67" s="47">
        <f>攻击!L67*$B67</f>
        <v>0</v>
      </c>
      <c r="L67" s="47">
        <f>攻击!M67*$B67</f>
        <v>1104</v>
      </c>
      <c r="M67" s="47">
        <f>攻击!N67*$B67</f>
        <v>1656</v>
      </c>
      <c r="N67" s="47">
        <f>攻击!O67*$B67</f>
        <v>2070</v>
      </c>
      <c r="O67" s="47">
        <f>攻击!P67*$B67</f>
        <v>2760</v>
      </c>
      <c r="P67" s="47">
        <f>攻击!Q67*$B67</f>
        <v>3450</v>
      </c>
      <c r="Q67" s="47">
        <f>攻击!R67*$B67</f>
        <v>4140</v>
      </c>
      <c r="R67" s="47">
        <f>攻击!S67*$B67</f>
        <v>4830</v>
      </c>
      <c r="S67" s="47">
        <f>攻击!T67*$B67</f>
        <v>1035</v>
      </c>
      <c r="T67" s="47">
        <f>攻击!U67*$B67</f>
        <v>414</v>
      </c>
      <c r="U67" s="47">
        <f>攻击!V67*$B67</f>
        <v>414</v>
      </c>
      <c r="V67" s="47">
        <f>攻击!W67*$B67</f>
        <v>69</v>
      </c>
      <c r="W67" s="54">
        <f>攻击!X67</f>
        <v>0</v>
      </c>
      <c r="X67" s="54">
        <f>攻击!Y67</f>
        <v>0</v>
      </c>
      <c r="Y67" s="54">
        <f>攻击!Z67</f>
        <v>0</v>
      </c>
      <c r="Z67" s="54">
        <f>攻击!AA67</f>
        <v>0</v>
      </c>
      <c r="AA67" s="54">
        <f>攻击!AB67</f>
        <v>0</v>
      </c>
      <c r="AB67" s="47">
        <f>攻击!AC67*$B67</f>
        <v>1380</v>
      </c>
      <c r="AC67" s="47">
        <f>攻击!AD67*$B67</f>
        <v>1656</v>
      </c>
      <c r="AD67" s="47">
        <f>攻击!AE67*$B67</f>
        <v>2070</v>
      </c>
      <c r="AE67" s="47">
        <f>攻击!AF67*$B67</f>
        <v>2760</v>
      </c>
      <c r="AF67" s="47">
        <f>攻击!AG67*$B67</f>
        <v>3450</v>
      </c>
      <c r="AG67" s="47">
        <f>攻击!AH67*$B67</f>
        <v>690</v>
      </c>
      <c r="AH67" s="47">
        <f>攻击!AI67*$B67</f>
        <v>276</v>
      </c>
      <c r="AI67" s="47">
        <f>攻击!AJ67*$B67</f>
        <v>276</v>
      </c>
      <c r="AJ67" s="47">
        <f>攻击!AK67*$B67</f>
        <v>41.4</v>
      </c>
      <c r="AK67" s="47">
        <f>攻击!AL67*$B67</f>
        <v>0</v>
      </c>
      <c r="AL67" s="54">
        <f>攻击!AM67</f>
        <v>0</v>
      </c>
      <c r="AM67" s="54">
        <f>攻击!AN67</f>
        <v>0</v>
      </c>
      <c r="AN67" s="54">
        <f>攻击!AO67</f>
        <v>0</v>
      </c>
      <c r="AO67" s="54">
        <f>攻击!AP67</f>
        <v>0</v>
      </c>
      <c r="AP67" s="54">
        <f>攻击!AQ67</f>
        <v>0</v>
      </c>
      <c r="AQ67" s="47">
        <f>攻击!AR67*$B67</f>
        <v>276</v>
      </c>
      <c r="AR67" s="20">
        <f t="shared" si="0"/>
        <v>5106</v>
      </c>
    </row>
    <row r="68" spans="1:44" s="20" customFormat="1">
      <c r="A68" s="46">
        <v>66</v>
      </c>
      <c r="B68" s="51">
        <f t="shared" si="1"/>
        <v>10</v>
      </c>
      <c r="C68" s="47">
        <f>攻击!D68*$B68</f>
        <v>1400</v>
      </c>
      <c r="D68" s="47">
        <f>攻击!E68*$B68</f>
        <v>1680</v>
      </c>
      <c r="E68" s="47">
        <f>攻击!F68*$B68</f>
        <v>2100</v>
      </c>
      <c r="F68" s="47">
        <f>攻击!G68*$B68</f>
        <v>2800</v>
      </c>
      <c r="G68" s="47">
        <f>攻击!H68*$B68</f>
        <v>3500</v>
      </c>
      <c r="H68" s="47">
        <f>攻击!I68*$B68</f>
        <v>690</v>
      </c>
      <c r="I68" s="47">
        <f>攻击!J68*$B68</f>
        <v>420</v>
      </c>
      <c r="J68" s="47">
        <f>攻击!K68*$B68</f>
        <v>840</v>
      </c>
      <c r="K68" s="47">
        <f>攻击!L68*$B68</f>
        <v>0</v>
      </c>
      <c r="L68" s="47">
        <f>攻击!M68*$B68</f>
        <v>1120</v>
      </c>
      <c r="M68" s="47">
        <f>攻击!N68*$B68</f>
        <v>1680</v>
      </c>
      <c r="N68" s="47">
        <f>攻击!O68*$B68</f>
        <v>2100</v>
      </c>
      <c r="O68" s="47">
        <f>攻击!P68*$B68</f>
        <v>2800</v>
      </c>
      <c r="P68" s="47">
        <f>攻击!Q68*$B68</f>
        <v>3500</v>
      </c>
      <c r="Q68" s="47">
        <f>攻击!R68*$B68</f>
        <v>4200</v>
      </c>
      <c r="R68" s="47">
        <f>攻击!S68*$B68</f>
        <v>4900</v>
      </c>
      <c r="S68" s="47">
        <f>攻击!T68*$B68</f>
        <v>1050</v>
      </c>
      <c r="T68" s="47">
        <f>攻击!U68*$B68</f>
        <v>420</v>
      </c>
      <c r="U68" s="47">
        <f>攻击!V68*$B68</f>
        <v>420</v>
      </c>
      <c r="V68" s="47">
        <f>攻击!W68*$B68</f>
        <v>70</v>
      </c>
      <c r="W68" s="54">
        <f>攻击!X68</f>
        <v>0</v>
      </c>
      <c r="X68" s="54">
        <f>攻击!Y68</f>
        <v>0</v>
      </c>
      <c r="Y68" s="54">
        <f>攻击!Z68</f>
        <v>0</v>
      </c>
      <c r="Z68" s="54">
        <f>攻击!AA68</f>
        <v>0</v>
      </c>
      <c r="AA68" s="54">
        <f>攻击!AB68</f>
        <v>0</v>
      </c>
      <c r="AB68" s="47">
        <f>攻击!AC68*$B68</f>
        <v>1400</v>
      </c>
      <c r="AC68" s="47">
        <f>攻击!AD68*$B68</f>
        <v>1680</v>
      </c>
      <c r="AD68" s="47">
        <f>攻击!AE68*$B68</f>
        <v>2100</v>
      </c>
      <c r="AE68" s="47">
        <f>攻击!AF68*$B68</f>
        <v>2800</v>
      </c>
      <c r="AF68" s="47">
        <f>攻击!AG68*$B68</f>
        <v>3500</v>
      </c>
      <c r="AG68" s="47">
        <f>攻击!AH68*$B68</f>
        <v>700</v>
      </c>
      <c r="AH68" s="47">
        <f>攻击!AI68*$B68</f>
        <v>280</v>
      </c>
      <c r="AI68" s="47">
        <f>攻击!AJ68*$B68</f>
        <v>280</v>
      </c>
      <c r="AJ68" s="47">
        <f>攻击!AK68*$B68</f>
        <v>42</v>
      </c>
      <c r="AK68" s="47">
        <f>攻击!AL68*$B68</f>
        <v>0</v>
      </c>
      <c r="AL68" s="54">
        <f>攻击!AM68</f>
        <v>0</v>
      </c>
      <c r="AM68" s="54">
        <f>攻击!AN68</f>
        <v>0</v>
      </c>
      <c r="AN68" s="54">
        <f>攻击!AO68</f>
        <v>0</v>
      </c>
      <c r="AO68" s="54">
        <f>攻击!AP68</f>
        <v>0</v>
      </c>
      <c r="AP68" s="54">
        <f>攻击!AQ68</f>
        <v>0</v>
      </c>
      <c r="AQ68" s="47">
        <f>攻击!AR68*$B68</f>
        <v>280</v>
      </c>
      <c r="AR68" s="20">
        <f t="shared" ref="AR68:AR122" si="2">C68+N68+AB68+AK68+AQ68</f>
        <v>5180</v>
      </c>
    </row>
    <row r="69" spans="1:44" s="20" customFormat="1">
      <c r="A69" s="46">
        <v>67</v>
      </c>
      <c r="B69" s="51">
        <f t="shared" ref="B69:B122" si="3">B68</f>
        <v>10</v>
      </c>
      <c r="C69" s="47">
        <f>攻击!D69*$B69</f>
        <v>1420</v>
      </c>
      <c r="D69" s="47">
        <f>攻击!E69*$B69</f>
        <v>1704</v>
      </c>
      <c r="E69" s="47">
        <f>攻击!F69*$B69</f>
        <v>2130</v>
      </c>
      <c r="F69" s="47">
        <f>攻击!G69*$B69</f>
        <v>2840</v>
      </c>
      <c r="G69" s="47">
        <f>攻击!H69*$B69</f>
        <v>3550</v>
      </c>
      <c r="H69" s="47">
        <f>攻击!I69*$B69</f>
        <v>690</v>
      </c>
      <c r="I69" s="47">
        <f>攻击!J69*$B69</f>
        <v>426</v>
      </c>
      <c r="J69" s="47">
        <f>攻击!K69*$B69</f>
        <v>852</v>
      </c>
      <c r="K69" s="47">
        <f>攻击!L69*$B69</f>
        <v>0</v>
      </c>
      <c r="L69" s="47">
        <f>攻击!M69*$B69</f>
        <v>1136</v>
      </c>
      <c r="M69" s="47">
        <f>攻击!N69*$B69</f>
        <v>1704</v>
      </c>
      <c r="N69" s="47">
        <f>攻击!O69*$B69</f>
        <v>2130</v>
      </c>
      <c r="O69" s="47">
        <f>攻击!P69*$B69</f>
        <v>2840</v>
      </c>
      <c r="P69" s="47">
        <f>攻击!Q69*$B69</f>
        <v>3550</v>
      </c>
      <c r="Q69" s="47">
        <f>攻击!R69*$B69</f>
        <v>4260</v>
      </c>
      <c r="R69" s="47">
        <f>攻击!S69*$B69</f>
        <v>4970</v>
      </c>
      <c r="S69" s="47">
        <f>攻击!T69*$B69</f>
        <v>1065</v>
      </c>
      <c r="T69" s="47">
        <f>攻击!U69*$B69</f>
        <v>426</v>
      </c>
      <c r="U69" s="47">
        <f>攻击!V69*$B69</f>
        <v>426</v>
      </c>
      <c r="V69" s="47">
        <f>攻击!W69*$B69</f>
        <v>71</v>
      </c>
      <c r="W69" s="54">
        <f>攻击!X69</f>
        <v>0</v>
      </c>
      <c r="X69" s="54">
        <f>攻击!Y69</f>
        <v>0</v>
      </c>
      <c r="Y69" s="54">
        <f>攻击!Z69</f>
        <v>0</v>
      </c>
      <c r="Z69" s="54">
        <f>攻击!AA69</f>
        <v>0</v>
      </c>
      <c r="AA69" s="54">
        <f>攻击!AB69</f>
        <v>0</v>
      </c>
      <c r="AB69" s="47">
        <f>攻击!AC69*$B69</f>
        <v>1420</v>
      </c>
      <c r="AC69" s="47">
        <f>攻击!AD69*$B69</f>
        <v>1704</v>
      </c>
      <c r="AD69" s="47">
        <f>攻击!AE69*$B69</f>
        <v>2130</v>
      </c>
      <c r="AE69" s="47">
        <f>攻击!AF69*$B69</f>
        <v>2840</v>
      </c>
      <c r="AF69" s="47">
        <f>攻击!AG69*$B69</f>
        <v>3550</v>
      </c>
      <c r="AG69" s="47">
        <f>攻击!AH69*$B69</f>
        <v>710</v>
      </c>
      <c r="AH69" s="47">
        <f>攻击!AI69*$B69</f>
        <v>284</v>
      </c>
      <c r="AI69" s="47">
        <f>攻击!AJ69*$B69</f>
        <v>284</v>
      </c>
      <c r="AJ69" s="47">
        <f>攻击!AK69*$B69</f>
        <v>42.599999999999994</v>
      </c>
      <c r="AK69" s="47">
        <f>攻击!AL69*$B69</f>
        <v>0</v>
      </c>
      <c r="AL69" s="54">
        <f>攻击!AM69</f>
        <v>0</v>
      </c>
      <c r="AM69" s="54">
        <f>攻击!AN69</f>
        <v>0</v>
      </c>
      <c r="AN69" s="54">
        <f>攻击!AO69</f>
        <v>0</v>
      </c>
      <c r="AO69" s="54">
        <f>攻击!AP69</f>
        <v>0</v>
      </c>
      <c r="AP69" s="54">
        <f>攻击!AQ69</f>
        <v>0</v>
      </c>
      <c r="AQ69" s="47">
        <f>攻击!AR69*$B69</f>
        <v>284</v>
      </c>
      <c r="AR69" s="20">
        <f t="shared" si="2"/>
        <v>5254</v>
      </c>
    </row>
    <row r="70" spans="1:44" s="20" customFormat="1">
      <c r="A70" s="46">
        <v>68</v>
      </c>
      <c r="B70" s="51">
        <f t="shared" si="3"/>
        <v>10</v>
      </c>
      <c r="C70" s="47">
        <f>攻击!D70*$B70</f>
        <v>1440</v>
      </c>
      <c r="D70" s="47">
        <f>攻击!E70*$B70</f>
        <v>1727.9999999999998</v>
      </c>
      <c r="E70" s="47">
        <f>攻击!F70*$B70</f>
        <v>2160</v>
      </c>
      <c r="F70" s="47">
        <f>攻击!G70*$B70</f>
        <v>2880</v>
      </c>
      <c r="G70" s="47">
        <f>攻击!H70*$B70</f>
        <v>3600</v>
      </c>
      <c r="H70" s="47">
        <f>攻击!I70*$B70</f>
        <v>690</v>
      </c>
      <c r="I70" s="47">
        <f>攻击!J70*$B70</f>
        <v>431.99999999999994</v>
      </c>
      <c r="J70" s="47">
        <f>攻击!K70*$B70</f>
        <v>863.99999999999989</v>
      </c>
      <c r="K70" s="47">
        <f>攻击!L70*$B70</f>
        <v>0</v>
      </c>
      <c r="L70" s="47">
        <f>攻击!M70*$B70</f>
        <v>1152</v>
      </c>
      <c r="M70" s="47">
        <f>攻击!N70*$B70</f>
        <v>1727.9999999999998</v>
      </c>
      <c r="N70" s="47">
        <f>攻击!O70*$B70</f>
        <v>2160</v>
      </c>
      <c r="O70" s="47">
        <f>攻击!P70*$B70</f>
        <v>2880</v>
      </c>
      <c r="P70" s="47">
        <f>攻击!Q70*$B70</f>
        <v>3600</v>
      </c>
      <c r="Q70" s="47">
        <f>攻击!R70*$B70</f>
        <v>4320</v>
      </c>
      <c r="R70" s="47">
        <f>攻击!S70*$B70</f>
        <v>5040</v>
      </c>
      <c r="S70" s="47">
        <f>攻击!T70*$B70</f>
        <v>1080</v>
      </c>
      <c r="T70" s="47">
        <f>攻击!U70*$B70</f>
        <v>431.99999999999994</v>
      </c>
      <c r="U70" s="47">
        <f>攻击!V70*$B70</f>
        <v>431.99999999999994</v>
      </c>
      <c r="V70" s="47">
        <f>攻击!W70*$B70</f>
        <v>72</v>
      </c>
      <c r="W70" s="54">
        <f>攻击!X70</f>
        <v>0</v>
      </c>
      <c r="X70" s="54">
        <f>攻击!Y70</f>
        <v>0</v>
      </c>
      <c r="Y70" s="54">
        <f>攻击!Z70</f>
        <v>0</v>
      </c>
      <c r="Z70" s="54">
        <f>攻击!AA70</f>
        <v>0</v>
      </c>
      <c r="AA70" s="54">
        <f>攻击!AB70</f>
        <v>0</v>
      </c>
      <c r="AB70" s="47">
        <f>攻击!AC70*$B70</f>
        <v>1440</v>
      </c>
      <c r="AC70" s="47">
        <f>攻击!AD70*$B70</f>
        <v>1727.9999999999998</v>
      </c>
      <c r="AD70" s="47">
        <f>攻击!AE70*$B70</f>
        <v>2160</v>
      </c>
      <c r="AE70" s="47">
        <f>攻击!AF70*$B70</f>
        <v>2880</v>
      </c>
      <c r="AF70" s="47">
        <f>攻击!AG70*$B70</f>
        <v>3600</v>
      </c>
      <c r="AG70" s="47">
        <f>攻击!AH70*$B70</f>
        <v>720</v>
      </c>
      <c r="AH70" s="47">
        <f>攻击!AI70*$B70</f>
        <v>288</v>
      </c>
      <c r="AI70" s="47">
        <f>攻击!AJ70*$B70</f>
        <v>288</v>
      </c>
      <c r="AJ70" s="47">
        <f>攻击!AK70*$B70</f>
        <v>43.2</v>
      </c>
      <c r="AK70" s="47">
        <f>攻击!AL70*$B70</f>
        <v>0</v>
      </c>
      <c r="AL70" s="54">
        <f>攻击!AM70</f>
        <v>0</v>
      </c>
      <c r="AM70" s="54">
        <f>攻击!AN70</f>
        <v>0</v>
      </c>
      <c r="AN70" s="54">
        <f>攻击!AO70</f>
        <v>0</v>
      </c>
      <c r="AO70" s="54">
        <f>攻击!AP70</f>
        <v>0</v>
      </c>
      <c r="AP70" s="54">
        <f>攻击!AQ70</f>
        <v>0</v>
      </c>
      <c r="AQ70" s="47">
        <f>攻击!AR70*$B70</f>
        <v>288</v>
      </c>
      <c r="AR70" s="20">
        <f t="shared" si="2"/>
        <v>5328</v>
      </c>
    </row>
    <row r="71" spans="1:44" s="20" customFormat="1">
      <c r="A71" s="46">
        <v>69</v>
      </c>
      <c r="B71" s="51">
        <f t="shared" si="3"/>
        <v>10</v>
      </c>
      <c r="C71" s="47">
        <f>攻击!D71*$B71</f>
        <v>1460</v>
      </c>
      <c r="D71" s="47">
        <f>攻击!E71*$B71</f>
        <v>1752</v>
      </c>
      <c r="E71" s="47">
        <f>攻击!F71*$B71</f>
        <v>2190</v>
      </c>
      <c r="F71" s="47">
        <f>攻击!G71*$B71</f>
        <v>2920</v>
      </c>
      <c r="G71" s="47">
        <f>攻击!H71*$B71</f>
        <v>3650</v>
      </c>
      <c r="H71" s="47">
        <f>攻击!I71*$B71</f>
        <v>690</v>
      </c>
      <c r="I71" s="47">
        <f>攻击!J71*$B71</f>
        <v>438</v>
      </c>
      <c r="J71" s="47">
        <f>攻击!K71*$B71</f>
        <v>876</v>
      </c>
      <c r="K71" s="47">
        <f>攻击!L71*$B71</f>
        <v>0</v>
      </c>
      <c r="L71" s="47">
        <f>攻击!M71*$B71</f>
        <v>1168</v>
      </c>
      <c r="M71" s="47">
        <f>攻击!N71*$B71</f>
        <v>1752</v>
      </c>
      <c r="N71" s="47">
        <f>攻击!O71*$B71</f>
        <v>2190</v>
      </c>
      <c r="O71" s="47">
        <f>攻击!P71*$B71</f>
        <v>2920</v>
      </c>
      <c r="P71" s="47">
        <f>攻击!Q71*$B71</f>
        <v>3650</v>
      </c>
      <c r="Q71" s="47">
        <f>攻击!R71*$B71</f>
        <v>4380</v>
      </c>
      <c r="R71" s="47">
        <f>攻击!S71*$B71</f>
        <v>5110</v>
      </c>
      <c r="S71" s="47">
        <f>攻击!T71*$B71</f>
        <v>1095</v>
      </c>
      <c r="T71" s="47">
        <f>攻击!U71*$B71</f>
        <v>438</v>
      </c>
      <c r="U71" s="47">
        <f>攻击!V71*$B71</f>
        <v>438</v>
      </c>
      <c r="V71" s="47">
        <f>攻击!W71*$B71</f>
        <v>73</v>
      </c>
      <c r="W71" s="54">
        <f>攻击!X71</f>
        <v>0</v>
      </c>
      <c r="X71" s="54">
        <f>攻击!Y71</f>
        <v>0</v>
      </c>
      <c r="Y71" s="54">
        <f>攻击!Z71</f>
        <v>0</v>
      </c>
      <c r="Z71" s="54">
        <f>攻击!AA71</f>
        <v>0</v>
      </c>
      <c r="AA71" s="54">
        <f>攻击!AB71</f>
        <v>0</v>
      </c>
      <c r="AB71" s="47">
        <f>攻击!AC71*$B71</f>
        <v>1460</v>
      </c>
      <c r="AC71" s="47">
        <f>攻击!AD71*$B71</f>
        <v>1752</v>
      </c>
      <c r="AD71" s="47">
        <f>攻击!AE71*$B71</f>
        <v>2190</v>
      </c>
      <c r="AE71" s="47">
        <f>攻击!AF71*$B71</f>
        <v>2920</v>
      </c>
      <c r="AF71" s="47">
        <f>攻击!AG71*$B71</f>
        <v>3650</v>
      </c>
      <c r="AG71" s="47">
        <f>攻击!AH71*$B71</f>
        <v>730</v>
      </c>
      <c r="AH71" s="47">
        <f>攻击!AI71*$B71</f>
        <v>292</v>
      </c>
      <c r="AI71" s="47">
        <f>攻击!AJ71*$B71</f>
        <v>292</v>
      </c>
      <c r="AJ71" s="47">
        <f>攻击!AK71*$B71</f>
        <v>43.8</v>
      </c>
      <c r="AK71" s="47">
        <f>攻击!AL71*$B71</f>
        <v>0</v>
      </c>
      <c r="AL71" s="54">
        <f>攻击!AM71</f>
        <v>0</v>
      </c>
      <c r="AM71" s="54">
        <f>攻击!AN71</f>
        <v>0</v>
      </c>
      <c r="AN71" s="54">
        <f>攻击!AO71</f>
        <v>0</v>
      </c>
      <c r="AO71" s="54">
        <f>攻击!AP71</f>
        <v>0</v>
      </c>
      <c r="AP71" s="54">
        <f>攻击!AQ71</f>
        <v>0</v>
      </c>
      <c r="AQ71" s="47">
        <f>攻击!AR71*$B71</f>
        <v>292</v>
      </c>
      <c r="AR71" s="20">
        <f t="shared" si="2"/>
        <v>5402</v>
      </c>
    </row>
    <row r="72" spans="1:44" s="20" customFormat="1">
      <c r="A72" s="46">
        <v>70</v>
      </c>
      <c r="B72" s="51">
        <f t="shared" si="3"/>
        <v>10</v>
      </c>
      <c r="C72" s="47">
        <f>攻击!D72*$B72</f>
        <v>1480</v>
      </c>
      <c r="D72" s="47">
        <f>攻击!E72*$B72</f>
        <v>1776</v>
      </c>
      <c r="E72" s="47">
        <f>攻击!F72*$B72</f>
        <v>2220</v>
      </c>
      <c r="F72" s="47">
        <f>攻击!G72*$B72</f>
        <v>2960</v>
      </c>
      <c r="G72" s="47">
        <f>攻击!H72*$B72</f>
        <v>3700</v>
      </c>
      <c r="H72" s="47">
        <f>攻击!I72*$B72</f>
        <v>740</v>
      </c>
      <c r="I72" s="47">
        <f>攻击!J72*$B72</f>
        <v>444</v>
      </c>
      <c r="J72" s="47">
        <f>攻击!K72*$B72</f>
        <v>888</v>
      </c>
      <c r="K72" s="47">
        <f>攻击!L72*$B72</f>
        <v>444</v>
      </c>
      <c r="L72" s="47">
        <f>攻击!M72*$B72</f>
        <v>1184</v>
      </c>
      <c r="M72" s="47">
        <f>攻击!N72*$B72</f>
        <v>1776</v>
      </c>
      <c r="N72" s="47">
        <f>攻击!O72*$B72</f>
        <v>2220</v>
      </c>
      <c r="O72" s="47">
        <f>攻击!P72*$B72</f>
        <v>2960</v>
      </c>
      <c r="P72" s="47">
        <f>攻击!Q72*$B72</f>
        <v>3700</v>
      </c>
      <c r="Q72" s="47">
        <f>攻击!R72*$B72</f>
        <v>4440</v>
      </c>
      <c r="R72" s="47">
        <f>攻击!S72*$B72</f>
        <v>5180</v>
      </c>
      <c r="S72" s="47">
        <f>攻击!T72*$B72</f>
        <v>1110</v>
      </c>
      <c r="T72" s="47">
        <f>攻击!U72*$B72</f>
        <v>444</v>
      </c>
      <c r="U72" s="47">
        <f>攻击!V72*$B72</f>
        <v>444</v>
      </c>
      <c r="V72" s="47">
        <f>攻击!W72*$B72</f>
        <v>74</v>
      </c>
      <c r="W72" s="54">
        <f>攻击!X72</f>
        <v>0</v>
      </c>
      <c r="X72" s="54">
        <f>攻击!Y72</f>
        <v>0</v>
      </c>
      <c r="Y72" s="54">
        <f>攻击!Z72</f>
        <v>0</v>
      </c>
      <c r="Z72" s="54">
        <f>攻击!AA72</f>
        <v>0</v>
      </c>
      <c r="AA72" s="54">
        <f>攻击!AB72</f>
        <v>0</v>
      </c>
      <c r="AB72" s="47">
        <f>攻击!AC72*$B72</f>
        <v>1480</v>
      </c>
      <c r="AC72" s="47">
        <f>攻击!AD72*$B72</f>
        <v>1776</v>
      </c>
      <c r="AD72" s="47">
        <f>攻击!AE72*$B72</f>
        <v>2220</v>
      </c>
      <c r="AE72" s="47">
        <f>攻击!AF72*$B72</f>
        <v>2960</v>
      </c>
      <c r="AF72" s="47">
        <f>攻击!AG72*$B72</f>
        <v>3700</v>
      </c>
      <c r="AG72" s="47">
        <f>攻击!AH72*$B72</f>
        <v>740</v>
      </c>
      <c r="AH72" s="47">
        <f>攻击!AI72*$B72</f>
        <v>296</v>
      </c>
      <c r="AI72" s="47">
        <f>攻击!AJ72*$B72</f>
        <v>296</v>
      </c>
      <c r="AJ72" s="47">
        <f>攻击!AK72*$B72</f>
        <v>44.399999999999991</v>
      </c>
      <c r="AK72" s="47">
        <f>攻击!AL72*$B72</f>
        <v>1776</v>
      </c>
      <c r="AL72" s="54">
        <f>攻击!AM72</f>
        <v>0</v>
      </c>
      <c r="AM72" s="54">
        <f>攻击!AN72</f>
        <v>0</v>
      </c>
      <c r="AN72" s="54">
        <f>攻击!AO72</f>
        <v>0</v>
      </c>
      <c r="AO72" s="54">
        <f>攻击!AP72</f>
        <v>0</v>
      </c>
      <c r="AP72" s="54">
        <f>攻击!AQ72</f>
        <v>0</v>
      </c>
      <c r="AQ72" s="47">
        <f>攻击!AR72*$B72</f>
        <v>296</v>
      </c>
      <c r="AR72" s="20">
        <f t="shared" si="2"/>
        <v>7252</v>
      </c>
    </row>
    <row r="73" spans="1:44" s="20" customFormat="1">
      <c r="A73" s="46">
        <v>71</v>
      </c>
      <c r="B73" s="51">
        <f t="shared" si="3"/>
        <v>10</v>
      </c>
      <c r="C73" s="47">
        <f>攻击!D73*$B73</f>
        <v>1500</v>
      </c>
      <c r="D73" s="47">
        <f>攻击!E73*$B73</f>
        <v>1800</v>
      </c>
      <c r="E73" s="47">
        <f>攻击!F73*$B73</f>
        <v>2250</v>
      </c>
      <c r="F73" s="47">
        <f>攻击!G73*$B73</f>
        <v>3000</v>
      </c>
      <c r="G73" s="47">
        <f>攻击!H73*$B73</f>
        <v>3750</v>
      </c>
      <c r="H73" s="47">
        <f>攻击!I73*$B73</f>
        <v>740</v>
      </c>
      <c r="I73" s="47">
        <f>攻击!J73*$B73</f>
        <v>450</v>
      </c>
      <c r="J73" s="47">
        <f>攻击!K73*$B73</f>
        <v>900</v>
      </c>
      <c r="K73" s="47">
        <f>攻击!L73*$B73</f>
        <v>450</v>
      </c>
      <c r="L73" s="47">
        <f>攻击!M73*$B73</f>
        <v>1200</v>
      </c>
      <c r="M73" s="47">
        <f>攻击!N73*$B73</f>
        <v>1800</v>
      </c>
      <c r="N73" s="47">
        <f>攻击!O73*$B73</f>
        <v>2250</v>
      </c>
      <c r="O73" s="47">
        <f>攻击!P73*$B73</f>
        <v>3000</v>
      </c>
      <c r="P73" s="47">
        <f>攻击!Q73*$B73</f>
        <v>3750</v>
      </c>
      <c r="Q73" s="47">
        <f>攻击!R73*$B73</f>
        <v>4500</v>
      </c>
      <c r="R73" s="47">
        <f>攻击!S73*$B73</f>
        <v>5250</v>
      </c>
      <c r="S73" s="47">
        <f>攻击!T73*$B73</f>
        <v>1125</v>
      </c>
      <c r="T73" s="47">
        <f>攻击!U73*$B73</f>
        <v>450</v>
      </c>
      <c r="U73" s="47">
        <f>攻击!V73*$B73</f>
        <v>450</v>
      </c>
      <c r="V73" s="47">
        <f>攻击!W73*$B73</f>
        <v>75</v>
      </c>
      <c r="W73" s="54">
        <f>攻击!X73</f>
        <v>0</v>
      </c>
      <c r="X73" s="54">
        <f>攻击!Y73</f>
        <v>0</v>
      </c>
      <c r="Y73" s="54">
        <f>攻击!Z73</f>
        <v>0</v>
      </c>
      <c r="Z73" s="54">
        <f>攻击!AA73</f>
        <v>0</v>
      </c>
      <c r="AA73" s="54">
        <f>攻击!AB73</f>
        <v>0</v>
      </c>
      <c r="AB73" s="47">
        <f>攻击!AC73*$B73</f>
        <v>1500</v>
      </c>
      <c r="AC73" s="47">
        <f>攻击!AD73*$B73</f>
        <v>1800</v>
      </c>
      <c r="AD73" s="47">
        <f>攻击!AE73*$B73</f>
        <v>2250</v>
      </c>
      <c r="AE73" s="47">
        <f>攻击!AF73*$B73</f>
        <v>3000</v>
      </c>
      <c r="AF73" s="47">
        <f>攻击!AG73*$B73</f>
        <v>3750</v>
      </c>
      <c r="AG73" s="47">
        <f>攻击!AH73*$B73</f>
        <v>750</v>
      </c>
      <c r="AH73" s="47">
        <f>攻击!AI73*$B73</f>
        <v>300</v>
      </c>
      <c r="AI73" s="47">
        <f>攻击!AJ73*$B73</f>
        <v>300</v>
      </c>
      <c r="AJ73" s="47">
        <f>攻击!AK73*$B73</f>
        <v>45</v>
      </c>
      <c r="AK73" s="47">
        <f>攻击!AL73*$B73</f>
        <v>1800</v>
      </c>
      <c r="AL73" s="54">
        <f>攻击!AM73</f>
        <v>0</v>
      </c>
      <c r="AM73" s="54">
        <f>攻击!AN73</f>
        <v>0</v>
      </c>
      <c r="AN73" s="54">
        <f>攻击!AO73</f>
        <v>0</v>
      </c>
      <c r="AO73" s="54">
        <f>攻击!AP73</f>
        <v>0</v>
      </c>
      <c r="AP73" s="54">
        <f>攻击!AQ73</f>
        <v>0</v>
      </c>
      <c r="AQ73" s="47">
        <f>攻击!AR73*$B73</f>
        <v>300</v>
      </c>
      <c r="AR73" s="20">
        <f t="shared" si="2"/>
        <v>7350</v>
      </c>
    </row>
    <row r="74" spans="1:44" s="20" customFormat="1">
      <c r="A74" s="46">
        <v>72</v>
      </c>
      <c r="B74" s="51">
        <f t="shared" si="3"/>
        <v>10</v>
      </c>
      <c r="C74" s="47">
        <f>攻击!D74*$B74</f>
        <v>1520</v>
      </c>
      <c r="D74" s="47">
        <f>攻击!E74*$B74</f>
        <v>1824</v>
      </c>
      <c r="E74" s="47">
        <f>攻击!F74*$B74</f>
        <v>2280</v>
      </c>
      <c r="F74" s="47">
        <f>攻击!G74*$B74</f>
        <v>3040</v>
      </c>
      <c r="G74" s="47">
        <f>攻击!H74*$B74</f>
        <v>3800</v>
      </c>
      <c r="H74" s="47">
        <f>攻击!I74*$B74</f>
        <v>740</v>
      </c>
      <c r="I74" s="47">
        <f>攻击!J74*$B74</f>
        <v>456</v>
      </c>
      <c r="J74" s="47">
        <f>攻击!K74*$B74</f>
        <v>912</v>
      </c>
      <c r="K74" s="47">
        <f>攻击!L74*$B74</f>
        <v>456</v>
      </c>
      <c r="L74" s="47">
        <f>攻击!M74*$B74</f>
        <v>1216</v>
      </c>
      <c r="M74" s="47">
        <f>攻击!N74*$B74</f>
        <v>1824</v>
      </c>
      <c r="N74" s="47">
        <f>攻击!O74*$B74</f>
        <v>2280</v>
      </c>
      <c r="O74" s="47">
        <f>攻击!P74*$B74</f>
        <v>3040</v>
      </c>
      <c r="P74" s="47">
        <f>攻击!Q74*$B74</f>
        <v>3800</v>
      </c>
      <c r="Q74" s="47">
        <f>攻击!R74*$B74</f>
        <v>4560</v>
      </c>
      <c r="R74" s="47">
        <f>攻击!S74*$B74</f>
        <v>5320</v>
      </c>
      <c r="S74" s="47">
        <f>攻击!T74*$B74</f>
        <v>1140</v>
      </c>
      <c r="T74" s="47">
        <f>攻击!U74*$B74</f>
        <v>456</v>
      </c>
      <c r="U74" s="47">
        <f>攻击!V74*$B74</f>
        <v>456</v>
      </c>
      <c r="V74" s="47">
        <f>攻击!W74*$B74</f>
        <v>76</v>
      </c>
      <c r="W74" s="54">
        <f>攻击!X74</f>
        <v>0</v>
      </c>
      <c r="X74" s="54">
        <f>攻击!Y74</f>
        <v>0</v>
      </c>
      <c r="Y74" s="54">
        <f>攻击!Z74</f>
        <v>0</v>
      </c>
      <c r="Z74" s="54">
        <f>攻击!AA74</f>
        <v>0</v>
      </c>
      <c r="AA74" s="54">
        <f>攻击!AB74</f>
        <v>0</v>
      </c>
      <c r="AB74" s="47">
        <f>攻击!AC74*$B74</f>
        <v>1520</v>
      </c>
      <c r="AC74" s="47">
        <f>攻击!AD74*$B74</f>
        <v>1824</v>
      </c>
      <c r="AD74" s="47">
        <f>攻击!AE74*$B74</f>
        <v>2280</v>
      </c>
      <c r="AE74" s="47">
        <f>攻击!AF74*$B74</f>
        <v>3040</v>
      </c>
      <c r="AF74" s="47">
        <f>攻击!AG74*$B74</f>
        <v>3800</v>
      </c>
      <c r="AG74" s="47">
        <f>攻击!AH74*$B74</f>
        <v>760</v>
      </c>
      <c r="AH74" s="47">
        <f>攻击!AI74*$B74</f>
        <v>304</v>
      </c>
      <c r="AI74" s="47">
        <f>攻击!AJ74*$B74</f>
        <v>304</v>
      </c>
      <c r="AJ74" s="47">
        <f>攻击!AK74*$B74</f>
        <v>45.599999999999994</v>
      </c>
      <c r="AK74" s="47">
        <f>攻击!AL74*$B74</f>
        <v>1824</v>
      </c>
      <c r="AL74" s="54">
        <f>攻击!AM74</f>
        <v>0</v>
      </c>
      <c r="AM74" s="54">
        <f>攻击!AN74</f>
        <v>0</v>
      </c>
      <c r="AN74" s="54">
        <f>攻击!AO74</f>
        <v>0</v>
      </c>
      <c r="AO74" s="54">
        <f>攻击!AP74</f>
        <v>0</v>
      </c>
      <c r="AP74" s="54">
        <f>攻击!AQ74</f>
        <v>0</v>
      </c>
      <c r="AQ74" s="47">
        <f>攻击!AR74*$B74</f>
        <v>304</v>
      </c>
      <c r="AR74" s="20">
        <f t="shared" si="2"/>
        <v>7448</v>
      </c>
    </row>
    <row r="75" spans="1:44" s="20" customFormat="1">
      <c r="A75" s="46">
        <v>73</v>
      </c>
      <c r="B75" s="51">
        <f t="shared" si="3"/>
        <v>10</v>
      </c>
      <c r="C75" s="47">
        <f>攻击!D75*$B75</f>
        <v>1540</v>
      </c>
      <c r="D75" s="47">
        <f>攻击!E75*$B75</f>
        <v>1847.9999999999998</v>
      </c>
      <c r="E75" s="47">
        <f>攻击!F75*$B75</f>
        <v>2310</v>
      </c>
      <c r="F75" s="47">
        <f>攻击!G75*$B75</f>
        <v>3080</v>
      </c>
      <c r="G75" s="47">
        <f>攻击!H75*$B75</f>
        <v>3850</v>
      </c>
      <c r="H75" s="47">
        <f>攻击!I75*$B75</f>
        <v>740</v>
      </c>
      <c r="I75" s="47">
        <f>攻击!J75*$B75</f>
        <v>461.99999999999994</v>
      </c>
      <c r="J75" s="47">
        <f>攻击!K75*$B75</f>
        <v>923.99999999999989</v>
      </c>
      <c r="K75" s="47">
        <f>攻击!L75*$B75</f>
        <v>461.99999999999994</v>
      </c>
      <c r="L75" s="47">
        <f>攻击!M75*$B75</f>
        <v>1232</v>
      </c>
      <c r="M75" s="47">
        <f>攻击!N75*$B75</f>
        <v>1847.9999999999998</v>
      </c>
      <c r="N75" s="47">
        <f>攻击!O75*$B75</f>
        <v>2310</v>
      </c>
      <c r="O75" s="47">
        <f>攻击!P75*$B75</f>
        <v>3080</v>
      </c>
      <c r="P75" s="47">
        <f>攻击!Q75*$B75</f>
        <v>3850</v>
      </c>
      <c r="Q75" s="47">
        <f>攻击!R75*$B75</f>
        <v>4620</v>
      </c>
      <c r="R75" s="47">
        <f>攻击!S75*$B75</f>
        <v>5390</v>
      </c>
      <c r="S75" s="47">
        <f>攻击!T75*$B75</f>
        <v>1155</v>
      </c>
      <c r="T75" s="47">
        <f>攻击!U75*$B75</f>
        <v>461.99999999999994</v>
      </c>
      <c r="U75" s="47">
        <f>攻击!V75*$B75</f>
        <v>461.99999999999994</v>
      </c>
      <c r="V75" s="47">
        <f>攻击!W75*$B75</f>
        <v>77</v>
      </c>
      <c r="W75" s="54">
        <f>攻击!X75</f>
        <v>0</v>
      </c>
      <c r="X75" s="54">
        <f>攻击!Y75</f>
        <v>0</v>
      </c>
      <c r="Y75" s="54">
        <f>攻击!Z75</f>
        <v>0</v>
      </c>
      <c r="Z75" s="54">
        <f>攻击!AA75</f>
        <v>0</v>
      </c>
      <c r="AA75" s="54">
        <f>攻击!AB75</f>
        <v>0</v>
      </c>
      <c r="AB75" s="47">
        <f>攻击!AC75*$B75</f>
        <v>1540</v>
      </c>
      <c r="AC75" s="47">
        <f>攻击!AD75*$B75</f>
        <v>1847.9999999999998</v>
      </c>
      <c r="AD75" s="47">
        <f>攻击!AE75*$B75</f>
        <v>2310</v>
      </c>
      <c r="AE75" s="47">
        <f>攻击!AF75*$B75</f>
        <v>3080</v>
      </c>
      <c r="AF75" s="47">
        <f>攻击!AG75*$B75</f>
        <v>3850</v>
      </c>
      <c r="AG75" s="47">
        <f>攻击!AH75*$B75</f>
        <v>770</v>
      </c>
      <c r="AH75" s="47">
        <f>攻击!AI75*$B75</f>
        <v>308</v>
      </c>
      <c r="AI75" s="47">
        <f>攻击!AJ75*$B75</f>
        <v>308</v>
      </c>
      <c r="AJ75" s="47">
        <f>攻击!AK75*$B75</f>
        <v>46.2</v>
      </c>
      <c r="AK75" s="47">
        <f>攻击!AL75*$B75</f>
        <v>1847.9999999999998</v>
      </c>
      <c r="AL75" s="54">
        <f>攻击!AM75</f>
        <v>0</v>
      </c>
      <c r="AM75" s="54">
        <f>攻击!AN75</f>
        <v>0</v>
      </c>
      <c r="AN75" s="54">
        <f>攻击!AO75</f>
        <v>0</v>
      </c>
      <c r="AO75" s="54">
        <f>攻击!AP75</f>
        <v>0</v>
      </c>
      <c r="AP75" s="54">
        <f>攻击!AQ75</f>
        <v>0</v>
      </c>
      <c r="AQ75" s="47">
        <f>攻击!AR75*$B75</f>
        <v>308</v>
      </c>
      <c r="AR75" s="20">
        <f t="shared" si="2"/>
        <v>7546</v>
      </c>
    </row>
    <row r="76" spans="1:44" s="20" customFormat="1">
      <c r="A76" s="46">
        <v>74</v>
      </c>
      <c r="B76" s="51">
        <f t="shared" si="3"/>
        <v>10</v>
      </c>
      <c r="C76" s="47">
        <f>攻击!D76*$B76</f>
        <v>1560</v>
      </c>
      <c r="D76" s="47">
        <f>攻击!E76*$B76</f>
        <v>1872</v>
      </c>
      <c r="E76" s="47">
        <f>攻击!F76*$B76</f>
        <v>2340</v>
      </c>
      <c r="F76" s="47">
        <f>攻击!G76*$B76</f>
        <v>3120</v>
      </c>
      <c r="G76" s="47">
        <f>攻击!H76*$B76</f>
        <v>3900</v>
      </c>
      <c r="H76" s="47">
        <f>攻击!I76*$B76</f>
        <v>740</v>
      </c>
      <c r="I76" s="47">
        <f>攻击!J76*$B76</f>
        <v>468</v>
      </c>
      <c r="J76" s="47">
        <f>攻击!K76*$B76</f>
        <v>936</v>
      </c>
      <c r="K76" s="47">
        <f>攻击!L76*$B76</f>
        <v>468</v>
      </c>
      <c r="L76" s="47">
        <f>攻击!M76*$B76</f>
        <v>1248</v>
      </c>
      <c r="M76" s="47">
        <f>攻击!N76*$B76</f>
        <v>1872</v>
      </c>
      <c r="N76" s="47">
        <f>攻击!O76*$B76</f>
        <v>2340</v>
      </c>
      <c r="O76" s="47">
        <f>攻击!P76*$B76</f>
        <v>3120</v>
      </c>
      <c r="P76" s="47">
        <f>攻击!Q76*$B76</f>
        <v>3900</v>
      </c>
      <c r="Q76" s="47">
        <f>攻击!R76*$B76</f>
        <v>4680</v>
      </c>
      <c r="R76" s="47">
        <f>攻击!S76*$B76</f>
        <v>5460</v>
      </c>
      <c r="S76" s="47">
        <f>攻击!T76*$B76</f>
        <v>1170</v>
      </c>
      <c r="T76" s="47">
        <f>攻击!U76*$B76</f>
        <v>468</v>
      </c>
      <c r="U76" s="47">
        <f>攻击!V76*$B76</f>
        <v>468</v>
      </c>
      <c r="V76" s="47">
        <f>攻击!W76*$B76</f>
        <v>78</v>
      </c>
      <c r="W76" s="54">
        <f>攻击!X76</f>
        <v>0</v>
      </c>
      <c r="X76" s="54">
        <f>攻击!Y76</f>
        <v>0</v>
      </c>
      <c r="Y76" s="54">
        <f>攻击!Z76</f>
        <v>0</v>
      </c>
      <c r="Z76" s="54">
        <f>攻击!AA76</f>
        <v>0</v>
      </c>
      <c r="AA76" s="54">
        <f>攻击!AB76</f>
        <v>0</v>
      </c>
      <c r="AB76" s="47">
        <f>攻击!AC76*$B76</f>
        <v>1560</v>
      </c>
      <c r="AC76" s="47">
        <f>攻击!AD76*$B76</f>
        <v>1872</v>
      </c>
      <c r="AD76" s="47">
        <f>攻击!AE76*$B76</f>
        <v>2340</v>
      </c>
      <c r="AE76" s="47">
        <f>攻击!AF76*$B76</f>
        <v>3120</v>
      </c>
      <c r="AF76" s="47">
        <f>攻击!AG76*$B76</f>
        <v>3900</v>
      </c>
      <c r="AG76" s="47">
        <f>攻击!AH76*$B76</f>
        <v>780</v>
      </c>
      <c r="AH76" s="47">
        <f>攻击!AI76*$B76</f>
        <v>312</v>
      </c>
      <c r="AI76" s="47">
        <f>攻击!AJ76*$B76</f>
        <v>312</v>
      </c>
      <c r="AJ76" s="47">
        <f>攻击!AK76*$B76</f>
        <v>46.8</v>
      </c>
      <c r="AK76" s="47">
        <f>攻击!AL76*$B76</f>
        <v>1872</v>
      </c>
      <c r="AL76" s="54">
        <f>攻击!AM76</f>
        <v>0</v>
      </c>
      <c r="AM76" s="54">
        <f>攻击!AN76</f>
        <v>0</v>
      </c>
      <c r="AN76" s="54">
        <f>攻击!AO76</f>
        <v>0</v>
      </c>
      <c r="AO76" s="54">
        <f>攻击!AP76</f>
        <v>0</v>
      </c>
      <c r="AP76" s="54">
        <f>攻击!AQ76</f>
        <v>0</v>
      </c>
      <c r="AQ76" s="47">
        <f>攻击!AR76*$B76</f>
        <v>312</v>
      </c>
      <c r="AR76" s="20">
        <f t="shared" si="2"/>
        <v>7644</v>
      </c>
    </row>
    <row r="77" spans="1:44" s="20" customFormat="1">
      <c r="A77" s="46">
        <v>75</v>
      </c>
      <c r="B77" s="51">
        <f t="shared" si="3"/>
        <v>10</v>
      </c>
      <c r="C77" s="47">
        <f>攻击!D77*$B77</f>
        <v>1580</v>
      </c>
      <c r="D77" s="47">
        <f>攻击!E77*$B77</f>
        <v>1896</v>
      </c>
      <c r="E77" s="47">
        <f>攻击!F77*$B77</f>
        <v>2370</v>
      </c>
      <c r="F77" s="47">
        <f>攻击!G77*$B77</f>
        <v>3160</v>
      </c>
      <c r="G77" s="47">
        <f>攻击!H77*$B77</f>
        <v>3950</v>
      </c>
      <c r="H77" s="47">
        <f>攻击!I77*$B77</f>
        <v>790</v>
      </c>
      <c r="I77" s="47">
        <f>攻击!J77*$B77</f>
        <v>474</v>
      </c>
      <c r="J77" s="47">
        <f>攻击!K77*$B77</f>
        <v>948</v>
      </c>
      <c r="K77" s="47">
        <f>攻击!L77*$B77</f>
        <v>474</v>
      </c>
      <c r="L77" s="47">
        <f>攻击!M77*$B77</f>
        <v>1264</v>
      </c>
      <c r="M77" s="47">
        <f>攻击!N77*$B77</f>
        <v>1896</v>
      </c>
      <c r="N77" s="47">
        <f>攻击!O77*$B77</f>
        <v>2370</v>
      </c>
      <c r="O77" s="47">
        <f>攻击!P77*$B77</f>
        <v>3160</v>
      </c>
      <c r="P77" s="47">
        <f>攻击!Q77*$B77</f>
        <v>3950</v>
      </c>
      <c r="Q77" s="47">
        <f>攻击!R77*$B77</f>
        <v>4740</v>
      </c>
      <c r="R77" s="47">
        <f>攻击!S77*$B77</f>
        <v>5530</v>
      </c>
      <c r="S77" s="47">
        <f>攻击!T77*$B77</f>
        <v>1185</v>
      </c>
      <c r="T77" s="47">
        <f>攻击!U77*$B77</f>
        <v>474</v>
      </c>
      <c r="U77" s="47">
        <f>攻击!V77*$B77</f>
        <v>474</v>
      </c>
      <c r="V77" s="47">
        <f>攻击!W77*$B77</f>
        <v>79</v>
      </c>
      <c r="W77" s="54">
        <f>攻击!X77</f>
        <v>0</v>
      </c>
      <c r="X77" s="54">
        <f>攻击!Y77</f>
        <v>0</v>
      </c>
      <c r="Y77" s="54">
        <f>攻击!Z77</f>
        <v>0</v>
      </c>
      <c r="Z77" s="54">
        <f>攻击!AA77</f>
        <v>0</v>
      </c>
      <c r="AA77" s="54">
        <f>攻击!AB77</f>
        <v>0</v>
      </c>
      <c r="AB77" s="47">
        <f>攻击!AC77*$B77</f>
        <v>1580</v>
      </c>
      <c r="AC77" s="47">
        <f>攻击!AD77*$B77</f>
        <v>1896</v>
      </c>
      <c r="AD77" s="47">
        <f>攻击!AE77*$B77</f>
        <v>2370</v>
      </c>
      <c r="AE77" s="47">
        <f>攻击!AF77*$B77</f>
        <v>3160</v>
      </c>
      <c r="AF77" s="47">
        <f>攻击!AG77*$B77</f>
        <v>3950</v>
      </c>
      <c r="AG77" s="47">
        <f>攻击!AH77*$B77</f>
        <v>790</v>
      </c>
      <c r="AH77" s="47">
        <f>攻击!AI77*$B77</f>
        <v>316</v>
      </c>
      <c r="AI77" s="47">
        <f>攻击!AJ77*$B77</f>
        <v>316</v>
      </c>
      <c r="AJ77" s="47">
        <f>攻击!AK77*$B77</f>
        <v>47.400000000000006</v>
      </c>
      <c r="AK77" s="47">
        <f>攻击!AL77*$B77</f>
        <v>1896</v>
      </c>
      <c r="AL77" s="54">
        <f>攻击!AM77</f>
        <v>0</v>
      </c>
      <c r="AM77" s="54">
        <f>攻击!AN77</f>
        <v>0</v>
      </c>
      <c r="AN77" s="54">
        <f>攻击!AO77</f>
        <v>0</v>
      </c>
      <c r="AO77" s="54">
        <f>攻击!AP77</f>
        <v>0</v>
      </c>
      <c r="AP77" s="54">
        <f>攻击!AQ77</f>
        <v>0</v>
      </c>
      <c r="AQ77" s="47">
        <f>攻击!AR77*$B77</f>
        <v>316</v>
      </c>
      <c r="AR77" s="20">
        <f t="shared" si="2"/>
        <v>7742</v>
      </c>
    </row>
    <row r="78" spans="1:44" s="20" customFormat="1">
      <c r="A78" s="46">
        <v>76</v>
      </c>
      <c r="B78" s="51">
        <f t="shared" si="3"/>
        <v>10</v>
      </c>
      <c r="C78" s="47">
        <f>攻击!D78*$B78</f>
        <v>1600</v>
      </c>
      <c r="D78" s="47">
        <f>攻击!E78*$B78</f>
        <v>1920</v>
      </c>
      <c r="E78" s="47">
        <f>攻击!F78*$B78</f>
        <v>2400</v>
      </c>
      <c r="F78" s="47">
        <f>攻击!G78*$B78</f>
        <v>3200</v>
      </c>
      <c r="G78" s="47">
        <f>攻击!H78*$B78</f>
        <v>4000</v>
      </c>
      <c r="H78" s="47">
        <f>攻击!I78*$B78</f>
        <v>790</v>
      </c>
      <c r="I78" s="47">
        <f>攻击!J78*$B78</f>
        <v>480</v>
      </c>
      <c r="J78" s="47">
        <f>攻击!K78*$B78</f>
        <v>960</v>
      </c>
      <c r="K78" s="47">
        <f>攻击!L78*$B78</f>
        <v>480</v>
      </c>
      <c r="L78" s="47">
        <f>攻击!M78*$B78</f>
        <v>1280</v>
      </c>
      <c r="M78" s="47">
        <f>攻击!N78*$B78</f>
        <v>1920</v>
      </c>
      <c r="N78" s="47">
        <f>攻击!O78*$B78</f>
        <v>2400</v>
      </c>
      <c r="O78" s="47">
        <f>攻击!P78*$B78</f>
        <v>3200</v>
      </c>
      <c r="P78" s="47">
        <f>攻击!Q78*$B78</f>
        <v>4000</v>
      </c>
      <c r="Q78" s="47">
        <f>攻击!R78*$B78</f>
        <v>4800</v>
      </c>
      <c r="R78" s="47">
        <f>攻击!S78*$B78</f>
        <v>5600</v>
      </c>
      <c r="S78" s="47">
        <f>攻击!T78*$B78</f>
        <v>1200</v>
      </c>
      <c r="T78" s="47">
        <f>攻击!U78*$B78</f>
        <v>480</v>
      </c>
      <c r="U78" s="47">
        <f>攻击!V78*$B78</f>
        <v>480</v>
      </c>
      <c r="V78" s="47">
        <f>攻击!W78*$B78</f>
        <v>80</v>
      </c>
      <c r="W78" s="54">
        <f>攻击!X78</f>
        <v>0</v>
      </c>
      <c r="X78" s="54">
        <f>攻击!Y78</f>
        <v>0</v>
      </c>
      <c r="Y78" s="54">
        <f>攻击!Z78</f>
        <v>0</v>
      </c>
      <c r="Z78" s="54">
        <f>攻击!AA78</f>
        <v>0</v>
      </c>
      <c r="AA78" s="54">
        <f>攻击!AB78</f>
        <v>0</v>
      </c>
      <c r="AB78" s="47">
        <f>攻击!AC78*$B78</f>
        <v>1600</v>
      </c>
      <c r="AC78" s="47">
        <f>攻击!AD78*$B78</f>
        <v>1920</v>
      </c>
      <c r="AD78" s="47">
        <f>攻击!AE78*$B78</f>
        <v>2400</v>
      </c>
      <c r="AE78" s="47">
        <f>攻击!AF78*$B78</f>
        <v>3200</v>
      </c>
      <c r="AF78" s="47">
        <f>攻击!AG78*$B78</f>
        <v>4000</v>
      </c>
      <c r="AG78" s="47">
        <f>攻击!AH78*$B78</f>
        <v>800</v>
      </c>
      <c r="AH78" s="47">
        <f>攻击!AI78*$B78</f>
        <v>320</v>
      </c>
      <c r="AI78" s="47">
        <f>攻击!AJ78*$B78</f>
        <v>320</v>
      </c>
      <c r="AJ78" s="47">
        <f>攻击!AK78*$B78</f>
        <v>48</v>
      </c>
      <c r="AK78" s="47">
        <f>攻击!AL78*$B78</f>
        <v>1920</v>
      </c>
      <c r="AL78" s="54">
        <f>攻击!AM78</f>
        <v>0</v>
      </c>
      <c r="AM78" s="54">
        <f>攻击!AN78</f>
        <v>0</v>
      </c>
      <c r="AN78" s="54">
        <f>攻击!AO78</f>
        <v>0</v>
      </c>
      <c r="AO78" s="54">
        <f>攻击!AP78</f>
        <v>0</v>
      </c>
      <c r="AP78" s="54">
        <f>攻击!AQ78</f>
        <v>0</v>
      </c>
      <c r="AQ78" s="47">
        <f>攻击!AR78*$B78</f>
        <v>320</v>
      </c>
      <c r="AR78" s="20">
        <f t="shared" si="2"/>
        <v>7840</v>
      </c>
    </row>
    <row r="79" spans="1:44" s="20" customFormat="1">
      <c r="A79" s="46">
        <v>77</v>
      </c>
      <c r="B79" s="51">
        <f t="shared" si="3"/>
        <v>10</v>
      </c>
      <c r="C79" s="47">
        <f>攻击!D79*$B79</f>
        <v>1620</v>
      </c>
      <c r="D79" s="47">
        <f>攻击!E79*$B79</f>
        <v>1944</v>
      </c>
      <c r="E79" s="47">
        <f>攻击!F79*$B79</f>
        <v>2430</v>
      </c>
      <c r="F79" s="47">
        <f>攻击!G79*$B79</f>
        <v>3240</v>
      </c>
      <c r="G79" s="47">
        <f>攻击!H79*$B79</f>
        <v>4050</v>
      </c>
      <c r="H79" s="47">
        <f>攻击!I79*$B79</f>
        <v>790</v>
      </c>
      <c r="I79" s="47">
        <f>攻击!J79*$B79</f>
        <v>486</v>
      </c>
      <c r="J79" s="47">
        <f>攻击!K79*$B79</f>
        <v>972</v>
      </c>
      <c r="K79" s="47">
        <f>攻击!L79*$B79</f>
        <v>486</v>
      </c>
      <c r="L79" s="47">
        <f>攻击!M79*$B79</f>
        <v>1296</v>
      </c>
      <c r="M79" s="47">
        <f>攻击!N79*$B79</f>
        <v>1944</v>
      </c>
      <c r="N79" s="47">
        <f>攻击!O79*$B79</f>
        <v>2430</v>
      </c>
      <c r="O79" s="47">
        <f>攻击!P79*$B79</f>
        <v>3240</v>
      </c>
      <c r="P79" s="47">
        <f>攻击!Q79*$B79</f>
        <v>4050</v>
      </c>
      <c r="Q79" s="47">
        <f>攻击!R79*$B79</f>
        <v>4860</v>
      </c>
      <c r="R79" s="47">
        <f>攻击!S79*$B79</f>
        <v>5670</v>
      </c>
      <c r="S79" s="47">
        <f>攻击!T79*$B79</f>
        <v>1215</v>
      </c>
      <c r="T79" s="47">
        <f>攻击!U79*$B79</f>
        <v>486</v>
      </c>
      <c r="U79" s="47">
        <f>攻击!V79*$B79</f>
        <v>486</v>
      </c>
      <c r="V79" s="47">
        <f>攻击!W79*$B79</f>
        <v>81</v>
      </c>
      <c r="W79" s="54">
        <f>攻击!X79</f>
        <v>0</v>
      </c>
      <c r="X79" s="54">
        <f>攻击!Y79</f>
        <v>0</v>
      </c>
      <c r="Y79" s="54">
        <f>攻击!Z79</f>
        <v>0</v>
      </c>
      <c r="Z79" s="54">
        <f>攻击!AA79</f>
        <v>0</v>
      </c>
      <c r="AA79" s="54">
        <f>攻击!AB79</f>
        <v>0</v>
      </c>
      <c r="AB79" s="47">
        <f>攻击!AC79*$B79</f>
        <v>1620</v>
      </c>
      <c r="AC79" s="47">
        <f>攻击!AD79*$B79</f>
        <v>1944</v>
      </c>
      <c r="AD79" s="47">
        <f>攻击!AE79*$B79</f>
        <v>2430</v>
      </c>
      <c r="AE79" s="47">
        <f>攻击!AF79*$B79</f>
        <v>3240</v>
      </c>
      <c r="AF79" s="47">
        <f>攻击!AG79*$B79</f>
        <v>4050</v>
      </c>
      <c r="AG79" s="47">
        <f>攻击!AH79*$B79</f>
        <v>810</v>
      </c>
      <c r="AH79" s="47">
        <f>攻击!AI79*$B79</f>
        <v>324</v>
      </c>
      <c r="AI79" s="47">
        <f>攻击!AJ79*$B79</f>
        <v>324</v>
      </c>
      <c r="AJ79" s="47">
        <f>攻击!AK79*$B79</f>
        <v>48.599999999999994</v>
      </c>
      <c r="AK79" s="47">
        <f>攻击!AL79*$B79</f>
        <v>1944</v>
      </c>
      <c r="AL79" s="54">
        <f>攻击!AM79</f>
        <v>0</v>
      </c>
      <c r="AM79" s="54">
        <f>攻击!AN79</f>
        <v>0</v>
      </c>
      <c r="AN79" s="54">
        <f>攻击!AO79</f>
        <v>0</v>
      </c>
      <c r="AO79" s="54">
        <f>攻击!AP79</f>
        <v>0</v>
      </c>
      <c r="AP79" s="54">
        <f>攻击!AQ79</f>
        <v>0</v>
      </c>
      <c r="AQ79" s="47">
        <f>攻击!AR79*$B79</f>
        <v>324</v>
      </c>
      <c r="AR79" s="20">
        <f t="shared" si="2"/>
        <v>7938</v>
      </c>
    </row>
    <row r="80" spans="1:44" s="20" customFormat="1">
      <c r="A80" s="46">
        <v>78</v>
      </c>
      <c r="B80" s="51">
        <f t="shared" si="3"/>
        <v>10</v>
      </c>
      <c r="C80" s="47">
        <f>攻击!D80*$B80</f>
        <v>1640</v>
      </c>
      <c r="D80" s="47">
        <f>攻击!E80*$B80</f>
        <v>1967.9999999999998</v>
      </c>
      <c r="E80" s="47">
        <f>攻击!F80*$B80</f>
        <v>2460</v>
      </c>
      <c r="F80" s="47">
        <f>攻击!G80*$B80</f>
        <v>3280</v>
      </c>
      <c r="G80" s="47">
        <f>攻击!H80*$B80</f>
        <v>4100</v>
      </c>
      <c r="H80" s="47">
        <f>攻击!I80*$B80</f>
        <v>790</v>
      </c>
      <c r="I80" s="47">
        <f>攻击!J80*$B80</f>
        <v>491.99999999999994</v>
      </c>
      <c r="J80" s="47">
        <f>攻击!K80*$B80</f>
        <v>983.99999999999989</v>
      </c>
      <c r="K80" s="47">
        <f>攻击!L80*$B80</f>
        <v>491.99999999999994</v>
      </c>
      <c r="L80" s="47">
        <f>攻击!M80*$B80</f>
        <v>1312.0000000000002</v>
      </c>
      <c r="M80" s="47">
        <f>攻击!N80*$B80</f>
        <v>1967.9999999999998</v>
      </c>
      <c r="N80" s="47">
        <f>攻击!O80*$B80</f>
        <v>2460</v>
      </c>
      <c r="O80" s="47">
        <f>攻击!P80*$B80</f>
        <v>3280</v>
      </c>
      <c r="P80" s="47">
        <f>攻击!Q80*$B80</f>
        <v>4100</v>
      </c>
      <c r="Q80" s="47">
        <f>攻击!R80*$B80</f>
        <v>4920</v>
      </c>
      <c r="R80" s="47">
        <f>攻击!S80*$B80</f>
        <v>5740</v>
      </c>
      <c r="S80" s="47">
        <f>攻击!T80*$B80</f>
        <v>1230</v>
      </c>
      <c r="T80" s="47">
        <f>攻击!U80*$B80</f>
        <v>491.99999999999994</v>
      </c>
      <c r="U80" s="47">
        <f>攻击!V80*$B80</f>
        <v>491.99999999999994</v>
      </c>
      <c r="V80" s="47">
        <f>攻击!W80*$B80</f>
        <v>82.000000000000014</v>
      </c>
      <c r="W80" s="54">
        <f>攻击!X80</f>
        <v>0</v>
      </c>
      <c r="X80" s="54">
        <f>攻击!Y80</f>
        <v>0</v>
      </c>
      <c r="Y80" s="54">
        <f>攻击!Z80</f>
        <v>0</v>
      </c>
      <c r="Z80" s="54">
        <f>攻击!AA80</f>
        <v>0</v>
      </c>
      <c r="AA80" s="54">
        <f>攻击!AB80</f>
        <v>0</v>
      </c>
      <c r="AB80" s="47">
        <f>攻击!AC80*$B80</f>
        <v>1640</v>
      </c>
      <c r="AC80" s="47">
        <f>攻击!AD80*$B80</f>
        <v>1967.9999999999998</v>
      </c>
      <c r="AD80" s="47">
        <f>攻击!AE80*$B80</f>
        <v>2460</v>
      </c>
      <c r="AE80" s="47">
        <f>攻击!AF80*$B80</f>
        <v>3280</v>
      </c>
      <c r="AF80" s="47">
        <f>攻击!AG80*$B80</f>
        <v>4100</v>
      </c>
      <c r="AG80" s="47">
        <f>攻击!AH80*$B80</f>
        <v>820</v>
      </c>
      <c r="AH80" s="47">
        <f>攻击!AI80*$B80</f>
        <v>328.00000000000006</v>
      </c>
      <c r="AI80" s="47">
        <f>攻击!AJ80*$B80</f>
        <v>328.00000000000006</v>
      </c>
      <c r="AJ80" s="47">
        <f>攻击!AK80*$B80</f>
        <v>49.2</v>
      </c>
      <c r="AK80" s="47">
        <f>攻击!AL80*$B80</f>
        <v>1967.9999999999998</v>
      </c>
      <c r="AL80" s="54">
        <f>攻击!AM80</f>
        <v>0</v>
      </c>
      <c r="AM80" s="54">
        <f>攻击!AN80</f>
        <v>0</v>
      </c>
      <c r="AN80" s="54">
        <f>攻击!AO80</f>
        <v>0</v>
      </c>
      <c r="AO80" s="54">
        <f>攻击!AP80</f>
        <v>0</v>
      </c>
      <c r="AP80" s="54">
        <f>攻击!AQ80</f>
        <v>0</v>
      </c>
      <c r="AQ80" s="47">
        <f>攻击!AR80*$B80</f>
        <v>328.00000000000006</v>
      </c>
      <c r="AR80" s="20">
        <f t="shared" si="2"/>
        <v>8036</v>
      </c>
    </row>
    <row r="81" spans="1:44" s="20" customFormat="1">
      <c r="A81" s="46">
        <v>79</v>
      </c>
      <c r="B81" s="51">
        <f t="shared" si="3"/>
        <v>10</v>
      </c>
      <c r="C81" s="47">
        <f>攻击!D81*$B81</f>
        <v>1660</v>
      </c>
      <c r="D81" s="47">
        <f>攻击!E81*$B81</f>
        <v>1992</v>
      </c>
      <c r="E81" s="47">
        <f>攻击!F81*$B81</f>
        <v>2490</v>
      </c>
      <c r="F81" s="47">
        <f>攻击!G81*$B81</f>
        <v>3320</v>
      </c>
      <c r="G81" s="47">
        <f>攻击!H81*$B81</f>
        <v>4150</v>
      </c>
      <c r="H81" s="47">
        <f>攻击!I81*$B81</f>
        <v>790</v>
      </c>
      <c r="I81" s="47">
        <f>攻击!J81*$B81</f>
        <v>498</v>
      </c>
      <c r="J81" s="47">
        <f>攻击!K81*$B81</f>
        <v>996</v>
      </c>
      <c r="K81" s="47">
        <f>攻击!L81*$B81</f>
        <v>498</v>
      </c>
      <c r="L81" s="47">
        <f>攻击!M81*$B81</f>
        <v>1328</v>
      </c>
      <c r="M81" s="47">
        <f>攻击!N81*$B81</f>
        <v>1992</v>
      </c>
      <c r="N81" s="47">
        <f>攻击!O81*$B81</f>
        <v>2490</v>
      </c>
      <c r="O81" s="47">
        <f>攻击!P81*$B81</f>
        <v>3320</v>
      </c>
      <c r="P81" s="47">
        <f>攻击!Q81*$B81</f>
        <v>4150</v>
      </c>
      <c r="Q81" s="47">
        <f>攻击!R81*$B81</f>
        <v>4980</v>
      </c>
      <c r="R81" s="47">
        <f>攻击!S81*$B81</f>
        <v>5810</v>
      </c>
      <c r="S81" s="47">
        <f>攻击!T81*$B81</f>
        <v>1245</v>
      </c>
      <c r="T81" s="47">
        <f>攻击!U81*$B81</f>
        <v>498</v>
      </c>
      <c r="U81" s="47">
        <f>攻击!V81*$B81</f>
        <v>498</v>
      </c>
      <c r="V81" s="47">
        <f>攻击!W81*$B81</f>
        <v>83</v>
      </c>
      <c r="W81" s="54">
        <f>攻击!X81</f>
        <v>0</v>
      </c>
      <c r="X81" s="54">
        <f>攻击!Y81</f>
        <v>0</v>
      </c>
      <c r="Y81" s="54">
        <f>攻击!Z81</f>
        <v>0</v>
      </c>
      <c r="Z81" s="54">
        <f>攻击!AA81</f>
        <v>0</v>
      </c>
      <c r="AA81" s="54">
        <f>攻击!AB81</f>
        <v>0</v>
      </c>
      <c r="AB81" s="47">
        <f>攻击!AC81*$B81</f>
        <v>1660</v>
      </c>
      <c r="AC81" s="47">
        <f>攻击!AD81*$B81</f>
        <v>1992</v>
      </c>
      <c r="AD81" s="47">
        <f>攻击!AE81*$B81</f>
        <v>2490</v>
      </c>
      <c r="AE81" s="47">
        <f>攻击!AF81*$B81</f>
        <v>3320</v>
      </c>
      <c r="AF81" s="47">
        <f>攻击!AG81*$B81</f>
        <v>4150</v>
      </c>
      <c r="AG81" s="47">
        <f>攻击!AH81*$B81</f>
        <v>830</v>
      </c>
      <c r="AH81" s="47">
        <f>攻击!AI81*$B81</f>
        <v>332</v>
      </c>
      <c r="AI81" s="47">
        <f>攻击!AJ81*$B81</f>
        <v>332</v>
      </c>
      <c r="AJ81" s="47">
        <f>攻击!AK81*$B81</f>
        <v>49.8</v>
      </c>
      <c r="AK81" s="47">
        <f>攻击!AL81*$B81</f>
        <v>1992</v>
      </c>
      <c r="AL81" s="54">
        <f>攻击!AM81</f>
        <v>0</v>
      </c>
      <c r="AM81" s="54">
        <f>攻击!AN81</f>
        <v>0</v>
      </c>
      <c r="AN81" s="54">
        <f>攻击!AO81</f>
        <v>0</v>
      </c>
      <c r="AO81" s="54">
        <f>攻击!AP81</f>
        <v>0</v>
      </c>
      <c r="AP81" s="54">
        <f>攻击!AQ81</f>
        <v>0</v>
      </c>
      <c r="AQ81" s="47">
        <f>攻击!AR81*$B81</f>
        <v>332</v>
      </c>
      <c r="AR81" s="20">
        <f t="shared" si="2"/>
        <v>8134</v>
      </c>
    </row>
    <row r="82" spans="1:44" s="20" customFormat="1">
      <c r="A82" s="46">
        <v>80</v>
      </c>
      <c r="B82" s="51">
        <f t="shared" si="3"/>
        <v>10</v>
      </c>
      <c r="C82" s="47">
        <f>攻击!D82*$B82</f>
        <v>1680</v>
      </c>
      <c r="D82" s="47">
        <f>攻击!E82*$B82</f>
        <v>2016</v>
      </c>
      <c r="E82" s="47">
        <f>攻击!F82*$B82</f>
        <v>2520</v>
      </c>
      <c r="F82" s="47">
        <f>攻击!G82*$B82</f>
        <v>3360</v>
      </c>
      <c r="G82" s="47">
        <f>攻击!H82*$B82</f>
        <v>4200</v>
      </c>
      <c r="H82" s="47">
        <f>攻击!I82*$B82</f>
        <v>840</v>
      </c>
      <c r="I82" s="47">
        <f>攻击!J82*$B82</f>
        <v>504</v>
      </c>
      <c r="J82" s="47">
        <f>攻击!K82*$B82</f>
        <v>1008</v>
      </c>
      <c r="K82" s="47">
        <f>攻击!L82*$B82</f>
        <v>504</v>
      </c>
      <c r="L82" s="47">
        <f>攻击!M82*$B82</f>
        <v>1344</v>
      </c>
      <c r="M82" s="47">
        <f>攻击!N82*$B82</f>
        <v>2016</v>
      </c>
      <c r="N82" s="47">
        <f>攻击!O82*$B82</f>
        <v>2520</v>
      </c>
      <c r="O82" s="47">
        <f>攻击!P82*$B82</f>
        <v>3360</v>
      </c>
      <c r="P82" s="47">
        <f>攻击!Q82*$B82</f>
        <v>4200</v>
      </c>
      <c r="Q82" s="47">
        <f>攻击!R82*$B82</f>
        <v>5040</v>
      </c>
      <c r="R82" s="47">
        <f>攻击!S82*$B82</f>
        <v>5880</v>
      </c>
      <c r="S82" s="47">
        <f>攻击!T82*$B82</f>
        <v>1260</v>
      </c>
      <c r="T82" s="47">
        <f>攻击!U82*$B82</f>
        <v>504</v>
      </c>
      <c r="U82" s="47">
        <f>攻击!V82*$B82</f>
        <v>504</v>
      </c>
      <c r="V82" s="47">
        <f>攻击!W82*$B82</f>
        <v>84</v>
      </c>
      <c r="W82" s="54">
        <f>攻击!X82</f>
        <v>0.2</v>
      </c>
      <c r="X82" s="54">
        <f>攻击!Y82</f>
        <v>0.3</v>
      </c>
      <c r="Y82" s="54">
        <f>攻击!Z82</f>
        <v>0.5</v>
      </c>
      <c r="Z82" s="54">
        <f>攻击!AA82</f>
        <v>0.8</v>
      </c>
      <c r="AA82" s="54">
        <f>攻击!AB82</f>
        <v>1.2</v>
      </c>
      <c r="AB82" s="47">
        <f>攻击!AC82*$B82</f>
        <v>1680</v>
      </c>
      <c r="AC82" s="47">
        <f>攻击!AD82*$B82</f>
        <v>2016</v>
      </c>
      <c r="AD82" s="47">
        <f>攻击!AE82*$B82</f>
        <v>2520</v>
      </c>
      <c r="AE82" s="47">
        <f>攻击!AF82*$B82</f>
        <v>3360</v>
      </c>
      <c r="AF82" s="47">
        <f>攻击!AG82*$B82</f>
        <v>4200</v>
      </c>
      <c r="AG82" s="47">
        <f>攻击!AH82*$B82</f>
        <v>840</v>
      </c>
      <c r="AH82" s="47">
        <f>攻击!AI82*$B82</f>
        <v>336</v>
      </c>
      <c r="AI82" s="47">
        <f>攻击!AJ82*$B82</f>
        <v>336</v>
      </c>
      <c r="AJ82" s="47">
        <f>攻击!AK82*$B82</f>
        <v>50.4</v>
      </c>
      <c r="AK82" s="47">
        <f>攻击!AL82*$B82</f>
        <v>2016</v>
      </c>
      <c r="AL82" s="54">
        <f>攻击!AM82</f>
        <v>0.2</v>
      </c>
      <c r="AM82" s="54">
        <f>攻击!AN82</f>
        <v>0.3</v>
      </c>
      <c r="AN82" s="54">
        <f>攻击!AO82</f>
        <v>0.5</v>
      </c>
      <c r="AO82" s="54">
        <f>攻击!AP82</f>
        <v>0.8</v>
      </c>
      <c r="AP82" s="54">
        <f>攻击!AQ82</f>
        <v>1.2</v>
      </c>
      <c r="AQ82" s="47">
        <f>攻击!AR82*$B82</f>
        <v>336</v>
      </c>
      <c r="AR82" s="20">
        <f t="shared" si="2"/>
        <v>8232</v>
      </c>
    </row>
    <row r="83" spans="1:44" s="20" customFormat="1">
      <c r="A83" s="46">
        <v>81</v>
      </c>
      <c r="B83" s="51">
        <f t="shared" si="3"/>
        <v>10</v>
      </c>
      <c r="C83" s="47">
        <f>攻击!D83*$B83</f>
        <v>1700</v>
      </c>
      <c r="D83" s="47">
        <f>攻击!E83*$B83</f>
        <v>2040</v>
      </c>
      <c r="E83" s="47">
        <f>攻击!F83*$B83</f>
        <v>2550</v>
      </c>
      <c r="F83" s="47">
        <f>攻击!G83*$B83</f>
        <v>3400</v>
      </c>
      <c r="G83" s="47">
        <f>攻击!H83*$B83</f>
        <v>4250</v>
      </c>
      <c r="H83" s="47">
        <f>攻击!I83*$B83</f>
        <v>840</v>
      </c>
      <c r="I83" s="47">
        <f>攻击!J83*$B83</f>
        <v>510</v>
      </c>
      <c r="J83" s="47">
        <f>攻击!K83*$B83</f>
        <v>1020</v>
      </c>
      <c r="K83" s="47">
        <f>攻击!L83*$B83</f>
        <v>510</v>
      </c>
      <c r="L83" s="47">
        <f>攻击!M83*$B83</f>
        <v>1360</v>
      </c>
      <c r="M83" s="47">
        <f>攻击!N83*$B83</f>
        <v>2040</v>
      </c>
      <c r="N83" s="47">
        <f>攻击!O83*$B83</f>
        <v>2550</v>
      </c>
      <c r="O83" s="47">
        <f>攻击!P83*$B83</f>
        <v>3400</v>
      </c>
      <c r="P83" s="47">
        <f>攻击!Q83*$B83</f>
        <v>4250</v>
      </c>
      <c r="Q83" s="47">
        <f>攻击!R83*$B83</f>
        <v>5100</v>
      </c>
      <c r="R83" s="47">
        <f>攻击!S83*$B83</f>
        <v>5950</v>
      </c>
      <c r="S83" s="47">
        <f>攻击!T83*$B83</f>
        <v>1275</v>
      </c>
      <c r="T83" s="47">
        <f>攻击!U83*$B83</f>
        <v>510</v>
      </c>
      <c r="U83" s="47">
        <f>攻击!V83*$B83</f>
        <v>510</v>
      </c>
      <c r="V83" s="47">
        <f>攻击!W83*$B83</f>
        <v>85</v>
      </c>
      <c r="W83" s="54">
        <f>攻击!X83</f>
        <v>0.2</v>
      </c>
      <c r="X83" s="54">
        <f>攻击!Y83</f>
        <v>0.3</v>
      </c>
      <c r="Y83" s="54">
        <f>攻击!Z83</f>
        <v>0.5</v>
      </c>
      <c r="Z83" s="54">
        <f>攻击!AA83</f>
        <v>0.8</v>
      </c>
      <c r="AA83" s="54">
        <f>攻击!AB83</f>
        <v>1.2</v>
      </c>
      <c r="AB83" s="47">
        <f>攻击!AC83*$B83</f>
        <v>1700</v>
      </c>
      <c r="AC83" s="47">
        <f>攻击!AD83*$B83</f>
        <v>2040</v>
      </c>
      <c r="AD83" s="47">
        <f>攻击!AE83*$B83</f>
        <v>2550</v>
      </c>
      <c r="AE83" s="47">
        <f>攻击!AF83*$B83</f>
        <v>3400</v>
      </c>
      <c r="AF83" s="47">
        <f>攻击!AG83*$B83</f>
        <v>4250</v>
      </c>
      <c r="AG83" s="47">
        <f>攻击!AH83*$B83</f>
        <v>850</v>
      </c>
      <c r="AH83" s="47">
        <f>攻击!AI83*$B83</f>
        <v>340</v>
      </c>
      <c r="AI83" s="47">
        <f>攻击!AJ83*$B83</f>
        <v>340</v>
      </c>
      <c r="AJ83" s="47">
        <f>攻击!AK83*$B83</f>
        <v>51</v>
      </c>
      <c r="AK83" s="47">
        <f>攻击!AL83*$B83</f>
        <v>2040</v>
      </c>
      <c r="AL83" s="54">
        <f>攻击!AM83</f>
        <v>0.2</v>
      </c>
      <c r="AM83" s="54">
        <f>攻击!AN83</f>
        <v>0.3</v>
      </c>
      <c r="AN83" s="54">
        <f>攻击!AO83</f>
        <v>0.5</v>
      </c>
      <c r="AO83" s="54">
        <f>攻击!AP83</f>
        <v>0.8</v>
      </c>
      <c r="AP83" s="54">
        <f>攻击!AQ83</f>
        <v>1.2</v>
      </c>
      <c r="AQ83" s="47">
        <f>攻击!AR83*$B83</f>
        <v>340</v>
      </c>
      <c r="AR83" s="20">
        <f t="shared" si="2"/>
        <v>8330</v>
      </c>
    </row>
    <row r="84" spans="1:44" s="20" customFormat="1">
      <c r="A84" s="46">
        <v>82</v>
      </c>
      <c r="B84" s="51">
        <f t="shared" si="3"/>
        <v>10</v>
      </c>
      <c r="C84" s="47">
        <f>攻击!D84*$B84</f>
        <v>1720</v>
      </c>
      <c r="D84" s="47">
        <f>攻击!E84*$B84</f>
        <v>2064</v>
      </c>
      <c r="E84" s="47">
        <f>攻击!F84*$B84</f>
        <v>2580</v>
      </c>
      <c r="F84" s="47">
        <f>攻击!G84*$B84</f>
        <v>3440</v>
      </c>
      <c r="G84" s="47">
        <f>攻击!H84*$B84</f>
        <v>4300</v>
      </c>
      <c r="H84" s="47">
        <f>攻击!I84*$B84</f>
        <v>840</v>
      </c>
      <c r="I84" s="47">
        <f>攻击!J84*$B84</f>
        <v>516</v>
      </c>
      <c r="J84" s="47">
        <f>攻击!K84*$B84</f>
        <v>1032</v>
      </c>
      <c r="K84" s="47">
        <f>攻击!L84*$B84</f>
        <v>516</v>
      </c>
      <c r="L84" s="47">
        <f>攻击!M84*$B84</f>
        <v>1376</v>
      </c>
      <c r="M84" s="47">
        <f>攻击!N84*$B84</f>
        <v>2064</v>
      </c>
      <c r="N84" s="47">
        <f>攻击!O84*$B84</f>
        <v>2580</v>
      </c>
      <c r="O84" s="47">
        <f>攻击!P84*$B84</f>
        <v>3440</v>
      </c>
      <c r="P84" s="47">
        <f>攻击!Q84*$B84</f>
        <v>4300</v>
      </c>
      <c r="Q84" s="47">
        <f>攻击!R84*$B84</f>
        <v>5160</v>
      </c>
      <c r="R84" s="47">
        <f>攻击!S84*$B84</f>
        <v>6020</v>
      </c>
      <c r="S84" s="47">
        <f>攻击!T84*$B84</f>
        <v>1290</v>
      </c>
      <c r="T84" s="47">
        <f>攻击!U84*$B84</f>
        <v>516</v>
      </c>
      <c r="U84" s="47">
        <f>攻击!V84*$B84</f>
        <v>516</v>
      </c>
      <c r="V84" s="47">
        <f>攻击!W84*$B84</f>
        <v>86</v>
      </c>
      <c r="W84" s="54">
        <f>攻击!X84</f>
        <v>0.2</v>
      </c>
      <c r="X84" s="54">
        <f>攻击!Y84</f>
        <v>0.3</v>
      </c>
      <c r="Y84" s="54">
        <f>攻击!Z84</f>
        <v>0.5</v>
      </c>
      <c r="Z84" s="54">
        <f>攻击!AA84</f>
        <v>0.8</v>
      </c>
      <c r="AA84" s="54">
        <f>攻击!AB84</f>
        <v>1.2</v>
      </c>
      <c r="AB84" s="47">
        <f>攻击!AC84*$B84</f>
        <v>1720</v>
      </c>
      <c r="AC84" s="47">
        <f>攻击!AD84*$B84</f>
        <v>2064</v>
      </c>
      <c r="AD84" s="47">
        <f>攻击!AE84*$B84</f>
        <v>2580</v>
      </c>
      <c r="AE84" s="47">
        <f>攻击!AF84*$B84</f>
        <v>3440</v>
      </c>
      <c r="AF84" s="47">
        <f>攻击!AG84*$B84</f>
        <v>4300</v>
      </c>
      <c r="AG84" s="47">
        <f>攻击!AH84*$B84</f>
        <v>860</v>
      </c>
      <c r="AH84" s="47">
        <f>攻击!AI84*$B84</f>
        <v>344</v>
      </c>
      <c r="AI84" s="47">
        <f>攻击!AJ84*$B84</f>
        <v>344</v>
      </c>
      <c r="AJ84" s="47">
        <f>攻击!AK84*$B84</f>
        <v>51.6</v>
      </c>
      <c r="AK84" s="47">
        <f>攻击!AL84*$B84</f>
        <v>2064</v>
      </c>
      <c r="AL84" s="54">
        <f>攻击!AM84</f>
        <v>0.2</v>
      </c>
      <c r="AM84" s="54">
        <f>攻击!AN84</f>
        <v>0.3</v>
      </c>
      <c r="AN84" s="54">
        <f>攻击!AO84</f>
        <v>0.5</v>
      </c>
      <c r="AO84" s="54">
        <f>攻击!AP84</f>
        <v>0.8</v>
      </c>
      <c r="AP84" s="54">
        <f>攻击!AQ84</f>
        <v>1.2</v>
      </c>
      <c r="AQ84" s="47">
        <f>攻击!AR84*$B84</f>
        <v>344</v>
      </c>
      <c r="AR84" s="20">
        <f t="shared" si="2"/>
        <v>8428</v>
      </c>
    </row>
    <row r="85" spans="1:44" s="20" customFormat="1">
      <c r="A85" s="46">
        <v>83</v>
      </c>
      <c r="B85" s="51">
        <f t="shared" si="3"/>
        <v>10</v>
      </c>
      <c r="C85" s="47">
        <f>攻击!D85*$B85</f>
        <v>1740</v>
      </c>
      <c r="D85" s="47">
        <f>攻击!E85*$B85</f>
        <v>2088</v>
      </c>
      <c r="E85" s="47">
        <f>攻击!F85*$B85</f>
        <v>2610</v>
      </c>
      <c r="F85" s="47">
        <f>攻击!G85*$B85</f>
        <v>3480</v>
      </c>
      <c r="G85" s="47">
        <f>攻击!H85*$B85</f>
        <v>4350</v>
      </c>
      <c r="H85" s="47">
        <f>攻击!I85*$B85</f>
        <v>840</v>
      </c>
      <c r="I85" s="47">
        <f>攻击!J85*$B85</f>
        <v>522</v>
      </c>
      <c r="J85" s="47">
        <f>攻击!K85*$B85</f>
        <v>1044</v>
      </c>
      <c r="K85" s="47">
        <f>攻击!L85*$B85</f>
        <v>522</v>
      </c>
      <c r="L85" s="47">
        <f>攻击!M85*$B85</f>
        <v>1392.0000000000002</v>
      </c>
      <c r="M85" s="47">
        <f>攻击!N85*$B85</f>
        <v>2088</v>
      </c>
      <c r="N85" s="47">
        <f>攻击!O85*$B85</f>
        <v>2610</v>
      </c>
      <c r="O85" s="47">
        <f>攻击!P85*$B85</f>
        <v>3480</v>
      </c>
      <c r="P85" s="47">
        <f>攻击!Q85*$B85</f>
        <v>4350</v>
      </c>
      <c r="Q85" s="47">
        <f>攻击!R85*$B85</f>
        <v>5220</v>
      </c>
      <c r="R85" s="47">
        <f>攻击!S85*$B85</f>
        <v>6090</v>
      </c>
      <c r="S85" s="47">
        <f>攻击!T85*$B85</f>
        <v>1305</v>
      </c>
      <c r="T85" s="47">
        <f>攻击!U85*$B85</f>
        <v>522</v>
      </c>
      <c r="U85" s="47">
        <f>攻击!V85*$B85</f>
        <v>522</v>
      </c>
      <c r="V85" s="47">
        <f>攻击!W85*$B85</f>
        <v>87.000000000000014</v>
      </c>
      <c r="W85" s="54">
        <f>攻击!X85</f>
        <v>0.2</v>
      </c>
      <c r="X85" s="54">
        <f>攻击!Y85</f>
        <v>0.3</v>
      </c>
      <c r="Y85" s="54">
        <f>攻击!Z85</f>
        <v>0.5</v>
      </c>
      <c r="Z85" s="54">
        <f>攻击!AA85</f>
        <v>0.8</v>
      </c>
      <c r="AA85" s="54">
        <f>攻击!AB85</f>
        <v>1.2</v>
      </c>
      <c r="AB85" s="47">
        <f>攻击!AC85*$B85</f>
        <v>1740</v>
      </c>
      <c r="AC85" s="47">
        <f>攻击!AD85*$B85</f>
        <v>2088</v>
      </c>
      <c r="AD85" s="47">
        <f>攻击!AE85*$B85</f>
        <v>2610</v>
      </c>
      <c r="AE85" s="47">
        <f>攻击!AF85*$B85</f>
        <v>3480</v>
      </c>
      <c r="AF85" s="47">
        <f>攻击!AG85*$B85</f>
        <v>4350</v>
      </c>
      <c r="AG85" s="47">
        <f>攻击!AH85*$B85</f>
        <v>870</v>
      </c>
      <c r="AH85" s="47">
        <f>攻击!AI85*$B85</f>
        <v>348.00000000000006</v>
      </c>
      <c r="AI85" s="47">
        <f>攻击!AJ85*$B85</f>
        <v>348.00000000000006</v>
      </c>
      <c r="AJ85" s="47">
        <f>攻击!AK85*$B85</f>
        <v>52.199999999999996</v>
      </c>
      <c r="AK85" s="47">
        <f>攻击!AL85*$B85</f>
        <v>2088</v>
      </c>
      <c r="AL85" s="54">
        <f>攻击!AM85</f>
        <v>0.2</v>
      </c>
      <c r="AM85" s="54">
        <f>攻击!AN85</f>
        <v>0.3</v>
      </c>
      <c r="AN85" s="54">
        <f>攻击!AO85</f>
        <v>0.5</v>
      </c>
      <c r="AO85" s="54">
        <f>攻击!AP85</f>
        <v>0.8</v>
      </c>
      <c r="AP85" s="54">
        <f>攻击!AQ85</f>
        <v>1.2</v>
      </c>
      <c r="AQ85" s="47">
        <f>攻击!AR85*$B85</f>
        <v>348.00000000000006</v>
      </c>
      <c r="AR85" s="20">
        <f t="shared" si="2"/>
        <v>8526</v>
      </c>
    </row>
    <row r="86" spans="1:44" s="20" customFormat="1">
      <c r="A86" s="46">
        <v>84</v>
      </c>
      <c r="B86" s="51">
        <f t="shared" si="3"/>
        <v>10</v>
      </c>
      <c r="C86" s="47">
        <f>攻击!D86*$B86</f>
        <v>1760</v>
      </c>
      <c r="D86" s="47">
        <f>攻击!E86*$B86</f>
        <v>2112</v>
      </c>
      <c r="E86" s="47">
        <f>攻击!F86*$B86</f>
        <v>2640</v>
      </c>
      <c r="F86" s="47">
        <f>攻击!G86*$B86</f>
        <v>3520</v>
      </c>
      <c r="G86" s="47">
        <f>攻击!H86*$B86</f>
        <v>4400</v>
      </c>
      <c r="H86" s="47">
        <f>攻击!I86*$B86</f>
        <v>840</v>
      </c>
      <c r="I86" s="47">
        <f>攻击!J86*$B86</f>
        <v>528</v>
      </c>
      <c r="J86" s="47">
        <f>攻击!K86*$B86</f>
        <v>1056</v>
      </c>
      <c r="K86" s="47">
        <f>攻击!L86*$B86</f>
        <v>528</v>
      </c>
      <c r="L86" s="47">
        <f>攻击!M86*$B86</f>
        <v>1408</v>
      </c>
      <c r="M86" s="47">
        <f>攻击!N86*$B86</f>
        <v>2112</v>
      </c>
      <c r="N86" s="47">
        <f>攻击!O86*$B86</f>
        <v>2640</v>
      </c>
      <c r="O86" s="47">
        <f>攻击!P86*$B86</f>
        <v>3520</v>
      </c>
      <c r="P86" s="47">
        <f>攻击!Q86*$B86</f>
        <v>4400</v>
      </c>
      <c r="Q86" s="47">
        <f>攻击!R86*$B86</f>
        <v>5280</v>
      </c>
      <c r="R86" s="47">
        <f>攻击!S86*$B86</f>
        <v>6160</v>
      </c>
      <c r="S86" s="47">
        <f>攻击!T86*$B86</f>
        <v>1320</v>
      </c>
      <c r="T86" s="47">
        <f>攻击!U86*$B86</f>
        <v>528</v>
      </c>
      <c r="U86" s="47">
        <f>攻击!V86*$B86</f>
        <v>528</v>
      </c>
      <c r="V86" s="47">
        <f>攻击!W86*$B86</f>
        <v>88</v>
      </c>
      <c r="W86" s="54">
        <f>攻击!X86</f>
        <v>0.2</v>
      </c>
      <c r="X86" s="54">
        <f>攻击!Y86</f>
        <v>0.3</v>
      </c>
      <c r="Y86" s="54">
        <f>攻击!Z86</f>
        <v>0.5</v>
      </c>
      <c r="Z86" s="54">
        <f>攻击!AA86</f>
        <v>0.8</v>
      </c>
      <c r="AA86" s="54">
        <f>攻击!AB86</f>
        <v>1.2</v>
      </c>
      <c r="AB86" s="47">
        <f>攻击!AC86*$B86</f>
        <v>1760</v>
      </c>
      <c r="AC86" s="47">
        <f>攻击!AD86*$B86</f>
        <v>2112</v>
      </c>
      <c r="AD86" s="47">
        <f>攻击!AE86*$B86</f>
        <v>2640</v>
      </c>
      <c r="AE86" s="47">
        <f>攻击!AF86*$B86</f>
        <v>3520</v>
      </c>
      <c r="AF86" s="47">
        <f>攻击!AG86*$B86</f>
        <v>4400</v>
      </c>
      <c r="AG86" s="47">
        <f>攻击!AH86*$B86</f>
        <v>880</v>
      </c>
      <c r="AH86" s="47">
        <f>攻击!AI86*$B86</f>
        <v>352</v>
      </c>
      <c r="AI86" s="47">
        <f>攻击!AJ86*$B86</f>
        <v>352</v>
      </c>
      <c r="AJ86" s="47">
        <f>攻击!AK86*$B86</f>
        <v>52.8</v>
      </c>
      <c r="AK86" s="47">
        <f>攻击!AL86*$B86</f>
        <v>2112</v>
      </c>
      <c r="AL86" s="54">
        <f>攻击!AM86</f>
        <v>0.2</v>
      </c>
      <c r="AM86" s="54">
        <f>攻击!AN86</f>
        <v>0.3</v>
      </c>
      <c r="AN86" s="54">
        <f>攻击!AO86</f>
        <v>0.5</v>
      </c>
      <c r="AO86" s="54">
        <f>攻击!AP86</f>
        <v>0.8</v>
      </c>
      <c r="AP86" s="54">
        <f>攻击!AQ86</f>
        <v>1.2</v>
      </c>
      <c r="AQ86" s="47">
        <f>攻击!AR86*$B86</f>
        <v>352</v>
      </c>
      <c r="AR86" s="20">
        <f t="shared" si="2"/>
        <v>8624</v>
      </c>
    </row>
    <row r="87" spans="1:44" s="20" customFormat="1">
      <c r="A87" s="46">
        <v>85</v>
      </c>
      <c r="B87" s="51">
        <f t="shared" si="3"/>
        <v>10</v>
      </c>
      <c r="C87" s="47">
        <f>攻击!D87*$B87</f>
        <v>1780</v>
      </c>
      <c r="D87" s="47">
        <f>攻击!E87*$B87</f>
        <v>2136</v>
      </c>
      <c r="E87" s="47">
        <f>攻击!F87*$B87</f>
        <v>2670</v>
      </c>
      <c r="F87" s="47">
        <f>攻击!G87*$B87</f>
        <v>3560</v>
      </c>
      <c r="G87" s="47">
        <f>攻击!H87*$B87</f>
        <v>4450</v>
      </c>
      <c r="H87" s="47">
        <f>攻击!I87*$B87</f>
        <v>890</v>
      </c>
      <c r="I87" s="47">
        <f>攻击!J87*$B87</f>
        <v>534</v>
      </c>
      <c r="J87" s="47">
        <f>攻击!K87*$B87</f>
        <v>1068</v>
      </c>
      <c r="K87" s="47">
        <f>攻击!L87*$B87</f>
        <v>534</v>
      </c>
      <c r="L87" s="47">
        <f>攻击!M87*$B87</f>
        <v>1424</v>
      </c>
      <c r="M87" s="47">
        <f>攻击!N87*$B87</f>
        <v>2136</v>
      </c>
      <c r="N87" s="47">
        <f>攻击!O87*$B87</f>
        <v>2670</v>
      </c>
      <c r="O87" s="47">
        <f>攻击!P87*$B87</f>
        <v>3560</v>
      </c>
      <c r="P87" s="47">
        <f>攻击!Q87*$B87</f>
        <v>4450</v>
      </c>
      <c r="Q87" s="47">
        <f>攻击!R87*$B87</f>
        <v>5340</v>
      </c>
      <c r="R87" s="47">
        <f>攻击!S87*$B87</f>
        <v>6230</v>
      </c>
      <c r="S87" s="47">
        <f>攻击!T87*$B87</f>
        <v>1335</v>
      </c>
      <c r="T87" s="47">
        <f>攻击!U87*$B87</f>
        <v>534</v>
      </c>
      <c r="U87" s="47">
        <f>攻击!V87*$B87</f>
        <v>534</v>
      </c>
      <c r="V87" s="47">
        <f>攻击!W87*$B87</f>
        <v>89</v>
      </c>
      <c r="W87" s="54">
        <f>攻击!X87</f>
        <v>0.2</v>
      </c>
      <c r="X87" s="54">
        <f>攻击!Y87</f>
        <v>0.3</v>
      </c>
      <c r="Y87" s="54">
        <f>攻击!Z87</f>
        <v>0.5</v>
      </c>
      <c r="Z87" s="54">
        <f>攻击!AA87</f>
        <v>0.8</v>
      </c>
      <c r="AA87" s="54">
        <f>攻击!AB87</f>
        <v>1.2</v>
      </c>
      <c r="AB87" s="47">
        <f>攻击!AC87*$B87</f>
        <v>1780</v>
      </c>
      <c r="AC87" s="47">
        <f>攻击!AD87*$B87</f>
        <v>2136</v>
      </c>
      <c r="AD87" s="47">
        <f>攻击!AE87*$B87</f>
        <v>2670</v>
      </c>
      <c r="AE87" s="47">
        <f>攻击!AF87*$B87</f>
        <v>3560</v>
      </c>
      <c r="AF87" s="47">
        <f>攻击!AG87*$B87</f>
        <v>4450</v>
      </c>
      <c r="AG87" s="47">
        <f>攻击!AH87*$B87</f>
        <v>890</v>
      </c>
      <c r="AH87" s="47">
        <f>攻击!AI87*$B87</f>
        <v>356</v>
      </c>
      <c r="AI87" s="47">
        <f>攻击!AJ87*$B87</f>
        <v>356</v>
      </c>
      <c r="AJ87" s="47">
        <f>攻击!AK87*$B87</f>
        <v>53.4</v>
      </c>
      <c r="AK87" s="47">
        <f>攻击!AL87*$B87</f>
        <v>2136</v>
      </c>
      <c r="AL87" s="54">
        <f>攻击!AM87</f>
        <v>0.2</v>
      </c>
      <c r="AM87" s="54">
        <f>攻击!AN87</f>
        <v>0.3</v>
      </c>
      <c r="AN87" s="54">
        <f>攻击!AO87</f>
        <v>0.5</v>
      </c>
      <c r="AO87" s="54">
        <f>攻击!AP87</f>
        <v>0.8</v>
      </c>
      <c r="AP87" s="54">
        <f>攻击!AQ87</f>
        <v>1.2</v>
      </c>
      <c r="AQ87" s="47">
        <f>攻击!AR87*$B87</f>
        <v>356</v>
      </c>
      <c r="AR87" s="20">
        <f t="shared" si="2"/>
        <v>8722</v>
      </c>
    </row>
    <row r="88" spans="1:44" s="20" customFormat="1">
      <c r="A88" s="46">
        <v>86</v>
      </c>
      <c r="B88" s="51">
        <f t="shared" si="3"/>
        <v>10</v>
      </c>
      <c r="C88" s="47">
        <f>攻击!D88*$B88</f>
        <v>1800</v>
      </c>
      <c r="D88" s="47">
        <f>攻击!E88*$B88</f>
        <v>2160</v>
      </c>
      <c r="E88" s="47">
        <f>攻击!F88*$B88</f>
        <v>2700</v>
      </c>
      <c r="F88" s="47">
        <f>攻击!G88*$B88</f>
        <v>3600</v>
      </c>
      <c r="G88" s="47">
        <f>攻击!H88*$B88</f>
        <v>4500</v>
      </c>
      <c r="H88" s="47">
        <f>攻击!I88*$B88</f>
        <v>890</v>
      </c>
      <c r="I88" s="47">
        <f>攻击!J88*$B88</f>
        <v>540</v>
      </c>
      <c r="J88" s="47">
        <f>攻击!K88*$B88</f>
        <v>1080</v>
      </c>
      <c r="K88" s="47">
        <f>攻击!L88*$B88</f>
        <v>540</v>
      </c>
      <c r="L88" s="47">
        <f>攻击!M88*$B88</f>
        <v>1440</v>
      </c>
      <c r="M88" s="47">
        <f>攻击!N88*$B88</f>
        <v>2160</v>
      </c>
      <c r="N88" s="47">
        <f>攻击!O88*$B88</f>
        <v>2700</v>
      </c>
      <c r="O88" s="47">
        <f>攻击!P88*$B88</f>
        <v>3600</v>
      </c>
      <c r="P88" s="47">
        <f>攻击!Q88*$B88</f>
        <v>4500</v>
      </c>
      <c r="Q88" s="47">
        <f>攻击!R88*$B88</f>
        <v>5400</v>
      </c>
      <c r="R88" s="47">
        <f>攻击!S88*$B88</f>
        <v>6300</v>
      </c>
      <c r="S88" s="47">
        <f>攻击!T88*$B88</f>
        <v>1350</v>
      </c>
      <c r="T88" s="47">
        <f>攻击!U88*$B88</f>
        <v>540</v>
      </c>
      <c r="U88" s="47">
        <f>攻击!V88*$B88</f>
        <v>540</v>
      </c>
      <c r="V88" s="47">
        <f>攻击!W88*$B88</f>
        <v>90</v>
      </c>
      <c r="W88" s="54">
        <f>攻击!X88</f>
        <v>0.2</v>
      </c>
      <c r="X88" s="54">
        <f>攻击!Y88</f>
        <v>0.3</v>
      </c>
      <c r="Y88" s="54">
        <f>攻击!Z88</f>
        <v>0.5</v>
      </c>
      <c r="Z88" s="54">
        <f>攻击!AA88</f>
        <v>0.8</v>
      </c>
      <c r="AA88" s="54">
        <f>攻击!AB88</f>
        <v>1.2</v>
      </c>
      <c r="AB88" s="47">
        <f>攻击!AC88*$B88</f>
        <v>1800</v>
      </c>
      <c r="AC88" s="47">
        <f>攻击!AD88*$B88</f>
        <v>2160</v>
      </c>
      <c r="AD88" s="47">
        <f>攻击!AE88*$B88</f>
        <v>2700</v>
      </c>
      <c r="AE88" s="47">
        <f>攻击!AF88*$B88</f>
        <v>3600</v>
      </c>
      <c r="AF88" s="47">
        <f>攻击!AG88*$B88</f>
        <v>4500</v>
      </c>
      <c r="AG88" s="47">
        <f>攻击!AH88*$B88</f>
        <v>900</v>
      </c>
      <c r="AH88" s="47">
        <f>攻击!AI88*$B88</f>
        <v>360</v>
      </c>
      <c r="AI88" s="47">
        <f>攻击!AJ88*$B88</f>
        <v>360</v>
      </c>
      <c r="AJ88" s="47">
        <f>攻击!AK88*$B88</f>
        <v>53.999999999999993</v>
      </c>
      <c r="AK88" s="47">
        <f>攻击!AL88*$B88</f>
        <v>2160</v>
      </c>
      <c r="AL88" s="54">
        <f>攻击!AM88</f>
        <v>0.2</v>
      </c>
      <c r="AM88" s="54">
        <f>攻击!AN88</f>
        <v>0.3</v>
      </c>
      <c r="AN88" s="54">
        <f>攻击!AO88</f>
        <v>0.5</v>
      </c>
      <c r="AO88" s="54">
        <f>攻击!AP88</f>
        <v>0.8</v>
      </c>
      <c r="AP88" s="54">
        <f>攻击!AQ88</f>
        <v>1.2</v>
      </c>
      <c r="AQ88" s="47">
        <f>攻击!AR88*$B88</f>
        <v>360</v>
      </c>
      <c r="AR88" s="20">
        <f t="shared" si="2"/>
        <v>8820</v>
      </c>
    </row>
    <row r="89" spans="1:44" s="20" customFormat="1">
      <c r="A89" s="46">
        <v>87</v>
      </c>
      <c r="B89" s="51">
        <f t="shared" si="3"/>
        <v>10</v>
      </c>
      <c r="C89" s="47">
        <f>攻击!D89*$B89</f>
        <v>1820</v>
      </c>
      <c r="D89" s="47">
        <f>攻击!E89*$B89</f>
        <v>2184</v>
      </c>
      <c r="E89" s="47">
        <f>攻击!F89*$B89</f>
        <v>2730</v>
      </c>
      <c r="F89" s="47">
        <f>攻击!G89*$B89</f>
        <v>3640</v>
      </c>
      <c r="G89" s="47">
        <f>攻击!H89*$B89</f>
        <v>4550</v>
      </c>
      <c r="H89" s="47">
        <f>攻击!I89*$B89</f>
        <v>890</v>
      </c>
      <c r="I89" s="47">
        <f>攻击!J89*$B89</f>
        <v>546</v>
      </c>
      <c r="J89" s="47">
        <f>攻击!K89*$B89</f>
        <v>1092</v>
      </c>
      <c r="K89" s="47">
        <f>攻击!L89*$B89</f>
        <v>546</v>
      </c>
      <c r="L89" s="47">
        <f>攻击!M89*$B89</f>
        <v>1456</v>
      </c>
      <c r="M89" s="47">
        <f>攻击!N89*$B89</f>
        <v>2184</v>
      </c>
      <c r="N89" s="47">
        <f>攻击!O89*$B89</f>
        <v>2730</v>
      </c>
      <c r="O89" s="47">
        <f>攻击!P89*$B89</f>
        <v>3640</v>
      </c>
      <c r="P89" s="47">
        <f>攻击!Q89*$B89</f>
        <v>4550</v>
      </c>
      <c r="Q89" s="47">
        <f>攻击!R89*$B89</f>
        <v>5460</v>
      </c>
      <c r="R89" s="47">
        <f>攻击!S89*$B89</f>
        <v>6370</v>
      </c>
      <c r="S89" s="47">
        <f>攻击!T89*$B89</f>
        <v>1365</v>
      </c>
      <c r="T89" s="47">
        <f>攻击!U89*$B89</f>
        <v>546</v>
      </c>
      <c r="U89" s="47">
        <f>攻击!V89*$B89</f>
        <v>546</v>
      </c>
      <c r="V89" s="47">
        <f>攻击!W89*$B89</f>
        <v>91</v>
      </c>
      <c r="W89" s="54">
        <f>攻击!X89</f>
        <v>0.2</v>
      </c>
      <c r="X89" s="54">
        <f>攻击!Y89</f>
        <v>0.3</v>
      </c>
      <c r="Y89" s="54">
        <f>攻击!Z89</f>
        <v>0.5</v>
      </c>
      <c r="Z89" s="54">
        <f>攻击!AA89</f>
        <v>0.8</v>
      </c>
      <c r="AA89" s="54">
        <f>攻击!AB89</f>
        <v>1.2</v>
      </c>
      <c r="AB89" s="47">
        <f>攻击!AC89*$B89</f>
        <v>1820</v>
      </c>
      <c r="AC89" s="47">
        <f>攻击!AD89*$B89</f>
        <v>2184</v>
      </c>
      <c r="AD89" s="47">
        <f>攻击!AE89*$B89</f>
        <v>2730</v>
      </c>
      <c r="AE89" s="47">
        <f>攻击!AF89*$B89</f>
        <v>3640</v>
      </c>
      <c r="AF89" s="47">
        <f>攻击!AG89*$B89</f>
        <v>4550</v>
      </c>
      <c r="AG89" s="47">
        <f>攻击!AH89*$B89</f>
        <v>910</v>
      </c>
      <c r="AH89" s="47">
        <f>攻击!AI89*$B89</f>
        <v>364</v>
      </c>
      <c r="AI89" s="47">
        <f>攻击!AJ89*$B89</f>
        <v>364</v>
      </c>
      <c r="AJ89" s="47">
        <f>攻击!AK89*$B89</f>
        <v>54.6</v>
      </c>
      <c r="AK89" s="47">
        <f>攻击!AL89*$B89</f>
        <v>2184</v>
      </c>
      <c r="AL89" s="54">
        <f>攻击!AM89</f>
        <v>0.2</v>
      </c>
      <c r="AM89" s="54">
        <f>攻击!AN89</f>
        <v>0.3</v>
      </c>
      <c r="AN89" s="54">
        <f>攻击!AO89</f>
        <v>0.5</v>
      </c>
      <c r="AO89" s="54">
        <f>攻击!AP89</f>
        <v>0.8</v>
      </c>
      <c r="AP89" s="54">
        <f>攻击!AQ89</f>
        <v>1.2</v>
      </c>
      <c r="AQ89" s="47">
        <f>攻击!AR89*$B89</f>
        <v>364</v>
      </c>
      <c r="AR89" s="20">
        <f t="shared" si="2"/>
        <v>8918</v>
      </c>
    </row>
    <row r="90" spans="1:44" s="20" customFormat="1">
      <c r="A90" s="46">
        <v>88</v>
      </c>
      <c r="B90" s="51">
        <f t="shared" si="3"/>
        <v>10</v>
      </c>
      <c r="C90" s="47">
        <f>攻击!D90*$B90</f>
        <v>1840</v>
      </c>
      <c r="D90" s="47">
        <f>攻击!E90*$B90</f>
        <v>2208</v>
      </c>
      <c r="E90" s="47">
        <f>攻击!F90*$B90</f>
        <v>2760</v>
      </c>
      <c r="F90" s="47">
        <f>攻击!G90*$B90</f>
        <v>3680</v>
      </c>
      <c r="G90" s="47">
        <f>攻击!H90*$B90</f>
        <v>4600</v>
      </c>
      <c r="H90" s="47">
        <f>攻击!I90*$B90</f>
        <v>890</v>
      </c>
      <c r="I90" s="47">
        <f>攻击!J90*$B90</f>
        <v>552</v>
      </c>
      <c r="J90" s="47">
        <f>攻击!K90*$B90</f>
        <v>1104</v>
      </c>
      <c r="K90" s="47">
        <f>攻击!L90*$B90</f>
        <v>552</v>
      </c>
      <c r="L90" s="47">
        <f>攻击!M90*$B90</f>
        <v>1472.0000000000002</v>
      </c>
      <c r="M90" s="47">
        <f>攻击!N90*$B90</f>
        <v>2208</v>
      </c>
      <c r="N90" s="47">
        <f>攻击!O90*$B90</f>
        <v>2760</v>
      </c>
      <c r="O90" s="47">
        <f>攻击!P90*$B90</f>
        <v>3680</v>
      </c>
      <c r="P90" s="47">
        <f>攻击!Q90*$B90</f>
        <v>4600</v>
      </c>
      <c r="Q90" s="47">
        <f>攻击!R90*$B90</f>
        <v>5520</v>
      </c>
      <c r="R90" s="47">
        <f>攻击!S90*$B90</f>
        <v>6440</v>
      </c>
      <c r="S90" s="47">
        <f>攻击!T90*$B90</f>
        <v>1380</v>
      </c>
      <c r="T90" s="47">
        <f>攻击!U90*$B90</f>
        <v>552</v>
      </c>
      <c r="U90" s="47">
        <f>攻击!V90*$B90</f>
        <v>552</v>
      </c>
      <c r="V90" s="47">
        <f>攻击!W90*$B90</f>
        <v>92.000000000000014</v>
      </c>
      <c r="W90" s="54">
        <f>攻击!X90</f>
        <v>0.2</v>
      </c>
      <c r="X90" s="54">
        <f>攻击!Y90</f>
        <v>0.3</v>
      </c>
      <c r="Y90" s="54">
        <f>攻击!Z90</f>
        <v>0.5</v>
      </c>
      <c r="Z90" s="54">
        <f>攻击!AA90</f>
        <v>0.8</v>
      </c>
      <c r="AA90" s="54">
        <f>攻击!AB90</f>
        <v>1.2</v>
      </c>
      <c r="AB90" s="47">
        <f>攻击!AC90*$B90</f>
        <v>1840</v>
      </c>
      <c r="AC90" s="47">
        <f>攻击!AD90*$B90</f>
        <v>2208</v>
      </c>
      <c r="AD90" s="47">
        <f>攻击!AE90*$B90</f>
        <v>2760</v>
      </c>
      <c r="AE90" s="47">
        <f>攻击!AF90*$B90</f>
        <v>3680</v>
      </c>
      <c r="AF90" s="47">
        <f>攻击!AG90*$B90</f>
        <v>4600</v>
      </c>
      <c r="AG90" s="47">
        <f>攻击!AH90*$B90</f>
        <v>920</v>
      </c>
      <c r="AH90" s="47">
        <f>攻击!AI90*$B90</f>
        <v>368.00000000000006</v>
      </c>
      <c r="AI90" s="47">
        <f>攻击!AJ90*$B90</f>
        <v>368.00000000000006</v>
      </c>
      <c r="AJ90" s="47">
        <f>攻击!AK90*$B90</f>
        <v>55.199999999999996</v>
      </c>
      <c r="AK90" s="47">
        <f>攻击!AL90*$B90</f>
        <v>2208</v>
      </c>
      <c r="AL90" s="54">
        <f>攻击!AM90</f>
        <v>0.2</v>
      </c>
      <c r="AM90" s="54">
        <f>攻击!AN90</f>
        <v>0.3</v>
      </c>
      <c r="AN90" s="54">
        <f>攻击!AO90</f>
        <v>0.5</v>
      </c>
      <c r="AO90" s="54">
        <f>攻击!AP90</f>
        <v>0.8</v>
      </c>
      <c r="AP90" s="54">
        <f>攻击!AQ90</f>
        <v>1.2</v>
      </c>
      <c r="AQ90" s="47">
        <f>攻击!AR90*$B90</f>
        <v>368.00000000000006</v>
      </c>
      <c r="AR90" s="20">
        <f t="shared" si="2"/>
        <v>9016</v>
      </c>
    </row>
    <row r="91" spans="1:44" s="20" customFormat="1">
      <c r="A91" s="46">
        <v>89</v>
      </c>
      <c r="B91" s="51">
        <f t="shared" si="3"/>
        <v>10</v>
      </c>
      <c r="C91" s="47">
        <f>攻击!D91*$B91</f>
        <v>1860</v>
      </c>
      <c r="D91" s="47">
        <f>攻击!E91*$B91</f>
        <v>2232</v>
      </c>
      <c r="E91" s="47">
        <f>攻击!F91*$B91</f>
        <v>2790</v>
      </c>
      <c r="F91" s="47">
        <f>攻击!G91*$B91</f>
        <v>3720</v>
      </c>
      <c r="G91" s="47">
        <f>攻击!H91*$B91</f>
        <v>4650</v>
      </c>
      <c r="H91" s="47">
        <f>攻击!I91*$B91</f>
        <v>890</v>
      </c>
      <c r="I91" s="47">
        <f>攻击!J91*$B91</f>
        <v>558</v>
      </c>
      <c r="J91" s="47">
        <f>攻击!K91*$B91</f>
        <v>1116</v>
      </c>
      <c r="K91" s="47">
        <f>攻击!L91*$B91</f>
        <v>558</v>
      </c>
      <c r="L91" s="47">
        <f>攻击!M91*$B91</f>
        <v>1488</v>
      </c>
      <c r="M91" s="47">
        <f>攻击!N91*$B91</f>
        <v>2232</v>
      </c>
      <c r="N91" s="47">
        <f>攻击!O91*$B91</f>
        <v>2790</v>
      </c>
      <c r="O91" s="47">
        <f>攻击!P91*$B91</f>
        <v>3720</v>
      </c>
      <c r="P91" s="47">
        <f>攻击!Q91*$B91</f>
        <v>4650</v>
      </c>
      <c r="Q91" s="47">
        <f>攻击!R91*$B91</f>
        <v>5580</v>
      </c>
      <c r="R91" s="47">
        <f>攻击!S91*$B91</f>
        <v>6510</v>
      </c>
      <c r="S91" s="47">
        <f>攻击!T91*$B91</f>
        <v>1395</v>
      </c>
      <c r="T91" s="47">
        <f>攻击!U91*$B91</f>
        <v>558</v>
      </c>
      <c r="U91" s="47">
        <f>攻击!V91*$B91</f>
        <v>558</v>
      </c>
      <c r="V91" s="47">
        <f>攻击!W91*$B91</f>
        <v>93</v>
      </c>
      <c r="W91" s="54">
        <f>攻击!X91</f>
        <v>0.2</v>
      </c>
      <c r="X91" s="54">
        <f>攻击!Y91</f>
        <v>0.3</v>
      </c>
      <c r="Y91" s="54">
        <f>攻击!Z91</f>
        <v>0.5</v>
      </c>
      <c r="Z91" s="54">
        <f>攻击!AA91</f>
        <v>0.8</v>
      </c>
      <c r="AA91" s="54">
        <f>攻击!AB91</f>
        <v>1.2</v>
      </c>
      <c r="AB91" s="47">
        <f>攻击!AC91*$B91</f>
        <v>1860</v>
      </c>
      <c r="AC91" s="47">
        <f>攻击!AD91*$B91</f>
        <v>2232</v>
      </c>
      <c r="AD91" s="47">
        <f>攻击!AE91*$B91</f>
        <v>2790</v>
      </c>
      <c r="AE91" s="47">
        <f>攻击!AF91*$B91</f>
        <v>3720</v>
      </c>
      <c r="AF91" s="47">
        <f>攻击!AG91*$B91</f>
        <v>4650</v>
      </c>
      <c r="AG91" s="47">
        <f>攻击!AH91*$B91</f>
        <v>930</v>
      </c>
      <c r="AH91" s="47">
        <f>攻击!AI91*$B91</f>
        <v>372</v>
      </c>
      <c r="AI91" s="47">
        <f>攻击!AJ91*$B91</f>
        <v>372</v>
      </c>
      <c r="AJ91" s="47">
        <f>攻击!AK91*$B91</f>
        <v>55.8</v>
      </c>
      <c r="AK91" s="47">
        <f>攻击!AL91*$B91</f>
        <v>2232</v>
      </c>
      <c r="AL91" s="54">
        <f>攻击!AM91</f>
        <v>0.2</v>
      </c>
      <c r="AM91" s="54">
        <f>攻击!AN91</f>
        <v>0.3</v>
      </c>
      <c r="AN91" s="54">
        <f>攻击!AO91</f>
        <v>0.5</v>
      </c>
      <c r="AO91" s="54">
        <f>攻击!AP91</f>
        <v>0.8</v>
      </c>
      <c r="AP91" s="54">
        <f>攻击!AQ91</f>
        <v>1.2</v>
      </c>
      <c r="AQ91" s="47">
        <f>攻击!AR91*$B91</f>
        <v>372</v>
      </c>
      <c r="AR91" s="20">
        <f t="shared" si="2"/>
        <v>9114</v>
      </c>
    </row>
    <row r="92" spans="1:44" s="20" customFormat="1">
      <c r="A92" s="46">
        <v>90</v>
      </c>
      <c r="B92" s="51">
        <f t="shared" si="3"/>
        <v>10</v>
      </c>
      <c r="C92" s="47">
        <f>攻击!D92*$B92</f>
        <v>1880</v>
      </c>
      <c r="D92" s="47">
        <f>攻击!E92*$B92</f>
        <v>2256</v>
      </c>
      <c r="E92" s="47">
        <f>攻击!F92*$B92</f>
        <v>2820</v>
      </c>
      <c r="F92" s="47">
        <f>攻击!G92*$B92</f>
        <v>3760</v>
      </c>
      <c r="G92" s="47">
        <f>攻击!H92*$B92</f>
        <v>4700</v>
      </c>
      <c r="H92" s="47">
        <f>攻击!I92*$B92</f>
        <v>940</v>
      </c>
      <c r="I92" s="47">
        <f>攻击!J92*$B92</f>
        <v>564</v>
      </c>
      <c r="J92" s="47">
        <f>攻击!K92*$B92</f>
        <v>1128</v>
      </c>
      <c r="K92" s="47">
        <f>攻击!L92*$B92</f>
        <v>564</v>
      </c>
      <c r="L92" s="47">
        <f>攻击!M92*$B92</f>
        <v>1504</v>
      </c>
      <c r="M92" s="47">
        <f>攻击!N92*$B92</f>
        <v>2256</v>
      </c>
      <c r="N92" s="47">
        <f>攻击!O92*$B92</f>
        <v>2820</v>
      </c>
      <c r="O92" s="47">
        <f>攻击!P92*$B92</f>
        <v>3760</v>
      </c>
      <c r="P92" s="47">
        <f>攻击!Q92*$B92</f>
        <v>4700</v>
      </c>
      <c r="Q92" s="47">
        <f>攻击!R92*$B92</f>
        <v>5640</v>
      </c>
      <c r="R92" s="47">
        <f>攻击!S92*$B92</f>
        <v>6580</v>
      </c>
      <c r="S92" s="47">
        <f>攻击!T92*$B92</f>
        <v>1410</v>
      </c>
      <c r="T92" s="47">
        <f>攻击!U92*$B92</f>
        <v>564</v>
      </c>
      <c r="U92" s="47">
        <f>攻击!V92*$B92</f>
        <v>564</v>
      </c>
      <c r="V92" s="47">
        <f>攻击!W92*$B92</f>
        <v>94</v>
      </c>
      <c r="W92" s="54">
        <f>攻击!X92</f>
        <v>0.2</v>
      </c>
      <c r="X92" s="54">
        <f>攻击!Y92</f>
        <v>0.3</v>
      </c>
      <c r="Y92" s="54">
        <f>攻击!Z92</f>
        <v>0.5</v>
      </c>
      <c r="Z92" s="54">
        <f>攻击!AA92</f>
        <v>0.8</v>
      </c>
      <c r="AA92" s="54">
        <f>攻击!AB92</f>
        <v>1.2</v>
      </c>
      <c r="AB92" s="47">
        <f>攻击!AC92*$B92</f>
        <v>1880</v>
      </c>
      <c r="AC92" s="47">
        <f>攻击!AD92*$B92</f>
        <v>2256</v>
      </c>
      <c r="AD92" s="47">
        <f>攻击!AE92*$B92</f>
        <v>2820</v>
      </c>
      <c r="AE92" s="47">
        <f>攻击!AF92*$B92</f>
        <v>3760</v>
      </c>
      <c r="AF92" s="47">
        <f>攻击!AG92*$B92</f>
        <v>4700</v>
      </c>
      <c r="AG92" s="47">
        <f>攻击!AH92*$B92</f>
        <v>940</v>
      </c>
      <c r="AH92" s="47">
        <f>攻击!AI92*$B92</f>
        <v>376</v>
      </c>
      <c r="AI92" s="47">
        <f>攻击!AJ92*$B92</f>
        <v>376</v>
      </c>
      <c r="AJ92" s="47">
        <f>攻击!AK92*$B92</f>
        <v>56.4</v>
      </c>
      <c r="AK92" s="47">
        <f>攻击!AL92*$B92</f>
        <v>2256</v>
      </c>
      <c r="AL92" s="54">
        <f>攻击!AM92</f>
        <v>0.2</v>
      </c>
      <c r="AM92" s="54">
        <f>攻击!AN92</f>
        <v>0.3</v>
      </c>
      <c r="AN92" s="54">
        <f>攻击!AO92</f>
        <v>0.5</v>
      </c>
      <c r="AO92" s="54">
        <f>攻击!AP92</f>
        <v>0.8</v>
      </c>
      <c r="AP92" s="54">
        <f>攻击!AQ92</f>
        <v>1.2</v>
      </c>
      <c r="AQ92" s="47">
        <f>攻击!AR92*$B92</f>
        <v>376</v>
      </c>
      <c r="AR92" s="20">
        <f t="shared" si="2"/>
        <v>9212</v>
      </c>
    </row>
    <row r="93" spans="1:44" s="20" customFormat="1">
      <c r="A93" s="46">
        <v>91</v>
      </c>
      <c r="B93" s="51">
        <f t="shared" si="3"/>
        <v>10</v>
      </c>
      <c r="C93" s="47">
        <f>攻击!D93*$B93</f>
        <v>1900</v>
      </c>
      <c r="D93" s="47">
        <f>攻击!E93*$B93</f>
        <v>2280</v>
      </c>
      <c r="E93" s="47">
        <f>攻击!F93*$B93</f>
        <v>2850</v>
      </c>
      <c r="F93" s="47">
        <f>攻击!G93*$B93</f>
        <v>3800</v>
      </c>
      <c r="G93" s="47">
        <f>攻击!H93*$B93</f>
        <v>4750</v>
      </c>
      <c r="H93" s="47">
        <f>攻击!I93*$B93</f>
        <v>940</v>
      </c>
      <c r="I93" s="47">
        <f>攻击!J93*$B93</f>
        <v>570</v>
      </c>
      <c r="J93" s="47">
        <f>攻击!K93*$B93</f>
        <v>1140</v>
      </c>
      <c r="K93" s="47">
        <f>攻击!L93*$B93</f>
        <v>570</v>
      </c>
      <c r="L93" s="47">
        <f>攻击!M93*$B93</f>
        <v>1520</v>
      </c>
      <c r="M93" s="47">
        <f>攻击!N93*$B93</f>
        <v>2280</v>
      </c>
      <c r="N93" s="47">
        <f>攻击!O93*$B93</f>
        <v>2850</v>
      </c>
      <c r="O93" s="47">
        <f>攻击!P93*$B93</f>
        <v>3800</v>
      </c>
      <c r="P93" s="47">
        <f>攻击!Q93*$B93</f>
        <v>4750</v>
      </c>
      <c r="Q93" s="47">
        <f>攻击!R93*$B93</f>
        <v>5700</v>
      </c>
      <c r="R93" s="47">
        <f>攻击!S93*$B93</f>
        <v>6650</v>
      </c>
      <c r="S93" s="47">
        <f>攻击!T93*$B93</f>
        <v>1425</v>
      </c>
      <c r="T93" s="47">
        <f>攻击!U93*$B93</f>
        <v>570</v>
      </c>
      <c r="U93" s="47">
        <f>攻击!V93*$B93</f>
        <v>570</v>
      </c>
      <c r="V93" s="47">
        <f>攻击!W93*$B93</f>
        <v>95</v>
      </c>
      <c r="W93" s="54">
        <f>攻击!X93</f>
        <v>0.2</v>
      </c>
      <c r="X93" s="54">
        <f>攻击!Y93</f>
        <v>0.3</v>
      </c>
      <c r="Y93" s="54">
        <f>攻击!Z93</f>
        <v>0.5</v>
      </c>
      <c r="Z93" s="54">
        <f>攻击!AA93</f>
        <v>0.8</v>
      </c>
      <c r="AA93" s="54">
        <f>攻击!AB93</f>
        <v>1.2</v>
      </c>
      <c r="AB93" s="47">
        <f>攻击!AC93*$B93</f>
        <v>1900</v>
      </c>
      <c r="AC93" s="47">
        <f>攻击!AD93*$B93</f>
        <v>2280</v>
      </c>
      <c r="AD93" s="47">
        <f>攻击!AE93*$B93</f>
        <v>2850</v>
      </c>
      <c r="AE93" s="47">
        <f>攻击!AF93*$B93</f>
        <v>3800</v>
      </c>
      <c r="AF93" s="47">
        <f>攻击!AG93*$B93</f>
        <v>4750</v>
      </c>
      <c r="AG93" s="47">
        <f>攻击!AH93*$B93</f>
        <v>950</v>
      </c>
      <c r="AH93" s="47">
        <f>攻击!AI93*$B93</f>
        <v>380</v>
      </c>
      <c r="AI93" s="47">
        <f>攻击!AJ93*$B93</f>
        <v>380</v>
      </c>
      <c r="AJ93" s="47">
        <f>攻击!AK93*$B93</f>
        <v>57</v>
      </c>
      <c r="AK93" s="47">
        <f>攻击!AL93*$B93</f>
        <v>2280</v>
      </c>
      <c r="AL93" s="54">
        <f>攻击!AM93</f>
        <v>0.2</v>
      </c>
      <c r="AM93" s="54">
        <f>攻击!AN93</f>
        <v>0.3</v>
      </c>
      <c r="AN93" s="54">
        <f>攻击!AO93</f>
        <v>0.5</v>
      </c>
      <c r="AO93" s="54">
        <f>攻击!AP93</f>
        <v>0.8</v>
      </c>
      <c r="AP93" s="54">
        <f>攻击!AQ93</f>
        <v>1.2</v>
      </c>
      <c r="AQ93" s="47">
        <f>攻击!AR93*$B93</f>
        <v>380</v>
      </c>
      <c r="AR93" s="20">
        <f t="shared" si="2"/>
        <v>9310</v>
      </c>
    </row>
    <row r="94" spans="1:44" s="20" customFormat="1">
      <c r="A94" s="46">
        <v>92</v>
      </c>
      <c r="B94" s="51">
        <f t="shared" si="3"/>
        <v>10</v>
      </c>
      <c r="C94" s="47">
        <f>攻击!D94*$B94</f>
        <v>1920</v>
      </c>
      <c r="D94" s="47">
        <f>攻击!E94*$B94</f>
        <v>2304</v>
      </c>
      <c r="E94" s="47">
        <f>攻击!F94*$B94</f>
        <v>2880</v>
      </c>
      <c r="F94" s="47">
        <f>攻击!G94*$B94</f>
        <v>3840</v>
      </c>
      <c r="G94" s="47">
        <f>攻击!H94*$B94</f>
        <v>4800</v>
      </c>
      <c r="H94" s="47">
        <f>攻击!I94*$B94</f>
        <v>940</v>
      </c>
      <c r="I94" s="47">
        <f>攻击!J94*$B94</f>
        <v>576</v>
      </c>
      <c r="J94" s="47">
        <f>攻击!K94*$B94</f>
        <v>1152</v>
      </c>
      <c r="K94" s="47">
        <f>攻击!L94*$B94</f>
        <v>576</v>
      </c>
      <c r="L94" s="47">
        <f>攻击!M94*$B94</f>
        <v>1536.0000000000002</v>
      </c>
      <c r="M94" s="47">
        <f>攻击!N94*$B94</f>
        <v>2304</v>
      </c>
      <c r="N94" s="47">
        <f>攻击!O94*$B94</f>
        <v>2880</v>
      </c>
      <c r="O94" s="47">
        <f>攻击!P94*$B94</f>
        <v>3840</v>
      </c>
      <c r="P94" s="47">
        <f>攻击!Q94*$B94</f>
        <v>4800</v>
      </c>
      <c r="Q94" s="47">
        <f>攻击!R94*$B94</f>
        <v>5760</v>
      </c>
      <c r="R94" s="47">
        <f>攻击!S94*$B94</f>
        <v>6720</v>
      </c>
      <c r="S94" s="47">
        <f>攻击!T94*$B94</f>
        <v>1440</v>
      </c>
      <c r="T94" s="47">
        <f>攻击!U94*$B94</f>
        <v>576</v>
      </c>
      <c r="U94" s="47">
        <f>攻击!V94*$B94</f>
        <v>576</v>
      </c>
      <c r="V94" s="47">
        <f>攻击!W94*$B94</f>
        <v>96.000000000000014</v>
      </c>
      <c r="W94" s="54">
        <f>攻击!X94</f>
        <v>0.2</v>
      </c>
      <c r="X94" s="54">
        <f>攻击!Y94</f>
        <v>0.3</v>
      </c>
      <c r="Y94" s="54">
        <f>攻击!Z94</f>
        <v>0.5</v>
      </c>
      <c r="Z94" s="54">
        <f>攻击!AA94</f>
        <v>0.8</v>
      </c>
      <c r="AA94" s="54">
        <f>攻击!AB94</f>
        <v>1.2</v>
      </c>
      <c r="AB94" s="47">
        <f>攻击!AC94*$B94</f>
        <v>1920</v>
      </c>
      <c r="AC94" s="47">
        <f>攻击!AD94*$B94</f>
        <v>2304</v>
      </c>
      <c r="AD94" s="47">
        <f>攻击!AE94*$B94</f>
        <v>2880</v>
      </c>
      <c r="AE94" s="47">
        <f>攻击!AF94*$B94</f>
        <v>3840</v>
      </c>
      <c r="AF94" s="47">
        <f>攻击!AG94*$B94</f>
        <v>4800</v>
      </c>
      <c r="AG94" s="47">
        <f>攻击!AH94*$B94</f>
        <v>960</v>
      </c>
      <c r="AH94" s="47">
        <f>攻击!AI94*$B94</f>
        <v>384.00000000000006</v>
      </c>
      <c r="AI94" s="47">
        <f>攻击!AJ94*$B94</f>
        <v>384.00000000000006</v>
      </c>
      <c r="AJ94" s="47">
        <f>攻击!AK94*$B94</f>
        <v>57.599999999999994</v>
      </c>
      <c r="AK94" s="47">
        <f>攻击!AL94*$B94</f>
        <v>2304</v>
      </c>
      <c r="AL94" s="54">
        <f>攻击!AM94</f>
        <v>0.2</v>
      </c>
      <c r="AM94" s="54">
        <f>攻击!AN94</f>
        <v>0.3</v>
      </c>
      <c r="AN94" s="54">
        <f>攻击!AO94</f>
        <v>0.5</v>
      </c>
      <c r="AO94" s="54">
        <f>攻击!AP94</f>
        <v>0.8</v>
      </c>
      <c r="AP94" s="54">
        <f>攻击!AQ94</f>
        <v>1.2</v>
      </c>
      <c r="AQ94" s="47">
        <f>攻击!AR94*$B94</f>
        <v>384.00000000000006</v>
      </c>
      <c r="AR94" s="20">
        <f t="shared" si="2"/>
        <v>9408</v>
      </c>
    </row>
    <row r="95" spans="1:44" s="20" customFormat="1">
      <c r="A95" s="46">
        <v>93</v>
      </c>
      <c r="B95" s="51">
        <f t="shared" si="3"/>
        <v>10</v>
      </c>
      <c r="C95" s="47">
        <f>攻击!D95*$B95</f>
        <v>1940</v>
      </c>
      <c r="D95" s="47">
        <f>攻击!E95*$B95</f>
        <v>2328</v>
      </c>
      <c r="E95" s="47">
        <f>攻击!F95*$B95</f>
        <v>2910</v>
      </c>
      <c r="F95" s="47">
        <f>攻击!G95*$B95</f>
        <v>3880</v>
      </c>
      <c r="G95" s="47">
        <f>攻击!H95*$B95</f>
        <v>4850</v>
      </c>
      <c r="H95" s="47">
        <f>攻击!I95*$B95</f>
        <v>940</v>
      </c>
      <c r="I95" s="47">
        <f>攻击!J95*$B95</f>
        <v>582</v>
      </c>
      <c r="J95" s="47">
        <f>攻击!K95*$B95</f>
        <v>1164</v>
      </c>
      <c r="K95" s="47">
        <f>攻击!L95*$B95</f>
        <v>582</v>
      </c>
      <c r="L95" s="47">
        <f>攻击!M95*$B95</f>
        <v>1552.0000000000002</v>
      </c>
      <c r="M95" s="47">
        <f>攻击!N95*$B95</f>
        <v>2328</v>
      </c>
      <c r="N95" s="47">
        <f>攻击!O95*$B95</f>
        <v>2910</v>
      </c>
      <c r="O95" s="47">
        <f>攻击!P95*$B95</f>
        <v>3880</v>
      </c>
      <c r="P95" s="47">
        <f>攻击!Q95*$B95</f>
        <v>4850</v>
      </c>
      <c r="Q95" s="47">
        <f>攻击!R95*$B95</f>
        <v>5820</v>
      </c>
      <c r="R95" s="47">
        <f>攻击!S95*$B95</f>
        <v>6790</v>
      </c>
      <c r="S95" s="47">
        <f>攻击!T95*$B95</f>
        <v>1455</v>
      </c>
      <c r="T95" s="47">
        <f>攻击!U95*$B95</f>
        <v>582</v>
      </c>
      <c r="U95" s="47">
        <f>攻击!V95*$B95</f>
        <v>582</v>
      </c>
      <c r="V95" s="47">
        <f>攻击!W95*$B95</f>
        <v>97.000000000000014</v>
      </c>
      <c r="W95" s="54">
        <f>攻击!X95</f>
        <v>0.2</v>
      </c>
      <c r="X95" s="54">
        <f>攻击!Y95</f>
        <v>0.3</v>
      </c>
      <c r="Y95" s="54">
        <f>攻击!Z95</f>
        <v>0.5</v>
      </c>
      <c r="Z95" s="54">
        <f>攻击!AA95</f>
        <v>0.8</v>
      </c>
      <c r="AA95" s="54">
        <f>攻击!AB95</f>
        <v>1.2</v>
      </c>
      <c r="AB95" s="47">
        <f>攻击!AC95*$B95</f>
        <v>1940</v>
      </c>
      <c r="AC95" s="47">
        <f>攻击!AD95*$B95</f>
        <v>2328</v>
      </c>
      <c r="AD95" s="47">
        <f>攻击!AE95*$B95</f>
        <v>2910</v>
      </c>
      <c r="AE95" s="47">
        <f>攻击!AF95*$B95</f>
        <v>3880</v>
      </c>
      <c r="AF95" s="47">
        <f>攻击!AG95*$B95</f>
        <v>4850</v>
      </c>
      <c r="AG95" s="47">
        <f>攻击!AH95*$B95</f>
        <v>970</v>
      </c>
      <c r="AH95" s="47">
        <f>攻击!AI95*$B95</f>
        <v>388.00000000000006</v>
      </c>
      <c r="AI95" s="47">
        <f>攻击!AJ95*$B95</f>
        <v>388.00000000000006</v>
      </c>
      <c r="AJ95" s="47">
        <f>攻击!AK95*$B95</f>
        <v>58.199999999999996</v>
      </c>
      <c r="AK95" s="47">
        <f>攻击!AL95*$B95</f>
        <v>2328</v>
      </c>
      <c r="AL95" s="54">
        <f>攻击!AM95</f>
        <v>0.2</v>
      </c>
      <c r="AM95" s="54">
        <f>攻击!AN95</f>
        <v>0.3</v>
      </c>
      <c r="AN95" s="54">
        <f>攻击!AO95</f>
        <v>0.5</v>
      </c>
      <c r="AO95" s="54">
        <f>攻击!AP95</f>
        <v>0.8</v>
      </c>
      <c r="AP95" s="54">
        <f>攻击!AQ95</f>
        <v>1.2</v>
      </c>
      <c r="AQ95" s="47">
        <f>攻击!AR95*$B95</f>
        <v>388.00000000000006</v>
      </c>
      <c r="AR95" s="20">
        <f t="shared" si="2"/>
        <v>9506</v>
      </c>
    </row>
    <row r="96" spans="1:44" s="20" customFormat="1">
      <c r="A96" s="46">
        <v>94</v>
      </c>
      <c r="B96" s="51">
        <f t="shared" si="3"/>
        <v>10</v>
      </c>
      <c r="C96" s="47">
        <f>攻击!D96*$B96</f>
        <v>1960</v>
      </c>
      <c r="D96" s="47">
        <f>攻击!E96*$B96</f>
        <v>2352</v>
      </c>
      <c r="E96" s="47">
        <f>攻击!F96*$B96</f>
        <v>2940</v>
      </c>
      <c r="F96" s="47">
        <f>攻击!G96*$B96</f>
        <v>3920</v>
      </c>
      <c r="G96" s="47">
        <f>攻击!H96*$B96</f>
        <v>4900</v>
      </c>
      <c r="H96" s="47">
        <f>攻击!I96*$B96</f>
        <v>940</v>
      </c>
      <c r="I96" s="47">
        <f>攻击!J96*$B96</f>
        <v>588</v>
      </c>
      <c r="J96" s="47">
        <f>攻击!K96*$B96</f>
        <v>1176</v>
      </c>
      <c r="K96" s="47">
        <f>攻击!L96*$B96</f>
        <v>588</v>
      </c>
      <c r="L96" s="47">
        <f>攻击!M96*$B96</f>
        <v>1568</v>
      </c>
      <c r="M96" s="47">
        <f>攻击!N96*$B96</f>
        <v>2352</v>
      </c>
      <c r="N96" s="47">
        <f>攻击!O96*$B96</f>
        <v>2940</v>
      </c>
      <c r="O96" s="47">
        <f>攻击!P96*$B96</f>
        <v>3920</v>
      </c>
      <c r="P96" s="47">
        <f>攻击!Q96*$B96</f>
        <v>4900</v>
      </c>
      <c r="Q96" s="47">
        <f>攻击!R96*$B96</f>
        <v>5880</v>
      </c>
      <c r="R96" s="47">
        <f>攻击!S96*$B96</f>
        <v>6860</v>
      </c>
      <c r="S96" s="47">
        <f>攻击!T96*$B96</f>
        <v>1470</v>
      </c>
      <c r="T96" s="47">
        <f>攻击!U96*$B96</f>
        <v>588</v>
      </c>
      <c r="U96" s="47">
        <f>攻击!V96*$B96</f>
        <v>588</v>
      </c>
      <c r="V96" s="47">
        <f>攻击!W96*$B96</f>
        <v>98</v>
      </c>
      <c r="W96" s="54">
        <f>攻击!X96</f>
        <v>0.2</v>
      </c>
      <c r="X96" s="54">
        <f>攻击!Y96</f>
        <v>0.3</v>
      </c>
      <c r="Y96" s="54">
        <f>攻击!Z96</f>
        <v>0.5</v>
      </c>
      <c r="Z96" s="54">
        <f>攻击!AA96</f>
        <v>0.8</v>
      </c>
      <c r="AA96" s="54">
        <f>攻击!AB96</f>
        <v>1.2</v>
      </c>
      <c r="AB96" s="47">
        <f>攻击!AC96*$B96</f>
        <v>1960</v>
      </c>
      <c r="AC96" s="47">
        <f>攻击!AD96*$B96</f>
        <v>2352</v>
      </c>
      <c r="AD96" s="47">
        <f>攻击!AE96*$B96</f>
        <v>2940</v>
      </c>
      <c r="AE96" s="47">
        <f>攻击!AF96*$B96</f>
        <v>3920</v>
      </c>
      <c r="AF96" s="47">
        <f>攻击!AG96*$B96</f>
        <v>4900</v>
      </c>
      <c r="AG96" s="47">
        <f>攻击!AH96*$B96</f>
        <v>980</v>
      </c>
      <c r="AH96" s="47">
        <f>攻击!AI96*$B96</f>
        <v>392</v>
      </c>
      <c r="AI96" s="47">
        <f>攻击!AJ96*$B96</f>
        <v>392</v>
      </c>
      <c r="AJ96" s="47">
        <f>攻击!AK96*$B96</f>
        <v>58.8</v>
      </c>
      <c r="AK96" s="47">
        <f>攻击!AL96*$B96</f>
        <v>2352</v>
      </c>
      <c r="AL96" s="54">
        <f>攻击!AM96</f>
        <v>0.2</v>
      </c>
      <c r="AM96" s="54">
        <f>攻击!AN96</f>
        <v>0.3</v>
      </c>
      <c r="AN96" s="54">
        <f>攻击!AO96</f>
        <v>0.5</v>
      </c>
      <c r="AO96" s="54">
        <f>攻击!AP96</f>
        <v>0.8</v>
      </c>
      <c r="AP96" s="54">
        <f>攻击!AQ96</f>
        <v>1.2</v>
      </c>
      <c r="AQ96" s="47">
        <f>攻击!AR96*$B96</f>
        <v>392</v>
      </c>
      <c r="AR96" s="20">
        <f t="shared" si="2"/>
        <v>9604</v>
      </c>
    </row>
    <row r="97" spans="1:44" s="20" customFormat="1">
      <c r="A97" s="46">
        <v>95</v>
      </c>
      <c r="B97" s="51">
        <f t="shared" si="3"/>
        <v>10</v>
      </c>
      <c r="C97" s="47">
        <f>攻击!D97*$B97</f>
        <v>1980</v>
      </c>
      <c r="D97" s="47">
        <f>攻击!E97*$B97</f>
        <v>2376</v>
      </c>
      <c r="E97" s="47">
        <f>攻击!F97*$B97</f>
        <v>2970</v>
      </c>
      <c r="F97" s="47">
        <f>攻击!G97*$B97</f>
        <v>3960</v>
      </c>
      <c r="G97" s="47">
        <f>攻击!H97*$B97</f>
        <v>4950</v>
      </c>
      <c r="H97" s="47">
        <f>攻击!I97*$B97</f>
        <v>990</v>
      </c>
      <c r="I97" s="47">
        <f>攻击!J97*$B97</f>
        <v>594</v>
      </c>
      <c r="J97" s="47">
        <f>攻击!K97*$B97</f>
        <v>1188</v>
      </c>
      <c r="K97" s="47">
        <f>攻击!L97*$B97</f>
        <v>594</v>
      </c>
      <c r="L97" s="47">
        <f>攻击!M97*$B97</f>
        <v>1584</v>
      </c>
      <c r="M97" s="47">
        <f>攻击!N97*$B97</f>
        <v>2376</v>
      </c>
      <c r="N97" s="47">
        <f>攻击!O97*$B97</f>
        <v>2970</v>
      </c>
      <c r="O97" s="47">
        <f>攻击!P97*$B97</f>
        <v>3960</v>
      </c>
      <c r="P97" s="47">
        <f>攻击!Q97*$B97</f>
        <v>4950</v>
      </c>
      <c r="Q97" s="47">
        <f>攻击!R97*$B97</f>
        <v>5940</v>
      </c>
      <c r="R97" s="47">
        <f>攻击!S97*$B97</f>
        <v>6930</v>
      </c>
      <c r="S97" s="47">
        <f>攻击!T97*$B97</f>
        <v>1485</v>
      </c>
      <c r="T97" s="47">
        <f>攻击!U97*$B97</f>
        <v>594</v>
      </c>
      <c r="U97" s="47">
        <f>攻击!V97*$B97</f>
        <v>594</v>
      </c>
      <c r="V97" s="47">
        <f>攻击!W97*$B97</f>
        <v>99</v>
      </c>
      <c r="W97" s="54">
        <f>攻击!X97</f>
        <v>0.2</v>
      </c>
      <c r="X97" s="54">
        <f>攻击!Y97</f>
        <v>0.3</v>
      </c>
      <c r="Y97" s="54">
        <f>攻击!Z97</f>
        <v>0.5</v>
      </c>
      <c r="Z97" s="54">
        <f>攻击!AA97</f>
        <v>0.8</v>
      </c>
      <c r="AA97" s="54">
        <f>攻击!AB97</f>
        <v>1.2</v>
      </c>
      <c r="AB97" s="47">
        <f>攻击!AC97*$B97</f>
        <v>1980</v>
      </c>
      <c r="AC97" s="47">
        <f>攻击!AD97*$B97</f>
        <v>2376</v>
      </c>
      <c r="AD97" s="47">
        <f>攻击!AE97*$B97</f>
        <v>2970</v>
      </c>
      <c r="AE97" s="47">
        <f>攻击!AF97*$B97</f>
        <v>3960</v>
      </c>
      <c r="AF97" s="47">
        <f>攻击!AG97*$B97</f>
        <v>4950</v>
      </c>
      <c r="AG97" s="47">
        <f>攻击!AH97*$B97</f>
        <v>990</v>
      </c>
      <c r="AH97" s="47">
        <f>攻击!AI97*$B97</f>
        <v>396</v>
      </c>
      <c r="AI97" s="47">
        <f>攻击!AJ97*$B97</f>
        <v>396</v>
      </c>
      <c r="AJ97" s="47">
        <f>攻击!AK97*$B97</f>
        <v>59.399999999999991</v>
      </c>
      <c r="AK97" s="47">
        <f>攻击!AL97*$B97</f>
        <v>2376</v>
      </c>
      <c r="AL97" s="54">
        <f>攻击!AM97</f>
        <v>0.2</v>
      </c>
      <c r="AM97" s="54">
        <f>攻击!AN97</f>
        <v>0.3</v>
      </c>
      <c r="AN97" s="54">
        <f>攻击!AO97</f>
        <v>0.5</v>
      </c>
      <c r="AO97" s="54">
        <f>攻击!AP97</f>
        <v>0.8</v>
      </c>
      <c r="AP97" s="54">
        <f>攻击!AQ97</f>
        <v>1.2</v>
      </c>
      <c r="AQ97" s="47">
        <f>攻击!AR97*$B97</f>
        <v>396</v>
      </c>
      <c r="AR97" s="20">
        <f t="shared" si="2"/>
        <v>9702</v>
      </c>
    </row>
    <row r="98" spans="1:44" s="20" customFormat="1">
      <c r="A98" s="46">
        <v>96</v>
      </c>
      <c r="B98" s="51">
        <f t="shared" si="3"/>
        <v>10</v>
      </c>
      <c r="C98" s="47">
        <f>攻击!D98*$B98</f>
        <v>2000</v>
      </c>
      <c r="D98" s="47">
        <f>攻击!E98*$B98</f>
        <v>2400</v>
      </c>
      <c r="E98" s="47">
        <f>攻击!F98*$B98</f>
        <v>3000</v>
      </c>
      <c r="F98" s="47">
        <f>攻击!G98*$B98</f>
        <v>4000</v>
      </c>
      <c r="G98" s="47">
        <f>攻击!H98*$B98</f>
        <v>5000</v>
      </c>
      <c r="H98" s="47">
        <f>攻击!I98*$B98</f>
        <v>990</v>
      </c>
      <c r="I98" s="47">
        <f>攻击!J98*$B98</f>
        <v>600</v>
      </c>
      <c r="J98" s="47">
        <f>攻击!K98*$B98</f>
        <v>1200</v>
      </c>
      <c r="K98" s="47">
        <f>攻击!L98*$B98</f>
        <v>600</v>
      </c>
      <c r="L98" s="47">
        <f>攻击!M98*$B98</f>
        <v>1600</v>
      </c>
      <c r="M98" s="47">
        <f>攻击!N98*$B98</f>
        <v>2400</v>
      </c>
      <c r="N98" s="47">
        <f>攻击!O98*$B98</f>
        <v>3000</v>
      </c>
      <c r="O98" s="47">
        <f>攻击!P98*$B98</f>
        <v>4000</v>
      </c>
      <c r="P98" s="47">
        <f>攻击!Q98*$B98</f>
        <v>5000</v>
      </c>
      <c r="Q98" s="47">
        <f>攻击!R98*$B98</f>
        <v>6000</v>
      </c>
      <c r="R98" s="47">
        <f>攻击!S98*$B98</f>
        <v>7000</v>
      </c>
      <c r="S98" s="47">
        <f>攻击!T98*$B98</f>
        <v>1500</v>
      </c>
      <c r="T98" s="47">
        <f>攻击!U98*$B98</f>
        <v>600</v>
      </c>
      <c r="U98" s="47">
        <f>攻击!V98*$B98</f>
        <v>600</v>
      </c>
      <c r="V98" s="47">
        <f>攻击!W98*$B98</f>
        <v>100</v>
      </c>
      <c r="W98" s="54">
        <f>攻击!X98</f>
        <v>0.2</v>
      </c>
      <c r="X98" s="54">
        <f>攻击!Y98</f>
        <v>0.3</v>
      </c>
      <c r="Y98" s="54">
        <f>攻击!Z98</f>
        <v>0.5</v>
      </c>
      <c r="Z98" s="54">
        <f>攻击!AA98</f>
        <v>0.8</v>
      </c>
      <c r="AA98" s="54">
        <f>攻击!AB98</f>
        <v>1.2</v>
      </c>
      <c r="AB98" s="47">
        <f>攻击!AC98*$B98</f>
        <v>2000</v>
      </c>
      <c r="AC98" s="47">
        <f>攻击!AD98*$B98</f>
        <v>2400</v>
      </c>
      <c r="AD98" s="47">
        <f>攻击!AE98*$B98</f>
        <v>3000</v>
      </c>
      <c r="AE98" s="47">
        <f>攻击!AF98*$B98</f>
        <v>4000</v>
      </c>
      <c r="AF98" s="47">
        <f>攻击!AG98*$B98</f>
        <v>5000</v>
      </c>
      <c r="AG98" s="47">
        <f>攻击!AH98*$B98</f>
        <v>1000</v>
      </c>
      <c r="AH98" s="47">
        <f>攻击!AI98*$B98</f>
        <v>400</v>
      </c>
      <c r="AI98" s="47">
        <f>攻击!AJ98*$B98</f>
        <v>400</v>
      </c>
      <c r="AJ98" s="47">
        <f>攻击!AK98*$B98</f>
        <v>60</v>
      </c>
      <c r="AK98" s="47">
        <f>攻击!AL98*$B98</f>
        <v>2400</v>
      </c>
      <c r="AL98" s="54">
        <f>攻击!AM98</f>
        <v>0.2</v>
      </c>
      <c r="AM98" s="54">
        <f>攻击!AN98</f>
        <v>0.3</v>
      </c>
      <c r="AN98" s="54">
        <f>攻击!AO98</f>
        <v>0.5</v>
      </c>
      <c r="AO98" s="54">
        <f>攻击!AP98</f>
        <v>0.8</v>
      </c>
      <c r="AP98" s="54">
        <f>攻击!AQ98</f>
        <v>1.2</v>
      </c>
      <c r="AQ98" s="47">
        <f>攻击!AR98*$B98</f>
        <v>400</v>
      </c>
      <c r="AR98" s="20">
        <f t="shared" si="2"/>
        <v>9800</v>
      </c>
    </row>
    <row r="99" spans="1:44" s="20" customFormat="1">
      <c r="A99" s="46">
        <v>97</v>
      </c>
      <c r="B99" s="51">
        <f t="shared" si="3"/>
        <v>10</v>
      </c>
      <c r="C99" s="47">
        <f>攻击!D99*$B99</f>
        <v>2020</v>
      </c>
      <c r="D99" s="47">
        <f>攻击!E99*$B99</f>
        <v>2424</v>
      </c>
      <c r="E99" s="47">
        <f>攻击!F99*$B99</f>
        <v>3030</v>
      </c>
      <c r="F99" s="47">
        <f>攻击!G99*$B99</f>
        <v>4040</v>
      </c>
      <c r="G99" s="47">
        <f>攻击!H99*$B99</f>
        <v>5050</v>
      </c>
      <c r="H99" s="47">
        <f>攻击!I99*$B99</f>
        <v>990</v>
      </c>
      <c r="I99" s="47">
        <f>攻击!J99*$B99</f>
        <v>606</v>
      </c>
      <c r="J99" s="47">
        <f>攻击!K99*$B99</f>
        <v>1212</v>
      </c>
      <c r="K99" s="47">
        <f>攻击!L99*$B99</f>
        <v>606</v>
      </c>
      <c r="L99" s="47">
        <f>攻击!M99*$B99</f>
        <v>1616.0000000000002</v>
      </c>
      <c r="M99" s="47">
        <f>攻击!N99*$B99</f>
        <v>2424</v>
      </c>
      <c r="N99" s="47">
        <f>攻击!O99*$B99</f>
        <v>3030</v>
      </c>
      <c r="O99" s="47">
        <f>攻击!P99*$B99</f>
        <v>4040</v>
      </c>
      <c r="P99" s="47">
        <f>攻击!Q99*$B99</f>
        <v>5050</v>
      </c>
      <c r="Q99" s="47">
        <f>攻击!R99*$B99</f>
        <v>6060</v>
      </c>
      <c r="R99" s="47">
        <f>攻击!S99*$B99</f>
        <v>7070</v>
      </c>
      <c r="S99" s="47">
        <f>攻击!T99*$B99</f>
        <v>1515</v>
      </c>
      <c r="T99" s="47">
        <f>攻击!U99*$B99</f>
        <v>606</v>
      </c>
      <c r="U99" s="47">
        <f>攻击!V99*$B99</f>
        <v>606</v>
      </c>
      <c r="V99" s="47">
        <f>攻击!W99*$B99</f>
        <v>101.00000000000001</v>
      </c>
      <c r="W99" s="54">
        <f>攻击!X99</f>
        <v>0.2</v>
      </c>
      <c r="X99" s="54">
        <f>攻击!Y99</f>
        <v>0.3</v>
      </c>
      <c r="Y99" s="54">
        <f>攻击!Z99</f>
        <v>0.5</v>
      </c>
      <c r="Z99" s="54">
        <f>攻击!AA99</f>
        <v>0.8</v>
      </c>
      <c r="AA99" s="54">
        <f>攻击!AB99</f>
        <v>1.2</v>
      </c>
      <c r="AB99" s="47">
        <f>攻击!AC99*$B99</f>
        <v>2020</v>
      </c>
      <c r="AC99" s="47">
        <f>攻击!AD99*$B99</f>
        <v>2424</v>
      </c>
      <c r="AD99" s="47">
        <f>攻击!AE99*$B99</f>
        <v>3030</v>
      </c>
      <c r="AE99" s="47">
        <f>攻击!AF99*$B99</f>
        <v>4040</v>
      </c>
      <c r="AF99" s="47">
        <f>攻击!AG99*$B99</f>
        <v>5050</v>
      </c>
      <c r="AG99" s="47">
        <f>攻击!AH99*$B99</f>
        <v>1010</v>
      </c>
      <c r="AH99" s="47">
        <f>攻击!AI99*$B99</f>
        <v>404.00000000000006</v>
      </c>
      <c r="AI99" s="47">
        <f>攻击!AJ99*$B99</f>
        <v>404.00000000000006</v>
      </c>
      <c r="AJ99" s="47">
        <f>攻击!AK99*$B99</f>
        <v>60.599999999999994</v>
      </c>
      <c r="AK99" s="47">
        <f>攻击!AL99*$B99</f>
        <v>2424</v>
      </c>
      <c r="AL99" s="54">
        <f>攻击!AM99</f>
        <v>0.2</v>
      </c>
      <c r="AM99" s="54">
        <f>攻击!AN99</f>
        <v>0.3</v>
      </c>
      <c r="AN99" s="54">
        <f>攻击!AO99</f>
        <v>0.5</v>
      </c>
      <c r="AO99" s="54">
        <f>攻击!AP99</f>
        <v>0.8</v>
      </c>
      <c r="AP99" s="54">
        <f>攻击!AQ99</f>
        <v>1.2</v>
      </c>
      <c r="AQ99" s="47">
        <f>攻击!AR99*$B99</f>
        <v>404.00000000000006</v>
      </c>
      <c r="AR99" s="20">
        <f t="shared" si="2"/>
        <v>9898</v>
      </c>
    </row>
    <row r="100" spans="1:44" s="20" customFormat="1">
      <c r="A100" s="46">
        <v>98</v>
      </c>
      <c r="B100" s="51">
        <f t="shared" si="3"/>
        <v>10</v>
      </c>
      <c r="C100" s="47">
        <f>攻击!D100*$B100</f>
        <v>2040</v>
      </c>
      <c r="D100" s="47">
        <f>攻击!E100*$B100</f>
        <v>2448</v>
      </c>
      <c r="E100" s="47">
        <f>攻击!F100*$B100</f>
        <v>3060</v>
      </c>
      <c r="F100" s="47">
        <f>攻击!G100*$B100</f>
        <v>4080</v>
      </c>
      <c r="G100" s="47">
        <f>攻击!H100*$B100</f>
        <v>5100</v>
      </c>
      <c r="H100" s="47">
        <f>攻击!I100*$B100</f>
        <v>990</v>
      </c>
      <c r="I100" s="47">
        <f>攻击!J100*$B100</f>
        <v>612</v>
      </c>
      <c r="J100" s="47">
        <f>攻击!K100*$B100</f>
        <v>1224</v>
      </c>
      <c r="K100" s="47">
        <f>攻击!L100*$B100</f>
        <v>612</v>
      </c>
      <c r="L100" s="47">
        <f>攻击!M100*$B100</f>
        <v>1632.0000000000002</v>
      </c>
      <c r="M100" s="47">
        <f>攻击!N100*$B100</f>
        <v>2448</v>
      </c>
      <c r="N100" s="47">
        <f>攻击!O100*$B100</f>
        <v>3060</v>
      </c>
      <c r="O100" s="47">
        <f>攻击!P100*$B100</f>
        <v>4080</v>
      </c>
      <c r="P100" s="47">
        <f>攻击!Q100*$B100</f>
        <v>5100</v>
      </c>
      <c r="Q100" s="47">
        <f>攻击!R100*$B100</f>
        <v>6120</v>
      </c>
      <c r="R100" s="47">
        <f>攻击!S100*$B100</f>
        <v>7140</v>
      </c>
      <c r="S100" s="47">
        <f>攻击!T100*$B100</f>
        <v>1530</v>
      </c>
      <c r="T100" s="47">
        <f>攻击!U100*$B100</f>
        <v>612</v>
      </c>
      <c r="U100" s="47">
        <f>攻击!V100*$B100</f>
        <v>612</v>
      </c>
      <c r="V100" s="47">
        <f>攻击!W100*$B100</f>
        <v>102.00000000000001</v>
      </c>
      <c r="W100" s="54">
        <f>攻击!X100</f>
        <v>0.2</v>
      </c>
      <c r="X100" s="54">
        <f>攻击!Y100</f>
        <v>0.3</v>
      </c>
      <c r="Y100" s="54">
        <f>攻击!Z100</f>
        <v>0.5</v>
      </c>
      <c r="Z100" s="54">
        <f>攻击!AA100</f>
        <v>0.8</v>
      </c>
      <c r="AA100" s="54">
        <f>攻击!AB100</f>
        <v>1.2</v>
      </c>
      <c r="AB100" s="47">
        <f>攻击!AC100*$B100</f>
        <v>2040</v>
      </c>
      <c r="AC100" s="47">
        <f>攻击!AD100*$B100</f>
        <v>2448</v>
      </c>
      <c r="AD100" s="47">
        <f>攻击!AE100*$B100</f>
        <v>3060</v>
      </c>
      <c r="AE100" s="47">
        <f>攻击!AF100*$B100</f>
        <v>4080</v>
      </c>
      <c r="AF100" s="47">
        <f>攻击!AG100*$B100</f>
        <v>5100</v>
      </c>
      <c r="AG100" s="47">
        <f>攻击!AH100*$B100</f>
        <v>1020</v>
      </c>
      <c r="AH100" s="47">
        <f>攻击!AI100*$B100</f>
        <v>408.00000000000006</v>
      </c>
      <c r="AI100" s="47">
        <f>攻击!AJ100*$B100</f>
        <v>408.00000000000006</v>
      </c>
      <c r="AJ100" s="47">
        <f>攻击!AK100*$B100</f>
        <v>61.2</v>
      </c>
      <c r="AK100" s="47">
        <f>攻击!AL100*$B100</f>
        <v>2448</v>
      </c>
      <c r="AL100" s="54">
        <f>攻击!AM100</f>
        <v>0.2</v>
      </c>
      <c r="AM100" s="54">
        <f>攻击!AN100</f>
        <v>0.3</v>
      </c>
      <c r="AN100" s="54">
        <f>攻击!AO100</f>
        <v>0.5</v>
      </c>
      <c r="AO100" s="54">
        <f>攻击!AP100</f>
        <v>0.8</v>
      </c>
      <c r="AP100" s="54">
        <f>攻击!AQ100</f>
        <v>1.2</v>
      </c>
      <c r="AQ100" s="47">
        <f>攻击!AR100*$B100</f>
        <v>408.00000000000006</v>
      </c>
      <c r="AR100" s="20">
        <f t="shared" si="2"/>
        <v>9996</v>
      </c>
    </row>
    <row r="101" spans="1:44" s="20" customFormat="1">
      <c r="A101" s="46">
        <v>99</v>
      </c>
      <c r="B101" s="51">
        <f t="shared" si="3"/>
        <v>10</v>
      </c>
      <c r="C101" s="47">
        <f>攻击!D101*$B101</f>
        <v>2060</v>
      </c>
      <c r="D101" s="47">
        <f>攻击!E101*$B101</f>
        <v>2472</v>
      </c>
      <c r="E101" s="47">
        <f>攻击!F101*$B101</f>
        <v>3090</v>
      </c>
      <c r="F101" s="47">
        <f>攻击!G101*$B101</f>
        <v>4120</v>
      </c>
      <c r="G101" s="47">
        <f>攻击!H101*$B101</f>
        <v>5150</v>
      </c>
      <c r="H101" s="47">
        <f>攻击!I101*$B101</f>
        <v>990</v>
      </c>
      <c r="I101" s="47">
        <f>攻击!J101*$B101</f>
        <v>618</v>
      </c>
      <c r="J101" s="47">
        <f>攻击!K101*$B101</f>
        <v>1236</v>
      </c>
      <c r="K101" s="47">
        <f>攻击!L101*$B101</f>
        <v>618</v>
      </c>
      <c r="L101" s="47">
        <f>攻击!M101*$B101</f>
        <v>1648</v>
      </c>
      <c r="M101" s="47">
        <f>攻击!N101*$B101</f>
        <v>2472</v>
      </c>
      <c r="N101" s="47">
        <f>攻击!O101*$B101</f>
        <v>3090</v>
      </c>
      <c r="O101" s="47">
        <f>攻击!P101*$B101</f>
        <v>4120</v>
      </c>
      <c r="P101" s="47">
        <f>攻击!Q101*$B101</f>
        <v>5150</v>
      </c>
      <c r="Q101" s="47">
        <f>攻击!R101*$B101</f>
        <v>6180</v>
      </c>
      <c r="R101" s="47">
        <f>攻击!S101*$B101</f>
        <v>7210</v>
      </c>
      <c r="S101" s="47">
        <f>攻击!T101*$B101</f>
        <v>1545</v>
      </c>
      <c r="T101" s="47">
        <f>攻击!U101*$B101</f>
        <v>618</v>
      </c>
      <c r="U101" s="47">
        <f>攻击!V101*$B101</f>
        <v>618</v>
      </c>
      <c r="V101" s="47">
        <f>攻击!W101*$B101</f>
        <v>103</v>
      </c>
      <c r="W101" s="54">
        <f>攻击!X101</f>
        <v>0.2</v>
      </c>
      <c r="X101" s="54">
        <f>攻击!Y101</f>
        <v>0.3</v>
      </c>
      <c r="Y101" s="54">
        <f>攻击!Z101</f>
        <v>0.5</v>
      </c>
      <c r="Z101" s="54">
        <f>攻击!AA101</f>
        <v>0.8</v>
      </c>
      <c r="AA101" s="54">
        <f>攻击!AB101</f>
        <v>1.2</v>
      </c>
      <c r="AB101" s="47">
        <f>攻击!AC101*$B101</f>
        <v>2060</v>
      </c>
      <c r="AC101" s="47">
        <f>攻击!AD101*$B101</f>
        <v>2472</v>
      </c>
      <c r="AD101" s="47">
        <f>攻击!AE101*$B101</f>
        <v>3090</v>
      </c>
      <c r="AE101" s="47">
        <f>攻击!AF101*$B101</f>
        <v>4120</v>
      </c>
      <c r="AF101" s="47">
        <f>攻击!AG101*$B101</f>
        <v>5150</v>
      </c>
      <c r="AG101" s="47">
        <f>攻击!AH101*$B101</f>
        <v>1030</v>
      </c>
      <c r="AH101" s="47">
        <f>攻击!AI101*$B101</f>
        <v>412</v>
      </c>
      <c r="AI101" s="47">
        <f>攻击!AJ101*$B101</f>
        <v>412</v>
      </c>
      <c r="AJ101" s="47">
        <f>攻击!AK101*$B101</f>
        <v>61.8</v>
      </c>
      <c r="AK101" s="47">
        <f>攻击!AL101*$B101</f>
        <v>2472</v>
      </c>
      <c r="AL101" s="54">
        <f>攻击!AM101</f>
        <v>0.2</v>
      </c>
      <c r="AM101" s="54">
        <f>攻击!AN101</f>
        <v>0.3</v>
      </c>
      <c r="AN101" s="54">
        <f>攻击!AO101</f>
        <v>0.5</v>
      </c>
      <c r="AO101" s="54">
        <f>攻击!AP101</f>
        <v>0.8</v>
      </c>
      <c r="AP101" s="54">
        <f>攻击!AQ101</f>
        <v>1.2</v>
      </c>
      <c r="AQ101" s="47">
        <f>攻击!AR101*$B101</f>
        <v>412</v>
      </c>
      <c r="AR101" s="20">
        <f t="shared" si="2"/>
        <v>10094</v>
      </c>
    </row>
    <row r="102" spans="1:44" s="20" customFormat="1">
      <c r="A102" s="46">
        <v>100</v>
      </c>
      <c r="B102" s="51">
        <f t="shared" si="3"/>
        <v>10</v>
      </c>
      <c r="C102" s="47">
        <f>攻击!D102*$B102</f>
        <v>2080</v>
      </c>
      <c r="D102" s="47">
        <f>攻击!E102*$B102</f>
        <v>2496</v>
      </c>
      <c r="E102" s="47">
        <f>攻击!F102*$B102</f>
        <v>3120</v>
      </c>
      <c r="F102" s="47">
        <f>攻击!G102*$B102</f>
        <v>4160</v>
      </c>
      <c r="G102" s="47">
        <f>攻击!H102*$B102</f>
        <v>5200</v>
      </c>
      <c r="H102" s="47">
        <f>攻击!I102*$B102</f>
        <v>1040</v>
      </c>
      <c r="I102" s="47">
        <f>攻击!J102*$B102</f>
        <v>624</v>
      </c>
      <c r="J102" s="47">
        <f>攻击!K102*$B102</f>
        <v>1248</v>
      </c>
      <c r="K102" s="47">
        <f>攻击!L102*$B102</f>
        <v>624</v>
      </c>
      <c r="L102" s="47">
        <f>攻击!M102*$B102</f>
        <v>1664</v>
      </c>
      <c r="M102" s="47">
        <f>攻击!N102*$B102</f>
        <v>2496</v>
      </c>
      <c r="N102" s="47">
        <f>攻击!O102*$B102</f>
        <v>3120</v>
      </c>
      <c r="O102" s="47">
        <f>攻击!P102*$B102</f>
        <v>4160</v>
      </c>
      <c r="P102" s="47">
        <f>攻击!Q102*$B102</f>
        <v>5200</v>
      </c>
      <c r="Q102" s="47">
        <f>攻击!R102*$B102</f>
        <v>6240</v>
      </c>
      <c r="R102" s="47">
        <f>攻击!S102*$B102</f>
        <v>7280</v>
      </c>
      <c r="S102" s="47">
        <f>攻击!T102*$B102</f>
        <v>1560</v>
      </c>
      <c r="T102" s="47">
        <f>攻击!U102*$B102</f>
        <v>624</v>
      </c>
      <c r="U102" s="47">
        <f>攻击!V102*$B102</f>
        <v>624</v>
      </c>
      <c r="V102" s="47">
        <f>攻击!W102*$B102</f>
        <v>104</v>
      </c>
      <c r="W102" s="54">
        <f>攻击!X102</f>
        <v>0.2</v>
      </c>
      <c r="X102" s="54">
        <f>攻击!Y102</f>
        <v>0.3</v>
      </c>
      <c r="Y102" s="54">
        <f>攻击!Z102</f>
        <v>0.5</v>
      </c>
      <c r="Z102" s="54">
        <f>攻击!AA102</f>
        <v>0.8</v>
      </c>
      <c r="AA102" s="54">
        <f>攻击!AB102</f>
        <v>1.2</v>
      </c>
      <c r="AB102" s="47">
        <f>攻击!AC102*$B102</f>
        <v>2080</v>
      </c>
      <c r="AC102" s="47">
        <f>攻击!AD102*$B102</f>
        <v>2496</v>
      </c>
      <c r="AD102" s="47">
        <f>攻击!AE102*$B102</f>
        <v>3120</v>
      </c>
      <c r="AE102" s="47">
        <f>攻击!AF102*$B102</f>
        <v>4160</v>
      </c>
      <c r="AF102" s="47">
        <f>攻击!AG102*$B102</f>
        <v>5200</v>
      </c>
      <c r="AG102" s="47">
        <f>攻击!AH102*$B102</f>
        <v>1040</v>
      </c>
      <c r="AH102" s="47">
        <f>攻击!AI102*$B102</f>
        <v>416</v>
      </c>
      <c r="AI102" s="47">
        <f>攻击!AJ102*$B102</f>
        <v>416</v>
      </c>
      <c r="AJ102" s="47">
        <f>攻击!AK102*$B102</f>
        <v>62.400000000000006</v>
      </c>
      <c r="AK102" s="47">
        <f>攻击!AL102*$B102</f>
        <v>2496</v>
      </c>
      <c r="AL102" s="54">
        <f>攻击!AM102</f>
        <v>0.2</v>
      </c>
      <c r="AM102" s="54">
        <f>攻击!AN102</f>
        <v>0.3</v>
      </c>
      <c r="AN102" s="54">
        <f>攻击!AO102</f>
        <v>0.5</v>
      </c>
      <c r="AO102" s="54">
        <f>攻击!AP102</f>
        <v>0.8</v>
      </c>
      <c r="AP102" s="54">
        <f>攻击!AQ102</f>
        <v>1.2</v>
      </c>
      <c r="AQ102" s="47">
        <f>攻击!AR102*$B102</f>
        <v>416</v>
      </c>
      <c r="AR102" s="20">
        <f t="shared" si="2"/>
        <v>10192</v>
      </c>
    </row>
    <row r="103" spans="1:44" s="20" customFormat="1">
      <c r="A103" s="46">
        <v>101</v>
      </c>
      <c r="B103" s="51">
        <f t="shared" si="3"/>
        <v>10</v>
      </c>
      <c r="C103" s="47">
        <f>攻击!D103*$B103</f>
        <v>2100</v>
      </c>
      <c r="D103" s="47">
        <f>攻击!E103*$B103</f>
        <v>2520</v>
      </c>
      <c r="E103" s="47">
        <f>攻击!F103*$B103</f>
        <v>3150</v>
      </c>
      <c r="F103" s="47">
        <f>攻击!G103*$B103</f>
        <v>4200</v>
      </c>
      <c r="G103" s="47">
        <f>攻击!H103*$B103</f>
        <v>5250</v>
      </c>
      <c r="H103" s="47">
        <f>攻击!I103*$B103</f>
        <v>1040</v>
      </c>
      <c r="I103" s="47">
        <f>攻击!J103*$B103</f>
        <v>630</v>
      </c>
      <c r="J103" s="47">
        <f>攻击!K103*$B103</f>
        <v>1260</v>
      </c>
      <c r="K103" s="47">
        <f>攻击!L103*$B103</f>
        <v>630</v>
      </c>
      <c r="L103" s="47">
        <f>攻击!M103*$B103</f>
        <v>1680</v>
      </c>
      <c r="M103" s="47">
        <f>攻击!N103*$B103</f>
        <v>2520</v>
      </c>
      <c r="N103" s="47">
        <f>攻击!O103*$B103</f>
        <v>3150</v>
      </c>
      <c r="O103" s="47">
        <f>攻击!P103*$B103</f>
        <v>4200</v>
      </c>
      <c r="P103" s="47">
        <f>攻击!Q103*$B103</f>
        <v>5250</v>
      </c>
      <c r="Q103" s="47">
        <f>攻击!R103*$B103</f>
        <v>6300</v>
      </c>
      <c r="R103" s="47">
        <f>攻击!S103*$B103</f>
        <v>7350</v>
      </c>
      <c r="S103" s="47">
        <f>攻击!T103*$B103</f>
        <v>1575</v>
      </c>
      <c r="T103" s="47">
        <f>攻击!U103*$B103</f>
        <v>630</v>
      </c>
      <c r="U103" s="47">
        <f>攻击!V103*$B103</f>
        <v>630</v>
      </c>
      <c r="V103" s="47">
        <f>攻击!W103*$B103</f>
        <v>105</v>
      </c>
      <c r="W103" s="54">
        <f>攻击!X103</f>
        <v>0.2</v>
      </c>
      <c r="X103" s="54">
        <f>攻击!Y103</f>
        <v>0.3</v>
      </c>
      <c r="Y103" s="54">
        <f>攻击!Z103</f>
        <v>0.5</v>
      </c>
      <c r="Z103" s="54">
        <f>攻击!AA103</f>
        <v>0.8</v>
      </c>
      <c r="AA103" s="54">
        <f>攻击!AB103</f>
        <v>1.2</v>
      </c>
      <c r="AB103" s="47">
        <f>攻击!AC103*$B103</f>
        <v>2100</v>
      </c>
      <c r="AC103" s="47">
        <f>攻击!AD103*$B103</f>
        <v>2520</v>
      </c>
      <c r="AD103" s="47">
        <f>攻击!AE103*$B103</f>
        <v>3150</v>
      </c>
      <c r="AE103" s="47">
        <f>攻击!AF103*$B103</f>
        <v>4200</v>
      </c>
      <c r="AF103" s="47">
        <f>攻击!AG103*$B103</f>
        <v>5250</v>
      </c>
      <c r="AG103" s="47">
        <f>攻击!AH103*$B103</f>
        <v>1050</v>
      </c>
      <c r="AH103" s="47">
        <f>攻击!AI103*$B103</f>
        <v>420</v>
      </c>
      <c r="AI103" s="47">
        <f>攻击!AJ103*$B103</f>
        <v>420</v>
      </c>
      <c r="AJ103" s="47">
        <f>攻击!AK103*$B103</f>
        <v>63</v>
      </c>
      <c r="AK103" s="47">
        <f>攻击!AL103*$B103</f>
        <v>2520</v>
      </c>
      <c r="AL103" s="54">
        <f>攻击!AM103</f>
        <v>0.2</v>
      </c>
      <c r="AM103" s="54">
        <f>攻击!AN103</f>
        <v>0.3</v>
      </c>
      <c r="AN103" s="54">
        <f>攻击!AO103</f>
        <v>0.5</v>
      </c>
      <c r="AO103" s="54">
        <f>攻击!AP103</f>
        <v>0.8</v>
      </c>
      <c r="AP103" s="54">
        <f>攻击!AQ103</f>
        <v>1.2</v>
      </c>
      <c r="AQ103" s="47">
        <f>攻击!AR103*$B103</f>
        <v>420</v>
      </c>
      <c r="AR103" s="20">
        <f t="shared" si="2"/>
        <v>10290</v>
      </c>
    </row>
    <row r="104" spans="1:44" s="20" customFormat="1">
      <c r="A104" s="46">
        <v>102</v>
      </c>
      <c r="B104" s="51">
        <f t="shared" si="3"/>
        <v>10</v>
      </c>
      <c r="C104" s="47">
        <f>攻击!D104*$B104</f>
        <v>2120</v>
      </c>
      <c r="D104" s="47">
        <f>攻击!E104*$B104</f>
        <v>2544</v>
      </c>
      <c r="E104" s="47">
        <f>攻击!F104*$B104</f>
        <v>3180</v>
      </c>
      <c r="F104" s="47">
        <f>攻击!G104*$B104</f>
        <v>4240</v>
      </c>
      <c r="G104" s="47">
        <f>攻击!H104*$B104</f>
        <v>5300</v>
      </c>
      <c r="H104" s="47">
        <f>攻击!I104*$B104</f>
        <v>1040</v>
      </c>
      <c r="I104" s="47">
        <f>攻击!J104*$B104</f>
        <v>636</v>
      </c>
      <c r="J104" s="47">
        <f>攻击!K104*$B104</f>
        <v>1272</v>
      </c>
      <c r="K104" s="47">
        <f>攻击!L104*$B104</f>
        <v>636</v>
      </c>
      <c r="L104" s="47">
        <f>攻击!M104*$B104</f>
        <v>1696.0000000000002</v>
      </c>
      <c r="M104" s="47">
        <f>攻击!N104*$B104</f>
        <v>2544</v>
      </c>
      <c r="N104" s="47">
        <f>攻击!O104*$B104</f>
        <v>3180</v>
      </c>
      <c r="O104" s="47">
        <f>攻击!P104*$B104</f>
        <v>4240</v>
      </c>
      <c r="P104" s="47">
        <f>攻击!Q104*$B104</f>
        <v>5300</v>
      </c>
      <c r="Q104" s="47">
        <f>攻击!R104*$B104</f>
        <v>6360</v>
      </c>
      <c r="R104" s="47">
        <f>攻击!S104*$B104</f>
        <v>7420</v>
      </c>
      <c r="S104" s="47">
        <f>攻击!T104*$B104</f>
        <v>1590</v>
      </c>
      <c r="T104" s="47">
        <f>攻击!U104*$B104</f>
        <v>636</v>
      </c>
      <c r="U104" s="47">
        <f>攻击!V104*$B104</f>
        <v>636</v>
      </c>
      <c r="V104" s="47">
        <f>攻击!W104*$B104</f>
        <v>106.00000000000001</v>
      </c>
      <c r="W104" s="54">
        <f>攻击!X104</f>
        <v>0.2</v>
      </c>
      <c r="X104" s="54">
        <f>攻击!Y104</f>
        <v>0.3</v>
      </c>
      <c r="Y104" s="54">
        <f>攻击!Z104</f>
        <v>0.5</v>
      </c>
      <c r="Z104" s="54">
        <f>攻击!AA104</f>
        <v>0.8</v>
      </c>
      <c r="AA104" s="54">
        <f>攻击!AB104</f>
        <v>1.2</v>
      </c>
      <c r="AB104" s="47">
        <f>攻击!AC104*$B104</f>
        <v>2120</v>
      </c>
      <c r="AC104" s="47">
        <f>攻击!AD104*$B104</f>
        <v>2544</v>
      </c>
      <c r="AD104" s="47">
        <f>攻击!AE104*$B104</f>
        <v>3180</v>
      </c>
      <c r="AE104" s="47">
        <f>攻击!AF104*$B104</f>
        <v>4240</v>
      </c>
      <c r="AF104" s="47">
        <f>攻击!AG104*$B104</f>
        <v>5300</v>
      </c>
      <c r="AG104" s="47">
        <f>攻击!AH104*$B104</f>
        <v>1060</v>
      </c>
      <c r="AH104" s="47">
        <f>攻击!AI104*$B104</f>
        <v>424.00000000000006</v>
      </c>
      <c r="AI104" s="47">
        <f>攻击!AJ104*$B104</f>
        <v>424.00000000000006</v>
      </c>
      <c r="AJ104" s="47">
        <f>攻击!AK104*$B104</f>
        <v>63.599999999999994</v>
      </c>
      <c r="AK104" s="47">
        <f>攻击!AL104*$B104</f>
        <v>2544</v>
      </c>
      <c r="AL104" s="54">
        <f>攻击!AM104</f>
        <v>0.2</v>
      </c>
      <c r="AM104" s="54">
        <f>攻击!AN104</f>
        <v>0.3</v>
      </c>
      <c r="AN104" s="54">
        <f>攻击!AO104</f>
        <v>0.5</v>
      </c>
      <c r="AO104" s="54">
        <f>攻击!AP104</f>
        <v>0.8</v>
      </c>
      <c r="AP104" s="54">
        <f>攻击!AQ104</f>
        <v>1.2</v>
      </c>
      <c r="AQ104" s="47">
        <f>攻击!AR104*$B104</f>
        <v>424.00000000000006</v>
      </c>
      <c r="AR104" s="20">
        <f t="shared" si="2"/>
        <v>10388</v>
      </c>
    </row>
    <row r="105" spans="1:44" s="20" customFormat="1">
      <c r="A105" s="46">
        <v>103</v>
      </c>
      <c r="B105" s="51">
        <f t="shared" si="3"/>
        <v>10</v>
      </c>
      <c r="C105" s="47">
        <f>攻击!D105*$B105</f>
        <v>2140</v>
      </c>
      <c r="D105" s="47">
        <f>攻击!E105*$B105</f>
        <v>2568</v>
      </c>
      <c r="E105" s="47">
        <f>攻击!F105*$B105</f>
        <v>3210</v>
      </c>
      <c r="F105" s="47">
        <f>攻击!G105*$B105</f>
        <v>4280</v>
      </c>
      <c r="G105" s="47">
        <f>攻击!H105*$B105</f>
        <v>5350</v>
      </c>
      <c r="H105" s="47">
        <f>攻击!I105*$B105</f>
        <v>1040</v>
      </c>
      <c r="I105" s="47">
        <f>攻击!J105*$B105</f>
        <v>642</v>
      </c>
      <c r="J105" s="47">
        <f>攻击!K105*$B105</f>
        <v>1284</v>
      </c>
      <c r="K105" s="47">
        <f>攻击!L105*$B105</f>
        <v>642</v>
      </c>
      <c r="L105" s="47">
        <f>攻击!M105*$B105</f>
        <v>1712.0000000000002</v>
      </c>
      <c r="M105" s="47">
        <f>攻击!N105*$B105</f>
        <v>2568</v>
      </c>
      <c r="N105" s="47">
        <f>攻击!O105*$B105</f>
        <v>3210</v>
      </c>
      <c r="O105" s="47">
        <f>攻击!P105*$B105</f>
        <v>4280</v>
      </c>
      <c r="P105" s="47">
        <f>攻击!Q105*$B105</f>
        <v>5350</v>
      </c>
      <c r="Q105" s="47">
        <f>攻击!R105*$B105</f>
        <v>6420</v>
      </c>
      <c r="R105" s="47">
        <f>攻击!S105*$B105</f>
        <v>7490</v>
      </c>
      <c r="S105" s="47">
        <f>攻击!T105*$B105</f>
        <v>1605</v>
      </c>
      <c r="T105" s="47">
        <f>攻击!U105*$B105</f>
        <v>642</v>
      </c>
      <c r="U105" s="47">
        <f>攻击!V105*$B105</f>
        <v>642</v>
      </c>
      <c r="V105" s="47">
        <f>攻击!W105*$B105</f>
        <v>107.00000000000001</v>
      </c>
      <c r="W105" s="54">
        <f>攻击!X105</f>
        <v>0.2</v>
      </c>
      <c r="X105" s="54">
        <f>攻击!Y105</f>
        <v>0.3</v>
      </c>
      <c r="Y105" s="54">
        <f>攻击!Z105</f>
        <v>0.5</v>
      </c>
      <c r="Z105" s="54">
        <f>攻击!AA105</f>
        <v>0.8</v>
      </c>
      <c r="AA105" s="54">
        <f>攻击!AB105</f>
        <v>1.2</v>
      </c>
      <c r="AB105" s="47">
        <f>攻击!AC105*$B105</f>
        <v>2140</v>
      </c>
      <c r="AC105" s="47">
        <f>攻击!AD105*$B105</f>
        <v>2568</v>
      </c>
      <c r="AD105" s="47">
        <f>攻击!AE105*$B105</f>
        <v>3210</v>
      </c>
      <c r="AE105" s="47">
        <f>攻击!AF105*$B105</f>
        <v>4280</v>
      </c>
      <c r="AF105" s="47">
        <f>攻击!AG105*$B105</f>
        <v>5350</v>
      </c>
      <c r="AG105" s="47">
        <f>攻击!AH105*$B105</f>
        <v>1070</v>
      </c>
      <c r="AH105" s="47">
        <f>攻击!AI105*$B105</f>
        <v>428.00000000000006</v>
      </c>
      <c r="AI105" s="47">
        <f>攻击!AJ105*$B105</f>
        <v>428.00000000000006</v>
      </c>
      <c r="AJ105" s="47">
        <f>攻击!AK105*$B105</f>
        <v>64.2</v>
      </c>
      <c r="AK105" s="47">
        <f>攻击!AL105*$B105</f>
        <v>2568</v>
      </c>
      <c r="AL105" s="54">
        <f>攻击!AM105</f>
        <v>0.2</v>
      </c>
      <c r="AM105" s="54">
        <f>攻击!AN105</f>
        <v>0.3</v>
      </c>
      <c r="AN105" s="54">
        <f>攻击!AO105</f>
        <v>0.5</v>
      </c>
      <c r="AO105" s="54">
        <f>攻击!AP105</f>
        <v>0.8</v>
      </c>
      <c r="AP105" s="54">
        <f>攻击!AQ105</f>
        <v>1.2</v>
      </c>
      <c r="AQ105" s="47">
        <f>攻击!AR105*$B105</f>
        <v>428.00000000000006</v>
      </c>
      <c r="AR105" s="20">
        <f t="shared" si="2"/>
        <v>10486</v>
      </c>
    </row>
    <row r="106" spans="1:44" s="20" customFormat="1">
      <c r="A106" s="46">
        <v>104</v>
      </c>
      <c r="B106" s="51">
        <f t="shared" si="3"/>
        <v>10</v>
      </c>
      <c r="C106" s="47">
        <f>攻击!D106*$B106</f>
        <v>2160</v>
      </c>
      <c r="D106" s="47">
        <f>攻击!E106*$B106</f>
        <v>2592</v>
      </c>
      <c r="E106" s="47">
        <f>攻击!F106*$B106</f>
        <v>3240</v>
      </c>
      <c r="F106" s="47">
        <f>攻击!G106*$B106</f>
        <v>4320</v>
      </c>
      <c r="G106" s="47">
        <f>攻击!H106*$B106</f>
        <v>5400</v>
      </c>
      <c r="H106" s="47">
        <f>攻击!I106*$B106</f>
        <v>1040</v>
      </c>
      <c r="I106" s="47">
        <f>攻击!J106*$B106</f>
        <v>648</v>
      </c>
      <c r="J106" s="47">
        <f>攻击!K106*$B106</f>
        <v>1296</v>
      </c>
      <c r="K106" s="47">
        <f>攻击!L106*$B106</f>
        <v>648</v>
      </c>
      <c r="L106" s="47">
        <f>攻击!M106*$B106</f>
        <v>1728</v>
      </c>
      <c r="M106" s="47">
        <f>攻击!N106*$B106</f>
        <v>2592</v>
      </c>
      <c r="N106" s="47">
        <f>攻击!O106*$B106</f>
        <v>3240</v>
      </c>
      <c r="O106" s="47">
        <f>攻击!P106*$B106</f>
        <v>4320</v>
      </c>
      <c r="P106" s="47">
        <f>攻击!Q106*$B106</f>
        <v>5400</v>
      </c>
      <c r="Q106" s="47">
        <f>攻击!R106*$B106</f>
        <v>6480</v>
      </c>
      <c r="R106" s="47">
        <f>攻击!S106*$B106</f>
        <v>7560</v>
      </c>
      <c r="S106" s="47">
        <f>攻击!T106*$B106</f>
        <v>1620</v>
      </c>
      <c r="T106" s="47">
        <f>攻击!U106*$B106</f>
        <v>648</v>
      </c>
      <c r="U106" s="47">
        <f>攻击!V106*$B106</f>
        <v>648</v>
      </c>
      <c r="V106" s="47">
        <f>攻击!W106*$B106</f>
        <v>108</v>
      </c>
      <c r="W106" s="54">
        <f>攻击!X106</f>
        <v>0.2</v>
      </c>
      <c r="X106" s="54">
        <f>攻击!Y106</f>
        <v>0.3</v>
      </c>
      <c r="Y106" s="54">
        <f>攻击!Z106</f>
        <v>0.5</v>
      </c>
      <c r="Z106" s="54">
        <f>攻击!AA106</f>
        <v>0.8</v>
      </c>
      <c r="AA106" s="54">
        <f>攻击!AB106</f>
        <v>1.2</v>
      </c>
      <c r="AB106" s="47">
        <f>攻击!AC106*$B106</f>
        <v>2160</v>
      </c>
      <c r="AC106" s="47">
        <f>攻击!AD106*$B106</f>
        <v>2592</v>
      </c>
      <c r="AD106" s="47">
        <f>攻击!AE106*$B106</f>
        <v>3240</v>
      </c>
      <c r="AE106" s="47">
        <f>攻击!AF106*$B106</f>
        <v>4320</v>
      </c>
      <c r="AF106" s="47">
        <f>攻击!AG106*$B106</f>
        <v>5400</v>
      </c>
      <c r="AG106" s="47">
        <f>攻击!AH106*$B106</f>
        <v>1080</v>
      </c>
      <c r="AH106" s="47">
        <f>攻击!AI106*$B106</f>
        <v>432</v>
      </c>
      <c r="AI106" s="47">
        <f>攻击!AJ106*$B106</f>
        <v>432</v>
      </c>
      <c r="AJ106" s="47">
        <f>攻击!AK106*$B106</f>
        <v>64.8</v>
      </c>
      <c r="AK106" s="47">
        <f>攻击!AL106*$B106</f>
        <v>2592</v>
      </c>
      <c r="AL106" s="54">
        <f>攻击!AM106</f>
        <v>0.2</v>
      </c>
      <c r="AM106" s="54">
        <f>攻击!AN106</f>
        <v>0.3</v>
      </c>
      <c r="AN106" s="54">
        <f>攻击!AO106</f>
        <v>0.5</v>
      </c>
      <c r="AO106" s="54">
        <f>攻击!AP106</f>
        <v>0.8</v>
      </c>
      <c r="AP106" s="54">
        <f>攻击!AQ106</f>
        <v>1.2</v>
      </c>
      <c r="AQ106" s="47">
        <f>攻击!AR106*$B106</f>
        <v>432</v>
      </c>
      <c r="AR106" s="20">
        <f t="shared" si="2"/>
        <v>10584</v>
      </c>
    </row>
    <row r="107" spans="1:44" s="20" customFormat="1">
      <c r="A107" s="46">
        <v>105</v>
      </c>
      <c r="B107" s="51">
        <f t="shared" si="3"/>
        <v>10</v>
      </c>
      <c r="C107" s="47">
        <f>攻击!D107*$B107</f>
        <v>2180</v>
      </c>
      <c r="D107" s="47">
        <f>攻击!E107*$B107</f>
        <v>2615.9999999999995</v>
      </c>
      <c r="E107" s="47">
        <f>攻击!F107*$B107</f>
        <v>3270</v>
      </c>
      <c r="F107" s="47">
        <f>攻击!G107*$B107</f>
        <v>4360</v>
      </c>
      <c r="G107" s="47">
        <f>攻击!H107*$B107</f>
        <v>5450</v>
      </c>
      <c r="H107" s="47">
        <f>攻击!I107*$B107</f>
        <v>1090</v>
      </c>
      <c r="I107" s="47">
        <f>攻击!J107*$B107</f>
        <v>653.99999999999989</v>
      </c>
      <c r="J107" s="47">
        <f>攻击!K107*$B107</f>
        <v>1307.9999999999998</v>
      </c>
      <c r="K107" s="47">
        <f>攻击!L107*$B107</f>
        <v>653.99999999999989</v>
      </c>
      <c r="L107" s="47">
        <f>攻击!M107*$B107</f>
        <v>1744</v>
      </c>
      <c r="M107" s="47">
        <f>攻击!N107*$B107</f>
        <v>2615.9999999999995</v>
      </c>
      <c r="N107" s="47">
        <f>攻击!O107*$B107</f>
        <v>3270</v>
      </c>
      <c r="O107" s="47">
        <f>攻击!P107*$B107</f>
        <v>4360</v>
      </c>
      <c r="P107" s="47">
        <f>攻击!Q107*$B107</f>
        <v>5450</v>
      </c>
      <c r="Q107" s="47">
        <f>攻击!R107*$B107</f>
        <v>6540</v>
      </c>
      <c r="R107" s="47">
        <f>攻击!S107*$B107</f>
        <v>7630</v>
      </c>
      <c r="S107" s="47">
        <f>攻击!T107*$B107</f>
        <v>1635</v>
      </c>
      <c r="T107" s="47">
        <f>攻击!U107*$B107</f>
        <v>653.99999999999989</v>
      </c>
      <c r="U107" s="47">
        <f>攻击!V107*$B107</f>
        <v>653.99999999999989</v>
      </c>
      <c r="V107" s="47">
        <f>攻击!W107*$B107</f>
        <v>109</v>
      </c>
      <c r="W107" s="54">
        <f>攻击!X107</f>
        <v>0.2</v>
      </c>
      <c r="X107" s="54">
        <f>攻击!Y107</f>
        <v>0.3</v>
      </c>
      <c r="Y107" s="54">
        <f>攻击!Z107</f>
        <v>0.5</v>
      </c>
      <c r="Z107" s="54">
        <f>攻击!AA107</f>
        <v>0.8</v>
      </c>
      <c r="AA107" s="54">
        <f>攻击!AB107</f>
        <v>1.2</v>
      </c>
      <c r="AB107" s="47">
        <f>攻击!AC107*$B107</f>
        <v>2180</v>
      </c>
      <c r="AC107" s="47">
        <f>攻击!AD107*$B107</f>
        <v>2615.9999999999995</v>
      </c>
      <c r="AD107" s="47">
        <f>攻击!AE107*$B107</f>
        <v>3270</v>
      </c>
      <c r="AE107" s="47">
        <f>攻击!AF107*$B107</f>
        <v>4360</v>
      </c>
      <c r="AF107" s="47">
        <f>攻击!AG107*$B107</f>
        <v>5450</v>
      </c>
      <c r="AG107" s="47">
        <f>攻击!AH107*$B107</f>
        <v>1090</v>
      </c>
      <c r="AH107" s="47">
        <f>攻击!AI107*$B107</f>
        <v>436</v>
      </c>
      <c r="AI107" s="47">
        <f>攻击!AJ107*$B107</f>
        <v>436</v>
      </c>
      <c r="AJ107" s="47">
        <f>攻击!AK107*$B107</f>
        <v>65.400000000000006</v>
      </c>
      <c r="AK107" s="47">
        <f>攻击!AL107*$B107</f>
        <v>2615.9999999999995</v>
      </c>
      <c r="AL107" s="54">
        <f>攻击!AM107</f>
        <v>0.2</v>
      </c>
      <c r="AM107" s="54">
        <f>攻击!AN107</f>
        <v>0.3</v>
      </c>
      <c r="AN107" s="54">
        <f>攻击!AO107</f>
        <v>0.5</v>
      </c>
      <c r="AO107" s="54">
        <f>攻击!AP107</f>
        <v>0.8</v>
      </c>
      <c r="AP107" s="54">
        <f>攻击!AQ107</f>
        <v>1.2</v>
      </c>
      <c r="AQ107" s="47">
        <f>攻击!AR107*$B107</f>
        <v>436</v>
      </c>
      <c r="AR107" s="20">
        <f t="shared" si="2"/>
        <v>10682</v>
      </c>
    </row>
    <row r="108" spans="1:44" s="20" customFormat="1">
      <c r="A108" s="46">
        <v>106</v>
      </c>
      <c r="B108" s="51">
        <f t="shared" si="3"/>
        <v>10</v>
      </c>
      <c r="C108" s="47">
        <f>攻击!D108*$B108</f>
        <v>2200</v>
      </c>
      <c r="D108" s="47">
        <f>攻击!E108*$B108</f>
        <v>2640</v>
      </c>
      <c r="E108" s="47">
        <f>攻击!F108*$B108</f>
        <v>3300</v>
      </c>
      <c r="F108" s="47">
        <f>攻击!G108*$B108</f>
        <v>4400</v>
      </c>
      <c r="G108" s="47">
        <f>攻击!H108*$B108</f>
        <v>5500</v>
      </c>
      <c r="H108" s="47">
        <f>攻击!I108*$B108</f>
        <v>1090</v>
      </c>
      <c r="I108" s="47">
        <f>攻击!J108*$B108</f>
        <v>660</v>
      </c>
      <c r="J108" s="47">
        <f>攻击!K108*$B108</f>
        <v>1320</v>
      </c>
      <c r="K108" s="47">
        <f>攻击!L108*$B108</f>
        <v>660</v>
      </c>
      <c r="L108" s="47">
        <f>攻击!M108*$B108</f>
        <v>1760</v>
      </c>
      <c r="M108" s="47">
        <f>攻击!N108*$B108</f>
        <v>2640</v>
      </c>
      <c r="N108" s="47">
        <f>攻击!O108*$B108</f>
        <v>3300</v>
      </c>
      <c r="O108" s="47">
        <f>攻击!P108*$B108</f>
        <v>4400</v>
      </c>
      <c r="P108" s="47">
        <f>攻击!Q108*$B108</f>
        <v>5500</v>
      </c>
      <c r="Q108" s="47">
        <f>攻击!R108*$B108</f>
        <v>6600</v>
      </c>
      <c r="R108" s="47">
        <f>攻击!S108*$B108</f>
        <v>7700</v>
      </c>
      <c r="S108" s="47">
        <f>攻击!T108*$B108</f>
        <v>1650</v>
      </c>
      <c r="T108" s="47">
        <f>攻击!U108*$B108</f>
        <v>660</v>
      </c>
      <c r="U108" s="47">
        <f>攻击!V108*$B108</f>
        <v>660</v>
      </c>
      <c r="V108" s="47">
        <f>攻击!W108*$B108</f>
        <v>110</v>
      </c>
      <c r="W108" s="54">
        <f>攻击!X108</f>
        <v>0.2</v>
      </c>
      <c r="X108" s="54">
        <f>攻击!Y108</f>
        <v>0.3</v>
      </c>
      <c r="Y108" s="54">
        <f>攻击!Z108</f>
        <v>0.5</v>
      </c>
      <c r="Z108" s="54">
        <f>攻击!AA108</f>
        <v>0.8</v>
      </c>
      <c r="AA108" s="54">
        <f>攻击!AB108</f>
        <v>1.2</v>
      </c>
      <c r="AB108" s="47">
        <f>攻击!AC108*$B108</f>
        <v>2200</v>
      </c>
      <c r="AC108" s="47">
        <f>攻击!AD108*$B108</f>
        <v>2640</v>
      </c>
      <c r="AD108" s="47">
        <f>攻击!AE108*$B108</f>
        <v>3300</v>
      </c>
      <c r="AE108" s="47">
        <f>攻击!AF108*$B108</f>
        <v>4400</v>
      </c>
      <c r="AF108" s="47">
        <f>攻击!AG108*$B108</f>
        <v>5500</v>
      </c>
      <c r="AG108" s="47">
        <f>攻击!AH108*$B108</f>
        <v>1100</v>
      </c>
      <c r="AH108" s="47">
        <f>攻击!AI108*$B108</f>
        <v>440</v>
      </c>
      <c r="AI108" s="47">
        <f>攻击!AJ108*$B108</f>
        <v>440</v>
      </c>
      <c r="AJ108" s="47">
        <f>攻击!AK108*$B108</f>
        <v>66</v>
      </c>
      <c r="AK108" s="47">
        <f>攻击!AL108*$B108</f>
        <v>2640</v>
      </c>
      <c r="AL108" s="54">
        <f>攻击!AM108</f>
        <v>0.2</v>
      </c>
      <c r="AM108" s="54">
        <f>攻击!AN108</f>
        <v>0.3</v>
      </c>
      <c r="AN108" s="54">
        <f>攻击!AO108</f>
        <v>0.5</v>
      </c>
      <c r="AO108" s="54">
        <f>攻击!AP108</f>
        <v>0.8</v>
      </c>
      <c r="AP108" s="54">
        <f>攻击!AQ108</f>
        <v>1.2</v>
      </c>
      <c r="AQ108" s="47">
        <f>攻击!AR108*$B108</f>
        <v>440</v>
      </c>
      <c r="AR108" s="20">
        <f t="shared" si="2"/>
        <v>10780</v>
      </c>
    </row>
    <row r="109" spans="1:44" s="20" customFormat="1">
      <c r="A109" s="46">
        <v>107</v>
      </c>
      <c r="B109" s="51">
        <f t="shared" si="3"/>
        <v>10</v>
      </c>
      <c r="C109" s="47">
        <f>攻击!D109*$B109</f>
        <v>2220</v>
      </c>
      <c r="D109" s="47">
        <f>攻击!E109*$B109</f>
        <v>2664</v>
      </c>
      <c r="E109" s="47">
        <f>攻击!F109*$B109</f>
        <v>3330</v>
      </c>
      <c r="F109" s="47">
        <f>攻击!G109*$B109</f>
        <v>4440</v>
      </c>
      <c r="G109" s="47">
        <f>攻击!H109*$B109</f>
        <v>5550</v>
      </c>
      <c r="H109" s="47">
        <f>攻击!I109*$B109</f>
        <v>1090</v>
      </c>
      <c r="I109" s="47">
        <f>攻击!J109*$B109</f>
        <v>666</v>
      </c>
      <c r="J109" s="47">
        <f>攻击!K109*$B109</f>
        <v>1332</v>
      </c>
      <c r="K109" s="47">
        <f>攻击!L109*$B109</f>
        <v>666</v>
      </c>
      <c r="L109" s="47">
        <f>攻击!M109*$B109</f>
        <v>1776.0000000000002</v>
      </c>
      <c r="M109" s="47">
        <f>攻击!N109*$B109</f>
        <v>2664</v>
      </c>
      <c r="N109" s="47">
        <f>攻击!O109*$B109</f>
        <v>3330</v>
      </c>
      <c r="O109" s="47">
        <f>攻击!P109*$B109</f>
        <v>4440</v>
      </c>
      <c r="P109" s="47">
        <f>攻击!Q109*$B109</f>
        <v>5550</v>
      </c>
      <c r="Q109" s="47">
        <f>攻击!R109*$B109</f>
        <v>6660</v>
      </c>
      <c r="R109" s="47">
        <f>攻击!S109*$B109</f>
        <v>7770</v>
      </c>
      <c r="S109" s="47">
        <f>攻击!T109*$B109</f>
        <v>1665</v>
      </c>
      <c r="T109" s="47">
        <f>攻击!U109*$B109</f>
        <v>666</v>
      </c>
      <c r="U109" s="47">
        <f>攻击!V109*$B109</f>
        <v>666</v>
      </c>
      <c r="V109" s="47">
        <f>攻击!W109*$B109</f>
        <v>111.00000000000001</v>
      </c>
      <c r="W109" s="54">
        <f>攻击!X109</f>
        <v>0.2</v>
      </c>
      <c r="X109" s="54">
        <f>攻击!Y109</f>
        <v>0.3</v>
      </c>
      <c r="Y109" s="54">
        <f>攻击!Z109</f>
        <v>0.5</v>
      </c>
      <c r="Z109" s="54">
        <f>攻击!AA109</f>
        <v>0.8</v>
      </c>
      <c r="AA109" s="54">
        <f>攻击!AB109</f>
        <v>1.2</v>
      </c>
      <c r="AB109" s="47">
        <f>攻击!AC109*$B109</f>
        <v>2220</v>
      </c>
      <c r="AC109" s="47">
        <f>攻击!AD109*$B109</f>
        <v>2664</v>
      </c>
      <c r="AD109" s="47">
        <f>攻击!AE109*$B109</f>
        <v>3330</v>
      </c>
      <c r="AE109" s="47">
        <f>攻击!AF109*$B109</f>
        <v>4440</v>
      </c>
      <c r="AF109" s="47">
        <f>攻击!AG109*$B109</f>
        <v>5550</v>
      </c>
      <c r="AG109" s="47">
        <f>攻击!AH109*$B109</f>
        <v>1110</v>
      </c>
      <c r="AH109" s="47">
        <f>攻击!AI109*$B109</f>
        <v>444.00000000000006</v>
      </c>
      <c r="AI109" s="47">
        <f>攻击!AJ109*$B109</f>
        <v>444.00000000000006</v>
      </c>
      <c r="AJ109" s="47">
        <f>攻击!AK109*$B109</f>
        <v>66.599999999999994</v>
      </c>
      <c r="AK109" s="47">
        <f>攻击!AL109*$B109</f>
        <v>2664</v>
      </c>
      <c r="AL109" s="54">
        <f>攻击!AM109</f>
        <v>0.2</v>
      </c>
      <c r="AM109" s="54">
        <f>攻击!AN109</f>
        <v>0.3</v>
      </c>
      <c r="AN109" s="54">
        <f>攻击!AO109</f>
        <v>0.5</v>
      </c>
      <c r="AO109" s="54">
        <f>攻击!AP109</f>
        <v>0.8</v>
      </c>
      <c r="AP109" s="54">
        <f>攻击!AQ109</f>
        <v>1.2</v>
      </c>
      <c r="AQ109" s="47">
        <f>攻击!AR109*$B109</f>
        <v>444.00000000000006</v>
      </c>
      <c r="AR109" s="20">
        <f t="shared" si="2"/>
        <v>10878</v>
      </c>
    </row>
    <row r="110" spans="1:44" s="20" customFormat="1">
      <c r="A110" s="46">
        <v>108</v>
      </c>
      <c r="B110" s="51">
        <f t="shared" si="3"/>
        <v>10</v>
      </c>
      <c r="C110" s="47">
        <f>攻击!D110*$B110</f>
        <v>2240</v>
      </c>
      <c r="D110" s="47">
        <f>攻击!E110*$B110</f>
        <v>2688</v>
      </c>
      <c r="E110" s="47">
        <f>攻击!F110*$B110</f>
        <v>3360</v>
      </c>
      <c r="F110" s="47">
        <f>攻击!G110*$B110</f>
        <v>4480</v>
      </c>
      <c r="G110" s="47">
        <f>攻击!H110*$B110</f>
        <v>5600</v>
      </c>
      <c r="H110" s="47">
        <f>攻击!I110*$B110</f>
        <v>1090</v>
      </c>
      <c r="I110" s="47">
        <f>攻击!J110*$B110</f>
        <v>672</v>
      </c>
      <c r="J110" s="47">
        <f>攻击!K110*$B110</f>
        <v>1344</v>
      </c>
      <c r="K110" s="47">
        <f>攻击!L110*$B110</f>
        <v>672</v>
      </c>
      <c r="L110" s="47">
        <f>攻击!M110*$B110</f>
        <v>1792.0000000000002</v>
      </c>
      <c r="M110" s="47">
        <f>攻击!N110*$B110</f>
        <v>2688</v>
      </c>
      <c r="N110" s="47">
        <f>攻击!O110*$B110</f>
        <v>3360</v>
      </c>
      <c r="O110" s="47">
        <f>攻击!P110*$B110</f>
        <v>4480</v>
      </c>
      <c r="P110" s="47">
        <f>攻击!Q110*$B110</f>
        <v>5600</v>
      </c>
      <c r="Q110" s="47">
        <f>攻击!R110*$B110</f>
        <v>6720</v>
      </c>
      <c r="R110" s="47">
        <f>攻击!S110*$B110</f>
        <v>7840</v>
      </c>
      <c r="S110" s="47">
        <f>攻击!T110*$B110</f>
        <v>1680</v>
      </c>
      <c r="T110" s="47">
        <f>攻击!U110*$B110</f>
        <v>672</v>
      </c>
      <c r="U110" s="47">
        <f>攻击!V110*$B110</f>
        <v>672</v>
      </c>
      <c r="V110" s="47">
        <f>攻击!W110*$B110</f>
        <v>112.00000000000001</v>
      </c>
      <c r="W110" s="54">
        <f>攻击!X110</f>
        <v>0.2</v>
      </c>
      <c r="X110" s="54">
        <f>攻击!Y110</f>
        <v>0.3</v>
      </c>
      <c r="Y110" s="54">
        <f>攻击!Z110</f>
        <v>0.5</v>
      </c>
      <c r="Z110" s="54">
        <f>攻击!AA110</f>
        <v>0.8</v>
      </c>
      <c r="AA110" s="54">
        <f>攻击!AB110</f>
        <v>1.2</v>
      </c>
      <c r="AB110" s="47">
        <f>攻击!AC110*$B110</f>
        <v>2240</v>
      </c>
      <c r="AC110" s="47">
        <f>攻击!AD110*$B110</f>
        <v>2688</v>
      </c>
      <c r="AD110" s="47">
        <f>攻击!AE110*$B110</f>
        <v>3360</v>
      </c>
      <c r="AE110" s="47">
        <f>攻击!AF110*$B110</f>
        <v>4480</v>
      </c>
      <c r="AF110" s="47">
        <f>攻击!AG110*$B110</f>
        <v>5600</v>
      </c>
      <c r="AG110" s="47">
        <f>攻击!AH110*$B110</f>
        <v>1120</v>
      </c>
      <c r="AH110" s="47">
        <f>攻击!AI110*$B110</f>
        <v>448.00000000000006</v>
      </c>
      <c r="AI110" s="47">
        <f>攻击!AJ110*$B110</f>
        <v>448.00000000000006</v>
      </c>
      <c r="AJ110" s="47">
        <f>攻击!AK110*$B110</f>
        <v>67.2</v>
      </c>
      <c r="AK110" s="47">
        <f>攻击!AL110*$B110</f>
        <v>2688</v>
      </c>
      <c r="AL110" s="54">
        <f>攻击!AM110</f>
        <v>0.2</v>
      </c>
      <c r="AM110" s="54">
        <f>攻击!AN110</f>
        <v>0.3</v>
      </c>
      <c r="AN110" s="54">
        <f>攻击!AO110</f>
        <v>0.5</v>
      </c>
      <c r="AO110" s="54">
        <f>攻击!AP110</f>
        <v>0.8</v>
      </c>
      <c r="AP110" s="54">
        <f>攻击!AQ110</f>
        <v>1.2</v>
      </c>
      <c r="AQ110" s="47">
        <f>攻击!AR110*$B110</f>
        <v>448.00000000000006</v>
      </c>
      <c r="AR110" s="20">
        <f t="shared" si="2"/>
        <v>10976</v>
      </c>
    </row>
    <row r="111" spans="1:44" s="20" customFormat="1">
      <c r="A111" s="46">
        <v>109</v>
      </c>
      <c r="B111" s="51">
        <f t="shared" si="3"/>
        <v>10</v>
      </c>
      <c r="C111" s="47">
        <f>攻击!D111*$B111</f>
        <v>2260</v>
      </c>
      <c r="D111" s="47">
        <f>攻击!E111*$B111</f>
        <v>2712</v>
      </c>
      <c r="E111" s="47">
        <f>攻击!F111*$B111</f>
        <v>3390</v>
      </c>
      <c r="F111" s="47">
        <f>攻击!G111*$B111</f>
        <v>4520</v>
      </c>
      <c r="G111" s="47">
        <f>攻击!H111*$B111</f>
        <v>5650</v>
      </c>
      <c r="H111" s="47">
        <f>攻击!I111*$B111</f>
        <v>1090</v>
      </c>
      <c r="I111" s="47">
        <f>攻击!J111*$B111</f>
        <v>678</v>
      </c>
      <c r="J111" s="47">
        <f>攻击!K111*$B111</f>
        <v>1356</v>
      </c>
      <c r="K111" s="47">
        <f>攻击!L111*$B111</f>
        <v>678</v>
      </c>
      <c r="L111" s="47">
        <f>攻击!M111*$B111</f>
        <v>1808</v>
      </c>
      <c r="M111" s="47">
        <f>攻击!N111*$B111</f>
        <v>2712</v>
      </c>
      <c r="N111" s="47">
        <f>攻击!O111*$B111</f>
        <v>3390</v>
      </c>
      <c r="O111" s="47">
        <f>攻击!P111*$B111</f>
        <v>4520</v>
      </c>
      <c r="P111" s="47">
        <f>攻击!Q111*$B111</f>
        <v>5650</v>
      </c>
      <c r="Q111" s="47">
        <f>攻击!R111*$B111</f>
        <v>6780</v>
      </c>
      <c r="R111" s="47">
        <f>攻击!S111*$B111</f>
        <v>7910</v>
      </c>
      <c r="S111" s="47">
        <f>攻击!T111*$B111</f>
        <v>1695</v>
      </c>
      <c r="T111" s="47">
        <f>攻击!U111*$B111</f>
        <v>678</v>
      </c>
      <c r="U111" s="47">
        <f>攻击!V111*$B111</f>
        <v>678</v>
      </c>
      <c r="V111" s="47">
        <f>攻击!W111*$B111</f>
        <v>113</v>
      </c>
      <c r="W111" s="54">
        <f>攻击!X111</f>
        <v>0.2</v>
      </c>
      <c r="X111" s="54">
        <f>攻击!Y111</f>
        <v>0.3</v>
      </c>
      <c r="Y111" s="54">
        <f>攻击!Z111</f>
        <v>0.5</v>
      </c>
      <c r="Z111" s="54">
        <f>攻击!AA111</f>
        <v>0.8</v>
      </c>
      <c r="AA111" s="54">
        <f>攻击!AB111</f>
        <v>1.2</v>
      </c>
      <c r="AB111" s="47">
        <f>攻击!AC111*$B111</f>
        <v>2260</v>
      </c>
      <c r="AC111" s="47">
        <f>攻击!AD111*$B111</f>
        <v>2712</v>
      </c>
      <c r="AD111" s="47">
        <f>攻击!AE111*$B111</f>
        <v>3390</v>
      </c>
      <c r="AE111" s="47">
        <f>攻击!AF111*$B111</f>
        <v>4520</v>
      </c>
      <c r="AF111" s="47">
        <f>攻击!AG111*$B111</f>
        <v>5650</v>
      </c>
      <c r="AG111" s="47">
        <f>攻击!AH111*$B111</f>
        <v>1130</v>
      </c>
      <c r="AH111" s="47">
        <f>攻击!AI111*$B111</f>
        <v>452</v>
      </c>
      <c r="AI111" s="47">
        <f>攻击!AJ111*$B111</f>
        <v>452</v>
      </c>
      <c r="AJ111" s="47">
        <f>攻击!AK111*$B111</f>
        <v>67.8</v>
      </c>
      <c r="AK111" s="47">
        <f>攻击!AL111*$B111</f>
        <v>2712</v>
      </c>
      <c r="AL111" s="54">
        <f>攻击!AM111</f>
        <v>0.2</v>
      </c>
      <c r="AM111" s="54">
        <f>攻击!AN111</f>
        <v>0.3</v>
      </c>
      <c r="AN111" s="54">
        <f>攻击!AO111</f>
        <v>0.5</v>
      </c>
      <c r="AO111" s="54">
        <f>攻击!AP111</f>
        <v>0.8</v>
      </c>
      <c r="AP111" s="54">
        <f>攻击!AQ111</f>
        <v>1.2</v>
      </c>
      <c r="AQ111" s="47">
        <f>攻击!AR111*$B111</f>
        <v>452</v>
      </c>
      <c r="AR111" s="20">
        <f t="shared" si="2"/>
        <v>11074</v>
      </c>
    </row>
    <row r="112" spans="1:44" s="20" customFormat="1">
      <c r="A112" s="46">
        <v>110</v>
      </c>
      <c r="B112" s="51">
        <f t="shared" si="3"/>
        <v>10</v>
      </c>
      <c r="C112" s="47">
        <f>攻击!D112*$B112</f>
        <v>2280</v>
      </c>
      <c r="D112" s="47">
        <f>攻击!E112*$B112</f>
        <v>2735.9999999999995</v>
      </c>
      <c r="E112" s="47">
        <f>攻击!F112*$B112</f>
        <v>3420</v>
      </c>
      <c r="F112" s="47">
        <f>攻击!G112*$B112</f>
        <v>4560</v>
      </c>
      <c r="G112" s="47">
        <f>攻击!H112*$B112</f>
        <v>5700</v>
      </c>
      <c r="H112" s="47">
        <f>攻击!I112*$B112</f>
        <v>1140</v>
      </c>
      <c r="I112" s="47">
        <f>攻击!J112*$B112</f>
        <v>683.99999999999989</v>
      </c>
      <c r="J112" s="47">
        <f>攻击!K112*$B112</f>
        <v>1367.9999999999998</v>
      </c>
      <c r="K112" s="47">
        <f>攻击!L112*$B112</f>
        <v>683.99999999999989</v>
      </c>
      <c r="L112" s="47">
        <f>攻击!M112*$B112</f>
        <v>1824</v>
      </c>
      <c r="M112" s="47">
        <f>攻击!N112*$B112</f>
        <v>2735.9999999999995</v>
      </c>
      <c r="N112" s="47">
        <f>攻击!O112*$B112</f>
        <v>3420</v>
      </c>
      <c r="O112" s="47">
        <f>攻击!P112*$B112</f>
        <v>4560</v>
      </c>
      <c r="P112" s="47">
        <f>攻击!Q112*$B112</f>
        <v>5700</v>
      </c>
      <c r="Q112" s="47">
        <f>攻击!R112*$B112</f>
        <v>6840</v>
      </c>
      <c r="R112" s="47">
        <f>攻击!S112*$B112</f>
        <v>7980</v>
      </c>
      <c r="S112" s="47">
        <f>攻击!T112*$B112</f>
        <v>1710</v>
      </c>
      <c r="T112" s="47">
        <f>攻击!U112*$B112</f>
        <v>683.99999999999989</v>
      </c>
      <c r="U112" s="47">
        <f>攻击!V112*$B112</f>
        <v>683.99999999999989</v>
      </c>
      <c r="V112" s="47">
        <f>攻击!W112*$B112</f>
        <v>114</v>
      </c>
      <c r="W112" s="54">
        <f>攻击!X112</f>
        <v>0.2</v>
      </c>
      <c r="X112" s="54">
        <f>攻击!Y112</f>
        <v>0.3</v>
      </c>
      <c r="Y112" s="54">
        <f>攻击!Z112</f>
        <v>0.5</v>
      </c>
      <c r="Z112" s="54">
        <f>攻击!AA112</f>
        <v>0.8</v>
      </c>
      <c r="AA112" s="54">
        <f>攻击!AB112</f>
        <v>1.2</v>
      </c>
      <c r="AB112" s="47">
        <f>攻击!AC112*$B112</f>
        <v>2280</v>
      </c>
      <c r="AC112" s="47">
        <f>攻击!AD112*$B112</f>
        <v>2735.9999999999995</v>
      </c>
      <c r="AD112" s="47">
        <f>攻击!AE112*$B112</f>
        <v>3420</v>
      </c>
      <c r="AE112" s="47">
        <f>攻击!AF112*$B112</f>
        <v>4560</v>
      </c>
      <c r="AF112" s="47">
        <f>攻击!AG112*$B112</f>
        <v>5700</v>
      </c>
      <c r="AG112" s="47">
        <f>攻击!AH112*$B112</f>
        <v>1140</v>
      </c>
      <c r="AH112" s="47">
        <f>攻击!AI112*$B112</f>
        <v>456</v>
      </c>
      <c r="AI112" s="47">
        <f>攻击!AJ112*$B112</f>
        <v>456</v>
      </c>
      <c r="AJ112" s="47">
        <f>攻击!AK112*$B112</f>
        <v>68.400000000000006</v>
      </c>
      <c r="AK112" s="47">
        <f>攻击!AL112*$B112</f>
        <v>2735.9999999999995</v>
      </c>
      <c r="AL112" s="54">
        <f>攻击!AM112</f>
        <v>0.2</v>
      </c>
      <c r="AM112" s="54">
        <f>攻击!AN112</f>
        <v>0.3</v>
      </c>
      <c r="AN112" s="54">
        <f>攻击!AO112</f>
        <v>0.5</v>
      </c>
      <c r="AO112" s="54">
        <f>攻击!AP112</f>
        <v>0.8</v>
      </c>
      <c r="AP112" s="54">
        <f>攻击!AQ112</f>
        <v>1.2</v>
      </c>
      <c r="AQ112" s="47">
        <f>攻击!AR112*$B112</f>
        <v>456</v>
      </c>
      <c r="AR112" s="20">
        <f t="shared" si="2"/>
        <v>11172</v>
      </c>
    </row>
    <row r="113" spans="1:44" s="20" customFormat="1">
      <c r="A113" s="46">
        <v>111</v>
      </c>
      <c r="B113" s="51">
        <f t="shared" si="3"/>
        <v>10</v>
      </c>
      <c r="C113" s="47">
        <f>攻击!D113*$B113</f>
        <v>2300</v>
      </c>
      <c r="D113" s="47">
        <f>攻击!E113*$B113</f>
        <v>2760</v>
      </c>
      <c r="E113" s="47">
        <f>攻击!F113*$B113</f>
        <v>3450</v>
      </c>
      <c r="F113" s="47">
        <f>攻击!G113*$B113</f>
        <v>4600</v>
      </c>
      <c r="G113" s="47">
        <f>攻击!H113*$B113</f>
        <v>5750</v>
      </c>
      <c r="H113" s="47">
        <f>攻击!I113*$B113</f>
        <v>1140</v>
      </c>
      <c r="I113" s="47">
        <f>攻击!J113*$B113</f>
        <v>690</v>
      </c>
      <c r="J113" s="47">
        <f>攻击!K113*$B113</f>
        <v>1380</v>
      </c>
      <c r="K113" s="47">
        <f>攻击!L113*$B113</f>
        <v>690</v>
      </c>
      <c r="L113" s="47">
        <f>攻击!M113*$B113</f>
        <v>1840</v>
      </c>
      <c r="M113" s="47">
        <f>攻击!N113*$B113</f>
        <v>2760</v>
      </c>
      <c r="N113" s="47">
        <f>攻击!O113*$B113</f>
        <v>3450</v>
      </c>
      <c r="O113" s="47">
        <f>攻击!P113*$B113</f>
        <v>4600</v>
      </c>
      <c r="P113" s="47">
        <f>攻击!Q113*$B113</f>
        <v>5750</v>
      </c>
      <c r="Q113" s="47">
        <f>攻击!R113*$B113</f>
        <v>6900</v>
      </c>
      <c r="R113" s="47">
        <f>攻击!S113*$B113</f>
        <v>8050</v>
      </c>
      <c r="S113" s="47">
        <f>攻击!T113*$B113</f>
        <v>1725</v>
      </c>
      <c r="T113" s="47">
        <f>攻击!U113*$B113</f>
        <v>690</v>
      </c>
      <c r="U113" s="47">
        <f>攻击!V113*$B113</f>
        <v>690</v>
      </c>
      <c r="V113" s="47">
        <f>攻击!W113*$B113</f>
        <v>115</v>
      </c>
      <c r="W113" s="54">
        <f>攻击!X113</f>
        <v>0.2</v>
      </c>
      <c r="X113" s="54">
        <f>攻击!Y113</f>
        <v>0.3</v>
      </c>
      <c r="Y113" s="54">
        <f>攻击!Z113</f>
        <v>0.5</v>
      </c>
      <c r="Z113" s="54">
        <f>攻击!AA113</f>
        <v>0.8</v>
      </c>
      <c r="AA113" s="54">
        <f>攻击!AB113</f>
        <v>1.2</v>
      </c>
      <c r="AB113" s="47">
        <f>攻击!AC113*$B113</f>
        <v>2300</v>
      </c>
      <c r="AC113" s="47">
        <f>攻击!AD113*$B113</f>
        <v>2760</v>
      </c>
      <c r="AD113" s="47">
        <f>攻击!AE113*$B113</f>
        <v>3450</v>
      </c>
      <c r="AE113" s="47">
        <f>攻击!AF113*$B113</f>
        <v>4600</v>
      </c>
      <c r="AF113" s="47">
        <f>攻击!AG113*$B113</f>
        <v>5750</v>
      </c>
      <c r="AG113" s="47">
        <f>攻击!AH113*$B113</f>
        <v>1150</v>
      </c>
      <c r="AH113" s="47">
        <f>攻击!AI113*$B113</f>
        <v>460</v>
      </c>
      <c r="AI113" s="47">
        <f>攻击!AJ113*$B113</f>
        <v>460</v>
      </c>
      <c r="AJ113" s="47">
        <f>攻击!AK113*$B113</f>
        <v>69</v>
      </c>
      <c r="AK113" s="47">
        <f>攻击!AL113*$B113</f>
        <v>2760</v>
      </c>
      <c r="AL113" s="54">
        <f>攻击!AM113</f>
        <v>0.2</v>
      </c>
      <c r="AM113" s="54">
        <f>攻击!AN113</f>
        <v>0.3</v>
      </c>
      <c r="AN113" s="54">
        <f>攻击!AO113</f>
        <v>0.5</v>
      </c>
      <c r="AO113" s="54">
        <f>攻击!AP113</f>
        <v>0.8</v>
      </c>
      <c r="AP113" s="54">
        <f>攻击!AQ113</f>
        <v>1.2</v>
      </c>
      <c r="AQ113" s="47">
        <f>攻击!AR113*$B113</f>
        <v>460</v>
      </c>
      <c r="AR113" s="20">
        <f t="shared" si="2"/>
        <v>11270</v>
      </c>
    </row>
    <row r="114" spans="1:44" s="20" customFormat="1">
      <c r="A114" s="46">
        <v>112</v>
      </c>
      <c r="B114" s="51">
        <f t="shared" si="3"/>
        <v>10</v>
      </c>
      <c r="C114" s="47">
        <f>攻击!D114*$B114</f>
        <v>2320</v>
      </c>
      <c r="D114" s="47">
        <f>攻击!E114*$B114</f>
        <v>2784</v>
      </c>
      <c r="E114" s="47">
        <f>攻击!F114*$B114</f>
        <v>3480</v>
      </c>
      <c r="F114" s="47">
        <f>攻击!G114*$B114</f>
        <v>4640</v>
      </c>
      <c r="G114" s="47">
        <f>攻击!H114*$B114</f>
        <v>5800</v>
      </c>
      <c r="H114" s="47">
        <f>攻击!I114*$B114</f>
        <v>1140</v>
      </c>
      <c r="I114" s="47">
        <f>攻击!J114*$B114</f>
        <v>696</v>
      </c>
      <c r="J114" s="47">
        <f>攻击!K114*$B114</f>
        <v>1392</v>
      </c>
      <c r="K114" s="47">
        <f>攻击!L114*$B114</f>
        <v>696</v>
      </c>
      <c r="L114" s="47">
        <f>攻击!M114*$B114</f>
        <v>1856.0000000000002</v>
      </c>
      <c r="M114" s="47">
        <f>攻击!N114*$B114</f>
        <v>2784</v>
      </c>
      <c r="N114" s="47">
        <f>攻击!O114*$B114</f>
        <v>3480</v>
      </c>
      <c r="O114" s="47">
        <f>攻击!P114*$B114</f>
        <v>4640</v>
      </c>
      <c r="P114" s="47">
        <f>攻击!Q114*$B114</f>
        <v>5800</v>
      </c>
      <c r="Q114" s="47">
        <f>攻击!R114*$B114</f>
        <v>6960</v>
      </c>
      <c r="R114" s="47">
        <f>攻击!S114*$B114</f>
        <v>8120</v>
      </c>
      <c r="S114" s="47">
        <f>攻击!T114*$B114</f>
        <v>1740</v>
      </c>
      <c r="T114" s="47">
        <f>攻击!U114*$B114</f>
        <v>696</v>
      </c>
      <c r="U114" s="47">
        <f>攻击!V114*$B114</f>
        <v>696</v>
      </c>
      <c r="V114" s="47">
        <f>攻击!W114*$B114</f>
        <v>116.00000000000001</v>
      </c>
      <c r="W114" s="54">
        <f>攻击!X114</f>
        <v>0.2</v>
      </c>
      <c r="X114" s="54">
        <f>攻击!Y114</f>
        <v>0.3</v>
      </c>
      <c r="Y114" s="54">
        <f>攻击!Z114</f>
        <v>0.5</v>
      </c>
      <c r="Z114" s="54">
        <f>攻击!AA114</f>
        <v>0.8</v>
      </c>
      <c r="AA114" s="54">
        <f>攻击!AB114</f>
        <v>1.2</v>
      </c>
      <c r="AB114" s="47">
        <f>攻击!AC114*$B114</f>
        <v>2320</v>
      </c>
      <c r="AC114" s="47">
        <f>攻击!AD114*$B114</f>
        <v>2784</v>
      </c>
      <c r="AD114" s="47">
        <f>攻击!AE114*$B114</f>
        <v>3480</v>
      </c>
      <c r="AE114" s="47">
        <f>攻击!AF114*$B114</f>
        <v>4640</v>
      </c>
      <c r="AF114" s="47">
        <f>攻击!AG114*$B114</f>
        <v>5800</v>
      </c>
      <c r="AG114" s="47">
        <f>攻击!AH114*$B114</f>
        <v>1160</v>
      </c>
      <c r="AH114" s="47">
        <f>攻击!AI114*$B114</f>
        <v>464.00000000000006</v>
      </c>
      <c r="AI114" s="47">
        <f>攻击!AJ114*$B114</f>
        <v>464.00000000000006</v>
      </c>
      <c r="AJ114" s="47">
        <f>攻击!AK114*$B114</f>
        <v>69.599999999999994</v>
      </c>
      <c r="AK114" s="47">
        <f>攻击!AL114*$B114</f>
        <v>2784</v>
      </c>
      <c r="AL114" s="54">
        <f>攻击!AM114</f>
        <v>0.2</v>
      </c>
      <c r="AM114" s="54">
        <f>攻击!AN114</f>
        <v>0.3</v>
      </c>
      <c r="AN114" s="54">
        <f>攻击!AO114</f>
        <v>0.5</v>
      </c>
      <c r="AO114" s="54">
        <f>攻击!AP114</f>
        <v>0.8</v>
      </c>
      <c r="AP114" s="54">
        <f>攻击!AQ114</f>
        <v>1.2</v>
      </c>
      <c r="AQ114" s="47">
        <f>攻击!AR114*$B114</f>
        <v>464.00000000000006</v>
      </c>
      <c r="AR114" s="20">
        <f t="shared" si="2"/>
        <v>11368</v>
      </c>
    </row>
    <row r="115" spans="1:44" s="20" customFormat="1">
      <c r="A115" s="46">
        <v>113</v>
      </c>
      <c r="B115" s="51">
        <f t="shared" si="3"/>
        <v>10</v>
      </c>
      <c r="C115" s="47">
        <f>攻击!D115*$B115</f>
        <v>2340</v>
      </c>
      <c r="D115" s="47">
        <f>攻击!E115*$B115</f>
        <v>2808</v>
      </c>
      <c r="E115" s="47">
        <f>攻击!F115*$B115</f>
        <v>3510</v>
      </c>
      <c r="F115" s="47">
        <f>攻击!G115*$B115</f>
        <v>4680</v>
      </c>
      <c r="G115" s="47">
        <f>攻击!H115*$B115</f>
        <v>5850</v>
      </c>
      <c r="H115" s="47">
        <f>攻击!I115*$B115</f>
        <v>1140</v>
      </c>
      <c r="I115" s="47">
        <f>攻击!J115*$B115</f>
        <v>702</v>
      </c>
      <c r="J115" s="47">
        <f>攻击!K115*$B115</f>
        <v>1404</v>
      </c>
      <c r="K115" s="47">
        <f>攻击!L115*$B115</f>
        <v>702</v>
      </c>
      <c r="L115" s="47">
        <f>攻击!M115*$B115</f>
        <v>1872.0000000000002</v>
      </c>
      <c r="M115" s="47">
        <f>攻击!N115*$B115</f>
        <v>2808</v>
      </c>
      <c r="N115" s="47">
        <f>攻击!O115*$B115</f>
        <v>3510</v>
      </c>
      <c r="O115" s="47">
        <f>攻击!P115*$B115</f>
        <v>4680</v>
      </c>
      <c r="P115" s="47">
        <f>攻击!Q115*$B115</f>
        <v>5850</v>
      </c>
      <c r="Q115" s="47">
        <f>攻击!R115*$B115</f>
        <v>7020</v>
      </c>
      <c r="R115" s="47">
        <f>攻击!S115*$B115</f>
        <v>8190</v>
      </c>
      <c r="S115" s="47">
        <f>攻击!T115*$B115</f>
        <v>1755</v>
      </c>
      <c r="T115" s="47">
        <f>攻击!U115*$B115</f>
        <v>702</v>
      </c>
      <c r="U115" s="47">
        <f>攻击!V115*$B115</f>
        <v>702</v>
      </c>
      <c r="V115" s="47">
        <f>攻击!W115*$B115</f>
        <v>117.00000000000001</v>
      </c>
      <c r="W115" s="54">
        <f>攻击!X115</f>
        <v>0.2</v>
      </c>
      <c r="X115" s="54">
        <f>攻击!Y115</f>
        <v>0.3</v>
      </c>
      <c r="Y115" s="54">
        <f>攻击!Z115</f>
        <v>0.5</v>
      </c>
      <c r="Z115" s="54">
        <f>攻击!AA115</f>
        <v>0.8</v>
      </c>
      <c r="AA115" s="54">
        <f>攻击!AB115</f>
        <v>1.2</v>
      </c>
      <c r="AB115" s="47">
        <f>攻击!AC115*$B115</f>
        <v>2340</v>
      </c>
      <c r="AC115" s="47">
        <f>攻击!AD115*$B115</f>
        <v>2808</v>
      </c>
      <c r="AD115" s="47">
        <f>攻击!AE115*$B115</f>
        <v>3510</v>
      </c>
      <c r="AE115" s="47">
        <f>攻击!AF115*$B115</f>
        <v>4680</v>
      </c>
      <c r="AF115" s="47">
        <f>攻击!AG115*$B115</f>
        <v>5850</v>
      </c>
      <c r="AG115" s="47">
        <f>攻击!AH115*$B115</f>
        <v>1170</v>
      </c>
      <c r="AH115" s="47">
        <f>攻击!AI115*$B115</f>
        <v>468.00000000000006</v>
      </c>
      <c r="AI115" s="47">
        <f>攻击!AJ115*$B115</f>
        <v>468.00000000000006</v>
      </c>
      <c r="AJ115" s="47">
        <f>攻击!AK115*$B115</f>
        <v>70.199999999999989</v>
      </c>
      <c r="AK115" s="47">
        <f>攻击!AL115*$B115</f>
        <v>2808</v>
      </c>
      <c r="AL115" s="54">
        <f>攻击!AM115</f>
        <v>0.2</v>
      </c>
      <c r="AM115" s="54">
        <f>攻击!AN115</f>
        <v>0.3</v>
      </c>
      <c r="AN115" s="54">
        <f>攻击!AO115</f>
        <v>0.5</v>
      </c>
      <c r="AO115" s="54">
        <f>攻击!AP115</f>
        <v>0.8</v>
      </c>
      <c r="AP115" s="54">
        <f>攻击!AQ115</f>
        <v>1.2</v>
      </c>
      <c r="AQ115" s="47">
        <f>攻击!AR115*$B115</f>
        <v>468.00000000000006</v>
      </c>
      <c r="AR115" s="20">
        <f t="shared" si="2"/>
        <v>11466</v>
      </c>
    </row>
    <row r="116" spans="1:44" s="20" customFormat="1">
      <c r="A116" s="46">
        <v>114</v>
      </c>
      <c r="B116" s="51">
        <f t="shared" si="3"/>
        <v>10</v>
      </c>
      <c r="C116" s="47">
        <f>攻击!D116*$B116</f>
        <v>2360</v>
      </c>
      <c r="D116" s="47">
        <f>攻击!E116*$B116</f>
        <v>2832</v>
      </c>
      <c r="E116" s="47">
        <f>攻击!F116*$B116</f>
        <v>3540</v>
      </c>
      <c r="F116" s="47">
        <f>攻击!G116*$B116</f>
        <v>4720</v>
      </c>
      <c r="G116" s="47">
        <f>攻击!H116*$B116</f>
        <v>5900</v>
      </c>
      <c r="H116" s="47">
        <f>攻击!I116*$B116</f>
        <v>1140</v>
      </c>
      <c r="I116" s="47">
        <f>攻击!J116*$B116</f>
        <v>708</v>
      </c>
      <c r="J116" s="47">
        <f>攻击!K116*$B116</f>
        <v>1416</v>
      </c>
      <c r="K116" s="47">
        <f>攻击!L116*$B116</f>
        <v>708</v>
      </c>
      <c r="L116" s="47">
        <f>攻击!M116*$B116</f>
        <v>1888</v>
      </c>
      <c r="M116" s="47">
        <f>攻击!N116*$B116</f>
        <v>2832</v>
      </c>
      <c r="N116" s="47">
        <f>攻击!O116*$B116</f>
        <v>3540</v>
      </c>
      <c r="O116" s="47">
        <f>攻击!P116*$B116</f>
        <v>4720</v>
      </c>
      <c r="P116" s="47">
        <f>攻击!Q116*$B116</f>
        <v>5900</v>
      </c>
      <c r="Q116" s="47">
        <f>攻击!R116*$B116</f>
        <v>7080</v>
      </c>
      <c r="R116" s="47">
        <f>攻击!S116*$B116</f>
        <v>8260</v>
      </c>
      <c r="S116" s="47">
        <f>攻击!T116*$B116</f>
        <v>1770</v>
      </c>
      <c r="T116" s="47">
        <f>攻击!U116*$B116</f>
        <v>708</v>
      </c>
      <c r="U116" s="47">
        <f>攻击!V116*$B116</f>
        <v>708</v>
      </c>
      <c r="V116" s="47">
        <f>攻击!W116*$B116</f>
        <v>118</v>
      </c>
      <c r="W116" s="54">
        <f>攻击!X116</f>
        <v>0.2</v>
      </c>
      <c r="X116" s="54">
        <f>攻击!Y116</f>
        <v>0.3</v>
      </c>
      <c r="Y116" s="54">
        <f>攻击!Z116</f>
        <v>0.5</v>
      </c>
      <c r="Z116" s="54">
        <f>攻击!AA116</f>
        <v>0.8</v>
      </c>
      <c r="AA116" s="54">
        <f>攻击!AB116</f>
        <v>1.2</v>
      </c>
      <c r="AB116" s="47">
        <f>攻击!AC116*$B116</f>
        <v>2360</v>
      </c>
      <c r="AC116" s="47">
        <f>攻击!AD116*$B116</f>
        <v>2832</v>
      </c>
      <c r="AD116" s="47">
        <f>攻击!AE116*$B116</f>
        <v>3540</v>
      </c>
      <c r="AE116" s="47">
        <f>攻击!AF116*$B116</f>
        <v>4720</v>
      </c>
      <c r="AF116" s="47">
        <f>攻击!AG116*$B116</f>
        <v>5900</v>
      </c>
      <c r="AG116" s="47">
        <f>攻击!AH116*$B116</f>
        <v>1180</v>
      </c>
      <c r="AH116" s="47">
        <f>攻击!AI116*$B116</f>
        <v>472</v>
      </c>
      <c r="AI116" s="47">
        <f>攻击!AJ116*$B116</f>
        <v>472</v>
      </c>
      <c r="AJ116" s="47">
        <f>攻击!AK116*$B116</f>
        <v>70.8</v>
      </c>
      <c r="AK116" s="47">
        <f>攻击!AL116*$B116</f>
        <v>2832</v>
      </c>
      <c r="AL116" s="54">
        <f>攻击!AM116</f>
        <v>0.2</v>
      </c>
      <c r="AM116" s="54">
        <f>攻击!AN116</f>
        <v>0.3</v>
      </c>
      <c r="AN116" s="54">
        <f>攻击!AO116</f>
        <v>0.5</v>
      </c>
      <c r="AO116" s="54">
        <f>攻击!AP116</f>
        <v>0.8</v>
      </c>
      <c r="AP116" s="54">
        <f>攻击!AQ116</f>
        <v>1.2</v>
      </c>
      <c r="AQ116" s="47">
        <f>攻击!AR116*$B116</f>
        <v>472</v>
      </c>
      <c r="AR116" s="20">
        <f t="shared" si="2"/>
        <v>11564</v>
      </c>
    </row>
    <row r="117" spans="1:44" s="20" customFormat="1">
      <c r="A117" s="46">
        <v>115</v>
      </c>
      <c r="B117" s="51">
        <f t="shared" si="3"/>
        <v>10</v>
      </c>
      <c r="C117" s="47">
        <f>攻击!D117*$B117</f>
        <v>2380</v>
      </c>
      <c r="D117" s="47">
        <f>攻击!E117*$B117</f>
        <v>2855.9999999999995</v>
      </c>
      <c r="E117" s="47">
        <f>攻击!F117*$B117</f>
        <v>3570</v>
      </c>
      <c r="F117" s="47">
        <f>攻击!G117*$B117</f>
        <v>4760</v>
      </c>
      <c r="G117" s="47">
        <f>攻击!H117*$B117</f>
        <v>5950</v>
      </c>
      <c r="H117" s="47">
        <f>攻击!I117*$B117</f>
        <v>1190</v>
      </c>
      <c r="I117" s="47">
        <f>攻击!J117*$B117</f>
        <v>713.99999999999989</v>
      </c>
      <c r="J117" s="47">
        <f>攻击!K117*$B117</f>
        <v>1427.9999999999998</v>
      </c>
      <c r="K117" s="47">
        <f>攻击!L117*$B117</f>
        <v>713.99999999999989</v>
      </c>
      <c r="L117" s="47">
        <f>攻击!M117*$B117</f>
        <v>1904</v>
      </c>
      <c r="M117" s="47">
        <f>攻击!N117*$B117</f>
        <v>2855.9999999999995</v>
      </c>
      <c r="N117" s="47">
        <f>攻击!O117*$B117</f>
        <v>3570</v>
      </c>
      <c r="O117" s="47">
        <f>攻击!P117*$B117</f>
        <v>4760</v>
      </c>
      <c r="P117" s="47">
        <f>攻击!Q117*$B117</f>
        <v>5950</v>
      </c>
      <c r="Q117" s="47">
        <f>攻击!R117*$B117</f>
        <v>7140</v>
      </c>
      <c r="R117" s="47">
        <f>攻击!S117*$B117</f>
        <v>8330</v>
      </c>
      <c r="S117" s="47">
        <f>攻击!T117*$B117</f>
        <v>1785</v>
      </c>
      <c r="T117" s="47">
        <f>攻击!U117*$B117</f>
        <v>713.99999999999989</v>
      </c>
      <c r="U117" s="47">
        <f>攻击!V117*$B117</f>
        <v>713.99999999999989</v>
      </c>
      <c r="V117" s="47">
        <f>攻击!W117*$B117</f>
        <v>119</v>
      </c>
      <c r="W117" s="54">
        <f>攻击!X117</f>
        <v>0.2</v>
      </c>
      <c r="X117" s="54">
        <f>攻击!Y117</f>
        <v>0.3</v>
      </c>
      <c r="Y117" s="54">
        <f>攻击!Z117</f>
        <v>0.5</v>
      </c>
      <c r="Z117" s="54">
        <f>攻击!AA117</f>
        <v>0.8</v>
      </c>
      <c r="AA117" s="54">
        <f>攻击!AB117</f>
        <v>1.2</v>
      </c>
      <c r="AB117" s="47">
        <f>攻击!AC117*$B117</f>
        <v>2380</v>
      </c>
      <c r="AC117" s="47">
        <f>攻击!AD117*$B117</f>
        <v>2855.9999999999995</v>
      </c>
      <c r="AD117" s="47">
        <f>攻击!AE117*$B117</f>
        <v>3570</v>
      </c>
      <c r="AE117" s="47">
        <f>攻击!AF117*$B117</f>
        <v>4760</v>
      </c>
      <c r="AF117" s="47">
        <f>攻击!AG117*$B117</f>
        <v>5950</v>
      </c>
      <c r="AG117" s="47">
        <f>攻击!AH117*$B117</f>
        <v>1190</v>
      </c>
      <c r="AH117" s="47">
        <f>攻击!AI117*$B117</f>
        <v>476</v>
      </c>
      <c r="AI117" s="47">
        <f>攻击!AJ117*$B117</f>
        <v>476</v>
      </c>
      <c r="AJ117" s="47">
        <f>攻击!AK117*$B117</f>
        <v>71.399999999999991</v>
      </c>
      <c r="AK117" s="47">
        <f>攻击!AL117*$B117</f>
        <v>2855.9999999999995</v>
      </c>
      <c r="AL117" s="54">
        <f>攻击!AM117</f>
        <v>0.2</v>
      </c>
      <c r="AM117" s="54">
        <f>攻击!AN117</f>
        <v>0.3</v>
      </c>
      <c r="AN117" s="54">
        <f>攻击!AO117</f>
        <v>0.5</v>
      </c>
      <c r="AO117" s="54">
        <f>攻击!AP117</f>
        <v>0.8</v>
      </c>
      <c r="AP117" s="54">
        <f>攻击!AQ117</f>
        <v>1.2</v>
      </c>
      <c r="AQ117" s="47">
        <f>攻击!AR117*$B117</f>
        <v>476</v>
      </c>
      <c r="AR117" s="20">
        <f t="shared" si="2"/>
        <v>11662</v>
      </c>
    </row>
    <row r="118" spans="1:44" s="20" customFormat="1">
      <c r="A118" s="46">
        <v>116</v>
      </c>
      <c r="B118" s="51">
        <f t="shared" si="3"/>
        <v>10</v>
      </c>
      <c r="C118" s="47">
        <f>攻击!D118*$B118</f>
        <v>2400</v>
      </c>
      <c r="D118" s="47">
        <f>攻击!E118*$B118</f>
        <v>2880</v>
      </c>
      <c r="E118" s="47">
        <f>攻击!F118*$B118</f>
        <v>3600</v>
      </c>
      <c r="F118" s="47">
        <f>攻击!G118*$B118</f>
        <v>4800</v>
      </c>
      <c r="G118" s="47">
        <f>攻击!H118*$B118</f>
        <v>6000</v>
      </c>
      <c r="H118" s="47">
        <f>攻击!I118*$B118</f>
        <v>1190</v>
      </c>
      <c r="I118" s="47">
        <f>攻击!J118*$B118</f>
        <v>720</v>
      </c>
      <c r="J118" s="47">
        <f>攻击!K118*$B118</f>
        <v>1440</v>
      </c>
      <c r="K118" s="47">
        <f>攻击!L118*$B118</f>
        <v>720</v>
      </c>
      <c r="L118" s="47">
        <f>攻击!M118*$B118</f>
        <v>1920</v>
      </c>
      <c r="M118" s="47">
        <f>攻击!N118*$B118</f>
        <v>2880</v>
      </c>
      <c r="N118" s="47">
        <f>攻击!O118*$B118</f>
        <v>3600</v>
      </c>
      <c r="O118" s="47">
        <f>攻击!P118*$B118</f>
        <v>4800</v>
      </c>
      <c r="P118" s="47">
        <f>攻击!Q118*$B118</f>
        <v>6000</v>
      </c>
      <c r="Q118" s="47">
        <f>攻击!R118*$B118</f>
        <v>7200</v>
      </c>
      <c r="R118" s="47">
        <f>攻击!S118*$B118</f>
        <v>8400</v>
      </c>
      <c r="S118" s="47">
        <f>攻击!T118*$B118</f>
        <v>1800</v>
      </c>
      <c r="T118" s="47">
        <f>攻击!U118*$B118</f>
        <v>720</v>
      </c>
      <c r="U118" s="47">
        <f>攻击!V118*$B118</f>
        <v>720</v>
      </c>
      <c r="V118" s="47">
        <f>攻击!W118*$B118</f>
        <v>120</v>
      </c>
      <c r="W118" s="54">
        <f>攻击!X118</f>
        <v>0.2</v>
      </c>
      <c r="X118" s="54">
        <f>攻击!Y118</f>
        <v>0.3</v>
      </c>
      <c r="Y118" s="54">
        <f>攻击!Z118</f>
        <v>0.5</v>
      </c>
      <c r="Z118" s="54">
        <f>攻击!AA118</f>
        <v>0.8</v>
      </c>
      <c r="AA118" s="54">
        <f>攻击!AB118</f>
        <v>1.2</v>
      </c>
      <c r="AB118" s="47">
        <f>攻击!AC118*$B118</f>
        <v>2400</v>
      </c>
      <c r="AC118" s="47">
        <f>攻击!AD118*$B118</f>
        <v>2880</v>
      </c>
      <c r="AD118" s="47">
        <f>攻击!AE118*$B118</f>
        <v>3600</v>
      </c>
      <c r="AE118" s="47">
        <f>攻击!AF118*$B118</f>
        <v>4800</v>
      </c>
      <c r="AF118" s="47">
        <f>攻击!AG118*$B118</f>
        <v>6000</v>
      </c>
      <c r="AG118" s="47">
        <f>攻击!AH118*$B118</f>
        <v>1200</v>
      </c>
      <c r="AH118" s="47">
        <f>攻击!AI118*$B118</f>
        <v>480</v>
      </c>
      <c r="AI118" s="47">
        <f>攻击!AJ118*$B118</f>
        <v>480</v>
      </c>
      <c r="AJ118" s="47">
        <f>攻击!AK118*$B118</f>
        <v>72</v>
      </c>
      <c r="AK118" s="47">
        <f>攻击!AL118*$B118</f>
        <v>2880</v>
      </c>
      <c r="AL118" s="54">
        <f>攻击!AM118</f>
        <v>0.2</v>
      </c>
      <c r="AM118" s="54">
        <f>攻击!AN118</f>
        <v>0.3</v>
      </c>
      <c r="AN118" s="54">
        <f>攻击!AO118</f>
        <v>0.5</v>
      </c>
      <c r="AO118" s="54">
        <f>攻击!AP118</f>
        <v>0.8</v>
      </c>
      <c r="AP118" s="54">
        <f>攻击!AQ118</f>
        <v>1.2</v>
      </c>
      <c r="AQ118" s="47">
        <f>攻击!AR118*$B118</f>
        <v>480</v>
      </c>
      <c r="AR118" s="20">
        <f t="shared" si="2"/>
        <v>11760</v>
      </c>
    </row>
    <row r="119" spans="1:44" s="20" customFormat="1">
      <c r="A119" s="46">
        <v>117</v>
      </c>
      <c r="B119" s="51">
        <f t="shared" si="3"/>
        <v>10</v>
      </c>
      <c r="C119" s="47">
        <f>攻击!D119*$B119</f>
        <v>2420</v>
      </c>
      <c r="D119" s="47">
        <f>攻击!E119*$B119</f>
        <v>2904</v>
      </c>
      <c r="E119" s="47">
        <f>攻击!F119*$B119</f>
        <v>3630</v>
      </c>
      <c r="F119" s="47">
        <f>攻击!G119*$B119</f>
        <v>4840</v>
      </c>
      <c r="G119" s="47">
        <f>攻击!H119*$B119</f>
        <v>6050</v>
      </c>
      <c r="H119" s="47">
        <f>攻击!I119*$B119</f>
        <v>1190</v>
      </c>
      <c r="I119" s="47">
        <f>攻击!J119*$B119</f>
        <v>726</v>
      </c>
      <c r="J119" s="47">
        <f>攻击!K119*$B119</f>
        <v>1452</v>
      </c>
      <c r="K119" s="47">
        <f>攻击!L119*$B119</f>
        <v>726</v>
      </c>
      <c r="L119" s="47">
        <f>攻击!M119*$B119</f>
        <v>1936.0000000000002</v>
      </c>
      <c r="M119" s="47">
        <f>攻击!N119*$B119</f>
        <v>2904</v>
      </c>
      <c r="N119" s="47">
        <f>攻击!O119*$B119</f>
        <v>3630</v>
      </c>
      <c r="O119" s="47">
        <f>攻击!P119*$B119</f>
        <v>4840</v>
      </c>
      <c r="P119" s="47">
        <f>攻击!Q119*$B119</f>
        <v>6050</v>
      </c>
      <c r="Q119" s="47">
        <f>攻击!R119*$B119</f>
        <v>7260</v>
      </c>
      <c r="R119" s="47">
        <f>攻击!S119*$B119</f>
        <v>8470</v>
      </c>
      <c r="S119" s="47">
        <f>攻击!T119*$B119</f>
        <v>1815</v>
      </c>
      <c r="T119" s="47">
        <f>攻击!U119*$B119</f>
        <v>726</v>
      </c>
      <c r="U119" s="47">
        <f>攻击!V119*$B119</f>
        <v>726</v>
      </c>
      <c r="V119" s="47">
        <f>攻击!W119*$B119</f>
        <v>121.00000000000001</v>
      </c>
      <c r="W119" s="54">
        <f>攻击!X119</f>
        <v>0.2</v>
      </c>
      <c r="X119" s="54">
        <f>攻击!Y119</f>
        <v>0.3</v>
      </c>
      <c r="Y119" s="54">
        <f>攻击!Z119</f>
        <v>0.5</v>
      </c>
      <c r="Z119" s="54">
        <f>攻击!AA119</f>
        <v>0.8</v>
      </c>
      <c r="AA119" s="54">
        <f>攻击!AB119</f>
        <v>1.2</v>
      </c>
      <c r="AB119" s="47">
        <f>攻击!AC119*$B119</f>
        <v>2420</v>
      </c>
      <c r="AC119" s="47">
        <f>攻击!AD119*$B119</f>
        <v>2904</v>
      </c>
      <c r="AD119" s="47">
        <f>攻击!AE119*$B119</f>
        <v>3630</v>
      </c>
      <c r="AE119" s="47">
        <f>攻击!AF119*$B119</f>
        <v>4840</v>
      </c>
      <c r="AF119" s="47">
        <f>攻击!AG119*$B119</f>
        <v>6050</v>
      </c>
      <c r="AG119" s="47">
        <f>攻击!AH119*$B119</f>
        <v>1210</v>
      </c>
      <c r="AH119" s="47">
        <f>攻击!AI119*$B119</f>
        <v>484.00000000000006</v>
      </c>
      <c r="AI119" s="47">
        <f>攻击!AJ119*$B119</f>
        <v>484.00000000000006</v>
      </c>
      <c r="AJ119" s="47">
        <f>攻击!AK119*$B119</f>
        <v>72.599999999999994</v>
      </c>
      <c r="AK119" s="47">
        <f>攻击!AL119*$B119</f>
        <v>2904</v>
      </c>
      <c r="AL119" s="54">
        <f>攻击!AM119</f>
        <v>0.2</v>
      </c>
      <c r="AM119" s="54">
        <f>攻击!AN119</f>
        <v>0.3</v>
      </c>
      <c r="AN119" s="54">
        <f>攻击!AO119</f>
        <v>0.5</v>
      </c>
      <c r="AO119" s="54">
        <f>攻击!AP119</f>
        <v>0.8</v>
      </c>
      <c r="AP119" s="54">
        <f>攻击!AQ119</f>
        <v>1.2</v>
      </c>
      <c r="AQ119" s="47">
        <f>攻击!AR119*$B119</f>
        <v>484.00000000000006</v>
      </c>
      <c r="AR119" s="20">
        <f t="shared" si="2"/>
        <v>11858</v>
      </c>
    </row>
    <row r="120" spans="1:44" s="20" customFormat="1">
      <c r="A120" s="46">
        <v>118</v>
      </c>
      <c r="B120" s="51">
        <f t="shared" si="3"/>
        <v>10</v>
      </c>
      <c r="C120" s="47">
        <f>攻击!D120*$B120</f>
        <v>2440</v>
      </c>
      <c r="D120" s="47">
        <f>攻击!E120*$B120</f>
        <v>2928</v>
      </c>
      <c r="E120" s="47">
        <f>攻击!F120*$B120</f>
        <v>3660</v>
      </c>
      <c r="F120" s="47">
        <f>攻击!G120*$B120</f>
        <v>4880</v>
      </c>
      <c r="G120" s="47">
        <f>攻击!H120*$B120</f>
        <v>6100</v>
      </c>
      <c r="H120" s="47">
        <f>攻击!I120*$B120</f>
        <v>1190</v>
      </c>
      <c r="I120" s="47">
        <f>攻击!J120*$B120</f>
        <v>732</v>
      </c>
      <c r="J120" s="47">
        <f>攻击!K120*$B120</f>
        <v>1464</v>
      </c>
      <c r="K120" s="47">
        <f>攻击!L120*$B120</f>
        <v>732</v>
      </c>
      <c r="L120" s="47">
        <f>攻击!M120*$B120</f>
        <v>1952.0000000000002</v>
      </c>
      <c r="M120" s="47">
        <f>攻击!N120*$B120</f>
        <v>2928</v>
      </c>
      <c r="N120" s="47">
        <f>攻击!O120*$B120</f>
        <v>3660</v>
      </c>
      <c r="O120" s="47">
        <f>攻击!P120*$B120</f>
        <v>4880</v>
      </c>
      <c r="P120" s="47">
        <f>攻击!Q120*$B120</f>
        <v>6100</v>
      </c>
      <c r="Q120" s="47">
        <f>攻击!R120*$B120</f>
        <v>7320</v>
      </c>
      <c r="R120" s="47">
        <f>攻击!S120*$B120</f>
        <v>8540</v>
      </c>
      <c r="S120" s="47">
        <f>攻击!T120*$B120</f>
        <v>1830</v>
      </c>
      <c r="T120" s="47">
        <f>攻击!U120*$B120</f>
        <v>732</v>
      </c>
      <c r="U120" s="47">
        <f>攻击!V120*$B120</f>
        <v>732</v>
      </c>
      <c r="V120" s="47">
        <f>攻击!W120*$B120</f>
        <v>122.00000000000001</v>
      </c>
      <c r="W120" s="54">
        <f>攻击!X120</f>
        <v>0.2</v>
      </c>
      <c r="X120" s="54">
        <f>攻击!Y120</f>
        <v>0.3</v>
      </c>
      <c r="Y120" s="54">
        <f>攻击!Z120</f>
        <v>0.5</v>
      </c>
      <c r="Z120" s="54">
        <f>攻击!AA120</f>
        <v>0.8</v>
      </c>
      <c r="AA120" s="54">
        <f>攻击!AB120</f>
        <v>1.2</v>
      </c>
      <c r="AB120" s="47">
        <f>攻击!AC120*$B120</f>
        <v>2440</v>
      </c>
      <c r="AC120" s="47">
        <f>攻击!AD120*$B120</f>
        <v>2928</v>
      </c>
      <c r="AD120" s="47">
        <f>攻击!AE120*$B120</f>
        <v>3660</v>
      </c>
      <c r="AE120" s="47">
        <f>攻击!AF120*$B120</f>
        <v>4880</v>
      </c>
      <c r="AF120" s="47">
        <f>攻击!AG120*$B120</f>
        <v>6100</v>
      </c>
      <c r="AG120" s="47">
        <f>攻击!AH120*$B120</f>
        <v>1220</v>
      </c>
      <c r="AH120" s="47">
        <f>攻击!AI120*$B120</f>
        <v>488.00000000000006</v>
      </c>
      <c r="AI120" s="47">
        <f>攻击!AJ120*$B120</f>
        <v>488.00000000000006</v>
      </c>
      <c r="AJ120" s="47">
        <f>攻击!AK120*$B120</f>
        <v>73.199999999999989</v>
      </c>
      <c r="AK120" s="47">
        <f>攻击!AL120*$B120</f>
        <v>2928</v>
      </c>
      <c r="AL120" s="54">
        <f>攻击!AM120</f>
        <v>0.2</v>
      </c>
      <c r="AM120" s="54">
        <f>攻击!AN120</f>
        <v>0.3</v>
      </c>
      <c r="AN120" s="54">
        <f>攻击!AO120</f>
        <v>0.5</v>
      </c>
      <c r="AO120" s="54">
        <f>攻击!AP120</f>
        <v>0.8</v>
      </c>
      <c r="AP120" s="54">
        <f>攻击!AQ120</f>
        <v>1.2</v>
      </c>
      <c r="AQ120" s="47">
        <f>攻击!AR120*$B120</f>
        <v>488.00000000000006</v>
      </c>
      <c r="AR120" s="20">
        <f t="shared" si="2"/>
        <v>11956</v>
      </c>
    </row>
    <row r="121" spans="1:44" s="20" customFormat="1">
      <c r="A121" s="46">
        <v>119</v>
      </c>
      <c r="B121" s="51">
        <f t="shared" si="3"/>
        <v>10</v>
      </c>
      <c r="C121" s="47">
        <f>攻击!D121*$B121</f>
        <v>2460</v>
      </c>
      <c r="D121" s="47">
        <f>攻击!E121*$B121</f>
        <v>2952</v>
      </c>
      <c r="E121" s="47">
        <f>攻击!F121*$B121</f>
        <v>3690</v>
      </c>
      <c r="F121" s="47">
        <f>攻击!G121*$B121</f>
        <v>4920</v>
      </c>
      <c r="G121" s="47">
        <f>攻击!H121*$B121</f>
        <v>6150</v>
      </c>
      <c r="H121" s="47">
        <f>攻击!I121*$B121</f>
        <v>1190</v>
      </c>
      <c r="I121" s="47">
        <f>攻击!J121*$B121</f>
        <v>738</v>
      </c>
      <c r="J121" s="47">
        <f>攻击!K121*$B121</f>
        <v>1476</v>
      </c>
      <c r="K121" s="47">
        <f>攻击!L121*$B121</f>
        <v>738</v>
      </c>
      <c r="L121" s="47">
        <f>攻击!M121*$B121</f>
        <v>1968</v>
      </c>
      <c r="M121" s="47">
        <f>攻击!N121*$B121</f>
        <v>2952</v>
      </c>
      <c r="N121" s="47">
        <f>攻击!O121*$B121</f>
        <v>3690</v>
      </c>
      <c r="O121" s="47">
        <f>攻击!P121*$B121</f>
        <v>4920</v>
      </c>
      <c r="P121" s="47">
        <f>攻击!Q121*$B121</f>
        <v>6150</v>
      </c>
      <c r="Q121" s="47">
        <f>攻击!R121*$B121</f>
        <v>7380</v>
      </c>
      <c r="R121" s="47">
        <f>攻击!S121*$B121</f>
        <v>8610</v>
      </c>
      <c r="S121" s="47">
        <f>攻击!T121*$B121</f>
        <v>1845</v>
      </c>
      <c r="T121" s="47">
        <f>攻击!U121*$B121</f>
        <v>738</v>
      </c>
      <c r="U121" s="47">
        <f>攻击!V121*$B121</f>
        <v>738</v>
      </c>
      <c r="V121" s="47">
        <f>攻击!W121*$B121</f>
        <v>123</v>
      </c>
      <c r="W121" s="54">
        <f>攻击!X121</f>
        <v>0.2</v>
      </c>
      <c r="X121" s="54">
        <f>攻击!Y121</f>
        <v>0.3</v>
      </c>
      <c r="Y121" s="54">
        <f>攻击!Z121</f>
        <v>0.5</v>
      </c>
      <c r="Z121" s="54">
        <f>攻击!AA121</f>
        <v>0.8</v>
      </c>
      <c r="AA121" s="54">
        <f>攻击!AB121</f>
        <v>1.2</v>
      </c>
      <c r="AB121" s="47">
        <f>攻击!AC121*$B121</f>
        <v>2460</v>
      </c>
      <c r="AC121" s="47">
        <f>攻击!AD121*$B121</f>
        <v>2952</v>
      </c>
      <c r="AD121" s="47">
        <f>攻击!AE121*$B121</f>
        <v>3690</v>
      </c>
      <c r="AE121" s="47">
        <f>攻击!AF121*$B121</f>
        <v>4920</v>
      </c>
      <c r="AF121" s="47">
        <f>攻击!AG121*$B121</f>
        <v>6150</v>
      </c>
      <c r="AG121" s="47">
        <f>攻击!AH121*$B121</f>
        <v>1230</v>
      </c>
      <c r="AH121" s="47">
        <f>攻击!AI121*$B121</f>
        <v>492</v>
      </c>
      <c r="AI121" s="47">
        <f>攻击!AJ121*$B121</f>
        <v>492</v>
      </c>
      <c r="AJ121" s="47">
        <f>攻击!AK121*$B121</f>
        <v>73.8</v>
      </c>
      <c r="AK121" s="47">
        <f>攻击!AL121*$B121</f>
        <v>2952</v>
      </c>
      <c r="AL121" s="54">
        <f>攻击!AM121</f>
        <v>0.2</v>
      </c>
      <c r="AM121" s="54">
        <f>攻击!AN121</f>
        <v>0.3</v>
      </c>
      <c r="AN121" s="54">
        <f>攻击!AO121</f>
        <v>0.5</v>
      </c>
      <c r="AO121" s="54">
        <f>攻击!AP121</f>
        <v>0.8</v>
      </c>
      <c r="AP121" s="54">
        <f>攻击!AQ121</f>
        <v>1.2</v>
      </c>
      <c r="AQ121" s="47">
        <f>攻击!AR121*$B121</f>
        <v>492</v>
      </c>
      <c r="AR121" s="20">
        <f t="shared" si="2"/>
        <v>12054</v>
      </c>
    </row>
    <row r="122" spans="1:44" s="20" customFormat="1">
      <c r="A122" s="46">
        <v>120</v>
      </c>
      <c r="B122" s="51">
        <f t="shared" si="3"/>
        <v>10</v>
      </c>
      <c r="C122" s="47">
        <f>攻击!D122*$B122</f>
        <v>2480</v>
      </c>
      <c r="D122" s="47">
        <f>攻击!E122*$B122</f>
        <v>2975.9999999999995</v>
      </c>
      <c r="E122" s="47">
        <f>攻击!F122*$B122</f>
        <v>3720</v>
      </c>
      <c r="F122" s="47">
        <f>攻击!G122*$B122</f>
        <v>4960</v>
      </c>
      <c r="G122" s="47">
        <f>攻击!H122*$B122</f>
        <v>6200</v>
      </c>
      <c r="H122" s="47">
        <f>攻击!I122*$B122</f>
        <v>1240</v>
      </c>
      <c r="I122" s="47">
        <f>攻击!J122*$B122</f>
        <v>743.99999999999989</v>
      </c>
      <c r="J122" s="47">
        <f>攻击!K122*$B122</f>
        <v>1487.9999999999998</v>
      </c>
      <c r="K122" s="47">
        <f>攻击!L122*$B122</f>
        <v>743.99999999999989</v>
      </c>
      <c r="L122" s="47">
        <f>攻击!M122*$B122</f>
        <v>1984</v>
      </c>
      <c r="M122" s="47">
        <f>攻击!N122*$B122</f>
        <v>2975.9999999999995</v>
      </c>
      <c r="N122" s="47">
        <f>攻击!O122*$B122</f>
        <v>3720</v>
      </c>
      <c r="O122" s="47">
        <f>攻击!P122*$B122</f>
        <v>4960</v>
      </c>
      <c r="P122" s="47">
        <f>攻击!Q122*$B122</f>
        <v>6200</v>
      </c>
      <c r="Q122" s="47">
        <f>攻击!R122*$B122</f>
        <v>7440</v>
      </c>
      <c r="R122" s="47">
        <f>攻击!S122*$B122</f>
        <v>8680</v>
      </c>
      <c r="S122" s="47">
        <f>攻击!T122*$B122</f>
        <v>1860</v>
      </c>
      <c r="T122" s="47">
        <f>攻击!U122*$B122</f>
        <v>743.99999999999989</v>
      </c>
      <c r="U122" s="47">
        <f>攻击!V122*$B122</f>
        <v>743.99999999999989</v>
      </c>
      <c r="V122" s="47">
        <f>攻击!W122*$B122</f>
        <v>124</v>
      </c>
      <c r="W122" s="54">
        <f>攻击!X122</f>
        <v>0.2</v>
      </c>
      <c r="X122" s="54">
        <f>攻击!Y122</f>
        <v>0.3</v>
      </c>
      <c r="Y122" s="54">
        <f>攻击!Z122</f>
        <v>0.5</v>
      </c>
      <c r="Z122" s="54">
        <f>攻击!AA122</f>
        <v>0.8</v>
      </c>
      <c r="AA122" s="54">
        <f>攻击!AB122</f>
        <v>1.2</v>
      </c>
      <c r="AB122" s="47">
        <f>攻击!AC122*$B122</f>
        <v>2480</v>
      </c>
      <c r="AC122" s="47">
        <f>攻击!AD122*$B122</f>
        <v>2975.9999999999995</v>
      </c>
      <c r="AD122" s="47">
        <f>攻击!AE122*$B122</f>
        <v>3720</v>
      </c>
      <c r="AE122" s="47">
        <f>攻击!AF122*$B122</f>
        <v>4960</v>
      </c>
      <c r="AF122" s="47">
        <f>攻击!AG122*$B122</f>
        <v>6200</v>
      </c>
      <c r="AG122" s="47">
        <f>攻击!AH122*$B122</f>
        <v>1240</v>
      </c>
      <c r="AH122" s="47">
        <f>攻击!AI122*$B122</f>
        <v>496</v>
      </c>
      <c r="AI122" s="47">
        <f>攻击!AJ122*$B122</f>
        <v>496</v>
      </c>
      <c r="AJ122" s="47">
        <f>攻击!AK122*$B122</f>
        <v>74.399999999999991</v>
      </c>
      <c r="AK122" s="47">
        <f>攻击!AL122*$B122</f>
        <v>2975.9999999999995</v>
      </c>
      <c r="AL122" s="54">
        <f>攻击!AM122</f>
        <v>0.2</v>
      </c>
      <c r="AM122" s="54">
        <f>攻击!AN122</f>
        <v>0.3</v>
      </c>
      <c r="AN122" s="54">
        <f>攻击!AO122</f>
        <v>0.5</v>
      </c>
      <c r="AO122" s="54">
        <f>攻击!AP122</f>
        <v>0.8</v>
      </c>
      <c r="AP122" s="54">
        <f>攻击!AQ122</f>
        <v>1.2</v>
      </c>
      <c r="AQ122" s="47">
        <f>攻击!AR122*$B122</f>
        <v>496</v>
      </c>
      <c r="AR122" s="20">
        <f t="shared" si="2"/>
        <v>12152</v>
      </c>
    </row>
    <row r="123" spans="1:44">
      <c r="B123" s="45"/>
      <c r="AG123" s="38"/>
      <c r="AI123" s="38"/>
      <c r="AJ123" s="25"/>
    </row>
  </sheetData>
  <mergeCells count="4">
    <mergeCell ref="B1:M1"/>
    <mergeCell ref="N1:AA1"/>
    <mergeCell ref="AB1:AJ1"/>
    <mergeCell ref="AK1:AP1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122"/>
  <sheetViews>
    <sheetView zoomScale="93" zoomScaleNormal="93" workbookViewId="0">
      <selection activeCell="C1" sqref="C1:M1"/>
    </sheetView>
  </sheetViews>
  <sheetFormatPr defaultRowHeight="14.25"/>
  <cols>
    <col min="1" max="2" width="4.75" style="1" bestFit="1" customWidth="1"/>
    <col min="3" max="8" width="5.5" style="1" bestFit="1" customWidth="1"/>
    <col min="9" max="9" width="4.75" style="1" bestFit="1" customWidth="1"/>
    <col min="10" max="10" width="5.5" style="1" bestFit="1" customWidth="1"/>
    <col min="11" max="11" width="4.75" style="1" bestFit="1" customWidth="1"/>
    <col min="12" max="19" width="5.5" style="1" bestFit="1" customWidth="1"/>
    <col min="20" max="21" width="6.375" style="1" bestFit="1" customWidth="1"/>
    <col min="22" max="22" width="4.75" style="1" bestFit="1" customWidth="1"/>
    <col min="23" max="26" width="4.5" style="1" bestFit="1" customWidth="1"/>
    <col min="27" max="33" width="5.5" style="1" bestFit="1" customWidth="1"/>
    <col min="34" max="35" width="6.375" style="1" bestFit="1" customWidth="1"/>
    <col min="36" max="37" width="5.5" style="1" bestFit="1" customWidth="1"/>
    <col min="38" max="41" width="4.5" style="1" bestFit="1" customWidth="1"/>
    <col min="42" max="42" width="5.5" style="1" bestFit="1" customWidth="1"/>
    <col min="43" max="43" width="4.75" style="1" bestFit="1" customWidth="1"/>
    <col min="44" max="44" width="8" style="1" customWidth="1"/>
    <col min="45" max="16384" width="9" style="1"/>
  </cols>
  <sheetData>
    <row r="1" spans="1:44" ht="15" thickBot="1">
      <c r="A1" s="85"/>
      <c r="B1" s="84"/>
      <c r="C1" s="104" t="s">
        <v>118</v>
      </c>
      <c r="D1" s="104"/>
      <c r="E1" s="104"/>
      <c r="F1" s="104"/>
      <c r="G1" s="104"/>
      <c r="H1" s="104"/>
      <c r="I1" s="104"/>
      <c r="J1" s="104"/>
      <c r="K1" s="104"/>
      <c r="L1" s="104"/>
      <c r="M1" s="105"/>
      <c r="N1" s="103" t="s">
        <v>22</v>
      </c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 t="s">
        <v>24</v>
      </c>
      <c r="AC1" s="104"/>
      <c r="AD1" s="104"/>
      <c r="AE1" s="104"/>
      <c r="AF1" s="104"/>
      <c r="AG1" s="104"/>
      <c r="AH1" s="104"/>
      <c r="AI1" s="104"/>
      <c r="AJ1" s="105"/>
      <c r="AK1" s="102" t="s">
        <v>25</v>
      </c>
      <c r="AL1" s="102"/>
      <c r="AM1" s="102"/>
      <c r="AN1" s="102"/>
      <c r="AO1" s="102"/>
      <c r="AP1" s="102"/>
      <c r="AQ1" s="83" t="s">
        <v>27</v>
      </c>
      <c r="AR1" s="83"/>
    </row>
    <row r="2" spans="1:44">
      <c r="A2" s="41" t="s">
        <v>0</v>
      </c>
      <c r="B2" s="41" t="s">
        <v>67</v>
      </c>
      <c r="C2" s="43" t="s">
        <v>12</v>
      </c>
      <c r="D2" s="43" t="s">
        <v>13</v>
      </c>
      <c r="E2" s="43" t="s">
        <v>14</v>
      </c>
      <c r="F2" s="43" t="s">
        <v>15</v>
      </c>
      <c r="G2" s="43" t="s">
        <v>16</v>
      </c>
      <c r="H2" s="43" t="s">
        <v>17</v>
      </c>
      <c r="I2" s="43" t="s">
        <v>18</v>
      </c>
      <c r="J2" s="43" t="s">
        <v>19</v>
      </c>
      <c r="K2" s="43" t="s">
        <v>20</v>
      </c>
      <c r="L2" s="43" t="s">
        <v>21</v>
      </c>
      <c r="M2" s="43" t="s">
        <v>41</v>
      </c>
      <c r="N2" s="43" t="s">
        <v>12</v>
      </c>
      <c r="O2" s="43" t="s">
        <v>13</v>
      </c>
      <c r="P2" s="43" t="s">
        <v>14</v>
      </c>
      <c r="Q2" s="43" t="s">
        <v>15</v>
      </c>
      <c r="R2" s="43" t="s">
        <v>16</v>
      </c>
      <c r="S2" s="43" t="s">
        <v>23</v>
      </c>
      <c r="T2" s="43" t="s">
        <v>42</v>
      </c>
      <c r="U2" s="43" t="s">
        <v>43</v>
      </c>
      <c r="V2" s="43" t="s">
        <v>47</v>
      </c>
      <c r="W2" s="44" t="s">
        <v>44</v>
      </c>
      <c r="X2" s="44" t="s">
        <v>30</v>
      </c>
      <c r="Y2" s="44" t="s">
        <v>31</v>
      </c>
      <c r="Z2" s="44" t="s">
        <v>32</v>
      </c>
      <c r="AA2" s="44" t="s">
        <v>33</v>
      </c>
      <c r="AB2" s="43" t="s">
        <v>12</v>
      </c>
      <c r="AC2" s="43" t="s">
        <v>13</v>
      </c>
      <c r="AD2" s="43" t="s">
        <v>14</v>
      </c>
      <c r="AE2" s="43" t="s">
        <v>15</v>
      </c>
      <c r="AF2" s="43" t="s">
        <v>16</v>
      </c>
      <c r="AG2" s="43" t="s">
        <v>23</v>
      </c>
      <c r="AH2" s="43" t="s">
        <v>42</v>
      </c>
      <c r="AI2" s="43" t="s">
        <v>43</v>
      </c>
      <c r="AJ2" s="43" t="s">
        <v>47</v>
      </c>
      <c r="AK2" s="43" t="s">
        <v>26</v>
      </c>
      <c r="AL2" s="44" t="s">
        <v>44</v>
      </c>
      <c r="AM2" s="44" t="s">
        <v>30</v>
      </c>
      <c r="AN2" s="44" t="s">
        <v>31</v>
      </c>
      <c r="AO2" s="44" t="s">
        <v>32</v>
      </c>
      <c r="AP2" s="44" t="s">
        <v>33</v>
      </c>
      <c r="AQ2" s="43" t="s">
        <v>27</v>
      </c>
      <c r="AR2" s="43" t="s">
        <v>94</v>
      </c>
    </row>
    <row r="3" spans="1:44">
      <c r="A3" s="46">
        <v>1</v>
      </c>
      <c r="B3" s="5">
        <v>10</v>
      </c>
      <c r="C3" s="1">
        <f>攻击!D3*HP!$B3</f>
        <v>100</v>
      </c>
      <c r="D3" s="1">
        <f>攻击!E3*HP!$B3</f>
        <v>120</v>
      </c>
      <c r="E3" s="1">
        <f>攻击!F3*HP!$B3</f>
        <v>150</v>
      </c>
      <c r="F3" s="1">
        <f>攻击!G3*HP!$B3</f>
        <v>200</v>
      </c>
      <c r="G3" s="1">
        <f>攻击!H3*HP!$B3</f>
        <v>250</v>
      </c>
      <c r="H3" s="1">
        <f>攻击!I3*HP!$B3</f>
        <v>0</v>
      </c>
      <c r="I3" s="1">
        <f>攻击!J3*HP!$B3</f>
        <v>0</v>
      </c>
      <c r="J3" s="1">
        <f>攻击!K3*HP!$B3</f>
        <v>0</v>
      </c>
      <c r="K3" s="1">
        <f>攻击!L3*HP!$B3</f>
        <v>0</v>
      </c>
      <c r="L3" s="1">
        <f>攻击!M3*HP!$B3</f>
        <v>0</v>
      </c>
      <c r="M3" s="1">
        <f>攻击!N3*HP!$B3</f>
        <v>120</v>
      </c>
      <c r="N3" s="1">
        <f>攻击!O3*HP!$B3</f>
        <v>150</v>
      </c>
      <c r="O3" s="1">
        <f>攻击!P3*HP!$B3</f>
        <v>200</v>
      </c>
      <c r="P3" s="1">
        <f>攻击!Q3*HP!$B3</f>
        <v>250</v>
      </c>
      <c r="Q3" s="1">
        <f>攻击!R3*HP!$B3</f>
        <v>300</v>
      </c>
      <c r="R3" s="1">
        <f>攻击!S3*HP!$B3</f>
        <v>350</v>
      </c>
      <c r="S3" s="1">
        <f>攻击!T3*HP!$B3</f>
        <v>0</v>
      </c>
      <c r="T3" s="1">
        <f>攻击!U3*HP!$B3</f>
        <v>30</v>
      </c>
      <c r="U3" s="1">
        <f>攻击!V3*HP!$B3</f>
        <v>0</v>
      </c>
      <c r="V3" s="1">
        <f>攻击!W3*HP!$B3</f>
        <v>5</v>
      </c>
      <c r="W3" s="93">
        <f>攻击!X3</f>
        <v>0</v>
      </c>
      <c r="X3" s="93">
        <f>攻击!Y3</f>
        <v>0</v>
      </c>
      <c r="Y3" s="93">
        <f>攻击!Z3</f>
        <v>0</v>
      </c>
      <c r="Z3" s="93">
        <f>攻击!AA3</f>
        <v>0</v>
      </c>
      <c r="AA3" s="93">
        <f>攻击!AB3</f>
        <v>0</v>
      </c>
      <c r="AB3" s="1">
        <f>攻击!AC3*HP!$B3</f>
        <v>0</v>
      </c>
      <c r="AC3" s="1">
        <f>攻击!AD3*HP!$B3</f>
        <v>0</v>
      </c>
      <c r="AD3" s="1">
        <f>攻击!AE3*HP!$B3</f>
        <v>0</v>
      </c>
      <c r="AE3" s="1">
        <f>攻击!AF3*HP!$B3</f>
        <v>0</v>
      </c>
      <c r="AF3" s="1">
        <f>攻击!AG3*HP!$B3</f>
        <v>0</v>
      </c>
      <c r="AG3" s="1">
        <f>攻击!AH3*HP!$B3</f>
        <v>0</v>
      </c>
      <c r="AH3" s="1">
        <f>攻击!AI3*HP!$B3</f>
        <v>0</v>
      </c>
      <c r="AI3" s="1">
        <f>攻击!AJ3*HP!$B3</f>
        <v>0</v>
      </c>
      <c r="AJ3" s="1">
        <f>攻击!AK3*HP!$B3</f>
        <v>0</v>
      </c>
      <c r="AK3" s="1">
        <f>攻击!AL3*HP!$B3</f>
        <v>0</v>
      </c>
      <c r="AL3" s="93">
        <f>攻击!AM3</f>
        <v>0</v>
      </c>
      <c r="AM3" s="93">
        <f>攻击!AN3</f>
        <v>0</v>
      </c>
      <c r="AN3" s="93">
        <f>攻击!AO3</f>
        <v>0</v>
      </c>
      <c r="AO3" s="93">
        <f>攻击!AP3</f>
        <v>0</v>
      </c>
      <c r="AP3" s="93">
        <f>攻击!AQ3</f>
        <v>0</v>
      </c>
      <c r="AQ3" s="1">
        <f>攻击!AR3*HP!$B3</f>
        <v>20</v>
      </c>
      <c r="AR3" s="1">
        <f>C3+N3+AB3+AK3+AQ3</f>
        <v>270</v>
      </c>
    </row>
    <row r="4" spans="1:44">
      <c r="A4" s="46">
        <v>2</v>
      </c>
      <c r="B4" s="1">
        <f>B3</f>
        <v>10</v>
      </c>
      <c r="C4" s="1">
        <f>攻击!D4*HP!$B4</f>
        <v>120</v>
      </c>
      <c r="D4" s="1">
        <f>攻击!E4*HP!$B4</f>
        <v>144</v>
      </c>
      <c r="E4" s="1">
        <f>攻击!F4*HP!$B4</f>
        <v>180</v>
      </c>
      <c r="F4" s="1">
        <f>攻击!G4*HP!$B4</f>
        <v>240</v>
      </c>
      <c r="G4" s="1">
        <f>攻击!H4*HP!$B4</f>
        <v>300</v>
      </c>
      <c r="H4" s="1">
        <f>攻击!I4*HP!$B4</f>
        <v>0</v>
      </c>
      <c r="I4" s="1">
        <f>攻击!J4*HP!$B4</f>
        <v>0</v>
      </c>
      <c r="J4" s="1">
        <f>攻击!K4*HP!$B4</f>
        <v>0</v>
      </c>
      <c r="K4" s="1">
        <f>攻击!L4*HP!$B4</f>
        <v>0</v>
      </c>
      <c r="L4" s="1">
        <f>攻击!M4*HP!$B4</f>
        <v>0</v>
      </c>
      <c r="M4" s="1">
        <f>攻击!N4*HP!$B4</f>
        <v>144</v>
      </c>
      <c r="N4" s="1">
        <f>攻击!O4*HP!$B4</f>
        <v>180</v>
      </c>
      <c r="O4" s="1">
        <f>攻击!P4*HP!$B4</f>
        <v>240</v>
      </c>
      <c r="P4" s="1">
        <f>攻击!Q4*HP!$B4</f>
        <v>300</v>
      </c>
      <c r="Q4" s="1">
        <f>攻击!R4*HP!$B4</f>
        <v>360</v>
      </c>
      <c r="R4" s="1">
        <f>攻击!S4*HP!$B4</f>
        <v>420</v>
      </c>
      <c r="S4" s="1">
        <f>攻击!T4*HP!$B4</f>
        <v>0</v>
      </c>
      <c r="T4" s="1">
        <f>攻击!U4*HP!$B4</f>
        <v>36</v>
      </c>
      <c r="U4" s="1">
        <f>攻击!V4*HP!$B4</f>
        <v>0</v>
      </c>
      <c r="V4" s="1">
        <f>攻击!W4*HP!$B4</f>
        <v>6.0000000000000009</v>
      </c>
      <c r="W4" s="93">
        <f>攻击!X4</f>
        <v>0</v>
      </c>
      <c r="X4" s="93">
        <f>攻击!Y4</f>
        <v>0</v>
      </c>
      <c r="Y4" s="93">
        <f>攻击!Z4</f>
        <v>0</v>
      </c>
      <c r="Z4" s="93">
        <f>攻击!AA4</f>
        <v>0</v>
      </c>
      <c r="AA4" s="93">
        <f>攻击!AB4</f>
        <v>0</v>
      </c>
      <c r="AB4" s="1">
        <f>攻击!AC4*HP!$B4</f>
        <v>0</v>
      </c>
      <c r="AC4" s="1">
        <f>攻击!AD4*HP!$B4</f>
        <v>0</v>
      </c>
      <c r="AD4" s="1">
        <f>攻击!AE4*HP!$B4</f>
        <v>0</v>
      </c>
      <c r="AE4" s="1">
        <f>攻击!AF4*HP!$B4</f>
        <v>0</v>
      </c>
      <c r="AF4" s="1">
        <f>攻击!AG4*HP!$B4</f>
        <v>0</v>
      </c>
      <c r="AG4" s="1">
        <f>攻击!AH4*HP!$B4</f>
        <v>0</v>
      </c>
      <c r="AH4" s="1">
        <f>攻击!AI4*HP!$B4</f>
        <v>0</v>
      </c>
      <c r="AI4" s="1">
        <f>攻击!AJ4*HP!$B4</f>
        <v>0</v>
      </c>
      <c r="AJ4" s="1">
        <f>攻击!AK4*HP!$B4</f>
        <v>0</v>
      </c>
      <c r="AK4" s="1">
        <f>攻击!AL4*HP!$B4</f>
        <v>0</v>
      </c>
      <c r="AL4" s="93">
        <f>攻击!AM4</f>
        <v>0</v>
      </c>
      <c r="AM4" s="93">
        <f>攻击!AN4</f>
        <v>0</v>
      </c>
      <c r="AN4" s="93">
        <f>攻击!AO4</f>
        <v>0</v>
      </c>
      <c r="AO4" s="93">
        <f>攻击!AP4</f>
        <v>0</v>
      </c>
      <c r="AP4" s="93">
        <f>攻击!AQ4</f>
        <v>0</v>
      </c>
      <c r="AQ4" s="1">
        <f>攻击!AR4*HP!$B4</f>
        <v>24.000000000000004</v>
      </c>
      <c r="AR4" s="1">
        <f t="shared" ref="AR4:AR67" si="0">C4+N4+AB4+AK4+AQ4</f>
        <v>324</v>
      </c>
    </row>
    <row r="5" spans="1:44">
      <c r="A5" s="46">
        <v>3</v>
      </c>
      <c r="B5" s="1">
        <f t="shared" ref="B5:B68" si="1">B4</f>
        <v>10</v>
      </c>
      <c r="C5" s="1">
        <f>攻击!D5*HP!$B5</f>
        <v>140</v>
      </c>
      <c r="D5" s="1">
        <f>攻击!E5*HP!$B5</f>
        <v>168</v>
      </c>
      <c r="E5" s="1">
        <f>攻击!F5*HP!$B5</f>
        <v>210</v>
      </c>
      <c r="F5" s="1">
        <f>攻击!G5*HP!$B5</f>
        <v>280</v>
      </c>
      <c r="G5" s="1">
        <f>攻击!H5*HP!$B5</f>
        <v>350</v>
      </c>
      <c r="H5" s="1">
        <f>攻击!I5*HP!$B5</f>
        <v>0</v>
      </c>
      <c r="I5" s="1">
        <f>攻击!J5*HP!$B5</f>
        <v>0</v>
      </c>
      <c r="J5" s="1">
        <f>攻击!K5*HP!$B5</f>
        <v>0</v>
      </c>
      <c r="K5" s="1">
        <f>攻击!L5*HP!$B5</f>
        <v>0</v>
      </c>
      <c r="L5" s="1">
        <f>攻击!M5*HP!$B5</f>
        <v>0</v>
      </c>
      <c r="M5" s="1">
        <f>攻击!N5*HP!$B5</f>
        <v>168</v>
      </c>
      <c r="N5" s="1">
        <f>攻击!O5*HP!$B5</f>
        <v>210</v>
      </c>
      <c r="O5" s="1">
        <f>攻击!P5*HP!$B5</f>
        <v>280</v>
      </c>
      <c r="P5" s="1">
        <f>攻击!Q5*HP!$B5</f>
        <v>350</v>
      </c>
      <c r="Q5" s="1">
        <f>攻击!R5*HP!$B5</f>
        <v>420</v>
      </c>
      <c r="R5" s="1">
        <f>攻击!S5*HP!$B5</f>
        <v>490</v>
      </c>
      <c r="S5" s="1">
        <f>攻击!T5*HP!$B5</f>
        <v>0</v>
      </c>
      <c r="T5" s="1">
        <f>攻击!U5*HP!$B5</f>
        <v>42</v>
      </c>
      <c r="U5" s="1">
        <f>攻击!V5*HP!$B5</f>
        <v>0</v>
      </c>
      <c r="V5" s="1">
        <f>攻击!W5*HP!$B5</f>
        <v>7.0000000000000009</v>
      </c>
      <c r="W5" s="93">
        <f>攻击!X5</f>
        <v>0</v>
      </c>
      <c r="X5" s="93">
        <f>攻击!Y5</f>
        <v>0</v>
      </c>
      <c r="Y5" s="93">
        <f>攻击!Z5</f>
        <v>0</v>
      </c>
      <c r="Z5" s="93">
        <f>攻击!AA5</f>
        <v>0</v>
      </c>
      <c r="AA5" s="93">
        <f>攻击!AB5</f>
        <v>0</v>
      </c>
      <c r="AB5" s="1">
        <f>攻击!AC5*HP!$B5</f>
        <v>0</v>
      </c>
      <c r="AC5" s="1">
        <f>攻击!AD5*HP!$B5</f>
        <v>0</v>
      </c>
      <c r="AD5" s="1">
        <f>攻击!AE5*HP!$B5</f>
        <v>0</v>
      </c>
      <c r="AE5" s="1">
        <f>攻击!AF5*HP!$B5</f>
        <v>0</v>
      </c>
      <c r="AF5" s="1">
        <f>攻击!AG5*HP!$B5</f>
        <v>0</v>
      </c>
      <c r="AG5" s="1">
        <f>攻击!AH5*HP!$B5</f>
        <v>0</v>
      </c>
      <c r="AH5" s="1">
        <f>攻击!AI5*HP!$B5</f>
        <v>0</v>
      </c>
      <c r="AI5" s="1">
        <f>攻击!AJ5*HP!$B5</f>
        <v>0</v>
      </c>
      <c r="AJ5" s="1">
        <f>攻击!AK5*HP!$B5</f>
        <v>0</v>
      </c>
      <c r="AK5" s="1">
        <f>攻击!AL5*HP!$B5</f>
        <v>0</v>
      </c>
      <c r="AL5" s="93">
        <f>攻击!AM5</f>
        <v>0</v>
      </c>
      <c r="AM5" s="93">
        <f>攻击!AN5</f>
        <v>0</v>
      </c>
      <c r="AN5" s="93">
        <f>攻击!AO5</f>
        <v>0</v>
      </c>
      <c r="AO5" s="93">
        <f>攻击!AP5</f>
        <v>0</v>
      </c>
      <c r="AP5" s="93">
        <f>攻击!AQ5</f>
        <v>0</v>
      </c>
      <c r="AQ5" s="1">
        <f>攻击!AR5*HP!$B5</f>
        <v>28.000000000000004</v>
      </c>
      <c r="AR5" s="1">
        <f t="shared" si="0"/>
        <v>378</v>
      </c>
    </row>
    <row r="6" spans="1:44">
      <c r="A6" s="46">
        <v>4</v>
      </c>
      <c r="B6" s="1">
        <f t="shared" si="1"/>
        <v>10</v>
      </c>
      <c r="C6" s="1">
        <f>攻击!D6*HP!$B6</f>
        <v>160</v>
      </c>
      <c r="D6" s="1">
        <f>攻击!E6*HP!$B6</f>
        <v>192</v>
      </c>
      <c r="E6" s="1">
        <f>攻击!F6*HP!$B6</f>
        <v>240</v>
      </c>
      <c r="F6" s="1">
        <f>攻击!G6*HP!$B6</f>
        <v>320</v>
      </c>
      <c r="G6" s="1">
        <f>攻击!H6*HP!$B6</f>
        <v>400</v>
      </c>
      <c r="H6" s="1">
        <f>攻击!I6*HP!$B6</f>
        <v>0</v>
      </c>
      <c r="I6" s="1">
        <f>攻击!J6*HP!$B6</f>
        <v>0</v>
      </c>
      <c r="J6" s="1">
        <f>攻击!K6*HP!$B6</f>
        <v>0</v>
      </c>
      <c r="K6" s="1">
        <f>攻击!L6*HP!$B6</f>
        <v>0</v>
      </c>
      <c r="L6" s="1">
        <f>攻击!M6*HP!$B6</f>
        <v>0</v>
      </c>
      <c r="M6" s="1">
        <f>攻击!N6*HP!$B6</f>
        <v>192</v>
      </c>
      <c r="N6" s="1">
        <f>攻击!O6*HP!$B6</f>
        <v>240</v>
      </c>
      <c r="O6" s="1">
        <f>攻击!P6*HP!$B6</f>
        <v>320</v>
      </c>
      <c r="P6" s="1">
        <f>攻击!Q6*HP!$B6</f>
        <v>400</v>
      </c>
      <c r="Q6" s="1">
        <f>攻击!R6*HP!$B6</f>
        <v>480</v>
      </c>
      <c r="R6" s="1">
        <f>攻击!S6*HP!$B6</f>
        <v>560</v>
      </c>
      <c r="S6" s="1">
        <f>攻击!T6*HP!$B6</f>
        <v>0</v>
      </c>
      <c r="T6" s="1">
        <f>攻击!U6*HP!$B6</f>
        <v>48</v>
      </c>
      <c r="U6" s="1">
        <f>攻击!V6*HP!$B6</f>
        <v>0</v>
      </c>
      <c r="V6" s="1">
        <f>攻击!W6*HP!$B6</f>
        <v>8</v>
      </c>
      <c r="W6" s="93">
        <f>攻击!X6</f>
        <v>0</v>
      </c>
      <c r="X6" s="93">
        <f>攻击!Y6</f>
        <v>0</v>
      </c>
      <c r="Y6" s="93">
        <f>攻击!Z6</f>
        <v>0</v>
      </c>
      <c r="Z6" s="93">
        <f>攻击!AA6</f>
        <v>0</v>
      </c>
      <c r="AA6" s="93">
        <f>攻击!AB6</f>
        <v>0</v>
      </c>
      <c r="AB6" s="1">
        <f>攻击!AC6*HP!$B6</f>
        <v>0</v>
      </c>
      <c r="AC6" s="1">
        <f>攻击!AD6*HP!$B6</f>
        <v>0</v>
      </c>
      <c r="AD6" s="1">
        <f>攻击!AE6*HP!$B6</f>
        <v>0</v>
      </c>
      <c r="AE6" s="1">
        <f>攻击!AF6*HP!$B6</f>
        <v>0</v>
      </c>
      <c r="AF6" s="1">
        <f>攻击!AG6*HP!$B6</f>
        <v>0</v>
      </c>
      <c r="AG6" s="1">
        <f>攻击!AH6*HP!$B6</f>
        <v>0</v>
      </c>
      <c r="AH6" s="1">
        <f>攻击!AI6*HP!$B6</f>
        <v>0</v>
      </c>
      <c r="AI6" s="1">
        <f>攻击!AJ6*HP!$B6</f>
        <v>0</v>
      </c>
      <c r="AJ6" s="1">
        <f>攻击!AK6*HP!$B6</f>
        <v>0</v>
      </c>
      <c r="AK6" s="1">
        <f>攻击!AL6*HP!$B6</f>
        <v>0</v>
      </c>
      <c r="AL6" s="93">
        <f>攻击!AM6</f>
        <v>0</v>
      </c>
      <c r="AM6" s="93">
        <f>攻击!AN6</f>
        <v>0</v>
      </c>
      <c r="AN6" s="93">
        <f>攻击!AO6</f>
        <v>0</v>
      </c>
      <c r="AO6" s="93">
        <f>攻击!AP6</f>
        <v>0</v>
      </c>
      <c r="AP6" s="93">
        <f>攻击!AQ6</f>
        <v>0</v>
      </c>
      <c r="AQ6" s="1">
        <f>攻击!AR6*HP!$B6</f>
        <v>32</v>
      </c>
      <c r="AR6" s="1">
        <f t="shared" si="0"/>
        <v>432</v>
      </c>
    </row>
    <row r="7" spans="1:44">
      <c r="A7" s="46">
        <v>5</v>
      </c>
      <c r="B7" s="1">
        <f t="shared" si="1"/>
        <v>10</v>
      </c>
      <c r="C7" s="1">
        <f>攻击!D7*HP!$B7</f>
        <v>180</v>
      </c>
      <c r="D7" s="1">
        <f>攻击!E7*HP!$B7</f>
        <v>215.99999999999997</v>
      </c>
      <c r="E7" s="1">
        <f>攻击!F7*HP!$B7</f>
        <v>270</v>
      </c>
      <c r="F7" s="1">
        <f>攻击!G7*HP!$B7</f>
        <v>360</v>
      </c>
      <c r="G7" s="1">
        <f>攻击!H7*HP!$B7</f>
        <v>450</v>
      </c>
      <c r="H7" s="1">
        <f>攻击!I7*HP!$B7</f>
        <v>90</v>
      </c>
      <c r="I7" s="1">
        <f>攻击!J7*HP!$B7</f>
        <v>0</v>
      </c>
      <c r="J7" s="1">
        <f>攻击!K7*HP!$B7</f>
        <v>0</v>
      </c>
      <c r="K7" s="1">
        <f>攻击!L7*HP!$B7</f>
        <v>0</v>
      </c>
      <c r="L7" s="1">
        <f>攻击!M7*HP!$B7</f>
        <v>0</v>
      </c>
      <c r="M7" s="1">
        <f>攻击!N7*HP!$B7</f>
        <v>215.99999999999997</v>
      </c>
      <c r="N7" s="1">
        <f>攻击!O7*HP!$B7</f>
        <v>270</v>
      </c>
      <c r="O7" s="1">
        <f>攻击!P7*HP!$B7</f>
        <v>360</v>
      </c>
      <c r="P7" s="1">
        <f>攻击!Q7*HP!$B7</f>
        <v>450</v>
      </c>
      <c r="Q7" s="1">
        <f>攻击!R7*HP!$B7</f>
        <v>540</v>
      </c>
      <c r="R7" s="1">
        <f>攻击!S7*HP!$B7</f>
        <v>630</v>
      </c>
      <c r="S7" s="1">
        <f>攻击!T7*HP!$B7</f>
        <v>0</v>
      </c>
      <c r="T7" s="1">
        <f>攻击!U7*HP!$B7</f>
        <v>53.999999999999993</v>
      </c>
      <c r="U7" s="1">
        <f>攻击!V7*HP!$B7</f>
        <v>0</v>
      </c>
      <c r="V7" s="1">
        <f>攻击!W7*HP!$B7</f>
        <v>9</v>
      </c>
      <c r="W7" s="93">
        <f>攻击!X7</f>
        <v>0</v>
      </c>
      <c r="X7" s="93">
        <f>攻击!Y7</f>
        <v>0</v>
      </c>
      <c r="Y7" s="93">
        <f>攻击!Z7</f>
        <v>0</v>
      </c>
      <c r="Z7" s="93">
        <f>攻击!AA7</f>
        <v>0</v>
      </c>
      <c r="AA7" s="93">
        <f>攻击!AB7</f>
        <v>0</v>
      </c>
      <c r="AB7" s="1">
        <f>攻击!AC7*HP!$B7</f>
        <v>0</v>
      </c>
      <c r="AC7" s="1">
        <f>攻击!AD7*HP!$B7</f>
        <v>0</v>
      </c>
      <c r="AD7" s="1">
        <f>攻击!AE7*HP!$B7</f>
        <v>0</v>
      </c>
      <c r="AE7" s="1">
        <f>攻击!AF7*HP!$B7</f>
        <v>0</v>
      </c>
      <c r="AF7" s="1">
        <f>攻击!AG7*HP!$B7</f>
        <v>0</v>
      </c>
      <c r="AG7" s="1">
        <f>攻击!AH7*HP!$B7</f>
        <v>0</v>
      </c>
      <c r="AH7" s="1">
        <f>攻击!AI7*HP!$B7</f>
        <v>0</v>
      </c>
      <c r="AI7" s="1">
        <f>攻击!AJ7*HP!$B7</f>
        <v>0</v>
      </c>
      <c r="AJ7" s="1">
        <f>攻击!AK7*HP!$B7</f>
        <v>0</v>
      </c>
      <c r="AK7" s="1">
        <f>攻击!AL7*HP!$B7</f>
        <v>0</v>
      </c>
      <c r="AL7" s="93">
        <f>攻击!AM7</f>
        <v>0</v>
      </c>
      <c r="AM7" s="93">
        <f>攻击!AN7</f>
        <v>0</v>
      </c>
      <c r="AN7" s="93">
        <f>攻击!AO7</f>
        <v>0</v>
      </c>
      <c r="AO7" s="93">
        <f>攻击!AP7</f>
        <v>0</v>
      </c>
      <c r="AP7" s="93">
        <f>攻击!AQ7</f>
        <v>0</v>
      </c>
      <c r="AQ7" s="1">
        <f>攻击!AR7*HP!$B7</f>
        <v>36</v>
      </c>
      <c r="AR7" s="1">
        <f t="shared" si="0"/>
        <v>486</v>
      </c>
    </row>
    <row r="8" spans="1:44">
      <c r="A8" s="46">
        <v>6</v>
      </c>
      <c r="B8" s="1">
        <f t="shared" si="1"/>
        <v>10</v>
      </c>
      <c r="C8" s="1">
        <f>攻击!D8*HP!$B8</f>
        <v>200</v>
      </c>
      <c r="D8" s="1">
        <f>攻击!E8*HP!$B8</f>
        <v>240</v>
      </c>
      <c r="E8" s="1">
        <f>攻击!F8*HP!$B8</f>
        <v>300</v>
      </c>
      <c r="F8" s="1">
        <f>攻击!G8*HP!$B8</f>
        <v>400</v>
      </c>
      <c r="G8" s="1">
        <f>攻击!H8*HP!$B8</f>
        <v>500</v>
      </c>
      <c r="H8" s="1">
        <f>攻击!I8*HP!$B8</f>
        <v>90</v>
      </c>
      <c r="I8" s="1">
        <f>攻击!J8*HP!$B8</f>
        <v>0</v>
      </c>
      <c r="J8" s="1">
        <f>攻击!K8*HP!$B8</f>
        <v>0</v>
      </c>
      <c r="K8" s="1">
        <f>攻击!L8*HP!$B8</f>
        <v>0</v>
      </c>
      <c r="L8" s="1">
        <f>攻击!M8*HP!$B8</f>
        <v>0</v>
      </c>
      <c r="M8" s="1">
        <f>攻击!N8*HP!$B8</f>
        <v>240</v>
      </c>
      <c r="N8" s="1">
        <f>攻击!O8*HP!$B8</f>
        <v>300</v>
      </c>
      <c r="O8" s="1">
        <f>攻击!P8*HP!$B8</f>
        <v>400</v>
      </c>
      <c r="P8" s="1">
        <f>攻击!Q8*HP!$B8</f>
        <v>500</v>
      </c>
      <c r="Q8" s="1">
        <f>攻击!R8*HP!$B8</f>
        <v>600</v>
      </c>
      <c r="R8" s="1">
        <f>攻击!S8*HP!$B8</f>
        <v>700</v>
      </c>
      <c r="S8" s="1">
        <f>攻击!T8*HP!$B8</f>
        <v>0</v>
      </c>
      <c r="T8" s="1">
        <f>攻击!U8*HP!$B8</f>
        <v>60</v>
      </c>
      <c r="U8" s="1">
        <f>攻击!V8*HP!$B8</f>
        <v>0</v>
      </c>
      <c r="V8" s="1">
        <f>攻击!W8*HP!$B8</f>
        <v>10</v>
      </c>
      <c r="W8" s="93">
        <f>攻击!X8</f>
        <v>0</v>
      </c>
      <c r="X8" s="93">
        <f>攻击!Y8</f>
        <v>0</v>
      </c>
      <c r="Y8" s="93">
        <f>攻击!Z8</f>
        <v>0</v>
      </c>
      <c r="Z8" s="93">
        <f>攻击!AA8</f>
        <v>0</v>
      </c>
      <c r="AA8" s="93">
        <f>攻击!AB8</f>
        <v>0</v>
      </c>
      <c r="AB8" s="1">
        <f>攻击!AC8*HP!$B8</f>
        <v>0</v>
      </c>
      <c r="AC8" s="1">
        <f>攻击!AD8*HP!$B8</f>
        <v>0</v>
      </c>
      <c r="AD8" s="1">
        <f>攻击!AE8*HP!$B8</f>
        <v>0</v>
      </c>
      <c r="AE8" s="1">
        <f>攻击!AF8*HP!$B8</f>
        <v>0</v>
      </c>
      <c r="AF8" s="1">
        <f>攻击!AG8*HP!$B8</f>
        <v>0</v>
      </c>
      <c r="AG8" s="1">
        <f>攻击!AH8*HP!$B8</f>
        <v>0</v>
      </c>
      <c r="AH8" s="1">
        <f>攻击!AI8*HP!$B8</f>
        <v>0</v>
      </c>
      <c r="AI8" s="1">
        <f>攻击!AJ8*HP!$B8</f>
        <v>0</v>
      </c>
      <c r="AJ8" s="1">
        <f>攻击!AK8*HP!$B8</f>
        <v>0</v>
      </c>
      <c r="AK8" s="1">
        <f>攻击!AL8*HP!$B8</f>
        <v>0</v>
      </c>
      <c r="AL8" s="93">
        <f>攻击!AM8</f>
        <v>0</v>
      </c>
      <c r="AM8" s="93">
        <f>攻击!AN8</f>
        <v>0</v>
      </c>
      <c r="AN8" s="93">
        <f>攻击!AO8</f>
        <v>0</v>
      </c>
      <c r="AO8" s="93">
        <f>攻击!AP8</f>
        <v>0</v>
      </c>
      <c r="AP8" s="93">
        <f>攻击!AQ8</f>
        <v>0</v>
      </c>
      <c r="AQ8" s="1">
        <f>攻击!AR8*HP!$B8</f>
        <v>40</v>
      </c>
      <c r="AR8" s="1">
        <f t="shared" si="0"/>
        <v>540</v>
      </c>
    </row>
    <row r="9" spans="1:44">
      <c r="A9" s="46">
        <v>7</v>
      </c>
      <c r="B9" s="1">
        <f t="shared" si="1"/>
        <v>10</v>
      </c>
      <c r="C9" s="1">
        <f>攻击!D9*HP!$B9</f>
        <v>220</v>
      </c>
      <c r="D9" s="1">
        <f>攻击!E9*HP!$B9</f>
        <v>264</v>
      </c>
      <c r="E9" s="1">
        <f>攻击!F9*HP!$B9</f>
        <v>330</v>
      </c>
      <c r="F9" s="1">
        <f>攻击!G9*HP!$B9</f>
        <v>440</v>
      </c>
      <c r="G9" s="1">
        <f>攻击!H9*HP!$B9</f>
        <v>550</v>
      </c>
      <c r="H9" s="1">
        <f>攻击!I9*HP!$B9</f>
        <v>90</v>
      </c>
      <c r="I9" s="1">
        <f>攻击!J9*HP!$B9</f>
        <v>0</v>
      </c>
      <c r="J9" s="1">
        <f>攻击!K9*HP!$B9</f>
        <v>0</v>
      </c>
      <c r="K9" s="1">
        <f>攻击!L9*HP!$B9</f>
        <v>0</v>
      </c>
      <c r="L9" s="1">
        <f>攻击!M9*HP!$B9</f>
        <v>0</v>
      </c>
      <c r="M9" s="1">
        <f>攻击!N9*HP!$B9</f>
        <v>264</v>
      </c>
      <c r="N9" s="1">
        <f>攻击!O9*HP!$B9</f>
        <v>330</v>
      </c>
      <c r="O9" s="1">
        <f>攻击!P9*HP!$B9</f>
        <v>440</v>
      </c>
      <c r="P9" s="1">
        <f>攻击!Q9*HP!$B9</f>
        <v>550</v>
      </c>
      <c r="Q9" s="1">
        <f>攻击!R9*HP!$B9</f>
        <v>660</v>
      </c>
      <c r="R9" s="1">
        <f>攻击!S9*HP!$B9</f>
        <v>770</v>
      </c>
      <c r="S9" s="1">
        <f>攻击!T9*HP!$B9</f>
        <v>0</v>
      </c>
      <c r="T9" s="1">
        <f>攻击!U9*HP!$B9</f>
        <v>66</v>
      </c>
      <c r="U9" s="1">
        <f>攻击!V9*HP!$B9</f>
        <v>0</v>
      </c>
      <c r="V9" s="1">
        <f>攻击!W9*HP!$B9</f>
        <v>11</v>
      </c>
      <c r="W9" s="93">
        <f>攻击!X9</f>
        <v>0</v>
      </c>
      <c r="X9" s="93">
        <f>攻击!Y9</f>
        <v>0</v>
      </c>
      <c r="Y9" s="93">
        <f>攻击!Z9</f>
        <v>0</v>
      </c>
      <c r="Z9" s="93">
        <f>攻击!AA9</f>
        <v>0</v>
      </c>
      <c r="AA9" s="93">
        <f>攻击!AB9</f>
        <v>0</v>
      </c>
      <c r="AB9" s="1">
        <f>攻击!AC9*HP!$B9</f>
        <v>0</v>
      </c>
      <c r="AC9" s="1">
        <f>攻击!AD9*HP!$B9</f>
        <v>0</v>
      </c>
      <c r="AD9" s="1">
        <f>攻击!AE9*HP!$B9</f>
        <v>0</v>
      </c>
      <c r="AE9" s="1">
        <f>攻击!AF9*HP!$B9</f>
        <v>0</v>
      </c>
      <c r="AF9" s="1">
        <f>攻击!AG9*HP!$B9</f>
        <v>0</v>
      </c>
      <c r="AG9" s="1">
        <f>攻击!AH9*HP!$B9</f>
        <v>0</v>
      </c>
      <c r="AH9" s="1">
        <f>攻击!AI9*HP!$B9</f>
        <v>0</v>
      </c>
      <c r="AI9" s="1">
        <f>攻击!AJ9*HP!$B9</f>
        <v>0</v>
      </c>
      <c r="AJ9" s="1">
        <f>攻击!AK9*HP!$B9</f>
        <v>0</v>
      </c>
      <c r="AK9" s="1">
        <f>攻击!AL9*HP!$B9</f>
        <v>0</v>
      </c>
      <c r="AL9" s="93">
        <f>攻击!AM9</f>
        <v>0</v>
      </c>
      <c r="AM9" s="93">
        <f>攻击!AN9</f>
        <v>0</v>
      </c>
      <c r="AN9" s="93">
        <f>攻击!AO9</f>
        <v>0</v>
      </c>
      <c r="AO9" s="93">
        <f>攻击!AP9</f>
        <v>0</v>
      </c>
      <c r="AP9" s="93">
        <f>攻击!AQ9</f>
        <v>0</v>
      </c>
      <c r="AQ9" s="1">
        <f>攻击!AR9*HP!$B9</f>
        <v>44</v>
      </c>
      <c r="AR9" s="1">
        <f t="shared" si="0"/>
        <v>594</v>
      </c>
    </row>
    <row r="10" spans="1:44">
      <c r="A10" s="46">
        <v>8</v>
      </c>
      <c r="B10" s="1">
        <f t="shared" si="1"/>
        <v>10</v>
      </c>
      <c r="C10" s="1">
        <f>攻击!D10*HP!$B10</f>
        <v>240</v>
      </c>
      <c r="D10" s="1">
        <f>攻击!E10*HP!$B10</f>
        <v>288</v>
      </c>
      <c r="E10" s="1">
        <f>攻击!F10*HP!$B10</f>
        <v>360</v>
      </c>
      <c r="F10" s="1">
        <f>攻击!G10*HP!$B10</f>
        <v>480</v>
      </c>
      <c r="G10" s="1">
        <f>攻击!H10*HP!$B10</f>
        <v>600</v>
      </c>
      <c r="H10" s="1">
        <f>攻击!I10*HP!$B10</f>
        <v>90</v>
      </c>
      <c r="I10" s="1">
        <f>攻击!J10*HP!$B10</f>
        <v>0</v>
      </c>
      <c r="J10" s="1">
        <f>攻击!K10*HP!$B10</f>
        <v>0</v>
      </c>
      <c r="K10" s="1">
        <f>攻击!L10*HP!$B10</f>
        <v>0</v>
      </c>
      <c r="L10" s="1">
        <f>攻击!M10*HP!$B10</f>
        <v>0</v>
      </c>
      <c r="M10" s="1">
        <f>攻击!N10*HP!$B10</f>
        <v>288</v>
      </c>
      <c r="N10" s="1">
        <f>攻击!O10*HP!$B10</f>
        <v>360</v>
      </c>
      <c r="O10" s="1">
        <f>攻击!P10*HP!$B10</f>
        <v>480</v>
      </c>
      <c r="P10" s="1">
        <f>攻击!Q10*HP!$B10</f>
        <v>600</v>
      </c>
      <c r="Q10" s="1">
        <f>攻击!R10*HP!$B10</f>
        <v>720</v>
      </c>
      <c r="R10" s="1">
        <f>攻击!S10*HP!$B10</f>
        <v>840</v>
      </c>
      <c r="S10" s="1">
        <f>攻击!T10*HP!$B10</f>
        <v>0</v>
      </c>
      <c r="T10" s="1">
        <f>攻击!U10*HP!$B10</f>
        <v>72</v>
      </c>
      <c r="U10" s="1">
        <f>攻击!V10*HP!$B10</f>
        <v>0</v>
      </c>
      <c r="V10" s="1">
        <f>攻击!W10*HP!$B10</f>
        <v>12.000000000000002</v>
      </c>
      <c r="W10" s="93">
        <f>攻击!X10</f>
        <v>0</v>
      </c>
      <c r="X10" s="93">
        <f>攻击!Y10</f>
        <v>0</v>
      </c>
      <c r="Y10" s="93">
        <f>攻击!Z10</f>
        <v>0</v>
      </c>
      <c r="Z10" s="93">
        <f>攻击!AA10</f>
        <v>0</v>
      </c>
      <c r="AA10" s="93">
        <f>攻击!AB10</f>
        <v>0</v>
      </c>
      <c r="AB10" s="1">
        <f>攻击!AC10*HP!$B10</f>
        <v>0</v>
      </c>
      <c r="AC10" s="1">
        <f>攻击!AD10*HP!$B10</f>
        <v>0</v>
      </c>
      <c r="AD10" s="1">
        <f>攻击!AE10*HP!$B10</f>
        <v>0</v>
      </c>
      <c r="AE10" s="1">
        <f>攻击!AF10*HP!$B10</f>
        <v>0</v>
      </c>
      <c r="AF10" s="1">
        <f>攻击!AG10*HP!$B10</f>
        <v>0</v>
      </c>
      <c r="AG10" s="1">
        <f>攻击!AH10*HP!$B10</f>
        <v>0</v>
      </c>
      <c r="AH10" s="1">
        <f>攻击!AI10*HP!$B10</f>
        <v>0</v>
      </c>
      <c r="AI10" s="1">
        <f>攻击!AJ10*HP!$B10</f>
        <v>0</v>
      </c>
      <c r="AJ10" s="1">
        <f>攻击!AK10*HP!$B10</f>
        <v>0</v>
      </c>
      <c r="AK10" s="1">
        <f>攻击!AL10*HP!$B10</f>
        <v>0</v>
      </c>
      <c r="AL10" s="93">
        <f>攻击!AM10</f>
        <v>0</v>
      </c>
      <c r="AM10" s="93">
        <f>攻击!AN10</f>
        <v>0</v>
      </c>
      <c r="AN10" s="93">
        <f>攻击!AO10</f>
        <v>0</v>
      </c>
      <c r="AO10" s="93">
        <f>攻击!AP10</f>
        <v>0</v>
      </c>
      <c r="AP10" s="93">
        <f>攻击!AQ10</f>
        <v>0</v>
      </c>
      <c r="AQ10" s="1">
        <f>攻击!AR10*HP!$B10</f>
        <v>48.000000000000007</v>
      </c>
      <c r="AR10" s="1">
        <f t="shared" si="0"/>
        <v>648</v>
      </c>
    </row>
    <row r="11" spans="1:44">
      <c r="A11" s="46">
        <v>9</v>
      </c>
      <c r="B11" s="1">
        <f t="shared" si="1"/>
        <v>10</v>
      </c>
      <c r="C11" s="1">
        <f>攻击!D11*HP!$B11</f>
        <v>260</v>
      </c>
      <c r="D11" s="1">
        <f>攻击!E11*HP!$B11</f>
        <v>312</v>
      </c>
      <c r="E11" s="1">
        <f>攻击!F11*HP!$B11</f>
        <v>390</v>
      </c>
      <c r="F11" s="1">
        <f>攻击!G11*HP!$B11</f>
        <v>520</v>
      </c>
      <c r="G11" s="1">
        <f>攻击!H11*HP!$B11</f>
        <v>650</v>
      </c>
      <c r="H11" s="1">
        <f>攻击!I11*HP!$B11</f>
        <v>90</v>
      </c>
      <c r="I11" s="1">
        <f>攻击!J11*HP!$B11</f>
        <v>0</v>
      </c>
      <c r="J11" s="1">
        <f>攻击!K11*HP!$B11</f>
        <v>0</v>
      </c>
      <c r="K11" s="1">
        <f>攻击!L11*HP!$B11</f>
        <v>0</v>
      </c>
      <c r="L11" s="1">
        <f>攻击!M11*HP!$B11</f>
        <v>0</v>
      </c>
      <c r="M11" s="1">
        <f>攻击!N11*HP!$B11</f>
        <v>312</v>
      </c>
      <c r="N11" s="1">
        <f>攻击!O11*HP!$B11</f>
        <v>390</v>
      </c>
      <c r="O11" s="1">
        <f>攻击!P11*HP!$B11</f>
        <v>520</v>
      </c>
      <c r="P11" s="1">
        <f>攻击!Q11*HP!$B11</f>
        <v>650</v>
      </c>
      <c r="Q11" s="1">
        <f>攻击!R11*HP!$B11</f>
        <v>780</v>
      </c>
      <c r="R11" s="1">
        <f>攻击!S11*HP!$B11</f>
        <v>910</v>
      </c>
      <c r="S11" s="1">
        <f>攻击!T11*HP!$B11</f>
        <v>0</v>
      </c>
      <c r="T11" s="1">
        <f>攻击!U11*HP!$B11</f>
        <v>78</v>
      </c>
      <c r="U11" s="1">
        <f>攻击!V11*HP!$B11</f>
        <v>0</v>
      </c>
      <c r="V11" s="1">
        <f>攻击!W11*HP!$B11</f>
        <v>13</v>
      </c>
      <c r="W11" s="93">
        <f>攻击!X11</f>
        <v>0</v>
      </c>
      <c r="X11" s="93">
        <f>攻击!Y11</f>
        <v>0</v>
      </c>
      <c r="Y11" s="93">
        <f>攻击!Z11</f>
        <v>0</v>
      </c>
      <c r="Z11" s="93">
        <f>攻击!AA11</f>
        <v>0</v>
      </c>
      <c r="AA11" s="93">
        <f>攻击!AB11</f>
        <v>0</v>
      </c>
      <c r="AB11" s="1">
        <f>攻击!AC11*HP!$B11</f>
        <v>0</v>
      </c>
      <c r="AC11" s="1">
        <f>攻击!AD11*HP!$B11</f>
        <v>0</v>
      </c>
      <c r="AD11" s="1">
        <f>攻击!AE11*HP!$B11</f>
        <v>0</v>
      </c>
      <c r="AE11" s="1">
        <f>攻击!AF11*HP!$B11</f>
        <v>0</v>
      </c>
      <c r="AF11" s="1">
        <f>攻击!AG11*HP!$B11</f>
        <v>0</v>
      </c>
      <c r="AG11" s="1">
        <f>攻击!AH11*HP!$B11</f>
        <v>0</v>
      </c>
      <c r="AH11" s="1">
        <f>攻击!AI11*HP!$B11</f>
        <v>0</v>
      </c>
      <c r="AI11" s="1">
        <f>攻击!AJ11*HP!$B11</f>
        <v>0</v>
      </c>
      <c r="AJ11" s="1">
        <f>攻击!AK11*HP!$B11</f>
        <v>0</v>
      </c>
      <c r="AK11" s="1">
        <f>攻击!AL11*HP!$B11</f>
        <v>0</v>
      </c>
      <c r="AL11" s="93">
        <f>攻击!AM11</f>
        <v>0</v>
      </c>
      <c r="AM11" s="93">
        <f>攻击!AN11</f>
        <v>0</v>
      </c>
      <c r="AN11" s="93">
        <f>攻击!AO11</f>
        <v>0</v>
      </c>
      <c r="AO11" s="93">
        <f>攻击!AP11</f>
        <v>0</v>
      </c>
      <c r="AP11" s="93">
        <f>攻击!AQ11</f>
        <v>0</v>
      </c>
      <c r="AQ11" s="1">
        <f>攻击!AR11*HP!$B11</f>
        <v>52</v>
      </c>
      <c r="AR11" s="1">
        <f t="shared" si="0"/>
        <v>702</v>
      </c>
    </row>
    <row r="12" spans="1:44">
      <c r="A12" s="46">
        <v>10</v>
      </c>
      <c r="B12" s="1">
        <f t="shared" si="1"/>
        <v>10</v>
      </c>
      <c r="C12" s="1">
        <f>攻击!D12*HP!$B12</f>
        <v>280</v>
      </c>
      <c r="D12" s="1">
        <f>攻击!E12*HP!$B12</f>
        <v>336</v>
      </c>
      <c r="E12" s="1">
        <f>攻击!F12*HP!$B12</f>
        <v>420</v>
      </c>
      <c r="F12" s="1">
        <f>攻击!G12*HP!$B12</f>
        <v>560</v>
      </c>
      <c r="G12" s="1">
        <f>攻击!H12*HP!$B12</f>
        <v>700</v>
      </c>
      <c r="H12" s="1">
        <f>攻击!I12*HP!$B12</f>
        <v>140</v>
      </c>
      <c r="I12" s="1">
        <f>攻击!J12*HP!$B12</f>
        <v>84</v>
      </c>
      <c r="J12" s="1">
        <f>攻击!K12*HP!$B12</f>
        <v>0</v>
      </c>
      <c r="K12" s="1">
        <f>攻击!L12*HP!$B12</f>
        <v>0</v>
      </c>
      <c r="L12" s="1">
        <f>攻击!M12*HP!$B12</f>
        <v>0</v>
      </c>
      <c r="M12" s="1">
        <f>攻击!N12*HP!$B12</f>
        <v>336</v>
      </c>
      <c r="N12" s="1">
        <f>攻击!O12*HP!$B12</f>
        <v>420</v>
      </c>
      <c r="O12" s="1">
        <f>攻击!P12*HP!$B12</f>
        <v>560</v>
      </c>
      <c r="P12" s="1">
        <f>攻击!Q12*HP!$B12</f>
        <v>700</v>
      </c>
      <c r="Q12" s="1">
        <f>攻击!R12*HP!$B12</f>
        <v>840</v>
      </c>
      <c r="R12" s="1">
        <f>攻击!S12*HP!$B12</f>
        <v>980</v>
      </c>
      <c r="S12" s="1">
        <f>攻击!T12*HP!$B12</f>
        <v>0</v>
      </c>
      <c r="T12" s="1">
        <f>攻击!U12*HP!$B12</f>
        <v>84</v>
      </c>
      <c r="U12" s="1">
        <f>攻击!V12*HP!$B12</f>
        <v>0</v>
      </c>
      <c r="V12" s="1">
        <f>攻击!W12*HP!$B12</f>
        <v>14.000000000000002</v>
      </c>
      <c r="W12" s="93">
        <f>攻击!X12</f>
        <v>0</v>
      </c>
      <c r="X12" s="93">
        <f>攻击!Y12</f>
        <v>0</v>
      </c>
      <c r="Y12" s="93">
        <f>攻击!Z12</f>
        <v>0</v>
      </c>
      <c r="Z12" s="93">
        <f>攻击!AA12</f>
        <v>0</v>
      </c>
      <c r="AA12" s="93">
        <f>攻击!AB12</f>
        <v>0</v>
      </c>
      <c r="AB12" s="1">
        <f>攻击!AC12*HP!$B12</f>
        <v>0</v>
      </c>
      <c r="AC12" s="1">
        <f>攻击!AD12*HP!$B12</f>
        <v>0</v>
      </c>
      <c r="AD12" s="1">
        <f>攻击!AE12*HP!$B12</f>
        <v>0</v>
      </c>
      <c r="AE12" s="1">
        <f>攻击!AF12*HP!$B12</f>
        <v>0</v>
      </c>
      <c r="AF12" s="1">
        <f>攻击!AG12*HP!$B12</f>
        <v>0</v>
      </c>
      <c r="AG12" s="1">
        <f>攻击!AH12*HP!$B12</f>
        <v>0</v>
      </c>
      <c r="AH12" s="1">
        <f>攻击!AI12*HP!$B12</f>
        <v>0</v>
      </c>
      <c r="AI12" s="1">
        <f>攻击!AJ12*HP!$B12</f>
        <v>0</v>
      </c>
      <c r="AJ12" s="1">
        <f>攻击!AK12*HP!$B12</f>
        <v>0</v>
      </c>
      <c r="AK12" s="1">
        <f>攻击!AL12*HP!$B12</f>
        <v>0</v>
      </c>
      <c r="AL12" s="93">
        <f>攻击!AM12</f>
        <v>0</v>
      </c>
      <c r="AM12" s="93">
        <f>攻击!AN12</f>
        <v>0</v>
      </c>
      <c r="AN12" s="93">
        <f>攻击!AO12</f>
        <v>0</v>
      </c>
      <c r="AO12" s="93">
        <f>攻击!AP12</f>
        <v>0</v>
      </c>
      <c r="AP12" s="93">
        <f>攻击!AQ12</f>
        <v>0</v>
      </c>
      <c r="AQ12" s="1">
        <f>攻击!AR12*HP!$B12</f>
        <v>56.000000000000007</v>
      </c>
      <c r="AR12" s="1">
        <f t="shared" si="0"/>
        <v>756</v>
      </c>
    </row>
    <row r="13" spans="1:44">
      <c r="A13" s="46">
        <v>11</v>
      </c>
      <c r="B13" s="1">
        <f t="shared" si="1"/>
        <v>10</v>
      </c>
      <c r="C13" s="1">
        <f>攻击!D13*HP!$B13</f>
        <v>300</v>
      </c>
      <c r="D13" s="1">
        <f>攻击!E13*HP!$B13</f>
        <v>360</v>
      </c>
      <c r="E13" s="1">
        <f>攻击!F13*HP!$B13</f>
        <v>450</v>
      </c>
      <c r="F13" s="1">
        <f>攻击!G13*HP!$B13</f>
        <v>600</v>
      </c>
      <c r="G13" s="1">
        <f>攻击!H13*HP!$B13</f>
        <v>750</v>
      </c>
      <c r="H13" s="1">
        <f>攻击!I13*HP!$B13</f>
        <v>140</v>
      </c>
      <c r="I13" s="1">
        <f>攻击!J13*HP!$B13</f>
        <v>90</v>
      </c>
      <c r="J13" s="1">
        <f>攻击!K13*HP!$B13</f>
        <v>0</v>
      </c>
      <c r="K13" s="1">
        <f>攻击!L13*HP!$B13</f>
        <v>0</v>
      </c>
      <c r="L13" s="1">
        <f>攻击!M13*HP!$B13</f>
        <v>0</v>
      </c>
      <c r="M13" s="1">
        <f>攻击!N13*HP!$B13</f>
        <v>360</v>
      </c>
      <c r="N13" s="1">
        <f>攻击!O13*HP!$B13</f>
        <v>450</v>
      </c>
      <c r="O13" s="1">
        <f>攻击!P13*HP!$B13</f>
        <v>600</v>
      </c>
      <c r="P13" s="1">
        <f>攻击!Q13*HP!$B13</f>
        <v>750</v>
      </c>
      <c r="Q13" s="1">
        <f>攻击!R13*HP!$B13</f>
        <v>900</v>
      </c>
      <c r="R13" s="1">
        <f>攻击!S13*HP!$B13</f>
        <v>1050</v>
      </c>
      <c r="S13" s="1">
        <f>攻击!T13*HP!$B13</f>
        <v>0</v>
      </c>
      <c r="T13" s="1">
        <f>攻击!U13*HP!$B13</f>
        <v>90</v>
      </c>
      <c r="U13" s="1">
        <f>攻击!V13*HP!$B13</f>
        <v>0</v>
      </c>
      <c r="V13" s="1">
        <f>攻击!W13*HP!$B13</f>
        <v>15</v>
      </c>
      <c r="W13" s="93">
        <f>攻击!X13</f>
        <v>0</v>
      </c>
      <c r="X13" s="93">
        <f>攻击!Y13</f>
        <v>0</v>
      </c>
      <c r="Y13" s="93">
        <f>攻击!Z13</f>
        <v>0</v>
      </c>
      <c r="Z13" s="93">
        <f>攻击!AA13</f>
        <v>0</v>
      </c>
      <c r="AA13" s="93">
        <f>攻击!AB13</f>
        <v>0</v>
      </c>
      <c r="AB13" s="1">
        <f>攻击!AC13*HP!$B13</f>
        <v>0</v>
      </c>
      <c r="AC13" s="1">
        <f>攻击!AD13*HP!$B13</f>
        <v>0</v>
      </c>
      <c r="AD13" s="1">
        <f>攻击!AE13*HP!$B13</f>
        <v>0</v>
      </c>
      <c r="AE13" s="1">
        <f>攻击!AF13*HP!$B13</f>
        <v>0</v>
      </c>
      <c r="AF13" s="1">
        <f>攻击!AG13*HP!$B13</f>
        <v>0</v>
      </c>
      <c r="AG13" s="1">
        <f>攻击!AH13*HP!$B13</f>
        <v>0</v>
      </c>
      <c r="AH13" s="1">
        <f>攻击!AI13*HP!$B13</f>
        <v>0</v>
      </c>
      <c r="AI13" s="1">
        <f>攻击!AJ13*HP!$B13</f>
        <v>0</v>
      </c>
      <c r="AJ13" s="1">
        <f>攻击!AK13*HP!$B13</f>
        <v>0</v>
      </c>
      <c r="AK13" s="1">
        <f>攻击!AL13*HP!$B13</f>
        <v>0</v>
      </c>
      <c r="AL13" s="93">
        <f>攻击!AM13</f>
        <v>0</v>
      </c>
      <c r="AM13" s="93">
        <f>攻击!AN13</f>
        <v>0</v>
      </c>
      <c r="AN13" s="93">
        <f>攻击!AO13</f>
        <v>0</v>
      </c>
      <c r="AO13" s="93">
        <f>攻击!AP13</f>
        <v>0</v>
      </c>
      <c r="AP13" s="93">
        <f>攻击!AQ13</f>
        <v>0</v>
      </c>
      <c r="AQ13" s="1">
        <f>攻击!AR13*HP!$B13</f>
        <v>60</v>
      </c>
      <c r="AR13" s="1">
        <f t="shared" si="0"/>
        <v>810</v>
      </c>
    </row>
    <row r="14" spans="1:44">
      <c r="A14" s="46">
        <v>12</v>
      </c>
      <c r="B14" s="1">
        <f t="shared" si="1"/>
        <v>10</v>
      </c>
      <c r="C14" s="1">
        <f>攻击!D14*HP!$B14</f>
        <v>320</v>
      </c>
      <c r="D14" s="1">
        <f>攻击!E14*HP!$B14</f>
        <v>384</v>
      </c>
      <c r="E14" s="1">
        <f>攻击!F14*HP!$B14</f>
        <v>480</v>
      </c>
      <c r="F14" s="1">
        <f>攻击!G14*HP!$B14</f>
        <v>640</v>
      </c>
      <c r="G14" s="1">
        <f>攻击!H14*HP!$B14</f>
        <v>800</v>
      </c>
      <c r="H14" s="1">
        <f>攻击!I14*HP!$B14</f>
        <v>140</v>
      </c>
      <c r="I14" s="1">
        <f>攻击!J14*HP!$B14</f>
        <v>96</v>
      </c>
      <c r="J14" s="1">
        <f>攻击!K14*HP!$B14</f>
        <v>0</v>
      </c>
      <c r="K14" s="1">
        <f>攻击!L14*HP!$B14</f>
        <v>0</v>
      </c>
      <c r="L14" s="1">
        <f>攻击!M14*HP!$B14</f>
        <v>0</v>
      </c>
      <c r="M14" s="1">
        <f>攻击!N14*HP!$B14</f>
        <v>384</v>
      </c>
      <c r="N14" s="1">
        <f>攻击!O14*HP!$B14</f>
        <v>480</v>
      </c>
      <c r="O14" s="1">
        <f>攻击!P14*HP!$B14</f>
        <v>640</v>
      </c>
      <c r="P14" s="1">
        <f>攻击!Q14*HP!$B14</f>
        <v>800</v>
      </c>
      <c r="Q14" s="1">
        <f>攻击!R14*HP!$B14</f>
        <v>960</v>
      </c>
      <c r="R14" s="1">
        <f>攻击!S14*HP!$B14</f>
        <v>1120</v>
      </c>
      <c r="S14" s="1">
        <f>攻击!T14*HP!$B14</f>
        <v>0</v>
      </c>
      <c r="T14" s="1">
        <f>攻击!U14*HP!$B14</f>
        <v>96</v>
      </c>
      <c r="U14" s="1">
        <f>攻击!V14*HP!$B14</f>
        <v>0</v>
      </c>
      <c r="V14" s="1">
        <f>攻击!W14*HP!$B14</f>
        <v>16</v>
      </c>
      <c r="W14" s="93">
        <f>攻击!X14</f>
        <v>0</v>
      </c>
      <c r="X14" s="93">
        <f>攻击!Y14</f>
        <v>0</v>
      </c>
      <c r="Y14" s="93">
        <f>攻击!Z14</f>
        <v>0</v>
      </c>
      <c r="Z14" s="93">
        <f>攻击!AA14</f>
        <v>0</v>
      </c>
      <c r="AA14" s="93">
        <f>攻击!AB14</f>
        <v>0</v>
      </c>
      <c r="AB14" s="1">
        <f>攻击!AC14*HP!$B14</f>
        <v>0</v>
      </c>
      <c r="AC14" s="1">
        <f>攻击!AD14*HP!$B14</f>
        <v>0</v>
      </c>
      <c r="AD14" s="1">
        <f>攻击!AE14*HP!$B14</f>
        <v>0</v>
      </c>
      <c r="AE14" s="1">
        <f>攻击!AF14*HP!$B14</f>
        <v>0</v>
      </c>
      <c r="AF14" s="1">
        <f>攻击!AG14*HP!$B14</f>
        <v>0</v>
      </c>
      <c r="AG14" s="1">
        <f>攻击!AH14*HP!$B14</f>
        <v>0</v>
      </c>
      <c r="AH14" s="1">
        <f>攻击!AI14*HP!$B14</f>
        <v>0</v>
      </c>
      <c r="AI14" s="1">
        <f>攻击!AJ14*HP!$B14</f>
        <v>0</v>
      </c>
      <c r="AJ14" s="1">
        <f>攻击!AK14*HP!$B14</f>
        <v>0</v>
      </c>
      <c r="AK14" s="1">
        <f>攻击!AL14*HP!$B14</f>
        <v>0</v>
      </c>
      <c r="AL14" s="93">
        <f>攻击!AM14</f>
        <v>0</v>
      </c>
      <c r="AM14" s="93">
        <f>攻击!AN14</f>
        <v>0</v>
      </c>
      <c r="AN14" s="93">
        <f>攻击!AO14</f>
        <v>0</v>
      </c>
      <c r="AO14" s="93">
        <f>攻击!AP14</f>
        <v>0</v>
      </c>
      <c r="AP14" s="93">
        <f>攻击!AQ14</f>
        <v>0</v>
      </c>
      <c r="AQ14" s="1">
        <f>攻击!AR14*HP!$B14</f>
        <v>64</v>
      </c>
      <c r="AR14" s="1">
        <f t="shared" si="0"/>
        <v>864</v>
      </c>
    </row>
    <row r="15" spans="1:44">
      <c r="A15" s="46">
        <v>13</v>
      </c>
      <c r="B15" s="1">
        <f t="shared" si="1"/>
        <v>10</v>
      </c>
      <c r="C15" s="1">
        <f>攻击!D15*HP!$B15</f>
        <v>340</v>
      </c>
      <c r="D15" s="1">
        <f>攻击!E15*HP!$B15</f>
        <v>408</v>
      </c>
      <c r="E15" s="1">
        <f>攻击!F15*HP!$B15</f>
        <v>510</v>
      </c>
      <c r="F15" s="1">
        <f>攻击!G15*HP!$B15</f>
        <v>680</v>
      </c>
      <c r="G15" s="1">
        <f>攻击!H15*HP!$B15</f>
        <v>850</v>
      </c>
      <c r="H15" s="1">
        <f>攻击!I15*HP!$B15</f>
        <v>140</v>
      </c>
      <c r="I15" s="1">
        <f>攻击!J15*HP!$B15</f>
        <v>102</v>
      </c>
      <c r="J15" s="1">
        <f>攻击!K15*HP!$B15</f>
        <v>0</v>
      </c>
      <c r="K15" s="1">
        <f>攻击!L15*HP!$B15</f>
        <v>0</v>
      </c>
      <c r="L15" s="1">
        <f>攻击!M15*HP!$B15</f>
        <v>0</v>
      </c>
      <c r="M15" s="1">
        <f>攻击!N15*HP!$B15</f>
        <v>408</v>
      </c>
      <c r="N15" s="1">
        <f>攻击!O15*HP!$B15</f>
        <v>510</v>
      </c>
      <c r="O15" s="1">
        <f>攻击!P15*HP!$B15</f>
        <v>680</v>
      </c>
      <c r="P15" s="1">
        <f>攻击!Q15*HP!$B15</f>
        <v>850</v>
      </c>
      <c r="Q15" s="1">
        <f>攻击!R15*HP!$B15</f>
        <v>1020</v>
      </c>
      <c r="R15" s="1">
        <f>攻击!S15*HP!$B15</f>
        <v>1190</v>
      </c>
      <c r="S15" s="1">
        <f>攻击!T15*HP!$B15</f>
        <v>0</v>
      </c>
      <c r="T15" s="1">
        <f>攻击!U15*HP!$B15</f>
        <v>102</v>
      </c>
      <c r="U15" s="1">
        <f>攻击!V15*HP!$B15</f>
        <v>0</v>
      </c>
      <c r="V15" s="1">
        <f>攻击!W15*HP!$B15</f>
        <v>17</v>
      </c>
      <c r="W15" s="93">
        <f>攻击!X15</f>
        <v>0</v>
      </c>
      <c r="X15" s="93">
        <f>攻击!Y15</f>
        <v>0</v>
      </c>
      <c r="Y15" s="93">
        <f>攻击!Z15</f>
        <v>0</v>
      </c>
      <c r="Z15" s="93">
        <f>攻击!AA15</f>
        <v>0</v>
      </c>
      <c r="AA15" s="93">
        <f>攻击!AB15</f>
        <v>0</v>
      </c>
      <c r="AB15" s="1">
        <f>攻击!AC15*HP!$B15</f>
        <v>0</v>
      </c>
      <c r="AC15" s="1">
        <f>攻击!AD15*HP!$B15</f>
        <v>0</v>
      </c>
      <c r="AD15" s="1">
        <f>攻击!AE15*HP!$B15</f>
        <v>0</v>
      </c>
      <c r="AE15" s="1">
        <f>攻击!AF15*HP!$B15</f>
        <v>0</v>
      </c>
      <c r="AF15" s="1">
        <f>攻击!AG15*HP!$B15</f>
        <v>0</v>
      </c>
      <c r="AG15" s="1">
        <f>攻击!AH15*HP!$B15</f>
        <v>0</v>
      </c>
      <c r="AH15" s="1">
        <f>攻击!AI15*HP!$B15</f>
        <v>0</v>
      </c>
      <c r="AI15" s="1">
        <f>攻击!AJ15*HP!$B15</f>
        <v>0</v>
      </c>
      <c r="AJ15" s="1">
        <f>攻击!AK15*HP!$B15</f>
        <v>0</v>
      </c>
      <c r="AK15" s="1">
        <f>攻击!AL15*HP!$B15</f>
        <v>0</v>
      </c>
      <c r="AL15" s="93">
        <f>攻击!AM15</f>
        <v>0</v>
      </c>
      <c r="AM15" s="93">
        <f>攻击!AN15</f>
        <v>0</v>
      </c>
      <c r="AN15" s="93">
        <f>攻击!AO15</f>
        <v>0</v>
      </c>
      <c r="AO15" s="93">
        <f>攻击!AP15</f>
        <v>0</v>
      </c>
      <c r="AP15" s="93">
        <f>攻击!AQ15</f>
        <v>0</v>
      </c>
      <c r="AQ15" s="1">
        <f>攻击!AR15*HP!$B15</f>
        <v>68</v>
      </c>
      <c r="AR15" s="1">
        <f t="shared" si="0"/>
        <v>918</v>
      </c>
    </row>
    <row r="16" spans="1:44">
      <c r="A16" s="46">
        <v>14</v>
      </c>
      <c r="B16" s="1">
        <f t="shared" si="1"/>
        <v>10</v>
      </c>
      <c r="C16" s="1">
        <f>攻击!D16*HP!$B16</f>
        <v>360</v>
      </c>
      <c r="D16" s="1">
        <f>攻击!E16*HP!$B16</f>
        <v>431.99999999999994</v>
      </c>
      <c r="E16" s="1">
        <f>攻击!F16*HP!$B16</f>
        <v>540</v>
      </c>
      <c r="F16" s="1">
        <f>攻击!G16*HP!$B16</f>
        <v>720</v>
      </c>
      <c r="G16" s="1">
        <f>攻击!H16*HP!$B16</f>
        <v>900</v>
      </c>
      <c r="H16" s="1">
        <f>攻击!I16*HP!$B16</f>
        <v>140</v>
      </c>
      <c r="I16" s="1">
        <f>攻击!J16*HP!$B16</f>
        <v>107.99999999999999</v>
      </c>
      <c r="J16" s="1">
        <f>攻击!K16*HP!$B16</f>
        <v>0</v>
      </c>
      <c r="K16" s="1">
        <f>攻击!L16*HP!$B16</f>
        <v>0</v>
      </c>
      <c r="L16" s="1">
        <f>攻击!M16*HP!$B16</f>
        <v>0</v>
      </c>
      <c r="M16" s="1">
        <f>攻击!N16*HP!$B16</f>
        <v>431.99999999999994</v>
      </c>
      <c r="N16" s="1">
        <f>攻击!O16*HP!$B16</f>
        <v>540</v>
      </c>
      <c r="O16" s="1">
        <f>攻击!P16*HP!$B16</f>
        <v>720</v>
      </c>
      <c r="P16" s="1">
        <f>攻击!Q16*HP!$B16</f>
        <v>900</v>
      </c>
      <c r="Q16" s="1">
        <f>攻击!R16*HP!$B16</f>
        <v>1080</v>
      </c>
      <c r="R16" s="1">
        <f>攻击!S16*HP!$B16</f>
        <v>1260</v>
      </c>
      <c r="S16" s="1">
        <f>攻击!T16*HP!$B16</f>
        <v>0</v>
      </c>
      <c r="T16" s="1">
        <f>攻击!U16*HP!$B16</f>
        <v>107.99999999999999</v>
      </c>
      <c r="U16" s="1">
        <f>攻击!V16*HP!$B16</f>
        <v>0</v>
      </c>
      <c r="V16" s="1">
        <f>攻击!W16*HP!$B16</f>
        <v>18</v>
      </c>
      <c r="W16" s="93">
        <f>攻击!X16</f>
        <v>0</v>
      </c>
      <c r="X16" s="93">
        <f>攻击!Y16</f>
        <v>0</v>
      </c>
      <c r="Y16" s="93">
        <f>攻击!Z16</f>
        <v>0</v>
      </c>
      <c r="Z16" s="93">
        <f>攻击!AA16</f>
        <v>0</v>
      </c>
      <c r="AA16" s="93">
        <f>攻击!AB16</f>
        <v>0</v>
      </c>
      <c r="AB16" s="1">
        <f>攻击!AC16*HP!$B16</f>
        <v>0</v>
      </c>
      <c r="AC16" s="1">
        <f>攻击!AD16*HP!$B16</f>
        <v>0</v>
      </c>
      <c r="AD16" s="1">
        <f>攻击!AE16*HP!$B16</f>
        <v>0</v>
      </c>
      <c r="AE16" s="1">
        <f>攻击!AF16*HP!$B16</f>
        <v>0</v>
      </c>
      <c r="AF16" s="1">
        <f>攻击!AG16*HP!$B16</f>
        <v>0</v>
      </c>
      <c r="AG16" s="1">
        <f>攻击!AH16*HP!$B16</f>
        <v>0</v>
      </c>
      <c r="AH16" s="1">
        <f>攻击!AI16*HP!$B16</f>
        <v>0</v>
      </c>
      <c r="AI16" s="1">
        <f>攻击!AJ16*HP!$B16</f>
        <v>0</v>
      </c>
      <c r="AJ16" s="1">
        <f>攻击!AK16*HP!$B16</f>
        <v>0</v>
      </c>
      <c r="AK16" s="1">
        <f>攻击!AL16*HP!$B16</f>
        <v>0</v>
      </c>
      <c r="AL16" s="93">
        <f>攻击!AM16</f>
        <v>0</v>
      </c>
      <c r="AM16" s="93">
        <f>攻击!AN16</f>
        <v>0</v>
      </c>
      <c r="AN16" s="93">
        <f>攻击!AO16</f>
        <v>0</v>
      </c>
      <c r="AO16" s="93">
        <f>攻击!AP16</f>
        <v>0</v>
      </c>
      <c r="AP16" s="93">
        <f>攻击!AQ16</f>
        <v>0</v>
      </c>
      <c r="AQ16" s="1">
        <f>攻击!AR16*HP!$B16</f>
        <v>72</v>
      </c>
      <c r="AR16" s="1">
        <f t="shared" si="0"/>
        <v>972</v>
      </c>
    </row>
    <row r="17" spans="1:44">
      <c r="A17" s="46">
        <v>15</v>
      </c>
      <c r="B17" s="1">
        <f t="shared" si="1"/>
        <v>10</v>
      </c>
      <c r="C17" s="1">
        <f>攻击!D17*HP!$B17</f>
        <v>380</v>
      </c>
      <c r="D17" s="1">
        <f>攻击!E17*HP!$B17</f>
        <v>456</v>
      </c>
      <c r="E17" s="1">
        <f>攻击!F17*HP!$B17</f>
        <v>570</v>
      </c>
      <c r="F17" s="1">
        <f>攻击!G17*HP!$B17</f>
        <v>760</v>
      </c>
      <c r="G17" s="1">
        <f>攻击!H17*HP!$B17</f>
        <v>950</v>
      </c>
      <c r="H17" s="1">
        <f>攻击!I17*HP!$B17</f>
        <v>190</v>
      </c>
      <c r="I17" s="1">
        <f>攻击!J17*HP!$B17</f>
        <v>114</v>
      </c>
      <c r="J17" s="1">
        <f>攻击!K17*HP!$B17</f>
        <v>228</v>
      </c>
      <c r="K17" s="1">
        <f>攻击!L17*HP!$B17</f>
        <v>0</v>
      </c>
      <c r="L17" s="1">
        <f>攻击!M17*HP!$B17</f>
        <v>0</v>
      </c>
      <c r="M17" s="1">
        <f>攻击!N17*HP!$B17</f>
        <v>456</v>
      </c>
      <c r="N17" s="1">
        <f>攻击!O17*HP!$B17</f>
        <v>570</v>
      </c>
      <c r="O17" s="1">
        <f>攻击!P17*HP!$B17</f>
        <v>760</v>
      </c>
      <c r="P17" s="1">
        <f>攻击!Q17*HP!$B17</f>
        <v>950</v>
      </c>
      <c r="Q17" s="1">
        <f>攻击!R17*HP!$B17</f>
        <v>1140</v>
      </c>
      <c r="R17" s="1">
        <f>攻击!S17*HP!$B17</f>
        <v>1330</v>
      </c>
      <c r="S17" s="1">
        <f>攻击!T17*HP!$B17</f>
        <v>0</v>
      </c>
      <c r="T17" s="1">
        <f>攻击!U17*HP!$B17</f>
        <v>114</v>
      </c>
      <c r="U17" s="1">
        <f>攻击!V17*HP!$B17</f>
        <v>0</v>
      </c>
      <c r="V17" s="1">
        <f>攻击!W17*HP!$B17</f>
        <v>19</v>
      </c>
      <c r="W17" s="93">
        <f>攻击!X17</f>
        <v>0</v>
      </c>
      <c r="X17" s="93">
        <f>攻击!Y17</f>
        <v>0</v>
      </c>
      <c r="Y17" s="93">
        <f>攻击!Z17</f>
        <v>0</v>
      </c>
      <c r="Z17" s="93">
        <f>攻击!AA17</f>
        <v>0</v>
      </c>
      <c r="AA17" s="93">
        <f>攻击!AB17</f>
        <v>0</v>
      </c>
      <c r="AB17" s="1">
        <f>攻击!AC17*HP!$B17</f>
        <v>380</v>
      </c>
      <c r="AC17" s="1">
        <f>攻击!AD17*HP!$B17</f>
        <v>456</v>
      </c>
      <c r="AD17" s="1">
        <f>攻击!AE17*HP!$B17</f>
        <v>570</v>
      </c>
      <c r="AE17" s="1">
        <f>攻击!AF17*HP!$B17</f>
        <v>760</v>
      </c>
      <c r="AF17" s="1">
        <f>攻击!AG17*HP!$B17</f>
        <v>950</v>
      </c>
      <c r="AG17" s="1">
        <f>攻击!AH17*HP!$B17</f>
        <v>0</v>
      </c>
      <c r="AH17" s="1">
        <f>攻击!AI17*HP!$B17</f>
        <v>76</v>
      </c>
      <c r="AI17" s="1">
        <f>攻击!AJ17*HP!$B17</f>
        <v>0</v>
      </c>
      <c r="AJ17" s="1">
        <f>攻击!AK17*HP!$B17</f>
        <v>11.399999999999999</v>
      </c>
      <c r="AK17" s="1">
        <f>攻击!AL17*HP!$B17</f>
        <v>0</v>
      </c>
      <c r="AL17" s="93">
        <f>攻击!AM17</f>
        <v>0</v>
      </c>
      <c r="AM17" s="93">
        <f>攻击!AN17</f>
        <v>0</v>
      </c>
      <c r="AN17" s="93">
        <f>攻击!AO17</f>
        <v>0</v>
      </c>
      <c r="AO17" s="93">
        <f>攻击!AP17</f>
        <v>0</v>
      </c>
      <c r="AP17" s="93">
        <f>攻击!AQ17</f>
        <v>0</v>
      </c>
      <c r="AQ17" s="1">
        <f>攻击!AR17*HP!$B17</f>
        <v>76</v>
      </c>
      <c r="AR17" s="1">
        <f t="shared" si="0"/>
        <v>1406</v>
      </c>
    </row>
    <row r="18" spans="1:44">
      <c r="A18" s="46">
        <v>16</v>
      </c>
      <c r="B18" s="1">
        <f t="shared" si="1"/>
        <v>10</v>
      </c>
      <c r="C18" s="1">
        <f>攻击!D18*HP!$B18</f>
        <v>400</v>
      </c>
      <c r="D18" s="1">
        <f>攻击!E18*HP!$B18</f>
        <v>480</v>
      </c>
      <c r="E18" s="1">
        <f>攻击!F18*HP!$B18</f>
        <v>600</v>
      </c>
      <c r="F18" s="1">
        <f>攻击!G18*HP!$B18</f>
        <v>800</v>
      </c>
      <c r="G18" s="1">
        <f>攻击!H18*HP!$B18</f>
        <v>1000</v>
      </c>
      <c r="H18" s="1">
        <f>攻击!I18*HP!$B18</f>
        <v>190</v>
      </c>
      <c r="I18" s="1">
        <f>攻击!J18*HP!$B18</f>
        <v>120</v>
      </c>
      <c r="J18" s="1">
        <f>攻击!K18*HP!$B18</f>
        <v>240</v>
      </c>
      <c r="K18" s="1">
        <f>攻击!L18*HP!$B18</f>
        <v>0</v>
      </c>
      <c r="L18" s="1">
        <f>攻击!M18*HP!$B18</f>
        <v>0</v>
      </c>
      <c r="M18" s="1">
        <f>攻击!N18*HP!$B18</f>
        <v>480</v>
      </c>
      <c r="N18" s="1">
        <f>攻击!O18*HP!$B18</f>
        <v>600</v>
      </c>
      <c r="O18" s="1">
        <f>攻击!P18*HP!$B18</f>
        <v>800</v>
      </c>
      <c r="P18" s="1">
        <f>攻击!Q18*HP!$B18</f>
        <v>1000</v>
      </c>
      <c r="Q18" s="1">
        <f>攻击!R18*HP!$B18</f>
        <v>1200</v>
      </c>
      <c r="R18" s="1">
        <f>攻击!S18*HP!$B18</f>
        <v>1400</v>
      </c>
      <c r="S18" s="1">
        <f>攻击!T18*HP!$B18</f>
        <v>0</v>
      </c>
      <c r="T18" s="1">
        <f>攻击!U18*HP!$B18</f>
        <v>120</v>
      </c>
      <c r="U18" s="1">
        <f>攻击!V18*HP!$B18</f>
        <v>0</v>
      </c>
      <c r="V18" s="1">
        <f>攻击!W18*HP!$B18</f>
        <v>20</v>
      </c>
      <c r="W18" s="93">
        <f>攻击!X18</f>
        <v>0</v>
      </c>
      <c r="X18" s="93">
        <f>攻击!Y18</f>
        <v>0</v>
      </c>
      <c r="Y18" s="93">
        <f>攻击!Z18</f>
        <v>0</v>
      </c>
      <c r="Z18" s="93">
        <f>攻击!AA18</f>
        <v>0</v>
      </c>
      <c r="AA18" s="93">
        <f>攻击!AB18</f>
        <v>0</v>
      </c>
      <c r="AB18" s="1">
        <f>攻击!AC18*HP!$B18</f>
        <v>400</v>
      </c>
      <c r="AC18" s="1">
        <f>攻击!AD18*HP!$B18</f>
        <v>480</v>
      </c>
      <c r="AD18" s="1">
        <f>攻击!AE18*HP!$B18</f>
        <v>600</v>
      </c>
      <c r="AE18" s="1">
        <f>攻击!AF18*HP!$B18</f>
        <v>800</v>
      </c>
      <c r="AF18" s="1">
        <f>攻击!AG18*HP!$B18</f>
        <v>1000</v>
      </c>
      <c r="AG18" s="1">
        <f>攻击!AH18*HP!$B18</f>
        <v>0</v>
      </c>
      <c r="AH18" s="1">
        <f>攻击!AI18*HP!$B18</f>
        <v>80</v>
      </c>
      <c r="AI18" s="1">
        <f>攻击!AJ18*HP!$B18</f>
        <v>0</v>
      </c>
      <c r="AJ18" s="1">
        <f>攻击!AK18*HP!$B18</f>
        <v>12</v>
      </c>
      <c r="AK18" s="1">
        <f>攻击!AL18*HP!$B18</f>
        <v>0</v>
      </c>
      <c r="AL18" s="93">
        <f>攻击!AM18</f>
        <v>0</v>
      </c>
      <c r="AM18" s="93">
        <f>攻击!AN18</f>
        <v>0</v>
      </c>
      <c r="AN18" s="93">
        <f>攻击!AO18</f>
        <v>0</v>
      </c>
      <c r="AO18" s="93">
        <f>攻击!AP18</f>
        <v>0</v>
      </c>
      <c r="AP18" s="93">
        <f>攻击!AQ18</f>
        <v>0</v>
      </c>
      <c r="AQ18" s="1">
        <f>攻击!AR18*HP!$B18</f>
        <v>80</v>
      </c>
      <c r="AR18" s="1">
        <f t="shared" si="0"/>
        <v>1480</v>
      </c>
    </row>
    <row r="19" spans="1:44">
      <c r="A19" s="46">
        <v>17</v>
      </c>
      <c r="B19" s="1">
        <f t="shared" si="1"/>
        <v>10</v>
      </c>
      <c r="C19" s="1">
        <f>攻击!D19*HP!$B19</f>
        <v>420</v>
      </c>
      <c r="D19" s="1">
        <f>攻击!E19*HP!$B19</f>
        <v>504</v>
      </c>
      <c r="E19" s="1">
        <f>攻击!F19*HP!$B19</f>
        <v>630</v>
      </c>
      <c r="F19" s="1">
        <f>攻击!G19*HP!$B19</f>
        <v>840</v>
      </c>
      <c r="G19" s="1">
        <f>攻击!H19*HP!$B19</f>
        <v>1050</v>
      </c>
      <c r="H19" s="1">
        <f>攻击!I19*HP!$B19</f>
        <v>190</v>
      </c>
      <c r="I19" s="1">
        <f>攻击!J19*HP!$B19</f>
        <v>126</v>
      </c>
      <c r="J19" s="1">
        <f>攻击!K19*HP!$B19</f>
        <v>252</v>
      </c>
      <c r="K19" s="1">
        <f>攻击!L19*HP!$B19</f>
        <v>0</v>
      </c>
      <c r="L19" s="1">
        <f>攻击!M19*HP!$B19</f>
        <v>0</v>
      </c>
      <c r="M19" s="1">
        <f>攻击!N19*HP!$B19</f>
        <v>504</v>
      </c>
      <c r="N19" s="1">
        <f>攻击!O19*HP!$B19</f>
        <v>630</v>
      </c>
      <c r="O19" s="1">
        <f>攻击!P19*HP!$B19</f>
        <v>840</v>
      </c>
      <c r="P19" s="1">
        <f>攻击!Q19*HP!$B19</f>
        <v>1050</v>
      </c>
      <c r="Q19" s="1">
        <f>攻击!R19*HP!$B19</f>
        <v>1260</v>
      </c>
      <c r="R19" s="1">
        <f>攻击!S19*HP!$B19</f>
        <v>1470</v>
      </c>
      <c r="S19" s="1">
        <f>攻击!T19*HP!$B19</f>
        <v>0</v>
      </c>
      <c r="T19" s="1">
        <f>攻击!U19*HP!$B19</f>
        <v>126</v>
      </c>
      <c r="U19" s="1">
        <f>攻击!V19*HP!$B19</f>
        <v>0</v>
      </c>
      <c r="V19" s="1">
        <f>攻击!W19*HP!$B19</f>
        <v>21</v>
      </c>
      <c r="W19" s="93">
        <f>攻击!X19</f>
        <v>0</v>
      </c>
      <c r="X19" s="93">
        <f>攻击!Y19</f>
        <v>0</v>
      </c>
      <c r="Y19" s="93">
        <f>攻击!Z19</f>
        <v>0</v>
      </c>
      <c r="Z19" s="93">
        <f>攻击!AA19</f>
        <v>0</v>
      </c>
      <c r="AA19" s="93">
        <f>攻击!AB19</f>
        <v>0</v>
      </c>
      <c r="AB19" s="1">
        <f>攻击!AC19*HP!$B19</f>
        <v>420</v>
      </c>
      <c r="AC19" s="1">
        <f>攻击!AD19*HP!$B19</f>
        <v>504</v>
      </c>
      <c r="AD19" s="1">
        <f>攻击!AE19*HP!$B19</f>
        <v>630</v>
      </c>
      <c r="AE19" s="1">
        <f>攻击!AF19*HP!$B19</f>
        <v>840</v>
      </c>
      <c r="AF19" s="1">
        <f>攻击!AG19*HP!$B19</f>
        <v>1050</v>
      </c>
      <c r="AG19" s="1">
        <f>攻击!AH19*HP!$B19</f>
        <v>0</v>
      </c>
      <c r="AH19" s="1">
        <f>攻击!AI19*HP!$B19</f>
        <v>84</v>
      </c>
      <c r="AI19" s="1">
        <f>攻击!AJ19*HP!$B19</f>
        <v>0</v>
      </c>
      <c r="AJ19" s="1">
        <f>攻击!AK19*HP!$B19</f>
        <v>12.6</v>
      </c>
      <c r="AK19" s="1">
        <f>攻击!AL19*HP!$B19</f>
        <v>0</v>
      </c>
      <c r="AL19" s="93">
        <f>攻击!AM19</f>
        <v>0</v>
      </c>
      <c r="AM19" s="93">
        <f>攻击!AN19</f>
        <v>0</v>
      </c>
      <c r="AN19" s="93">
        <f>攻击!AO19</f>
        <v>0</v>
      </c>
      <c r="AO19" s="93">
        <f>攻击!AP19</f>
        <v>0</v>
      </c>
      <c r="AP19" s="93">
        <f>攻击!AQ19</f>
        <v>0</v>
      </c>
      <c r="AQ19" s="1">
        <f>攻击!AR19*HP!$B19</f>
        <v>84</v>
      </c>
      <c r="AR19" s="1">
        <f t="shared" si="0"/>
        <v>1554</v>
      </c>
    </row>
    <row r="20" spans="1:44">
      <c r="A20" s="46">
        <v>18</v>
      </c>
      <c r="B20" s="1">
        <f t="shared" si="1"/>
        <v>10</v>
      </c>
      <c r="C20" s="1">
        <f>攻击!D20*HP!$B20</f>
        <v>440</v>
      </c>
      <c r="D20" s="1">
        <f>攻击!E20*HP!$B20</f>
        <v>528</v>
      </c>
      <c r="E20" s="1">
        <f>攻击!F20*HP!$B20</f>
        <v>660</v>
      </c>
      <c r="F20" s="1">
        <f>攻击!G20*HP!$B20</f>
        <v>880</v>
      </c>
      <c r="G20" s="1">
        <f>攻击!H20*HP!$B20</f>
        <v>1100</v>
      </c>
      <c r="H20" s="1">
        <f>攻击!I20*HP!$B20</f>
        <v>190</v>
      </c>
      <c r="I20" s="1">
        <f>攻击!J20*HP!$B20</f>
        <v>132</v>
      </c>
      <c r="J20" s="1">
        <f>攻击!K20*HP!$B20</f>
        <v>264</v>
      </c>
      <c r="K20" s="1">
        <f>攻击!L20*HP!$B20</f>
        <v>0</v>
      </c>
      <c r="L20" s="1">
        <f>攻击!M20*HP!$B20</f>
        <v>0</v>
      </c>
      <c r="M20" s="1">
        <f>攻击!N20*HP!$B20</f>
        <v>528</v>
      </c>
      <c r="N20" s="1">
        <f>攻击!O20*HP!$B20</f>
        <v>660</v>
      </c>
      <c r="O20" s="1">
        <f>攻击!P20*HP!$B20</f>
        <v>880</v>
      </c>
      <c r="P20" s="1">
        <f>攻击!Q20*HP!$B20</f>
        <v>1100</v>
      </c>
      <c r="Q20" s="1">
        <f>攻击!R20*HP!$B20</f>
        <v>1320</v>
      </c>
      <c r="R20" s="1">
        <f>攻击!S20*HP!$B20</f>
        <v>1540</v>
      </c>
      <c r="S20" s="1">
        <f>攻击!T20*HP!$B20</f>
        <v>0</v>
      </c>
      <c r="T20" s="1">
        <f>攻击!U20*HP!$B20</f>
        <v>132</v>
      </c>
      <c r="U20" s="1">
        <f>攻击!V20*HP!$B20</f>
        <v>0</v>
      </c>
      <c r="V20" s="1">
        <f>攻击!W20*HP!$B20</f>
        <v>22</v>
      </c>
      <c r="W20" s="93">
        <f>攻击!X20</f>
        <v>0</v>
      </c>
      <c r="X20" s="93">
        <f>攻击!Y20</f>
        <v>0</v>
      </c>
      <c r="Y20" s="93">
        <f>攻击!Z20</f>
        <v>0</v>
      </c>
      <c r="Z20" s="93">
        <f>攻击!AA20</f>
        <v>0</v>
      </c>
      <c r="AA20" s="93">
        <f>攻击!AB20</f>
        <v>0</v>
      </c>
      <c r="AB20" s="1">
        <f>攻击!AC20*HP!$B20</f>
        <v>440</v>
      </c>
      <c r="AC20" s="1">
        <f>攻击!AD20*HP!$B20</f>
        <v>528</v>
      </c>
      <c r="AD20" s="1">
        <f>攻击!AE20*HP!$B20</f>
        <v>660</v>
      </c>
      <c r="AE20" s="1">
        <f>攻击!AF20*HP!$B20</f>
        <v>880</v>
      </c>
      <c r="AF20" s="1">
        <f>攻击!AG20*HP!$B20</f>
        <v>1100</v>
      </c>
      <c r="AG20" s="1">
        <f>攻击!AH20*HP!$B20</f>
        <v>0</v>
      </c>
      <c r="AH20" s="1">
        <f>攻击!AI20*HP!$B20</f>
        <v>88</v>
      </c>
      <c r="AI20" s="1">
        <f>攻击!AJ20*HP!$B20</f>
        <v>0</v>
      </c>
      <c r="AJ20" s="1">
        <f>攻击!AK20*HP!$B20</f>
        <v>13.2</v>
      </c>
      <c r="AK20" s="1">
        <f>攻击!AL20*HP!$B20</f>
        <v>0</v>
      </c>
      <c r="AL20" s="93">
        <f>攻击!AM20</f>
        <v>0</v>
      </c>
      <c r="AM20" s="93">
        <f>攻击!AN20</f>
        <v>0</v>
      </c>
      <c r="AN20" s="93">
        <f>攻击!AO20</f>
        <v>0</v>
      </c>
      <c r="AO20" s="93">
        <f>攻击!AP20</f>
        <v>0</v>
      </c>
      <c r="AP20" s="93">
        <f>攻击!AQ20</f>
        <v>0</v>
      </c>
      <c r="AQ20" s="1">
        <f>攻击!AR20*HP!$B20</f>
        <v>88</v>
      </c>
      <c r="AR20" s="1">
        <f t="shared" si="0"/>
        <v>1628</v>
      </c>
    </row>
    <row r="21" spans="1:44">
      <c r="A21" s="46">
        <v>19</v>
      </c>
      <c r="B21" s="1">
        <f t="shared" si="1"/>
        <v>10</v>
      </c>
      <c r="C21" s="1">
        <f>攻击!D21*HP!$B21</f>
        <v>460</v>
      </c>
      <c r="D21" s="1">
        <f>攻击!E21*HP!$B21</f>
        <v>552</v>
      </c>
      <c r="E21" s="1">
        <f>攻击!F21*HP!$B21</f>
        <v>690</v>
      </c>
      <c r="F21" s="1">
        <f>攻击!G21*HP!$B21</f>
        <v>920</v>
      </c>
      <c r="G21" s="1">
        <f>攻击!H21*HP!$B21</f>
        <v>1150</v>
      </c>
      <c r="H21" s="1">
        <f>攻击!I21*HP!$B21</f>
        <v>190</v>
      </c>
      <c r="I21" s="1">
        <f>攻击!J21*HP!$B21</f>
        <v>138</v>
      </c>
      <c r="J21" s="1">
        <f>攻击!K21*HP!$B21</f>
        <v>276</v>
      </c>
      <c r="K21" s="1">
        <f>攻击!L21*HP!$B21</f>
        <v>0</v>
      </c>
      <c r="L21" s="1">
        <f>攻击!M21*HP!$B21</f>
        <v>0</v>
      </c>
      <c r="M21" s="1">
        <f>攻击!N21*HP!$B21</f>
        <v>552</v>
      </c>
      <c r="N21" s="1">
        <f>攻击!O21*HP!$B21</f>
        <v>690</v>
      </c>
      <c r="O21" s="1">
        <f>攻击!P21*HP!$B21</f>
        <v>920</v>
      </c>
      <c r="P21" s="1">
        <f>攻击!Q21*HP!$B21</f>
        <v>1150</v>
      </c>
      <c r="Q21" s="1">
        <f>攻击!R21*HP!$B21</f>
        <v>1380</v>
      </c>
      <c r="R21" s="1">
        <f>攻击!S21*HP!$B21</f>
        <v>1610</v>
      </c>
      <c r="S21" s="1">
        <f>攻击!T21*HP!$B21</f>
        <v>0</v>
      </c>
      <c r="T21" s="1">
        <f>攻击!U21*HP!$B21</f>
        <v>138</v>
      </c>
      <c r="U21" s="1">
        <f>攻击!V21*HP!$B21</f>
        <v>0</v>
      </c>
      <c r="V21" s="1">
        <f>攻击!W21*HP!$B21</f>
        <v>23.000000000000004</v>
      </c>
      <c r="W21" s="93">
        <f>攻击!X21</f>
        <v>0</v>
      </c>
      <c r="X21" s="93">
        <f>攻击!Y21</f>
        <v>0</v>
      </c>
      <c r="Y21" s="93">
        <f>攻击!Z21</f>
        <v>0</v>
      </c>
      <c r="Z21" s="93">
        <f>攻击!AA21</f>
        <v>0</v>
      </c>
      <c r="AA21" s="93">
        <f>攻击!AB21</f>
        <v>0</v>
      </c>
      <c r="AB21" s="1">
        <f>攻击!AC21*HP!$B21</f>
        <v>460</v>
      </c>
      <c r="AC21" s="1">
        <f>攻击!AD21*HP!$B21</f>
        <v>552</v>
      </c>
      <c r="AD21" s="1">
        <f>攻击!AE21*HP!$B21</f>
        <v>690</v>
      </c>
      <c r="AE21" s="1">
        <f>攻击!AF21*HP!$B21</f>
        <v>920</v>
      </c>
      <c r="AF21" s="1">
        <f>攻击!AG21*HP!$B21</f>
        <v>1150</v>
      </c>
      <c r="AG21" s="1">
        <f>攻击!AH21*HP!$B21</f>
        <v>0</v>
      </c>
      <c r="AH21" s="1">
        <f>攻击!AI21*HP!$B21</f>
        <v>92.000000000000014</v>
      </c>
      <c r="AI21" s="1">
        <f>攻击!AJ21*HP!$B21</f>
        <v>0</v>
      </c>
      <c r="AJ21" s="1">
        <f>攻击!AK21*HP!$B21</f>
        <v>13.799999999999999</v>
      </c>
      <c r="AK21" s="1">
        <f>攻击!AL21*HP!$B21</f>
        <v>0</v>
      </c>
      <c r="AL21" s="93">
        <f>攻击!AM21</f>
        <v>0</v>
      </c>
      <c r="AM21" s="93">
        <f>攻击!AN21</f>
        <v>0</v>
      </c>
      <c r="AN21" s="93">
        <f>攻击!AO21</f>
        <v>0</v>
      </c>
      <c r="AO21" s="93">
        <f>攻击!AP21</f>
        <v>0</v>
      </c>
      <c r="AP21" s="93">
        <f>攻击!AQ21</f>
        <v>0</v>
      </c>
      <c r="AQ21" s="1">
        <f>攻击!AR21*HP!$B21</f>
        <v>92.000000000000014</v>
      </c>
      <c r="AR21" s="1">
        <f t="shared" si="0"/>
        <v>1702</v>
      </c>
    </row>
    <row r="22" spans="1:44">
      <c r="A22" s="46">
        <v>20</v>
      </c>
      <c r="B22" s="1">
        <f t="shared" si="1"/>
        <v>10</v>
      </c>
      <c r="C22" s="1">
        <f>攻击!D22*HP!$B22</f>
        <v>480</v>
      </c>
      <c r="D22" s="1">
        <f>攻击!E22*HP!$B22</f>
        <v>576</v>
      </c>
      <c r="E22" s="1">
        <f>攻击!F22*HP!$B22</f>
        <v>720</v>
      </c>
      <c r="F22" s="1">
        <f>攻击!G22*HP!$B22</f>
        <v>960</v>
      </c>
      <c r="G22" s="1">
        <f>攻击!H22*HP!$B22</f>
        <v>1200</v>
      </c>
      <c r="H22" s="1">
        <f>攻击!I22*HP!$B22</f>
        <v>240</v>
      </c>
      <c r="I22" s="1">
        <f>攻击!J22*HP!$B22</f>
        <v>144</v>
      </c>
      <c r="J22" s="1">
        <f>攻击!K22*HP!$B22</f>
        <v>288</v>
      </c>
      <c r="K22" s="1">
        <f>攻击!L22*HP!$B22</f>
        <v>0</v>
      </c>
      <c r="L22" s="1">
        <f>攻击!M22*HP!$B22</f>
        <v>0</v>
      </c>
      <c r="M22" s="1">
        <f>攻击!N22*HP!$B22</f>
        <v>576</v>
      </c>
      <c r="N22" s="1">
        <f>攻击!O22*HP!$B22</f>
        <v>720</v>
      </c>
      <c r="O22" s="1">
        <f>攻击!P22*HP!$B22</f>
        <v>960</v>
      </c>
      <c r="P22" s="1">
        <f>攻击!Q22*HP!$B22</f>
        <v>1200</v>
      </c>
      <c r="Q22" s="1">
        <f>攻击!R22*HP!$B22</f>
        <v>1440</v>
      </c>
      <c r="R22" s="1">
        <f>攻击!S22*HP!$B22</f>
        <v>1680</v>
      </c>
      <c r="S22" s="1">
        <f>攻击!T22*HP!$B22</f>
        <v>0</v>
      </c>
      <c r="T22" s="1">
        <f>攻击!U22*HP!$B22</f>
        <v>144</v>
      </c>
      <c r="U22" s="1">
        <f>攻击!V22*HP!$B22</f>
        <v>0</v>
      </c>
      <c r="V22" s="1">
        <f>攻击!W22*HP!$B22</f>
        <v>24.000000000000004</v>
      </c>
      <c r="W22" s="93">
        <f>攻击!X22</f>
        <v>0</v>
      </c>
      <c r="X22" s="93">
        <f>攻击!Y22</f>
        <v>0</v>
      </c>
      <c r="Y22" s="93">
        <f>攻击!Z22</f>
        <v>0</v>
      </c>
      <c r="Z22" s="93">
        <f>攻击!AA22</f>
        <v>0</v>
      </c>
      <c r="AA22" s="93">
        <f>攻击!AB22</f>
        <v>0</v>
      </c>
      <c r="AB22" s="1">
        <f>攻击!AC22*HP!$B22</f>
        <v>480</v>
      </c>
      <c r="AC22" s="1">
        <f>攻击!AD22*HP!$B22</f>
        <v>576</v>
      </c>
      <c r="AD22" s="1">
        <f>攻击!AE22*HP!$B22</f>
        <v>720</v>
      </c>
      <c r="AE22" s="1">
        <f>攻击!AF22*HP!$B22</f>
        <v>960</v>
      </c>
      <c r="AF22" s="1">
        <f>攻击!AG22*HP!$B22</f>
        <v>1200</v>
      </c>
      <c r="AG22" s="1">
        <f>攻击!AH22*HP!$B22</f>
        <v>0</v>
      </c>
      <c r="AH22" s="1">
        <f>攻击!AI22*HP!$B22</f>
        <v>96.000000000000014</v>
      </c>
      <c r="AI22" s="1">
        <f>攻击!AJ22*HP!$B22</f>
        <v>0</v>
      </c>
      <c r="AJ22" s="1">
        <f>攻击!AK22*HP!$B22</f>
        <v>14.399999999999999</v>
      </c>
      <c r="AK22" s="1">
        <f>攻击!AL22*HP!$B22</f>
        <v>0</v>
      </c>
      <c r="AL22" s="93">
        <f>攻击!AM22</f>
        <v>0</v>
      </c>
      <c r="AM22" s="93">
        <f>攻击!AN22</f>
        <v>0</v>
      </c>
      <c r="AN22" s="93">
        <f>攻击!AO22</f>
        <v>0</v>
      </c>
      <c r="AO22" s="93">
        <f>攻击!AP22</f>
        <v>0</v>
      </c>
      <c r="AP22" s="93">
        <f>攻击!AQ22</f>
        <v>0</v>
      </c>
      <c r="AQ22" s="1">
        <f>攻击!AR22*HP!$B22</f>
        <v>96.000000000000014</v>
      </c>
      <c r="AR22" s="1">
        <f t="shared" si="0"/>
        <v>1776</v>
      </c>
    </row>
    <row r="23" spans="1:44">
      <c r="A23" s="46">
        <v>21</v>
      </c>
      <c r="B23" s="1">
        <f t="shared" si="1"/>
        <v>10</v>
      </c>
      <c r="C23" s="1">
        <f>攻击!D23*HP!$B23</f>
        <v>500</v>
      </c>
      <c r="D23" s="1">
        <f>攻击!E23*HP!$B23</f>
        <v>600</v>
      </c>
      <c r="E23" s="1">
        <f>攻击!F23*HP!$B23</f>
        <v>750</v>
      </c>
      <c r="F23" s="1">
        <f>攻击!G23*HP!$B23</f>
        <v>1000</v>
      </c>
      <c r="G23" s="1">
        <f>攻击!H23*HP!$B23</f>
        <v>1250</v>
      </c>
      <c r="H23" s="1">
        <f>攻击!I23*HP!$B23</f>
        <v>240</v>
      </c>
      <c r="I23" s="1">
        <f>攻击!J23*HP!$B23</f>
        <v>150</v>
      </c>
      <c r="J23" s="1">
        <f>攻击!K23*HP!$B23</f>
        <v>300</v>
      </c>
      <c r="K23" s="1">
        <f>攻击!L23*HP!$B23</f>
        <v>0</v>
      </c>
      <c r="L23" s="1">
        <f>攻击!M23*HP!$B23</f>
        <v>0</v>
      </c>
      <c r="M23" s="1">
        <f>攻击!N23*HP!$B23</f>
        <v>600</v>
      </c>
      <c r="N23" s="1">
        <f>攻击!O23*HP!$B23</f>
        <v>750</v>
      </c>
      <c r="O23" s="1">
        <f>攻击!P23*HP!$B23</f>
        <v>1000</v>
      </c>
      <c r="P23" s="1">
        <f>攻击!Q23*HP!$B23</f>
        <v>1250</v>
      </c>
      <c r="Q23" s="1">
        <f>攻击!R23*HP!$B23</f>
        <v>1500</v>
      </c>
      <c r="R23" s="1">
        <f>攻击!S23*HP!$B23</f>
        <v>1750</v>
      </c>
      <c r="S23" s="1">
        <f>攻击!T23*HP!$B23</f>
        <v>0</v>
      </c>
      <c r="T23" s="1">
        <f>攻击!U23*HP!$B23</f>
        <v>150</v>
      </c>
      <c r="U23" s="1">
        <f>攻击!V23*HP!$B23</f>
        <v>0</v>
      </c>
      <c r="V23" s="1">
        <f>攻击!W23*HP!$B23</f>
        <v>25</v>
      </c>
      <c r="W23" s="93">
        <f>攻击!X23</f>
        <v>0</v>
      </c>
      <c r="X23" s="93">
        <f>攻击!Y23</f>
        <v>0</v>
      </c>
      <c r="Y23" s="93">
        <f>攻击!Z23</f>
        <v>0</v>
      </c>
      <c r="Z23" s="93">
        <f>攻击!AA23</f>
        <v>0</v>
      </c>
      <c r="AA23" s="93">
        <f>攻击!AB23</f>
        <v>0</v>
      </c>
      <c r="AB23" s="1">
        <f>攻击!AC23*HP!$B23</f>
        <v>500</v>
      </c>
      <c r="AC23" s="1">
        <f>攻击!AD23*HP!$B23</f>
        <v>600</v>
      </c>
      <c r="AD23" s="1">
        <f>攻击!AE23*HP!$B23</f>
        <v>750</v>
      </c>
      <c r="AE23" s="1">
        <f>攻击!AF23*HP!$B23</f>
        <v>1000</v>
      </c>
      <c r="AF23" s="1">
        <f>攻击!AG23*HP!$B23</f>
        <v>1250</v>
      </c>
      <c r="AG23" s="1">
        <f>攻击!AH23*HP!$B23</f>
        <v>0</v>
      </c>
      <c r="AH23" s="1">
        <f>攻击!AI23*HP!$B23</f>
        <v>100</v>
      </c>
      <c r="AI23" s="1">
        <f>攻击!AJ23*HP!$B23</f>
        <v>0</v>
      </c>
      <c r="AJ23" s="1">
        <f>攻击!AK23*HP!$B23</f>
        <v>15</v>
      </c>
      <c r="AK23" s="1">
        <f>攻击!AL23*HP!$B23</f>
        <v>0</v>
      </c>
      <c r="AL23" s="93">
        <f>攻击!AM23</f>
        <v>0</v>
      </c>
      <c r="AM23" s="93">
        <f>攻击!AN23</f>
        <v>0</v>
      </c>
      <c r="AN23" s="93">
        <f>攻击!AO23</f>
        <v>0</v>
      </c>
      <c r="AO23" s="93">
        <f>攻击!AP23</f>
        <v>0</v>
      </c>
      <c r="AP23" s="93">
        <f>攻击!AQ23</f>
        <v>0</v>
      </c>
      <c r="AQ23" s="1">
        <f>攻击!AR23*HP!$B23</f>
        <v>100</v>
      </c>
      <c r="AR23" s="1">
        <f t="shared" si="0"/>
        <v>1850</v>
      </c>
    </row>
    <row r="24" spans="1:44">
      <c r="A24" s="46">
        <v>22</v>
      </c>
      <c r="B24" s="1">
        <f t="shared" si="1"/>
        <v>10</v>
      </c>
      <c r="C24" s="1">
        <f>攻击!D24*HP!$B24</f>
        <v>520</v>
      </c>
      <c r="D24" s="1">
        <f>攻击!E24*HP!$B24</f>
        <v>624</v>
      </c>
      <c r="E24" s="1">
        <f>攻击!F24*HP!$B24</f>
        <v>780</v>
      </c>
      <c r="F24" s="1">
        <f>攻击!G24*HP!$B24</f>
        <v>1040</v>
      </c>
      <c r="G24" s="1">
        <f>攻击!H24*HP!$B24</f>
        <v>1300</v>
      </c>
      <c r="H24" s="1">
        <f>攻击!I24*HP!$B24</f>
        <v>240</v>
      </c>
      <c r="I24" s="1">
        <f>攻击!J24*HP!$B24</f>
        <v>156</v>
      </c>
      <c r="J24" s="1">
        <f>攻击!K24*HP!$B24</f>
        <v>312</v>
      </c>
      <c r="K24" s="1">
        <f>攻击!L24*HP!$B24</f>
        <v>0</v>
      </c>
      <c r="L24" s="1">
        <f>攻击!M24*HP!$B24</f>
        <v>0</v>
      </c>
      <c r="M24" s="1">
        <f>攻击!N24*HP!$B24</f>
        <v>624</v>
      </c>
      <c r="N24" s="1">
        <f>攻击!O24*HP!$B24</f>
        <v>780</v>
      </c>
      <c r="O24" s="1">
        <f>攻击!P24*HP!$B24</f>
        <v>1040</v>
      </c>
      <c r="P24" s="1">
        <f>攻击!Q24*HP!$B24</f>
        <v>1300</v>
      </c>
      <c r="Q24" s="1">
        <f>攻击!R24*HP!$B24</f>
        <v>1560</v>
      </c>
      <c r="R24" s="1">
        <f>攻击!S24*HP!$B24</f>
        <v>1820</v>
      </c>
      <c r="S24" s="1">
        <f>攻击!T24*HP!$B24</f>
        <v>0</v>
      </c>
      <c r="T24" s="1">
        <f>攻击!U24*HP!$B24</f>
        <v>156</v>
      </c>
      <c r="U24" s="1">
        <f>攻击!V24*HP!$B24</f>
        <v>0</v>
      </c>
      <c r="V24" s="1">
        <f>攻击!W24*HP!$B24</f>
        <v>26</v>
      </c>
      <c r="W24" s="93">
        <f>攻击!X24</f>
        <v>0</v>
      </c>
      <c r="X24" s="93">
        <f>攻击!Y24</f>
        <v>0</v>
      </c>
      <c r="Y24" s="93">
        <f>攻击!Z24</f>
        <v>0</v>
      </c>
      <c r="Z24" s="93">
        <f>攻击!AA24</f>
        <v>0</v>
      </c>
      <c r="AA24" s="93">
        <f>攻击!AB24</f>
        <v>0</v>
      </c>
      <c r="AB24" s="1">
        <f>攻击!AC24*HP!$B24</f>
        <v>520</v>
      </c>
      <c r="AC24" s="1">
        <f>攻击!AD24*HP!$B24</f>
        <v>624</v>
      </c>
      <c r="AD24" s="1">
        <f>攻击!AE24*HP!$B24</f>
        <v>780</v>
      </c>
      <c r="AE24" s="1">
        <f>攻击!AF24*HP!$B24</f>
        <v>1040</v>
      </c>
      <c r="AF24" s="1">
        <f>攻击!AG24*HP!$B24</f>
        <v>1300</v>
      </c>
      <c r="AG24" s="1">
        <f>攻击!AH24*HP!$B24</f>
        <v>0</v>
      </c>
      <c r="AH24" s="1">
        <f>攻击!AI24*HP!$B24</f>
        <v>104</v>
      </c>
      <c r="AI24" s="1">
        <f>攻击!AJ24*HP!$B24</f>
        <v>0</v>
      </c>
      <c r="AJ24" s="1">
        <f>攻击!AK24*HP!$B24</f>
        <v>15.600000000000001</v>
      </c>
      <c r="AK24" s="1">
        <f>攻击!AL24*HP!$B24</f>
        <v>0</v>
      </c>
      <c r="AL24" s="93">
        <f>攻击!AM24</f>
        <v>0</v>
      </c>
      <c r="AM24" s="93">
        <f>攻击!AN24</f>
        <v>0</v>
      </c>
      <c r="AN24" s="93">
        <f>攻击!AO24</f>
        <v>0</v>
      </c>
      <c r="AO24" s="93">
        <f>攻击!AP24</f>
        <v>0</v>
      </c>
      <c r="AP24" s="93">
        <f>攻击!AQ24</f>
        <v>0</v>
      </c>
      <c r="AQ24" s="1">
        <f>攻击!AR24*HP!$B24</f>
        <v>104</v>
      </c>
      <c r="AR24" s="1">
        <f t="shared" si="0"/>
        <v>1924</v>
      </c>
    </row>
    <row r="25" spans="1:44">
      <c r="A25" s="46">
        <v>23</v>
      </c>
      <c r="B25" s="1">
        <f t="shared" si="1"/>
        <v>10</v>
      </c>
      <c r="C25" s="1">
        <f>攻击!D25*HP!$B25</f>
        <v>540</v>
      </c>
      <c r="D25" s="1">
        <f>攻击!E25*HP!$B25</f>
        <v>648</v>
      </c>
      <c r="E25" s="1">
        <f>攻击!F25*HP!$B25</f>
        <v>810</v>
      </c>
      <c r="F25" s="1">
        <f>攻击!G25*HP!$B25</f>
        <v>1080</v>
      </c>
      <c r="G25" s="1">
        <f>攻击!H25*HP!$B25</f>
        <v>1350</v>
      </c>
      <c r="H25" s="1">
        <f>攻击!I25*HP!$B25</f>
        <v>240</v>
      </c>
      <c r="I25" s="1">
        <f>攻击!J25*HP!$B25</f>
        <v>162</v>
      </c>
      <c r="J25" s="1">
        <f>攻击!K25*HP!$B25</f>
        <v>324</v>
      </c>
      <c r="K25" s="1">
        <f>攻击!L25*HP!$B25</f>
        <v>0</v>
      </c>
      <c r="L25" s="1">
        <f>攻击!M25*HP!$B25</f>
        <v>0</v>
      </c>
      <c r="M25" s="1">
        <f>攻击!N25*HP!$B25</f>
        <v>648</v>
      </c>
      <c r="N25" s="1">
        <f>攻击!O25*HP!$B25</f>
        <v>810</v>
      </c>
      <c r="O25" s="1">
        <f>攻击!P25*HP!$B25</f>
        <v>1080</v>
      </c>
      <c r="P25" s="1">
        <f>攻击!Q25*HP!$B25</f>
        <v>1350</v>
      </c>
      <c r="Q25" s="1">
        <f>攻击!R25*HP!$B25</f>
        <v>1620</v>
      </c>
      <c r="R25" s="1">
        <f>攻击!S25*HP!$B25</f>
        <v>1890</v>
      </c>
      <c r="S25" s="1">
        <f>攻击!T25*HP!$B25</f>
        <v>0</v>
      </c>
      <c r="T25" s="1">
        <f>攻击!U25*HP!$B25</f>
        <v>162</v>
      </c>
      <c r="U25" s="1">
        <f>攻击!V25*HP!$B25</f>
        <v>0</v>
      </c>
      <c r="V25" s="1">
        <f>攻击!W25*HP!$B25</f>
        <v>27</v>
      </c>
      <c r="W25" s="93">
        <f>攻击!X25</f>
        <v>0</v>
      </c>
      <c r="X25" s="93">
        <f>攻击!Y25</f>
        <v>0</v>
      </c>
      <c r="Y25" s="93">
        <f>攻击!Z25</f>
        <v>0</v>
      </c>
      <c r="Z25" s="93">
        <f>攻击!AA25</f>
        <v>0</v>
      </c>
      <c r="AA25" s="93">
        <f>攻击!AB25</f>
        <v>0</v>
      </c>
      <c r="AB25" s="1">
        <f>攻击!AC25*HP!$B25</f>
        <v>540</v>
      </c>
      <c r="AC25" s="1">
        <f>攻击!AD25*HP!$B25</f>
        <v>648</v>
      </c>
      <c r="AD25" s="1">
        <f>攻击!AE25*HP!$B25</f>
        <v>810</v>
      </c>
      <c r="AE25" s="1">
        <f>攻击!AF25*HP!$B25</f>
        <v>1080</v>
      </c>
      <c r="AF25" s="1">
        <f>攻击!AG25*HP!$B25</f>
        <v>1350</v>
      </c>
      <c r="AG25" s="1">
        <f>攻击!AH25*HP!$B25</f>
        <v>0</v>
      </c>
      <c r="AH25" s="1">
        <f>攻击!AI25*HP!$B25</f>
        <v>108</v>
      </c>
      <c r="AI25" s="1">
        <f>攻击!AJ25*HP!$B25</f>
        <v>0</v>
      </c>
      <c r="AJ25" s="1">
        <f>攻击!AK25*HP!$B25</f>
        <v>16.2</v>
      </c>
      <c r="AK25" s="1">
        <f>攻击!AL25*HP!$B25</f>
        <v>0</v>
      </c>
      <c r="AL25" s="93">
        <f>攻击!AM25</f>
        <v>0</v>
      </c>
      <c r="AM25" s="93">
        <f>攻击!AN25</f>
        <v>0</v>
      </c>
      <c r="AN25" s="93">
        <f>攻击!AO25</f>
        <v>0</v>
      </c>
      <c r="AO25" s="93">
        <f>攻击!AP25</f>
        <v>0</v>
      </c>
      <c r="AP25" s="93">
        <f>攻击!AQ25</f>
        <v>0</v>
      </c>
      <c r="AQ25" s="1">
        <f>攻击!AR25*HP!$B25</f>
        <v>108</v>
      </c>
      <c r="AR25" s="1">
        <f t="shared" si="0"/>
        <v>1998</v>
      </c>
    </row>
    <row r="26" spans="1:44">
      <c r="A26" s="46">
        <v>24</v>
      </c>
      <c r="B26" s="1">
        <f t="shared" si="1"/>
        <v>10</v>
      </c>
      <c r="C26" s="1">
        <f>攻击!D26*HP!$B26</f>
        <v>560</v>
      </c>
      <c r="D26" s="1">
        <f>攻击!E26*HP!$B26</f>
        <v>672</v>
      </c>
      <c r="E26" s="1">
        <f>攻击!F26*HP!$B26</f>
        <v>840</v>
      </c>
      <c r="F26" s="1">
        <f>攻击!G26*HP!$B26</f>
        <v>1120</v>
      </c>
      <c r="G26" s="1">
        <f>攻击!H26*HP!$B26</f>
        <v>1400</v>
      </c>
      <c r="H26" s="1">
        <f>攻击!I26*HP!$B26</f>
        <v>240</v>
      </c>
      <c r="I26" s="1">
        <f>攻击!J26*HP!$B26</f>
        <v>168</v>
      </c>
      <c r="J26" s="1">
        <f>攻击!K26*HP!$B26</f>
        <v>336</v>
      </c>
      <c r="K26" s="1">
        <f>攻击!L26*HP!$B26</f>
        <v>0</v>
      </c>
      <c r="L26" s="1">
        <f>攻击!M26*HP!$B26</f>
        <v>0</v>
      </c>
      <c r="M26" s="1">
        <f>攻击!N26*HP!$B26</f>
        <v>672</v>
      </c>
      <c r="N26" s="1">
        <f>攻击!O26*HP!$B26</f>
        <v>840</v>
      </c>
      <c r="O26" s="1">
        <f>攻击!P26*HP!$B26</f>
        <v>1120</v>
      </c>
      <c r="P26" s="1">
        <f>攻击!Q26*HP!$B26</f>
        <v>1400</v>
      </c>
      <c r="Q26" s="1">
        <f>攻击!R26*HP!$B26</f>
        <v>1680</v>
      </c>
      <c r="R26" s="1">
        <f>攻击!S26*HP!$B26</f>
        <v>1960</v>
      </c>
      <c r="S26" s="1">
        <f>攻击!T26*HP!$B26</f>
        <v>0</v>
      </c>
      <c r="T26" s="1">
        <f>攻击!U26*HP!$B26</f>
        <v>168</v>
      </c>
      <c r="U26" s="1">
        <f>攻击!V26*HP!$B26</f>
        <v>0</v>
      </c>
      <c r="V26" s="1">
        <f>攻击!W26*HP!$B26</f>
        <v>28.000000000000004</v>
      </c>
      <c r="W26" s="93">
        <f>攻击!X26</f>
        <v>0</v>
      </c>
      <c r="X26" s="93">
        <f>攻击!Y26</f>
        <v>0</v>
      </c>
      <c r="Y26" s="93">
        <f>攻击!Z26</f>
        <v>0</v>
      </c>
      <c r="Z26" s="93">
        <f>攻击!AA26</f>
        <v>0</v>
      </c>
      <c r="AA26" s="93">
        <f>攻击!AB26</f>
        <v>0</v>
      </c>
      <c r="AB26" s="1">
        <f>攻击!AC26*HP!$B26</f>
        <v>560</v>
      </c>
      <c r="AC26" s="1">
        <f>攻击!AD26*HP!$B26</f>
        <v>672</v>
      </c>
      <c r="AD26" s="1">
        <f>攻击!AE26*HP!$B26</f>
        <v>840</v>
      </c>
      <c r="AE26" s="1">
        <f>攻击!AF26*HP!$B26</f>
        <v>1120</v>
      </c>
      <c r="AF26" s="1">
        <f>攻击!AG26*HP!$B26</f>
        <v>1400</v>
      </c>
      <c r="AG26" s="1">
        <f>攻击!AH26*HP!$B26</f>
        <v>0</v>
      </c>
      <c r="AH26" s="1">
        <f>攻击!AI26*HP!$B26</f>
        <v>112.00000000000001</v>
      </c>
      <c r="AI26" s="1">
        <f>攻击!AJ26*HP!$B26</f>
        <v>0</v>
      </c>
      <c r="AJ26" s="1">
        <f>攻击!AK26*HP!$B26</f>
        <v>16.8</v>
      </c>
      <c r="AK26" s="1">
        <f>攻击!AL26*HP!$B26</f>
        <v>0</v>
      </c>
      <c r="AL26" s="93">
        <f>攻击!AM26</f>
        <v>0</v>
      </c>
      <c r="AM26" s="93">
        <f>攻击!AN26</f>
        <v>0</v>
      </c>
      <c r="AN26" s="93">
        <f>攻击!AO26</f>
        <v>0</v>
      </c>
      <c r="AO26" s="93">
        <f>攻击!AP26</f>
        <v>0</v>
      </c>
      <c r="AP26" s="93">
        <f>攻击!AQ26</f>
        <v>0</v>
      </c>
      <c r="AQ26" s="1">
        <f>攻击!AR26*HP!$B26</f>
        <v>112.00000000000001</v>
      </c>
      <c r="AR26" s="1">
        <f t="shared" si="0"/>
        <v>2072</v>
      </c>
    </row>
    <row r="27" spans="1:44">
      <c r="A27" s="46">
        <v>25</v>
      </c>
      <c r="B27" s="1">
        <f t="shared" si="1"/>
        <v>10</v>
      </c>
      <c r="C27" s="1">
        <f>攻击!D27*HP!$B27</f>
        <v>580</v>
      </c>
      <c r="D27" s="1">
        <f>攻击!E27*HP!$B27</f>
        <v>696</v>
      </c>
      <c r="E27" s="1">
        <f>攻击!F27*HP!$B27</f>
        <v>870</v>
      </c>
      <c r="F27" s="1">
        <f>攻击!G27*HP!$B27</f>
        <v>1160</v>
      </c>
      <c r="G27" s="1">
        <f>攻击!H27*HP!$B27</f>
        <v>1450</v>
      </c>
      <c r="H27" s="1">
        <f>攻击!I27*HP!$B27</f>
        <v>290</v>
      </c>
      <c r="I27" s="1">
        <f>攻击!J27*HP!$B27</f>
        <v>174</v>
      </c>
      <c r="J27" s="1">
        <f>攻击!K27*HP!$B27</f>
        <v>348</v>
      </c>
      <c r="K27" s="1">
        <f>攻击!L27*HP!$B27</f>
        <v>0</v>
      </c>
      <c r="L27" s="1">
        <f>攻击!M27*HP!$B27</f>
        <v>0</v>
      </c>
      <c r="M27" s="1">
        <f>攻击!N27*HP!$B27</f>
        <v>696</v>
      </c>
      <c r="N27" s="1">
        <f>攻击!O27*HP!$B27</f>
        <v>870</v>
      </c>
      <c r="O27" s="1">
        <f>攻击!P27*HP!$B27</f>
        <v>1160</v>
      </c>
      <c r="P27" s="1">
        <f>攻击!Q27*HP!$B27</f>
        <v>1450</v>
      </c>
      <c r="Q27" s="1">
        <f>攻击!R27*HP!$B27</f>
        <v>1740</v>
      </c>
      <c r="R27" s="1">
        <f>攻击!S27*HP!$B27</f>
        <v>2030</v>
      </c>
      <c r="S27" s="1">
        <f>攻击!T27*HP!$B27</f>
        <v>0</v>
      </c>
      <c r="T27" s="1">
        <f>攻击!U27*HP!$B27</f>
        <v>174</v>
      </c>
      <c r="U27" s="1">
        <f>攻击!V27*HP!$B27</f>
        <v>0</v>
      </c>
      <c r="V27" s="1">
        <f>攻击!W27*HP!$B27</f>
        <v>29.000000000000004</v>
      </c>
      <c r="W27" s="93">
        <f>攻击!X27</f>
        <v>0</v>
      </c>
      <c r="X27" s="93">
        <f>攻击!Y27</f>
        <v>0</v>
      </c>
      <c r="Y27" s="93">
        <f>攻击!Z27</f>
        <v>0</v>
      </c>
      <c r="Z27" s="93">
        <f>攻击!AA27</f>
        <v>0</v>
      </c>
      <c r="AA27" s="93">
        <f>攻击!AB27</f>
        <v>0</v>
      </c>
      <c r="AB27" s="1">
        <f>攻击!AC27*HP!$B27</f>
        <v>580</v>
      </c>
      <c r="AC27" s="1">
        <f>攻击!AD27*HP!$B27</f>
        <v>696</v>
      </c>
      <c r="AD27" s="1">
        <f>攻击!AE27*HP!$B27</f>
        <v>870</v>
      </c>
      <c r="AE27" s="1">
        <f>攻击!AF27*HP!$B27</f>
        <v>1160</v>
      </c>
      <c r="AF27" s="1">
        <f>攻击!AG27*HP!$B27</f>
        <v>1450</v>
      </c>
      <c r="AG27" s="1">
        <f>攻击!AH27*HP!$B27</f>
        <v>0</v>
      </c>
      <c r="AH27" s="1">
        <f>攻击!AI27*HP!$B27</f>
        <v>116.00000000000001</v>
      </c>
      <c r="AI27" s="1">
        <f>攻击!AJ27*HP!$B27</f>
        <v>0</v>
      </c>
      <c r="AJ27" s="1">
        <f>攻击!AK27*HP!$B27</f>
        <v>17.399999999999999</v>
      </c>
      <c r="AK27" s="1">
        <f>攻击!AL27*HP!$B27</f>
        <v>0</v>
      </c>
      <c r="AL27" s="93">
        <f>攻击!AM27</f>
        <v>0</v>
      </c>
      <c r="AM27" s="93">
        <f>攻击!AN27</f>
        <v>0</v>
      </c>
      <c r="AN27" s="93">
        <f>攻击!AO27</f>
        <v>0</v>
      </c>
      <c r="AO27" s="93">
        <f>攻击!AP27</f>
        <v>0</v>
      </c>
      <c r="AP27" s="93">
        <f>攻击!AQ27</f>
        <v>0</v>
      </c>
      <c r="AQ27" s="1">
        <f>攻击!AR27*HP!$B27</f>
        <v>116.00000000000001</v>
      </c>
      <c r="AR27" s="1">
        <f t="shared" si="0"/>
        <v>2146</v>
      </c>
    </row>
    <row r="28" spans="1:44">
      <c r="A28" s="46">
        <v>26</v>
      </c>
      <c r="B28" s="1">
        <f t="shared" si="1"/>
        <v>10</v>
      </c>
      <c r="C28" s="1">
        <f>攻击!D28*HP!$B28</f>
        <v>600</v>
      </c>
      <c r="D28" s="1">
        <f>攻击!E28*HP!$B28</f>
        <v>720</v>
      </c>
      <c r="E28" s="1">
        <f>攻击!F28*HP!$B28</f>
        <v>900</v>
      </c>
      <c r="F28" s="1">
        <f>攻击!G28*HP!$B28</f>
        <v>1200</v>
      </c>
      <c r="G28" s="1">
        <f>攻击!H28*HP!$B28</f>
        <v>1500</v>
      </c>
      <c r="H28" s="1">
        <f>攻击!I28*HP!$B28</f>
        <v>290</v>
      </c>
      <c r="I28" s="1">
        <f>攻击!J28*HP!$B28</f>
        <v>180</v>
      </c>
      <c r="J28" s="1">
        <f>攻击!K28*HP!$B28</f>
        <v>360</v>
      </c>
      <c r="K28" s="1">
        <f>攻击!L28*HP!$B28</f>
        <v>0</v>
      </c>
      <c r="L28" s="1">
        <f>攻击!M28*HP!$B28</f>
        <v>0</v>
      </c>
      <c r="M28" s="1">
        <f>攻击!N28*HP!$B28</f>
        <v>720</v>
      </c>
      <c r="N28" s="1">
        <f>攻击!O28*HP!$B28</f>
        <v>900</v>
      </c>
      <c r="O28" s="1">
        <f>攻击!P28*HP!$B28</f>
        <v>1200</v>
      </c>
      <c r="P28" s="1">
        <f>攻击!Q28*HP!$B28</f>
        <v>1500</v>
      </c>
      <c r="Q28" s="1">
        <f>攻击!R28*HP!$B28</f>
        <v>1800</v>
      </c>
      <c r="R28" s="1">
        <f>攻击!S28*HP!$B28</f>
        <v>2100</v>
      </c>
      <c r="S28" s="1">
        <f>攻击!T28*HP!$B28</f>
        <v>0</v>
      </c>
      <c r="T28" s="1">
        <f>攻击!U28*HP!$B28</f>
        <v>180</v>
      </c>
      <c r="U28" s="1">
        <f>攻击!V28*HP!$B28</f>
        <v>0</v>
      </c>
      <c r="V28" s="1">
        <f>攻击!W28*HP!$B28</f>
        <v>30</v>
      </c>
      <c r="W28" s="93">
        <f>攻击!X28</f>
        <v>0</v>
      </c>
      <c r="X28" s="93">
        <f>攻击!Y28</f>
        <v>0</v>
      </c>
      <c r="Y28" s="93">
        <f>攻击!Z28</f>
        <v>0</v>
      </c>
      <c r="Z28" s="93">
        <f>攻击!AA28</f>
        <v>0</v>
      </c>
      <c r="AA28" s="93">
        <f>攻击!AB28</f>
        <v>0</v>
      </c>
      <c r="AB28" s="1">
        <f>攻击!AC28*HP!$B28</f>
        <v>600</v>
      </c>
      <c r="AC28" s="1">
        <f>攻击!AD28*HP!$B28</f>
        <v>720</v>
      </c>
      <c r="AD28" s="1">
        <f>攻击!AE28*HP!$B28</f>
        <v>900</v>
      </c>
      <c r="AE28" s="1">
        <f>攻击!AF28*HP!$B28</f>
        <v>1200</v>
      </c>
      <c r="AF28" s="1">
        <f>攻击!AG28*HP!$B28</f>
        <v>1500</v>
      </c>
      <c r="AG28" s="1">
        <f>攻击!AH28*HP!$B28</f>
        <v>0</v>
      </c>
      <c r="AH28" s="1">
        <f>攻击!AI28*HP!$B28</f>
        <v>120</v>
      </c>
      <c r="AI28" s="1">
        <f>攻击!AJ28*HP!$B28</f>
        <v>0</v>
      </c>
      <c r="AJ28" s="1">
        <f>攻击!AK28*HP!$B28</f>
        <v>18</v>
      </c>
      <c r="AK28" s="1">
        <f>攻击!AL28*HP!$B28</f>
        <v>0</v>
      </c>
      <c r="AL28" s="93">
        <f>攻击!AM28</f>
        <v>0</v>
      </c>
      <c r="AM28" s="93">
        <f>攻击!AN28</f>
        <v>0</v>
      </c>
      <c r="AN28" s="93">
        <f>攻击!AO28</f>
        <v>0</v>
      </c>
      <c r="AO28" s="93">
        <f>攻击!AP28</f>
        <v>0</v>
      </c>
      <c r="AP28" s="93">
        <f>攻击!AQ28</f>
        <v>0</v>
      </c>
      <c r="AQ28" s="1">
        <f>攻击!AR28*HP!$B28</f>
        <v>120</v>
      </c>
      <c r="AR28" s="1">
        <f t="shared" si="0"/>
        <v>2220</v>
      </c>
    </row>
    <row r="29" spans="1:44">
      <c r="A29" s="46">
        <v>27</v>
      </c>
      <c r="B29" s="1">
        <f t="shared" si="1"/>
        <v>10</v>
      </c>
      <c r="C29" s="1">
        <f>攻击!D29*HP!$B29</f>
        <v>620</v>
      </c>
      <c r="D29" s="1">
        <f>攻击!E29*HP!$B29</f>
        <v>743.99999999999989</v>
      </c>
      <c r="E29" s="1">
        <f>攻击!F29*HP!$B29</f>
        <v>930</v>
      </c>
      <c r="F29" s="1">
        <f>攻击!G29*HP!$B29</f>
        <v>1240</v>
      </c>
      <c r="G29" s="1">
        <f>攻击!H29*HP!$B29</f>
        <v>1550</v>
      </c>
      <c r="H29" s="1">
        <f>攻击!I29*HP!$B29</f>
        <v>290</v>
      </c>
      <c r="I29" s="1">
        <f>攻击!J29*HP!$B29</f>
        <v>185.99999999999997</v>
      </c>
      <c r="J29" s="1">
        <f>攻击!K29*HP!$B29</f>
        <v>371.99999999999994</v>
      </c>
      <c r="K29" s="1">
        <f>攻击!L29*HP!$B29</f>
        <v>0</v>
      </c>
      <c r="L29" s="1">
        <f>攻击!M29*HP!$B29</f>
        <v>0</v>
      </c>
      <c r="M29" s="1">
        <f>攻击!N29*HP!$B29</f>
        <v>743.99999999999989</v>
      </c>
      <c r="N29" s="1">
        <f>攻击!O29*HP!$B29</f>
        <v>930</v>
      </c>
      <c r="O29" s="1">
        <f>攻击!P29*HP!$B29</f>
        <v>1240</v>
      </c>
      <c r="P29" s="1">
        <f>攻击!Q29*HP!$B29</f>
        <v>1550</v>
      </c>
      <c r="Q29" s="1">
        <f>攻击!R29*HP!$B29</f>
        <v>1860</v>
      </c>
      <c r="R29" s="1">
        <f>攻击!S29*HP!$B29</f>
        <v>2170</v>
      </c>
      <c r="S29" s="1">
        <f>攻击!T29*HP!$B29</f>
        <v>0</v>
      </c>
      <c r="T29" s="1">
        <f>攻击!U29*HP!$B29</f>
        <v>185.99999999999997</v>
      </c>
      <c r="U29" s="1">
        <f>攻击!V29*HP!$B29</f>
        <v>0</v>
      </c>
      <c r="V29" s="1">
        <f>攻击!W29*HP!$B29</f>
        <v>31</v>
      </c>
      <c r="W29" s="93">
        <f>攻击!X29</f>
        <v>0</v>
      </c>
      <c r="X29" s="93">
        <f>攻击!Y29</f>
        <v>0</v>
      </c>
      <c r="Y29" s="93">
        <f>攻击!Z29</f>
        <v>0</v>
      </c>
      <c r="Z29" s="93">
        <f>攻击!AA29</f>
        <v>0</v>
      </c>
      <c r="AA29" s="93">
        <f>攻击!AB29</f>
        <v>0</v>
      </c>
      <c r="AB29" s="1">
        <f>攻击!AC29*HP!$B29</f>
        <v>620</v>
      </c>
      <c r="AC29" s="1">
        <f>攻击!AD29*HP!$B29</f>
        <v>743.99999999999989</v>
      </c>
      <c r="AD29" s="1">
        <f>攻击!AE29*HP!$B29</f>
        <v>930</v>
      </c>
      <c r="AE29" s="1">
        <f>攻击!AF29*HP!$B29</f>
        <v>1240</v>
      </c>
      <c r="AF29" s="1">
        <f>攻击!AG29*HP!$B29</f>
        <v>1550</v>
      </c>
      <c r="AG29" s="1">
        <f>攻击!AH29*HP!$B29</f>
        <v>0</v>
      </c>
      <c r="AH29" s="1">
        <f>攻击!AI29*HP!$B29</f>
        <v>124</v>
      </c>
      <c r="AI29" s="1">
        <f>攻击!AJ29*HP!$B29</f>
        <v>0</v>
      </c>
      <c r="AJ29" s="1">
        <f>攻击!AK29*HP!$B29</f>
        <v>18.599999999999998</v>
      </c>
      <c r="AK29" s="1">
        <f>攻击!AL29*HP!$B29</f>
        <v>0</v>
      </c>
      <c r="AL29" s="93">
        <f>攻击!AM29</f>
        <v>0</v>
      </c>
      <c r="AM29" s="93">
        <f>攻击!AN29</f>
        <v>0</v>
      </c>
      <c r="AN29" s="93">
        <f>攻击!AO29</f>
        <v>0</v>
      </c>
      <c r="AO29" s="93">
        <f>攻击!AP29</f>
        <v>0</v>
      </c>
      <c r="AP29" s="93">
        <f>攻击!AQ29</f>
        <v>0</v>
      </c>
      <c r="AQ29" s="1">
        <f>攻击!AR29*HP!$B29</f>
        <v>124</v>
      </c>
      <c r="AR29" s="1">
        <f t="shared" si="0"/>
        <v>2294</v>
      </c>
    </row>
    <row r="30" spans="1:44">
      <c r="A30" s="46">
        <v>28</v>
      </c>
      <c r="B30" s="1">
        <f t="shared" si="1"/>
        <v>10</v>
      </c>
      <c r="C30" s="1">
        <f>攻击!D30*HP!$B30</f>
        <v>640</v>
      </c>
      <c r="D30" s="1">
        <f>攻击!E30*HP!$B30</f>
        <v>768</v>
      </c>
      <c r="E30" s="1">
        <f>攻击!F30*HP!$B30</f>
        <v>960</v>
      </c>
      <c r="F30" s="1">
        <f>攻击!G30*HP!$B30</f>
        <v>1280</v>
      </c>
      <c r="G30" s="1">
        <f>攻击!H30*HP!$B30</f>
        <v>1600</v>
      </c>
      <c r="H30" s="1">
        <f>攻击!I30*HP!$B30</f>
        <v>290</v>
      </c>
      <c r="I30" s="1">
        <f>攻击!J30*HP!$B30</f>
        <v>192</v>
      </c>
      <c r="J30" s="1">
        <f>攻击!K30*HP!$B30</f>
        <v>384</v>
      </c>
      <c r="K30" s="1">
        <f>攻击!L30*HP!$B30</f>
        <v>0</v>
      </c>
      <c r="L30" s="1">
        <f>攻击!M30*HP!$B30</f>
        <v>0</v>
      </c>
      <c r="M30" s="1">
        <f>攻击!N30*HP!$B30</f>
        <v>768</v>
      </c>
      <c r="N30" s="1">
        <f>攻击!O30*HP!$B30</f>
        <v>960</v>
      </c>
      <c r="O30" s="1">
        <f>攻击!P30*HP!$B30</f>
        <v>1280</v>
      </c>
      <c r="P30" s="1">
        <f>攻击!Q30*HP!$B30</f>
        <v>1600</v>
      </c>
      <c r="Q30" s="1">
        <f>攻击!R30*HP!$B30</f>
        <v>1920</v>
      </c>
      <c r="R30" s="1">
        <f>攻击!S30*HP!$B30</f>
        <v>2240</v>
      </c>
      <c r="S30" s="1">
        <f>攻击!T30*HP!$B30</f>
        <v>0</v>
      </c>
      <c r="T30" s="1">
        <f>攻击!U30*HP!$B30</f>
        <v>192</v>
      </c>
      <c r="U30" s="1">
        <f>攻击!V30*HP!$B30</f>
        <v>0</v>
      </c>
      <c r="V30" s="1">
        <f>攻击!W30*HP!$B30</f>
        <v>32</v>
      </c>
      <c r="W30" s="93">
        <f>攻击!X30</f>
        <v>0</v>
      </c>
      <c r="X30" s="93">
        <f>攻击!Y30</f>
        <v>0</v>
      </c>
      <c r="Y30" s="93">
        <f>攻击!Z30</f>
        <v>0</v>
      </c>
      <c r="Z30" s="93">
        <f>攻击!AA30</f>
        <v>0</v>
      </c>
      <c r="AA30" s="93">
        <f>攻击!AB30</f>
        <v>0</v>
      </c>
      <c r="AB30" s="1">
        <f>攻击!AC30*HP!$B30</f>
        <v>640</v>
      </c>
      <c r="AC30" s="1">
        <f>攻击!AD30*HP!$B30</f>
        <v>768</v>
      </c>
      <c r="AD30" s="1">
        <f>攻击!AE30*HP!$B30</f>
        <v>960</v>
      </c>
      <c r="AE30" s="1">
        <f>攻击!AF30*HP!$B30</f>
        <v>1280</v>
      </c>
      <c r="AF30" s="1">
        <f>攻击!AG30*HP!$B30</f>
        <v>1600</v>
      </c>
      <c r="AG30" s="1">
        <f>攻击!AH30*HP!$B30</f>
        <v>0</v>
      </c>
      <c r="AH30" s="1">
        <f>攻击!AI30*HP!$B30</f>
        <v>128</v>
      </c>
      <c r="AI30" s="1">
        <f>攻击!AJ30*HP!$B30</f>
        <v>0</v>
      </c>
      <c r="AJ30" s="1">
        <f>攻击!AK30*HP!$B30</f>
        <v>19.2</v>
      </c>
      <c r="AK30" s="1">
        <f>攻击!AL30*HP!$B30</f>
        <v>0</v>
      </c>
      <c r="AL30" s="93">
        <f>攻击!AM30</f>
        <v>0</v>
      </c>
      <c r="AM30" s="93">
        <f>攻击!AN30</f>
        <v>0</v>
      </c>
      <c r="AN30" s="93">
        <f>攻击!AO30</f>
        <v>0</v>
      </c>
      <c r="AO30" s="93">
        <f>攻击!AP30</f>
        <v>0</v>
      </c>
      <c r="AP30" s="93">
        <f>攻击!AQ30</f>
        <v>0</v>
      </c>
      <c r="AQ30" s="1">
        <f>攻击!AR30*HP!$B30</f>
        <v>128</v>
      </c>
      <c r="AR30" s="1">
        <f t="shared" si="0"/>
        <v>2368</v>
      </c>
    </row>
    <row r="31" spans="1:44">
      <c r="A31" s="46">
        <v>29</v>
      </c>
      <c r="B31" s="1">
        <f t="shared" si="1"/>
        <v>10</v>
      </c>
      <c r="C31" s="1">
        <f>攻击!D31*HP!$B31</f>
        <v>660</v>
      </c>
      <c r="D31" s="1">
        <f>攻击!E31*HP!$B31</f>
        <v>792</v>
      </c>
      <c r="E31" s="1">
        <f>攻击!F31*HP!$B31</f>
        <v>990</v>
      </c>
      <c r="F31" s="1">
        <f>攻击!G31*HP!$B31</f>
        <v>1320</v>
      </c>
      <c r="G31" s="1">
        <f>攻击!H31*HP!$B31</f>
        <v>1650</v>
      </c>
      <c r="H31" s="1">
        <f>攻击!I31*HP!$B31</f>
        <v>290</v>
      </c>
      <c r="I31" s="1">
        <f>攻击!J31*HP!$B31</f>
        <v>198</v>
      </c>
      <c r="J31" s="1">
        <f>攻击!K31*HP!$B31</f>
        <v>396</v>
      </c>
      <c r="K31" s="1">
        <f>攻击!L31*HP!$B31</f>
        <v>0</v>
      </c>
      <c r="L31" s="1">
        <f>攻击!M31*HP!$B31</f>
        <v>0</v>
      </c>
      <c r="M31" s="1">
        <f>攻击!N31*HP!$B31</f>
        <v>792</v>
      </c>
      <c r="N31" s="1">
        <f>攻击!O31*HP!$B31</f>
        <v>990</v>
      </c>
      <c r="O31" s="1">
        <f>攻击!P31*HP!$B31</f>
        <v>1320</v>
      </c>
      <c r="P31" s="1">
        <f>攻击!Q31*HP!$B31</f>
        <v>1650</v>
      </c>
      <c r="Q31" s="1">
        <f>攻击!R31*HP!$B31</f>
        <v>1980</v>
      </c>
      <c r="R31" s="1">
        <f>攻击!S31*HP!$B31</f>
        <v>2310</v>
      </c>
      <c r="S31" s="1">
        <f>攻击!T31*HP!$B31</f>
        <v>0</v>
      </c>
      <c r="T31" s="1">
        <f>攻击!U31*HP!$B31</f>
        <v>198</v>
      </c>
      <c r="U31" s="1">
        <f>攻击!V31*HP!$B31</f>
        <v>0</v>
      </c>
      <c r="V31" s="1">
        <f>攻击!W31*HP!$B31</f>
        <v>33</v>
      </c>
      <c r="W31" s="93">
        <f>攻击!X31</f>
        <v>0</v>
      </c>
      <c r="X31" s="93">
        <f>攻击!Y31</f>
        <v>0</v>
      </c>
      <c r="Y31" s="93">
        <f>攻击!Z31</f>
        <v>0</v>
      </c>
      <c r="Z31" s="93">
        <f>攻击!AA31</f>
        <v>0</v>
      </c>
      <c r="AA31" s="93">
        <f>攻击!AB31</f>
        <v>0</v>
      </c>
      <c r="AB31" s="1">
        <f>攻击!AC31*HP!$B31</f>
        <v>660</v>
      </c>
      <c r="AC31" s="1">
        <f>攻击!AD31*HP!$B31</f>
        <v>792</v>
      </c>
      <c r="AD31" s="1">
        <f>攻击!AE31*HP!$B31</f>
        <v>990</v>
      </c>
      <c r="AE31" s="1">
        <f>攻击!AF31*HP!$B31</f>
        <v>1320</v>
      </c>
      <c r="AF31" s="1">
        <f>攻击!AG31*HP!$B31</f>
        <v>1650</v>
      </c>
      <c r="AG31" s="1">
        <f>攻击!AH31*HP!$B31</f>
        <v>0</v>
      </c>
      <c r="AH31" s="1">
        <f>攻击!AI31*HP!$B31</f>
        <v>132</v>
      </c>
      <c r="AI31" s="1">
        <f>攻击!AJ31*HP!$B31</f>
        <v>0</v>
      </c>
      <c r="AJ31" s="1">
        <f>攻击!AK31*HP!$B31</f>
        <v>19.8</v>
      </c>
      <c r="AK31" s="1">
        <f>攻击!AL31*HP!$B31</f>
        <v>0</v>
      </c>
      <c r="AL31" s="93">
        <f>攻击!AM31</f>
        <v>0</v>
      </c>
      <c r="AM31" s="93">
        <f>攻击!AN31</f>
        <v>0</v>
      </c>
      <c r="AN31" s="93">
        <f>攻击!AO31</f>
        <v>0</v>
      </c>
      <c r="AO31" s="93">
        <f>攻击!AP31</f>
        <v>0</v>
      </c>
      <c r="AP31" s="93">
        <f>攻击!AQ31</f>
        <v>0</v>
      </c>
      <c r="AQ31" s="1">
        <f>攻击!AR31*HP!$B31</f>
        <v>132</v>
      </c>
      <c r="AR31" s="1">
        <f t="shared" si="0"/>
        <v>2442</v>
      </c>
    </row>
    <row r="32" spans="1:44">
      <c r="A32" s="46">
        <v>30</v>
      </c>
      <c r="B32" s="1">
        <f t="shared" si="1"/>
        <v>10</v>
      </c>
      <c r="C32" s="1">
        <f>攻击!D32*HP!$B32</f>
        <v>680</v>
      </c>
      <c r="D32" s="1">
        <f>攻击!E32*HP!$B32</f>
        <v>816</v>
      </c>
      <c r="E32" s="1">
        <f>攻击!F32*HP!$B32</f>
        <v>1020</v>
      </c>
      <c r="F32" s="1">
        <f>攻击!G32*HP!$B32</f>
        <v>1360</v>
      </c>
      <c r="G32" s="1">
        <f>攻击!H32*HP!$B32</f>
        <v>1700</v>
      </c>
      <c r="H32" s="1">
        <f>攻击!I32*HP!$B32</f>
        <v>340</v>
      </c>
      <c r="I32" s="1">
        <f>攻击!J32*HP!$B32</f>
        <v>204</v>
      </c>
      <c r="J32" s="1">
        <f>攻击!K32*HP!$B32</f>
        <v>408</v>
      </c>
      <c r="K32" s="1">
        <f>攻击!L32*HP!$B32</f>
        <v>0</v>
      </c>
      <c r="L32" s="1">
        <f>攻击!M32*HP!$B32</f>
        <v>0</v>
      </c>
      <c r="M32" s="1">
        <f>攻击!N32*HP!$B32</f>
        <v>816</v>
      </c>
      <c r="N32" s="1">
        <f>攻击!O32*HP!$B32</f>
        <v>1020</v>
      </c>
      <c r="O32" s="1">
        <f>攻击!P32*HP!$B32</f>
        <v>1360</v>
      </c>
      <c r="P32" s="1">
        <f>攻击!Q32*HP!$B32</f>
        <v>1700</v>
      </c>
      <c r="Q32" s="1">
        <f>攻击!R32*HP!$B32</f>
        <v>2040</v>
      </c>
      <c r="R32" s="1">
        <f>攻击!S32*HP!$B32</f>
        <v>2380</v>
      </c>
      <c r="S32" s="1">
        <f>攻击!T32*HP!$B32</f>
        <v>510</v>
      </c>
      <c r="T32" s="1">
        <f>攻击!U32*HP!$B32</f>
        <v>204</v>
      </c>
      <c r="U32" s="1">
        <f>攻击!V32*HP!$B32</f>
        <v>204</v>
      </c>
      <c r="V32" s="1">
        <f>攻击!W32*HP!$B32</f>
        <v>34</v>
      </c>
      <c r="W32" s="93">
        <f>攻击!X32</f>
        <v>0</v>
      </c>
      <c r="X32" s="93">
        <f>攻击!Y32</f>
        <v>0</v>
      </c>
      <c r="Y32" s="93">
        <f>攻击!Z32</f>
        <v>0</v>
      </c>
      <c r="Z32" s="93">
        <f>攻击!AA32</f>
        <v>0</v>
      </c>
      <c r="AA32" s="93">
        <f>攻击!AB32</f>
        <v>0</v>
      </c>
      <c r="AB32" s="1">
        <f>攻击!AC32*HP!$B32</f>
        <v>680</v>
      </c>
      <c r="AC32" s="1">
        <f>攻击!AD32*HP!$B32</f>
        <v>816</v>
      </c>
      <c r="AD32" s="1">
        <f>攻击!AE32*HP!$B32</f>
        <v>1020</v>
      </c>
      <c r="AE32" s="1">
        <f>攻击!AF32*HP!$B32</f>
        <v>1360</v>
      </c>
      <c r="AF32" s="1">
        <f>攻击!AG32*HP!$B32</f>
        <v>1700</v>
      </c>
      <c r="AG32" s="1">
        <f>攻击!AH32*HP!$B32</f>
        <v>0</v>
      </c>
      <c r="AH32" s="1">
        <f>攻击!AI32*HP!$B32</f>
        <v>136</v>
      </c>
      <c r="AI32" s="1">
        <f>攻击!AJ32*HP!$B32</f>
        <v>0</v>
      </c>
      <c r="AJ32" s="1">
        <f>攻击!AK32*HP!$B32</f>
        <v>20.399999999999999</v>
      </c>
      <c r="AK32" s="1">
        <f>攻击!AL32*HP!$B32</f>
        <v>0</v>
      </c>
      <c r="AL32" s="93">
        <f>攻击!AM32</f>
        <v>0</v>
      </c>
      <c r="AM32" s="93">
        <f>攻击!AN32</f>
        <v>0</v>
      </c>
      <c r="AN32" s="93">
        <f>攻击!AO32</f>
        <v>0</v>
      </c>
      <c r="AO32" s="93">
        <f>攻击!AP32</f>
        <v>0</v>
      </c>
      <c r="AP32" s="93">
        <f>攻击!AQ32</f>
        <v>0</v>
      </c>
      <c r="AQ32" s="1">
        <f>攻击!AR32*HP!$B32</f>
        <v>136</v>
      </c>
      <c r="AR32" s="1">
        <f t="shared" si="0"/>
        <v>2516</v>
      </c>
    </row>
    <row r="33" spans="1:44">
      <c r="A33" s="46">
        <v>31</v>
      </c>
      <c r="B33" s="1">
        <f t="shared" si="1"/>
        <v>10</v>
      </c>
      <c r="C33" s="1">
        <f>攻击!D33*HP!$B33</f>
        <v>700</v>
      </c>
      <c r="D33" s="1">
        <f>攻击!E33*HP!$B33</f>
        <v>840</v>
      </c>
      <c r="E33" s="1">
        <f>攻击!F33*HP!$B33</f>
        <v>1050</v>
      </c>
      <c r="F33" s="1">
        <f>攻击!G33*HP!$B33</f>
        <v>1400</v>
      </c>
      <c r="G33" s="1">
        <f>攻击!H33*HP!$B33</f>
        <v>1750</v>
      </c>
      <c r="H33" s="1">
        <f>攻击!I33*HP!$B33</f>
        <v>340</v>
      </c>
      <c r="I33" s="1">
        <f>攻击!J33*HP!$B33</f>
        <v>210</v>
      </c>
      <c r="J33" s="1">
        <f>攻击!K33*HP!$B33</f>
        <v>420</v>
      </c>
      <c r="K33" s="1">
        <f>攻击!L33*HP!$B33</f>
        <v>0</v>
      </c>
      <c r="L33" s="1">
        <f>攻击!M33*HP!$B33</f>
        <v>0</v>
      </c>
      <c r="M33" s="1">
        <f>攻击!N33*HP!$B33</f>
        <v>840</v>
      </c>
      <c r="N33" s="1">
        <f>攻击!O33*HP!$B33</f>
        <v>1050</v>
      </c>
      <c r="O33" s="1">
        <f>攻击!P33*HP!$B33</f>
        <v>1400</v>
      </c>
      <c r="P33" s="1">
        <f>攻击!Q33*HP!$B33</f>
        <v>1750</v>
      </c>
      <c r="Q33" s="1">
        <f>攻击!R33*HP!$B33</f>
        <v>2100</v>
      </c>
      <c r="R33" s="1">
        <f>攻击!S33*HP!$B33</f>
        <v>2450</v>
      </c>
      <c r="S33" s="1">
        <f>攻击!T33*HP!$B33</f>
        <v>525</v>
      </c>
      <c r="T33" s="1">
        <f>攻击!U33*HP!$B33</f>
        <v>210</v>
      </c>
      <c r="U33" s="1">
        <f>攻击!V33*HP!$B33</f>
        <v>210</v>
      </c>
      <c r="V33" s="1">
        <f>攻击!W33*HP!$B33</f>
        <v>35</v>
      </c>
      <c r="W33" s="93">
        <f>攻击!X33</f>
        <v>0</v>
      </c>
      <c r="X33" s="93">
        <f>攻击!Y33</f>
        <v>0</v>
      </c>
      <c r="Y33" s="93">
        <f>攻击!Z33</f>
        <v>0</v>
      </c>
      <c r="Z33" s="93">
        <f>攻击!AA33</f>
        <v>0</v>
      </c>
      <c r="AA33" s="93">
        <f>攻击!AB33</f>
        <v>0</v>
      </c>
      <c r="AB33" s="1">
        <f>攻击!AC33*HP!$B33</f>
        <v>700</v>
      </c>
      <c r="AC33" s="1">
        <f>攻击!AD33*HP!$B33</f>
        <v>840</v>
      </c>
      <c r="AD33" s="1">
        <f>攻击!AE33*HP!$B33</f>
        <v>1050</v>
      </c>
      <c r="AE33" s="1">
        <f>攻击!AF33*HP!$B33</f>
        <v>1400</v>
      </c>
      <c r="AF33" s="1">
        <f>攻击!AG33*HP!$B33</f>
        <v>1750</v>
      </c>
      <c r="AG33" s="1">
        <f>攻击!AH33*HP!$B33</f>
        <v>0</v>
      </c>
      <c r="AH33" s="1">
        <f>攻击!AI33*HP!$B33</f>
        <v>140</v>
      </c>
      <c r="AI33" s="1">
        <f>攻击!AJ33*HP!$B33</f>
        <v>0</v>
      </c>
      <c r="AJ33" s="1">
        <f>攻击!AK33*HP!$B33</f>
        <v>21</v>
      </c>
      <c r="AK33" s="1">
        <f>攻击!AL33*HP!$B33</f>
        <v>0</v>
      </c>
      <c r="AL33" s="93">
        <f>攻击!AM33</f>
        <v>0</v>
      </c>
      <c r="AM33" s="93">
        <f>攻击!AN33</f>
        <v>0</v>
      </c>
      <c r="AN33" s="93">
        <f>攻击!AO33</f>
        <v>0</v>
      </c>
      <c r="AO33" s="93">
        <f>攻击!AP33</f>
        <v>0</v>
      </c>
      <c r="AP33" s="93">
        <f>攻击!AQ33</f>
        <v>0</v>
      </c>
      <c r="AQ33" s="1">
        <f>攻击!AR33*HP!$B33</f>
        <v>140</v>
      </c>
      <c r="AR33" s="1">
        <f t="shared" si="0"/>
        <v>2590</v>
      </c>
    </row>
    <row r="34" spans="1:44">
      <c r="A34" s="46">
        <v>32</v>
      </c>
      <c r="B34" s="1">
        <f t="shared" si="1"/>
        <v>10</v>
      </c>
      <c r="C34" s="1">
        <f>攻击!D34*HP!$B34</f>
        <v>720</v>
      </c>
      <c r="D34" s="1">
        <f>攻击!E34*HP!$B34</f>
        <v>863.99999999999989</v>
      </c>
      <c r="E34" s="1">
        <f>攻击!F34*HP!$B34</f>
        <v>1080</v>
      </c>
      <c r="F34" s="1">
        <f>攻击!G34*HP!$B34</f>
        <v>1440</v>
      </c>
      <c r="G34" s="1">
        <f>攻击!H34*HP!$B34</f>
        <v>1800</v>
      </c>
      <c r="H34" s="1">
        <f>攻击!I34*HP!$B34</f>
        <v>340</v>
      </c>
      <c r="I34" s="1">
        <f>攻击!J34*HP!$B34</f>
        <v>215.99999999999997</v>
      </c>
      <c r="J34" s="1">
        <f>攻击!K34*HP!$B34</f>
        <v>431.99999999999994</v>
      </c>
      <c r="K34" s="1">
        <f>攻击!L34*HP!$B34</f>
        <v>0</v>
      </c>
      <c r="L34" s="1">
        <f>攻击!M34*HP!$B34</f>
        <v>0</v>
      </c>
      <c r="M34" s="1">
        <f>攻击!N34*HP!$B34</f>
        <v>863.99999999999989</v>
      </c>
      <c r="N34" s="1">
        <f>攻击!O34*HP!$B34</f>
        <v>1080</v>
      </c>
      <c r="O34" s="1">
        <f>攻击!P34*HP!$B34</f>
        <v>1440</v>
      </c>
      <c r="P34" s="1">
        <f>攻击!Q34*HP!$B34</f>
        <v>1800</v>
      </c>
      <c r="Q34" s="1">
        <f>攻击!R34*HP!$B34</f>
        <v>2160</v>
      </c>
      <c r="R34" s="1">
        <f>攻击!S34*HP!$B34</f>
        <v>2520</v>
      </c>
      <c r="S34" s="1">
        <f>攻击!T34*HP!$B34</f>
        <v>540</v>
      </c>
      <c r="T34" s="1">
        <f>攻击!U34*HP!$B34</f>
        <v>215.99999999999997</v>
      </c>
      <c r="U34" s="1">
        <f>攻击!V34*HP!$B34</f>
        <v>215.99999999999997</v>
      </c>
      <c r="V34" s="1">
        <f>攻击!W34*HP!$B34</f>
        <v>36</v>
      </c>
      <c r="W34" s="93">
        <f>攻击!X34</f>
        <v>0</v>
      </c>
      <c r="X34" s="93">
        <f>攻击!Y34</f>
        <v>0</v>
      </c>
      <c r="Y34" s="93">
        <f>攻击!Z34</f>
        <v>0</v>
      </c>
      <c r="Z34" s="93">
        <f>攻击!AA34</f>
        <v>0</v>
      </c>
      <c r="AA34" s="93">
        <f>攻击!AB34</f>
        <v>0</v>
      </c>
      <c r="AB34" s="1">
        <f>攻击!AC34*HP!$B34</f>
        <v>720</v>
      </c>
      <c r="AC34" s="1">
        <f>攻击!AD34*HP!$B34</f>
        <v>863.99999999999989</v>
      </c>
      <c r="AD34" s="1">
        <f>攻击!AE34*HP!$B34</f>
        <v>1080</v>
      </c>
      <c r="AE34" s="1">
        <f>攻击!AF34*HP!$B34</f>
        <v>1440</v>
      </c>
      <c r="AF34" s="1">
        <f>攻击!AG34*HP!$B34</f>
        <v>1800</v>
      </c>
      <c r="AG34" s="1">
        <f>攻击!AH34*HP!$B34</f>
        <v>0</v>
      </c>
      <c r="AH34" s="1">
        <f>攻击!AI34*HP!$B34</f>
        <v>144</v>
      </c>
      <c r="AI34" s="1">
        <f>攻击!AJ34*HP!$B34</f>
        <v>0</v>
      </c>
      <c r="AJ34" s="1">
        <f>攻击!AK34*HP!$B34</f>
        <v>21.6</v>
      </c>
      <c r="AK34" s="1">
        <f>攻击!AL34*HP!$B34</f>
        <v>0</v>
      </c>
      <c r="AL34" s="93">
        <f>攻击!AM34</f>
        <v>0</v>
      </c>
      <c r="AM34" s="93">
        <f>攻击!AN34</f>
        <v>0</v>
      </c>
      <c r="AN34" s="93">
        <f>攻击!AO34</f>
        <v>0</v>
      </c>
      <c r="AO34" s="93">
        <f>攻击!AP34</f>
        <v>0</v>
      </c>
      <c r="AP34" s="93">
        <f>攻击!AQ34</f>
        <v>0</v>
      </c>
      <c r="AQ34" s="1">
        <f>攻击!AR34*HP!$B34</f>
        <v>144</v>
      </c>
      <c r="AR34" s="1">
        <f t="shared" si="0"/>
        <v>2664</v>
      </c>
    </row>
    <row r="35" spans="1:44">
      <c r="A35" s="46">
        <v>33</v>
      </c>
      <c r="B35" s="1">
        <f t="shared" si="1"/>
        <v>10</v>
      </c>
      <c r="C35" s="1">
        <f>攻击!D35*HP!$B35</f>
        <v>740</v>
      </c>
      <c r="D35" s="1">
        <f>攻击!E35*HP!$B35</f>
        <v>888</v>
      </c>
      <c r="E35" s="1">
        <f>攻击!F35*HP!$B35</f>
        <v>1110</v>
      </c>
      <c r="F35" s="1">
        <f>攻击!G35*HP!$B35</f>
        <v>1480</v>
      </c>
      <c r="G35" s="1">
        <f>攻击!H35*HP!$B35</f>
        <v>1850</v>
      </c>
      <c r="H35" s="1">
        <f>攻击!I35*HP!$B35</f>
        <v>340</v>
      </c>
      <c r="I35" s="1">
        <f>攻击!J35*HP!$B35</f>
        <v>222</v>
      </c>
      <c r="J35" s="1">
        <f>攻击!K35*HP!$B35</f>
        <v>444</v>
      </c>
      <c r="K35" s="1">
        <f>攻击!L35*HP!$B35</f>
        <v>0</v>
      </c>
      <c r="L35" s="1">
        <f>攻击!M35*HP!$B35</f>
        <v>0</v>
      </c>
      <c r="M35" s="1">
        <f>攻击!N35*HP!$B35</f>
        <v>888</v>
      </c>
      <c r="N35" s="1">
        <f>攻击!O35*HP!$B35</f>
        <v>1110</v>
      </c>
      <c r="O35" s="1">
        <f>攻击!P35*HP!$B35</f>
        <v>1480</v>
      </c>
      <c r="P35" s="1">
        <f>攻击!Q35*HP!$B35</f>
        <v>1850</v>
      </c>
      <c r="Q35" s="1">
        <f>攻击!R35*HP!$B35</f>
        <v>2220</v>
      </c>
      <c r="R35" s="1">
        <f>攻击!S35*HP!$B35</f>
        <v>2590</v>
      </c>
      <c r="S35" s="1">
        <f>攻击!T35*HP!$B35</f>
        <v>555</v>
      </c>
      <c r="T35" s="1">
        <f>攻击!U35*HP!$B35</f>
        <v>222</v>
      </c>
      <c r="U35" s="1">
        <f>攻击!V35*HP!$B35</f>
        <v>222</v>
      </c>
      <c r="V35" s="1">
        <f>攻击!W35*HP!$B35</f>
        <v>37</v>
      </c>
      <c r="W35" s="93">
        <f>攻击!X35</f>
        <v>0</v>
      </c>
      <c r="X35" s="93">
        <f>攻击!Y35</f>
        <v>0</v>
      </c>
      <c r="Y35" s="93">
        <f>攻击!Z35</f>
        <v>0</v>
      </c>
      <c r="Z35" s="93">
        <f>攻击!AA35</f>
        <v>0</v>
      </c>
      <c r="AA35" s="93">
        <f>攻击!AB35</f>
        <v>0</v>
      </c>
      <c r="AB35" s="1">
        <f>攻击!AC35*HP!$B35</f>
        <v>740</v>
      </c>
      <c r="AC35" s="1">
        <f>攻击!AD35*HP!$B35</f>
        <v>888</v>
      </c>
      <c r="AD35" s="1">
        <f>攻击!AE35*HP!$B35</f>
        <v>1110</v>
      </c>
      <c r="AE35" s="1">
        <f>攻击!AF35*HP!$B35</f>
        <v>1480</v>
      </c>
      <c r="AF35" s="1">
        <f>攻击!AG35*HP!$B35</f>
        <v>1850</v>
      </c>
      <c r="AG35" s="1">
        <f>攻击!AH35*HP!$B35</f>
        <v>0</v>
      </c>
      <c r="AH35" s="1">
        <f>攻击!AI35*HP!$B35</f>
        <v>148</v>
      </c>
      <c r="AI35" s="1">
        <f>攻击!AJ35*HP!$B35</f>
        <v>0</v>
      </c>
      <c r="AJ35" s="1">
        <f>攻击!AK35*HP!$B35</f>
        <v>22.199999999999996</v>
      </c>
      <c r="AK35" s="1">
        <f>攻击!AL35*HP!$B35</f>
        <v>0</v>
      </c>
      <c r="AL35" s="93">
        <f>攻击!AM35</f>
        <v>0</v>
      </c>
      <c r="AM35" s="93">
        <f>攻击!AN35</f>
        <v>0</v>
      </c>
      <c r="AN35" s="93">
        <f>攻击!AO35</f>
        <v>0</v>
      </c>
      <c r="AO35" s="93">
        <f>攻击!AP35</f>
        <v>0</v>
      </c>
      <c r="AP35" s="93">
        <f>攻击!AQ35</f>
        <v>0</v>
      </c>
      <c r="AQ35" s="1">
        <f>攻击!AR35*HP!$B35</f>
        <v>148</v>
      </c>
      <c r="AR35" s="1">
        <f t="shared" si="0"/>
        <v>2738</v>
      </c>
    </row>
    <row r="36" spans="1:44">
      <c r="A36" s="46">
        <v>34</v>
      </c>
      <c r="B36" s="1">
        <f t="shared" si="1"/>
        <v>10</v>
      </c>
      <c r="C36" s="1">
        <f>攻击!D36*HP!$B36</f>
        <v>760</v>
      </c>
      <c r="D36" s="1">
        <f>攻击!E36*HP!$B36</f>
        <v>912</v>
      </c>
      <c r="E36" s="1">
        <f>攻击!F36*HP!$B36</f>
        <v>1140</v>
      </c>
      <c r="F36" s="1">
        <f>攻击!G36*HP!$B36</f>
        <v>1520</v>
      </c>
      <c r="G36" s="1">
        <f>攻击!H36*HP!$B36</f>
        <v>1900</v>
      </c>
      <c r="H36" s="1">
        <f>攻击!I36*HP!$B36</f>
        <v>340</v>
      </c>
      <c r="I36" s="1">
        <f>攻击!J36*HP!$B36</f>
        <v>228</v>
      </c>
      <c r="J36" s="1">
        <f>攻击!K36*HP!$B36</f>
        <v>456</v>
      </c>
      <c r="K36" s="1">
        <f>攻击!L36*HP!$B36</f>
        <v>0</v>
      </c>
      <c r="L36" s="1">
        <f>攻击!M36*HP!$B36</f>
        <v>0</v>
      </c>
      <c r="M36" s="1">
        <f>攻击!N36*HP!$B36</f>
        <v>912</v>
      </c>
      <c r="N36" s="1">
        <f>攻击!O36*HP!$B36</f>
        <v>1140</v>
      </c>
      <c r="O36" s="1">
        <f>攻击!P36*HP!$B36</f>
        <v>1520</v>
      </c>
      <c r="P36" s="1">
        <f>攻击!Q36*HP!$B36</f>
        <v>1900</v>
      </c>
      <c r="Q36" s="1">
        <f>攻击!R36*HP!$B36</f>
        <v>2280</v>
      </c>
      <c r="R36" s="1">
        <f>攻击!S36*HP!$B36</f>
        <v>2660</v>
      </c>
      <c r="S36" s="1">
        <f>攻击!T36*HP!$B36</f>
        <v>570</v>
      </c>
      <c r="T36" s="1">
        <f>攻击!U36*HP!$B36</f>
        <v>228</v>
      </c>
      <c r="U36" s="1">
        <f>攻击!V36*HP!$B36</f>
        <v>228</v>
      </c>
      <c r="V36" s="1">
        <f>攻击!W36*HP!$B36</f>
        <v>38</v>
      </c>
      <c r="W36" s="93">
        <f>攻击!X36</f>
        <v>0</v>
      </c>
      <c r="X36" s="93">
        <f>攻击!Y36</f>
        <v>0</v>
      </c>
      <c r="Y36" s="93">
        <f>攻击!Z36</f>
        <v>0</v>
      </c>
      <c r="Z36" s="93">
        <f>攻击!AA36</f>
        <v>0</v>
      </c>
      <c r="AA36" s="93">
        <f>攻击!AB36</f>
        <v>0</v>
      </c>
      <c r="AB36" s="1">
        <f>攻击!AC36*HP!$B36</f>
        <v>760</v>
      </c>
      <c r="AC36" s="1">
        <f>攻击!AD36*HP!$B36</f>
        <v>912</v>
      </c>
      <c r="AD36" s="1">
        <f>攻击!AE36*HP!$B36</f>
        <v>1140</v>
      </c>
      <c r="AE36" s="1">
        <f>攻击!AF36*HP!$B36</f>
        <v>1520</v>
      </c>
      <c r="AF36" s="1">
        <f>攻击!AG36*HP!$B36</f>
        <v>1900</v>
      </c>
      <c r="AG36" s="1">
        <f>攻击!AH36*HP!$B36</f>
        <v>0</v>
      </c>
      <c r="AH36" s="1">
        <f>攻击!AI36*HP!$B36</f>
        <v>152</v>
      </c>
      <c r="AI36" s="1">
        <f>攻击!AJ36*HP!$B36</f>
        <v>0</v>
      </c>
      <c r="AJ36" s="1">
        <f>攻击!AK36*HP!$B36</f>
        <v>22.799999999999997</v>
      </c>
      <c r="AK36" s="1">
        <f>攻击!AL36*HP!$B36</f>
        <v>0</v>
      </c>
      <c r="AL36" s="93">
        <f>攻击!AM36</f>
        <v>0</v>
      </c>
      <c r="AM36" s="93">
        <f>攻击!AN36</f>
        <v>0</v>
      </c>
      <c r="AN36" s="93">
        <f>攻击!AO36</f>
        <v>0</v>
      </c>
      <c r="AO36" s="93">
        <f>攻击!AP36</f>
        <v>0</v>
      </c>
      <c r="AP36" s="93">
        <f>攻击!AQ36</f>
        <v>0</v>
      </c>
      <c r="AQ36" s="1">
        <f>攻击!AR36*HP!$B36</f>
        <v>152</v>
      </c>
      <c r="AR36" s="1">
        <f t="shared" si="0"/>
        <v>2812</v>
      </c>
    </row>
    <row r="37" spans="1:44">
      <c r="A37" s="46">
        <v>35</v>
      </c>
      <c r="B37" s="1">
        <f t="shared" si="1"/>
        <v>10</v>
      </c>
      <c r="C37" s="1">
        <f>攻击!D37*HP!$B37</f>
        <v>780</v>
      </c>
      <c r="D37" s="1">
        <f>攻击!E37*HP!$B37</f>
        <v>936</v>
      </c>
      <c r="E37" s="1">
        <f>攻击!F37*HP!$B37</f>
        <v>1170</v>
      </c>
      <c r="F37" s="1">
        <f>攻击!G37*HP!$B37</f>
        <v>1560</v>
      </c>
      <c r="G37" s="1">
        <f>攻击!H37*HP!$B37</f>
        <v>1950</v>
      </c>
      <c r="H37" s="1">
        <f>攻击!I37*HP!$B37</f>
        <v>390</v>
      </c>
      <c r="I37" s="1">
        <f>攻击!J37*HP!$B37</f>
        <v>234</v>
      </c>
      <c r="J37" s="1">
        <f>攻击!K37*HP!$B37</f>
        <v>468</v>
      </c>
      <c r="K37" s="1">
        <f>攻击!L37*HP!$B37</f>
        <v>0</v>
      </c>
      <c r="L37" s="1">
        <f>攻击!M37*HP!$B37</f>
        <v>0</v>
      </c>
      <c r="M37" s="1">
        <f>攻击!N37*HP!$B37</f>
        <v>936</v>
      </c>
      <c r="N37" s="1">
        <f>攻击!O37*HP!$B37</f>
        <v>1170</v>
      </c>
      <c r="O37" s="1">
        <f>攻击!P37*HP!$B37</f>
        <v>1560</v>
      </c>
      <c r="P37" s="1">
        <f>攻击!Q37*HP!$B37</f>
        <v>1950</v>
      </c>
      <c r="Q37" s="1">
        <f>攻击!R37*HP!$B37</f>
        <v>2340</v>
      </c>
      <c r="R37" s="1">
        <f>攻击!S37*HP!$B37</f>
        <v>2730</v>
      </c>
      <c r="S37" s="1">
        <f>攻击!T37*HP!$B37</f>
        <v>585</v>
      </c>
      <c r="T37" s="1">
        <f>攻击!U37*HP!$B37</f>
        <v>234</v>
      </c>
      <c r="U37" s="1">
        <f>攻击!V37*HP!$B37</f>
        <v>234</v>
      </c>
      <c r="V37" s="1">
        <f>攻击!W37*HP!$B37</f>
        <v>39</v>
      </c>
      <c r="W37" s="93">
        <f>攻击!X37</f>
        <v>0</v>
      </c>
      <c r="X37" s="93">
        <f>攻击!Y37</f>
        <v>0</v>
      </c>
      <c r="Y37" s="93">
        <f>攻击!Z37</f>
        <v>0</v>
      </c>
      <c r="Z37" s="93">
        <f>攻击!AA37</f>
        <v>0</v>
      </c>
      <c r="AA37" s="93">
        <f>攻击!AB37</f>
        <v>0</v>
      </c>
      <c r="AB37" s="1">
        <f>攻击!AC37*HP!$B37</f>
        <v>780</v>
      </c>
      <c r="AC37" s="1">
        <f>攻击!AD37*HP!$B37</f>
        <v>936</v>
      </c>
      <c r="AD37" s="1">
        <f>攻击!AE37*HP!$B37</f>
        <v>1170</v>
      </c>
      <c r="AE37" s="1">
        <f>攻击!AF37*HP!$B37</f>
        <v>1560</v>
      </c>
      <c r="AF37" s="1">
        <f>攻击!AG37*HP!$B37</f>
        <v>1950</v>
      </c>
      <c r="AG37" s="1">
        <f>攻击!AH37*HP!$B37</f>
        <v>0</v>
      </c>
      <c r="AH37" s="1">
        <f>攻击!AI37*HP!$B37</f>
        <v>156</v>
      </c>
      <c r="AI37" s="1">
        <f>攻击!AJ37*HP!$B37</f>
        <v>0</v>
      </c>
      <c r="AJ37" s="1">
        <f>攻击!AK37*HP!$B37</f>
        <v>23.4</v>
      </c>
      <c r="AK37" s="1">
        <f>攻击!AL37*HP!$B37</f>
        <v>0</v>
      </c>
      <c r="AL37" s="93">
        <f>攻击!AM37</f>
        <v>0</v>
      </c>
      <c r="AM37" s="93">
        <f>攻击!AN37</f>
        <v>0</v>
      </c>
      <c r="AN37" s="93">
        <f>攻击!AO37</f>
        <v>0</v>
      </c>
      <c r="AO37" s="93">
        <f>攻击!AP37</f>
        <v>0</v>
      </c>
      <c r="AP37" s="93">
        <f>攻击!AQ37</f>
        <v>0</v>
      </c>
      <c r="AQ37" s="1">
        <f>攻击!AR37*HP!$B37</f>
        <v>156</v>
      </c>
      <c r="AR37" s="1">
        <f t="shared" si="0"/>
        <v>2886</v>
      </c>
    </row>
    <row r="38" spans="1:44">
      <c r="A38" s="46">
        <v>36</v>
      </c>
      <c r="B38" s="1">
        <f t="shared" si="1"/>
        <v>10</v>
      </c>
      <c r="C38" s="1">
        <f>攻击!D38*HP!$B38</f>
        <v>800</v>
      </c>
      <c r="D38" s="1">
        <f>攻击!E38*HP!$B38</f>
        <v>960</v>
      </c>
      <c r="E38" s="1">
        <f>攻击!F38*HP!$B38</f>
        <v>1200</v>
      </c>
      <c r="F38" s="1">
        <f>攻击!G38*HP!$B38</f>
        <v>1600</v>
      </c>
      <c r="G38" s="1">
        <f>攻击!H38*HP!$B38</f>
        <v>2000</v>
      </c>
      <c r="H38" s="1">
        <f>攻击!I38*HP!$B38</f>
        <v>390</v>
      </c>
      <c r="I38" s="1">
        <f>攻击!J38*HP!$B38</f>
        <v>240</v>
      </c>
      <c r="J38" s="1">
        <f>攻击!K38*HP!$B38</f>
        <v>480</v>
      </c>
      <c r="K38" s="1">
        <f>攻击!L38*HP!$B38</f>
        <v>0</v>
      </c>
      <c r="L38" s="1">
        <f>攻击!M38*HP!$B38</f>
        <v>0</v>
      </c>
      <c r="M38" s="1">
        <f>攻击!N38*HP!$B38</f>
        <v>960</v>
      </c>
      <c r="N38" s="1">
        <f>攻击!O38*HP!$B38</f>
        <v>1200</v>
      </c>
      <c r="O38" s="1">
        <f>攻击!P38*HP!$B38</f>
        <v>1600</v>
      </c>
      <c r="P38" s="1">
        <f>攻击!Q38*HP!$B38</f>
        <v>2000</v>
      </c>
      <c r="Q38" s="1">
        <f>攻击!R38*HP!$B38</f>
        <v>2400</v>
      </c>
      <c r="R38" s="1">
        <f>攻击!S38*HP!$B38</f>
        <v>2800</v>
      </c>
      <c r="S38" s="1">
        <f>攻击!T38*HP!$B38</f>
        <v>600</v>
      </c>
      <c r="T38" s="1">
        <f>攻击!U38*HP!$B38</f>
        <v>240</v>
      </c>
      <c r="U38" s="1">
        <f>攻击!V38*HP!$B38</f>
        <v>240</v>
      </c>
      <c r="V38" s="1">
        <f>攻击!W38*HP!$B38</f>
        <v>40</v>
      </c>
      <c r="W38" s="93">
        <f>攻击!X38</f>
        <v>0</v>
      </c>
      <c r="X38" s="93">
        <f>攻击!Y38</f>
        <v>0</v>
      </c>
      <c r="Y38" s="93">
        <f>攻击!Z38</f>
        <v>0</v>
      </c>
      <c r="Z38" s="93">
        <f>攻击!AA38</f>
        <v>0</v>
      </c>
      <c r="AA38" s="93">
        <f>攻击!AB38</f>
        <v>0</v>
      </c>
      <c r="AB38" s="1">
        <f>攻击!AC38*HP!$B38</f>
        <v>800</v>
      </c>
      <c r="AC38" s="1">
        <f>攻击!AD38*HP!$B38</f>
        <v>960</v>
      </c>
      <c r="AD38" s="1">
        <f>攻击!AE38*HP!$B38</f>
        <v>1200</v>
      </c>
      <c r="AE38" s="1">
        <f>攻击!AF38*HP!$B38</f>
        <v>1600</v>
      </c>
      <c r="AF38" s="1">
        <f>攻击!AG38*HP!$B38</f>
        <v>2000</v>
      </c>
      <c r="AG38" s="1">
        <f>攻击!AH38*HP!$B38</f>
        <v>0</v>
      </c>
      <c r="AH38" s="1">
        <f>攻击!AI38*HP!$B38</f>
        <v>160</v>
      </c>
      <c r="AI38" s="1">
        <f>攻击!AJ38*HP!$B38</f>
        <v>0</v>
      </c>
      <c r="AJ38" s="1">
        <f>攻击!AK38*HP!$B38</f>
        <v>24</v>
      </c>
      <c r="AK38" s="1">
        <f>攻击!AL38*HP!$B38</f>
        <v>0</v>
      </c>
      <c r="AL38" s="93">
        <f>攻击!AM38</f>
        <v>0</v>
      </c>
      <c r="AM38" s="93">
        <f>攻击!AN38</f>
        <v>0</v>
      </c>
      <c r="AN38" s="93">
        <f>攻击!AO38</f>
        <v>0</v>
      </c>
      <c r="AO38" s="93">
        <f>攻击!AP38</f>
        <v>0</v>
      </c>
      <c r="AP38" s="93">
        <f>攻击!AQ38</f>
        <v>0</v>
      </c>
      <c r="AQ38" s="1">
        <f>攻击!AR38*HP!$B38</f>
        <v>160</v>
      </c>
      <c r="AR38" s="1">
        <f t="shared" si="0"/>
        <v>2960</v>
      </c>
    </row>
    <row r="39" spans="1:44">
      <c r="A39" s="46">
        <v>37</v>
      </c>
      <c r="B39" s="1">
        <f t="shared" si="1"/>
        <v>10</v>
      </c>
      <c r="C39" s="1">
        <f>攻击!D39*HP!$B39</f>
        <v>820</v>
      </c>
      <c r="D39" s="1">
        <f>攻击!E39*HP!$B39</f>
        <v>983.99999999999989</v>
      </c>
      <c r="E39" s="1">
        <f>攻击!F39*HP!$B39</f>
        <v>1230</v>
      </c>
      <c r="F39" s="1">
        <f>攻击!G39*HP!$B39</f>
        <v>1640</v>
      </c>
      <c r="G39" s="1">
        <f>攻击!H39*HP!$B39</f>
        <v>2050</v>
      </c>
      <c r="H39" s="1">
        <f>攻击!I39*HP!$B39</f>
        <v>390</v>
      </c>
      <c r="I39" s="1">
        <f>攻击!J39*HP!$B39</f>
        <v>245.99999999999997</v>
      </c>
      <c r="J39" s="1">
        <f>攻击!K39*HP!$B39</f>
        <v>491.99999999999994</v>
      </c>
      <c r="K39" s="1">
        <f>攻击!L39*HP!$B39</f>
        <v>0</v>
      </c>
      <c r="L39" s="1">
        <f>攻击!M39*HP!$B39</f>
        <v>0</v>
      </c>
      <c r="M39" s="1">
        <f>攻击!N39*HP!$B39</f>
        <v>983.99999999999989</v>
      </c>
      <c r="N39" s="1">
        <f>攻击!O39*HP!$B39</f>
        <v>1230</v>
      </c>
      <c r="O39" s="1">
        <f>攻击!P39*HP!$B39</f>
        <v>1640</v>
      </c>
      <c r="P39" s="1">
        <f>攻击!Q39*HP!$B39</f>
        <v>2050</v>
      </c>
      <c r="Q39" s="1">
        <f>攻击!R39*HP!$B39</f>
        <v>2460</v>
      </c>
      <c r="R39" s="1">
        <f>攻击!S39*HP!$B39</f>
        <v>2870</v>
      </c>
      <c r="S39" s="1">
        <f>攻击!T39*HP!$B39</f>
        <v>615</v>
      </c>
      <c r="T39" s="1">
        <f>攻击!U39*HP!$B39</f>
        <v>245.99999999999997</v>
      </c>
      <c r="U39" s="1">
        <f>攻击!V39*HP!$B39</f>
        <v>245.99999999999997</v>
      </c>
      <c r="V39" s="1">
        <f>攻击!W39*HP!$B39</f>
        <v>41.000000000000007</v>
      </c>
      <c r="W39" s="93">
        <f>攻击!X39</f>
        <v>0</v>
      </c>
      <c r="X39" s="93">
        <f>攻击!Y39</f>
        <v>0</v>
      </c>
      <c r="Y39" s="93">
        <f>攻击!Z39</f>
        <v>0</v>
      </c>
      <c r="Z39" s="93">
        <f>攻击!AA39</f>
        <v>0</v>
      </c>
      <c r="AA39" s="93">
        <f>攻击!AB39</f>
        <v>0</v>
      </c>
      <c r="AB39" s="1">
        <f>攻击!AC39*HP!$B39</f>
        <v>820</v>
      </c>
      <c r="AC39" s="1">
        <f>攻击!AD39*HP!$B39</f>
        <v>983.99999999999989</v>
      </c>
      <c r="AD39" s="1">
        <f>攻击!AE39*HP!$B39</f>
        <v>1230</v>
      </c>
      <c r="AE39" s="1">
        <f>攻击!AF39*HP!$B39</f>
        <v>1640</v>
      </c>
      <c r="AF39" s="1">
        <f>攻击!AG39*HP!$B39</f>
        <v>2050</v>
      </c>
      <c r="AG39" s="1">
        <f>攻击!AH39*HP!$B39</f>
        <v>0</v>
      </c>
      <c r="AH39" s="1">
        <f>攻击!AI39*HP!$B39</f>
        <v>164.00000000000003</v>
      </c>
      <c r="AI39" s="1">
        <f>攻击!AJ39*HP!$B39</f>
        <v>0</v>
      </c>
      <c r="AJ39" s="1">
        <f>攻击!AK39*HP!$B39</f>
        <v>24.6</v>
      </c>
      <c r="AK39" s="1">
        <f>攻击!AL39*HP!$B39</f>
        <v>0</v>
      </c>
      <c r="AL39" s="93">
        <f>攻击!AM39</f>
        <v>0</v>
      </c>
      <c r="AM39" s="93">
        <f>攻击!AN39</f>
        <v>0</v>
      </c>
      <c r="AN39" s="93">
        <f>攻击!AO39</f>
        <v>0</v>
      </c>
      <c r="AO39" s="93">
        <f>攻击!AP39</f>
        <v>0</v>
      </c>
      <c r="AP39" s="93">
        <f>攻击!AQ39</f>
        <v>0</v>
      </c>
      <c r="AQ39" s="1">
        <f>攻击!AR39*HP!$B39</f>
        <v>164.00000000000003</v>
      </c>
      <c r="AR39" s="1">
        <f t="shared" si="0"/>
        <v>3034</v>
      </c>
    </row>
    <row r="40" spans="1:44">
      <c r="A40" s="46">
        <v>38</v>
      </c>
      <c r="B40" s="1">
        <f t="shared" si="1"/>
        <v>10</v>
      </c>
      <c r="C40" s="1">
        <f>攻击!D40*HP!$B40</f>
        <v>840</v>
      </c>
      <c r="D40" s="1">
        <f>攻击!E40*HP!$B40</f>
        <v>1008</v>
      </c>
      <c r="E40" s="1">
        <f>攻击!F40*HP!$B40</f>
        <v>1260</v>
      </c>
      <c r="F40" s="1">
        <f>攻击!G40*HP!$B40</f>
        <v>1680</v>
      </c>
      <c r="G40" s="1">
        <f>攻击!H40*HP!$B40</f>
        <v>2100</v>
      </c>
      <c r="H40" s="1">
        <f>攻击!I40*HP!$B40</f>
        <v>390</v>
      </c>
      <c r="I40" s="1">
        <f>攻击!J40*HP!$B40</f>
        <v>252</v>
      </c>
      <c r="J40" s="1">
        <f>攻击!K40*HP!$B40</f>
        <v>504</v>
      </c>
      <c r="K40" s="1">
        <f>攻击!L40*HP!$B40</f>
        <v>0</v>
      </c>
      <c r="L40" s="1">
        <f>攻击!M40*HP!$B40</f>
        <v>0</v>
      </c>
      <c r="M40" s="1">
        <f>攻击!N40*HP!$B40</f>
        <v>1008</v>
      </c>
      <c r="N40" s="1">
        <f>攻击!O40*HP!$B40</f>
        <v>1260</v>
      </c>
      <c r="O40" s="1">
        <f>攻击!P40*HP!$B40</f>
        <v>1680</v>
      </c>
      <c r="P40" s="1">
        <f>攻击!Q40*HP!$B40</f>
        <v>2100</v>
      </c>
      <c r="Q40" s="1">
        <f>攻击!R40*HP!$B40</f>
        <v>2520</v>
      </c>
      <c r="R40" s="1">
        <f>攻击!S40*HP!$B40</f>
        <v>2940</v>
      </c>
      <c r="S40" s="1">
        <f>攻击!T40*HP!$B40</f>
        <v>630</v>
      </c>
      <c r="T40" s="1">
        <f>攻击!U40*HP!$B40</f>
        <v>252</v>
      </c>
      <c r="U40" s="1">
        <f>攻击!V40*HP!$B40</f>
        <v>252</v>
      </c>
      <c r="V40" s="1">
        <f>攻击!W40*HP!$B40</f>
        <v>42</v>
      </c>
      <c r="W40" s="93">
        <f>攻击!X40</f>
        <v>0</v>
      </c>
      <c r="X40" s="93">
        <f>攻击!Y40</f>
        <v>0</v>
      </c>
      <c r="Y40" s="93">
        <f>攻击!Z40</f>
        <v>0</v>
      </c>
      <c r="Z40" s="93">
        <f>攻击!AA40</f>
        <v>0</v>
      </c>
      <c r="AA40" s="93">
        <f>攻击!AB40</f>
        <v>0</v>
      </c>
      <c r="AB40" s="1">
        <f>攻击!AC40*HP!$B40</f>
        <v>840</v>
      </c>
      <c r="AC40" s="1">
        <f>攻击!AD40*HP!$B40</f>
        <v>1008</v>
      </c>
      <c r="AD40" s="1">
        <f>攻击!AE40*HP!$B40</f>
        <v>1260</v>
      </c>
      <c r="AE40" s="1">
        <f>攻击!AF40*HP!$B40</f>
        <v>1680</v>
      </c>
      <c r="AF40" s="1">
        <f>攻击!AG40*HP!$B40</f>
        <v>2100</v>
      </c>
      <c r="AG40" s="1">
        <f>攻击!AH40*HP!$B40</f>
        <v>0</v>
      </c>
      <c r="AH40" s="1">
        <f>攻击!AI40*HP!$B40</f>
        <v>168</v>
      </c>
      <c r="AI40" s="1">
        <f>攻击!AJ40*HP!$B40</f>
        <v>0</v>
      </c>
      <c r="AJ40" s="1">
        <f>攻击!AK40*HP!$B40</f>
        <v>25.2</v>
      </c>
      <c r="AK40" s="1">
        <f>攻击!AL40*HP!$B40</f>
        <v>0</v>
      </c>
      <c r="AL40" s="93">
        <f>攻击!AM40</f>
        <v>0</v>
      </c>
      <c r="AM40" s="93">
        <f>攻击!AN40</f>
        <v>0</v>
      </c>
      <c r="AN40" s="93">
        <f>攻击!AO40</f>
        <v>0</v>
      </c>
      <c r="AO40" s="93">
        <f>攻击!AP40</f>
        <v>0</v>
      </c>
      <c r="AP40" s="93">
        <f>攻击!AQ40</f>
        <v>0</v>
      </c>
      <c r="AQ40" s="1">
        <f>攻击!AR40*HP!$B40</f>
        <v>168</v>
      </c>
      <c r="AR40" s="1">
        <f t="shared" si="0"/>
        <v>3108</v>
      </c>
    </row>
    <row r="41" spans="1:44">
      <c r="A41" s="46">
        <v>39</v>
      </c>
      <c r="B41" s="1">
        <f t="shared" si="1"/>
        <v>10</v>
      </c>
      <c r="C41" s="1">
        <f>攻击!D41*HP!$B41</f>
        <v>860</v>
      </c>
      <c r="D41" s="1">
        <f>攻击!E41*HP!$B41</f>
        <v>1032</v>
      </c>
      <c r="E41" s="1">
        <f>攻击!F41*HP!$B41</f>
        <v>1290</v>
      </c>
      <c r="F41" s="1">
        <f>攻击!G41*HP!$B41</f>
        <v>1720</v>
      </c>
      <c r="G41" s="1">
        <f>攻击!H41*HP!$B41</f>
        <v>2150</v>
      </c>
      <c r="H41" s="1">
        <f>攻击!I41*HP!$B41</f>
        <v>390</v>
      </c>
      <c r="I41" s="1">
        <f>攻击!J41*HP!$B41</f>
        <v>258</v>
      </c>
      <c r="J41" s="1">
        <f>攻击!K41*HP!$B41</f>
        <v>516</v>
      </c>
      <c r="K41" s="1">
        <f>攻击!L41*HP!$B41</f>
        <v>0</v>
      </c>
      <c r="L41" s="1">
        <f>攻击!M41*HP!$B41</f>
        <v>0</v>
      </c>
      <c r="M41" s="1">
        <f>攻击!N41*HP!$B41</f>
        <v>1032</v>
      </c>
      <c r="N41" s="1">
        <f>攻击!O41*HP!$B41</f>
        <v>1290</v>
      </c>
      <c r="O41" s="1">
        <f>攻击!P41*HP!$B41</f>
        <v>1720</v>
      </c>
      <c r="P41" s="1">
        <f>攻击!Q41*HP!$B41</f>
        <v>2150</v>
      </c>
      <c r="Q41" s="1">
        <f>攻击!R41*HP!$B41</f>
        <v>2580</v>
      </c>
      <c r="R41" s="1">
        <f>攻击!S41*HP!$B41</f>
        <v>3010</v>
      </c>
      <c r="S41" s="1">
        <f>攻击!T41*HP!$B41</f>
        <v>645</v>
      </c>
      <c r="T41" s="1">
        <f>攻击!U41*HP!$B41</f>
        <v>258</v>
      </c>
      <c r="U41" s="1">
        <f>攻击!V41*HP!$B41</f>
        <v>258</v>
      </c>
      <c r="V41" s="1">
        <f>攻击!W41*HP!$B41</f>
        <v>43</v>
      </c>
      <c r="W41" s="93">
        <f>攻击!X41</f>
        <v>0</v>
      </c>
      <c r="X41" s="93">
        <f>攻击!Y41</f>
        <v>0</v>
      </c>
      <c r="Y41" s="93">
        <f>攻击!Z41</f>
        <v>0</v>
      </c>
      <c r="Z41" s="93">
        <f>攻击!AA41</f>
        <v>0</v>
      </c>
      <c r="AA41" s="93">
        <f>攻击!AB41</f>
        <v>0</v>
      </c>
      <c r="AB41" s="1">
        <f>攻击!AC41*HP!$B41</f>
        <v>860</v>
      </c>
      <c r="AC41" s="1">
        <f>攻击!AD41*HP!$B41</f>
        <v>1032</v>
      </c>
      <c r="AD41" s="1">
        <f>攻击!AE41*HP!$B41</f>
        <v>1290</v>
      </c>
      <c r="AE41" s="1">
        <f>攻击!AF41*HP!$B41</f>
        <v>1720</v>
      </c>
      <c r="AF41" s="1">
        <f>攻击!AG41*HP!$B41</f>
        <v>2150</v>
      </c>
      <c r="AG41" s="1">
        <f>攻击!AH41*HP!$B41</f>
        <v>0</v>
      </c>
      <c r="AH41" s="1">
        <f>攻击!AI41*HP!$B41</f>
        <v>172</v>
      </c>
      <c r="AI41" s="1">
        <f>攻击!AJ41*HP!$B41</f>
        <v>0</v>
      </c>
      <c r="AJ41" s="1">
        <f>攻击!AK41*HP!$B41</f>
        <v>25.8</v>
      </c>
      <c r="AK41" s="1">
        <f>攻击!AL41*HP!$B41</f>
        <v>0</v>
      </c>
      <c r="AL41" s="93">
        <f>攻击!AM41</f>
        <v>0</v>
      </c>
      <c r="AM41" s="93">
        <f>攻击!AN41</f>
        <v>0</v>
      </c>
      <c r="AN41" s="93">
        <f>攻击!AO41</f>
        <v>0</v>
      </c>
      <c r="AO41" s="93">
        <f>攻击!AP41</f>
        <v>0</v>
      </c>
      <c r="AP41" s="93">
        <f>攻击!AQ41</f>
        <v>0</v>
      </c>
      <c r="AQ41" s="1">
        <f>攻击!AR41*HP!$B41</f>
        <v>172</v>
      </c>
      <c r="AR41" s="1">
        <f t="shared" si="0"/>
        <v>3182</v>
      </c>
    </row>
    <row r="42" spans="1:44">
      <c r="A42" s="46">
        <v>40</v>
      </c>
      <c r="B42" s="1">
        <f t="shared" si="1"/>
        <v>10</v>
      </c>
      <c r="C42" s="1">
        <f>攻击!D42*HP!$B42</f>
        <v>880</v>
      </c>
      <c r="D42" s="1">
        <f>攻击!E42*HP!$B42</f>
        <v>1056</v>
      </c>
      <c r="E42" s="1">
        <f>攻击!F42*HP!$B42</f>
        <v>1320</v>
      </c>
      <c r="F42" s="1">
        <f>攻击!G42*HP!$B42</f>
        <v>1760</v>
      </c>
      <c r="G42" s="1">
        <f>攻击!H42*HP!$B42</f>
        <v>2200</v>
      </c>
      <c r="H42" s="1">
        <f>攻击!I42*HP!$B42</f>
        <v>440</v>
      </c>
      <c r="I42" s="1">
        <f>攻击!J42*HP!$B42</f>
        <v>264</v>
      </c>
      <c r="J42" s="1">
        <f>攻击!K42*HP!$B42</f>
        <v>528</v>
      </c>
      <c r="K42" s="1">
        <f>攻击!L42*HP!$B42</f>
        <v>0</v>
      </c>
      <c r="L42" s="1">
        <f>攻击!M42*HP!$B42</f>
        <v>0</v>
      </c>
      <c r="M42" s="1">
        <f>攻击!N42*HP!$B42</f>
        <v>1056</v>
      </c>
      <c r="N42" s="1">
        <f>攻击!O42*HP!$B42</f>
        <v>1320</v>
      </c>
      <c r="O42" s="1">
        <f>攻击!P42*HP!$B42</f>
        <v>1760</v>
      </c>
      <c r="P42" s="1">
        <f>攻击!Q42*HP!$B42</f>
        <v>2200</v>
      </c>
      <c r="Q42" s="1">
        <f>攻击!R42*HP!$B42</f>
        <v>2640</v>
      </c>
      <c r="R42" s="1">
        <f>攻击!S42*HP!$B42</f>
        <v>3080</v>
      </c>
      <c r="S42" s="1">
        <f>攻击!T42*HP!$B42</f>
        <v>660</v>
      </c>
      <c r="T42" s="1">
        <f>攻击!U42*HP!$B42</f>
        <v>264</v>
      </c>
      <c r="U42" s="1">
        <f>攻击!V42*HP!$B42</f>
        <v>264</v>
      </c>
      <c r="V42" s="1">
        <f>攻击!W42*HP!$B42</f>
        <v>44</v>
      </c>
      <c r="W42" s="93">
        <f>攻击!X42</f>
        <v>0</v>
      </c>
      <c r="X42" s="93">
        <f>攻击!Y42</f>
        <v>0</v>
      </c>
      <c r="Y42" s="93">
        <f>攻击!Z42</f>
        <v>0</v>
      </c>
      <c r="Z42" s="93">
        <f>攻击!AA42</f>
        <v>0</v>
      </c>
      <c r="AA42" s="93">
        <f>攻击!AB42</f>
        <v>0</v>
      </c>
      <c r="AB42" s="1">
        <f>攻击!AC42*HP!$B42</f>
        <v>880</v>
      </c>
      <c r="AC42" s="1">
        <f>攻击!AD42*HP!$B42</f>
        <v>1056</v>
      </c>
      <c r="AD42" s="1">
        <f>攻击!AE42*HP!$B42</f>
        <v>1320</v>
      </c>
      <c r="AE42" s="1">
        <f>攻击!AF42*HP!$B42</f>
        <v>1760</v>
      </c>
      <c r="AF42" s="1">
        <f>攻击!AG42*HP!$B42</f>
        <v>2200</v>
      </c>
      <c r="AG42" s="1">
        <f>攻击!AH42*HP!$B42</f>
        <v>440</v>
      </c>
      <c r="AH42" s="1">
        <f>攻击!AI42*HP!$B42</f>
        <v>176</v>
      </c>
      <c r="AI42" s="1">
        <f>攻击!AJ42*HP!$B42</f>
        <v>176</v>
      </c>
      <c r="AJ42" s="1">
        <f>攻击!AK42*HP!$B42</f>
        <v>26.4</v>
      </c>
      <c r="AK42" s="1">
        <f>攻击!AL42*HP!$B42</f>
        <v>0</v>
      </c>
      <c r="AL42" s="93">
        <f>攻击!AM42</f>
        <v>0</v>
      </c>
      <c r="AM42" s="93">
        <f>攻击!AN42</f>
        <v>0</v>
      </c>
      <c r="AN42" s="93">
        <f>攻击!AO42</f>
        <v>0</v>
      </c>
      <c r="AO42" s="93">
        <f>攻击!AP42</f>
        <v>0</v>
      </c>
      <c r="AP42" s="93">
        <f>攻击!AQ42</f>
        <v>0</v>
      </c>
      <c r="AQ42" s="1">
        <f>攻击!AR42*HP!$B42</f>
        <v>176</v>
      </c>
      <c r="AR42" s="1">
        <f t="shared" si="0"/>
        <v>3256</v>
      </c>
    </row>
    <row r="43" spans="1:44">
      <c r="A43" s="46">
        <v>41</v>
      </c>
      <c r="B43" s="1">
        <f t="shared" si="1"/>
        <v>10</v>
      </c>
      <c r="C43" s="1">
        <f>攻击!D43*HP!$B43</f>
        <v>900</v>
      </c>
      <c r="D43" s="1">
        <f>攻击!E43*HP!$B43</f>
        <v>1080</v>
      </c>
      <c r="E43" s="1">
        <f>攻击!F43*HP!$B43</f>
        <v>1350</v>
      </c>
      <c r="F43" s="1">
        <f>攻击!G43*HP!$B43</f>
        <v>1800</v>
      </c>
      <c r="G43" s="1">
        <f>攻击!H43*HP!$B43</f>
        <v>2250</v>
      </c>
      <c r="H43" s="1">
        <f>攻击!I43*HP!$B43</f>
        <v>440</v>
      </c>
      <c r="I43" s="1">
        <f>攻击!J43*HP!$B43</f>
        <v>270</v>
      </c>
      <c r="J43" s="1">
        <f>攻击!K43*HP!$B43</f>
        <v>540</v>
      </c>
      <c r="K43" s="1">
        <f>攻击!L43*HP!$B43</f>
        <v>0</v>
      </c>
      <c r="L43" s="1">
        <f>攻击!M43*HP!$B43</f>
        <v>0</v>
      </c>
      <c r="M43" s="1">
        <f>攻击!N43*HP!$B43</f>
        <v>1080</v>
      </c>
      <c r="N43" s="1">
        <f>攻击!O43*HP!$B43</f>
        <v>1350</v>
      </c>
      <c r="O43" s="1">
        <f>攻击!P43*HP!$B43</f>
        <v>1800</v>
      </c>
      <c r="P43" s="1">
        <f>攻击!Q43*HP!$B43</f>
        <v>2250</v>
      </c>
      <c r="Q43" s="1">
        <f>攻击!R43*HP!$B43</f>
        <v>2700</v>
      </c>
      <c r="R43" s="1">
        <f>攻击!S43*HP!$B43</f>
        <v>3150</v>
      </c>
      <c r="S43" s="1">
        <f>攻击!T43*HP!$B43</f>
        <v>675</v>
      </c>
      <c r="T43" s="1">
        <f>攻击!U43*HP!$B43</f>
        <v>270</v>
      </c>
      <c r="U43" s="1">
        <f>攻击!V43*HP!$B43</f>
        <v>270</v>
      </c>
      <c r="V43" s="1">
        <f>攻击!W43*HP!$B43</f>
        <v>45</v>
      </c>
      <c r="W43" s="93">
        <f>攻击!X43</f>
        <v>0</v>
      </c>
      <c r="X43" s="93">
        <f>攻击!Y43</f>
        <v>0</v>
      </c>
      <c r="Y43" s="93">
        <f>攻击!Z43</f>
        <v>0</v>
      </c>
      <c r="Z43" s="93">
        <f>攻击!AA43</f>
        <v>0</v>
      </c>
      <c r="AA43" s="93">
        <f>攻击!AB43</f>
        <v>0</v>
      </c>
      <c r="AB43" s="1">
        <f>攻击!AC43*HP!$B43</f>
        <v>900</v>
      </c>
      <c r="AC43" s="1">
        <f>攻击!AD43*HP!$B43</f>
        <v>1080</v>
      </c>
      <c r="AD43" s="1">
        <f>攻击!AE43*HP!$B43</f>
        <v>1350</v>
      </c>
      <c r="AE43" s="1">
        <f>攻击!AF43*HP!$B43</f>
        <v>1800</v>
      </c>
      <c r="AF43" s="1">
        <f>攻击!AG43*HP!$B43</f>
        <v>2250</v>
      </c>
      <c r="AG43" s="1">
        <f>攻击!AH43*HP!$B43</f>
        <v>450</v>
      </c>
      <c r="AH43" s="1">
        <f>攻击!AI43*HP!$B43</f>
        <v>180</v>
      </c>
      <c r="AI43" s="1">
        <f>攻击!AJ43*HP!$B43</f>
        <v>180</v>
      </c>
      <c r="AJ43" s="1">
        <f>攻击!AK43*HP!$B43</f>
        <v>26.999999999999996</v>
      </c>
      <c r="AK43" s="1">
        <f>攻击!AL43*HP!$B43</f>
        <v>0</v>
      </c>
      <c r="AL43" s="93">
        <f>攻击!AM43</f>
        <v>0</v>
      </c>
      <c r="AM43" s="93">
        <f>攻击!AN43</f>
        <v>0</v>
      </c>
      <c r="AN43" s="93">
        <f>攻击!AO43</f>
        <v>0</v>
      </c>
      <c r="AO43" s="93">
        <f>攻击!AP43</f>
        <v>0</v>
      </c>
      <c r="AP43" s="93">
        <f>攻击!AQ43</f>
        <v>0</v>
      </c>
      <c r="AQ43" s="1">
        <f>攻击!AR43*HP!$B43</f>
        <v>180</v>
      </c>
      <c r="AR43" s="1">
        <f t="shared" si="0"/>
        <v>3330</v>
      </c>
    </row>
    <row r="44" spans="1:44">
      <c r="A44" s="46">
        <v>42</v>
      </c>
      <c r="B44" s="1">
        <f t="shared" si="1"/>
        <v>10</v>
      </c>
      <c r="C44" s="1">
        <f>攻击!D44*HP!$B44</f>
        <v>920</v>
      </c>
      <c r="D44" s="1">
        <f>攻击!E44*HP!$B44</f>
        <v>1104</v>
      </c>
      <c r="E44" s="1">
        <f>攻击!F44*HP!$B44</f>
        <v>1380</v>
      </c>
      <c r="F44" s="1">
        <f>攻击!G44*HP!$B44</f>
        <v>1840</v>
      </c>
      <c r="G44" s="1">
        <f>攻击!H44*HP!$B44</f>
        <v>2300</v>
      </c>
      <c r="H44" s="1">
        <f>攻击!I44*HP!$B44</f>
        <v>440</v>
      </c>
      <c r="I44" s="1">
        <f>攻击!J44*HP!$B44</f>
        <v>276</v>
      </c>
      <c r="J44" s="1">
        <f>攻击!K44*HP!$B44</f>
        <v>552</v>
      </c>
      <c r="K44" s="1">
        <f>攻击!L44*HP!$B44</f>
        <v>0</v>
      </c>
      <c r="L44" s="1">
        <f>攻击!M44*HP!$B44</f>
        <v>0</v>
      </c>
      <c r="M44" s="1">
        <f>攻击!N44*HP!$B44</f>
        <v>1104</v>
      </c>
      <c r="N44" s="1">
        <f>攻击!O44*HP!$B44</f>
        <v>1380</v>
      </c>
      <c r="O44" s="1">
        <f>攻击!P44*HP!$B44</f>
        <v>1840</v>
      </c>
      <c r="P44" s="1">
        <f>攻击!Q44*HP!$B44</f>
        <v>2300</v>
      </c>
      <c r="Q44" s="1">
        <f>攻击!R44*HP!$B44</f>
        <v>2760</v>
      </c>
      <c r="R44" s="1">
        <f>攻击!S44*HP!$B44</f>
        <v>3220</v>
      </c>
      <c r="S44" s="1">
        <f>攻击!T44*HP!$B44</f>
        <v>690</v>
      </c>
      <c r="T44" s="1">
        <f>攻击!U44*HP!$B44</f>
        <v>276</v>
      </c>
      <c r="U44" s="1">
        <f>攻击!V44*HP!$B44</f>
        <v>276</v>
      </c>
      <c r="V44" s="1">
        <f>攻击!W44*HP!$B44</f>
        <v>46.000000000000007</v>
      </c>
      <c r="W44" s="93">
        <f>攻击!X44</f>
        <v>0</v>
      </c>
      <c r="X44" s="93">
        <f>攻击!Y44</f>
        <v>0</v>
      </c>
      <c r="Y44" s="93">
        <f>攻击!Z44</f>
        <v>0</v>
      </c>
      <c r="Z44" s="93">
        <f>攻击!AA44</f>
        <v>0</v>
      </c>
      <c r="AA44" s="93">
        <f>攻击!AB44</f>
        <v>0</v>
      </c>
      <c r="AB44" s="1">
        <f>攻击!AC44*HP!$B44</f>
        <v>920</v>
      </c>
      <c r="AC44" s="1">
        <f>攻击!AD44*HP!$B44</f>
        <v>1104</v>
      </c>
      <c r="AD44" s="1">
        <f>攻击!AE44*HP!$B44</f>
        <v>1380</v>
      </c>
      <c r="AE44" s="1">
        <f>攻击!AF44*HP!$B44</f>
        <v>1840</v>
      </c>
      <c r="AF44" s="1">
        <f>攻击!AG44*HP!$B44</f>
        <v>2300</v>
      </c>
      <c r="AG44" s="1">
        <f>攻击!AH44*HP!$B44</f>
        <v>460</v>
      </c>
      <c r="AH44" s="1">
        <f>攻击!AI44*HP!$B44</f>
        <v>184.00000000000003</v>
      </c>
      <c r="AI44" s="1">
        <f>攻击!AJ44*HP!$B44</f>
        <v>184.00000000000003</v>
      </c>
      <c r="AJ44" s="1">
        <f>攻击!AK44*HP!$B44</f>
        <v>27.599999999999998</v>
      </c>
      <c r="AK44" s="1">
        <f>攻击!AL44*HP!$B44</f>
        <v>0</v>
      </c>
      <c r="AL44" s="93">
        <f>攻击!AM44</f>
        <v>0</v>
      </c>
      <c r="AM44" s="93">
        <f>攻击!AN44</f>
        <v>0</v>
      </c>
      <c r="AN44" s="93">
        <f>攻击!AO44</f>
        <v>0</v>
      </c>
      <c r="AO44" s="93">
        <f>攻击!AP44</f>
        <v>0</v>
      </c>
      <c r="AP44" s="93">
        <f>攻击!AQ44</f>
        <v>0</v>
      </c>
      <c r="AQ44" s="1">
        <f>攻击!AR44*HP!$B44</f>
        <v>184.00000000000003</v>
      </c>
      <c r="AR44" s="1">
        <f t="shared" si="0"/>
        <v>3404</v>
      </c>
    </row>
    <row r="45" spans="1:44">
      <c r="A45" s="46">
        <v>43</v>
      </c>
      <c r="B45" s="1">
        <f t="shared" si="1"/>
        <v>10</v>
      </c>
      <c r="C45" s="1">
        <f>攻击!D45*HP!$B45</f>
        <v>940</v>
      </c>
      <c r="D45" s="1">
        <f>攻击!E45*HP!$B45</f>
        <v>1128</v>
      </c>
      <c r="E45" s="1">
        <f>攻击!F45*HP!$B45</f>
        <v>1410</v>
      </c>
      <c r="F45" s="1">
        <f>攻击!G45*HP!$B45</f>
        <v>1880</v>
      </c>
      <c r="G45" s="1">
        <f>攻击!H45*HP!$B45</f>
        <v>2350</v>
      </c>
      <c r="H45" s="1">
        <f>攻击!I45*HP!$B45</f>
        <v>440</v>
      </c>
      <c r="I45" s="1">
        <f>攻击!J45*HP!$B45</f>
        <v>282</v>
      </c>
      <c r="J45" s="1">
        <f>攻击!K45*HP!$B45</f>
        <v>564</v>
      </c>
      <c r="K45" s="1">
        <f>攻击!L45*HP!$B45</f>
        <v>0</v>
      </c>
      <c r="L45" s="1">
        <f>攻击!M45*HP!$B45</f>
        <v>0</v>
      </c>
      <c r="M45" s="1">
        <f>攻击!N45*HP!$B45</f>
        <v>1128</v>
      </c>
      <c r="N45" s="1">
        <f>攻击!O45*HP!$B45</f>
        <v>1410</v>
      </c>
      <c r="O45" s="1">
        <f>攻击!P45*HP!$B45</f>
        <v>1880</v>
      </c>
      <c r="P45" s="1">
        <f>攻击!Q45*HP!$B45</f>
        <v>2350</v>
      </c>
      <c r="Q45" s="1">
        <f>攻击!R45*HP!$B45</f>
        <v>2820</v>
      </c>
      <c r="R45" s="1">
        <f>攻击!S45*HP!$B45</f>
        <v>3290</v>
      </c>
      <c r="S45" s="1">
        <f>攻击!T45*HP!$B45</f>
        <v>705</v>
      </c>
      <c r="T45" s="1">
        <f>攻击!U45*HP!$B45</f>
        <v>282</v>
      </c>
      <c r="U45" s="1">
        <f>攻击!V45*HP!$B45</f>
        <v>282</v>
      </c>
      <c r="V45" s="1">
        <f>攻击!W45*HP!$B45</f>
        <v>47</v>
      </c>
      <c r="W45" s="93">
        <f>攻击!X45</f>
        <v>0</v>
      </c>
      <c r="X45" s="93">
        <f>攻击!Y45</f>
        <v>0</v>
      </c>
      <c r="Y45" s="93">
        <f>攻击!Z45</f>
        <v>0</v>
      </c>
      <c r="Z45" s="93">
        <f>攻击!AA45</f>
        <v>0</v>
      </c>
      <c r="AA45" s="93">
        <f>攻击!AB45</f>
        <v>0</v>
      </c>
      <c r="AB45" s="1">
        <f>攻击!AC45*HP!$B45</f>
        <v>940</v>
      </c>
      <c r="AC45" s="1">
        <f>攻击!AD45*HP!$B45</f>
        <v>1128</v>
      </c>
      <c r="AD45" s="1">
        <f>攻击!AE45*HP!$B45</f>
        <v>1410</v>
      </c>
      <c r="AE45" s="1">
        <f>攻击!AF45*HP!$B45</f>
        <v>1880</v>
      </c>
      <c r="AF45" s="1">
        <f>攻击!AG45*HP!$B45</f>
        <v>2350</v>
      </c>
      <c r="AG45" s="1">
        <f>攻击!AH45*HP!$B45</f>
        <v>470</v>
      </c>
      <c r="AH45" s="1">
        <f>攻击!AI45*HP!$B45</f>
        <v>188</v>
      </c>
      <c r="AI45" s="1">
        <f>攻击!AJ45*HP!$B45</f>
        <v>188</v>
      </c>
      <c r="AJ45" s="1">
        <f>攻击!AK45*HP!$B45</f>
        <v>28.2</v>
      </c>
      <c r="AK45" s="1">
        <f>攻击!AL45*HP!$B45</f>
        <v>0</v>
      </c>
      <c r="AL45" s="93">
        <f>攻击!AM45</f>
        <v>0</v>
      </c>
      <c r="AM45" s="93">
        <f>攻击!AN45</f>
        <v>0</v>
      </c>
      <c r="AN45" s="93">
        <f>攻击!AO45</f>
        <v>0</v>
      </c>
      <c r="AO45" s="93">
        <f>攻击!AP45</f>
        <v>0</v>
      </c>
      <c r="AP45" s="93">
        <f>攻击!AQ45</f>
        <v>0</v>
      </c>
      <c r="AQ45" s="1">
        <f>攻击!AR45*HP!$B45</f>
        <v>188</v>
      </c>
      <c r="AR45" s="1">
        <f t="shared" si="0"/>
        <v>3478</v>
      </c>
    </row>
    <row r="46" spans="1:44">
      <c r="A46" s="46">
        <v>44</v>
      </c>
      <c r="B46" s="1">
        <f t="shared" si="1"/>
        <v>10</v>
      </c>
      <c r="C46" s="1">
        <f>攻击!D46*HP!$B46</f>
        <v>960</v>
      </c>
      <c r="D46" s="1">
        <f>攻击!E46*HP!$B46</f>
        <v>1152</v>
      </c>
      <c r="E46" s="1">
        <f>攻击!F46*HP!$B46</f>
        <v>1440</v>
      </c>
      <c r="F46" s="1">
        <f>攻击!G46*HP!$B46</f>
        <v>1920</v>
      </c>
      <c r="G46" s="1">
        <f>攻击!H46*HP!$B46</f>
        <v>2400</v>
      </c>
      <c r="H46" s="1">
        <f>攻击!I46*HP!$B46</f>
        <v>440</v>
      </c>
      <c r="I46" s="1">
        <f>攻击!J46*HP!$B46</f>
        <v>288</v>
      </c>
      <c r="J46" s="1">
        <f>攻击!K46*HP!$B46</f>
        <v>576</v>
      </c>
      <c r="K46" s="1">
        <f>攻击!L46*HP!$B46</f>
        <v>0</v>
      </c>
      <c r="L46" s="1">
        <f>攻击!M46*HP!$B46</f>
        <v>0</v>
      </c>
      <c r="M46" s="1">
        <f>攻击!N46*HP!$B46</f>
        <v>1152</v>
      </c>
      <c r="N46" s="1">
        <f>攻击!O46*HP!$B46</f>
        <v>1440</v>
      </c>
      <c r="O46" s="1">
        <f>攻击!P46*HP!$B46</f>
        <v>1920</v>
      </c>
      <c r="P46" s="1">
        <f>攻击!Q46*HP!$B46</f>
        <v>2400</v>
      </c>
      <c r="Q46" s="1">
        <f>攻击!R46*HP!$B46</f>
        <v>2880</v>
      </c>
      <c r="R46" s="1">
        <f>攻击!S46*HP!$B46</f>
        <v>3360</v>
      </c>
      <c r="S46" s="1">
        <f>攻击!T46*HP!$B46</f>
        <v>720</v>
      </c>
      <c r="T46" s="1">
        <f>攻击!U46*HP!$B46</f>
        <v>288</v>
      </c>
      <c r="U46" s="1">
        <f>攻击!V46*HP!$B46</f>
        <v>288</v>
      </c>
      <c r="V46" s="1">
        <f>攻击!W46*HP!$B46</f>
        <v>48.000000000000007</v>
      </c>
      <c r="W46" s="93">
        <f>攻击!X46</f>
        <v>0</v>
      </c>
      <c r="X46" s="93">
        <f>攻击!Y46</f>
        <v>0</v>
      </c>
      <c r="Y46" s="93">
        <f>攻击!Z46</f>
        <v>0</v>
      </c>
      <c r="Z46" s="93">
        <f>攻击!AA46</f>
        <v>0</v>
      </c>
      <c r="AA46" s="93">
        <f>攻击!AB46</f>
        <v>0</v>
      </c>
      <c r="AB46" s="1">
        <f>攻击!AC46*HP!$B46</f>
        <v>960</v>
      </c>
      <c r="AC46" s="1">
        <f>攻击!AD46*HP!$B46</f>
        <v>1152</v>
      </c>
      <c r="AD46" s="1">
        <f>攻击!AE46*HP!$B46</f>
        <v>1440</v>
      </c>
      <c r="AE46" s="1">
        <f>攻击!AF46*HP!$B46</f>
        <v>1920</v>
      </c>
      <c r="AF46" s="1">
        <f>攻击!AG46*HP!$B46</f>
        <v>2400</v>
      </c>
      <c r="AG46" s="1">
        <f>攻击!AH46*HP!$B46</f>
        <v>480</v>
      </c>
      <c r="AH46" s="1">
        <f>攻击!AI46*HP!$B46</f>
        <v>192.00000000000003</v>
      </c>
      <c r="AI46" s="1">
        <f>攻击!AJ46*HP!$B46</f>
        <v>192.00000000000003</v>
      </c>
      <c r="AJ46" s="1">
        <f>攻击!AK46*HP!$B46</f>
        <v>28.799999999999997</v>
      </c>
      <c r="AK46" s="1">
        <f>攻击!AL46*HP!$B46</f>
        <v>0</v>
      </c>
      <c r="AL46" s="93">
        <f>攻击!AM46</f>
        <v>0</v>
      </c>
      <c r="AM46" s="93">
        <f>攻击!AN46</f>
        <v>0</v>
      </c>
      <c r="AN46" s="93">
        <f>攻击!AO46</f>
        <v>0</v>
      </c>
      <c r="AO46" s="93">
        <f>攻击!AP46</f>
        <v>0</v>
      </c>
      <c r="AP46" s="93">
        <f>攻击!AQ46</f>
        <v>0</v>
      </c>
      <c r="AQ46" s="1">
        <f>攻击!AR46*HP!$B46</f>
        <v>192.00000000000003</v>
      </c>
      <c r="AR46" s="1">
        <f t="shared" si="0"/>
        <v>3552</v>
      </c>
    </row>
    <row r="47" spans="1:44">
      <c r="A47" s="46">
        <v>45</v>
      </c>
      <c r="B47" s="1">
        <f t="shared" si="1"/>
        <v>10</v>
      </c>
      <c r="C47" s="1">
        <f>攻击!D47*HP!$B47</f>
        <v>980</v>
      </c>
      <c r="D47" s="1">
        <f>攻击!E47*HP!$B47</f>
        <v>1176</v>
      </c>
      <c r="E47" s="1">
        <f>攻击!F47*HP!$B47</f>
        <v>1470</v>
      </c>
      <c r="F47" s="1">
        <f>攻击!G47*HP!$B47</f>
        <v>1960</v>
      </c>
      <c r="G47" s="1">
        <f>攻击!H47*HP!$B47</f>
        <v>2450</v>
      </c>
      <c r="H47" s="1">
        <f>攻击!I47*HP!$B47</f>
        <v>490</v>
      </c>
      <c r="I47" s="1">
        <f>攻击!J47*HP!$B47</f>
        <v>294</v>
      </c>
      <c r="J47" s="1">
        <f>攻击!K47*HP!$B47</f>
        <v>588</v>
      </c>
      <c r="K47" s="1">
        <f>攻击!L47*HP!$B47</f>
        <v>0</v>
      </c>
      <c r="L47" s="1">
        <f>攻击!M47*HP!$B47</f>
        <v>0</v>
      </c>
      <c r="M47" s="1">
        <f>攻击!N47*HP!$B47</f>
        <v>1176</v>
      </c>
      <c r="N47" s="1">
        <f>攻击!O47*HP!$B47</f>
        <v>1470</v>
      </c>
      <c r="O47" s="1">
        <f>攻击!P47*HP!$B47</f>
        <v>1960</v>
      </c>
      <c r="P47" s="1">
        <f>攻击!Q47*HP!$B47</f>
        <v>2450</v>
      </c>
      <c r="Q47" s="1">
        <f>攻击!R47*HP!$B47</f>
        <v>2940</v>
      </c>
      <c r="R47" s="1">
        <f>攻击!S47*HP!$B47</f>
        <v>3430</v>
      </c>
      <c r="S47" s="1">
        <f>攻击!T47*HP!$B47</f>
        <v>735</v>
      </c>
      <c r="T47" s="1">
        <f>攻击!U47*HP!$B47</f>
        <v>294</v>
      </c>
      <c r="U47" s="1">
        <f>攻击!V47*HP!$B47</f>
        <v>294</v>
      </c>
      <c r="V47" s="1">
        <f>攻击!W47*HP!$B47</f>
        <v>49</v>
      </c>
      <c r="W47" s="93">
        <f>攻击!X47</f>
        <v>0</v>
      </c>
      <c r="X47" s="93">
        <f>攻击!Y47</f>
        <v>0</v>
      </c>
      <c r="Y47" s="93">
        <f>攻击!Z47</f>
        <v>0</v>
      </c>
      <c r="Z47" s="93">
        <f>攻击!AA47</f>
        <v>0</v>
      </c>
      <c r="AA47" s="93">
        <f>攻击!AB47</f>
        <v>0</v>
      </c>
      <c r="AB47" s="1">
        <f>攻击!AC47*HP!$B47</f>
        <v>980</v>
      </c>
      <c r="AC47" s="1">
        <f>攻击!AD47*HP!$B47</f>
        <v>1176</v>
      </c>
      <c r="AD47" s="1">
        <f>攻击!AE47*HP!$B47</f>
        <v>1470</v>
      </c>
      <c r="AE47" s="1">
        <f>攻击!AF47*HP!$B47</f>
        <v>1960</v>
      </c>
      <c r="AF47" s="1">
        <f>攻击!AG47*HP!$B47</f>
        <v>2450</v>
      </c>
      <c r="AG47" s="1">
        <f>攻击!AH47*HP!$B47</f>
        <v>490</v>
      </c>
      <c r="AH47" s="1">
        <f>攻击!AI47*HP!$B47</f>
        <v>196</v>
      </c>
      <c r="AI47" s="1">
        <f>攻击!AJ47*HP!$B47</f>
        <v>196</v>
      </c>
      <c r="AJ47" s="1">
        <f>攻击!AK47*HP!$B47</f>
        <v>29.4</v>
      </c>
      <c r="AK47" s="1">
        <f>攻击!AL47*HP!$B47</f>
        <v>0</v>
      </c>
      <c r="AL47" s="93">
        <f>攻击!AM47</f>
        <v>0</v>
      </c>
      <c r="AM47" s="93">
        <f>攻击!AN47</f>
        <v>0</v>
      </c>
      <c r="AN47" s="93">
        <f>攻击!AO47</f>
        <v>0</v>
      </c>
      <c r="AO47" s="93">
        <f>攻击!AP47</f>
        <v>0</v>
      </c>
      <c r="AP47" s="93">
        <f>攻击!AQ47</f>
        <v>0</v>
      </c>
      <c r="AQ47" s="1">
        <f>攻击!AR47*HP!$B47</f>
        <v>196</v>
      </c>
      <c r="AR47" s="1">
        <f t="shared" si="0"/>
        <v>3626</v>
      </c>
    </row>
    <row r="48" spans="1:44">
      <c r="A48" s="46">
        <v>46</v>
      </c>
      <c r="B48" s="1">
        <f t="shared" si="1"/>
        <v>10</v>
      </c>
      <c r="C48" s="1">
        <f>攻击!D48*HP!$B48</f>
        <v>1000</v>
      </c>
      <c r="D48" s="1">
        <f>攻击!E48*HP!$B48</f>
        <v>1200</v>
      </c>
      <c r="E48" s="1">
        <f>攻击!F48*HP!$B48</f>
        <v>1500</v>
      </c>
      <c r="F48" s="1">
        <f>攻击!G48*HP!$B48</f>
        <v>2000</v>
      </c>
      <c r="G48" s="1">
        <f>攻击!H48*HP!$B48</f>
        <v>2500</v>
      </c>
      <c r="H48" s="1">
        <f>攻击!I48*HP!$B48</f>
        <v>490</v>
      </c>
      <c r="I48" s="1">
        <f>攻击!J48*HP!$B48</f>
        <v>300</v>
      </c>
      <c r="J48" s="1">
        <f>攻击!K48*HP!$B48</f>
        <v>600</v>
      </c>
      <c r="K48" s="1">
        <f>攻击!L48*HP!$B48</f>
        <v>0</v>
      </c>
      <c r="L48" s="1">
        <f>攻击!M48*HP!$B48</f>
        <v>0</v>
      </c>
      <c r="M48" s="1">
        <f>攻击!N48*HP!$B48</f>
        <v>1200</v>
      </c>
      <c r="N48" s="1">
        <f>攻击!O48*HP!$B48</f>
        <v>1500</v>
      </c>
      <c r="O48" s="1">
        <f>攻击!P48*HP!$B48</f>
        <v>2000</v>
      </c>
      <c r="P48" s="1">
        <f>攻击!Q48*HP!$B48</f>
        <v>2500</v>
      </c>
      <c r="Q48" s="1">
        <f>攻击!R48*HP!$B48</f>
        <v>3000</v>
      </c>
      <c r="R48" s="1">
        <f>攻击!S48*HP!$B48</f>
        <v>3500</v>
      </c>
      <c r="S48" s="1">
        <f>攻击!T48*HP!$B48</f>
        <v>750</v>
      </c>
      <c r="T48" s="1">
        <f>攻击!U48*HP!$B48</f>
        <v>300</v>
      </c>
      <c r="U48" s="1">
        <f>攻击!V48*HP!$B48</f>
        <v>300</v>
      </c>
      <c r="V48" s="1">
        <f>攻击!W48*HP!$B48</f>
        <v>50</v>
      </c>
      <c r="W48" s="93">
        <f>攻击!X48</f>
        <v>0</v>
      </c>
      <c r="X48" s="93">
        <f>攻击!Y48</f>
        <v>0</v>
      </c>
      <c r="Y48" s="93">
        <f>攻击!Z48</f>
        <v>0</v>
      </c>
      <c r="Z48" s="93">
        <f>攻击!AA48</f>
        <v>0</v>
      </c>
      <c r="AA48" s="93">
        <f>攻击!AB48</f>
        <v>0</v>
      </c>
      <c r="AB48" s="1">
        <f>攻击!AC48*HP!$B48</f>
        <v>1000</v>
      </c>
      <c r="AC48" s="1">
        <f>攻击!AD48*HP!$B48</f>
        <v>1200</v>
      </c>
      <c r="AD48" s="1">
        <f>攻击!AE48*HP!$B48</f>
        <v>1500</v>
      </c>
      <c r="AE48" s="1">
        <f>攻击!AF48*HP!$B48</f>
        <v>2000</v>
      </c>
      <c r="AF48" s="1">
        <f>攻击!AG48*HP!$B48</f>
        <v>2500</v>
      </c>
      <c r="AG48" s="1">
        <f>攻击!AH48*HP!$B48</f>
        <v>500</v>
      </c>
      <c r="AH48" s="1">
        <f>攻击!AI48*HP!$B48</f>
        <v>200</v>
      </c>
      <c r="AI48" s="1">
        <f>攻击!AJ48*HP!$B48</f>
        <v>200</v>
      </c>
      <c r="AJ48" s="1">
        <f>攻击!AK48*HP!$B48</f>
        <v>30</v>
      </c>
      <c r="AK48" s="1">
        <f>攻击!AL48*HP!$B48</f>
        <v>0</v>
      </c>
      <c r="AL48" s="93">
        <f>攻击!AM48</f>
        <v>0</v>
      </c>
      <c r="AM48" s="93">
        <f>攻击!AN48</f>
        <v>0</v>
      </c>
      <c r="AN48" s="93">
        <f>攻击!AO48</f>
        <v>0</v>
      </c>
      <c r="AO48" s="93">
        <f>攻击!AP48</f>
        <v>0</v>
      </c>
      <c r="AP48" s="93">
        <f>攻击!AQ48</f>
        <v>0</v>
      </c>
      <c r="AQ48" s="1">
        <f>攻击!AR48*HP!$B48</f>
        <v>200</v>
      </c>
      <c r="AR48" s="1">
        <f t="shared" si="0"/>
        <v>3700</v>
      </c>
    </row>
    <row r="49" spans="1:44">
      <c r="A49" s="46">
        <v>47</v>
      </c>
      <c r="B49" s="1">
        <f t="shared" si="1"/>
        <v>10</v>
      </c>
      <c r="C49" s="1">
        <f>攻击!D49*HP!$B49</f>
        <v>1020</v>
      </c>
      <c r="D49" s="1">
        <f>攻击!E49*HP!$B49</f>
        <v>1224</v>
      </c>
      <c r="E49" s="1">
        <f>攻击!F49*HP!$B49</f>
        <v>1530</v>
      </c>
      <c r="F49" s="1">
        <f>攻击!G49*HP!$B49</f>
        <v>2040</v>
      </c>
      <c r="G49" s="1">
        <f>攻击!H49*HP!$B49</f>
        <v>2550</v>
      </c>
      <c r="H49" s="1">
        <f>攻击!I49*HP!$B49</f>
        <v>490</v>
      </c>
      <c r="I49" s="1">
        <f>攻击!J49*HP!$B49</f>
        <v>306</v>
      </c>
      <c r="J49" s="1">
        <f>攻击!K49*HP!$B49</f>
        <v>612</v>
      </c>
      <c r="K49" s="1">
        <f>攻击!L49*HP!$B49</f>
        <v>0</v>
      </c>
      <c r="L49" s="1">
        <f>攻击!M49*HP!$B49</f>
        <v>0</v>
      </c>
      <c r="M49" s="1">
        <f>攻击!N49*HP!$B49</f>
        <v>1224</v>
      </c>
      <c r="N49" s="1">
        <f>攻击!O49*HP!$B49</f>
        <v>1530</v>
      </c>
      <c r="O49" s="1">
        <f>攻击!P49*HP!$B49</f>
        <v>2040</v>
      </c>
      <c r="P49" s="1">
        <f>攻击!Q49*HP!$B49</f>
        <v>2550</v>
      </c>
      <c r="Q49" s="1">
        <f>攻击!R49*HP!$B49</f>
        <v>3060</v>
      </c>
      <c r="R49" s="1">
        <f>攻击!S49*HP!$B49</f>
        <v>3570</v>
      </c>
      <c r="S49" s="1">
        <f>攻击!T49*HP!$B49</f>
        <v>765</v>
      </c>
      <c r="T49" s="1">
        <f>攻击!U49*HP!$B49</f>
        <v>306</v>
      </c>
      <c r="U49" s="1">
        <f>攻击!V49*HP!$B49</f>
        <v>306</v>
      </c>
      <c r="V49" s="1">
        <f>攻击!W49*HP!$B49</f>
        <v>51.000000000000007</v>
      </c>
      <c r="W49" s="93">
        <f>攻击!X49</f>
        <v>0</v>
      </c>
      <c r="X49" s="93">
        <f>攻击!Y49</f>
        <v>0</v>
      </c>
      <c r="Y49" s="93">
        <f>攻击!Z49</f>
        <v>0</v>
      </c>
      <c r="Z49" s="93">
        <f>攻击!AA49</f>
        <v>0</v>
      </c>
      <c r="AA49" s="93">
        <f>攻击!AB49</f>
        <v>0</v>
      </c>
      <c r="AB49" s="1">
        <f>攻击!AC49*HP!$B49</f>
        <v>1020</v>
      </c>
      <c r="AC49" s="1">
        <f>攻击!AD49*HP!$B49</f>
        <v>1224</v>
      </c>
      <c r="AD49" s="1">
        <f>攻击!AE49*HP!$B49</f>
        <v>1530</v>
      </c>
      <c r="AE49" s="1">
        <f>攻击!AF49*HP!$B49</f>
        <v>2040</v>
      </c>
      <c r="AF49" s="1">
        <f>攻击!AG49*HP!$B49</f>
        <v>2550</v>
      </c>
      <c r="AG49" s="1">
        <f>攻击!AH49*HP!$B49</f>
        <v>510</v>
      </c>
      <c r="AH49" s="1">
        <f>攻击!AI49*HP!$B49</f>
        <v>204.00000000000003</v>
      </c>
      <c r="AI49" s="1">
        <f>攻击!AJ49*HP!$B49</f>
        <v>204.00000000000003</v>
      </c>
      <c r="AJ49" s="1">
        <f>攻击!AK49*HP!$B49</f>
        <v>30.6</v>
      </c>
      <c r="AK49" s="1">
        <f>攻击!AL49*HP!$B49</f>
        <v>0</v>
      </c>
      <c r="AL49" s="93">
        <f>攻击!AM49</f>
        <v>0</v>
      </c>
      <c r="AM49" s="93">
        <f>攻击!AN49</f>
        <v>0</v>
      </c>
      <c r="AN49" s="93">
        <f>攻击!AO49</f>
        <v>0</v>
      </c>
      <c r="AO49" s="93">
        <f>攻击!AP49</f>
        <v>0</v>
      </c>
      <c r="AP49" s="93">
        <f>攻击!AQ49</f>
        <v>0</v>
      </c>
      <c r="AQ49" s="1">
        <f>攻击!AR49*HP!$B49</f>
        <v>204.00000000000003</v>
      </c>
      <c r="AR49" s="1">
        <f t="shared" si="0"/>
        <v>3774</v>
      </c>
    </row>
    <row r="50" spans="1:44">
      <c r="A50" s="46">
        <v>48</v>
      </c>
      <c r="B50" s="1">
        <f t="shared" si="1"/>
        <v>10</v>
      </c>
      <c r="C50" s="1">
        <f>攻击!D50*HP!$B50</f>
        <v>1040</v>
      </c>
      <c r="D50" s="1">
        <f>攻击!E50*HP!$B50</f>
        <v>1248</v>
      </c>
      <c r="E50" s="1">
        <f>攻击!F50*HP!$B50</f>
        <v>1560</v>
      </c>
      <c r="F50" s="1">
        <f>攻击!G50*HP!$B50</f>
        <v>2080</v>
      </c>
      <c r="G50" s="1">
        <f>攻击!H50*HP!$B50</f>
        <v>2600</v>
      </c>
      <c r="H50" s="1">
        <f>攻击!I50*HP!$B50</f>
        <v>490</v>
      </c>
      <c r="I50" s="1">
        <f>攻击!J50*HP!$B50</f>
        <v>312</v>
      </c>
      <c r="J50" s="1">
        <f>攻击!K50*HP!$B50</f>
        <v>624</v>
      </c>
      <c r="K50" s="1">
        <f>攻击!L50*HP!$B50</f>
        <v>0</v>
      </c>
      <c r="L50" s="1">
        <f>攻击!M50*HP!$B50</f>
        <v>0</v>
      </c>
      <c r="M50" s="1">
        <f>攻击!N50*HP!$B50</f>
        <v>1248</v>
      </c>
      <c r="N50" s="1">
        <f>攻击!O50*HP!$B50</f>
        <v>1560</v>
      </c>
      <c r="O50" s="1">
        <f>攻击!P50*HP!$B50</f>
        <v>2080</v>
      </c>
      <c r="P50" s="1">
        <f>攻击!Q50*HP!$B50</f>
        <v>2600</v>
      </c>
      <c r="Q50" s="1">
        <f>攻击!R50*HP!$B50</f>
        <v>3120</v>
      </c>
      <c r="R50" s="1">
        <f>攻击!S50*HP!$B50</f>
        <v>3640</v>
      </c>
      <c r="S50" s="1">
        <f>攻击!T50*HP!$B50</f>
        <v>780</v>
      </c>
      <c r="T50" s="1">
        <f>攻击!U50*HP!$B50</f>
        <v>312</v>
      </c>
      <c r="U50" s="1">
        <f>攻击!V50*HP!$B50</f>
        <v>312</v>
      </c>
      <c r="V50" s="1">
        <f>攻击!W50*HP!$B50</f>
        <v>52</v>
      </c>
      <c r="W50" s="93">
        <f>攻击!X50</f>
        <v>0</v>
      </c>
      <c r="X50" s="93">
        <f>攻击!Y50</f>
        <v>0</v>
      </c>
      <c r="Y50" s="93">
        <f>攻击!Z50</f>
        <v>0</v>
      </c>
      <c r="Z50" s="93">
        <f>攻击!AA50</f>
        <v>0</v>
      </c>
      <c r="AA50" s="93">
        <f>攻击!AB50</f>
        <v>0</v>
      </c>
      <c r="AB50" s="1">
        <f>攻击!AC50*HP!$B50</f>
        <v>1040</v>
      </c>
      <c r="AC50" s="1">
        <f>攻击!AD50*HP!$B50</f>
        <v>1248</v>
      </c>
      <c r="AD50" s="1">
        <f>攻击!AE50*HP!$B50</f>
        <v>1560</v>
      </c>
      <c r="AE50" s="1">
        <f>攻击!AF50*HP!$B50</f>
        <v>2080</v>
      </c>
      <c r="AF50" s="1">
        <f>攻击!AG50*HP!$B50</f>
        <v>2600</v>
      </c>
      <c r="AG50" s="1">
        <f>攻击!AH50*HP!$B50</f>
        <v>520</v>
      </c>
      <c r="AH50" s="1">
        <f>攻击!AI50*HP!$B50</f>
        <v>208</v>
      </c>
      <c r="AI50" s="1">
        <f>攻击!AJ50*HP!$B50</f>
        <v>208</v>
      </c>
      <c r="AJ50" s="1">
        <f>攻击!AK50*HP!$B50</f>
        <v>31.200000000000003</v>
      </c>
      <c r="AK50" s="1">
        <f>攻击!AL50*HP!$B50</f>
        <v>0</v>
      </c>
      <c r="AL50" s="93">
        <f>攻击!AM50</f>
        <v>0</v>
      </c>
      <c r="AM50" s="93">
        <f>攻击!AN50</f>
        <v>0</v>
      </c>
      <c r="AN50" s="93">
        <f>攻击!AO50</f>
        <v>0</v>
      </c>
      <c r="AO50" s="93">
        <f>攻击!AP50</f>
        <v>0</v>
      </c>
      <c r="AP50" s="93">
        <f>攻击!AQ50</f>
        <v>0</v>
      </c>
      <c r="AQ50" s="1">
        <f>攻击!AR50*HP!$B50</f>
        <v>208</v>
      </c>
      <c r="AR50" s="1">
        <f t="shared" si="0"/>
        <v>3848</v>
      </c>
    </row>
    <row r="51" spans="1:44">
      <c r="A51" s="46">
        <v>49</v>
      </c>
      <c r="B51" s="1">
        <f t="shared" si="1"/>
        <v>10</v>
      </c>
      <c r="C51" s="1">
        <f>攻击!D51*HP!$B51</f>
        <v>1060</v>
      </c>
      <c r="D51" s="1">
        <f>攻击!E51*HP!$B51</f>
        <v>1272</v>
      </c>
      <c r="E51" s="1">
        <f>攻击!F51*HP!$B51</f>
        <v>1590</v>
      </c>
      <c r="F51" s="1">
        <f>攻击!G51*HP!$B51</f>
        <v>2120</v>
      </c>
      <c r="G51" s="1">
        <f>攻击!H51*HP!$B51</f>
        <v>2650</v>
      </c>
      <c r="H51" s="1">
        <f>攻击!I51*HP!$B51</f>
        <v>490</v>
      </c>
      <c r="I51" s="1">
        <f>攻击!J51*HP!$B51</f>
        <v>318</v>
      </c>
      <c r="J51" s="1">
        <f>攻击!K51*HP!$B51</f>
        <v>636</v>
      </c>
      <c r="K51" s="1">
        <f>攻击!L51*HP!$B51</f>
        <v>0</v>
      </c>
      <c r="L51" s="1">
        <f>攻击!M51*HP!$B51</f>
        <v>0</v>
      </c>
      <c r="M51" s="1">
        <f>攻击!N51*HP!$B51</f>
        <v>1272</v>
      </c>
      <c r="N51" s="1">
        <f>攻击!O51*HP!$B51</f>
        <v>1590</v>
      </c>
      <c r="O51" s="1">
        <f>攻击!P51*HP!$B51</f>
        <v>2120</v>
      </c>
      <c r="P51" s="1">
        <f>攻击!Q51*HP!$B51</f>
        <v>2650</v>
      </c>
      <c r="Q51" s="1">
        <f>攻击!R51*HP!$B51</f>
        <v>3180</v>
      </c>
      <c r="R51" s="1">
        <f>攻击!S51*HP!$B51</f>
        <v>3710</v>
      </c>
      <c r="S51" s="1">
        <f>攻击!T51*HP!$B51</f>
        <v>795</v>
      </c>
      <c r="T51" s="1">
        <f>攻击!U51*HP!$B51</f>
        <v>318</v>
      </c>
      <c r="U51" s="1">
        <f>攻击!V51*HP!$B51</f>
        <v>318</v>
      </c>
      <c r="V51" s="1">
        <f>攻击!W51*HP!$B51</f>
        <v>53.000000000000007</v>
      </c>
      <c r="W51" s="93">
        <f>攻击!X51</f>
        <v>0</v>
      </c>
      <c r="X51" s="93">
        <f>攻击!Y51</f>
        <v>0</v>
      </c>
      <c r="Y51" s="93">
        <f>攻击!Z51</f>
        <v>0</v>
      </c>
      <c r="Z51" s="93">
        <f>攻击!AA51</f>
        <v>0</v>
      </c>
      <c r="AA51" s="93">
        <f>攻击!AB51</f>
        <v>0</v>
      </c>
      <c r="AB51" s="1">
        <f>攻击!AC51*HP!$B51</f>
        <v>1060</v>
      </c>
      <c r="AC51" s="1">
        <f>攻击!AD51*HP!$B51</f>
        <v>1272</v>
      </c>
      <c r="AD51" s="1">
        <f>攻击!AE51*HP!$B51</f>
        <v>1590</v>
      </c>
      <c r="AE51" s="1">
        <f>攻击!AF51*HP!$B51</f>
        <v>2120</v>
      </c>
      <c r="AF51" s="1">
        <f>攻击!AG51*HP!$B51</f>
        <v>2650</v>
      </c>
      <c r="AG51" s="1">
        <f>攻击!AH51*HP!$B51</f>
        <v>530</v>
      </c>
      <c r="AH51" s="1">
        <f>攻击!AI51*HP!$B51</f>
        <v>212.00000000000003</v>
      </c>
      <c r="AI51" s="1">
        <f>攻击!AJ51*HP!$B51</f>
        <v>212.00000000000003</v>
      </c>
      <c r="AJ51" s="1">
        <f>攻击!AK51*HP!$B51</f>
        <v>31.799999999999997</v>
      </c>
      <c r="AK51" s="1">
        <f>攻击!AL51*HP!$B51</f>
        <v>0</v>
      </c>
      <c r="AL51" s="93">
        <f>攻击!AM51</f>
        <v>0</v>
      </c>
      <c r="AM51" s="93">
        <f>攻击!AN51</f>
        <v>0</v>
      </c>
      <c r="AN51" s="93">
        <f>攻击!AO51</f>
        <v>0</v>
      </c>
      <c r="AO51" s="93">
        <f>攻击!AP51</f>
        <v>0</v>
      </c>
      <c r="AP51" s="93">
        <f>攻击!AQ51</f>
        <v>0</v>
      </c>
      <c r="AQ51" s="1">
        <f>攻击!AR51*HP!$B51</f>
        <v>212.00000000000003</v>
      </c>
      <c r="AR51" s="1">
        <f t="shared" si="0"/>
        <v>3922</v>
      </c>
    </row>
    <row r="52" spans="1:44">
      <c r="A52" s="46">
        <v>50</v>
      </c>
      <c r="B52" s="1">
        <f t="shared" si="1"/>
        <v>10</v>
      </c>
      <c r="C52" s="1">
        <f>攻击!D52*HP!$B52</f>
        <v>1080</v>
      </c>
      <c r="D52" s="1">
        <f>攻击!E52*HP!$B52</f>
        <v>1296</v>
      </c>
      <c r="E52" s="1">
        <f>攻击!F52*HP!$B52</f>
        <v>1620</v>
      </c>
      <c r="F52" s="1">
        <f>攻击!G52*HP!$B52</f>
        <v>2160</v>
      </c>
      <c r="G52" s="1">
        <f>攻击!H52*HP!$B52</f>
        <v>2700</v>
      </c>
      <c r="H52" s="1">
        <f>攻击!I52*HP!$B52</f>
        <v>540</v>
      </c>
      <c r="I52" s="1">
        <f>攻击!J52*HP!$B52</f>
        <v>324</v>
      </c>
      <c r="J52" s="1">
        <f>攻击!K52*HP!$B52</f>
        <v>648</v>
      </c>
      <c r="K52" s="1">
        <f>攻击!L52*HP!$B52</f>
        <v>0</v>
      </c>
      <c r="L52" s="1">
        <f>攻击!M52*HP!$B52</f>
        <v>864</v>
      </c>
      <c r="M52" s="1">
        <f>攻击!N52*HP!$B52</f>
        <v>1296</v>
      </c>
      <c r="N52" s="1">
        <f>攻击!O52*HP!$B52</f>
        <v>1620</v>
      </c>
      <c r="O52" s="1">
        <f>攻击!P52*HP!$B52</f>
        <v>2160</v>
      </c>
      <c r="P52" s="1">
        <f>攻击!Q52*HP!$B52</f>
        <v>2700</v>
      </c>
      <c r="Q52" s="1">
        <f>攻击!R52*HP!$B52</f>
        <v>3240</v>
      </c>
      <c r="R52" s="1">
        <f>攻击!S52*HP!$B52</f>
        <v>3780</v>
      </c>
      <c r="S52" s="1">
        <f>攻击!T52*HP!$B52</f>
        <v>810</v>
      </c>
      <c r="T52" s="1">
        <f>攻击!U52*HP!$B52</f>
        <v>324</v>
      </c>
      <c r="U52" s="1">
        <f>攻击!V52*HP!$B52</f>
        <v>324</v>
      </c>
      <c r="V52" s="1">
        <f>攻击!W52*HP!$B52</f>
        <v>54</v>
      </c>
      <c r="W52" s="93">
        <f>攻击!X52</f>
        <v>0</v>
      </c>
      <c r="X52" s="93">
        <f>攻击!Y52</f>
        <v>0</v>
      </c>
      <c r="Y52" s="93">
        <f>攻击!Z52</f>
        <v>0</v>
      </c>
      <c r="Z52" s="93">
        <f>攻击!AA52</f>
        <v>0</v>
      </c>
      <c r="AA52" s="93">
        <f>攻击!AB52</f>
        <v>0</v>
      </c>
      <c r="AB52" s="1">
        <f>攻击!AC52*HP!$B52</f>
        <v>1080</v>
      </c>
      <c r="AC52" s="1">
        <f>攻击!AD52*HP!$B52</f>
        <v>1296</v>
      </c>
      <c r="AD52" s="1">
        <f>攻击!AE52*HP!$B52</f>
        <v>1620</v>
      </c>
      <c r="AE52" s="1">
        <f>攻击!AF52*HP!$B52</f>
        <v>2160</v>
      </c>
      <c r="AF52" s="1">
        <f>攻击!AG52*HP!$B52</f>
        <v>2700</v>
      </c>
      <c r="AG52" s="1">
        <f>攻击!AH52*HP!$B52</f>
        <v>540</v>
      </c>
      <c r="AH52" s="1">
        <f>攻击!AI52*HP!$B52</f>
        <v>216</v>
      </c>
      <c r="AI52" s="1">
        <f>攻击!AJ52*HP!$B52</f>
        <v>216</v>
      </c>
      <c r="AJ52" s="1">
        <f>攻击!AK52*HP!$B52</f>
        <v>32.4</v>
      </c>
      <c r="AK52" s="1">
        <f>攻击!AL52*HP!$B52</f>
        <v>0</v>
      </c>
      <c r="AL52" s="93">
        <f>攻击!AM52</f>
        <v>0</v>
      </c>
      <c r="AM52" s="93">
        <f>攻击!AN52</f>
        <v>0</v>
      </c>
      <c r="AN52" s="93">
        <f>攻击!AO52</f>
        <v>0</v>
      </c>
      <c r="AO52" s="93">
        <f>攻击!AP52</f>
        <v>0</v>
      </c>
      <c r="AP52" s="93">
        <f>攻击!AQ52</f>
        <v>0</v>
      </c>
      <c r="AQ52" s="1">
        <f>攻击!AR52*HP!$B52</f>
        <v>216</v>
      </c>
      <c r="AR52" s="1">
        <f t="shared" si="0"/>
        <v>3996</v>
      </c>
    </row>
    <row r="53" spans="1:44">
      <c r="A53" s="46">
        <v>51</v>
      </c>
      <c r="B53" s="1">
        <f t="shared" si="1"/>
        <v>10</v>
      </c>
      <c r="C53" s="1">
        <f>攻击!D53*HP!$B53</f>
        <v>1100</v>
      </c>
      <c r="D53" s="1">
        <f>攻击!E53*HP!$B53</f>
        <v>1320</v>
      </c>
      <c r="E53" s="1">
        <f>攻击!F53*HP!$B53</f>
        <v>1650</v>
      </c>
      <c r="F53" s="1">
        <f>攻击!G53*HP!$B53</f>
        <v>2200</v>
      </c>
      <c r="G53" s="1">
        <f>攻击!H53*HP!$B53</f>
        <v>2750</v>
      </c>
      <c r="H53" s="1">
        <f>攻击!I53*HP!$B53</f>
        <v>540</v>
      </c>
      <c r="I53" s="1">
        <f>攻击!J53*HP!$B53</f>
        <v>330</v>
      </c>
      <c r="J53" s="1">
        <f>攻击!K53*HP!$B53</f>
        <v>660</v>
      </c>
      <c r="K53" s="1">
        <f>攻击!L53*HP!$B53</f>
        <v>0</v>
      </c>
      <c r="L53" s="1">
        <f>攻击!M53*HP!$B53</f>
        <v>880</v>
      </c>
      <c r="M53" s="1">
        <f>攻击!N53*HP!$B53</f>
        <v>1320</v>
      </c>
      <c r="N53" s="1">
        <f>攻击!O53*HP!$B53</f>
        <v>1650</v>
      </c>
      <c r="O53" s="1">
        <f>攻击!P53*HP!$B53</f>
        <v>2200</v>
      </c>
      <c r="P53" s="1">
        <f>攻击!Q53*HP!$B53</f>
        <v>2750</v>
      </c>
      <c r="Q53" s="1">
        <f>攻击!R53*HP!$B53</f>
        <v>3300</v>
      </c>
      <c r="R53" s="1">
        <f>攻击!S53*HP!$B53</f>
        <v>3850</v>
      </c>
      <c r="S53" s="1">
        <f>攻击!T53*HP!$B53</f>
        <v>825</v>
      </c>
      <c r="T53" s="1">
        <f>攻击!U53*HP!$B53</f>
        <v>330</v>
      </c>
      <c r="U53" s="1">
        <f>攻击!V53*HP!$B53</f>
        <v>330</v>
      </c>
      <c r="V53" s="1">
        <f>攻击!W53*HP!$B53</f>
        <v>55</v>
      </c>
      <c r="W53" s="93">
        <f>攻击!X53</f>
        <v>0</v>
      </c>
      <c r="X53" s="93">
        <f>攻击!Y53</f>
        <v>0</v>
      </c>
      <c r="Y53" s="93">
        <f>攻击!Z53</f>
        <v>0</v>
      </c>
      <c r="Z53" s="93">
        <f>攻击!AA53</f>
        <v>0</v>
      </c>
      <c r="AA53" s="93">
        <f>攻击!AB53</f>
        <v>0</v>
      </c>
      <c r="AB53" s="1">
        <f>攻击!AC53*HP!$B53</f>
        <v>1100</v>
      </c>
      <c r="AC53" s="1">
        <f>攻击!AD53*HP!$B53</f>
        <v>1320</v>
      </c>
      <c r="AD53" s="1">
        <f>攻击!AE53*HP!$B53</f>
        <v>1650</v>
      </c>
      <c r="AE53" s="1">
        <f>攻击!AF53*HP!$B53</f>
        <v>2200</v>
      </c>
      <c r="AF53" s="1">
        <f>攻击!AG53*HP!$B53</f>
        <v>2750</v>
      </c>
      <c r="AG53" s="1">
        <f>攻击!AH53*HP!$B53</f>
        <v>550</v>
      </c>
      <c r="AH53" s="1">
        <f>攻击!AI53*HP!$B53</f>
        <v>220</v>
      </c>
      <c r="AI53" s="1">
        <f>攻击!AJ53*HP!$B53</f>
        <v>220</v>
      </c>
      <c r="AJ53" s="1">
        <f>攻击!AK53*HP!$B53</f>
        <v>33</v>
      </c>
      <c r="AK53" s="1">
        <f>攻击!AL53*HP!$B53</f>
        <v>0</v>
      </c>
      <c r="AL53" s="93">
        <f>攻击!AM53</f>
        <v>0</v>
      </c>
      <c r="AM53" s="93">
        <f>攻击!AN53</f>
        <v>0</v>
      </c>
      <c r="AN53" s="93">
        <f>攻击!AO53</f>
        <v>0</v>
      </c>
      <c r="AO53" s="93">
        <f>攻击!AP53</f>
        <v>0</v>
      </c>
      <c r="AP53" s="93">
        <f>攻击!AQ53</f>
        <v>0</v>
      </c>
      <c r="AQ53" s="1">
        <f>攻击!AR53*HP!$B53</f>
        <v>220</v>
      </c>
      <c r="AR53" s="1">
        <f t="shared" si="0"/>
        <v>4070</v>
      </c>
    </row>
    <row r="54" spans="1:44">
      <c r="A54" s="46">
        <v>52</v>
      </c>
      <c r="B54" s="1">
        <f t="shared" si="1"/>
        <v>10</v>
      </c>
      <c r="C54" s="1">
        <f>攻击!D54*HP!$B54</f>
        <v>1120</v>
      </c>
      <c r="D54" s="1">
        <f>攻击!E54*HP!$B54</f>
        <v>1344</v>
      </c>
      <c r="E54" s="1">
        <f>攻击!F54*HP!$B54</f>
        <v>1680</v>
      </c>
      <c r="F54" s="1">
        <f>攻击!G54*HP!$B54</f>
        <v>2240</v>
      </c>
      <c r="G54" s="1">
        <f>攻击!H54*HP!$B54</f>
        <v>2800</v>
      </c>
      <c r="H54" s="1">
        <f>攻击!I54*HP!$B54</f>
        <v>540</v>
      </c>
      <c r="I54" s="1">
        <f>攻击!J54*HP!$B54</f>
        <v>336</v>
      </c>
      <c r="J54" s="1">
        <f>攻击!K54*HP!$B54</f>
        <v>672</v>
      </c>
      <c r="K54" s="1">
        <f>攻击!L54*HP!$B54</f>
        <v>0</v>
      </c>
      <c r="L54" s="1">
        <f>攻击!M54*HP!$B54</f>
        <v>896.00000000000011</v>
      </c>
      <c r="M54" s="1">
        <f>攻击!N54*HP!$B54</f>
        <v>1344</v>
      </c>
      <c r="N54" s="1">
        <f>攻击!O54*HP!$B54</f>
        <v>1680</v>
      </c>
      <c r="O54" s="1">
        <f>攻击!P54*HP!$B54</f>
        <v>2240</v>
      </c>
      <c r="P54" s="1">
        <f>攻击!Q54*HP!$B54</f>
        <v>2800</v>
      </c>
      <c r="Q54" s="1">
        <f>攻击!R54*HP!$B54</f>
        <v>3360</v>
      </c>
      <c r="R54" s="1">
        <f>攻击!S54*HP!$B54</f>
        <v>3920</v>
      </c>
      <c r="S54" s="1">
        <f>攻击!T54*HP!$B54</f>
        <v>840</v>
      </c>
      <c r="T54" s="1">
        <f>攻击!U54*HP!$B54</f>
        <v>336</v>
      </c>
      <c r="U54" s="1">
        <f>攻击!V54*HP!$B54</f>
        <v>336</v>
      </c>
      <c r="V54" s="1">
        <f>攻击!W54*HP!$B54</f>
        <v>56.000000000000007</v>
      </c>
      <c r="W54" s="93">
        <f>攻击!X54</f>
        <v>0</v>
      </c>
      <c r="X54" s="93">
        <f>攻击!Y54</f>
        <v>0</v>
      </c>
      <c r="Y54" s="93">
        <f>攻击!Z54</f>
        <v>0</v>
      </c>
      <c r="Z54" s="93">
        <f>攻击!AA54</f>
        <v>0</v>
      </c>
      <c r="AA54" s="93">
        <f>攻击!AB54</f>
        <v>0</v>
      </c>
      <c r="AB54" s="1">
        <f>攻击!AC54*HP!$B54</f>
        <v>1120</v>
      </c>
      <c r="AC54" s="1">
        <f>攻击!AD54*HP!$B54</f>
        <v>1344</v>
      </c>
      <c r="AD54" s="1">
        <f>攻击!AE54*HP!$B54</f>
        <v>1680</v>
      </c>
      <c r="AE54" s="1">
        <f>攻击!AF54*HP!$B54</f>
        <v>2240</v>
      </c>
      <c r="AF54" s="1">
        <f>攻击!AG54*HP!$B54</f>
        <v>2800</v>
      </c>
      <c r="AG54" s="1">
        <f>攻击!AH54*HP!$B54</f>
        <v>560</v>
      </c>
      <c r="AH54" s="1">
        <f>攻击!AI54*HP!$B54</f>
        <v>224.00000000000003</v>
      </c>
      <c r="AI54" s="1">
        <f>攻击!AJ54*HP!$B54</f>
        <v>224.00000000000003</v>
      </c>
      <c r="AJ54" s="1">
        <f>攻击!AK54*HP!$B54</f>
        <v>33.6</v>
      </c>
      <c r="AK54" s="1">
        <f>攻击!AL54*HP!$B54</f>
        <v>0</v>
      </c>
      <c r="AL54" s="93">
        <f>攻击!AM54</f>
        <v>0</v>
      </c>
      <c r="AM54" s="93">
        <f>攻击!AN54</f>
        <v>0</v>
      </c>
      <c r="AN54" s="93">
        <f>攻击!AO54</f>
        <v>0</v>
      </c>
      <c r="AO54" s="93">
        <f>攻击!AP54</f>
        <v>0</v>
      </c>
      <c r="AP54" s="93">
        <f>攻击!AQ54</f>
        <v>0</v>
      </c>
      <c r="AQ54" s="1">
        <f>攻击!AR54*HP!$B54</f>
        <v>224.00000000000003</v>
      </c>
      <c r="AR54" s="1">
        <f t="shared" si="0"/>
        <v>4144</v>
      </c>
    </row>
    <row r="55" spans="1:44">
      <c r="A55" s="46">
        <v>53</v>
      </c>
      <c r="B55" s="1">
        <f t="shared" si="1"/>
        <v>10</v>
      </c>
      <c r="C55" s="1">
        <f>攻击!D55*HP!$B55</f>
        <v>1140</v>
      </c>
      <c r="D55" s="1">
        <f>攻击!E55*HP!$B55</f>
        <v>1367.9999999999998</v>
      </c>
      <c r="E55" s="1">
        <f>攻击!F55*HP!$B55</f>
        <v>1710</v>
      </c>
      <c r="F55" s="1">
        <f>攻击!G55*HP!$B55</f>
        <v>2280</v>
      </c>
      <c r="G55" s="1">
        <f>攻击!H55*HP!$B55</f>
        <v>2850</v>
      </c>
      <c r="H55" s="1">
        <f>攻击!I55*HP!$B55</f>
        <v>540</v>
      </c>
      <c r="I55" s="1">
        <f>攻击!J55*HP!$B55</f>
        <v>341.99999999999994</v>
      </c>
      <c r="J55" s="1">
        <f>攻击!K55*HP!$B55</f>
        <v>683.99999999999989</v>
      </c>
      <c r="K55" s="1">
        <f>攻击!L55*HP!$B55</f>
        <v>0</v>
      </c>
      <c r="L55" s="1">
        <f>攻击!M55*HP!$B55</f>
        <v>912</v>
      </c>
      <c r="M55" s="1">
        <f>攻击!N55*HP!$B55</f>
        <v>1367.9999999999998</v>
      </c>
      <c r="N55" s="1">
        <f>攻击!O55*HP!$B55</f>
        <v>1710</v>
      </c>
      <c r="O55" s="1">
        <f>攻击!P55*HP!$B55</f>
        <v>2280</v>
      </c>
      <c r="P55" s="1">
        <f>攻击!Q55*HP!$B55</f>
        <v>2850</v>
      </c>
      <c r="Q55" s="1">
        <f>攻击!R55*HP!$B55</f>
        <v>3420</v>
      </c>
      <c r="R55" s="1">
        <f>攻击!S55*HP!$B55</f>
        <v>3990</v>
      </c>
      <c r="S55" s="1">
        <f>攻击!T55*HP!$B55</f>
        <v>855</v>
      </c>
      <c r="T55" s="1">
        <f>攻击!U55*HP!$B55</f>
        <v>341.99999999999994</v>
      </c>
      <c r="U55" s="1">
        <f>攻击!V55*HP!$B55</f>
        <v>341.99999999999994</v>
      </c>
      <c r="V55" s="1">
        <f>攻击!W55*HP!$B55</f>
        <v>57</v>
      </c>
      <c r="W55" s="93">
        <f>攻击!X55</f>
        <v>0</v>
      </c>
      <c r="X55" s="93">
        <f>攻击!Y55</f>
        <v>0</v>
      </c>
      <c r="Y55" s="93">
        <f>攻击!Z55</f>
        <v>0</v>
      </c>
      <c r="Z55" s="93">
        <f>攻击!AA55</f>
        <v>0</v>
      </c>
      <c r="AA55" s="93">
        <f>攻击!AB55</f>
        <v>0</v>
      </c>
      <c r="AB55" s="1">
        <f>攻击!AC55*HP!$B55</f>
        <v>1140</v>
      </c>
      <c r="AC55" s="1">
        <f>攻击!AD55*HP!$B55</f>
        <v>1367.9999999999998</v>
      </c>
      <c r="AD55" s="1">
        <f>攻击!AE55*HP!$B55</f>
        <v>1710</v>
      </c>
      <c r="AE55" s="1">
        <f>攻击!AF55*HP!$B55</f>
        <v>2280</v>
      </c>
      <c r="AF55" s="1">
        <f>攻击!AG55*HP!$B55</f>
        <v>2850</v>
      </c>
      <c r="AG55" s="1">
        <f>攻击!AH55*HP!$B55</f>
        <v>570</v>
      </c>
      <c r="AH55" s="1">
        <f>攻击!AI55*HP!$B55</f>
        <v>228</v>
      </c>
      <c r="AI55" s="1">
        <f>攻击!AJ55*HP!$B55</f>
        <v>228</v>
      </c>
      <c r="AJ55" s="1">
        <f>攻击!AK55*HP!$B55</f>
        <v>34.200000000000003</v>
      </c>
      <c r="AK55" s="1">
        <f>攻击!AL55*HP!$B55</f>
        <v>0</v>
      </c>
      <c r="AL55" s="93">
        <f>攻击!AM55</f>
        <v>0</v>
      </c>
      <c r="AM55" s="93">
        <f>攻击!AN55</f>
        <v>0</v>
      </c>
      <c r="AN55" s="93">
        <f>攻击!AO55</f>
        <v>0</v>
      </c>
      <c r="AO55" s="93">
        <f>攻击!AP55</f>
        <v>0</v>
      </c>
      <c r="AP55" s="93">
        <f>攻击!AQ55</f>
        <v>0</v>
      </c>
      <c r="AQ55" s="1">
        <f>攻击!AR55*HP!$B55</f>
        <v>228</v>
      </c>
      <c r="AR55" s="1">
        <f t="shared" si="0"/>
        <v>4218</v>
      </c>
    </row>
    <row r="56" spans="1:44">
      <c r="A56" s="46">
        <v>54</v>
      </c>
      <c r="B56" s="1">
        <f t="shared" si="1"/>
        <v>10</v>
      </c>
      <c r="C56" s="1">
        <f>攻击!D56*HP!$B56</f>
        <v>1160</v>
      </c>
      <c r="D56" s="1">
        <f>攻击!E56*HP!$B56</f>
        <v>1392</v>
      </c>
      <c r="E56" s="1">
        <f>攻击!F56*HP!$B56</f>
        <v>1740</v>
      </c>
      <c r="F56" s="1">
        <f>攻击!G56*HP!$B56</f>
        <v>2320</v>
      </c>
      <c r="G56" s="1">
        <f>攻击!H56*HP!$B56</f>
        <v>2900</v>
      </c>
      <c r="H56" s="1">
        <f>攻击!I56*HP!$B56</f>
        <v>540</v>
      </c>
      <c r="I56" s="1">
        <f>攻击!J56*HP!$B56</f>
        <v>348</v>
      </c>
      <c r="J56" s="1">
        <f>攻击!K56*HP!$B56</f>
        <v>696</v>
      </c>
      <c r="K56" s="1">
        <f>攻击!L56*HP!$B56</f>
        <v>0</v>
      </c>
      <c r="L56" s="1">
        <f>攻击!M56*HP!$B56</f>
        <v>928.00000000000011</v>
      </c>
      <c r="M56" s="1">
        <f>攻击!N56*HP!$B56</f>
        <v>1392</v>
      </c>
      <c r="N56" s="1">
        <f>攻击!O56*HP!$B56</f>
        <v>1740</v>
      </c>
      <c r="O56" s="1">
        <f>攻击!P56*HP!$B56</f>
        <v>2320</v>
      </c>
      <c r="P56" s="1">
        <f>攻击!Q56*HP!$B56</f>
        <v>2900</v>
      </c>
      <c r="Q56" s="1">
        <f>攻击!R56*HP!$B56</f>
        <v>3480</v>
      </c>
      <c r="R56" s="1">
        <f>攻击!S56*HP!$B56</f>
        <v>4060</v>
      </c>
      <c r="S56" s="1">
        <f>攻击!T56*HP!$B56</f>
        <v>870</v>
      </c>
      <c r="T56" s="1">
        <f>攻击!U56*HP!$B56</f>
        <v>348</v>
      </c>
      <c r="U56" s="1">
        <f>攻击!V56*HP!$B56</f>
        <v>348</v>
      </c>
      <c r="V56" s="1">
        <f>攻击!W56*HP!$B56</f>
        <v>58.000000000000007</v>
      </c>
      <c r="W56" s="93">
        <f>攻击!X56</f>
        <v>0</v>
      </c>
      <c r="X56" s="93">
        <f>攻击!Y56</f>
        <v>0</v>
      </c>
      <c r="Y56" s="93">
        <f>攻击!Z56</f>
        <v>0</v>
      </c>
      <c r="Z56" s="93">
        <f>攻击!AA56</f>
        <v>0</v>
      </c>
      <c r="AA56" s="93">
        <f>攻击!AB56</f>
        <v>0</v>
      </c>
      <c r="AB56" s="1">
        <f>攻击!AC56*HP!$B56</f>
        <v>1160</v>
      </c>
      <c r="AC56" s="1">
        <f>攻击!AD56*HP!$B56</f>
        <v>1392</v>
      </c>
      <c r="AD56" s="1">
        <f>攻击!AE56*HP!$B56</f>
        <v>1740</v>
      </c>
      <c r="AE56" s="1">
        <f>攻击!AF56*HP!$B56</f>
        <v>2320</v>
      </c>
      <c r="AF56" s="1">
        <f>攻击!AG56*HP!$B56</f>
        <v>2900</v>
      </c>
      <c r="AG56" s="1">
        <f>攻击!AH56*HP!$B56</f>
        <v>580</v>
      </c>
      <c r="AH56" s="1">
        <f>攻击!AI56*HP!$B56</f>
        <v>232.00000000000003</v>
      </c>
      <c r="AI56" s="1">
        <f>攻击!AJ56*HP!$B56</f>
        <v>232.00000000000003</v>
      </c>
      <c r="AJ56" s="1">
        <f>攻击!AK56*HP!$B56</f>
        <v>34.799999999999997</v>
      </c>
      <c r="AK56" s="1">
        <f>攻击!AL56*HP!$B56</f>
        <v>0</v>
      </c>
      <c r="AL56" s="93">
        <f>攻击!AM56</f>
        <v>0</v>
      </c>
      <c r="AM56" s="93">
        <f>攻击!AN56</f>
        <v>0</v>
      </c>
      <c r="AN56" s="93">
        <f>攻击!AO56</f>
        <v>0</v>
      </c>
      <c r="AO56" s="93">
        <f>攻击!AP56</f>
        <v>0</v>
      </c>
      <c r="AP56" s="93">
        <f>攻击!AQ56</f>
        <v>0</v>
      </c>
      <c r="AQ56" s="1">
        <f>攻击!AR56*HP!$B56</f>
        <v>232.00000000000003</v>
      </c>
      <c r="AR56" s="1">
        <f t="shared" si="0"/>
        <v>4292</v>
      </c>
    </row>
    <row r="57" spans="1:44">
      <c r="A57" s="46">
        <v>55</v>
      </c>
      <c r="B57" s="1">
        <f t="shared" si="1"/>
        <v>10</v>
      </c>
      <c r="C57" s="1">
        <f>攻击!D57*HP!$B57</f>
        <v>1180</v>
      </c>
      <c r="D57" s="1">
        <f>攻击!E57*HP!$B57</f>
        <v>1416</v>
      </c>
      <c r="E57" s="1">
        <f>攻击!F57*HP!$B57</f>
        <v>1770</v>
      </c>
      <c r="F57" s="1">
        <f>攻击!G57*HP!$B57</f>
        <v>2360</v>
      </c>
      <c r="G57" s="1">
        <f>攻击!H57*HP!$B57</f>
        <v>2950</v>
      </c>
      <c r="H57" s="1">
        <f>攻击!I57*HP!$B57</f>
        <v>590</v>
      </c>
      <c r="I57" s="1">
        <f>攻击!J57*HP!$B57</f>
        <v>354</v>
      </c>
      <c r="J57" s="1">
        <f>攻击!K57*HP!$B57</f>
        <v>708</v>
      </c>
      <c r="K57" s="1">
        <f>攻击!L57*HP!$B57</f>
        <v>0</v>
      </c>
      <c r="L57" s="1">
        <f>攻击!M57*HP!$B57</f>
        <v>944</v>
      </c>
      <c r="M57" s="1">
        <f>攻击!N57*HP!$B57</f>
        <v>1416</v>
      </c>
      <c r="N57" s="1">
        <f>攻击!O57*HP!$B57</f>
        <v>1770</v>
      </c>
      <c r="O57" s="1">
        <f>攻击!P57*HP!$B57</f>
        <v>2360</v>
      </c>
      <c r="P57" s="1">
        <f>攻击!Q57*HP!$B57</f>
        <v>2950</v>
      </c>
      <c r="Q57" s="1">
        <f>攻击!R57*HP!$B57</f>
        <v>3540</v>
      </c>
      <c r="R57" s="1">
        <f>攻击!S57*HP!$B57</f>
        <v>4130</v>
      </c>
      <c r="S57" s="1">
        <f>攻击!T57*HP!$B57</f>
        <v>885</v>
      </c>
      <c r="T57" s="1">
        <f>攻击!U57*HP!$B57</f>
        <v>354</v>
      </c>
      <c r="U57" s="1">
        <f>攻击!V57*HP!$B57</f>
        <v>354</v>
      </c>
      <c r="V57" s="1">
        <f>攻击!W57*HP!$B57</f>
        <v>59</v>
      </c>
      <c r="W57" s="93">
        <f>攻击!X57</f>
        <v>0</v>
      </c>
      <c r="X57" s="93">
        <f>攻击!Y57</f>
        <v>0</v>
      </c>
      <c r="Y57" s="93">
        <f>攻击!Z57</f>
        <v>0</v>
      </c>
      <c r="Z57" s="93">
        <f>攻击!AA57</f>
        <v>0</v>
      </c>
      <c r="AA57" s="93">
        <f>攻击!AB57</f>
        <v>0</v>
      </c>
      <c r="AB57" s="1">
        <f>攻击!AC57*HP!$B57</f>
        <v>1180</v>
      </c>
      <c r="AC57" s="1">
        <f>攻击!AD57*HP!$B57</f>
        <v>1416</v>
      </c>
      <c r="AD57" s="1">
        <f>攻击!AE57*HP!$B57</f>
        <v>1770</v>
      </c>
      <c r="AE57" s="1">
        <f>攻击!AF57*HP!$B57</f>
        <v>2360</v>
      </c>
      <c r="AF57" s="1">
        <f>攻击!AG57*HP!$B57</f>
        <v>2950</v>
      </c>
      <c r="AG57" s="1">
        <f>攻击!AH57*HP!$B57</f>
        <v>590</v>
      </c>
      <c r="AH57" s="1">
        <f>攻击!AI57*HP!$B57</f>
        <v>236</v>
      </c>
      <c r="AI57" s="1">
        <f>攻击!AJ57*HP!$B57</f>
        <v>236</v>
      </c>
      <c r="AJ57" s="1">
        <f>攻击!AK57*HP!$B57</f>
        <v>35.4</v>
      </c>
      <c r="AK57" s="1">
        <f>攻击!AL57*HP!$B57</f>
        <v>0</v>
      </c>
      <c r="AL57" s="93">
        <f>攻击!AM57</f>
        <v>0</v>
      </c>
      <c r="AM57" s="93">
        <f>攻击!AN57</f>
        <v>0</v>
      </c>
      <c r="AN57" s="93">
        <f>攻击!AO57</f>
        <v>0</v>
      </c>
      <c r="AO57" s="93">
        <f>攻击!AP57</f>
        <v>0</v>
      </c>
      <c r="AP57" s="93">
        <f>攻击!AQ57</f>
        <v>0</v>
      </c>
      <c r="AQ57" s="1">
        <f>攻击!AR57*HP!$B57</f>
        <v>236</v>
      </c>
      <c r="AR57" s="1">
        <f t="shared" si="0"/>
        <v>4366</v>
      </c>
    </row>
    <row r="58" spans="1:44">
      <c r="A58" s="46">
        <v>56</v>
      </c>
      <c r="B58" s="1">
        <f t="shared" si="1"/>
        <v>10</v>
      </c>
      <c r="C58" s="1">
        <f>攻击!D58*HP!$B58</f>
        <v>1200</v>
      </c>
      <c r="D58" s="1">
        <f>攻击!E58*HP!$B58</f>
        <v>1440</v>
      </c>
      <c r="E58" s="1">
        <f>攻击!F58*HP!$B58</f>
        <v>1800</v>
      </c>
      <c r="F58" s="1">
        <f>攻击!G58*HP!$B58</f>
        <v>2400</v>
      </c>
      <c r="G58" s="1">
        <f>攻击!H58*HP!$B58</f>
        <v>3000</v>
      </c>
      <c r="H58" s="1">
        <f>攻击!I58*HP!$B58</f>
        <v>590</v>
      </c>
      <c r="I58" s="1">
        <f>攻击!J58*HP!$B58</f>
        <v>360</v>
      </c>
      <c r="J58" s="1">
        <f>攻击!K58*HP!$B58</f>
        <v>720</v>
      </c>
      <c r="K58" s="1">
        <f>攻击!L58*HP!$B58</f>
        <v>0</v>
      </c>
      <c r="L58" s="1">
        <f>攻击!M58*HP!$B58</f>
        <v>960</v>
      </c>
      <c r="M58" s="1">
        <f>攻击!N58*HP!$B58</f>
        <v>1440</v>
      </c>
      <c r="N58" s="1">
        <f>攻击!O58*HP!$B58</f>
        <v>1800</v>
      </c>
      <c r="O58" s="1">
        <f>攻击!P58*HP!$B58</f>
        <v>2400</v>
      </c>
      <c r="P58" s="1">
        <f>攻击!Q58*HP!$B58</f>
        <v>3000</v>
      </c>
      <c r="Q58" s="1">
        <f>攻击!R58*HP!$B58</f>
        <v>3600</v>
      </c>
      <c r="R58" s="1">
        <f>攻击!S58*HP!$B58</f>
        <v>4200</v>
      </c>
      <c r="S58" s="1">
        <f>攻击!T58*HP!$B58</f>
        <v>900</v>
      </c>
      <c r="T58" s="1">
        <f>攻击!U58*HP!$B58</f>
        <v>360</v>
      </c>
      <c r="U58" s="1">
        <f>攻击!V58*HP!$B58</f>
        <v>360</v>
      </c>
      <c r="V58" s="1">
        <f>攻击!W58*HP!$B58</f>
        <v>60</v>
      </c>
      <c r="W58" s="93">
        <f>攻击!X58</f>
        <v>0</v>
      </c>
      <c r="X58" s="93">
        <f>攻击!Y58</f>
        <v>0</v>
      </c>
      <c r="Y58" s="93">
        <f>攻击!Z58</f>
        <v>0</v>
      </c>
      <c r="Z58" s="93">
        <f>攻击!AA58</f>
        <v>0</v>
      </c>
      <c r="AA58" s="93">
        <f>攻击!AB58</f>
        <v>0</v>
      </c>
      <c r="AB58" s="1">
        <f>攻击!AC58*HP!$B58</f>
        <v>1200</v>
      </c>
      <c r="AC58" s="1">
        <f>攻击!AD58*HP!$B58</f>
        <v>1440</v>
      </c>
      <c r="AD58" s="1">
        <f>攻击!AE58*HP!$B58</f>
        <v>1800</v>
      </c>
      <c r="AE58" s="1">
        <f>攻击!AF58*HP!$B58</f>
        <v>2400</v>
      </c>
      <c r="AF58" s="1">
        <f>攻击!AG58*HP!$B58</f>
        <v>3000</v>
      </c>
      <c r="AG58" s="1">
        <f>攻击!AH58*HP!$B58</f>
        <v>600</v>
      </c>
      <c r="AH58" s="1">
        <f>攻击!AI58*HP!$B58</f>
        <v>240</v>
      </c>
      <c r="AI58" s="1">
        <f>攻击!AJ58*HP!$B58</f>
        <v>240</v>
      </c>
      <c r="AJ58" s="1">
        <f>攻击!AK58*HP!$B58</f>
        <v>36</v>
      </c>
      <c r="AK58" s="1">
        <f>攻击!AL58*HP!$B58</f>
        <v>0</v>
      </c>
      <c r="AL58" s="93">
        <f>攻击!AM58</f>
        <v>0</v>
      </c>
      <c r="AM58" s="93">
        <f>攻击!AN58</f>
        <v>0</v>
      </c>
      <c r="AN58" s="93">
        <f>攻击!AO58</f>
        <v>0</v>
      </c>
      <c r="AO58" s="93">
        <f>攻击!AP58</f>
        <v>0</v>
      </c>
      <c r="AP58" s="93">
        <f>攻击!AQ58</f>
        <v>0</v>
      </c>
      <c r="AQ58" s="1">
        <f>攻击!AR58*HP!$B58</f>
        <v>240</v>
      </c>
      <c r="AR58" s="1">
        <f t="shared" si="0"/>
        <v>4440</v>
      </c>
    </row>
    <row r="59" spans="1:44">
      <c r="A59" s="46">
        <v>57</v>
      </c>
      <c r="B59" s="1">
        <f t="shared" si="1"/>
        <v>10</v>
      </c>
      <c r="C59" s="1">
        <f>攻击!D59*HP!$B59</f>
        <v>1220</v>
      </c>
      <c r="D59" s="1">
        <f>攻击!E59*HP!$B59</f>
        <v>1464</v>
      </c>
      <c r="E59" s="1">
        <f>攻击!F59*HP!$B59</f>
        <v>1830</v>
      </c>
      <c r="F59" s="1">
        <f>攻击!G59*HP!$B59</f>
        <v>2440</v>
      </c>
      <c r="G59" s="1">
        <f>攻击!H59*HP!$B59</f>
        <v>3050</v>
      </c>
      <c r="H59" s="1">
        <f>攻击!I59*HP!$B59</f>
        <v>590</v>
      </c>
      <c r="I59" s="1">
        <f>攻击!J59*HP!$B59</f>
        <v>366</v>
      </c>
      <c r="J59" s="1">
        <f>攻击!K59*HP!$B59</f>
        <v>732</v>
      </c>
      <c r="K59" s="1">
        <f>攻击!L59*HP!$B59</f>
        <v>0</v>
      </c>
      <c r="L59" s="1">
        <f>攻击!M59*HP!$B59</f>
        <v>976.00000000000011</v>
      </c>
      <c r="M59" s="1">
        <f>攻击!N59*HP!$B59</f>
        <v>1464</v>
      </c>
      <c r="N59" s="1">
        <f>攻击!O59*HP!$B59</f>
        <v>1830</v>
      </c>
      <c r="O59" s="1">
        <f>攻击!P59*HP!$B59</f>
        <v>2440</v>
      </c>
      <c r="P59" s="1">
        <f>攻击!Q59*HP!$B59</f>
        <v>3050</v>
      </c>
      <c r="Q59" s="1">
        <f>攻击!R59*HP!$B59</f>
        <v>3660</v>
      </c>
      <c r="R59" s="1">
        <f>攻击!S59*HP!$B59</f>
        <v>4270</v>
      </c>
      <c r="S59" s="1">
        <f>攻击!T59*HP!$B59</f>
        <v>915</v>
      </c>
      <c r="T59" s="1">
        <f>攻击!U59*HP!$B59</f>
        <v>366</v>
      </c>
      <c r="U59" s="1">
        <f>攻击!V59*HP!$B59</f>
        <v>366</v>
      </c>
      <c r="V59" s="1">
        <f>攻击!W59*HP!$B59</f>
        <v>61.000000000000007</v>
      </c>
      <c r="W59" s="93">
        <f>攻击!X59</f>
        <v>0</v>
      </c>
      <c r="X59" s="93">
        <f>攻击!Y59</f>
        <v>0</v>
      </c>
      <c r="Y59" s="93">
        <f>攻击!Z59</f>
        <v>0</v>
      </c>
      <c r="Z59" s="93">
        <f>攻击!AA59</f>
        <v>0</v>
      </c>
      <c r="AA59" s="93">
        <f>攻击!AB59</f>
        <v>0</v>
      </c>
      <c r="AB59" s="1">
        <f>攻击!AC59*HP!$B59</f>
        <v>1220</v>
      </c>
      <c r="AC59" s="1">
        <f>攻击!AD59*HP!$B59</f>
        <v>1464</v>
      </c>
      <c r="AD59" s="1">
        <f>攻击!AE59*HP!$B59</f>
        <v>1830</v>
      </c>
      <c r="AE59" s="1">
        <f>攻击!AF59*HP!$B59</f>
        <v>2440</v>
      </c>
      <c r="AF59" s="1">
        <f>攻击!AG59*HP!$B59</f>
        <v>3050</v>
      </c>
      <c r="AG59" s="1">
        <f>攻击!AH59*HP!$B59</f>
        <v>610</v>
      </c>
      <c r="AH59" s="1">
        <f>攻击!AI59*HP!$B59</f>
        <v>244.00000000000003</v>
      </c>
      <c r="AI59" s="1">
        <f>攻击!AJ59*HP!$B59</f>
        <v>244.00000000000003</v>
      </c>
      <c r="AJ59" s="1">
        <f>攻击!AK59*HP!$B59</f>
        <v>36.599999999999994</v>
      </c>
      <c r="AK59" s="1">
        <f>攻击!AL59*HP!$B59</f>
        <v>0</v>
      </c>
      <c r="AL59" s="93">
        <f>攻击!AM59</f>
        <v>0</v>
      </c>
      <c r="AM59" s="93">
        <f>攻击!AN59</f>
        <v>0</v>
      </c>
      <c r="AN59" s="93">
        <f>攻击!AO59</f>
        <v>0</v>
      </c>
      <c r="AO59" s="93">
        <f>攻击!AP59</f>
        <v>0</v>
      </c>
      <c r="AP59" s="93">
        <f>攻击!AQ59</f>
        <v>0</v>
      </c>
      <c r="AQ59" s="1">
        <f>攻击!AR59*HP!$B59</f>
        <v>244.00000000000003</v>
      </c>
      <c r="AR59" s="1">
        <f t="shared" si="0"/>
        <v>4514</v>
      </c>
    </row>
    <row r="60" spans="1:44">
      <c r="A60" s="46">
        <v>58</v>
      </c>
      <c r="B60" s="1">
        <f t="shared" si="1"/>
        <v>10</v>
      </c>
      <c r="C60" s="1">
        <f>攻击!D60*HP!$B60</f>
        <v>1240</v>
      </c>
      <c r="D60" s="1">
        <f>攻击!E60*HP!$B60</f>
        <v>1487.9999999999998</v>
      </c>
      <c r="E60" s="1">
        <f>攻击!F60*HP!$B60</f>
        <v>1860</v>
      </c>
      <c r="F60" s="1">
        <f>攻击!G60*HP!$B60</f>
        <v>2480</v>
      </c>
      <c r="G60" s="1">
        <f>攻击!H60*HP!$B60</f>
        <v>3100</v>
      </c>
      <c r="H60" s="1">
        <f>攻击!I60*HP!$B60</f>
        <v>590</v>
      </c>
      <c r="I60" s="1">
        <f>攻击!J60*HP!$B60</f>
        <v>371.99999999999994</v>
      </c>
      <c r="J60" s="1">
        <f>攻击!K60*HP!$B60</f>
        <v>743.99999999999989</v>
      </c>
      <c r="K60" s="1">
        <f>攻击!L60*HP!$B60</f>
        <v>0</v>
      </c>
      <c r="L60" s="1">
        <f>攻击!M60*HP!$B60</f>
        <v>992</v>
      </c>
      <c r="M60" s="1">
        <f>攻击!N60*HP!$B60</f>
        <v>1487.9999999999998</v>
      </c>
      <c r="N60" s="1">
        <f>攻击!O60*HP!$B60</f>
        <v>1860</v>
      </c>
      <c r="O60" s="1">
        <f>攻击!P60*HP!$B60</f>
        <v>2480</v>
      </c>
      <c r="P60" s="1">
        <f>攻击!Q60*HP!$B60</f>
        <v>3100</v>
      </c>
      <c r="Q60" s="1">
        <f>攻击!R60*HP!$B60</f>
        <v>3720</v>
      </c>
      <c r="R60" s="1">
        <f>攻击!S60*HP!$B60</f>
        <v>4340</v>
      </c>
      <c r="S60" s="1">
        <f>攻击!T60*HP!$B60</f>
        <v>930</v>
      </c>
      <c r="T60" s="1">
        <f>攻击!U60*HP!$B60</f>
        <v>371.99999999999994</v>
      </c>
      <c r="U60" s="1">
        <f>攻击!V60*HP!$B60</f>
        <v>371.99999999999994</v>
      </c>
      <c r="V60" s="1">
        <f>攻击!W60*HP!$B60</f>
        <v>62</v>
      </c>
      <c r="W60" s="93">
        <f>攻击!X60</f>
        <v>0</v>
      </c>
      <c r="X60" s="93">
        <f>攻击!Y60</f>
        <v>0</v>
      </c>
      <c r="Y60" s="93">
        <f>攻击!Z60</f>
        <v>0</v>
      </c>
      <c r="Z60" s="93">
        <f>攻击!AA60</f>
        <v>0</v>
      </c>
      <c r="AA60" s="93">
        <f>攻击!AB60</f>
        <v>0</v>
      </c>
      <c r="AB60" s="1">
        <f>攻击!AC60*HP!$B60</f>
        <v>1240</v>
      </c>
      <c r="AC60" s="1">
        <f>攻击!AD60*HP!$B60</f>
        <v>1487.9999999999998</v>
      </c>
      <c r="AD60" s="1">
        <f>攻击!AE60*HP!$B60</f>
        <v>1860</v>
      </c>
      <c r="AE60" s="1">
        <f>攻击!AF60*HP!$B60</f>
        <v>2480</v>
      </c>
      <c r="AF60" s="1">
        <f>攻击!AG60*HP!$B60</f>
        <v>3100</v>
      </c>
      <c r="AG60" s="1">
        <f>攻击!AH60*HP!$B60</f>
        <v>620</v>
      </c>
      <c r="AH60" s="1">
        <f>攻击!AI60*HP!$B60</f>
        <v>248</v>
      </c>
      <c r="AI60" s="1">
        <f>攻击!AJ60*HP!$B60</f>
        <v>248</v>
      </c>
      <c r="AJ60" s="1">
        <f>攻击!AK60*HP!$B60</f>
        <v>37.199999999999996</v>
      </c>
      <c r="AK60" s="1">
        <f>攻击!AL60*HP!$B60</f>
        <v>0</v>
      </c>
      <c r="AL60" s="93">
        <f>攻击!AM60</f>
        <v>0</v>
      </c>
      <c r="AM60" s="93">
        <f>攻击!AN60</f>
        <v>0</v>
      </c>
      <c r="AN60" s="93">
        <f>攻击!AO60</f>
        <v>0</v>
      </c>
      <c r="AO60" s="93">
        <f>攻击!AP60</f>
        <v>0</v>
      </c>
      <c r="AP60" s="93">
        <f>攻击!AQ60</f>
        <v>0</v>
      </c>
      <c r="AQ60" s="1">
        <f>攻击!AR60*HP!$B60</f>
        <v>248</v>
      </c>
      <c r="AR60" s="1">
        <f t="shared" si="0"/>
        <v>4588</v>
      </c>
    </row>
    <row r="61" spans="1:44">
      <c r="A61" s="46">
        <v>59</v>
      </c>
      <c r="B61" s="1">
        <f t="shared" si="1"/>
        <v>10</v>
      </c>
      <c r="C61" s="1">
        <f>攻击!D61*HP!$B61</f>
        <v>1260</v>
      </c>
      <c r="D61" s="1">
        <f>攻击!E61*HP!$B61</f>
        <v>1512</v>
      </c>
      <c r="E61" s="1">
        <f>攻击!F61*HP!$B61</f>
        <v>1890</v>
      </c>
      <c r="F61" s="1">
        <f>攻击!G61*HP!$B61</f>
        <v>2520</v>
      </c>
      <c r="G61" s="1">
        <f>攻击!H61*HP!$B61</f>
        <v>3150</v>
      </c>
      <c r="H61" s="1">
        <f>攻击!I61*HP!$B61</f>
        <v>590</v>
      </c>
      <c r="I61" s="1">
        <f>攻击!J61*HP!$B61</f>
        <v>378</v>
      </c>
      <c r="J61" s="1">
        <f>攻击!K61*HP!$B61</f>
        <v>756</v>
      </c>
      <c r="K61" s="1">
        <f>攻击!L61*HP!$B61</f>
        <v>0</v>
      </c>
      <c r="L61" s="1">
        <f>攻击!M61*HP!$B61</f>
        <v>1008.0000000000001</v>
      </c>
      <c r="M61" s="1">
        <f>攻击!N61*HP!$B61</f>
        <v>1512</v>
      </c>
      <c r="N61" s="1">
        <f>攻击!O61*HP!$B61</f>
        <v>1890</v>
      </c>
      <c r="O61" s="1">
        <f>攻击!P61*HP!$B61</f>
        <v>2520</v>
      </c>
      <c r="P61" s="1">
        <f>攻击!Q61*HP!$B61</f>
        <v>3150</v>
      </c>
      <c r="Q61" s="1">
        <f>攻击!R61*HP!$B61</f>
        <v>3780</v>
      </c>
      <c r="R61" s="1">
        <f>攻击!S61*HP!$B61</f>
        <v>4410</v>
      </c>
      <c r="S61" s="1">
        <f>攻击!T61*HP!$B61</f>
        <v>945</v>
      </c>
      <c r="T61" s="1">
        <f>攻击!U61*HP!$B61</f>
        <v>378</v>
      </c>
      <c r="U61" s="1">
        <f>攻击!V61*HP!$B61</f>
        <v>378</v>
      </c>
      <c r="V61" s="1">
        <f>攻击!W61*HP!$B61</f>
        <v>63.000000000000007</v>
      </c>
      <c r="W61" s="93">
        <f>攻击!X61</f>
        <v>0</v>
      </c>
      <c r="X61" s="93">
        <f>攻击!Y61</f>
        <v>0</v>
      </c>
      <c r="Y61" s="93">
        <f>攻击!Z61</f>
        <v>0</v>
      </c>
      <c r="Z61" s="93">
        <f>攻击!AA61</f>
        <v>0</v>
      </c>
      <c r="AA61" s="93">
        <f>攻击!AB61</f>
        <v>0</v>
      </c>
      <c r="AB61" s="1">
        <f>攻击!AC61*HP!$B61</f>
        <v>1260</v>
      </c>
      <c r="AC61" s="1">
        <f>攻击!AD61*HP!$B61</f>
        <v>1512</v>
      </c>
      <c r="AD61" s="1">
        <f>攻击!AE61*HP!$B61</f>
        <v>1890</v>
      </c>
      <c r="AE61" s="1">
        <f>攻击!AF61*HP!$B61</f>
        <v>2520</v>
      </c>
      <c r="AF61" s="1">
        <f>攻击!AG61*HP!$B61</f>
        <v>3150</v>
      </c>
      <c r="AG61" s="1">
        <f>攻击!AH61*HP!$B61</f>
        <v>630</v>
      </c>
      <c r="AH61" s="1">
        <f>攻击!AI61*HP!$B61</f>
        <v>252.00000000000003</v>
      </c>
      <c r="AI61" s="1">
        <f>攻击!AJ61*HP!$B61</f>
        <v>252.00000000000003</v>
      </c>
      <c r="AJ61" s="1">
        <f>攻击!AK61*HP!$B61</f>
        <v>37.799999999999997</v>
      </c>
      <c r="AK61" s="1">
        <f>攻击!AL61*HP!$B61</f>
        <v>0</v>
      </c>
      <c r="AL61" s="93">
        <f>攻击!AM61</f>
        <v>0</v>
      </c>
      <c r="AM61" s="93">
        <f>攻击!AN61</f>
        <v>0</v>
      </c>
      <c r="AN61" s="93">
        <f>攻击!AO61</f>
        <v>0</v>
      </c>
      <c r="AO61" s="93">
        <f>攻击!AP61</f>
        <v>0</v>
      </c>
      <c r="AP61" s="93">
        <f>攻击!AQ61</f>
        <v>0</v>
      </c>
      <c r="AQ61" s="1">
        <f>攻击!AR61*HP!$B61</f>
        <v>252.00000000000003</v>
      </c>
      <c r="AR61" s="1">
        <f t="shared" si="0"/>
        <v>4662</v>
      </c>
    </row>
    <row r="62" spans="1:44">
      <c r="A62" s="46">
        <v>60</v>
      </c>
      <c r="B62" s="1">
        <f t="shared" si="1"/>
        <v>10</v>
      </c>
      <c r="C62" s="1">
        <f>攻击!D62*HP!$B62</f>
        <v>1280</v>
      </c>
      <c r="D62" s="1">
        <f>攻击!E62*HP!$B62</f>
        <v>1536</v>
      </c>
      <c r="E62" s="1">
        <f>攻击!F62*HP!$B62</f>
        <v>1920</v>
      </c>
      <c r="F62" s="1">
        <f>攻击!G62*HP!$B62</f>
        <v>2560</v>
      </c>
      <c r="G62" s="1">
        <f>攻击!H62*HP!$B62</f>
        <v>3200</v>
      </c>
      <c r="H62" s="1">
        <f>攻击!I62*HP!$B62</f>
        <v>640</v>
      </c>
      <c r="I62" s="1">
        <f>攻击!J62*HP!$B62</f>
        <v>384</v>
      </c>
      <c r="J62" s="1">
        <f>攻击!K62*HP!$B62</f>
        <v>768</v>
      </c>
      <c r="K62" s="1">
        <f>攻击!L62*HP!$B62</f>
        <v>0</v>
      </c>
      <c r="L62" s="1">
        <f>攻击!M62*HP!$B62</f>
        <v>1024</v>
      </c>
      <c r="M62" s="1">
        <f>攻击!N62*HP!$B62</f>
        <v>1536</v>
      </c>
      <c r="N62" s="1">
        <f>攻击!O62*HP!$B62</f>
        <v>1920</v>
      </c>
      <c r="O62" s="1">
        <f>攻击!P62*HP!$B62</f>
        <v>2560</v>
      </c>
      <c r="P62" s="1">
        <f>攻击!Q62*HP!$B62</f>
        <v>3200</v>
      </c>
      <c r="Q62" s="1">
        <f>攻击!R62*HP!$B62</f>
        <v>3840</v>
      </c>
      <c r="R62" s="1">
        <f>攻击!S62*HP!$B62</f>
        <v>4480</v>
      </c>
      <c r="S62" s="1">
        <f>攻击!T62*HP!$B62</f>
        <v>960</v>
      </c>
      <c r="T62" s="1">
        <f>攻击!U62*HP!$B62</f>
        <v>384</v>
      </c>
      <c r="U62" s="1">
        <f>攻击!V62*HP!$B62</f>
        <v>384</v>
      </c>
      <c r="V62" s="1">
        <f>攻击!W62*HP!$B62</f>
        <v>64</v>
      </c>
      <c r="W62" s="93">
        <f>攻击!X62</f>
        <v>0</v>
      </c>
      <c r="X62" s="93">
        <f>攻击!Y62</f>
        <v>0</v>
      </c>
      <c r="Y62" s="93">
        <f>攻击!Z62</f>
        <v>0</v>
      </c>
      <c r="Z62" s="93">
        <f>攻击!AA62</f>
        <v>0</v>
      </c>
      <c r="AA62" s="93">
        <f>攻击!AB62</f>
        <v>0</v>
      </c>
      <c r="AB62" s="1">
        <f>攻击!AC62*HP!$B62</f>
        <v>1280</v>
      </c>
      <c r="AC62" s="1">
        <f>攻击!AD62*HP!$B62</f>
        <v>1536</v>
      </c>
      <c r="AD62" s="1">
        <f>攻击!AE62*HP!$B62</f>
        <v>1920</v>
      </c>
      <c r="AE62" s="1">
        <f>攻击!AF62*HP!$B62</f>
        <v>2560</v>
      </c>
      <c r="AF62" s="1">
        <f>攻击!AG62*HP!$B62</f>
        <v>3200</v>
      </c>
      <c r="AG62" s="1">
        <f>攻击!AH62*HP!$B62</f>
        <v>640</v>
      </c>
      <c r="AH62" s="1">
        <f>攻击!AI62*HP!$B62</f>
        <v>256</v>
      </c>
      <c r="AI62" s="1">
        <f>攻击!AJ62*HP!$B62</f>
        <v>256</v>
      </c>
      <c r="AJ62" s="1">
        <f>攻击!AK62*HP!$B62</f>
        <v>38.4</v>
      </c>
      <c r="AK62" s="1">
        <f>攻击!AL62*HP!$B62</f>
        <v>0</v>
      </c>
      <c r="AL62" s="93">
        <f>攻击!AM62</f>
        <v>0</v>
      </c>
      <c r="AM62" s="93">
        <f>攻击!AN62</f>
        <v>0</v>
      </c>
      <c r="AN62" s="93">
        <f>攻击!AO62</f>
        <v>0</v>
      </c>
      <c r="AO62" s="93">
        <f>攻击!AP62</f>
        <v>0</v>
      </c>
      <c r="AP62" s="93">
        <f>攻击!AQ62</f>
        <v>0</v>
      </c>
      <c r="AQ62" s="1">
        <f>攻击!AR62*HP!$B62</f>
        <v>256</v>
      </c>
      <c r="AR62" s="1">
        <f t="shared" si="0"/>
        <v>4736</v>
      </c>
    </row>
    <row r="63" spans="1:44">
      <c r="A63" s="46">
        <v>61</v>
      </c>
      <c r="B63" s="1">
        <f t="shared" si="1"/>
        <v>10</v>
      </c>
      <c r="C63" s="1">
        <f>攻击!D63*HP!$B63</f>
        <v>1300</v>
      </c>
      <c r="D63" s="1">
        <f>攻击!E63*HP!$B63</f>
        <v>1560</v>
      </c>
      <c r="E63" s="1">
        <f>攻击!F63*HP!$B63</f>
        <v>1950</v>
      </c>
      <c r="F63" s="1">
        <f>攻击!G63*HP!$B63</f>
        <v>2600</v>
      </c>
      <c r="G63" s="1">
        <f>攻击!H63*HP!$B63</f>
        <v>3250</v>
      </c>
      <c r="H63" s="1">
        <f>攻击!I63*HP!$B63</f>
        <v>640</v>
      </c>
      <c r="I63" s="1">
        <f>攻击!J63*HP!$B63</f>
        <v>390</v>
      </c>
      <c r="J63" s="1">
        <f>攻击!K63*HP!$B63</f>
        <v>780</v>
      </c>
      <c r="K63" s="1">
        <f>攻击!L63*HP!$B63</f>
        <v>0</v>
      </c>
      <c r="L63" s="1">
        <f>攻击!M63*HP!$B63</f>
        <v>1040</v>
      </c>
      <c r="M63" s="1">
        <f>攻击!N63*HP!$B63</f>
        <v>1560</v>
      </c>
      <c r="N63" s="1">
        <f>攻击!O63*HP!$B63</f>
        <v>1950</v>
      </c>
      <c r="O63" s="1">
        <f>攻击!P63*HP!$B63</f>
        <v>2600</v>
      </c>
      <c r="P63" s="1">
        <f>攻击!Q63*HP!$B63</f>
        <v>3250</v>
      </c>
      <c r="Q63" s="1">
        <f>攻击!R63*HP!$B63</f>
        <v>3900</v>
      </c>
      <c r="R63" s="1">
        <f>攻击!S63*HP!$B63</f>
        <v>4550</v>
      </c>
      <c r="S63" s="1">
        <f>攻击!T63*HP!$B63</f>
        <v>975</v>
      </c>
      <c r="T63" s="1">
        <f>攻击!U63*HP!$B63</f>
        <v>390</v>
      </c>
      <c r="U63" s="1">
        <f>攻击!V63*HP!$B63</f>
        <v>390</v>
      </c>
      <c r="V63" s="1">
        <f>攻击!W63*HP!$B63</f>
        <v>65</v>
      </c>
      <c r="W63" s="93">
        <f>攻击!X63</f>
        <v>0</v>
      </c>
      <c r="X63" s="93">
        <f>攻击!Y63</f>
        <v>0</v>
      </c>
      <c r="Y63" s="93">
        <f>攻击!Z63</f>
        <v>0</v>
      </c>
      <c r="Z63" s="93">
        <f>攻击!AA63</f>
        <v>0</v>
      </c>
      <c r="AA63" s="93">
        <f>攻击!AB63</f>
        <v>0</v>
      </c>
      <c r="AB63" s="1">
        <f>攻击!AC63*HP!$B63</f>
        <v>1300</v>
      </c>
      <c r="AC63" s="1">
        <f>攻击!AD63*HP!$B63</f>
        <v>1560</v>
      </c>
      <c r="AD63" s="1">
        <f>攻击!AE63*HP!$B63</f>
        <v>1950</v>
      </c>
      <c r="AE63" s="1">
        <f>攻击!AF63*HP!$B63</f>
        <v>2600</v>
      </c>
      <c r="AF63" s="1">
        <f>攻击!AG63*HP!$B63</f>
        <v>3250</v>
      </c>
      <c r="AG63" s="1">
        <f>攻击!AH63*HP!$B63</f>
        <v>650</v>
      </c>
      <c r="AH63" s="1">
        <f>攻击!AI63*HP!$B63</f>
        <v>260</v>
      </c>
      <c r="AI63" s="1">
        <f>攻击!AJ63*HP!$B63</f>
        <v>260</v>
      </c>
      <c r="AJ63" s="1">
        <f>攻击!AK63*HP!$B63</f>
        <v>39</v>
      </c>
      <c r="AK63" s="1">
        <f>攻击!AL63*HP!$B63</f>
        <v>0</v>
      </c>
      <c r="AL63" s="93">
        <f>攻击!AM63</f>
        <v>0</v>
      </c>
      <c r="AM63" s="93">
        <f>攻击!AN63</f>
        <v>0</v>
      </c>
      <c r="AN63" s="93">
        <f>攻击!AO63</f>
        <v>0</v>
      </c>
      <c r="AO63" s="93">
        <f>攻击!AP63</f>
        <v>0</v>
      </c>
      <c r="AP63" s="93">
        <f>攻击!AQ63</f>
        <v>0</v>
      </c>
      <c r="AQ63" s="1">
        <f>攻击!AR63*HP!$B63</f>
        <v>260</v>
      </c>
      <c r="AR63" s="1">
        <f t="shared" si="0"/>
        <v>4810</v>
      </c>
    </row>
    <row r="64" spans="1:44">
      <c r="A64" s="46">
        <v>62</v>
      </c>
      <c r="B64" s="1">
        <f t="shared" si="1"/>
        <v>10</v>
      </c>
      <c r="C64" s="1">
        <f>攻击!D64*HP!$B64</f>
        <v>1320</v>
      </c>
      <c r="D64" s="1">
        <f>攻击!E64*HP!$B64</f>
        <v>1584</v>
      </c>
      <c r="E64" s="1">
        <f>攻击!F64*HP!$B64</f>
        <v>1980</v>
      </c>
      <c r="F64" s="1">
        <f>攻击!G64*HP!$B64</f>
        <v>2640</v>
      </c>
      <c r="G64" s="1">
        <f>攻击!H64*HP!$B64</f>
        <v>3300</v>
      </c>
      <c r="H64" s="1">
        <f>攻击!I64*HP!$B64</f>
        <v>640</v>
      </c>
      <c r="I64" s="1">
        <f>攻击!J64*HP!$B64</f>
        <v>396</v>
      </c>
      <c r="J64" s="1">
        <f>攻击!K64*HP!$B64</f>
        <v>792</v>
      </c>
      <c r="K64" s="1">
        <f>攻击!L64*HP!$B64</f>
        <v>0</v>
      </c>
      <c r="L64" s="1">
        <f>攻击!M64*HP!$B64</f>
        <v>1056</v>
      </c>
      <c r="M64" s="1">
        <f>攻击!N64*HP!$B64</f>
        <v>1584</v>
      </c>
      <c r="N64" s="1">
        <f>攻击!O64*HP!$B64</f>
        <v>1980</v>
      </c>
      <c r="O64" s="1">
        <f>攻击!P64*HP!$B64</f>
        <v>2640</v>
      </c>
      <c r="P64" s="1">
        <f>攻击!Q64*HP!$B64</f>
        <v>3300</v>
      </c>
      <c r="Q64" s="1">
        <f>攻击!R64*HP!$B64</f>
        <v>3960</v>
      </c>
      <c r="R64" s="1">
        <f>攻击!S64*HP!$B64</f>
        <v>4620</v>
      </c>
      <c r="S64" s="1">
        <f>攻击!T64*HP!$B64</f>
        <v>990</v>
      </c>
      <c r="T64" s="1">
        <f>攻击!U64*HP!$B64</f>
        <v>396</v>
      </c>
      <c r="U64" s="1">
        <f>攻击!V64*HP!$B64</f>
        <v>396</v>
      </c>
      <c r="V64" s="1">
        <f>攻击!W64*HP!$B64</f>
        <v>66</v>
      </c>
      <c r="W64" s="93">
        <f>攻击!X64</f>
        <v>0</v>
      </c>
      <c r="X64" s="93">
        <f>攻击!Y64</f>
        <v>0</v>
      </c>
      <c r="Y64" s="93">
        <f>攻击!Z64</f>
        <v>0</v>
      </c>
      <c r="Z64" s="93">
        <f>攻击!AA64</f>
        <v>0</v>
      </c>
      <c r="AA64" s="93">
        <f>攻击!AB64</f>
        <v>0</v>
      </c>
      <c r="AB64" s="1">
        <f>攻击!AC64*HP!$B64</f>
        <v>1320</v>
      </c>
      <c r="AC64" s="1">
        <f>攻击!AD64*HP!$B64</f>
        <v>1584</v>
      </c>
      <c r="AD64" s="1">
        <f>攻击!AE64*HP!$B64</f>
        <v>1980</v>
      </c>
      <c r="AE64" s="1">
        <f>攻击!AF64*HP!$B64</f>
        <v>2640</v>
      </c>
      <c r="AF64" s="1">
        <f>攻击!AG64*HP!$B64</f>
        <v>3300</v>
      </c>
      <c r="AG64" s="1">
        <f>攻击!AH64*HP!$B64</f>
        <v>660</v>
      </c>
      <c r="AH64" s="1">
        <f>攻击!AI64*HP!$B64</f>
        <v>264</v>
      </c>
      <c r="AI64" s="1">
        <f>攻击!AJ64*HP!$B64</f>
        <v>264</v>
      </c>
      <c r="AJ64" s="1">
        <f>攻击!AK64*HP!$B64</f>
        <v>39.6</v>
      </c>
      <c r="AK64" s="1">
        <f>攻击!AL64*HP!$B64</f>
        <v>0</v>
      </c>
      <c r="AL64" s="93">
        <f>攻击!AM64</f>
        <v>0</v>
      </c>
      <c r="AM64" s="93">
        <f>攻击!AN64</f>
        <v>0</v>
      </c>
      <c r="AN64" s="93">
        <f>攻击!AO64</f>
        <v>0</v>
      </c>
      <c r="AO64" s="93">
        <f>攻击!AP64</f>
        <v>0</v>
      </c>
      <c r="AP64" s="93">
        <f>攻击!AQ64</f>
        <v>0</v>
      </c>
      <c r="AQ64" s="1">
        <f>攻击!AR64*HP!$B64</f>
        <v>264</v>
      </c>
      <c r="AR64" s="1">
        <f t="shared" si="0"/>
        <v>4884</v>
      </c>
    </row>
    <row r="65" spans="1:44">
      <c r="A65" s="46">
        <v>63</v>
      </c>
      <c r="B65" s="1">
        <f t="shared" si="1"/>
        <v>10</v>
      </c>
      <c r="C65" s="1">
        <f>攻击!D65*HP!$B65</f>
        <v>1340</v>
      </c>
      <c r="D65" s="1">
        <f>攻击!E65*HP!$B65</f>
        <v>1607.9999999999998</v>
      </c>
      <c r="E65" s="1">
        <f>攻击!F65*HP!$B65</f>
        <v>2010</v>
      </c>
      <c r="F65" s="1">
        <f>攻击!G65*HP!$B65</f>
        <v>2680</v>
      </c>
      <c r="G65" s="1">
        <f>攻击!H65*HP!$B65</f>
        <v>3350</v>
      </c>
      <c r="H65" s="1">
        <f>攻击!I65*HP!$B65</f>
        <v>640</v>
      </c>
      <c r="I65" s="1">
        <f>攻击!J65*HP!$B65</f>
        <v>401.99999999999994</v>
      </c>
      <c r="J65" s="1">
        <f>攻击!K65*HP!$B65</f>
        <v>803.99999999999989</v>
      </c>
      <c r="K65" s="1">
        <f>攻击!L65*HP!$B65</f>
        <v>0</v>
      </c>
      <c r="L65" s="1">
        <f>攻击!M65*HP!$B65</f>
        <v>1072</v>
      </c>
      <c r="M65" s="1">
        <f>攻击!N65*HP!$B65</f>
        <v>1607.9999999999998</v>
      </c>
      <c r="N65" s="1">
        <f>攻击!O65*HP!$B65</f>
        <v>2010</v>
      </c>
      <c r="O65" s="1">
        <f>攻击!P65*HP!$B65</f>
        <v>2680</v>
      </c>
      <c r="P65" s="1">
        <f>攻击!Q65*HP!$B65</f>
        <v>3350</v>
      </c>
      <c r="Q65" s="1">
        <f>攻击!R65*HP!$B65</f>
        <v>4020</v>
      </c>
      <c r="R65" s="1">
        <f>攻击!S65*HP!$B65</f>
        <v>4690</v>
      </c>
      <c r="S65" s="1">
        <f>攻击!T65*HP!$B65</f>
        <v>1005</v>
      </c>
      <c r="T65" s="1">
        <f>攻击!U65*HP!$B65</f>
        <v>401.99999999999994</v>
      </c>
      <c r="U65" s="1">
        <f>攻击!V65*HP!$B65</f>
        <v>401.99999999999994</v>
      </c>
      <c r="V65" s="1">
        <f>攻击!W65*HP!$B65</f>
        <v>67</v>
      </c>
      <c r="W65" s="93">
        <f>攻击!X65</f>
        <v>0</v>
      </c>
      <c r="X65" s="93">
        <f>攻击!Y65</f>
        <v>0</v>
      </c>
      <c r="Y65" s="93">
        <f>攻击!Z65</f>
        <v>0</v>
      </c>
      <c r="Z65" s="93">
        <f>攻击!AA65</f>
        <v>0</v>
      </c>
      <c r="AA65" s="93">
        <f>攻击!AB65</f>
        <v>0</v>
      </c>
      <c r="AB65" s="1">
        <f>攻击!AC65*HP!$B65</f>
        <v>1340</v>
      </c>
      <c r="AC65" s="1">
        <f>攻击!AD65*HP!$B65</f>
        <v>1607.9999999999998</v>
      </c>
      <c r="AD65" s="1">
        <f>攻击!AE65*HP!$B65</f>
        <v>2010</v>
      </c>
      <c r="AE65" s="1">
        <f>攻击!AF65*HP!$B65</f>
        <v>2680</v>
      </c>
      <c r="AF65" s="1">
        <f>攻击!AG65*HP!$B65</f>
        <v>3350</v>
      </c>
      <c r="AG65" s="1">
        <f>攻击!AH65*HP!$B65</f>
        <v>670</v>
      </c>
      <c r="AH65" s="1">
        <f>攻击!AI65*HP!$B65</f>
        <v>268</v>
      </c>
      <c r="AI65" s="1">
        <f>攻击!AJ65*HP!$B65</f>
        <v>268</v>
      </c>
      <c r="AJ65" s="1">
        <f>攻击!AK65*HP!$B65</f>
        <v>40.199999999999996</v>
      </c>
      <c r="AK65" s="1">
        <f>攻击!AL65*HP!$B65</f>
        <v>0</v>
      </c>
      <c r="AL65" s="93">
        <f>攻击!AM65</f>
        <v>0</v>
      </c>
      <c r="AM65" s="93">
        <f>攻击!AN65</f>
        <v>0</v>
      </c>
      <c r="AN65" s="93">
        <f>攻击!AO65</f>
        <v>0</v>
      </c>
      <c r="AO65" s="93">
        <f>攻击!AP65</f>
        <v>0</v>
      </c>
      <c r="AP65" s="93">
        <f>攻击!AQ65</f>
        <v>0</v>
      </c>
      <c r="AQ65" s="1">
        <f>攻击!AR65*HP!$B65</f>
        <v>268</v>
      </c>
      <c r="AR65" s="1">
        <f t="shared" si="0"/>
        <v>4958</v>
      </c>
    </row>
    <row r="66" spans="1:44">
      <c r="A66" s="46">
        <v>64</v>
      </c>
      <c r="B66" s="1">
        <f t="shared" si="1"/>
        <v>10</v>
      </c>
      <c r="C66" s="1">
        <f>攻击!D66*HP!$B66</f>
        <v>1360</v>
      </c>
      <c r="D66" s="1">
        <f>攻击!E66*HP!$B66</f>
        <v>1632</v>
      </c>
      <c r="E66" s="1">
        <f>攻击!F66*HP!$B66</f>
        <v>2040</v>
      </c>
      <c r="F66" s="1">
        <f>攻击!G66*HP!$B66</f>
        <v>2720</v>
      </c>
      <c r="G66" s="1">
        <f>攻击!H66*HP!$B66</f>
        <v>3400</v>
      </c>
      <c r="H66" s="1">
        <f>攻击!I66*HP!$B66</f>
        <v>640</v>
      </c>
      <c r="I66" s="1">
        <f>攻击!J66*HP!$B66</f>
        <v>408</v>
      </c>
      <c r="J66" s="1">
        <f>攻击!K66*HP!$B66</f>
        <v>816</v>
      </c>
      <c r="K66" s="1">
        <f>攻击!L66*HP!$B66</f>
        <v>0</v>
      </c>
      <c r="L66" s="1">
        <f>攻击!M66*HP!$B66</f>
        <v>1088</v>
      </c>
      <c r="M66" s="1">
        <f>攻击!N66*HP!$B66</f>
        <v>1632</v>
      </c>
      <c r="N66" s="1">
        <f>攻击!O66*HP!$B66</f>
        <v>2040</v>
      </c>
      <c r="O66" s="1">
        <f>攻击!P66*HP!$B66</f>
        <v>2720</v>
      </c>
      <c r="P66" s="1">
        <f>攻击!Q66*HP!$B66</f>
        <v>3400</v>
      </c>
      <c r="Q66" s="1">
        <f>攻击!R66*HP!$B66</f>
        <v>4080</v>
      </c>
      <c r="R66" s="1">
        <f>攻击!S66*HP!$B66</f>
        <v>4760</v>
      </c>
      <c r="S66" s="1">
        <f>攻击!T66*HP!$B66</f>
        <v>1020</v>
      </c>
      <c r="T66" s="1">
        <f>攻击!U66*HP!$B66</f>
        <v>408</v>
      </c>
      <c r="U66" s="1">
        <f>攻击!V66*HP!$B66</f>
        <v>408</v>
      </c>
      <c r="V66" s="1">
        <f>攻击!W66*HP!$B66</f>
        <v>68</v>
      </c>
      <c r="W66" s="93">
        <f>攻击!X66</f>
        <v>0</v>
      </c>
      <c r="X66" s="93">
        <f>攻击!Y66</f>
        <v>0</v>
      </c>
      <c r="Y66" s="93">
        <f>攻击!Z66</f>
        <v>0</v>
      </c>
      <c r="Z66" s="93">
        <f>攻击!AA66</f>
        <v>0</v>
      </c>
      <c r="AA66" s="93">
        <f>攻击!AB66</f>
        <v>0</v>
      </c>
      <c r="AB66" s="1">
        <f>攻击!AC66*HP!$B66</f>
        <v>1360</v>
      </c>
      <c r="AC66" s="1">
        <f>攻击!AD66*HP!$B66</f>
        <v>1632</v>
      </c>
      <c r="AD66" s="1">
        <f>攻击!AE66*HP!$B66</f>
        <v>2040</v>
      </c>
      <c r="AE66" s="1">
        <f>攻击!AF66*HP!$B66</f>
        <v>2720</v>
      </c>
      <c r="AF66" s="1">
        <f>攻击!AG66*HP!$B66</f>
        <v>3400</v>
      </c>
      <c r="AG66" s="1">
        <f>攻击!AH66*HP!$B66</f>
        <v>680</v>
      </c>
      <c r="AH66" s="1">
        <f>攻击!AI66*HP!$B66</f>
        <v>272</v>
      </c>
      <c r="AI66" s="1">
        <f>攻击!AJ66*HP!$B66</f>
        <v>272</v>
      </c>
      <c r="AJ66" s="1">
        <f>攻击!AK66*HP!$B66</f>
        <v>40.799999999999997</v>
      </c>
      <c r="AK66" s="1">
        <f>攻击!AL66*HP!$B66</f>
        <v>0</v>
      </c>
      <c r="AL66" s="93">
        <f>攻击!AM66</f>
        <v>0</v>
      </c>
      <c r="AM66" s="93">
        <f>攻击!AN66</f>
        <v>0</v>
      </c>
      <c r="AN66" s="93">
        <f>攻击!AO66</f>
        <v>0</v>
      </c>
      <c r="AO66" s="93">
        <f>攻击!AP66</f>
        <v>0</v>
      </c>
      <c r="AP66" s="93">
        <f>攻击!AQ66</f>
        <v>0</v>
      </c>
      <c r="AQ66" s="1">
        <f>攻击!AR66*HP!$B66</f>
        <v>272</v>
      </c>
      <c r="AR66" s="1">
        <f t="shared" si="0"/>
        <v>5032</v>
      </c>
    </row>
    <row r="67" spans="1:44">
      <c r="A67" s="46">
        <v>65</v>
      </c>
      <c r="B67" s="1">
        <f t="shared" si="1"/>
        <v>10</v>
      </c>
      <c r="C67" s="1">
        <f>攻击!D67*HP!$B67</f>
        <v>1380</v>
      </c>
      <c r="D67" s="1">
        <f>攻击!E67*HP!$B67</f>
        <v>1656</v>
      </c>
      <c r="E67" s="1">
        <f>攻击!F67*HP!$B67</f>
        <v>2070</v>
      </c>
      <c r="F67" s="1">
        <f>攻击!G67*HP!$B67</f>
        <v>2760</v>
      </c>
      <c r="G67" s="1">
        <f>攻击!H67*HP!$B67</f>
        <v>3450</v>
      </c>
      <c r="H67" s="1">
        <f>攻击!I67*HP!$B67</f>
        <v>690</v>
      </c>
      <c r="I67" s="1">
        <f>攻击!J67*HP!$B67</f>
        <v>414</v>
      </c>
      <c r="J67" s="1">
        <f>攻击!K67*HP!$B67</f>
        <v>828</v>
      </c>
      <c r="K67" s="1">
        <f>攻击!L67*HP!$B67</f>
        <v>0</v>
      </c>
      <c r="L67" s="1">
        <f>攻击!M67*HP!$B67</f>
        <v>1104</v>
      </c>
      <c r="M67" s="1">
        <f>攻击!N67*HP!$B67</f>
        <v>1656</v>
      </c>
      <c r="N67" s="1">
        <f>攻击!O67*HP!$B67</f>
        <v>2070</v>
      </c>
      <c r="O67" s="1">
        <f>攻击!P67*HP!$B67</f>
        <v>2760</v>
      </c>
      <c r="P67" s="1">
        <f>攻击!Q67*HP!$B67</f>
        <v>3450</v>
      </c>
      <c r="Q67" s="1">
        <f>攻击!R67*HP!$B67</f>
        <v>4140</v>
      </c>
      <c r="R67" s="1">
        <f>攻击!S67*HP!$B67</f>
        <v>4830</v>
      </c>
      <c r="S67" s="1">
        <f>攻击!T67*HP!$B67</f>
        <v>1035</v>
      </c>
      <c r="T67" s="1">
        <f>攻击!U67*HP!$B67</f>
        <v>414</v>
      </c>
      <c r="U67" s="1">
        <f>攻击!V67*HP!$B67</f>
        <v>414</v>
      </c>
      <c r="V67" s="1">
        <f>攻击!W67*HP!$B67</f>
        <v>69</v>
      </c>
      <c r="W67" s="93">
        <f>攻击!X67</f>
        <v>0</v>
      </c>
      <c r="X67" s="93">
        <f>攻击!Y67</f>
        <v>0</v>
      </c>
      <c r="Y67" s="93">
        <f>攻击!Z67</f>
        <v>0</v>
      </c>
      <c r="Z67" s="93">
        <f>攻击!AA67</f>
        <v>0</v>
      </c>
      <c r="AA67" s="93">
        <f>攻击!AB67</f>
        <v>0</v>
      </c>
      <c r="AB67" s="1">
        <f>攻击!AC67*HP!$B67</f>
        <v>1380</v>
      </c>
      <c r="AC67" s="1">
        <f>攻击!AD67*HP!$B67</f>
        <v>1656</v>
      </c>
      <c r="AD67" s="1">
        <f>攻击!AE67*HP!$B67</f>
        <v>2070</v>
      </c>
      <c r="AE67" s="1">
        <f>攻击!AF67*HP!$B67</f>
        <v>2760</v>
      </c>
      <c r="AF67" s="1">
        <f>攻击!AG67*HP!$B67</f>
        <v>3450</v>
      </c>
      <c r="AG67" s="1">
        <f>攻击!AH67*HP!$B67</f>
        <v>690</v>
      </c>
      <c r="AH67" s="1">
        <f>攻击!AI67*HP!$B67</f>
        <v>276</v>
      </c>
      <c r="AI67" s="1">
        <f>攻击!AJ67*HP!$B67</f>
        <v>276</v>
      </c>
      <c r="AJ67" s="1">
        <f>攻击!AK67*HP!$B67</f>
        <v>41.4</v>
      </c>
      <c r="AK67" s="1">
        <f>攻击!AL67*HP!$B67</f>
        <v>0</v>
      </c>
      <c r="AL67" s="93">
        <f>攻击!AM67</f>
        <v>0</v>
      </c>
      <c r="AM67" s="93">
        <f>攻击!AN67</f>
        <v>0</v>
      </c>
      <c r="AN67" s="93">
        <f>攻击!AO67</f>
        <v>0</v>
      </c>
      <c r="AO67" s="93">
        <f>攻击!AP67</f>
        <v>0</v>
      </c>
      <c r="AP67" s="93">
        <f>攻击!AQ67</f>
        <v>0</v>
      </c>
      <c r="AQ67" s="1">
        <f>攻击!AR67*HP!$B67</f>
        <v>276</v>
      </c>
      <c r="AR67" s="1">
        <f t="shared" si="0"/>
        <v>5106</v>
      </c>
    </row>
    <row r="68" spans="1:44">
      <c r="A68" s="46">
        <v>66</v>
      </c>
      <c r="B68" s="1">
        <f t="shared" si="1"/>
        <v>10</v>
      </c>
      <c r="C68" s="1">
        <f>攻击!D68*HP!$B68</f>
        <v>1400</v>
      </c>
      <c r="D68" s="1">
        <f>攻击!E68*HP!$B68</f>
        <v>1680</v>
      </c>
      <c r="E68" s="1">
        <f>攻击!F68*HP!$B68</f>
        <v>2100</v>
      </c>
      <c r="F68" s="1">
        <f>攻击!G68*HP!$B68</f>
        <v>2800</v>
      </c>
      <c r="G68" s="1">
        <f>攻击!H68*HP!$B68</f>
        <v>3500</v>
      </c>
      <c r="H68" s="1">
        <f>攻击!I68*HP!$B68</f>
        <v>690</v>
      </c>
      <c r="I68" s="1">
        <f>攻击!J68*HP!$B68</f>
        <v>420</v>
      </c>
      <c r="J68" s="1">
        <f>攻击!K68*HP!$B68</f>
        <v>840</v>
      </c>
      <c r="K68" s="1">
        <f>攻击!L68*HP!$B68</f>
        <v>0</v>
      </c>
      <c r="L68" s="1">
        <f>攻击!M68*HP!$B68</f>
        <v>1120</v>
      </c>
      <c r="M68" s="1">
        <f>攻击!N68*HP!$B68</f>
        <v>1680</v>
      </c>
      <c r="N68" s="1">
        <f>攻击!O68*HP!$B68</f>
        <v>2100</v>
      </c>
      <c r="O68" s="1">
        <f>攻击!P68*HP!$B68</f>
        <v>2800</v>
      </c>
      <c r="P68" s="1">
        <f>攻击!Q68*HP!$B68</f>
        <v>3500</v>
      </c>
      <c r="Q68" s="1">
        <f>攻击!R68*HP!$B68</f>
        <v>4200</v>
      </c>
      <c r="R68" s="1">
        <f>攻击!S68*HP!$B68</f>
        <v>4900</v>
      </c>
      <c r="S68" s="1">
        <f>攻击!T68*HP!$B68</f>
        <v>1050</v>
      </c>
      <c r="T68" s="1">
        <f>攻击!U68*HP!$B68</f>
        <v>420</v>
      </c>
      <c r="U68" s="1">
        <f>攻击!V68*HP!$B68</f>
        <v>420</v>
      </c>
      <c r="V68" s="1">
        <f>攻击!W68*HP!$B68</f>
        <v>70</v>
      </c>
      <c r="W68" s="93">
        <f>攻击!X68</f>
        <v>0</v>
      </c>
      <c r="X68" s="93">
        <f>攻击!Y68</f>
        <v>0</v>
      </c>
      <c r="Y68" s="93">
        <f>攻击!Z68</f>
        <v>0</v>
      </c>
      <c r="Z68" s="93">
        <f>攻击!AA68</f>
        <v>0</v>
      </c>
      <c r="AA68" s="93">
        <f>攻击!AB68</f>
        <v>0</v>
      </c>
      <c r="AB68" s="1">
        <f>攻击!AC68*HP!$B68</f>
        <v>1400</v>
      </c>
      <c r="AC68" s="1">
        <f>攻击!AD68*HP!$B68</f>
        <v>1680</v>
      </c>
      <c r="AD68" s="1">
        <f>攻击!AE68*HP!$B68</f>
        <v>2100</v>
      </c>
      <c r="AE68" s="1">
        <f>攻击!AF68*HP!$B68</f>
        <v>2800</v>
      </c>
      <c r="AF68" s="1">
        <f>攻击!AG68*HP!$B68</f>
        <v>3500</v>
      </c>
      <c r="AG68" s="1">
        <f>攻击!AH68*HP!$B68</f>
        <v>700</v>
      </c>
      <c r="AH68" s="1">
        <f>攻击!AI68*HP!$B68</f>
        <v>280</v>
      </c>
      <c r="AI68" s="1">
        <f>攻击!AJ68*HP!$B68</f>
        <v>280</v>
      </c>
      <c r="AJ68" s="1">
        <f>攻击!AK68*HP!$B68</f>
        <v>42</v>
      </c>
      <c r="AK68" s="1">
        <f>攻击!AL68*HP!$B68</f>
        <v>0</v>
      </c>
      <c r="AL68" s="93">
        <f>攻击!AM68</f>
        <v>0</v>
      </c>
      <c r="AM68" s="93">
        <f>攻击!AN68</f>
        <v>0</v>
      </c>
      <c r="AN68" s="93">
        <f>攻击!AO68</f>
        <v>0</v>
      </c>
      <c r="AO68" s="93">
        <f>攻击!AP68</f>
        <v>0</v>
      </c>
      <c r="AP68" s="93">
        <f>攻击!AQ68</f>
        <v>0</v>
      </c>
      <c r="AQ68" s="1">
        <f>攻击!AR68*HP!$B68</f>
        <v>280</v>
      </c>
      <c r="AR68" s="1">
        <f t="shared" ref="AR68:AR122" si="2">C68+N68+AB68+AK68+AQ68</f>
        <v>5180</v>
      </c>
    </row>
    <row r="69" spans="1:44">
      <c r="A69" s="46">
        <v>67</v>
      </c>
      <c r="B69" s="1">
        <f t="shared" ref="B69:B122" si="3">B68</f>
        <v>10</v>
      </c>
      <c r="C69" s="1">
        <f>攻击!D69*HP!$B69</f>
        <v>1420</v>
      </c>
      <c r="D69" s="1">
        <f>攻击!E69*HP!$B69</f>
        <v>1704</v>
      </c>
      <c r="E69" s="1">
        <f>攻击!F69*HP!$B69</f>
        <v>2130</v>
      </c>
      <c r="F69" s="1">
        <f>攻击!G69*HP!$B69</f>
        <v>2840</v>
      </c>
      <c r="G69" s="1">
        <f>攻击!H69*HP!$B69</f>
        <v>3550</v>
      </c>
      <c r="H69" s="1">
        <f>攻击!I69*HP!$B69</f>
        <v>690</v>
      </c>
      <c r="I69" s="1">
        <f>攻击!J69*HP!$B69</f>
        <v>426</v>
      </c>
      <c r="J69" s="1">
        <f>攻击!K69*HP!$B69</f>
        <v>852</v>
      </c>
      <c r="K69" s="1">
        <f>攻击!L69*HP!$B69</f>
        <v>0</v>
      </c>
      <c r="L69" s="1">
        <f>攻击!M69*HP!$B69</f>
        <v>1136</v>
      </c>
      <c r="M69" s="1">
        <f>攻击!N69*HP!$B69</f>
        <v>1704</v>
      </c>
      <c r="N69" s="1">
        <f>攻击!O69*HP!$B69</f>
        <v>2130</v>
      </c>
      <c r="O69" s="1">
        <f>攻击!P69*HP!$B69</f>
        <v>2840</v>
      </c>
      <c r="P69" s="1">
        <f>攻击!Q69*HP!$B69</f>
        <v>3550</v>
      </c>
      <c r="Q69" s="1">
        <f>攻击!R69*HP!$B69</f>
        <v>4260</v>
      </c>
      <c r="R69" s="1">
        <f>攻击!S69*HP!$B69</f>
        <v>4970</v>
      </c>
      <c r="S69" s="1">
        <f>攻击!T69*HP!$B69</f>
        <v>1065</v>
      </c>
      <c r="T69" s="1">
        <f>攻击!U69*HP!$B69</f>
        <v>426</v>
      </c>
      <c r="U69" s="1">
        <f>攻击!V69*HP!$B69</f>
        <v>426</v>
      </c>
      <c r="V69" s="1">
        <f>攻击!W69*HP!$B69</f>
        <v>71</v>
      </c>
      <c r="W69" s="93">
        <f>攻击!X69</f>
        <v>0</v>
      </c>
      <c r="X69" s="93">
        <f>攻击!Y69</f>
        <v>0</v>
      </c>
      <c r="Y69" s="93">
        <f>攻击!Z69</f>
        <v>0</v>
      </c>
      <c r="Z69" s="93">
        <f>攻击!AA69</f>
        <v>0</v>
      </c>
      <c r="AA69" s="93">
        <f>攻击!AB69</f>
        <v>0</v>
      </c>
      <c r="AB69" s="1">
        <f>攻击!AC69*HP!$B69</f>
        <v>1420</v>
      </c>
      <c r="AC69" s="1">
        <f>攻击!AD69*HP!$B69</f>
        <v>1704</v>
      </c>
      <c r="AD69" s="1">
        <f>攻击!AE69*HP!$B69</f>
        <v>2130</v>
      </c>
      <c r="AE69" s="1">
        <f>攻击!AF69*HP!$B69</f>
        <v>2840</v>
      </c>
      <c r="AF69" s="1">
        <f>攻击!AG69*HP!$B69</f>
        <v>3550</v>
      </c>
      <c r="AG69" s="1">
        <f>攻击!AH69*HP!$B69</f>
        <v>710</v>
      </c>
      <c r="AH69" s="1">
        <f>攻击!AI69*HP!$B69</f>
        <v>284</v>
      </c>
      <c r="AI69" s="1">
        <f>攻击!AJ69*HP!$B69</f>
        <v>284</v>
      </c>
      <c r="AJ69" s="1">
        <f>攻击!AK69*HP!$B69</f>
        <v>42.599999999999994</v>
      </c>
      <c r="AK69" s="1">
        <f>攻击!AL69*HP!$B69</f>
        <v>0</v>
      </c>
      <c r="AL69" s="93">
        <f>攻击!AM69</f>
        <v>0</v>
      </c>
      <c r="AM69" s="93">
        <f>攻击!AN69</f>
        <v>0</v>
      </c>
      <c r="AN69" s="93">
        <f>攻击!AO69</f>
        <v>0</v>
      </c>
      <c r="AO69" s="93">
        <f>攻击!AP69</f>
        <v>0</v>
      </c>
      <c r="AP69" s="93">
        <f>攻击!AQ69</f>
        <v>0</v>
      </c>
      <c r="AQ69" s="1">
        <f>攻击!AR69*HP!$B69</f>
        <v>284</v>
      </c>
      <c r="AR69" s="1">
        <f t="shared" si="2"/>
        <v>5254</v>
      </c>
    </row>
    <row r="70" spans="1:44">
      <c r="A70" s="46">
        <v>68</v>
      </c>
      <c r="B70" s="1">
        <f t="shared" si="3"/>
        <v>10</v>
      </c>
      <c r="C70" s="1">
        <f>攻击!D70*HP!$B70</f>
        <v>1440</v>
      </c>
      <c r="D70" s="1">
        <f>攻击!E70*HP!$B70</f>
        <v>1727.9999999999998</v>
      </c>
      <c r="E70" s="1">
        <f>攻击!F70*HP!$B70</f>
        <v>2160</v>
      </c>
      <c r="F70" s="1">
        <f>攻击!G70*HP!$B70</f>
        <v>2880</v>
      </c>
      <c r="G70" s="1">
        <f>攻击!H70*HP!$B70</f>
        <v>3600</v>
      </c>
      <c r="H70" s="1">
        <f>攻击!I70*HP!$B70</f>
        <v>690</v>
      </c>
      <c r="I70" s="1">
        <f>攻击!J70*HP!$B70</f>
        <v>431.99999999999994</v>
      </c>
      <c r="J70" s="1">
        <f>攻击!K70*HP!$B70</f>
        <v>863.99999999999989</v>
      </c>
      <c r="K70" s="1">
        <f>攻击!L70*HP!$B70</f>
        <v>0</v>
      </c>
      <c r="L70" s="1">
        <f>攻击!M70*HP!$B70</f>
        <v>1152</v>
      </c>
      <c r="M70" s="1">
        <f>攻击!N70*HP!$B70</f>
        <v>1727.9999999999998</v>
      </c>
      <c r="N70" s="1">
        <f>攻击!O70*HP!$B70</f>
        <v>2160</v>
      </c>
      <c r="O70" s="1">
        <f>攻击!P70*HP!$B70</f>
        <v>2880</v>
      </c>
      <c r="P70" s="1">
        <f>攻击!Q70*HP!$B70</f>
        <v>3600</v>
      </c>
      <c r="Q70" s="1">
        <f>攻击!R70*HP!$B70</f>
        <v>4320</v>
      </c>
      <c r="R70" s="1">
        <f>攻击!S70*HP!$B70</f>
        <v>5040</v>
      </c>
      <c r="S70" s="1">
        <f>攻击!T70*HP!$B70</f>
        <v>1080</v>
      </c>
      <c r="T70" s="1">
        <f>攻击!U70*HP!$B70</f>
        <v>431.99999999999994</v>
      </c>
      <c r="U70" s="1">
        <f>攻击!V70*HP!$B70</f>
        <v>431.99999999999994</v>
      </c>
      <c r="V70" s="1">
        <f>攻击!W70*HP!$B70</f>
        <v>72</v>
      </c>
      <c r="W70" s="93">
        <f>攻击!X70</f>
        <v>0</v>
      </c>
      <c r="X70" s="93">
        <f>攻击!Y70</f>
        <v>0</v>
      </c>
      <c r="Y70" s="93">
        <f>攻击!Z70</f>
        <v>0</v>
      </c>
      <c r="Z70" s="93">
        <f>攻击!AA70</f>
        <v>0</v>
      </c>
      <c r="AA70" s="93">
        <f>攻击!AB70</f>
        <v>0</v>
      </c>
      <c r="AB70" s="1">
        <f>攻击!AC70*HP!$B70</f>
        <v>1440</v>
      </c>
      <c r="AC70" s="1">
        <f>攻击!AD70*HP!$B70</f>
        <v>1727.9999999999998</v>
      </c>
      <c r="AD70" s="1">
        <f>攻击!AE70*HP!$B70</f>
        <v>2160</v>
      </c>
      <c r="AE70" s="1">
        <f>攻击!AF70*HP!$B70</f>
        <v>2880</v>
      </c>
      <c r="AF70" s="1">
        <f>攻击!AG70*HP!$B70</f>
        <v>3600</v>
      </c>
      <c r="AG70" s="1">
        <f>攻击!AH70*HP!$B70</f>
        <v>720</v>
      </c>
      <c r="AH70" s="1">
        <f>攻击!AI70*HP!$B70</f>
        <v>288</v>
      </c>
      <c r="AI70" s="1">
        <f>攻击!AJ70*HP!$B70</f>
        <v>288</v>
      </c>
      <c r="AJ70" s="1">
        <f>攻击!AK70*HP!$B70</f>
        <v>43.2</v>
      </c>
      <c r="AK70" s="1">
        <f>攻击!AL70*HP!$B70</f>
        <v>0</v>
      </c>
      <c r="AL70" s="93">
        <f>攻击!AM70</f>
        <v>0</v>
      </c>
      <c r="AM70" s="93">
        <f>攻击!AN70</f>
        <v>0</v>
      </c>
      <c r="AN70" s="93">
        <f>攻击!AO70</f>
        <v>0</v>
      </c>
      <c r="AO70" s="93">
        <f>攻击!AP70</f>
        <v>0</v>
      </c>
      <c r="AP70" s="93">
        <f>攻击!AQ70</f>
        <v>0</v>
      </c>
      <c r="AQ70" s="1">
        <f>攻击!AR70*HP!$B70</f>
        <v>288</v>
      </c>
      <c r="AR70" s="1">
        <f t="shared" si="2"/>
        <v>5328</v>
      </c>
    </row>
    <row r="71" spans="1:44">
      <c r="A71" s="46">
        <v>69</v>
      </c>
      <c r="B71" s="1">
        <f t="shared" si="3"/>
        <v>10</v>
      </c>
      <c r="C71" s="1">
        <f>攻击!D71*HP!$B71</f>
        <v>1460</v>
      </c>
      <c r="D71" s="1">
        <f>攻击!E71*HP!$B71</f>
        <v>1752</v>
      </c>
      <c r="E71" s="1">
        <f>攻击!F71*HP!$B71</f>
        <v>2190</v>
      </c>
      <c r="F71" s="1">
        <f>攻击!G71*HP!$B71</f>
        <v>2920</v>
      </c>
      <c r="G71" s="1">
        <f>攻击!H71*HP!$B71</f>
        <v>3650</v>
      </c>
      <c r="H71" s="1">
        <f>攻击!I71*HP!$B71</f>
        <v>690</v>
      </c>
      <c r="I71" s="1">
        <f>攻击!J71*HP!$B71</f>
        <v>438</v>
      </c>
      <c r="J71" s="1">
        <f>攻击!K71*HP!$B71</f>
        <v>876</v>
      </c>
      <c r="K71" s="1">
        <f>攻击!L71*HP!$B71</f>
        <v>0</v>
      </c>
      <c r="L71" s="1">
        <f>攻击!M71*HP!$B71</f>
        <v>1168</v>
      </c>
      <c r="M71" s="1">
        <f>攻击!N71*HP!$B71</f>
        <v>1752</v>
      </c>
      <c r="N71" s="1">
        <f>攻击!O71*HP!$B71</f>
        <v>2190</v>
      </c>
      <c r="O71" s="1">
        <f>攻击!P71*HP!$B71</f>
        <v>2920</v>
      </c>
      <c r="P71" s="1">
        <f>攻击!Q71*HP!$B71</f>
        <v>3650</v>
      </c>
      <c r="Q71" s="1">
        <f>攻击!R71*HP!$B71</f>
        <v>4380</v>
      </c>
      <c r="R71" s="1">
        <f>攻击!S71*HP!$B71</f>
        <v>5110</v>
      </c>
      <c r="S71" s="1">
        <f>攻击!T71*HP!$B71</f>
        <v>1095</v>
      </c>
      <c r="T71" s="1">
        <f>攻击!U71*HP!$B71</f>
        <v>438</v>
      </c>
      <c r="U71" s="1">
        <f>攻击!V71*HP!$B71</f>
        <v>438</v>
      </c>
      <c r="V71" s="1">
        <f>攻击!W71*HP!$B71</f>
        <v>73</v>
      </c>
      <c r="W71" s="93">
        <f>攻击!X71</f>
        <v>0</v>
      </c>
      <c r="X71" s="93">
        <f>攻击!Y71</f>
        <v>0</v>
      </c>
      <c r="Y71" s="93">
        <f>攻击!Z71</f>
        <v>0</v>
      </c>
      <c r="Z71" s="93">
        <f>攻击!AA71</f>
        <v>0</v>
      </c>
      <c r="AA71" s="93">
        <f>攻击!AB71</f>
        <v>0</v>
      </c>
      <c r="AB71" s="1">
        <f>攻击!AC71*HP!$B71</f>
        <v>1460</v>
      </c>
      <c r="AC71" s="1">
        <f>攻击!AD71*HP!$B71</f>
        <v>1752</v>
      </c>
      <c r="AD71" s="1">
        <f>攻击!AE71*HP!$B71</f>
        <v>2190</v>
      </c>
      <c r="AE71" s="1">
        <f>攻击!AF71*HP!$B71</f>
        <v>2920</v>
      </c>
      <c r="AF71" s="1">
        <f>攻击!AG71*HP!$B71</f>
        <v>3650</v>
      </c>
      <c r="AG71" s="1">
        <f>攻击!AH71*HP!$B71</f>
        <v>730</v>
      </c>
      <c r="AH71" s="1">
        <f>攻击!AI71*HP!$B71</f>
        <v>292</v>
      </c>
      <c r="AI71" s="1">
        <f>攻击!AJ71*HP!$B71</f>
        <v>292</v>
      </c>
      <c r="AJ71" s="1">
        <f>攻击!AK71*HP!$B71</f>
        <v>43.8</v>
      </c>
      <c r="AK71" s="1">
        <f>攻击!AL71*HP!$B71</f>
        <v>0</v>
      </c>
      <c r="AL71" s="93">
        <f>攻击!AM71</f>
        <v>0</v>
      </c>
      <c r="AM71" s="93">
        <f>攻击!AN71</f>
        <v>0</v>
      </c>
      <c r="AN71" s="93">
        <f>攻击!AO71</f>
        <v>0</v>
      </c>
      <c r="AO71" s="93">
        <f>攻击!AP71</f>
        <v>0</v>
      </c>
      <c r="AP71" s="93">
        <f>攻击!AQ71</f>
        <v>0</v>
      </c>
      <c r="AQ71" s="1">
        <f>攻击!AR71*HP!$B71</f>
        <v>292</v>
      </c>
      <c r="AR71" s="1">
        <f t="shared" si="2"/>
        <v>5402</v>
      </c>
    </row>
    <row r="72" spans="1:44">
      <c r="A72" s="46">
        <v>70</v>
      </c>
      <c r="B72" s="1">
        <f t="shared" si="3"/>
        <v>10</v>
      </c>
      <c r="C72" s="1">
        <f>攻击!D72*HP!$B72</f>
        <v>1480</v>
      </c>
      <c r="D72" s="1">
        <f>攻击!E72*HP!$B72</f>
        <v>1776</v>
      </c>
      <c r="E72" s="1">
        <f>攻击!F72*HP!$B72</f>
        <v>2220</v>
      </c>
      <c r="F72" s="1">
        <f>攻击!G72*HP!$B72</f>
        <v>2960</v>
      </c>
      <c r="G72" s="1">
        <f>攻击!H72*HP!$B72</f>
        <v>3700</v>
      </c>
      <c r="H72" s="1">
        <f>攻击!I72*HP!$B72</f>
        <v>740</v>
      </c>
      <c r="I72" s="1">
        <f>攻击!J72*HP!$B72</f>
        <v>444</v>
      </c>
      <c r="J72" s="1">
        <f>攻击!K72*HP!$B72</f>
        <v>888</v>
      </c>
      <c r="K72" s="1">
        <f>攻击!L72*HP!$B72</f>
        <v>444</v>
      </c>
      <c r="L72" s="1">
        <f>攻击!M72*HP!$B72</f>
        <v>1184</v>
      </c>
      <c r="M72" s="1">
        <f>攻击!N72*HP!$B72</f>
        <v>1776</v>
      </c>
      <c r="N72" s="1">
        <f>攻击!O72*HP!$B72</f>
        <v>2220</v>
      </c>
      <c r="O72" s="1">
        <f>攻击!P72*HP!$B72</f>
        <v>2960</v>
      </c>
      <c r="P72" s="1">
        <f>攻击!Q72*HP!$B72</f>
        <v>3700</v>
      </c>
      <c r="Q72" s="1">
        <f>攻击!R72*HP!$B72</f>
        <v>4440</v>
      </c>
      <c r="R72" s="1">
        <f>攻击!S72*HP!$B72</f>
        <v>5180</v>
      </c>
      <c r="S72" s="1">
        <f>攻击!T72*HP!$B72</f>
        <v>1110</v>
      </c>
      <c r="T72" s="1">
        <f>攻击!U72*HP!$B72</f>
        <v>444</v>
      </c>
      <c r="U72" s="1">
        <f>攻击!V72*HP!$B72</f>
        <v>444</v>
      </c>
      <c r="V72" s="1">
        <f>攻击!W72*HP!$B72</f>
        <v>74</v>
      </c>
      <c r="W72" s="93">
        <f>攻击!X72</f>
        <v>0</v>
      </c>
      <c r="X72" s="93">
        <f>攻击!Y72</f>
        <v>0</v>
      </c>
      <c r="Y72" s="93">
        <f>攻击!Z72</f>
        <v>0</v>
      </c>
      <c r="Z72" s="93">
        <f>攻击!AA72</f>
        <v>0</v>
      </c>
      <c r="AA72" s="93">
        <f>攻击!AB72</f>
        <v>0</v>
      </c>
      <c r="AB72" s="1">
        <f>攻击!AC72*HP!$B72</f>
        <v>1480</v>
      </c>
      <c r="AC72" s="1">
        <f>攻击!AD72*HP!$B72</f>
        <v>1776</v>
      </c>
      <c r="AD72" s="1">
        <f>攻击!AE72*HP!$B72</f>
        <v>2220</v>
      </c>
      <c r="AE72" s="1">
        <f>攻击!AF72*HP!$B72</f>
        <v>2960</v>
      </c>
      <c r="AF72" s="1">
        <f>攻击!AG72*HP!$B72</f>
        <v>3700</v>
      </c>
      <c r="AG72" s="1">
        <f>攻击!AH72*HP!$B72</f>
        <v>740</v>
      </c>
      <c r="AH72" s="1">
        <f>攻击!AI72*HP!$B72</f>
        <v>296</v>
      </c>
      <c r="AI72" s="1">
        <f>攻击!AJ72*HP!$B72</f>
        <v>296</v>
      </c>
      <c r="AJ72" s="1">
        <f>攻击!AK72*HP!$B72</f>
        <v>44.399999999999991</v>
      </c>
      <c r="AK72" s="1">
        <f>攻击!AL72*HP!$B72</f>
        <v>1776</v>
      </c>
      <c r="AL72" s="93">
        <f>攻击!AM72</f>
        <v>0</v>
      </c>
      <c r="AM72" s="93">
        <f>攻击!AN72</f>
        <v>0</v>
      </c>
      <c r="AN72" s="93">
        <f>攻击!AO72</f>
        <v>0</v>
      </c>
      <c r="AO72" s="93">
        <f>攻击!AP72</f>
        <v>0</v>
      </c>
      <c r="AP72" s="93">
        <f>攻击!AQ72</f>
        <v>0</v>
      </c>
      <c r="AQ72" s="1">
        <f>攻击!AR72*HP!$B72</f>
        <v>296</v>
      </c>
      <c r="AR72" s="1">
        <f t="shared" si="2"/>
        <v>7252</v>
      </c>
    </row>
    <row r="73" spans="1:44">
      <c r="A73" s="46">
        <v>71</v>
      </c>
      <c r="B73" s="1">
        <f t="shared" si="3"/>
        <v>10</v>
      </c>
      <c r="C73" s="1">
        <f>攻击!D73*HP!$B73</f>
        <v>1500</v>
      </c>
      <c r="D73" s="1">
        <f>攻击!E73*HP!$B73</f>
        <v>1800</v>
      </c>
      <c r="E73" s="1">
        <f>攻击!F73*HP!$B73</f>
        <v>2250</v>
      </c>
      <c r="F73" s="1">
        <f>攻击!G73*HP!$B73</f>
        <v>3000</v>
      </c>
      <c r="G73" s="1">
        <f>攻击!H73*HP!$B73</f>
        <v>3750</v>
      </c>
      <c r="H73" s="1">
        <f>攻击!I73*HP!$B73</f>
        <v>740</v>
      </c>
      <c r="I73" s="1">
        <f>攻击!J73*HP!$B73</f>
        <v>450</v>
      </c>
      <c r="J73" s="1">
        <f>攻击!K73*HP!$B73</f>
        <v>900</v>
      </c>
      <c r="K73" s="1">
        <f>攻击!L73*HP!$B73</f>
        <v>450</v>
      </c>
      <c r="L73" s="1">
        <f>攻击!M73*HP!$B73</f>
        <v>1200</v>
      </c>
      <c r="M73" s="1">
        <f>攻击!N73*HP!$B73</f>
        <v>1800</v>
      </c>
      <c r="N73" s="1">
        <f>攻击!O73*HP!$B73</f>
        <v>2250</v>
      </c>
      <c r="O73" s="1">
        <f>攻击!P73*HP!$B73</f>
        <v>3000</v>
      </c>
      <c r="P73" s="1">
        <f>攻击!Q73*HP!$B73</f>
        <v>3750</v>
      </c>
      <c r="Q73" s="1">
        <f>攻击!R73*HP!$B73</f>
        <v>4500</v>
      </c>
      <c r="R73" s="1">
        <f>攻击!S73*HP!$B73</f>
        <v>5250</v>
      </c>
      <c r="S73" s="1">
        <f>攻击!T73*HP!$B73</f>
        <v>1125</v>
      </c>
      <c r="T73" s="1">
        <f>攻击!U73*HP!$B73</f>
        <v>450</v>
      </c>
      <c r="U73" s="1">
        <f>攻击!V73*HP!$B73</f>
        <v>450</v>
      </c>
      <c r="V73" s="1">
        <f>攻击!W73*HP!$B73</f>
        <v>75</v>
      </c>
      <c r="W73" s="93">
        <f>攻击!X73</f>
        <v>0</v>
      </c>
      <c r="X73" s="93">
        <f>攻击!Y73</f>
        <v>0</v>
      </c>
      <c r="Y73" s="93">
        <f>攻击!Z73</f>
        <v>0</v>
      </c>
      <c r="Z73" s="93">
        <f>攻击!AA73</f>
        <v>0</v>
      </c>
      <c r="AA73" s="93">
        <f>攻击!AB73</f>
        <v>0</v>
      </c>
      <c r="AB73" s="1">
        <f>攻击!AC73*HP!$B73</f>
        <v>1500</v>
      </c>
      <c r="AC73" s="1">
        <f>攻击!AD73*HP!$B73</f>
        <v>1800</v>
      </c>
      <c r="AD73" s="1">
        <f>攻击!AE73*HP!$B73</f>
        <v>2250</v>
      </c>
      <c r="AE73" s="1">
        <f>攻击!AF73*HP!$B73</f>
        <v>3000</v>
      </c>
      <c r="AF73" s="1">
        <f>攻击!AG73*HP!$B73</f>
        <v>3750</v>
      </c>
      <c r="AG73" s="1">
        <f>攻击!AH73*HP!$B73</f>
        <v>750</v>
      </c>
      <c r="AH73" s="1">
        <f>攻击!AI73*HP!$B73</f>
        <v>300</v>
      </c>
      <c r="AI73" s="1">
        <f>攻击!AJ73*HP!$B73</f>
        <v>300</v>
      </c>
      <c r="AJ73" s="1">
        <f>攻击!AK73*HP!$B73</f>
        <v>45</v>
      </c>
      <c r="AK73" s="1">
        <f>攻击!AL73*HP!$B73</f>
        <v>1800</v>
      </c>
      <c r="AL73" s="93">
        <f>攻击!AM73</f>
        <v>0</v>
      </c>
      <c r="AM73" s="93">
        <f>攻击!AN73</f>
        <v>0</v>
      </c>
      <c r="AN73" s="93">
        <f>攻击!AO73</f>
        <v>0</v>
      </c>
      <c r="AO73" s="93">
        <f>攻击!AP73</f>
        <v>0</v>
      </c>
      <c r="AP73" s="93">
        <f>攻击!AQ73</f>
        <v>0</v>
      </c>
      <c r="AQ73" s="1">
        <f>攻击!AR73*HP!$B73</f>
        <v>300</v>
      </c>
      <c r="AR73" s="1">
        <f t="shared" si="2"/>
        <v>7350</v>
      </c>
    </row>
    <row r="74" spans="1:44">
      <c r="A74" s="46">
        <v>72</v>
      </c>
      <c r="B74" s="1">
        <f t="shared" si="3"/>
        <v>10</v>
      </c>
      <c r="C74" s="1">
        <f>攻击!D74*HP!$B74</f>
        <v>1520</v>
      </c>
      <c r="D74" s="1">
        <f>攻击!E74*HP!$B74</f>
        <v>1824</v>
      </c>
      <c r="E74" s="1">
        <f>攻击!F74*HP!$B74</f>
        <v>2280</v>
      </c>
      <c r="F74" s="1">
        <f>攻击!G74*HP!$B74</f>
        <v>3040</v>
      </c>
      <c r="G74" s="1">
        <f>攻击!H74*HP!$B74</f>
        <v>3800</v>
      </c>
      <c r="H74" s="1">
        <f>攻击!I74*HP!$B74</f>
        <v>740</v>
      </c>
      <c r="I74" s="1">
        <f>攻击!J74*HP!$B74</f>
        <v>456</v>
      </c>
      <c r="J74" s="1">
        <f>攻击!K74*HP!$B74</f>
        <v>912</v>
      </c>
      <c r="K74" s="1">
        <f>攻击!L74*HP!$B74</f>
        <v>456</v>
      </c>
      <c r="L74" s="1">
        <f>攻击!M74*HP!$B74</f>
        <v>1216</v>
      </c>
      <c r="M74" s="1">
        <f>攻击!N74*HP!$B74</f>
        <v>1824</v>
      </c>
      <c r="N74" s="1">
        <f>攻击!O74*HP!$B74</f>
        <v>2280</v>
      </c>
      <c r="O74" s="1">
        <f>攻击!P74*HP!$B74</f>
        <v>3040</v>
      </c>
      <c r="P74" s="1">
        <f>攻击!Q74*HP!$B74</f>
        <v>3800</v>
      </c>
      <c r="Q74" s="1">
        <f>攻击!R74*HP!$B74</f>
        <v>4560</v>
      </c>
      <c r="R74" s="1">
        <f>攻击!S74*HP!$B74</f>
        <v>5320</v>
      </c>
      <c r="S74" s="1">
        <f>攻击!T74*HP!$B74</f>
        <v>1140</v>
      </c>
      <c r="T74" s="1">
        <f>攻击!U74*HP!$B74</f>
        <v>456</v>
      </c>
      <c r="U74" s="1">
        <f>攻击!V74*HP!$B74</f>
        <v>456</v>
      </c>
      <c r="V74" s="1">
        <f>攻击!W74*HP!$B74</f>
        <v>76</v>
      </c>
      <c r="W74" s="93">
        <f>攻击!X74</f>
        <v>0</v>
      </c>
      <c r="X74" s="93">
        <f>攻击!Y74</f>
        <v>0</v>
      </c>
      <c r="Y74" s="93">
        <f>攻击!Z74</f>
        <v>0</v>
      </c>
      <c r="Z74" s="93">
        <f>攻击!AA74</f>
        <v>0</v>
      </c>
      <c r="AA74" s="93">
        <f>攻击!AB74</f>
        <v>0</v>
      </c>
      <c r="AB74" s="1">
        <f>攻击!AC74*HP!$B74</f>
        <v>1520</v>
      </c>
      <c r="AC74" s="1">
        <f>攻击!AD74*HP!$B74</f>
        <v>1824</v>
      </c>
      <c r="AD74" s="1">
        <f>攻击!AE74*HP!$B74</f>
        <v>2280</v>
      </c>
      <c r="AE74" s="1">
        <f>攻击!AF74*HP!$B74</f>
        <v>3040</v>
      </c>
      <c r="AF74" s="1">
        <f>攻击!AG74*HP!$B74</f>
        <v>3800</v>
      </c>
      <c r="AG74" s="1">
        <f>攻击!AH74*HP!$B74</f>
        <v>760</v>
      </c>
      <c r="AH74" s="1">
        <f>攻击!AI74*HP!$B74</f>
        <v>304</v>
      </c>
      <c r="AI74" s="1">
        <f>攻击!AJ74*HP!$B74</f>
        <v>304</v>
      </c>
      <c r="AJ74" s="1">
        <f>攻击!AK74*HP!$B74</f>
        <v>45.599999999999994</v>
      </c>
      <c r="AK74" s="1">
        <f>攻击!AL74*HP!$B74</f>
        <v>1824</v>
      </c>
      <c r="AL74" s="93">
        <f>攻击!AM74</f>
        <v>0</v>
      </c>
      <c r="AM74" s="93">
        <f>攻击!AN74</f>
        <v>0</v>
      </c>
      <c r="AN74" s="93">
        <f>攻击!AO74</f>
        <v>0</v>
      </c>
      <c r="AO74" s="93">
        <f>攻击!AP74</f>
        <v>0</v>
      </c>
      <c r="AP74" s="93">
        <f>攻击!AQ74</f>
        <v>0</v>
      </c>
      <c r="AQ74" s="1">
        <f>攻击!AR74*HP!$B74</f>
        <v>304</v>
      </c>
      <c r="AR74" s="1">
        <f t="shared" si="2"/>
        <v>7448</v>
      </c>
    </row>
    <row r="75" spans="1:44">
      <c r="A75" s="46">
        <v>73</v>
      </c>
      <c r="B75" s="1">
        <f t="shared" si="3"/>
        <v>10</v>
      </c>
      <c r="C75" s="1">
        <f>攻击!D75*HP!$B75</f>
        <v>1540</v>
      </c>
      <c r="D75" s="1">
        <f>攻击!E75*HP!$B75</f>
        <v>1847.9999999999998</v>
      </c>
      <c r="E75" s="1">
        <f>攻击!F75*HP!$B75</f>
        <v>2310</v>
      </c>
      <c r="F75" s="1">
        <f>攻击!G75*HP!$B75</f>
        <v>3080</v>
      </c>
      <c r="G75" s="1">
        <f>攻击!H75*HP!$B75</f>
        <v>3850</v>
      </c>
      <c r="H75" s="1">
        <f>攻击!I75*HP!$B75</f>
        <v>740</v>
      </c>
      <c r="I75" s="1">
        <f>攻击!J75*HP!$B75</f>
        <v>461.99999999999994</v>
      </c>
      <c r="J75" s="1">
        <f>攻击!K75*HP!$B75</f>
        <v>923.99999999999989</v>
      </c>
      <c r="K75" s="1">
        <f>攻击!L75*HP!$B75</f>
        <v>461.99999999999994</v>
      </c>
      <c r="L75" s="1">
        <f>攻击!M75*HP!$B75</f>
        <v>1232</v>
      </c>
      <c r="M75" s="1">
        <f>攻击!N75*HP!$B75</f>
        <v>1847.9999999999998</v>
      </c>
      <c r="N75" s="1">
        <f>攻击!O75*HP!$B75</f>
        <v>2310</v>
      </c>
      <c r="O75" s="1">
        <f>攻击!P75*HP!$B75</f>
        <v>3080</v>
      </c>
      <c r="P75" s="1">
        <f>攻击!Q75*HP!$B75</f>
        <v>3850</v>
      </c>
      <c r="Q75" s="1">
        <f>攻击!R75*HP!$B75</f>
        <v>4620</v>
      </c>
      <c r="R75" s="1">
        <f>攻击!S75*HP!$B75</f>
        <v>5390</v>
      </c>
      <c r="S75" s="1">
        <f>攻击!T75*HP!$B75</f>
        <v>1155</v>
      </c>
      <c r="T75" s="1">
        <f>攻击!U75*HP!$B75</f>
        <v>461.99999999999994</v>
      </c>
      <c r="U75" s="1">
        <f>攻击!V75*HP!$B75</f>
        <v>461.99999999999994</v>
      </c>
      <c r="V75" s="1">
        <f>攻击!W75*HP!$B75</f>
        <v>77</v>
      </c>
      <c r="W75" s="93">
        <f>攻击!X75</f>
        <v>0</v>
      </c>
      <c r="X75" s="93">
        <f>攻击!Y75</f>
        <v>0</v>
      </c>
      <c r="Y75" s="93">
        <f>攻击!Z75</f>
        <v>0</v>
      </c>
      <c r="Z75" s="93">
        <f>攻击!AA75</f>
        <v>0</v>
      </c>
      <c r="AA75" s="93">
        <f>攻击!AB75</f>
        <v>0</v>
      </c>
      <c r="AB75" s="1">
        <f>攻击!AC75*HP!$B75</f>
        <v>1540</v>
      </c>
      <c r="AC75" s="1">
        <f>攻击!AD75*HP!$B75</f>
        <v>1847.9999999999998</v>
      </c>
      <c r="AD75" s="1">
        <f>攻击!AE75*HP!$B75</f>
        <v>2310</v>
      </c>
      <c r="AE75" s="1">
        <f>攻击!AF75*HP!$B75</f>
        <v>3080</v>
      </c>
      <c r="AF75" s="1">
        <f>攻击!AG75*HP!$B75</f>
        <v>3850</v>
      </c>
      <c r="AG75" s="1">
        <f>攻击!AH75*HP!$B75</f>
        <v>770</v>
      </c>
      <c r="AH75" s="1">
        <f>攻击!AI75*HP!$B75</f>
        <v>308</v>
      </c>
      <c r="AI75" s="1">
        <f>攻击!AJ75*HP!$B75</f>
        <v>308</v>
      </c>
      <c r="AJ75" s="1">
        <f>攻击!AK75*HP!$B75</f>
        <v>46.2</v>
      </c>
      <c r="AK75" s="1">
        <f>攻击!AL75*HP!$B75</f>
        <v>1847.9999999999998</v>
      </c>
      <c r="AL75" s="93">
        <f>攻击!AM75</f>
        <v>0</v>
      </c>
      <c r="AM75" s="93">
        <f>攻击!AN75</f>
        <v>0</v>
      </c>
      <c r="AN75" s="93">
        <f>攻击!AO75</f>
        <v>0</v>
      </c>
      <c r="AO75" s="93">
        <f>攻击!AP75</f>
        <v>0</v>
      </c>
      <c r="AP75" s="93">
        <f>攻击!AQ75</f>
        <v>0</v>
      </c>
      <c r="AQ75" s="1">
        <f>攻击!AR75*HP!$B75</f>
        <v>308</v>
      </c>
      <c r="AR75" s="1">
        <f t="shared" si="2"/>
        <v>7546</v>
      </c>
    </row>
    <row r="76" spans="1:44">
      <c r="A76" s="46">
        <v>74</v>
      </c>
      <c r="B76" s="1">
        <f t="shared" si="3"/>
        <v>10</v>
      </c>
      <c r="C76" s="1">
        <f>攻击!D76*HP!$B76</f>
        <v>1560</v>
      </c>
      <c r="D76" s="1">
        <f>攻击!E76*HP!$B76</f>
        <v>1872</v>
      </c>
      <c r="E76" s="1">
        <f>攻击!F76*HP!$B76</f>
        <v>2340</v>
      </c>
      <c r="F76" s="1">
        <f>攻击!G76*HP!$B76</f>
        <v>3120</v>
      </c>
      <c r="G76" s="1">
        <f>攻击!H76*HP!$B76</f>
        <v>3900</v>
      </c>
      <c r="H76" s="1">
        <f>攻击!I76*HP!$B76</f>
        <v>740</v>
      </c>
      <c r="I76" s="1">
        <f>攻击!J76*HP!$B76</f>
        <v>468</v>
      </c>
      <c r="J76" s="1">
        <f>攻击!K76*HP!$B76</f>
        <v>936</v>
      </c>
      <c r="K76" s="1">
        <f>攻击!L76*HP!$B76</f>
        <v>468</v>
      </c>
      <c r="L76" s="1">
        <f>攻击!M76*HP!$B76</f>
        <v>1248</v>
      </c>
      <c r="M76" s="1">
        <f>攻击!N76*HP!$B76</f>
        <v>1872</v>
      </c>
      <c r="N76" s="1">
        <f>攻击!O76*HP!$B76</f>
        <v>2340</v>
      </c>
      <c r="O76" s="1">
        <f>攻击!P76*HP!$B76</f>
        <v>3120</v>
      </c>
      <c r="P76" s="1">
        <f>攻击!Q76*HP!$B76</f>
        <v>3900</v>
      </c>
      <c r="Q76" s="1">
        <f>攻击!R76*HP!$B76</f>
        <v>4680</v>
      </c>
      <c r="R76" s="1">
        <f>攻击!S76*HP!$B76</f>
        <v>5460</v>
      </c>
      <c r="S76" s="1">
        <f>攻击!T76*HP!$B76</f>
        <v>1170</v>
      </c>
      <c r="T76" s="1">
        <f>攻击!U76*HP!$B76</f>
        <v>468</v>
      </c>
      <c r="U76" s="1">
        <f>攻击!V76*HP!$B76</f>
        <v>468</v>
      </c>
      <c r="V76" s="1">
        <f>攻击!W76*HP!$B76</f>
        <v>78</v>
      </c>
      <c r="W76" s="93">
        <f>攻击!X76</f>
        <v>0</v>
      </c>
      <c r="X76" s="93">
        <f>攻击!Y76</f>
        <v>0</v>
      </c>
      <c r="Y76" s="93">
        <f>攻击!Z76</f>
        <v>0</v>
      </c>
      <c r="Z76" s="93">
        <f>攻击!AA76</f>
        <v>0</v>
      </c>
      <c r="AA76" s="93">
        <f>攻击!AB76</f>
        <v>0</v>
      </c>
      <c r="AB76" s="1">
        <f>攻击!AC76*HP!$B76</f>
        <v>1560</v>
      </c>
      <c r="AC76" s="1">
        <f>攻击!AD76*HP!$B76</f>
        <v>1872</v>
      </c>
      <c r="AD76" s="1">
        <f>攻击!AE76*HP!$B76</f>
        <v>2340</v>
      </c>
      <c r="AE76" s="1">
        <f>攻击!AF76*HP!$B76</f>
        <v>3120</v>
      </c>
      <c r="AF76" s="1">
        <f>攻击!AG76*HP!$B76</f>
        <v>3900</v>
      </c>
      <c r="AG76" s="1">
        <f>攻击!AH76*HP!$B76</f>
        <v>780</v>
      </c>
      <c r="AH76" s="1">
        <f>攻击!AI76*HP!$B76</f>
        <v>312</v>
      </c>
      <c r="AI76" s="1">
        <f>攻击!AJ76*HP!$B76</f>
        <v>312</v>
      </c>
      <c r="AJ76" s="1">
        <f>攻击!AK76*HP!$B76</f>
        <v>46.8</v>
      </c>
      <c r="AK76" s="1">
        <f>攻击!AL76*HP!$B76</f>
        <v>1872</v>
      </c>
      <c r="AL76" s="93">
        <f>攻击!AM76</f>
        <v>0</v>
      </c>
      <c r="AM76" s="93">
        <f>攻击!AN76</f>
        <v>0</v>
      </c>
      <c r="AN76" s="93">
        <f>攻击!AO76</f>
        <v>0</v>
      </c>
      <c r="AO76" s="93">
        <f>攻击!AP76</f>
        <v>0</v>
      </c>
      <c r="AP76" s="93">
        <f>攻击!AQ76</f>
        <v>0</v>
      </c>
      <c r="AQ76" s="1">
        <f>攻击!AR76*HP!$B76</f>
        <v>312</v>
      </c>
      <c r="AR76" s="1">
        <f t="shared" si="2"/>
        <v>7644</v>
      </c>
    </row>
    <row r="77" spans="1:44">
      <c r="A77" s="46">
        <v>75</v>
      </c>
      <c r="B77" s="1">
        <f t="shared" si="3"/>
        <v>10</v>
      </c>
      <c r="C77" s="1">
        <f>攻击!D77*HP!$B77</f>
        <v>1580</v>
      </c>
      <c r="D77" s="1">
        <f>攻击!E77*HP!$B77</f>
        <v>1896</v>
      </c>
      <c r="E77" s="1">
        <f>攻击!F77*HP!$B77</f>
        <v>2370</v>
      </c>
      <c r="F77" s="1">
        <f>攻击!G77*HP!$B77</f>
        <v>3160</v>
      </c>
      <c r="G77" s="1">
        <f>攻击!H77*HP!$B77</f>
        <v>3950</v>
      </c>
      <c r="H77" s="1">
        <f>攻击!I77*HP!$B77</f>
        <v>790</v>
      </c>
      <c r="I77" s="1">
        <f>攻击!J77*HP!$B77</f>
        <v>474</v>
      </c>
      <c r="J77" s="1">
        <f>攻击!K77*HP!$B77</f>
        <v>948</v>
      </c>
      <c r="K77" s="1">
        <f>攻击!L77*HP!$B77</f>
        <v>474</v>
      </c>
      <c r="L77" s="1">
        <f>攻击!M77*HP!$B77</f>
        <v>1264</v>
      </c>
      <c r="M77" s="1">
        <f>攻击!N77*HP!$B77</f>
        <v>1896</v>
      </c>
      <c r="N77" s="1">
        <f>攻击!O77*HP!$B77</f>
        <v>2370</v>
      </c>
      <c r="O77" s="1">
        <f>攻击!P77*HP!$B77</f>
        <v>3160</v>
      </c>
      <c r="P77" s="1">
        <f>攻击!Q77*HP!$B77</f>
        <v>3950</v>
      </c>
      <c r="Q77" s="1">
        <f>攻击!R77*HP!$B77</f>
        <v>4740</v>
      </c>
      <c r="R77" s="1">
        <f>攻击!S77*HP!$B77</f>
        <v>5530</v>
      </c>
      <c r="S77" s="1">
        <f>攻击!T77*HP!$B77</f>
        <v>1185</v>
      </c>
      <c r="T77" s="1">
        <f>攻击!U77*HP!$B77</f>
        <v>474</v>
      </c>
      <c r="U77" s="1">
        <f>攻击!V77*HP!$B77</f>
        <v>474</v>
      </c>
      <c r="V77" s="1">
        <f>攻击!W77*HP!$B77</f>
        <v>79</v>
      </c>
      <c r="W77" s="93">
        <f>攻击!X77</f>
        <v>0</v>
      </c>
      <c r="X77" s="93">
        <f>攻击!Y77</f>
        <v>0</v>
      </c>
      <c r="Y77" s="93">
        <f>攻击!Z77</f>
        <v>0</v>
      </c>
      <c r="Z77" s="93">
        <f>攻击!AA77</f>
        <v>0</v>
      </c>
      <c r="AA77" s="93">
        <f>攻击!AB77</f>
        <v>0</v>
      </c>
      <c r="AB77" s="1">
        <f>攻击!AC77*HP!$B77</f>
        <v>1580</v>
      </c>
      <c r="AC77" s="1">
        <f>攻击!AD77*HP!$B77</f>
        <v>1896</v>
      </c>
      <c r="AD77" s="1">
        <f>攻击!AE77*HP!$B77</f>
        <v>2370</v>
      </c>
      <c r="AE77" s="1">
        <f>攻击!AF77*HP!$B77</f>
        <v>3160</v>
      </c>
      <c r="AF77" s="1">
        <f>攻击!AG77*HP!$B77</f>
        <v>3950</v>
      </c>
      <c r="AG77" s="1">
        <f>攻击!AH77*HP!$B77</f>
        <v>790</v>
      </c>
      <c r="AH77" s="1">
        <f>攻击!AI77*HP!$B77</f>
        <v>316</v>
      </c>
      <c r="AI77" s="1">
        <f>攻击!AJ77*HP!$B77</f>
        <v>316</v>
      </c>
      <c r="AJ77" s="1">
        <f>攻击!AK77*HP!$B77</f>
        <v>47.400000000000006</v>
      </c>
      <c r="AK77" s="1">
        <f>攻击!AL77*HP!$B77</f>
        <v>1896</v>
      </c>
      <c r="AL77" s="93">
        <f>攻击!AM77</f>
        <v>0</v>
      </c>
      <c r="AM77" s="93">
        <f>攻击!AN77</f>
        <v>0</v>
      </c>
      <c r="AN77" s="93">
        <f>攻击!AO77</f>
        <v>0</v>
      </c>
      <c r="AO77" s="93">
        <f>攻击!AP77</f>
        <v>0</v>
      </c>
      <c r="AP77" s="93">
        <f>攻击!AQ77</f>
        <v>0</v>
      </c>
      <c r="AQ77" s="1">
        <f>攻击!AR77*HP!$B77</f>
        <v>316</v>
      </c>
      <c r="AR77" s="1">
        <f t="shared" si="2"/>
        <v>7742</v>
      </c>
    </row>
    <row r="78" spans="1:44">
      <c r="A78" s="46">
        <v>76</v>
      </c>
      <c r="B78" s="1">
        <f t="shared" si="3"/>
        <v>10</v>
      </c>
      <c r="C78" s="1">
        <f>攻击!D78*HP!$B78</f>
        <v>1600</v>
      </c>
      <c r="D78" s="1">
        <f>攻击!E78*HP!$B78</f>
        <v>1920</v>
      </c>
      <c r="E78" s="1">
        <f>攻击!F78*HP!$B78</f>
        <v>2400</v>
      </c>
      <c r="F78" s="1">
        <f>攻击!G78*HP!$B78</f>
        <v>3200</v>
      </c>
      <c r="G78" s="1">
        <f>攻击!H78*HP!$B78</f>
        <v>4000</v>
      </c>
      <c r="H78" s="1">
        <f>攻击!I78*HP!$B78</f>
        <v>790</v>
      </c>
      <c r="I78" s="1">
        <f>攻击!J78*HP!$B78</f>
        <v>480</v>
      </c>
      <c r="J78" s="1">
        <f>攻击!K78*HP!$B78</f>
        <v>960</v>
      </c>
      <c r="K78" s="1">
        <f>攻击!L78*HP!$B78</f>
        <v>480</v>
      </c>
      <c r="L78" s="1">
        <f>攻击!M78*HP!$B78</f>
        <v>1280</v>
      </c>
      <c r="M78" s="1">
        <f>攻击!N78*HP!$B78</f>
        <v>1920</v>
      </c>
      <c r="N78" s="1">
        <f>攻击!O78*HP!$B78</f>
        <v>2400</v>
      </c>
      <c r="O78" s="1">
        <f>攻击!P78*HP!$B78</f>
        <v>3200</v>
      </c>
      <c r="P78" s="1">
        <f>攻击!Q78*HP!$B78</f>
        <v>4000</v>
      </c>
      <c r="Q78" s="1">
        <f>攻击!R78*HP!$B78</f>
        <v>4800</v>
      </c>
      <c r="R78" s="1">
        <f>攻击!S78*HP!$B78</f>
        <v>5600</v>
      </c>
      <c r="S78" s="1">
        <f>攻击!T78*HP!$B78</f>
        <v>1200</v>
      </c>
      <c r="T78" s="1">
        <f>攻击!U78*HP!$B78</f>
        <v>480</v>
      </c>
      <c r="U78" s="1">
        <f>攻击!V78*HP!$B78</f>
        <v>480</v>
      </c>
      <c r="V78" s="1">
        <f>攻击!W78*HP!$B78</f>
        <v>80</v>
      </c>
      <c r="W78" s="93">
        <f>攻击!X78</f>
        <v>0</v>
      </c>
      <c r="X78" s="93">
        <f>攻击!Y78</f>
        <v>0</v>
      </c>
      <c r="Y78" s="93">
        <f>攻击!Z78</f>
        <v>0</v>
      </c>
      <c r="Z78" s="93">
        <f>攻击!AA78</f>
        <v>0</v>
      </c>
      <c r="AA78" s="93">
        <f>攻击!AB78</f>
        <v>0</v>
      </c>
      <c r="AB78" s="1">
        <f>攻击!AC78*HP!$B78</f>
        <v>1600</v>
      </c>
      <c r="AC78" s="1">
        <f>攻击!AD78*HP!$B78</f>
        <v>1920</v>
      </c>
      <c r="AD78" s="1">
        <f>攻击!AE78*HP!$B78</f>
        <v>2400</v>
      </c>
      <c r="AE78" s="1">
        <f>攻击!AF78*HP!$B78</f>
        <v>3200</v>
      </c>
      <c r="AF78" s="1">
        <f>攻击!AG78*HP!$B78</f>
        <v>4000</v>
      </c>
      <c r="AG78" s="1">
        <f>攻击!AH78*HP!$B78</f>
        <v>800</v>
      </c>
      <c r="AH78" s="1">
        <f>攻击!AI78*HP!$B78</f>
        <v>320</v>
      </c>
      <c r="AI78" s="1">
        <f>攻击!AJ78*HP!$B78</f>
        <v>320</v>
      </c>
      <c r="AJ78" s="1">
        <f>攻击!AK78*HP!$B78</f>
        <v>48</v>
      </c>
      <c r="AK78" s="1">
        <f>攻击!AL78*HP!$B78</f>
        <v>1920</v>
      </c>
      <c r="AL78" s="93">
        <f>攻击!AM78</f>
        <v>0</v>
      </c>
      <c r="AM78" s="93">
        <f>攻击!AN78</f>
        <v>0</v>
      </c>
      <c r="AN78" s="93">
        <f>攻击!AO78</f>
        <v>0</v>
      </c>
      <c r="AO78" s="93">
        <f>攻击!AP78</f>
        <v>0</v>
      </c>
      <c r="AP78" s="93">
        <f>攻击!AQ78</f>
        <v>0</v>
      </c>
      <c r="AQ78" s="1">
        <f>攻击!AR78*HP!$B78</f>
        <v>320</v>
      </c>
      <c r="AR78" s="1">
        <f t="shared" si="2"/>
        <v>7840</v>
      </c>
    </row>
    <row r="79" spans="1:44">
      <c r="A79" s="46">
        <v>77</v>
      </c>
      <c r="B79" s="1">
        <f t="shared" si="3"/>
        <v>10</v>
      </c>
      <c r="C79" s="1">
        <f>攻击!D79*HP!$B79</f>
        <v>1620</v>
      </c>
      <c r="D79" s="1">
        <f>攻击!E79*HP!$B79</f>
        <v>1944</v>
      </c>
      <c r="E79" s="1">
        <f>攻击!F79*HP!$B79</f>
        <v>2430</v>
      </c>
      <c r="F79" s="1">
        <f>攻击!G79*HP!$B79</f>
        <v>3240</v>
      </c>
      <c r="G79" s="1">
        <f>攻击!H79*HP!$B79</f>
        <v>4050</v>
      </c>
      <c r="H79" s="1">
        <f>攻击!I79*HP!$B79</f>
        <v>790</v>
      </c>
      <c r="I79" s="1">
        <f>攻击!J79*HP!$B79</f>
        <v>486</v>
      </c>
      <c r="J79" s="1">
        <f>攻击!K79*HP!$B79</f>
        <v>972</v>
      </c>
      <c r="K79" s="1">
        <f>攻击!L79*HP!$B79</f>
        <v>486</v>
      </c>
      <c r="L79" s="1">
        <f>攻击!M79*HP!$B79</f>
        <v>1296</v>
      </c>
      <c r="M79" s="1">
        <f>攻击!N79*HP!$B79</f>
        <v>1944</v>
      </c>
      <c r="N79" s="1">
        <f>攻击!O79*HP!$B79</f>
        <v>2430</v>
      </c>
      <c r="O79" s="1">
        <f>攻击!P79*HP!$B79</f>
        <v>3240</v>
      </c>
      <c r="P79" s="1">
        <f>攻击!Q79*HP!$B79</f>
        <v>4050</v>
      </c>
      <c r="Q79" s="1">
        <f>攻击!R79*HP!$B79</f>
        <v>4860</v>
      </c>
      <c r="R79" s="1">
        <f>攻击!S79*HP!$B79</f>
        <v>5670</v>
      </c>
      <c r="S79" s="1">
        <f>攻击!T79*HP!$B79</f>
        <v>1215</v>
      </c>
      <c r="T79" s="1">
        <f>攻击!U79*HP!$B79</f>
        <v>486</v>
      </c>
      <c r="U79" s="1">
        <f>攻击!V79*HP!$B79</f>
        <v>486</v>
      </c>
      <c r="V79" s="1">
        <f>攻击!W79*HP!$B79</f>
        <v>81</v>
      </c>
      <c r="W79" s="93">
        <f>攻击!X79</f>
        <v>0</v>
      </c>
      <c r="X79" s="93">
        <f>攻击!Y79</f>
        <v>0</v>
      </c>
      <c r="Y79" s="93">
        <f>攻击!Z79</f>
        <v>0</v>
      </c>
      <c r="Z79" s="93">
        <f>攻击!AA79</f>
        <v>0</v>
      </c>
      <c r="AA79" s="93">
        <f>攻击!AB79</f>
        <v>0</v>
      </c>
      <c r="AB79" s="1">
        <f>攻击!AC79*HP!$B79</f>
        <v>1620</v>
      </c>
      <c r="AC79" s="1">
        <f>攻击!AD79*HP!$B79</f>
        <v>1944</v>
      </c>
      <c r="AD79" s="1">
        <f>攻击!AE79*HP!$B79</f>
        <v>2430</v>
      </c>
      <c r="AE79" s="1">
        <f>攻击!AF79*HP!$B79</f>
        <v>3240</v>
      </c>
      <c r="AF79" s="1">
        <f>攻击!AG79*HP!$B79</f>
        <v>4050</v>
      </c>
      <c r="AG79" s="1">
        <f>攻击!AH79*HP!$B79</f>
        <v>810</v>
      </c>
      <c r="AH79" s="1">
        <f>攻击!AI79*HP!$B79</f>
        <v>324</v>
      </c>
      <c r="AI79" s="1">
        <f>攻击!AJ79*HP!$B79</f>
        <v>324</v>
      </c>
      <c r="AJ79" s="1">
        <f>攻击!AK79*HP!$B79</f>
        <v>48.599999999999994</v>
      </c>
      <c r="AK79" s="1">
        <f>攻击!AL79*HP!$B79</f>
        <v>1944</v>
      </c>
      <c r="AL79" s="93">
        <f>攻击!AM79</f>
        <v>0</v>
      </c>
      <c r="AM79" s="93">
        <f>攻击!AN79</f>
        <v>0</v>
      </c>
      <c r="AN79" s="93">
        <f>攻击!AO79</f>
        <v>0</v>
      </c>
      <c r="AO79" s="93">
        <f>攻击!AP79</f>
        <v>0</v>
      </c>
      <c r="AP79" s="93">
        <f>攻击!AQ79</f>
        <v>0</v>
      </c>
      <c r="AQ79" s="1">
        <f>攻击!AR79*HP!$B79</f>
        <v>324</v>
      </c>
      <c r="AR79" s="1">
        <f t="shared" si="2"/>
        <v>7938</v>
      </c>
    </row>
    <row r="80" spans="1:44">
      <c r="A80" s="46">
        <v>78</v>
      </c>
      <c r="B80" s="1">
        <f t="shared" si="3"/>
        <v>10</v>
      </c>
      <c r="C80" s="1">
        <f>攻击!D80*HP!$B80</f>
        <v>1640</v>
      </c>
      <c r="D80" s="1">
        <f>攻击!E80*HP!$B80</f>
        <v>1967.9999999999998</v>
      </c>
      <c r="E80" s="1">
        <f>攻击!F80*HP!$B80</f>
        <v>2460</v>
      </c>
      <c r="F80" s="1">
        <f>攻击!G80*HP!$B80</f>
        <v>3280</v>
      </c>
      <c r="G80" s="1">
        <f>攻击!H80*HP!$B80</f>
        <v>4100</v>
      </c>
      <c r="H80" s="1">
        <f>攻击!I80*HP!$B80</f>
        <v>790</v>
      </c>
      <c r="I80" s="1">
        <f>攻击!J80*HP!$B80</f>
        <v>491.99999999999994</v>
      </c>
      <c r="J80" s="1">
        <f>攻击!K80*HP!$B80</f>
        <v>983.99999999999989</v>
      </c>
      <c r="K80" s="1">
        <f>攻击!L80*HP!$B80</f>
        <v>491.99999999999994</v>
      </c>
      <c r="L80" s="1">
        <f>攻击!M80*HP!$B80</f>
        <v>1312.0000000000002</v>
      </c>
      <c r="M80" s="1">
        <f>攻击!N80*HP!$B80</f>
        <v>1967.9999999999998</v>
      </c>
      <c r="N80" s="1">
        <f>攻击!O80*HP!$B80</f>
        <v>2460</v>
      </c>
      <c r="O80" s="1">
        <f>攻击!P80*HP!$B80</f>
        <v>3280</v>
      </c>
      <c r="P80" s="1">
        <f>攻击!Q80*HP!$B80</f>
        <v>4100</v>
      </c>
      <c r="Q80" s="1">
        <f>攻击!R80*HP!$B80</f>
        <v>4920</v>
      </c>
      <c r="R80" s="1">
        <f>攻击!S80*HP!$B80</f>
        <v>5740</v>
      </c>
      <c r="S80" s="1">
        <f>攻击!T80*HP!$B80</f>
        <v>1230</v>
      </c>
      <c r="T80" s="1">
        <f>攻击!U80*HP!$B80</f>
        <v>491.99999999999994</v>
      </c>
      <c r="U80" s="1">
        <f>攻击!V80*HP!$B80</f>
        <v>491.99999999999994</v>
      </c>
      <c r="V80" s="1">
        <f>攻击!W80*HP!$B80</f>
        <v>82.000000000000014</v>
      </c>
      <c r="W80" s="93">
        <f>攻击!X80</f>
        <v>0</v>
      </c>
      <c r="X80" s="93">
        <f>攻击!Y80</f>
        <v>0</v>
      </c>
      <c r="Y80" s="93">
        <f>攻击!Z80</f>
        <v>0</v>
      </c>
      <c r="Z80" s="93">
        <f>攻击!AA80</f>
        <v>0</v>
      </c>
      <c r="AA80" s="93">
        <f>攻击!AB80</f>
        <v>0</v>
      </c>
      <c r="AB80" s="1">
        <f>攻击!AC80*HP!$B80</f>
        <v>1640</v>
      </c>
      <c r="AC80" s="1">
        <f>攻击!AD80*HP!$B80</f>
        <v>1967.9999999999998</v>
      </c>
      <c r="AD80" s="1">
        <f>攻击!AE80*HP!$B80</f>
        <v>2460</v>
      </c>
      <c r="AE80" s="1">
        <f>攻击!AF80*HP!$B80</f>
        <v>3280</v>
      </c>
      <c r="AF80" s="1">
        <f>攻击!AG80*HP!$B80</f>
        <v>4100</v>
      </c>
      <c r="AG80" s="1">
        <f>攻击!AH80*HP!$B80</f>
        <v>820</v>
      </c>
      <c r="AH80" s="1">
        <f>攻击!AI80*HP!$B80</f>
        <v>328.00000000000006</v>
      </c>
      <c r="AI80" s="1">
        <f>攻击!AJ80*HP!$B80</f>
        <v>328.00000000000006</v>
      </c>
      <c r="AJ80" s="1">
        <f>攻击!AK80*HP!$B80</f>
        <v>49.2</v>
      </c>
      <c r="AK80" s="1">
        <f>攻击!AL80*HP!$B80</f>
        <v>1967.9999999999998</v>
      </c>
      <c r="AL80" s="93">
        <f>攻击!AM80</f>
        <v>0</v>
      </c>
      <c r="AM80" s="93">
        <f>攻击!AN80</f>
        <v>0</v>
      </c>
      <c r="AN80" s="93">
        <f>攻击!AO80</f>
        <v>0</v>
      </c>
      <c r="AO80" s="93">
        <f>攻击!AP80</f>
        <v>0</v>
      </c>
      <c r="AP80" s="93">
        <f>攻击!AQ80</f>
        <v>0</v>
      </c>
      <c r="AQ80" s="1">
        <f>攻击!AR80*HP!$B80</f>
        <v>328.00000000000006</v>
      </c>
      <c r="AR80" s="1">
        <f t="shared" si="2"/>
        <v>8036</v>
      </c>
    </row>
    <row r="81" spans="1:44">
      <c r="A81" s="46">
        <v>79</v>
      </c>
      <c r="B81" s="1">
        <f t="shared" si="3"/>
        <v>10</v>
      </c>
      <c r="C81" s="1">
        <f>攻击!D81*HP!$B81</f>
        <v>1660</v>
      </c>
      <c r="D81" s="1">
        <f>攻击!E81*HP!$B81</f>
        <v>1992</v>
      </c>
      <c r="E81" s="1">
        <f>攻击!F81*HP!$B81</f>
        <v>2490</v>
      </c>
      <c r="F81" s="1">
        <f>攻击!G81*HP!$B81</f>
        <v>3320</v>
      </c>
      <c r="G81" s="1">
        <f>攻击!H81*HP!$B81</f>
        <v>4150</v>
      </c>
      <c r="H81" s="1">
        <f>攻击!I81*HP!$B81</f>
        <v>790</v>
      </c>
      <c r="I81" s="1">
        <f>攻击!J81*HP!$B81</f>
        <v>498</v>
      </c>
      <c r="J81" s="1">
        <f>攻击!K81*HP!$B81</f>
        <v>996</v>
      </c>
      <c r="K81" s="1">
        <f>攻击!L81*HP!$B81</f>
        <v>498</v>
      </c>
      <c r="L81" s="1">
        <f>攻击!M81*HP!$B81</f>
        <v>1328</v>
      </c>
      <c r="M81" s="1">
        <f>攻击!N81*HP!$B81</f>
        <v>1992</v>
      </c>
      <c r="N81" s="1">
        <f>攻击!O81*HP!$B81</f>
        <v>2490</v>
      </c>
      <c r="O81" s="1">
        <f>攻击!P81*HP!$B81</f>
        <v>3320</v>
      </c>
      <c r="P81" s="1">
        <f>攻击!Q81*HP!$B81</f>
        <v>4150</v>
      </c>
      <c r="Q81" s="1">
        <f>攻击!R81*HP!$B81</f>
        <v>4980</v>
      </c>
      <c r="R81" s="1">
        <f>攻击!S81*HP!$B81</f>
        <v>5810</v>
      </c>
      <c r="S81" s="1">
        <f>攻击!T81*HP!$B81</f>
        <v>1245</v>
      </c>
      <c r="T81" s="1">
        <f>攻击!U81*HP!$B81</f>
        <v>498</v>
      </c>
      <c r="U81" s="1">
        <f>攻击!V81*HP!$B81</f>
        <v>498</v>
      </c>
      <c r="V81" s="1">
        <f>攻击!W81*HP!$B81</f>
        <v>83</v>
      </c>
      <c r="W81" s="93">
        <f>攻击!X81</f>
        <v>0</v>
      </c>
      <c r="X81" s="93">
        <f>攻击!Y81</f>
        <v>0</v>
      </c>
      <c r="Y81" s="93">
        <f>攻击!Z81</f>
        <v>0</v>
      </c>
      <c r="Z81" s="93">
        <f>攻击!AA81</f>
        <v>0</v>
      </c>
      <c r="AA81" s="93">
        <f>攻击!AB81</f>
        <v>0</v>
      </c>
      <c r="AB81" s="1">
        <f>攻击!AC81*HP!$B81</f>
        <v>1660</v>
      </c>
      <c r="AC81" s="1">
        <f>攻击!AD81*HP!$B81</f>
        <v>1992</v>
      </c>
      <c r="AD81" s="1">
        <f>攻击!AE81*HP!$B81</f>
        <v>2490</v>
      </c>
      <c r="AE81" s="1">
        <f>攻击!AF81*HP!$B81</f>
        <v>3320</v>
      </c>
      <c r="AF81" s="1">
        <f>攻击!AG81*HP!$B81</f>
        <v>4150</v>
      </c>
      <c r="AG81" s="1">
        <f>攻击!AH81*HP!$B81</f>
        <v>830</v>
      </c>
      <c r="AH81" s="1">
        <f>攻击!AI81*HP!$B81</f>
        <v>332</v>
      </c>
      <c r="AI81" s="1">
        <f>攻击!AJ81*HP!$B81</f>
        <v>332</v>
      </c>
      <c r="AJ81" s="1">
        <f>攻击!AK81*HP!$B81</f>
        <v>49.8</v>
      </c>
      <c r="AK81" s="1">
        <f>攻击!AL81*HP!$B81</f>
        <v>1992</v>
      </c>
      <c r="AL81" s="93">
        <f>攻击!AM81</f>
        <v>0</v>
      </c>
      <c r="AM81" s="93">
        <f>攻击!AN81</f>
        <v>0</v>
      </c>
      <c r="AN81" s="93">
        <f>攻击!AO81</f>
        <v>0</v>
      </c>
      <c r="AO81" s="93">
        <f>攻击!AP81</f>
        <v>0</v>
      </c>
      <c r="AP81" s="93">
        <f>攻击!AQ81</f>
        <v>0</v>
      </c>
      <c r="AQ81" s="1">
        <f>攻击!AR81*HP!$B81</f>
        <v>332</v>
      </c>
      <c r="AR81" s="1">
        <f t="shared" si="2"/>
        <v>8134</v>
      </c>
    </row>
    <row r="82" spans="1:44">
      <c r="A82" s="46">
        <v>80</v>
      </c>
      <c r="B82" s="1">
        <f t="shared" si="3"/>
        <v>10</v>
      </c>
      <c r="C82" s="1">
        <f>攻击!D82*HP!$B82</f>
        <v>1680</v>
      </c>
      <c r="D82" s="1">
        <f>攻击!E82*HP!$B82</f>
        <v>2016</v>
      </c>
      <c r="E82" s="1">
        <f>攻击!F82*HP!$B82</f>
        <v>2520</v>
      </c>
      <c r="F82" s="1">
        <f>攻击!G82*HP!$B82</f>
        <v>3360</v>
      </c>
      <c r="G82" s="1">
        <f>攻击!H82*HP!$B82</f>
        <v>4200</v>
      </c>
      <c r="H82" s="1">
        <f>攻击!I82*HP!$B82</f>
        <v>840</v>
      </c>
      <c r="I82" s="1">
        <f>攻击!J82*HP!$B82</f>
        <v>504</v>
      </c>
      <c r="J82" s="1">
        <f>攻击!K82*HP!$B82</f>
        <v>1008</v>
      </c>
      <c r="K82" s="1">
        <f>攻击!L82*HP!$B82</f>
        <v>504</v>
      </c>
      <c r="L82" s="1">
        <f>攻击!M82*HP!$B82</f>
        <v>1344</v>
      </c>
      <c r="M82" s="1">
        <f>攻击!N82*HP!$B82</f>
        <v>2016</v>
      </c>
      <c r="N82" s="1">
        <f>攻击!O82*HP!$B82</f>
        <v>2520</v>
      </c>
      <c r="O82" s="1">
        <f>攻击!P82*HP!$B82</f>
        <v>3360</v>
      </c>
      <c r="P82" s="1">
        <f>攻击!Q82*HP!$B82</f>
        <v>4200</v>
      </c>
      <c r="Q82" s="1">
        <f>攻击!R82*HP!$B82</f>
        <v>5040</v>
      </c>
      <c r="R82" s="1">
        <f>攻击!S82*HP!$B82</f>
        <v>5880</v>
      </c>
      <c r="S82" s="1">
        <f>攻击!T82*HP!$B82</f>
        <v>1260</v>
      </c>
      <c r="T82" s="1">
        <f>攻击!U82*HP!$B82</f>
        <v>504</v>
      </c>
      <c r="U82" s="1">
        <f>攻击!V82*HP!$B82</f>
        <v>504</v>
      </c>
      <c r="V82" s="1">
        <f>攻击!W82*HP!$B82</f>
        <v>84</v>
      </c>
      <c r="W82" s="93">
        <f>攻击!X82</f>
        <v>0.2</v>
      </c>
      <c r="X82" s="93">
        <f>攻击!Y82</f>
        <v>0.3</v>
      </c>
      <c r="Y82" s="93">
        <f>攻击!Z82</f>
        <v>0.5</v>
      </c>
      <c r="Z82" s="93">
        <f>攻击!AA82</f>
        <v>0.8</v>
      </c>
      <c r="AA82" s="93">
        <f>攻击!AB82</f>
        <v>1.2</v>
      </c>
      <c r="AB82" s="1">
        <f>攻击!AC82*HP!$B82</f>
        <v>1680</v>
      </c>
      <c r="AC82" s="1">
        <f>攻击!AD82*HP!$B82</f>
        <v>2016</v>
      </c>
      <c r="AD82" s="1">
        <f>攻击!AE82*HP!$B82</f>
        <v>2520</v>
      </c>
      <c r="AE82" s="1">
        <f>攻击!AF82*HP!$B82</f>
        <v>3360</v>
      </c>
      <c r="AF82" s="1">
        <f>攻击!AG82*HP!$B82</f>
        <v>4200</v>
      </c>
      <c r="AG82" s="1">
        <f>攻击!AH82*HP!$B82</f>
        <v>840</v>
      </c>
      <c r="AH82" s="1">
        <f>攻击!AI82*HP!$B82</f>
        <v>336</v>
      </c>
      <c r="AI82" s="1">
        <f>攻击!AJ82*HP!$B82</f>
        <v>336</v>
      </c>
      <c r="AJ82" s="1">
        <f>攻击!AK82*HP!$B82</f>
        <v>50.4</v>
      </c>
      <c r="AK82" s="1">
        <f>攻击!AL82*HP!$B82</f>
        <v>2016</v>
      </c>
      <c r="AL82" s="93">
        <f>攻击!AM82</f>
        <v>0.2</v>
      </c>
      <c r="AM82" s="93">
        <f>攻击!AN82</f>
        <v>0.3</v>
      </c>
      <c r="AN82" s="93">
        <f>攻击!AO82</f>
        <v>0.5</v>
      </c>
      <c r="AO82" s="93">
        <f>攻击!AP82</f>
        <v>0.8</v>
      </c>
      <c r="AP82" s="93">
        <f>攻击!AQ82</f>
        <v>1.2</v>
      </c>
      <c r="AQ82" s="1">
        <f>攻击!AR82*HP!$B82</f>
        <v>336</v>
      </c>
      <c r="AR82" s="1">
        <f t="shared" si="2"/>
        <v>8232</v>
      </c>
    </row>
    <row r="83" spans="1:44">
      <c r="A83" s="46">
        <v>81</v>
      </c>
      <c r="B83" s="1">
        <f t="shared" si="3"/>
        <v>10</v>
      </c>
      <c r="C83" s="1">
        <f>攻击!D83*HP!$B83</f>
        <v>1700</v>
      </c>
      <c r="D83" s="1">
        <f>攻击!E83*HP!$B83</f>
        <v>2040</v>
      </c>
      <c r="E83" s="1">
        <f>攻击!F83*HP!$B83</f>
        <v>2550</v>
      </c>
      <c r="F83" s="1">
        <f>攻击!G83*HP!$B83</f>
        <v>3400</v>
      </c>
      <c r="G83" s="1">
        <f>攻击!H83*HP!$B83</f>
        <v>4250</v>
      </c>
      <c r="H83" s="1">
        <f>攻击!I83*HP!$B83</f>
        <v>840</v>
      </c>
      <c r="I83" s="1">
        <f>攻击!J83*HP!$B83</f>
        <v>510</v>
      </c>
      <c r="J83" s="1">
        <f>攻击!K83*HP!$B83</f>
        <v>1020</v>
      </c>
      <c r="K83" s="1">
        <f>攻击!L83*HP!$B83</f>
        <v>510</v>
      </c>
      <c r="L83" s="1">
        <f>攻击!M83*HP!$B83</f>
        <v>1360</v>
      </c>
      <c r="M83" s="1">
        <f>攻击!N83*HP!$B83</f>
        <v>2040</v>
      </c>
      <c r="N83" s="1">
        <f>攻击!O83*HP!$B83</f>
        <v>2550</v>
      </c>
      <c r="O83" s="1">
        <f>攻击!P83*HP!$B83</f>
        <v>3400</v>
      </c>
      <c r="P83" s="1">
        <f>攻击!Q83*HP!$B83</f>
        <v>4250</v>
      </c>
      <c r="Q83" s="1">
        <f>攻击!R83*HP!$B83</f>
        <v>5100</v>
      </c>
      <c r="R83" s="1">
        <f>攻击!S83*HP!$B83</f>
        <v>5950</v>
      </c>
      <c r="S83" s="1">
        <f>攻击!T83*HP!$B83</f>
        <v>1275</v>
      </c>
      <c r="T83" s="1">
        <f>攻击!U83*HP!$B83</f>
        <v>510</v>
      </c>
      <c r="U83" s="1">
        <f>攻击!V83*HP!$B83</f>
        <v>510</v>
      </c>
      <c r="V83" s="1">
        <f>攻击!W83*HP!$B83</f>
        <v>85</v>
      </c>
      <c r="W83" s="93">
        <f>攻击!X83</f>
        <v>0.2</v>
      </c>
      <c r="X83" s="93">
        <f>攻击!Y83</f>
        <v>0.3</v>
      </c>
      <c r="Y83" s="93">
        <f>攻击!Z83</f>
        <v>0.5</v>
      </c>
      <c r="Z83" s="93">
        <f>攻击!AA83</f>
        <v>0.8</v>
      </c>
      <c r="AA83" s="93">
        <f>攻击!AB83</f>
        <v>1.2</v>
      </c>
      <c r="AB83" s="1">
        <f>攻击!AC83*HP!$B83</f>
        <v>1700</v>
      </c>
      <c r="AC83" s="1">
        <f>攻击!AD83*HP!$B83</f>
        <v>2040</v>
      </c>
      <c r="AD83" s="1">
        <f>攻击!AE83*HP!$B83</f>
        <v>2550</v>
      </c>
      <c r="AE83" s="1">
        <f>攻击!AF83*HP!$B83</f>
        <v>3400</v>
      </c>
      <c r="AF83" s="1">
        <f>攻击!AG83*HP!$B83</f>
        <v>4250</v>
      </c>
      <c r="AG83" s="1">
        <f>攻击!AH83*HP!$B83</f>
        <v>850</v>
      </c>
      <c r="AH83" s="1">
        <f>攻击!AI83*HP!$B83</f>
        <v>340</v>
      </c>
      <c r="AI83" s="1">
        <f>攻击!AJ83*HP!$B83</f>
        <v>340</v>
      </c>
      <c r="AJ83" s="1">
        <f>攻击!AK83*HP!$B83</f>
        <v>51</v>
      </c>
      <c r="AK83" s="1">
        <f>攻击!AL83*HP!$B83</f>
        <v>2040</v>
      </c>
      <c r="AL83" s="93">
        <f>攻击!AM83</f>
        <v>0.2</v>
      </c>
      <c r="AM83" s="93">
        <f>攻击!AN83</f>
        <v>0.3</v>
      </c>
      <c r="AN83" s="93">
        <f>攻击!AO83</f>
        <v>0.5</v>
      </c>
      <c r="AO83" s="93">
        <f>攻击!AP83</f>
        <v>0.8</v>
      </c>
      <c r="AP83" s="93">
        <f>攻击!AQ83</f>
        <v>1.2</v>
      </c>
      <c r="AQ83" s="1">
        <f>攻击!AR83*HP!$B83</f>
        <v>340</v>
      </c>
      <c r="AR83" s="1">
        <f t="shared" si="2"/>
        <v>8330</v>
      </c>
    </row>
    <row r="84" spans="1:44">
      <c r="A84" s="46">
        <v>82</v>
      </c>
      <c r="B84" s="1">
        <f t="shared" si="3"/>
        <v>10</v>
      </c>
      <c r="C84" s="1">
        <f>攻击!D84*HP!$B84</f>
        <v>1720</v>
      </c>
      <c r="D84" s="1">
        <f>攻击!E84*HP!$B84</f>
        <v>2064</v>
      </c>
      <c r="E84" s="1">
        <f>攻击!F84*HP!$B84</f>
        <v>2580</v>
      </c>
      <c r="F84" s="1">
        <f>攻击!G84*HP!$B84</f>
        <v>3440</v>
      </c>
      <c r="G84" s="1">
        <f>攻击!H84*HP!$B84</f>
        <v>4300</v>
      </c>
      <c r="H84" s="1">
        <f>攻击!I84*HP!$B84</f>
        <v>840</v>
      </c>
      <c r="I84" s="1">
        <f>攻击!J84*HP!$B84</f>
        <v>516</v>
      </c>
      <c r="J84" s="1">
        <f>攻击!K84*HP!$B84</f>
        <v>1032</v>
      </c>
      <c r="K84" s="1">
        <f>攻击!L84*HP!$B84</f>
        <v>516</v>
      </c>
      <c r="L84" s="1">
        <f>攻击!M84*HP!$B84</f>
        <v>1376</v>
      </c>
      <c r="M84" s="1">
        <f>攻击!N84*HP!$B84</f>
        <v>2064</v>
      </c>
      <c r="N84" s="1">
        <f>攻击!O84*HP!$B84</f>
        <v>2580</v>
      </c>
      <c r="O84" s="1">
        <f>攻击!P84*HP!$B84</f>
        <v>3440</v>
      </c>
      <c r="P84" s="1">
        <f>攻击!Q84*HP!$B84</f>
        <v>4300</v>
      </c>
      <c r="Q84" s="1">
        <f>攻击!R84*HP!$B84</f>
        <v>5160</v>
      </c>
      <c r="R84" s="1">
        <f>攻击!S84*HP!$B84</f>
        <v>6020</v>
      </c>
      <c r="S84" s="1">
        <f>攻击!T84*HP!$B84</f>
        <v>1290</v>
      </c>
      <c r="T84" s="1">
        <f>攻击!U84*HP!$B84</f>
        <v>516</v>
      </c>
      <c r="U84" s="1">
        <f>攻击!V84*HP!$B84</f>
        <v>516</v>
      </c>
      <c r="V84" s="1">
        <f>攻击!W84*HP!$B84</f>
        <v>86</v>
      </c>
      <c r="W84" s="93">
        <f>攻击!X84</f>
        <v>0.2</v>
      </c>
      <c r="X84" s="93">
        <f>攻击!Y84</f>
        <v>0.3</v>
      </c>
      <c r="Y84" s="93">
        <f>攻击!Z84</f>
        <v>0.5</v>
      </c>
      <c r="Z84" s="93">
        <f>攻击!AA84</f>
        <v>0.8</v>
      </c>
      <c r="AA84" s="93">
        <f>攻击!AB84</f>
        <v>1.2</v>
      </c>
      <c r="AB84" s="1">
        <f>攻击!AC84*HP!$B84</f>
        <v>1720</v>
      </c>
      <c r="AC84" s="1">
        <f>攻击!AD84*HP!$B84</f>
        <v>2064</v>
      </c>
      <c r="AD84" s="1">
        <f>攻击!AE84*HP!$B84</f>
        <v>2580</v>
      </c>
      <c r="AE84" s="1">
        <f>攻击!AF84*HP!$B84</f>
        <v>3440</v>
      </c>
      <c r="AF84" s="1">
        <f>攻击!AG84*HP!$B84</f>
        <v>4300</v>
      </c>
      <c r="AG84" s="1">
        <f>攻击!AH84*HP!$B84</f>
        <v>860</v>
      </c>
      <c r="AH84" s="1">
        <f>攻击!AI84*HP!$B84</f>
        <v>344</v>
      </c>
      <c r="AI84" s="1">
        <f>攻击!AJ84*HP!$B84</f>
        <v>344</v>
      </c>
      <c r="AJ84" s="1">
        <f>攻击!AK84*HP!$B84</f>
        <v>51.6</v>
      </c>
      <c r="AK84" s="1">
        <f>攻击!AL84*HP!$B84</f>
        <v>2064</v>
      </c>
      <c r="AL84" s="93">
        <f>攻击!AM84</f>
        <v>0.2</v>
      </c>
      <c r="AM84" s="93">
        <f>攻击!AN84</f>
        <v>0.3</v>
      </c>
      <c r="AN84" s="93">
        <f>攻击!AO84</f>
        <v>0.5</v>
      </c>
      <c r="AO84" s="93">
        <f>攻击!AP84</f>
        <v>0.8</v>
      </c>
      <c r="AP84" s="93">
        <f>攻击!AQ84</f>
        <v>1.2</v>
      </c>
      <c r="AQ84" s="1">
        <f>攻击!AR84*HP!$B84</f>
        <v>344</v>
      </c>
      <c r="AR84" s="1">
        <f t="shared" si="2"/>
        <v>8428</v>
      </c>
    </row>
    <row r="85" spans="1:44">
      <c r="A85" s="46">
        <v>83</v>
      </c>
      <c r="B85" s="1">
        <f t="shared" si="3"/>
        <v>10</v>
      </c>
      <c r="C85" s="1">
        <f>攻击!D85*HP!$B85</f>
        <v>1740</v>
      </c>
      <c r="D85" s="1">
        <f>攻击!E85*HP!$B85</f>
        <v>2088</v>
      </c>
      <c r="E85" s="1">
        <f>攻击!F85*HP!$B85</f>
        <v>2610</v>
      </c>
      <c r="F85" s="1">
        <f>攻击!G85*HP!$B85</f>
        <v>3480</v>
      </c>
      <c r="G85" s="1">
        <f>攻击!H85*HP!$B85</f>
        <v>4350</v>
      </c>
      <c r="H85" s="1">
        <f>攻击!I85*HP!$B85</f>
        <v>840</v>
      </c>
      <c r="I85" s="1">
        <f>攻击!J85*HP!$B85</f>
        <v>522</v>
      </c>
      <c r="J85" s="1">
        <f>攻击!K85*HP!$B85</f>
        <v>1044</v>
      </c>
      <c r="K85" s="1">
        <f>攻击!L85*HP!$B85</f>
        <v>522</v>
      </c>
      <c r="L85" s="1">
        <f>攻击!M85*HP!$B85</f>
        <v>1392.0000000000002</v>
      </c>
      <c r="M85" s="1">
        <f>攻击!N85*HP!$B85</f>
        <v>2088</v>
      </c>
      <c r="N85" s="1">
        <f>攻击!O85*HP!$B85</f>
        <v>2610</v>
      </c>
      <c r="O85" s="1">
        <f>攻击!P85*HP!$B85</f>
        <v>3480</v>
      </c>
      <c r="P85" s="1">
        <f>攻击!Q85*HP!$B85</f>
        <v>4350</v>
      </c>
      <c r="Q85" s="1">
        <f>攻击!R85*HP!$B85</f>
        <v>5220</v>
      </c>
      <c r="R85" s="1">
        <f>攻击!S85*HP!$B85</f>
        <v>6090</v>
      </c>
      <c r="S85" s="1">
        <f>攻击!T85*HP!$B85</f>
        <v>1305</v>
      </c>
      <c r="T85" s="1">
        <f>攻击!U85*HP!$B85</f>
        <v>522</v>
      </c>
      <c r="U85" s="1">
        <f>攻击!V85*HP!$B85</f>
        <v>522</v>
      </c>
      <c r="V85" s="1">
        <f>攻击!W85*HP!$B85</f>
        <v>87.000000000000014</v>
      </c>
      <c r="W85" s="93">
        <f>攻击!X85</f>
        <v>0.2</v>
      </c>
      <c r="X85" s="93">
        <f>攻击!Y85</f>
        <v>0.3</v>
      </c>
      <c r="Y85" s="93">
        <f>攻击!Z85</f>
        <v>0.5</v>
      </c>
      <c r="Z85" s="93">
        <f>攻击!AA85</f>
        <v>0.8</v>
      </c>
      <c r="AA85" s="93">
        <f>攻击!AB85</f>
        <v>1.2</v>
      </c>
      <c r="AB85" s="1">
        <f>攻击!AC85*HP!$B85</f>
        <v>1740</v>
      </c>
      <c r="AC85" s="1">
        <f>攻击!AD85*HP!$B85</f>
        <v>2088</v>
      </c>
      <c r="AD85" s="1">
        <f>攻击!AE85*HP!$B85</f>
        <v>2610</v>
      </c>
      <c r="AE85" s="1">
        <f>攻击!AF85*HP!$B85</f>
        <v>3480</v>
      </c>
      <c r="AF85" s="1">
        <f>攻击!AG85*HP!$B85</f>
        <v>4350</v>
      </c>
      <c r="AG85" s="1">
        <f>攻击!AH85*HP!$B85</f>
        <v>870</v>
      </c>
      <c r="AH85" s="1">
        <f>攻击!AI85*HP!$B85</f>
        <v>348.00000000000006</v>
      </c>
      <c r="AI85" s="1">
        <f>攻击!AJ85*HP!$B85</f>
        <v>348.00000000000006</v>
      </c>
      <c r="AJ85" s="1">
        <f>攻击!AK85*HP!$B85</f>
        <v>52.199999999999996</v>
      </c>
      <c r="AK85" s="1">
        <f>攻击!AL85*HP!$B85</f>
        <v>2088</v>
      </c>
      <c r="AL85" s="93">
        <f>攻击!AM85</f>
        <v>0.2</v>
      </c>
      <c r="AM85" s="93">
        <f>攻击!AN85</f>
        <v>0.3</v>
      </c>
      <c r="AN85" s="93">
        <f>攻击!AO85</f>
        <v>0.5</v>
      </c>
      <c r="AO85" s="93">
        <f>攻击!AP85</f>
        <v>0.8</v>
      </c>
      <c r="AP85" s="93">
        <f>攻击!AQ85</f>
        <v>1.2</v>
      </c>
      <c r="AQ85" s="1">
        <f>攻击!AR85*HP!$B85</f>
        <v>348.00000000000006</v>
      </c>
      <c r="AR85" s="1">
        <f t="shared" si="2"/>
        <v>8526</v>
      </c>
    </row>
    <row r="86" spans="1:44">
      <c r="A86" s="46">
        <v>84</v>
      </c>
      <c r="B86" s="1">
        <f t="shared" si="3"/>
        <v>10</v>
      </c>
      <c r="C86" s="1">
        <f>攻击!D86*HP!$B86</f>
        <v>1760</v>
      </c>
      <c r="D86" s="1">
        <f>攻击!E86*HP!$B86</f>
        <v>2112</v>
      </c>
      <c r="E86" s="1">
        <f>攻击!F86*HP!$B86</f>
        <v>2640</v>
      </c>
      <c r="F86" s="1">
        <f>攻击!G86*HP!$B86</f>
        <v>3520</v>
      </c>
      <c r="G86" s="1">
        <f>攻击!H86*HP!$B86</f>
        <v>4400</v>
      </c>
      <c r="H86" s="1">
        <f>攻击!I86*HP!$B86</f>
        <v>840</v>
      </c>
      <c r="I86" s="1">
        <f>攻击!J86*HP!$B86</f>
        <v>528</v>
      </c>
      <c r="J86" s="1">
        <f>攻击!K86*HP!$B86</f>
        <v>1056</v>
      </c>
      <c r="K86" s="1">
        <f>攻击!L86*HP!$B86</f>
        <v>528</v>
      </c>
      <c r="L86" s="1">
        <f>攻击!M86*HP!$B86</f>
        <v>1408</v>
      </c>
      <c r="M86" s="1">
        <f>攻击!N86*HP!$B86</f>
        <v>2112</v>
      </c>
      <c r="N86" s="1">
        <f>攻击!O86*HP!$B86</f>
        <v>2640</v>
      </c>
      <c r="O86" s="1">
        <f>攻击!P86*HP!$B86</f>
        <v>3520</v>
      </c>
      <c r="P86" s="1">
        <f>攻击!Q86*HP!$B86</f>
        <v>4400</v>
      </c>
      <c r="Q86" s="1">
        <f>攻击!R86*HP!$B86</f>
        <v>5280</v>
      </c>
      <c r="R86" s="1">
        <f>攻击!S86*HP!$B86</f>
        <v>6160</v>
      </c>
      <c r="S86" s="1">
        <f>攻击!T86*HP!$B86</f>
        <v>1320</v>
      </c>
      <c r="T86" s="1">
        <f>攻击!U86*HP!$B86</f>
        <v>528</v>
      </c>
      <c r="U86" s="1">
        <f>攻击!V86*HP!$B86</f>
        <v>528</v>
      </c>
      <c r="V86" s="1">
        <f>攻击!W86*HP!$B86</f>
        <v>88</v>
      </c>
      <c r="W86" s="93">
        <f>攻击!X86</f>
        <v>0.2</v>
      </c>
      <c r="X86" s="93">
        <f>攻击!Y86</f>
        <v>0.3</v>
      </c>
      <c r="Y86" s="93">
        <f>攻击!Z86</f>
        <v>0.5</v>
      </c>
      <c r="Z86" s="93">
        <f>攻击!AA86</f>
        <v>0.8</v>
      </c>
      <c r="AA86" s="93">
        <f>攻击!AB86</f>
        <v>1.2</v>
      </c>
      <c r="AB86" s="1">
        <f>攻击!AC86*HP!$B86</f>
        <v>1760</v>
      </c>
      <c r="AC86" s="1">
        <f>攻击!AD86*HP!$B86</f>
        <v>2112</v>
      </c>
      <c r="AD86" s="1">
        <f>攻击!AE86*HP!$B86</f>
        <v>2640</v>
      </c>
      <c r="AE86" s="1">
        <f>攻击!AF86*HP!$B86</f>
        <v>3520</v>
      </c>
      <c r="AF86" s="1">
        <f>攻击!AG86*HP!$B86</f>
        <v>4400</v>
      </c>
      <c r="AG86" s="1">
        <f>攻击!AH86*HP!$B86</f>
        <v>880</v>
      </c>
      <c r="AH86" s="1">
        <f>攻击!AI86*HP!$B86</f>
        <v>352</v>
      </c>
      <c r="AI86" s="1">
        <f>攻击!AJ86*HP!$B86</f>
        <v>352</v>
      </c>
      <c r="AJ86" s="1">
        <f>攻击!AK86*HP!$B86</f>
        <v>52.8</v>
      </c>
      <c r="AK86" s="1">
        <f>攻击!AL86*HP!$B86</f>
        <v>2112</v>
      </c>
      <c r="AL86" s="93">
        <f>攻击!AM86</f>
        <v>0.2</v>
      </c>
      <c r="AM86" s="93">
        <f>攻击!AN86</f>
        <v>0.3</v>
      </c>
      <c r="AN86" s="93">
        <f>攻击!AO86</f>
        <v>0.5</v>
      </c>
      <c r="AO86" s="93">
        <f>攻击!AP86</f>
        <v>0.8</v>
      </c>
      <c r="AP86" s="93">
        <f>攻击!AQ86</f>
        <v>1.2</v>
      </c>
      <c r="AQ86" s="1">
        <f>攻击!AR86*HP!$B86</f>
        <v>352</v>
      </c>
      <c r="AR86" s="1">
        <f t="shared" si="2"/>
        <v>8624</v>
      </c>
    </row>
    <row r="87" spans="1:44">
      <c r="A87" s="46">
        <v>85</v>
      </c>
      <c r="B87" s="1">
        <f t="shared" si="3"/>
        <v>10</v>
      </c>
      <c r="C87" s="1">
        <f>攻击!D87*HP!$B87</f>
        <v>1780</v>
      </c>
      <c r="D87" s="1">
        <f>攻击!E87*HP!$B87</f>
        <v>2136</v>
      </c>
      <c r="E87" s="1">
        <f>攻击!F87*HP!$B87</f>
        <v>2670</v>
      </c>
      <c r="F87" s="1">
        <f>攻击!G87*HP!$B87</f>
        <v>3560</v>
      </c>
      <c r="G87" s="1">
        <f>攻击!H87*HP!$B87</f>
        <v>4450</v>
      </c>
      <c r="H87" s="1">
        <f>攻击!I87*HP!$B87</f>
        <v>890</v>
      </c>
      <c r="I87" s="1">
        <f>攻击!J87*HP!$B87</f>
        <v>534</v>
      </c>
      <c r="J87" s="1">
        <f>攻击!K87*HP!$B87</f>
        <v>1068</v>
      </c>
      <c r="K87" s="1">
        <f>攻击!L87*HP!$B87</f>
        <v>534</v>
      </c>
      <c r="L87" s="1">
        <f>攻击!M87*HP!$B87</f>
        <v>1424</v>
      </c>
      <c r="M87" s="1">
        <f>攻击!N87*HP!$B87</f>
        <v>2136</v>
      </c>
      <c r="N87" s="1">
        <f>攻击!O87*HP!$B87</f>
        <v>2670</v>
      </c>
      <c r="O87" s="1">
        <f>攻击!P87*HP!$B87</f>
        <v>3560</v>
      </c>
      <c r="P87" s="1">
        <f>攻击!Q87*HP!$B87</f>
        <v>4450</v>
      </c>
      <c r="Q87" s="1">
        <f>攻击!R87*HP!$B87</f>
        <v>5340</v>
      </c>
      <c r="R87" s="1">
        <f>攻击!S87*HP!$B87</f>
        <v>6230</v>
      </c>
      <c r="S87" s="1">
        <f>攻击!T87*HP!$B87</f>
        <v>1335</v>
      </c>
      <c r="T87" s="1">
        <f>攻击!U87*HP!$B87</f>
        <v>534</v>
      </c>
      <c r="U87" s="1">
        <f>攻击!V87*HP!$B87</f>
        <v>534</v>
      </c>
      <c r="V87" s="1">
        <f>攻击!W87*HP!$B87</f>
        <v>89</v>
      </c>
      <c r="W87" s="93">
        <f>攻击!X87</f>
        <v>0.2</v>
      </c>
      <c r="X87" s="93">
        <f>攻击!Y87</f>
        <v>0.3</v>
      </c>
      <c r="Y87" s="93">
        <f>攻击!Z87</f>
        <v>0.5</v>
      </c>
      <c r="Z87" s="93">
        <f>攻击!AA87</f>
        <v>0.8</v>
      </c>
      <c r="AA87" s="93">
        <f>攻击!AB87</f>
        <v>1.2</v>
      </c>
      <c r="AB87" s="1">
        <f>攻击!AC87*HP!$B87</f>
        <v>1780</v>
      </c>
      <c r="AC87" s="1">
        <f>攻击!AD87*HP!$B87</f>
        <v>2136</v>
      </c>
      <c r="AD87" s="1">
        <f>攻击!AE87*HP!$B87</f>
        <v>2670</v>
      </c>
      <c r="AE87" s="1">
        <f>攻击!AF87*HP!$B87</f>
        <v>3560</v>
      </c>
      <c r="AF87" s="1">
        <f>攻击!AG87*HP!$B87</f>
        <v>4450</v>
      </c>
      <c r="AG87" s="1">
        <f>攻击!AH87*HP!$B87</f>
        <v>890</v>
      </c>
      <c r="AH87" s="1">
        <f>攻击!AI87*HP!$B87</f>
        <v>356</v>
      </c>
      <c r="AI87" s="1">
        <f>攻击!AJ87*HP!$B87</f>
        <v>356</v>
      </c>
      <c r="AJ87" s="1">
        <f>攻击!AK87*HP!$B87</f>
        <v>53.4</v>
      </c>
      <c r="AK87" s="1">
        <f>攻击!AL87*HP!$B87</f>
        <v>2136</v>
      </c>
      <c r="AL87" s="93">
        <f>攻击!AM87</f>
        <v>0.2</v>
      </c>
      <c r="AM87" s="93">
        <f>攻击!AN87</f>
        <v>0.3</v>
      </c>
      <c r="AN87" s="93">
        <f>攻击!AO87</f>
        <v>0.5</v>
      </c>
      <c r="AO87" s="93">
        <f>攻击!AP87</f>
        <v>0.8</v>
      </c>
      <c r="AP87" s="93">
        <f>攻击!AQ87</f>
        <v>1.2</v>
      </c>
      <c r="AQ87" s="1">
        <f>攻击!AR87*HP!$B87</f>
        <v>356</v>
      </c>
      <c r="AR87" s="1">
        <f t="shared" si="2"/>
        <v>8722</v>
      </c>
    </row>
    <row r="88" spans="1:44">
      <c r="A88" s="46">
        <v>86</v>
      </c>
      <c r="B88" s="1">
        <f t="shared" si="3"/>
        <v>10</v>
      </c>
      <c r="C88" s="1">
        <f>攻击!D88*HP!$B88</f>
        <v>1800</v>
      </c>
      <c r="D88" s="1">
        <f>攻击!E88*HP!$B88</f>
        <v>2160</v>
      </c>
      <c r="E88" s="1">
        <f>攻击!F88*HP!$B88</f>
        <v>2700</v>
      </c>
      <c r="F88" s="1">
        <f>攻击!G88*HP!$B88</f>
        <v>3600</v>
      </c>
      <c r="G88" s="1">
        <f>攻击!H88*HP!$B88</f>
        <v>4500</v>
      </c>
      <c r="H88" s="1">
        <f>攻击!I88*HP!$B88</f>
        <v>890</v>
      </c>
      <c r="I88" s="1">
        <f>攻击!J88*HP!$B88</f>
        <v>540</v>
      </c>
      <c r="J88" s="1">
        <f>攻击!K88*HP!$B88</f>
        <v>1080</v>
      </c>
      <c r="K88" s="1">
        <f>攻击!L88*HP!$B88</f>
        <v>540</v>
      </c>
      <c r="L88" s="1">
        <f>攻击!M88*HP!$B88</f>
        <v>1440</v>
      </c>
      <c r="M88" s="1">
        <f>攻击!N88*HP!$B88</f>
        <v>2160</v>
      </c>
      <c r="N88" s="1">
        <f>攻击!O88*HP!$B88</f>
        <v>2700</v>
      </c>
      <c r="O88" s="1">
        <f>攻击!P88*HP!$B88</f>
        <v>3600</v>
      </c>
      <c r="P88" s="1">
        <f>攻击!Q88*HP!$B88</f>
        <v>4500</v>
      </c>
      <c r="Q88" s="1">
        <f>攻击!R88*HP!$B88</f>
        <v>5400</v>
      </c>
      <c r="R88" s="1">
        <f>攻击!S88*HP!$B88</f>
        <v>6300</v>
      </c>
      <c r="S88" s="1">
        <f>攻击!T88*HP!$B88</f>
        <v>1350</v>
      </c>
      <c r="T88" s="1">
        <f>攻击!U88*HP!$B88</f>
        <v>540</v>
      </c>
      <c r="U88" s="1">
        <f>攻击!V88*HP!$B88</f>
        <v>540</v>
      </c>
      <c r="V88" s="1">
        <f>攻击!W88*HP!$B88</f>
        <v>90</v>
      </c>
      <c r="W88" s="93">
        <f>攻击!X88</f>
        <v>0.2</v>
      </c>
      <c r="X88" s="93">
        <f>攻击!Y88</f>
        <v>0.3</v>
      </c>
      <c r="Y88" s="93">
        <f>攻击!Z88</f>
        <v>0.5</v>
      </c>
      <c r="Z88" s="93">
        <f>攻击!AA88</f>
        <v>0.8</v>
      </c>
      <c r="AA88" s="93">
        <f>攻击!AB88</f>
        <v>1.2</v>
      </c>
      <c r="AB88" s="1">
        <f>攻击!AC88*HP!$B88</f>
        <v>1800</v>
      </c>
      <c r="AC88" s="1">
        <f>攻击!AD88*HP!$B88</f>
        <v>2160</v>
      </c>
      <c r="AD88" s="1">
        <f>攻击!AE88*HP!$B88</f>
        <v>2700</v>
      </c>
      <c r="AE88" s="1">
        <f>攻击!AF88*HP!$B88</f>
        <v>3600</v>
      </c>
      <c r="AF88" s="1">
        <f>攻击!AG88*HP!$B88</f>
        <v>4500</v>
      </c>
      <c r="AG88" s="1">
        <f>攻击!AH88*HP!$B88</f>
        <v>900</v>
      </c>
      <c r="AH88" s="1">
        <f>攻击!AI88*HP!$B88</f>
        <v>360</v>
      </c>
      <c r="AI88" s="1">
        <f>攻击!AJ88*HP!$B88</f>
        <v>360</v>
      </c>
      <c r="AJ88" s="1">
        <f>攻击!AK88*HP!$B88</f>
        <v>53.999999999999993</v>
      </c>
      <c r="AK88" s="1">
        <f>攻击!AL88*HP!$B88</f>
        <v>2160</v>
      </c>
      <c r="AL88" s="93">
        <f>攻击!AM88</f>
        <v>0.2</v>
      </c>
      <c r="AM88" s="93">
        <f>攻击!AN88</f>
        <v>0.3</v>
      </c>
      <c r="AN88" s="93">
        <f>攻击!AO88</f>
        <v>0.5</v>
      </c>
      <c r="AO88" s="93">
        <f>攻击!AP88</f>
        <v>0.8</v>
      </c>
      <c r="AP88" s="93">
        <f>攻击!AQ88</f>
        <v>1.2</v>
      </c>
      <c r="AQ88" s="1">
        <f>攻击!AR88*HP!$B88</f>
        <v>360</v>
      </c>
      <c r="AR88" s="1">
        <f t="shared" si="2"/>
        <v>8820</v>
      </c>
    </row>
    <row r="89" spans="1:44">
      <c r="A89" s="46">
        <v>87</v>
      </c>
      <c r="B89" s="1">
        <f t="shared" si="3"/>
        <v>10</v>
      </c>
      <c r="C89" s="1">
        <f>攻击!D89*HP!$B89</f>
        <v>1820</v>
      </c>
      <c r="D89" s="1">
        <f>攻击!E89*HP!$B89</f>
        <v>2184</v>
      </c>
      <c r="E89" s="1">
        <f>攻击!F89*HP!$B89</f>
        <v>2730</v>
      </c>
      <c r="F89" s="1">
        <f>攻击!G89*HP!$B89</f>
        <v>3640</v>
      </c>
      <c r="G89" s="1">
        <f>攻击!H89*HP!$B89</f>
        <v>4550</v>
      </c>
      <c r="H89" s="1">
        <f>攻击!I89*HP!$B89</f>
        <v>890</v>
      </c>
      <c r="I89" s="1">
        <f>攻击!J89*HP!$B89</f>
        <v>546</v>
      </c>
      <c r="J89" s="1">
        <f>攻击!K89*HP!$B89</f>
        <v>1092</v>
      </c>
      <c r="K89" s="1">
        <f>攻击!L89*HP!$B89</f>
        <v>546</v>
      </c>
      <c r="L89" s="1">
        <f>攻击!M89*HP!$B89</f>
        <v>1456</v>
      </c>
      <c r="M89" s="1">
        <f>攻击!N89*HP!$B89</f>
        <v>2184</v>
      </c>
      <c r="N89" s="1">
        <f>攻击!O89*HP!$B89</f>
        <v>2730</v>
      </c>
      <c r="O89" s="1">
        <f>攻击!P89*HP!$B89</f>
        <v>3640</v>
      </c>
      <c r="P89" s="1">
        <f>攻击!Q89*HP!$B89</f>
        <v>4550</v>
      </c>
      <c r="Q89" s="1">
        <f>攻击!R89*HP!$B89</f>
        <v>5460</v>
      </c>
      <c r="R89" s="1">
        <f>攻击!S89*HP!$B89</f>
        <v>6370</v>
      </c>
      <c r="S89" s="1">
        <f>攻击!T89*HP!$B89</f>
        <v>1365</v>
      </c>
      <c r="T89" s="1">
        <f>攻击!U89*HP!$B89</f>
        <v>546</v>
      </c>
      <c r="U89" s="1">
        <f>攻击!V89*HP!$B89</f>
        <v>546</v>
      </c>
      <c r="V89" s="1">
        <f>攻击!W89*HP!$B89</f>
        <v>91</v>
      </c>
      <c r="W89" s="93">
        <f>攻击!X89</f>
        <v>0.2</v>
      </c>
      <c r="X89" s="93">
        <f>攻击!Y89</f>
        <v>0.3</v>
      </c>
      <c r="Y89" s="93">
        <f>攻击!Z89</f>
        <v>0.5</v>
      </c>
      <c r="Z89" s="93">
        <f>攻击!AA89</f>
        <v>0.8</v>
      </c>
      <c r="AA89" s="93">
        <f>攻击!AB89</f>
        <v>1.2</v>
      </c>
      <c r="AB89" s="1">
        <f>攻击!AC89*HP!$B89</f>
        <v>1820</v>
      </c>
      <c r="AC89" s="1">
        <f>攻击!AD89*HP!$B89</f>
        <v>2184</v>
      </c>
      <c r="AD89" s="1">
        <f>攻击!AE89*HP!$B89</f>
        <v>2730</v>
      </c>
      <c r="AE89" s="1">
        <f>攻击!AF89*HP!$B89</f>
        <v>3640</v>
      </c>
      <c r="AF89" s="1">
        <f>攻击!AG89*HP!$B89</f>
        <v>4550</v>
      </c>
      <c r="AG89" s="1">
        <f>攻击!AH89*HP!$B89</f>
        <v>910</v>
      </c>
      <c r="AH89" s="1">
        <f>攻击!AI89*HP!$B89</f>
        <v>364</v>
      </c>
      <c r="AI89" s="1">
        <f>攻击!AJ89*HP!$B89</f>
        <v>364</v>
      </c>
      <c r="AJ89" s="1">
        <f>攻击!AK89*HP!$B89</f>
        <v>54.6</v>
      </c>
      <c r="AK89" s="1">
        <f>攻击!AL89*HP!$B89</f>
        <v>2184</v>
      </c>
      <c r="AL89" s="93">
        <f>攻击!AM89</f>
        <v>0.2</v>
      </c>
      <c r="AM89" s="93">
        <f>攻击!AN89</f>
        <v>0.3</v>
      </c>
      <c r="AN89" s="93">
        <f>攻击!AO89</f>
        <v>0.5</v>
      </c>
      <c r="AO89" s="93">
        <f>攻击!AP89</f>
        <v>0.8</v>
      </c>
      <c r="AP89" s="93">
        <f>攻击!AQ89</f>
        <v>1.2</v>
      </c>
      <c r="AQ89" s="1">
        <f>攻击!AR89*HP!$B89</f>
        <v>364</v>
      </c>
      <c r="AR89" s="1">
        <f t="shared" si="2"/>
        <v>8918</v>
      </c>
    </row>
    <row r="90" spans="1:44">
      <c r="A90" s="46">
        <v>88</v>
      </c>
      <c r="B90" s="1">
        <f t="shared" si="3"/>
        <v>10</v>
      </c>
      <c r="C90" s="1">
        <f>攻击!D90*HP!$B90</f>
        <v>1840</v>
      </c>
      <c r="D90" s="1">
        <f>攻击!E90*HP!$B90</f>
        <v>2208</v>
      </c>
      <c r="E90" s="1">
        <f>攻击!F90*HP!$B90</f>
        <v>2760</v>
      </c>
      <c r="F90" s="1">
        <f>攻击!G90*HP!$B90</f>
        <v>3680</v>
      </c>
      <c r="G90" s="1">
        <f>攻击!H90*HP!$B90</f>
        <v>4600</v>
      </c>
      <c r="H90" s="1">
        <f>攻击!I90*HP!$B90</f>
        <v>890</v>
      </c>
      <c r="I90" s="1">
        <f>攻击!J90*HP!$B90</f>
        <v>552</v>
      </c>
      <c r="J90" s="1">
        <f>攻击!K90*HP!$B90</f>
        <v>1104</v>
      </c>
      <c r="K90" s="1">
        <f>攻击!L90*HP!$B90</f>
        <v>552</v>
      </c>
      <c r="L90" s="1">
        <f>攻击!M90*HP!$B90</f>
        <v>1472.0000000000002</v>
      </c>
      <c r="M90" s="1">
        <f>攻击!N90*HP!$B90</f>
        <v>2208</v>
      </c>
      <c r="N90" s="1">
        <f>攻击!O90*HP!$B90</f>
        <v>2760</v>
      </c>
      <c r="O90" s="1">
        <f>攻击!P90*HP!$B90</f>
        <v>3680</v>
      </c>
      <c r="P90" s="1">
        <f>攻击!Q90*HP!$B90</f>
        <v>4600</v>
      </c>
      <c r="Q90" s="1">
        <f>攻击!R90*HP!$B90</f>
        <v>5520</v>
      </c>
      <c r="R90" s="1">
        <f>攻击!S90*HP!$B90</f>
        <v>6440</v>
      </c>
      <c r="S90" s="1">
        <f>攻击!T90*HP!$B90</f>
        <v>1380</v>
      </c>
      <c r="T90" s="1">
        <f>攻击!U90*HP!$B90</f>
        <v>552</v>
      </c>
      <c r="U90" s="1">
        <f>攻击!V90*HP!$B90</f>
        <v>552</v>
      </c>
      <c r="V90" s="1">
        <f>攻击!W90*HP!$B90</f>
        <v>92.000000000000014</v>
      </c>
      <c r="W90" s="93">
        <f>攻击!X90</f>
        <v>0.2</v>
      </c>
      <c r="X90" s="93">
        <f>攻击!Y90</f>
        <v>0.3</v>
      </c>
      <c r="Y90" s="93">
        <f>攻击!Z90</f>
        <v>0.5</v>
      </c>
      <c r="Z90" s="93">
        <f>攻击!AA90</f>
        <v>0.8</v>
      </c>
      <c r="AA90" s="93">
        <f>攻击!AB90</f>
        <v>1.2</v>
      </c>
      <c r="AB90" s="1">
        <f>攻击!AC90*HP!$B90</f>
        <v>1840</v>
      </c>
      <c r="AC90" s="1">
        <f>攻击!AD90*HP!$B90</f>
        <v>2208</v>
      </c>
      <c r="AD90" s="1">
        <f>攻击!AE90*HP!$B90</f>
        <v>2760</v>
      </c>
      <c r="AE90" s="1">
        <f>攻击!AF90*HP!$B90</f>
        <v>3680</v>
      </c>
      <c r="AF90" s="1">
        <f>攻击!AG90*HP!$B90</f>
        <v>4600</v>
      </c>
      <c r="AG90" s="1">
        <f>攻击!AH90*HP!$B90</f>
        <v>920</v>
      </c>
      <c r="AH90" s="1">
        <f>攻击!AI90*HP!$B90</f>
        <v>368.00000000000006</v>
      </c>
      <c r="AI90" s="1">
        <f>攻击!AJ90*HP!$B90</f>
        <v>368.00000000000006</v>
      </c>
      <c r="AJ90" s="1">
        <f>攻击!AK90*HP!$B90</f>
        <v>55.199999999999996</v>
      </c>
      <c r="AK90" s="1">
        <f>攻击!AL90*HP!$B90</f>
        <v>2208</v>
      </c>
      <c r="AL90" s="93">
        <f>攻击!AM90</f>
        <v>0.2</v>
      </c>
      <c r="AM90" s="93">
        <f>攻击!AN90</f>
        <v>0.3</v>
      </c>
      <c r="AN90" s="93">
        <f>攻击!AO90</f>
        <v>0.5</v>
      </c>
      <c r="AO90" s="93">
        <f>攻击!AP90</f>
        <v>0.8</v>
      </c>
      <c r="AP90" s="93">
        <f>攻击!AQ90</f>
        <v>1.2</v>
      </c>
      <c r="AQ90" s="1">
        <f>攻击!AR90*HP!$B90</f>
        <v>368.00000000000006</v>
      </c>
      <c r="AR90" s="1">
        <f t="shared" si="2"/>
        <v>9016</v>
      </c>
    </row>
    <row r="91" spans="1:44">
      <c r="A91" s="46">
        <v>89</v>
      </c>
      <c r="B91" s="1">
        <f t="shared" si="3"/>
        <v>10</v>
      </c>
      <c r="C91" s="1">
        <f>攻击!D91*HP!$B91</f>
        <v>1860</v>
      </c>
      <c r="D91" s="1">
        <f>攻击!E91*HP!$B91</f>
        <v>2232</v>
      </c>
      <c r="E91" s="1">
        <f>攻击!F91*HP!$B91</f>
        <v>2790</v>
      </c>
      <c r="F91" s="1">
        <f>攻击!G91*HP!$B91</f>
        <v>3720</v>
      </c>
      <c r="G91" s="1">
        <f>攻击!H91*HP!$B91</f>
        <v>4650</v>
      </c>
      <c r="H91" s="1">
        <f>攻击!I91*HP!$B91</f>
        <v>890</v>
      </c>
      <c r="I91" s="1">
        <f>攻击!J91*HP!$B91</f>
        <v>558</v>
      </c>
      <c r="J91" s="1">
        <f>攻击!K91*HP!$B91</f>
        <v>1116</v>
      </c>
      <c r="K91" s="1">
        <f>攻击!L91*HP!$B91</f>
        <v>558</v>
      </c>
      <c r="L91" s="1">
        <f>攻击!M91*HP!$B91</f>
        <v>1488</v>
      </c>
      <c r="M91" s="1">
        <f>攻击!N91*HP!$B91</f>
        <v>2232</v>
      </c>
      <c r="N91" s="1">
        <f>攻击!O91*HP!$B91</f>
        <v>2790</v>
      </c>
      <c r="O91" s="1">
        <f>攻击!P91*HP!$B91</f>
        <v>3720</v>
      </c>
      <c r="P91" s="1">
        <f>攻击!Q91*HP!$B91</f>
        <v>4650</v>
      </c>
      <c r="Q91" s="1">
        <f>攻击!R91*HP!$B91</f>
        <v>5580</v>
      </c>
      <c r="R91" s="1">
        <f>攻击!S91*HP!$B91</f>
        <v>6510</v>
      </c>
      <c r="S91" s="1">
        <f>攻击!T91*HP!$B91</f>
        <v>1395</v>
      </c>
      <c r="T91" s="1">
        <f>攻击!U91*HP!$B91</f>
        <v>558</v>
      </c>
      <c r="U91" s="1">
        <f>攻击!V91*HP!$B91</f>
        <v>558</v>
      </c>
      <c r="V91" s="1">
        <f>攻击!W91*HP!$B91</f>
        <v>93</v>
      </c>
      <c r="W91" s="93">
        <f>攻击!X91</f>
        <v>0.2</v>
      </c>
      <c r="X91" s="93">
        <f>攻击!Y91</f>
        <v>0.3</v>
      </c>
      <c r="Y91" s="93">
        <f>攻击!Z91</f>
        <v>0.5</v>
      </c>
      <c r="Z91" s="93">
        <f>攻击!AA91</f>
        <v>0.8</v>
      </c>
      <c r="AA91" s="93">
        <f>攻击!AB91</f>
        <v>1.2</v>
      </c>
      <c r="AB91" s="1">
        <f>攻击!AC91*HP!$B91</f>
        <v>1860</v>
      </c>
      <c r="AC91" s="1">
        <f>攻击!AD91*HP!$B91</f>
        <v>2232</v>
      </c>
      <c r="AD91" s="1">
        <f>攻击!AE91*HP!$B91</f>
        <v>2790</v>
      </c>
      <c r="AE91" s="1">
        <f>攻击!AF91*HP!$B91</f>
        <v>3720</v>
      </c>
      <c r="AF91" s="1">
        <f>攻击!AG91*HP!$B91</f>
        <v>4650</v>
      </c>
      <c r="AG91" s="1">
        <f>攻击!AH91*HP!$B91</f>
        <v>930</v>
      </c>
      <c r="AH91" s="1">
        <f>攻击!AI91*HP!$B91</f>
        <v>372</v>
      </c>
      <c r="AI91" s="1">
        <f>攻击!AJ91*HP!$B91</f>
        <v>372</v>
      </c>
      <c r="AJ91" s="1">
        <f>攻击!AK91*HP!$B91</f>
        <v>55.8</v>
      </c>
      <c r="AK91" s="1">
        <f>攻击!AL91*HP!$B91</f>
        <v>2232</v>
      </c>
      <c r="AL91" s="93">
        <f>攻击!AM91</f>
        <v>0.2</v>
      </c>
      <c r="AM91" s="93">
        <f>攻击!AN91</f>
        <v>0.3</v>
      </c>
      <c r="AN91" s="93">
        <f>攻击!AO91</f>
        <v>0.5</v>
      </c>
      <c r="AO91" s="93">
        <f>攻击!AP91</f>
        <v>0.8</v>
      </c>
      <c r="AP91" s="93">
        <f>攻击!AQ91</f>
        <v>1.2</v>
      </c>
      <c r="AQ91" s="1">
        <f>攻击!AR91*HP!$B91</f>
        <v>372</v>
      </c>
      <c r="AR91" s="1">
        <f t="shared" si="2"/>
        <v>9114</v>
      </c>
    </row>
    <row r="92" spans="1:44">
      <c r="A92" s="46">
        <v>90</v>
      </c>
      <c r="B92" s="1">
        <f t="shared" si="3"/>
        <v>10</v>
      </c>
      <c r="C92" s="1">
        <f>攻击!D92*HP!$B92</f>
        <v>1880</v>
      </c>
      <c r="D92" s="1">
        <f>攻击!E92*HP!$B92</f>
        <v>2256</v>
      </c>
      <c r="E92" s="1">
        <f>攻击!F92*HP!$B92</f>
        <v>2820</v>
      </c>
      <c r="F92" s="1">
        <f>攻击!G92*HP!$B92</f>
        <v>3760</v>
      </c>
      <c r="G92" s="1">
        <f>攻击!H92*HP!$B92</f>
        <v>4700</v>
      </c>
      <c r="H92" s="1">
        <f>攻击!I92*HP!$B92</f>
        <v>940</v>
      </c>
      <c r="I92" s="1">
        <f>攻击!J92*HP!$B92</f>
        <v>564</v>
      </c>
      <c r="J92" s="1">
        <f>攻击!K92*HP!$B92</f>
        <v>1128</v>
      </c>
      <c r="K92" s="1">
        <f>攻击!L92*HP!$B92</f>
        <v>564</v>
      </c>
      <c r="L92" s="1">
        <f>攻击!M92*HP!$B92</f>
        <v>1504</v>
      </c>
      <c r="M92" s="1">
        <f>攻击!N92*HP!$B92</f>
        <v>2256</v>
      </c>
      <c r="N92" s="1">
        <f>攻击!O92*HP!$B92</f>
        <v>2820</v>
      </c>
      <c r="O92" s="1">
        <f>攻击!P92*HP!$B92</f>
        <v>3760</v>
      </c>
      <c r="P92" s="1">
        <f>攻击!Q92*HP!$B92</f>
        <v>4700</v>
      </c>
      <c r="Q92" s="1">
        <f>攻击!R92*HP!$B92</f>
        <v>5640</v>
      </c>
      <c r="R92" s="1">
        <f>攻击!S92*HP!$B92</f>
        <v>6580</v>
      </c>
      <c r="S92" s="1">
        <f>攻击!T92*HP!$B92</f>
        <v>1410</v>
      </c>
      <c r="T92" s="1">
        <f>攻击!U92*HP!$B92</f>
        <v>564</v>
      </c>
      <c r="U92" s="1">
        <f>攻击!V92*HP!$B92</f>
        <v>564</v>
      </c>
      <c r="V92" s="1">
        <f>攻击!W92*HP!$B92</f>
        <v>94</v>
      </c>
      <c r="W92" s="93">
        <f>攻击!X92</f>
        <v>0.2</v>
      </c>
      <c r="X92" s="93">
        <f>攻击!Y92</f>
        <v>0.3</v>
      </c>
      <c r="Y92" s="93">
        <f>攻击!Z92</f>
        <v>0.5</v>
      </c>
      <c r="Z92" s="93">
        <f>攻击!AA92</f>
        <v>0.8</v>
      </c>
      <c r="AA92" s="93">
        <f>攻击!AB92</f>
        <v>1.2</v>
      </c>
      <c r="AB92" s="1">
        <f>攻击!AC92*HP!$B92</f>
        <v>1880</v>
      </c>
      <c r="AC92" s="1">
        <f>攻击!AD92*HP!$B92</f>
        <v>2256</v>
      </c>
      <c r="AD92" s="1">
        <f>攻击!AE92*HP!$B92</f>
        <v>2820</v>
      </c>
      <c r="AE92" s="1">
        <f>攻击!AF92*HP!$B92</f>
        <v>3760</v>
      </c>
      <c r="AF92" s="1">
        <f>攻击!AG92*HP!$B92</f>
        <v>4700</v>
      </c>
      <c r="AG92" s="1">
        <f>攻击!AH92*HP!$B92</f>
        <v>940</v>
      </c>
      <c r="AH92" s="1">
        <f>攻击!AI92*HP!$B92</f>
        <v>376</v>
      </c>
      <c r="AI92" s="1">
        <f>攻击!AJ92*HP!$B92</f>
        <v>376</v>
      </c>
      <c r="AJ92" s="1">
        <f>攻击!AK92*HP!$B92</f>
        <v>56.4</v>
      </c>
      <c r="AK92" s="1">
        <f>攻击!AL92*HP!$B92</f>
        <v>2256</v>
      </c>
      <c r="AL92" s="93">
        <f>攻击!AM92</f>
        <v>0.2</v>
      </c>
      <c r="AM92" s="93">
        <f>攻击!AN92</f>
        <v>0.3</v>
      </c>
      <c r="AN92" s="93">
        <f>攻击!AO92</f>
        <v>0.5</v>
      </c>
      <c r="AO92" s="93">
        <f>攻击!AP92</f>
        <v>0.8</v>
      </c>
      <c r="AP92" s="93">
        <f>攻击!AQ92</f>
        <v>1.2</v>
      </c>
      <c r="AQ92" s="1">
        <f>攻击!AR92*HP!$B92</f>
        <v>376</v>
      </c>
      <c r="AR92" s="1">
        <f t="shared" si="2"/>
        <v>9212</v>
      </c>
    </row>
    <row r="93" spans="1:44">
      <c r="A93" s="46">
        <v>91</v>
      </c>
      <c r="B93" s="1">
        <f t="shared" si="3"/>
        <v>10</v>
      </c>
      <c r="C93" s="1">
        <f>攻击!D93*HP!$B93</f>
        <v>1900</v>
      </c>
      <c r="D93" s="1">
        <f>攻击!E93*HP!$B93</f>
        <v>2280</v>
      </c>
      <c r="E93" s="1">
        <f>攻击!F93*HP!$B93</f>
        <v>2850</v>
      </c>
      <c r="F93" s="1">
        <f>攻击!G93*HP!$B93</f>
        <v>3800</v>
      </c>
      <c r="G93" s="1">
        <f>攻击!H93*HP!$B93</f>
        <v>4750</v>
      </c>
      <c r="H93" s="1">
        <f>攻击!I93*HP!$B93</f>
        <v>940</v>
      </c>
      <c r="I93" s="1">
        <f>攻击!J93*HP!$B93</f>
        <v>570</v>
      </c>
      <c r="J93" s="1">
        <f>攻击!K93*HP!$B93</f>
        <v>1140</v>
      </c>
      <c r="K93" s="1">
        <f>攻击!L93*HP!$B93</f>
        <v>570</v>
      </c>
      <c r="L93" s="1">
        <f>攻击!M93*HP!$B93</f>
        <v>1520</v>
      </c>
      <c r="M93" s="1">
        <f>攻击!N93*HP!$B93</f>
        <v>2280</v>
      </c>
      <c r="N93" s="1">
        <f>攻击!O93*HP!$B93</f>
        <v>2850</v>
      </c>
      <c r="O93" s="1">
        <f>攻击!P93*HP!$B93</f>
        <v>3800</v>
      </c>
      <c r="P93" s="1">
        <f>攻击!Q93*HP!$B93</f>
        <v>4750</v>
      </c>
      <c r="Q93" s="1">
        <f>攻击!R93*HP!$B93</f>
        <v>5700</v>
      </c>
      <c r="R93" s="1">
        <f>攻击!S93*HP!$B93</f>
        <v>6650</v>
      </c>
      <c r="S93" s="1">
        <f>攻击!T93*HP!$B93</f>
        <v>1425</v>
      </c>
      <c r="T93" s="1">
        <f>攻击!U93*HP!$B93</f>
        <v>570</v>
      </c>
      <c r="U93" s="1">
        <f>攻击!V93*HP!$B93</f>
        <v>570</v>
      </c>
      <c r="V93" s="1">
        <f>攻击!W93*HP!$B93</f>
        <v>95</v>
      </c>
      <c r="W93" s="93">
        <f>攻击!X93</f>
        <v>0.2</v>
      </c>
      <c r="X93" s="93">
        <f>攻击!Y93</f>
        <v>0.3</v>
      </c>
      <c r="Y93" s="93">
        <f>攻击!Z93</f>
        <v>0.5</v>
      </c>
      <c r="Z93" s="93">
        <f>攻击!AA93</f>
        <v>0.8</v>
      </c>
      <c r="AA93" s="93">
        <f>攻击!AB93</f>
        <v>1.2</v>
      </c>
      <c r="AB93" s="1">
        <f>攻击!AC93*HP!$B93</f>
        <v>1900</v>
      </c>
      <c r="AC93" s="1">
        <f>攻击!AD93*HP!$B93</f>
        <v>2280</v>
      </c>
      <c r="AD93" s="1">
        <f>攻击!AE93*HP!$B93</f>
        <v>2850</v>
      </c>
      <c r="AE93" s="1">
        <f>攻击!AF93*HP!$B93</f>
        <v>3800</v>
      </c>
      <c r="AF93" s="1">
        <f>攻击!AG93*HP!$B93</f>
        <v>4750</v>
      </c>
      <c r="AG93" s="1">
        <f>攻击!AH93*HP!$B93</f>
        <v>950</v>
      </c>
      <c r="AH93" s="1">
        <f>攻击!AI93*HP!$B93</f>
        <v>380</v>
      </c>
      <c r="AI93" s="1">
        <f>攻击!AJ93*HP!$B93</f>
        <v>380</v>
      </c>
      <c r="AJ93" s="1">
        <f>攻击!AK93*HP!$B93</f>
        <v>57</v>
      </c>
      <c r="AK93" s="1">
        <f>攻击!AL93*HP!$B93</f>
        <v>2280</v>
      </c>
      <c r="AL93" s="93">
        <f>攻击!AM93</f>
        <v>0.2</v>
      </c>
      <c r="AM93" s="93">
        <f>攻击!AN93</f>
        <v>0.3</v>
      </c>
      <c r="AN93" s="93">
        <f>攻击!AO93</f>
        <v>0.5</v>
      </c>
      <c r="AO93" s="93">
        <f>攻击!AP93</f>
        <v>0.8</v>
      </c>
      <c r="AP93" s="93">
        <f>攻击!AQ93</f>
        <v>1.2</v>
      </c>
      <c r="AQ93" s="1">
        <f>攻击!AR93*HP!$B93</f>
        <v>380</v>
      </c>
      <c r="AR93" s="1">
        <f t="shared" si="2"/>
        <v>9310</v>
      </c>
    </row>
    <row r="94" spans="1:44">
      <c r="A94" s="46">
        <v>92</v>
      </c>
      <c r="B94" s="1">
        <f t="shared" si="3"/>
        <v>10</v>
      </c>
      <c r="C94" s="1">
        <f>攻击!D94*HP!$B94</f>
        <v>1920</v>
      </c>
      <c r="D94" s="1">
        <f>攻击!E94*HP!$B94</f>
        <v>2304</v>
      </c>
      <c r="E94" s="1">
        <f>攻击!F94*HP!$B94</f>
        <v>2880</v>
      </c>
      <c r="F94" s="1">
        <f>攻击!G94*HP!$B94</f>
        <v>3840</v>
      </c>
      <c r="G94" s="1">
        <f>攻击!H94*HP!$B94</f>
        <v>4800</v>
      </c>
      <c r="H94" s="1">
        <f>攻击!I94*HP!$B94</f>
        <v>940</v>
      </c>
      <c r="I94" s="1">
        <f>攻击!J94*HP!$B94</f>
        <v>576</v>
      </c>
      <c r="J94" s="1">
        <f>攻击!K94*HP!$B94</f>
        <v>1152</v>
      </c>
      <c r="K94" s="1">
        <f>攻击!L94*HP!$B94</f>
        <v>576</v>
      </c>
      <c r="L94" s="1">
        <f>攻击!M94*HP!$B94</f>
        <v>1536.0000000000002</v>
      </c>
      <c r="M94" s="1">
        <f>攻击!N94*HP!$B94</f>
        <v>2304</v>
      </c>
      <c r="N94" s="1">
        <f>攻击!O94*HP!$B94</f>
        <v>2880</v>
      </c>
      <c r="O94" s="1">
        <f>攻击!P94*HP!$B94</f>
        <v>3840</v>
      </c>
      <c r="P94" s="1">
        <f>攻击!Q94*HP!$B94</f>
        <v>4800</v>
      </c>
      <c r="Q94" s="1">
        <f>攻击!R94*HP!$B94</f>
        <v>5760</v>
      </c>
      <c r="R94" s="1">
        <f>攻击!S94*HP!$B94</f>
        <v>6720</v>
      </c>
      <c r="S94" s="1">
        <f>攻击!T94*HP!$B94</f>
        <v>1440</v>
      </c>
      <c r="T94" s="1">
        <f>攻击!U94*HP!$B94</f>
        <v>576</v>
      </c>
      <c r="U94" s="1">
        <f>攻击!V94*HP!$B94</f>
        <v>576</v>
      </c>
      <c r="V94" s="1">
        <f>攻击!W94*HP!$B94</f>
        <v>96.000000000000014</v>
      </c>
      <c r="W94" s="93">
        <f>攻击!X94</f>
        <v>0.2</v>
      </c>
      <c r="X94" s="93">
        <f>攻击!Y94</f>
        <v>0.3</v>
      </c>
      <c r="Y94" s="93">
        <f>攻击!Z94</f>
        <v>0.5</v>
      </c>
      <c r="Z94" s="93">
        <f>攻击!AA94</f>
        <v>0.8</v>
      </c>
      <c r="AA94" s="93">
        <f>攻击!AB94</f>
        <v>1.2</v>
      </c>
      <c r="AB94" s="1">
        <f>攻击!AC94*HP!$B94</f>
        <v>1920</v>
      </c>
      <c r="AC94" s="1">
        <f>攻击!AD94*HP!$B94</f>
        <v>2304</v>
      </c>
      <c r="AD94" s="1">
        <f>攻击!AE94*HP!$B94</f>
        <v>2880</v>
      </c>
      <c r="AE94" s="1">
        <f>攻击!AF94*HP!$B94</f>
        <v>3840</v>
      </c>
      <c r="AF94" s="1">
        <f>攻击!AG94*HP!$B94</f>
        <v>4800</v>
      </c>
      <c r="AG94" s="1">
        <f>攻击!AH94*HP!$B94</f>
        <v>960</v>
      </c>
      <c r="AH94" s="1">
        <f>攻击!AI94*HP!$B94</f>
        <v>384.00000000000006</v>
      </c>
      <c r="AI94" s="1">
        <f>攻击!AJ94*HP!$B94</f>
        <v>384.00000000000006</v>
      </c>
      <c r="AJ94" s="1">
        <f>攻击!AK94*HP!$B94</f>
        <v>57.599999999999994</v>
      </c>
      <c r="AK94" s="1">
        <f>攻击!AL94*HP!$B94</f>
        <v>2304</v>
      </c>
      <c r="AL94" s="93">
        <f>攻击!AM94</f>
        <v>0.2</v>
      </c>
      <c r="AM94" s="93">
        <f>攻击!AN94</f>
        <v>0.3</v>
      </c>
      <c r="AN94" s="93">
        <f>攻击!AO94</f>
        <v>0.5</v>
      </c>
      <c r="AO94" s="93">
        <f>攻击!AP94</f>
        <v>0.8</v>
      </c>
      <c r="AP94" s="93">
        <f>攻击!AQ94</f>
        <v>1.2</v>
      </c>
      <c r="AQ94" s="1">
        <f>攻击!AR94*HP!$B94</f>
        <v>384.00000000000006</v>
      </c>
      <c r="AR94" s="1">
        <f t="shared" si="2"/>
        <v>9408</v>
      </c>
    </row>
    <row r="95" spans="1:44">
      <c r="A95" s="46">
        <v>93</v>
      </c>
      <c r="B95" s="1">
        <f t="shared" si="3"/>
        <v>10</v>
      </c>
      <c r="C95" s="1">
        <f>攻击!D95*HP!$B95</f>
        <v>1940</v>
      </c>
      <c r="D95" s="1">
        <f>攻击!E95*HP!$B95</f>
        <v>2328</v>
      </c>
      <c r="E95" s="1">
        <f>攻击!F95*HP!$B95</f>
        <v>2910</v>
      </c>
      <c r="F95" s="1">
        <f>攻击!G95*HP!$B95</f>
        <v>3880</v>
      </c>
      <c r="G95" s="1">
        <f>攻击!H95*HP!$B95</f>
        <v>4850</v>
      </c>
      <c r="H95" s="1">
        <f>攻击!I95*HP!$B95</f>
        <v>940</v>
      </c>
      <c r="I95" s="1">
        <f>攻击!J95*HP!$B95</f>
        <v>582</v>
      </c>
      <c r="J95" s="1">
        <f>攻击!K95*HP!$B95</f>
        <v>1164</v>
      </c>
      <c r="K95" s="1">
        <f>攻击!L95*HP!$B95</f>
        <v>582</v>
      </c>
      <c r="L95" s="1">
        <f>攻击!M95*HP!$B95</f>
        <v>1552.0000000000002</v>
      </c>
      <c r="M95" s="1">
        <f>攻击!N95*HP!$B95</f>
        <v>2328</v>
      </c>
      <c r="N95" s="1">
        <f>攻击!O95*HP!$B95</f>
        <v>2910</v>
      </c>
      <c r="O95" s="1">
        <f>攻击!P95*HP!$B95</f>
        <v>3880</v>
      </c>
      <c r="P95" s="1">
        <f>攻击!Q95*HP!$B95</f>
        <v>4850</v>
      </c>
      <c r="Q95" s="1">
        <f>攻击!R95*HP!$B95</f>
        <v>5820</v>
      </c>
      <c r="R95" s="1">
        <f>攻击!S95*HP!$B95</f>
        <v>6790</v>
      </c>
      <c r="S95" s="1">
        <f>攻击!T95*HP!$B95</f>
        <v>1455</v>
      </c>
      <c r="T95" s="1">
        <f>攻击!U95*HP!$B95</f>
        <v>582</v>
      </c>
      <c r="U95" s="1">
        <f>攻击!V95*HP!$B95</f>
        <v>582</v>
      </c>
      <c r="V95" s="1">
        <f>攻击!W95*HP!$B95</f>
        <v>97.000000000000014</v>
      </c>
      <c r="W95" s="93">
        <f>攻击!X95</f>
        <v>0.2</v>
      </c>
      <c r="X95" s="93">
        <f>攻击!Y95</f>
        <v>0.3</v>
      </c>
      <c r="Y95" s="93">
        <f>攻击!Z95</f>
        <v>0.5</v>
      </c>
      <c r="Z95" s="93">
        <f>攻击!AA95</f>
        <v>0.8</v>
      </c>
      <c r="AA95" s="93">
        <f>攻击!AB95</f>
        <v>1.2</v>
      </c>
      <c r="AB95" s="1">
        <f>攻击!AC95*HP!$B95</f>
        <v>1940</v>
      </c>
      <c r="AC95" s="1">
        <f>攻击!AD95*HP!$B95</f>
        <v>2328</v>
      </c>
      <c r="AD95" s="1">
        <f>攻击!AE95*HP!$B95</f>
        <v>2910</v>
      </c>
      <c r="AE95" s="1">
        <f>攻击!AF95*HP!$B95</f>
        <v>3880</v>
      </c>
      <c r="AF95" s="1">
        <f>攻击!AG95*HP!$B95</f>
        <v>4850</v>
      </c>
      <c r="AG95" s="1">
        <f>攻击!AH95*HP!$B95</f>
        <v>970</v>
      </c>
      <c r="AH95" s="1">
        <f>攻击!AI95*HP!$B95</f>
        <v>388.00000000000006</v>
      </c>
      <c r="AI95" s="1">
        <f>攻击!AJ95*HP!$B95</f>
        <v>388.00000000000006</v>
      </c>
      <c r="AJ95" s="1">
        <f>攻击!AK95*HP!$B95</f>
        <v>58.199999999999996</v>
      </c>
      <c r="AK95" s="1">
        <f>攻击!AL95*HP!$B95</f>
        <v>2328</v>
      </c>
      <c r="AL95" s="93">
        <f>攻击!AM95</f>
        <v>0.2</v>
      </c>
      <c r="AM95" s="93">
        <f>攻击!AN95</f>
        <v>0.3</v>
      </c>
      <c r="AN95" s="93">
        <f>攻击!AO95</f>
        <v>0.5</v>
      </c>
      <c r="AO95" s="93">
        <f>攻击!AP95</f>
        <v>0.8</v>
      </c>
      <c r="AP95" s="93">
        <f>攻击!AQ95</f>
        <v>1.2</v>
      </c>
      <c r="AQ95" s="1">
        <f>攻击!AR95*HP!$B95</f>
        <v>388.00000000000006</v>
      </c>
      <c r="AR95" s="1">
        <f t="shared" si="2"/>
        <v>9506</v>
      </c>
    </row>
    <row r="96" spans="1:44">
      <c r="A96" s="46">
        <v>94</v>
      </c>
      <c r="B96" s="1">
        <f t="shared" si="3"/>
        <v>10</v>
      </c>
      <c r="C96" s="1">
        <f>攻击!D96*HP!$B96</f>
        <v>1960</v>
      </c>
      <c r="D96" s="1">
        <f>攻击!E96*HP!$B96</f>
        <v>2352</v>
      </c>
      <c r="E96" s="1">
        <f>攻击!F96*HP!$B96</f>
        <v>2940</v>
      </c>
      <c r="F96" s="1">
        <f>攻击!G96*HP!$B96</f>
        <v>3920</v>
      </c>
      <c r="G96" s="1">
        <f>攻击!H96*HP!$B96</f>
        <v>4900</v>
      </c>
      <c r="H96" s="1">
        <f>攻击!I96*HP!$B96</f>
        <v>940</v>
      </c>
      <c r="I96" s="1">
        <f>攻击!J96*HP!$B96</f>
        <v>588</v>
      </c>
      <c r="J96" s="1">
        <f>攻击!K96*HP!$B96</f>
        <v>1176</v>
      </c>
      <c r="K96" s="1">
        <f>攻击!L96*HP!$B96</f>
        <v>588</v>
      </c>
      <c r="L96" s="1">
        <f>攻击!M96*HP!$B96</f>
        <v>1568</v>
      </c>
      <c r="M96" s="1">
        <f>攻击!N96*HP!$B96</f>
        <v>2352</v>
      </c>
      <c r="N96" s="1">
        <f>攻击!O96*HP!$B96</f>
        <v>2940</v>
      </c>
      <c r="O96" s="1">
        <f>攻击!P96*HP!$B96</f>
        <v>3920</v>
      </c>
      <c r="P96" s="1">
        <f>攻击!Q96*HP!$B96</f>
        <v>4900</v>
      </c>
      <c r="Q96" s="1">
        <f>攻击!R96*HP!$B96</f>
        <v>5880</v>
      </c>
      <c r="R96" s="1">
        <f>攻击!S96*HP!$B96</f>
        <v>6860</v>
      </c>
      <c r="S96" s="1">
        <f>攻击!T96*HP!$B96</f>
        <v>1470</v>
      </c>
      <c r="T96" s="1">
        <f>攻击!U96*HP!$B96</f>
        <v>588</v>
      </c>
      <c r="U96" s="1">
        <f>攻击!V96*HP!$B96</f>
        <v>588</v>
      </c>
      <c r="V96" s="1">
        <f>攻击!W96*HP!$B96</f>
        <v>98</v>
      </c>
      <c r="W96" s="93">
        <f>攻击!X96</f>
        <v>0.2</v>
      </c>
      <c r="X96" s="93">
        <f>攻击!Y96</f>
        <v>0.3</v>
      </c>
      <c r="Y96" s="93">
        <f>攻击!Z96</f>
        <v>0.5</v>
      </c>
      <c r="Z96" s="93">
        <f>攻击!AA96</f>
        <v>0.8</v>
      </c>
      <c r="AA96" s="93">
        <f>攻击!AB96</f>
        <v>1.2</v>
      </c>
      <c r="AB96" s="1">
        <f>攻击!AC96*HP!$B96</f>
        <v>1960</v>
      </c>
      <c r="AC96" s="1">
        <f>攻击!AD96*HP!$B96</f>
        <v>2352</v>
      </c>
      <c r="AD96" s="1">
        <f>攻击!AE96*HP!$B96</f>
        <v>2940</v>
      </c>
      <c r="AE96" s="1">
        <f>攻击!AF96*HP!$B96</f>
        <v>3920</v>
      </c>
      <c r="AF96" s="1">
        <f>攻击!AG96*HP!$B96</f>
        <v>4900</v>
      </c>
      <c r="AG96" s="1">
        <f>攻击!AH96*HP!$B96</f>
        <v>980</v>
      </c>
      <c r="AH96" s="1">
        <f>攻击!AI96*HP!$B96</f>
        <v>392</v>
      </c>
      <c r="AI96" s="1">
        <f>攻击!AJ96*HP!$B96</f>
        <v>392</v>
      </c>
      <c r="AJ96" s="1">
        <f>攻击!AK96*HP!$B96</f>
        <v>58.8</v>
      </c>
      <c r="AK96" s="1">
        <f>攻击!AL96*HP!$B96</f>
        <v>2352</v>
      </c>
      <c r="AL96" s="93">
        <f>攻击!AM96</f>
        <v>0.2</v>
      </c>
      <c r="AM96" s="93">
        <f>攻击!AN96</f>
        <v>0.3</v>
      </c>
      <c r="AN96" s="93">
        <f>攻击!AO96</f>
        <v>0.5</v>
      </c>
      <c r="AO96" s="93">
        <f>攻击!AP96</f>
        <v>0.8</v>
      </c>
      <c r="AP96" s="93">
        <f>攻击!AQ96</f>
        <v>1.2</v>
      </c>
      <c r="AQ96" s="1">
        <f>攻击!AR96*HP!$B96</f>
        <v>392</v>
      </c>
      <c r="AR96" s="1">
        <f t="shared" si="2"/>
        <v>9604</v>
      </c>
    </row>
    <row r="97" spans="1:44">
      <c r="A97" s="46">
        <v>95</v>
      </c>
      <c r="B97" s="1">
        <f t="shared" si="3"/>
        <v>10</v>
      </c>
      <c r="C97" s="1">
        <f>攻击!D97*HP!$B97</f>
        <v>1980</v>
      </c>
      <c r="D97" s="1">
        <f>攻击!E97*HP!$B97</f>
        <v>2376</v>
      </c>
      <c r="E97" s="1">
        <f>攻击!F97*HP!$B97</f>
        <v>2970</v>
      </c>
      <c r="F97" s="1">
        <f>攻击!G97*HP!$B97</f>
        <v>3960</v>
      </c>
      <c r="G97" s="1">
        <f>攻击!H97*HP!$B97</f>
        <v>4950</v>
      </c>
      <c r="H97" s="1">
        <f>攻击!I97*HP!$B97</f>
        <v>990</v>
      </c>
      <c r="I97" s="1">
        <f>攻击!J97*HP!$B97</f>
        <v>594</v>
      </c>
      <c r="J97" s="1">
        <f>攻击!K97*HP!$B97</f>
        <v>1188</v>
      </c>
      <c r="K97" s="1">
        <f>攻击!L97*HP!$B97</f>
        <v>594</v>
      </c>
      <c r="L97" s="1">
        <f>攻击!M97*HP!$B97</f>
        <v>1584</v>
      </c>
      <c r="M97" s="1">
        <f>攻击!N97*HP!$B97</f>
        <v>2376</v>
      </c>
      <c r="N97" s="1">
        <f>攻击!O97*HP!$B97</f>
        <v>2970</v>
      </c>
      <c r="O97" s="1">
        <f>攻击!P97*HP!$B97</f>
        <v>3960</v>
      </c>
      <c r="P97" s="1">
        <f>攻击!Q97*HP!$B97</f>
        <v>4950</v>
      </c>
      <c r="Q97" s="1">
        <f>攻击!R97*HP!$B97</f>
        <v>5940</v>
      </c>
      <c r="R97" s="1">
        <f>攻击!S97*HP!$B97</f>
        <v>6930</v>
      </c>
      <c r="S97" s="1">
        <f>攻击!T97*HP!$B97</f>
        <v>1485</v>
      </c>
      <c r="T97" s="1">
        <f>攻击!U97*HP!$B97</f>
        <v>594</v>
      </c>
      <c r="U97" s="1">
        <f>攻击!V97*HP!$B97</f>
        <v>594</v>
      </c>
      <c r="V97" s="1">
        <f>攻击!W97*HP!$B97</f>
        <v>99</v>
      </c>
      <c r="W97" s="93">
        <f>攻击!X97</f>
        <v>0.2</v>
      </c>
      <c r="X97" s="93">
        <f>攻击!Y97</f>
        <v>0.3</v>
      </c>
      <c r="Y97" s="93">
        <f>攻击!Z97</f>
        <v>0.5</v>
      </c>
      <c r="Z97" s="93">
        <f>攻击!AA97</f>
        <v>0.8</v>
      </c>
      <c r="AA97" s="93">
        <f>攻击!AB97</f>
        <v>1.2</v>
      </c>
      <c r="AB97" s="1">
        <f>攻击!AC97*HP!$B97</f>
        <v>1980</v>
      </c>
      <c r="AC97" s="1">
        <f>攻击!AD97*HP!$B97</f>
        <v>2376</v>
      </c>
      <c r="AD97" s="1">
        <f>攻击!AE97*HP!$B97</f>
        <v>2970</v>
      </c>
      <c r="AE97" s="1">
        <f>攻击!AF97*HP!$B97</f>
        <v>3960</v>
      </c>
      <c r="AF97" s="1">
        <f>攻击!AG97*HP!$B97</f>
        <v>4950</v>
      </c>
      <c r="AG97" s="1">
        <f>攻击!AH97*HP!$B97</f>
        <v>990</v>
      </c>
      <c r="AH97" s="1">
        <f>攻击!AI97*HP!$B97</f>
        <v>396</v>
      </c>
      <c r="AI97" s="1">
        <f>攻击!AJ97*HP!$B97</f>
        <v>396</v>
      </c>
      <c r="AJ97" s="1">
        <f>攻击!AK97*HP!$B97</f>
        <v>59.399999999999991</v>
      </c>
      <c r="AK97" s="1">
        <f>攻击!AL97*HP!$B97</f>
        <v>2376</v>
      </c>
      <c r="AL97" s="93">
        <f>攻击!AM97</f>
        <v>0.2</v>
      </c>
      <c r="AM97" s="93">
        <f>攻击!AN97</f>
        <v>0.3</v>
      </c>
      <c r="AN97" s="93">
        <f>攻击!AO97</f>
        <v>0.5</v>
      </c>
      <c r="AO97" s="93">
        <f>攻击!AP97</f>
        <v>0.8</v>
      </c>
      <c r="AP97" s="93">
        <f>攻击!AQ97</f>
        <v>1.2</v>
      </c>
      <c r="AQ97" s="1">
        <f>攻击!AR97*HP!$B97</f>
        <v>396</v>
      </c>
      <c r="AR97" s="1">
        <f t="shared" si="2"/>
        <v>9702</v>
      </c>
    </row>
    <row r="98" spans="1:44">
      <c r="A98" s="46">
        <v>96</v>
      </c>
      <c r="B98" s="1">
        <f t="shared" si="3"/>
        <v>10</v>
      </c>
      <c r="C98" s="1">
        <f>攻击!D98*HP!$B98</f>
        <v>2000</v>
      </c>
      <c r="D98" s="1">
        <f>攻击!E98*HP!$B98</f>
        <v>2400</v>
      </c>
      <c r="E98" s="1">
        <f>攻击!F98*HP!$B98</f>
        <v>3000</v>
      </c>
      <c r="F98" s="1">
        <f>攻击!G98*HP!$B98</f>
        <v>4000</v>
      </c>
      <c r="G98" s="1">
        <f>攻击!H98*HP!$B98</f>
        <v>5000</v>
      </c>
      <c r="H98" s="1">
        <f>攻击!I98*HP!$B98</f>
        <v>990</v>
      </c>
      <c r="I98" s="1">
        <f>攻击!J98*HP!$B98</f>
        <v>600</v>
      </c>
      <c r="J98" s="1">
        <f>攻击!K98*HP!$B98</f>
        <v>1200</v>
      </c>
      <c r="K98" s="1">
        <f>攻击!L98*HP!$B98</f>
        <v>600</v>
      </c>
      <c r="L98" s="1">
        <f>攻击!M98*HP!$B98</f>
        <v>1600</v>
      </c>
      <c r="M98" s="1">
        <f>攻击!N98*HP!$B98</f>
        <v>2400</v>
      </c>
      <c r="N98" s="1">
        <f>攻击!O98*HP!$B98</f>
        <v>3000</v>
      </c>
      <c r="O98" s="1">
        <f>攻击!P98*HP!$B98</f>
        <v>4000</v>
      </c>
      <c r="P98" s="1">
        <f>攻击!Q98*HP!$B98</f>
        <v>5000</v>
      </c>
      <c r="Q98" s="1">
        <f>攻击!R98*HP!$B98</f>
        <v>6000</v>
      </c>
      <c r="R98" s="1">
        <f>攻击!S98*HP!$B98</f>
        <v>7000</v>
      </c>
      <c r="S98" s="1">
        <f>攻击!T98*HP!$B98</f>
        <v>1500</v>
      </c>
      <c r="T98" s="1">
        <f>攻击!U98*HP!$B98</f>
        <v>600</v>
      </c>
      <c r="U98" s="1">
        <f>攻击!V98*HP!$B98</f>
        <v>600</v>
      </c>
      <c r="V98" s="1">
        <f>攻击!W98*HP!$B98</f>
        <v>100</v>
      </c>
      <c r="W98" s="93">
        <f>攻击!X98</f>
        <v>0.2</v>
      </c>
      <c r="X98" s="93">
        <f>攻击!Y98</f>
        <v>0.3</v>
      </c>
      <c r="Y98" s="93">
        <f>攻击!Z98</f>
        <v>0.5</v>
      </c>
      <c r="Z98" s="93">
        <f>攻击!AA98</f>
        <v>0.8</v>
      </c>
      <c r="AA98" s="93">
        <f>攻击!AB98</f>
        <v>1.2</v>
      </c>
      <c r="AB98" s="1">
        <f>攻击!AC98*HP!$B98</f>
        <v>2000</v>
      </c>
      <c r="AC98" s="1">
        <f>攻击!AD98*HP!$B98</f>
        <v>2400</v>
      </c>
      <c r="AD98" s="1">
        <f>攻击!AE98*HP!$B98</f>
        <v>3000</v>
      </c>
      <c r="AE98" s="1">
        <f>攻击!AF98*HP!$B98</f>
        <v>4000</v>
      </c>
      <c r="AF98" s="1">
        <f>攻击!AG98*HP!$B98</f>
        <v>5000</v>
      </c>
      <c r="AG98" s="1">
        <f>攻击!AH98*HP!$B98</f>
        <v>1000</v>
      </c>
      <c r="AH98" s="1">
        <f>攻击!AI98*HP!$B98</f>
        <v>400</v>
      </c>
      <c r="AI98" s="1">
        <f>攻击!AJ98*HP!$B98</f>
        <v>400</v>
      </c>
      <c r="AJ98" s="1">
        <f>攻击!AK98*HP!$B98</f>
        <v>60</v>
      </c>
      <c r="AK98" s="1">
        <f>攻击!AL98*HP!$B98</f>
        <v>2400</v>
      </c>
      <c r="AL98" s="93">
        <f>攻击!AM98</f>
        <v>0.2</v>
      </c>
      <c r="AM98" s="93">
        <f>攻击!AN98</f>
        <v>0.3</v>
      </c>
      <c r="AN98" s="93">
        <f>攻击!AO98</f>
        <v>0.5</v>
      </c>
      <c r="AO98" s="93">
        <f>攻击!AP98</f>
        <v>0.8</v>
      </c>
      <c r="AP98" s="93">
        <f>攻击!AQ98</f>
        <v>1.2</v>
      </c>
      <c r="AQ98" s="1">
        <f>攻击!AR98*HP!$B98</f>
        <v>400</v>
      </c>
      <c r="AR98" s="1">
        <f t="shared" si="2"/>
        <v>9800</v>
      </c>
    </row>
    <row r="99" spans="1:44">
      <c r="A99" s="46">
        <v>97</v>
      </c>
      <c r="B99" s="1">
        <f t="shared" si="3"/>
        <v>10</v>
      </c>
      <c r="C99" s="1">
        <f>攻击!D99*HP!$B99</f>
        <v>2020</v>
      </c>
      <c r="D99" s="1">
        <f>攻击!E99*HP!$B99</f>
        <v>2424</v>
      </c>
      <c r="E99" s="1">
        <f>攻击!F99*HP!$B99</f>
        <v>3030</v>
      </c>
      <c r="F99" s="1">
        <f>攻击!G99*HP!$B99</f>
        <v>4040</v>
      </c>
      <c r="G99" s="1">
        <f>攻击!H99*HP!$B99</f>
        <v>5050</v>
      </c>
      <c r="H99" s="1">
        <f>攻击!I99*HP!$B99</f>
        <v>990</v>
      </c>
      <c r="I99" s="1">
        <f>攻击!J99*HP!$B99</f>
        <v>606</v>
      </c>
      <c r="J99" s="1">
        <f>攻击!K99*HP!$B99</f>
        <v>1212</v>
      </c>
      <c r="K99" s="1">
        <f>攻击!L99*HP!$B99</f>
        <v>606</v>
      </c>
      <c r="L99" s="1">
        <f>攻击!M99*HP!$B99</f>
        <v>1616.0000000000002</v>
      </c>
      <c r="M99" s="1">
        <f>攻击!N99*HP!$B99</f>
        <v>2424</v>
      </c>
      <c r="N99" s="1">
        <f>攻击!O99*HP!$B99</f>
        <v>3030</v>
      </c>
      <c r="O99" s="1">
        <f>攻击!P99*HP!$B99</f>
        <v>4040</v>
      </c>
      <c r="P99" s="1">
        <f>攻击!Q99*HP!$B99</f>
        <v>5050</v>
      </c>
      <c r="Q99" s="1">
        <f>攻击!R99*HP!$B99</f>
        <v>6060</v>
      </c>
      <c r="R99" s="1">
        <f>攻击!S99*HP!$B99</f>
        <v>7070</v>
      </c>
      <c r="S99" s="1">
        <f>攻击!T99*HP!$B99</f>
        <v>1515</v>
      </c>
      <c r="T99" s="1">
        <f>攻击!U99*HP!$B99</f>
        <v>606</v>
      </c>
      <c r="U99" s="1">
        <f>攻击!V99*HP!$B99</f>
        <v>606</v>
      </c>
      <c r="V99" s="1">
        <f>攻击!W99*HP!$B99</f>
        <v>101.00000000000001</v>
      </c>
      <c r="W99" s="93">
        <f>攻击!X99</f>
        <v>0.2</v>
      </c>
      <c r="X99" s="93">
        <f>攻击!Y99</f>
        <v>0.3</v>
      </c>
      <c r="Y99" s="93">
        <f>攻击!Z99</f>
        <v>0.5</v>
      </c>
      <c r="Z99" s="93">
        <f>攻击!AA99</f>
        <v>0.8</v>
      </c>
      <c r="AA99" s="93">
        <f>攻击!AB99</f>
        <v>1.2</v>
      </c>
      <c r="AB99" s="1">
        <f>攻击!AC99*HP!$B99</f>
        <v>2020</v>
      </c>
      <c r="AC99" s="1">
        <f>攻击!AD99*HP!$B99</f>
        <v>2424</v>
      </c>
      <c r="AD99" s="1">
        <f>攻击!AE99*HP!$B99</f>
        <v>3030</v>
      </c>
      <c r="AE99" s="1">
        <f>攻击!AF99*HP!$B99</f>
        <v>4040</v>
      </c>
      <c r="AF99" s="1">
        <f>攻击!AG99*HP!$B99</f>
        <v>5050</v>
      </c>
      <c r="AG99" s="1">
        <f>攻击!AH99*HP!$B99</f>
        <v>1010</v>
      </c>
      <c r="AH99" s="1">
        <f>攻击!AI99*HP!$B99</f>
        <v>404.00000000000006</v>
      </c>
      <c r="AI99" s="1">
        <f>攻击!AJ99*HP!$B99</f>
        <v>404.00000000000006</v>
      </c>
      <c r="AJ99" s="1">
        <f>攻击!AK99*HP!$B99</f>
        <v>60.599999999999994</v>
      </c>
      <c r="AK99" s="1">
        <f>攻击!AL99*HP!$B99</f>
        <v>2424</v>
      </c>
      <c r="AL99" s="93">
        <f>攻击!AM99</f>
        <v>0.2</v>
      </c>
      <c r="AM99" s="93">
        <f>攻击!AN99</f>
        <v>0.3</v>
      </c>
      <c r="AN99" s="93">
        <f>攻击!AO99</f>
        <v>0.5</v>
      </c>
      <c r="AO99" s="93">
        <f>攻击!AP99</f>
        <v>0.8</v>
      </c>
      <c r="AP99" s="93">
        <f>攻击!AQ99</f>
        <v>1.2</v>
      </c>
      <c r="AQ99" s="1">
        <f>攻击!AR99*HP!$B99</f>
        <v>404.00000000000006</v>
      </c>
      <c r="AR99" s="1">
        <f t="shared" si="2"/>
        <v>9898</v>
      </c>
    </row>
    <row r="100" spans="1:44">
      <c r="A100" s="46">
        <v>98</v>
      </c>
      <c r="B100" s="1">
        <f t="shared" si="3"/>
        <v>10</v>
      </c>
      <c r="C100" s="1">
        <f>攻击!D100*HP!$B100</f>
        <v>2040</v>
      </c>
      <c r="D100" s="1">
        <f>攻击!E100*HP!$B100</f>
        <v>2448</v>
      </c>
      <c r="E100" s="1">
        <f>攻击!F100*HP!$B100</f>
        <v>3060</v>
      </c>
      <c r="F100" s="1">
        <f>攻击!G100*HP!$B100</f>
        <v>4080</v>
      </c>
      <c r="G100" s="1">
        <f>攻击!H100*HP!$B100</f>
        <v>5100</v>
      </c>
      <c r="H100" s="1">
        <f>攻击!I100*HP!$B100</f>
        <v>990</v>
      </c>
      <c r="I100" s="1">
        <f>攻击!J100*HP!$B100</f>
        <v>612</v>
      </c>
      <c r="J100" s="1">
        <f>攻击!K100*HP!$B100</f>
        <v>1224</v>
      </c>
      <c r="K100" s="1">
        <f>攻击!L100*HP!$B100</f>
        <v>612</v>
      </c>
      <c r="L100" s="1">
        <f>攻击!M100*HP!$B100</f>
        <v>1632.0000000000002</v>
      </c>
      <c r="M100" s="1">
        <f>攻击!N100*HP!$B100</f>
        <v>2448</v>
      </c>
      <c r="N100" s="1">
        <f>攻击!O100*HP!$B100</f>
        <v>3060</v>
      </c>
      <c r="O100" s="1">
        <f>攻击!P100*HP!$B100</f>
        <v>4080</v>
      </c>
      <c r="P100" s="1">
        <f>攻击!Q100*HP!$B100</f>
        <v>5100</v>
      </c>
      <c r="Q100" s="1">
        <f>攻击!R100*HP!$B100</f>
        <v>6120</v>
      </c>
      <c r="R100" s="1">
        <f>攻击!S100*HP!$B100</f>
        <v>7140</v>
      </c>
      <c r="S100" s="1">
        <f>攻击!T100*HP!$B100</f>
        <v>1530</v>
      </c>
      <c r="T100" s="1">
        <f>攻击!U100*HP!$B100</f>
        <v>612</v>
      </c>
      <c r="U100" s="1">
        <f>攻击!V100*HP!$B100</f>
        <v>612</v>
      </c>
      <c r="V100" s="1">
        <f>攻击!W100*HP!$B100</f>
        <v>102.00000000000001</v>
      </c>
      <c r="W100" s="93">
        <f>攻击!X100</f>
        <v>0.2</v>
      </c>
      <c r="X100" s="93">
        <f>攻击!Y100</f>
        <v>0.3</v>
      </c>
      <c r="Y100" s="93">
        <f>攻击!Z100</f>
        <v>0.5</v>
      </c>
      <c r="Z100" s="93">
        <f>攻击!AA100</f>
        <v>0.8</v>
      </c>
      <c r="AA100" s="93">
        <f>攻击!AB100</f>
        <v>1.2</v>
      </c>
      <c r="AB100" s="1">
        <f>攻击!AC100*HP!$B100</f>
        <v>2040</v>
      </c>
      <c r="AC100" s="1">
        <f>攻击!AD100*HP!$B100</f>
        <v>2448</v>
      </c>
      <c r="AD100" s="1">
        <f>攻击!AE100*HP!$B100</f>
        <v>3060</v>
      </c>
      <c r="AE100" s="1">
        <f>攻击!AF100*HP!$B100</f>
        <v>4080</v>
      </c>
      <c r="AF100" s="1">
        <f>攻击!AG100*HP!$B100</f>
        <v>5100</v>
      </c>
      <c r="AG100" s="1">
        <f>攻击!AH100*HP!$B100</f>
        <v>1020</v>
      </c>
      <c r="AH100" s="1">
        <f>攻击!AI100*HP!$B100</f>
        <v>408.00000000000006</v>
      </c>
      <c r="AI100" s="1">
        <f>攻击!AJ100*HP!$B100</f>
        <v>408.00000000000006</v>
      </c>
      <c r="AJ100" s="1">
        <f>攻击!AK100*HP!$B100</f>
        <v>61.2</v>
      </c>
      <c r="AK100" s="1">
        <f>攻击!AL100*HP!$B100</f>
        <v>2448</v>
      </c>
      <c r="AL100" s="93">
        <f>攻击!AM100</f>
        <v>0.2</v>
      </c>
      <c r="AM100" s="93">
        <f>攻击!AN100</f>
        <v>0.3</v>
      </c>
      <c r="AN100" s="93">
        <f>攻击!AO100</f>
        <v>0.5</v>
      </c>
      <c r="AO100" s="93">
        <f>攻击!AP100</f>
        <v>0.8</v>
      </c>
      <c r="AP100" s="93">
        <f>攻击!AQ100</f>
        <v>1.2</v>
      </c>
      <c r="AQ100" s="1">
        <f>攻击!AR100*HP!$B100</f>
        <v>408.00000000000006</v>
      </c>
      <c r="AR100" s="1">
        <f t="shared" si="2"/>
        <v>9996</v>
      </c>
    </row>
    <row r="101" spans="1:44">
      <c r="A101" s="46">
        <v>99</v>
      </c>
      <c r="B101" s="1">
        <f t="shared" si="3"/>
        <v>10</v>
      </c>
      <c r="C101" s="1">
        <f>攻击!D101*HP!$B101</f>
        <v>2060</v>
      </c>
      <c r="D101" s="1">
        <f>攻击!E101*HP!$B101</f>
        <v>2472</v>
      </c>
      <c r="E101" s="1">
        <f>攻击!F101*HP!$B101</f>
        <v>3090</v>
      </c>
      <c r="F101" s="1">
        <f>攻击!G101*HP!$B101</f>
        <v>4120</v>
      </c>
      <c r="G101" s="1">
        <f>攻击!H101*HP!$B101</f>
        <v>5150</v>
      </c>
      <c r="H101" s="1">
        <f>攻击!I101*HP!$B101</f>
        <v>990</v>
      </c>
      <c r="I101" s="1">
        <f>攻击!J101*HP!$B101</f>
        <v>618</v>
      </c>
      <c r="J101" s="1">
        <f>攻击!K101*HP!$B101</f>
        <v>1236</v>
      </c>
      <c r="K101" s="1">
        <f>攻击!L101*HP!$B101</f>
        <v>618</v>
      </c>
      <c r="L101" s="1">
        <f>攻击!M101*HP!$B101</f>
        <v>1648</v>
      </c>
      <c r="M101" s="1">
        <f>攻击!N101*HP!$B101</f>
        <v>2472</v>
      </c>
      <c r="N101" s="1">
        <f>攻击!O101*HP!$B101</f>
        <v>3090</v>
      </c>
      <c r="O101" s="1">
        <f>攻击!P101*HP!$B101</f>
        <v>4120</v>
      </c>
      <c r="P101" s="1">
        <f>攻击!Q101*HP!$B101</f>
        <v>5150</v>
      </c>
      <c r="Q101" s="1">
        <f>攻击!R101*HP!$B101</f>
        <v>6180</v>
      </c>
      <c r="R101" s="1">
        <f>攻击!S101*HP!$B101</f>
        <v>7210</v>
      </c>
      <c r="S101" s="1">
        <f>攻击!T101*HP!$B101</f>
        <v>1545</v>
      </c>
      <c r="T101" s="1">
        <f>攻击!U101*HP!$B101</f>
        <v>618</v>
      </c>
      <c r="U101" s="1">
        <f>攻击!V101*HP!$B101</f>
        <v>618</v>
      </c>
      <c r="V101" s="1">
        <f>攻击!W101*HP!$B101</f>
        <v>103</v>
      </c>
      <c r="W101" s="93">
        <f>攻击!X101</f>
        <v>0.2</v>
      </c>
      <c r="X101" s="93">
        <f>攻击!Y101</f>
        <v>0.3</v>
      </c>
      <c r="Y101" s="93">
        <f>攻击!Z101</f>
        <v>0.5</v>
      </c>
      <c r="Z101" s="93">
        <f>攻击!AA101</f>
        <v>0.8</v>
      </c>
      <c r="AA101" s="93">
        <f>攻击!AB101</f>
        <v>1.2</v>
      </c>
      <c r="AB101" s="1">
        <f>攻击!AC101*HP!$B101</f>
        <v>2060</v>
      </c>
      <c r="AC101" s="1">
        <f>攻击!AD101*HP!$B101</f>
        <v>2472</v>
      </c>
      <c r="AD101" s="1">
        <f>攻击!AE101*HP!$B101</f>
        <v>3090</v>
      </c>
      <c r="AE101" s="1">
        <f>攻击!AF101*HP!$B101</f>
        <v>4120</v>
      </c>
      <c r="AF101" s="1">
        <f>攻击!AG101*HP!$B101</f>
        <v>5150</v>
      </c>
      <c r="AG101" s="1">
        <f>攻击!AH101*HP!$B101</f>
        <v>1030</v>
      </c>
      <c r="AH101" s="1">
        <f>攻击!AI101*HP!$B101</f>
        <v>412</v>
      </c>
      <c r="AI101" s="1">
        <f>攻击!AJ101*HP!$B101</f>
        <v>412</v>
      </c>
      <c r="AJ101" s="1">
        <f>攻击!AK101*HP!$B101</f>
        <v>61.8</v>
      </c>
      <c r="AK101" s="1">
        <f>攻击!AL101*HP!$B101</f>
        <v>2472</v>
      </c>
      <c r="AL101" s="93">
        <f>攻击!AM101</f>
        <v>0.2</v>
      </c>
      <c r="AM101" s="93">
        <f>攻击!AN101</f>
        <v>0.3</v>
      </c>
      <c r="AN101" s="93">
        <f>攻击!AO101</f>
        <v>0.5</v>
      </c>
      <c r="AO101" s="93">
        <f>攻击!AP101</f>
        <v>0.8</v>
      </c>
      <c r="AP101" s="93">
        <f>攻击!AQ101</f>
        <v>1.2</v>
      </c>
      <c r="AQ101" s="1">
        <f>攻击!AR101*HP!$B101</f>
        <v>412</v>
      </c>
      <c r="AR101" s="1">
        <f t="shared" si="2"/>
        <v>10094</v>
      </c>
    </row>
    <row r="102" spans="1:44">
      <c r="A102" s="46">
        <v>100</v>
      </c>
      <c r="B102" s="1">
        <f t="shared" si="3"/>
        <v>10</v>
      </c>
      <c r="C102" s="1">
        <f>攻击!D102*HP!$B102</f>
        <v>2080</v>
      </c>
      <c r="D102" s="1">
        <f>攻击!E102*HP!$B102</f>
        <v>2496</v>
      </c>
      <c r="E102" s="1">
        <f>攻击!F102*HP!$B102</f>
        <v>3120</v>
      </c>
      <c r="F102" s="1">
        <f>攻击!G102*HP!$B102</f>
        <v>4160</v>
      </c>
      <c r="G102" s="1">
        <f>攻击!H102*HP!$B102</f>
        <v>5200</v>
      </c>
      <c r="H102" s="1">
        <f>攻击!I102*HP!$B102</f>
        <v>1040</v>
      </c>
      <c r="I102" s="1">
        <f>攻击!J102*HP!$B102</f>
        <v>624</v>
      </c>
      <c r="J102" s="1">
        <f>攻击!K102*HP!$B102</f>
        <v>1248</v>
      </c>
      <c r="K102" s="1">
        <f>攻击!L102*HP!$B102</f>
        <v>624</v>
      </c>
      <c r="L102" s="1">
        <f>攻击!M102*HP!$B102</f>
        <v>1664</v>
      </c>
      <c r="M102" s="1">
        <f>攻击!N102*HP!$B102</f>
        <v>2496</v>
      </c>
      <c r="N102" s="1">
        <f>攻击!O102*HP!$B102</f>
        <v>3120</v>
      </c>
      <c r="O102" s="1">
        <f>攻击!P102*HP!$B102</f>
        <v>4160</v>
      </c>
      <c r="P102" s="1">
        <f>攻击!Q102*HP!$B102</f>
        <v>5200</v>
      </c>
      <c r="Q102" s="1">
        <f>攻击!R102*HP!$B102</f>
        <v>6240</v>
      </c>
      <c r="R102" s="1">
        <f>攻击!S102*HP!$B102</f>
        <v>7280</v>
      </c>
      <c r="S102" s="1">
        <f>攻击!T102*HP!$B102</f>
        <v>1560</v>
      </c>
      <c r="T102" s="1">
        <f>攻击!U102*HP!$B102</f>
        <v>624</v>
      </c>
      <c r="U102" s="1">
        <f>攻击!V102*HP!$B102</f>
        <v>624</v>
      </c>
      <c r="V102" s="1">
        <f>攻击!W102*HP!$B102</f>
        <v>104</v>
      </c>
      <c r="W102" s="93">
        <f>攻击!X102</f>
        <v>0.2</v>
      </c>
      <c r="X102" s="93">
        <f>攻击!Y102</f>
        <v>0.3</v>
      </c>
      <c r="Y102" s="93">
        <f>攻击!Z102</f>
        <v>0.5</v>
      </c>
      <c r="Z102" s="93">
        <f>攻击!AA102</f>
        <v>0.8</v>
      </c>
      <c r="AA102" s="93">
        <f>攻击!AB102</f>
        <v>1.2</v>
      </c>
      <c r="AB102" s="1">
        <f>攻击!AC102*HP!$B102</f>
        <v>2080</v>
      </c>
      <c r="AC102" s="1">
        <f>攻击!AD102*HP!$B102</f>
        <v>2496</v>
      </c>
      <c r="AD102" s="1">
        <f>攻击!AE102*HP!$B102</f>
        <v>3120</v>
      </c>
      <c r="AE102" s="1">
        <f>攻击!AF102*HP!$B102</f>
        <v>4160</v>
      </c>
      <c r="AF102" s="1">
        <f>攻击!AG102*HP!$B102</f>
        <v>5200</v>
      </c>
      <c r="AG102" s="1">
        <f>攻击!AH102*HP!$B102</f>
        <v>1040</v>
      </c>
      <c r="AH102" s="1">
        <f>攻击!AI102*HP!$B102</f>
        <v>416</v>
      </c>
      <c r="AI102" s="1">
        <f>攻击!AJ102*HP!$B102</f>
        <v>416</v>
      </c>
      <c r="AJ102" s="1">
        <f>攻击!AK102*HP!$B102</f>
        <v>62.400000000000006</v>
      </c>
      <c r="AK102" s="1">
        <f>攻击!AL102*HP!$B102</f>
        <v>2496</v>
      </c>
      <c r="AL102" s="93">
        <f>攻击!AM102</f>
        <v>0.2</v>
      </c>
      <c r="AM102" s="93">
        <f>攻击!AN102</f>
        <v>0.3</v>
      </c>
      <c r="AN102" s="93">
        <f>攻击!AO102</f>
        <v>0.5</v>
      </c>
      <c r="AO102" s="93">
        <f>攻击!AP102</f>
        <v>0.8</v>
      </c>
      <c r="AP102" s="93">
        <f>攻击!AQ102</f>
        <v>1.2</v>
      </c>
      <c r="AQ102" s="1">
        <f>攻击!AR102*HP!$B102</f>
        <v>416</v>
      </c>
      <c r="AR102" s="1">
        <f t="shared" si="2"/>
        <v>10192</v>
      </c>
    </row>
    <row r="103" spans="1:44">
      <c r="A103" s="46">
        <v>101</v>
      </c>
      <c r="B103" s="1">
        <f t="shared" si="3"/>
        <v>10</v>
      </c>
      <c r="C103" s="1">
        <f>攻击!D103*HP!$B103</f>
        <v>2100</v>
      </c>
      <c r="D103" s="1">
        <f>攻击!E103*HP!$B103</f>
        <v>2520</v>
      </c>
      <c r="E103" s="1">
        <f>攻击!F103*HP!$B103</f>
        <v>3150</v>
      </c>
      <c r="F103" s="1">
        <f>攻击!G103*HP!$B103</f>
        <v>4200</v>
      </c>
      <c r="G103" s="1">
        <f>攻击!H103*HP!$B103</f>
        <v>5250</v>
      </c>
      <c r="H103" s="1">
        <f>攻击!I103*HP!$B103</f>
        <v>1040</v>
      </c>
      <c r="I103" s="1">
        <f>攻击!J103*HP!$B103</f>
        <v>630</v>
      </c>
      <c r="J103" s="1">
        <f>攻击!K103*HP!$B103</f>
        <v>1260</v>
      </c>
      <c r="K103" s="1">
        <f>攻击!L103*HP!$B103</f>
        <v>630</v>
      </c>
      <c r="L103" s="1">
        <f>攻击!M103*HP!$B103</f>
        <v>1680</v>
      </c>
      <c r="M103" s="1">
        <f>攻击!N103*HP!$B103</f>
        <v>2520</v>
      </c>
      <c r="N103" s="1">
        <f>攻击!O103*HP!$B103</f>
        <v>3150</v>
      </c>
      <c r="O103" s="1">
        <f>攻击!P103*HP!$B103</f>
        <v>4200</v>
      </c>
      <c r="P103" s="1">
        <f>攻击!Q103*HP!$B103</f>
        <v>5250</v>
      </c>
      <c r="Q103" s="1">
        <f>攻击!R103*HP!$B103</f>
        <v>6300</v>
      </c>
      <c r="R103" s="1">
        <f>攻击!S103*HP!$B103</f>
        <v>7350</v>
      </c>
      <c r="S103" s="1">
        <f>攻击!T103*HP!$B103</f>
        <v>1575</v>
      </c>
      <c r="T103" s="1">
        <f>攻击!U103*HP!$B103</f>
        <v>630</v>
      </c>
      <c r="U103" s="1">
        <f>攻击!V103*HP!$B103</f>
        <v>630</v>
      </c>
      <c r="V103" s="1">
        <f>攻击!W103*HP!$B103</f>
        <v>105</v>
      </c>
      <c r="W103" s="93">
        <f>攻击!X103</f>
        <v>0.2</v>
      </c>
      <c r="X103" s="93">
        <f>攻击!Y103</f>
        <v>0.3</v>
      </c>
      <c r="Y103" s="93">
        <f>攻击!Z103</f>
        <v>0.5</v>
      </c>
      <c r="Z103" s="93">
        <f>攻击!AA103</f>
        <v>0.8</v>
      </c>
      <c r="AA103" s="93">
        <f>攻击!AB103</f>
        <v>1.2</v>
      </c>
      <c r="AB103" s="1">
        <f>攻击!AC103*HP!$B103</f>
        <v>2100</v>
      </c>
      <c r="AC103" s="1">
        <f>攻击!AD103*HP!$B103</f>
        <v>2520</v>
      </c>
      <c r="AD103" s="1">
        <f>攻击!AE103*HP!$B103</f>
        <v>3150</v>
      </c>
      <c r="AE103" s="1">
        <f>攻击!AF103*HP!$B103</f>
        <v>4200</v>
      </c>
      <c r="AF103" s="1">
        <f>攻击!AG103*HP!$B103</f>
        <v>5250</v>
      </c>
      <c r="AG103" s="1">
        <f>攻击!AH103*HP!$B103</f>
        <v>1050</v>
      </c>
      <c r="AH103" s="1">
        <f>攻击!AI103*HP!$B103</f>
        <v>420</v>
      </c>
      <c r="AI103" s="1">
        <f>攻击!AJ103*HP!$B103</f>
        <v>420</v>
      </c>
      <c r="AJ103" s="1">
        <f>攻击!AK103*HP!$B103</f>
        <v>63</v>
      </c>
      <c r="AK103" s="1">
        <f>攻击!AL103*HP!$B103</f>
        <v>2520</v>
      </c>
      <c r="AL103" s="93">
        <f>攻击!AM103</f>
        <v>0.2</v>
      </c>
      <c r="AM103" s="93">
        <f>攻击!AN103</f>
        <v>0.3</v>
      </c>
      <c r="AN103" s="93">
        <f>攻击!AO103</f>
        <v>0.5</v>
      </c>
      <c r="AO103" s="93">
        <f>攻击!AP103</f>
        <v>0.8</v>
      </c>
      <c r="AP103" s="93">
        <f>攻击!AQ103</f>
        <v>1.2</v>
      </c>
      <c r="AQ103" s="1">
        <f>攻击!AR103*HP!$B103</f>
        <v>420</v>
      </c>
      <c r="AR103" s="1">
        <f t="shared" si="2"/>
        <v>10290</v>
      </c>
    </row>
    <row r="104" spans="1:44">
      <c r="A104" s="46">
        <v>102</v>
      </c>
      <c r="B104" s="1">
        <f t="shared" si="3"/>
        <v>10</v>
      </c>
      <c r="C104" s="1">
        <f>攻击!D104*HP!$B104</f>
        <v>2120</v>
      </c>
      <c r="D104" s="1">
        <f>攻击!E104*HP!$B104</f>
        <v>2544</v>
      </c>
      <c r="E104" s="1">
        <f>攻击!F104*HP!$B104</f>
        <v>3180</v>
      </c>
      <c r="F104" s="1">
        <f>攻击!G104*HP!$B104</f>
        <v>4240</v>
      </c>
      <c r="G104" s="1">
        <f>攻击!H104*HP!$B104</f>
        <v>5300</v>
      </c>
      <c r="H104" s="1">
        <f>攻击!I104*HP!$B104</f>
        <v>1040</v>
      </c>
      <c r="I104" s="1">
        <f>攻击!J104*HP!$B104</f>
        <v>636</v>
      </c>
      <c r="J104" s="1">
        <f>攻击!K104*HP!$B104</f>
        <v>1272</v>
      </c>
      <c r="K104" s="1">
        <f>攻击!L104*HP!$B104</f>
        <v>636</v>
      </c>
      <c r="L104" s="1">
        <f>攻击!M104*HP!$B104</f>
        <v>1696.0000000000002</v>
      </c>
      <c r="M104" s="1">
        <f>攻击!N104*HP!$B104</f>
        <v>2544</v>
      </c>
      <c r="N104" s="1">
        <f>攻击!O104*HP!$B104</f>
        <v>3180</v>
      </c>
      <c r="O104" s="1">
        <f>攻击!P104*HP!$B104</f>
        <v>4240</v>
      </c>
      <c r="P104" s="1">
        <f>攻击!Q104*HP!$B104</f>
        <v>5300</v>
      </c>
      <c r="Q104" s="1">
        <f>攻击!R104*HP!$B104</f>
        <v>6360</v>
      </c>
      <c r="R104" s="1">
        <f>攻击!S104*HP!$B104</f>
        <v>7420</v>
      </c>
      <c r="S104" s="1">
        <f>攻击!T104*HP!$B104</f>
        <v>1590</v>
      </c>
      <c r="T104" s="1">
        <f>攻击!U104*HP!$B104</f>
        <v>636</v>
      </c>
      <c r="U104" s="1">
        <f>攻击!V104*HP!$B104</f>
        <v>636</v>
      </c>
      <c r="V104" s="1">
        <f>攻击!W104*HP!$B104</f>
        <v>106.00000000000001</v>
      </c>
      <c r="W104" s="93">
        <f>攻击!X104</f>
        <v>0.2</v>
      </c>
      <c r="X104" s="93">
        <f>攻击!Y104</f>
        <v>0.3</v>
      </c>
      <c r="Y104" s="93">
        <f>攻击!Z104</f>
        <v>0.5</v>
      </c>
      <c r="Z104" s="93">
        <f>攻击!AA104</f>
        <v>0.8</v>
      </c>
      <c r="AA104" s="93">
        <f>攻击!AB104</f>
        <v>1.2</v>
      </c>
      <c r="AB104" s="1">
        <f>攻击!AC104*HP!$B104</f>
        <v>2120</v>
      </c>
      <c r="AC104" s="1">
        <f>攻击!AD104*HP!$B104</f>
        <v>2544</v>
      </c>
      <c r="AD104" s="1">
        <f>攻击!AE104*HP!$B104</f>
        <v>3180</v>
      </c>
      <c r="AE104" s="1">
        <f>攻击!AF104*HP!$B104</f>
        <v>4240</v>
      </c>
      <c r="AF104" s="1">
        <f>攻击!AG104*HP!$B104</f>
        <v>5300</v>
      </c>
      <c r="AG104" s="1">
        <f>攻击!AH104*HP!$B104</f>
        <v>1060</v>
      </c>
      <c r="AH104" s="1">
        <f>攻击!AI104*HP!$B104</f>
        <v>424.00000000000006</v>
      </c>
      <c r="AI104" s="1">
        <f>攻击!AJ104*HP!$B104</f>
        <v>424.00000000000006</v>
      </c>
      <c r="AJ104" s="1">
        <f>攻击!AK104*HP!$B104</f>
        <v>63.599999999999994</v>
      </c>
      <c r="AK104" s="1">
        <f>攻击!AL104*HP!$B104</f>
        <v>2544</v>
      </c>
      <c r="AL104" s="93">
        <f>攻击!AM104</f>
        <v>0.2</v>
      </c>
      <c r="AM104" s="93">
        <f>攻击!AN104</f>
        <v>0.3</v>
      </c>
      <c r="AN104" s="93">
        <f>攻击!AO104</f>
        <v>0.5</v>
      </c>
      <c r="AO104" s="93">
        <f>攻击!AP104</f>
        <v>0.8</v>
      </c>
      <c r="AP104" s="93">
        <f>攻击!AQ104</f>
        <v>1.2</v>
      </c>
      <c r="AQ104" s="1">
        <f>攻击!AR104*HP!$B104</f>
        <v>424.00000000000006</v>
      </c>
      <c r="AR104" s="1">
        <f t="shared" si="2"/>
        <v>10388</v>
      </c>
    </row>
    <row r="105" spans="1:44">
      <c r="A105" s="46">
        <v>103</v>
      </c>
      <c r="B105" s="1">
        <f t="shared" si="3"/>
        <v>10</v>
      </c>
      <c r="C105" s="1">
        <f>攻击!D105*HP!$B105</f>
        <v>2140</v>
      </c>
      <c r="D105" s="1">
        <f>攻击!E105*HP!$B105</f>
        <v>2568</v>
      </c>
      <c r="E105" s="1">
        <f>攻击!F105*HP!$B105</f>
        <v>3210</v>
      </c>
      <c r="F105" s="1">
        <f>攻击!G105*HP!$B105</f>
        <v>4280</v>
      </c>
      <c r="G105" s="1">
        <f>攻击!H105*HP!$B105</f>
        <v>5350</v>
      </c>
      <c r="H105" s="1">
        <f>攻击!I105*HP!$B105</f>
        <v>1040</v>
      </c>
      <c r="I105" s="1">
        <f>攻击!J105*HP!$B105</f>
        <v>642</v>
      </c>
      <c r="J105" s="1">
        <f>攻击!K105*HP!$B105</f>
        <v>1284</v>
      </c>
      <c r="K105" s="1">
        <f>攻击!L105*HP!$B105</f>
        <v>642</v>
      </c>
      <c r="L105" s="1">
        <f>攻击!M105*HP!$B105</f>
        <v>1712.0000000000002</v>
      </c>
      <c r="M105" s="1">
        <f>攻击!N105*HP!$B105</f>
        <v>2568</v>
      </c>
      <c r="N105" s="1">
        <f>攻击!O105*HP!$B105</f>
        <v>3210</v>
      </c>
      <c r="O105" s="1">
        <f>攻击!P105*HP!$B105</f>
        <v>4280</v>
      </c>
      <c r="P105" s="1">
        <f>攻击!Q105*HP!$B105</f>
        <v>5350</v>
      </c>
      <c r="Q105" s="1">
        <f>攻击!R105*HP!$B105</f>
        <v>6420</v>
      </c>
      <c r="R105" s="1">
        <f>攻击!S105*HP!$B105</f>
        <v>7490</v>
      </c>
      <c r="S105" s="1">
        <f>攻击!T105*HP!$B105</f>
        <v>1605</v>
      </c>
      <c r="T105" s="1">
        <f>攻击!U105*HP!$B105</f>
        <v>642</v>
      </c>
      <c r="U105" s="1">
        <f>攻击!V105*HP!$B105</f>
        <v>642</v>
      </c>
      <c r="V105" s="1">
        <f>攻击!W105*HP!$B105</f>
        <v>107.00000000000001</v>
      </c>
      <c r="W105" s="93">
        <f>攻击!X105</f>
        <v>0.2</v>
      </c>
      <c r="X105" s="93">
        <f>攻击!Y105</f>
        <v>0.3</v>
      </c>
      <c r="Y105" s="93">
        <f>攻击!Z105</f>
        <v>0.5</v>
      </c>
      <c r="Z105" s="93">
        <f>攻击!AA105</f>
        <v>0.8</v>
      </c>
      <c r="AA105" s="93">
        <f>攻击!AB105</f>
        <v>1.2</v>
      </c>
      <c r="AB105" s="1">
        <f>攻击!AC105*HP!$B105</f>
        <v>2140</v>
      </c>
      <c r="AC105" s="1">
        <f>攻击!AD105*HP!$B105</f>
        <v>2568</v>
      </c>
      <c r="AD105" s="1">
        <f>攻击!AE105*HP!$B105</f>
        <v>3210</v>
      </c>
      <c r="AE105" s="1">
        <f>攻击!AF105*HP!$B105</f>
        <v>4280</v>
      </c>
      <c r="AF105" s="1">
        <f>攻击!AG105*HP!$B105</f>
        <v>5350</v>
      </c>
      <c r="AG105" s="1">
        <f>攻击!AH105*HP!$B105</f>
        <v>1070</v>
      </c>
      <c r="AH105" s="1">
        <f>攻击!AI105*HP!$B105</f>
        <v>428.00000000000006</v>
      </c>
      <c r="AI105" s="1">
        <f>攻击!AJ105*HP!$B105</f>
        <v>428.00000000000006</v>
      </c>
      <c r="AJ105" s="1">
        <f>攻击!AK105*HP!$B105</f>
        <v>64.2</v>
      </c>
      <c r="AK105" s="1">
        <f>攻击!AL105*HP!$B105</f>
        <v>2568</v>
      </c>
      <c r="AL105" s="93">
        <f>攻击!AM105</f>
        <v>0.2</v>
      </c>
      <c r="AM105" s="93">
        <f>攻击!AN105</f>
        <v>0.3</v>
      </c>
      <c r="AN105" s="93">
        <f>攻击!AO105</f>
        <v>0.5</v>
      </c>
      <c r="AO105" s="93">
        <f>攻击!AP105</f>
        <v>0.8</v>
      </c>
      <c r="AP105" s="93">
        <f>攻击!AQ105</f>
        <v>1.2</v>
      </c>
      <c r="AQ105" s="1">
        <f>攻击!AR105*HP!$B105</f>
        <v>428.00000000000006</v>
      </c>
      <c r="AR105" s="1">
        <f t="shared" si="2"/>
        <v>10486</v>
      </c>
    </row>
    <row r="106" spans="1:44">
      <c r="A106" s="46">
        <v>104</v>
      </c>
      <c r="B106" s="1">
        <f t="shared" si="3"/>
        <v>10</v>
      </c>
      <c r="C106" s="1">
        <f>攻击!D106*HP!$B106</f>
        <v>2160</v>
      </c>
      <c r="D106" s="1">
        <f>攻击!E106*HP!$B106</f>
        <v>2592</v>
      </c>
      <c r="E106" s="1">
        <f>攻击!F106*HP!$B106</f>
        <v>3240</v>
      </c>
      <c r="F106" s="1">
        <f>攻击!G106*HP!$B106</f>
        <v>4320</v>
      </c>
      <c r="G106" s="1">
        <f>攻击!H106*HP!$B106</f>
        <v>5400</v>
      </c>
      <c r="H106" s="1">
        <f>攻击!I106*HP!$B106</f>
        <v>1040</v>
      </c>
      <c r="I106" s="1">
        <f>攻击!J106*HP!$B106</f>
        <v>648</v>
      </c>
      <c r="J106" s="1">
        <f>攻击!K106*HP!$B106</f>
        <v>1296</v>
      </c>
      <c r="K106" s="1">
        <f>攻击!L106*HP!$B106</f>
        <v>648</v>
      </c>
      <c r="L106" s="1">
        <f>攻击!M106*HP!$B106</f>
        <v>1728</v>
      </c>
      <c r="M106" s="1">
        <f>攻击!N106*HP!$B106</f>
        <v>2592</v>
      </c>
      <c r="N106" s="1">
        <f>攻击!O106*HP!$B106</f>
        <v>3240</v>
      </c>
      <c r="O106" s="1">
        <f>攻击!P106*HP!$B106</f>
        <v>4320</v>
      </c>
      <c r="P106" s="1">
        <f>攻击!Q106*HP!$B106</f>
        <v>5400</v>
      </c>
      <c r="Q106" s="1">
        <f>攻击!R106*HP!$B106</f>
        <v>6480</v>
      </c>
      <c r="R106" s="1">
        <f>攻击!S106*HP!$B106</f>
        <v>7560</v>
      </c>
      <c r="S106" s="1">
        <f>攻击!T106*HP!$B106</f>
        <v>1620</v>
      </c>
      <c r="T106" s="1">
        <f>攻击!U106*HP!$B106</f>
        <v>648</v>
      </c>
      <c r="U106" s="1">
        <f>攻击!V106*HP!$B106</f>
        <v>648</v>
      </c>
      <c r="V106" s="1">
        <f>攻击!W106*HP!$B106</f>
        <v>108</v>
      </c>
      <c r="W106" s="93">
        <f>攻击!X106</f>
        <v>0.2</v>
      </c>
      <c r="X106" s="93">
        <f>攻击!Y106</f>
        <v>0.3</v>
      </c>
      <c r="Y106" s="93">
        <f>攻击!Z106</f>
        <v>0.5</v>
      </c>
      <c r="Z106" s="93">
        <f>攻击!AA106</f>
        <v>0.8</v>
      </c>
      <c r="AA106" s="93">
        <f>攻击!AB106</f>
        <v>1.2</v>
      </c>
      <c r="AB106" s="1">
        <f>攻击!AC106*HP!$B106</f>
        <v>2160</v>
      </c>
      <c r="AC106" s="1">
        <f>攻击!AD106*HP!$B106</f>
        <v>2592</v>
      </c>
      <c r="AD106" s="1">
        <f>攻击!AE106*HP!$B106</f>
        <v>3240</v>
      </c>
      <c r="AE106" s="1">
        <f>攻击!AF106*HP!$B106</f>
        <v>4320</v>
      </c>
      <c r="AF106" s="1">
        <f>攻击!AG106*HP!$B106</f>
        <v>5400</v>
      </c>
      <c r="AG106" s="1">
        <f>攻击!AH106*HP!$B106</f>
        <v>1080</v>
      </c>
      <c r="AH106" s="1">
        <f>攻击!AI106*HP!$B106</f>
        <v>432</v>
      </c>
      <c r="AI106" s="1">
        <f>攻击!AJ106*HP!$B106</f>
        <v>432</v>
      </c>
      <c r="AJ106" s="1">
        <f>攻击!AK106*HP!$B106</f>
        <v>64.8</v>
      </c>
      <c r="AK106" s="1">
        <f>攻击!AL106*HP!$B106</f>
        <v>2592</v>
      </c>
      <c r="AL106" s="93">
        <f>攻击!AM106</f>
        <v>0.2</v>
      </c>
      <c r="AM106" s="93">
        <f>攻击!AN106</f>
        <v>0.3</v>
      </c>
      <c r="AN106" s="93">
        <f>攻击!AO106</f>
        <v>0.5</v>
      </c>
      <c r="AO106" s="93">
        <f>攻击!AP106</f>
        <v>0.8</v>
      </c>
      <c r="AP106" s="93">
        <f>攻击!AQ106</f>
        <v>1.2</v>
      </c>
      <c r="AQ106" s="1">
        <f>攻击!AR106*HP!$B106</f>
        <v>432</v>
      </c>
      <c r="AR106" s="1">
        <f t="shared" si="2"/>
        <v>10584</v>
      </c>
    </row>
    <row r="107" spans="1:44">
      <c r="A107" s="46">
        <v>105</v>
      </c>
      <c r="B107" s="1">
        <f t="shared" si="3"/>
        <v>10</v>
      </c>
      <c r="C107" s="1">
        <f>攻击!D107*HP!$B107</f>
        <v>2180</v>
      </c>
      <c r="D107" s="1">
        <f>攻击!E107*HP!$B107</f>
        <v>2615.9999999999995</v>
      </c>
      <c r="E107" s="1">
        <f>攻击!F107*HP!$B107</f>
        <v>3270</v>
      </c>
      <c r="F107" s="1">
        <f>攻击!G107*HP!$B107</f>
        <v>4360</v>
      </c>
      <c r="G107" s="1">
        <f>攻击!H107*HP!$B107</f>
        <v>5450</v>
      </c>
      <c r="H107" s="1">
        <f>攻击!I107*HP!$B107</f>
        <v>1090</v>
      </c>
      <c r="I107" s="1">
        <f>攻击!J107*HP!$B107</f>
        <v>653.99999999999989</v>
      </c>
      <c r="J107" s="1">
        <f>攻击!K107*HP!$B107</f>
        <v>1307.9999999999998</v>
      </c>
      <c r="K107" s="1">
        <f>攻击!L107*HP!$B107</f>
        <v>653.99999999999989</v>
      </c>
      <c r="L107" s="1">
        <f>攻击!M107*HP!$B107</f>
        <v>1744</v>
      </c>
      <c r="M107" s="1">
        <f>攻击!N107*HP!$B107</f>
        <v>2615.9999999999995</v>
      </c>
      <c r="N107" s="1">
        <f>攻击!O107*HP!$B107</f>
        <v>3270</v>
      </c>
      <c r="O107" s="1">
        <f>攻击!P107*HP!$B107</f>
        <v>4360</v>
      </c>
      <c r="P107" s="1">
        <f>攻击!Q107*HP!$B107</f>
        <v>5450</v>
      </c>
      <c r="Q107" s="1">
        <f>攻击!R107*HP!$B107</f>
        <v>6540</v>
      </c>
      <c r="R107" s="1">
        <f>攻击!S107*HP!$B107</f>
        <v>7630</v>
      </c>
      <c r="S107" s="1">
        <f>攻击!T107*HP!$B107</f>
        <v>1635</v>
      </c>
      <c r="T107" s="1">
        <f>攻击!U107*HP!$B107</f>
        <v>653.99999999999989</v>
      </c>
      <c r="U107" s="1">
        <f>攻击!V107*HP!$B107</f>
        <v>653.99999999999989</v>
      </c>
      <c r="V107" s="1">
        <f>攻击!W107*HP!$B107</f>
        <v>109</v>
      </c>
      <c r="W107" s="93">
        <f>攻击!X107</f>
        <v>0.2</v>
      </c>
      <c r="X107" s="93">
        <f>攻击!Y107</f>
        <v>0.3</v>
      </c>
      <c r="Y107" s="93">
        <f>攻击!Z107</f>
        <v>0.5</v>
      </c>
      <c r="Z107" s="93">
        <f>攻击!AA107</f>
        <v>0.8</v>
      </c>
      <c r="AA107" s="93">
        <f>攻击!AB107</f>
        <v>1.2</v>
      </c>
      <c r="AB107" s="1">
        <f>攻击!AC107*HP!$B107</f>
        <v>2180</v>
      </c>
      <c r="AC107" s="1">
        <f>攻击!AD107*HP!$B107</f>
        <v>2615.9999999999995</v>
      </c>
      <c r="AD107" s="1">
        <f>攻击!AE107*HP!$B107</f>
        <v>3270</v>
      </c>
      <c r="AE107" s="1">
        <f>攻击!AF107*HP!$B107</f>
        <v>4360</v>
      </c>
      <c r="AF107" s="1">
        <f>攻击!AG107*HP!$B107</f>
        <v>5450</v>
      </c>
      <c r="AG107" s="1">
        <f>攻击!AH107*HP!$B107</f>
        <v>1090</v>
      </c>
      <c r="AH107" s="1">
        <f>攻击!AI107*HP!$B107</f>
        <v>436</v>
      </c>
      <c r="AI107" s="1">
        <f>攻击!AJ107*HP!$B107</f>
        <v>436</v>
      </c>
      <c r="AJ107" s="1">
        <f>攻击!AK107*HP!$B107</f>
        <v>65.400000000000006</v>
      </c>
      <c r="AK107" s="1">
        <f>攻击!AL107*HP!$B107</f>
        <v>2615.9999999999995</v>
      </c>
      <c r="AL107" s="93">
        <f>攻击!AM107</f>
        <v>0.2</v>
      </c>
      <c r="AM107" s="93">
        <f>攻击!AN107</f>
        <v>0.3</v>
      </c>
      <c r="AN107" s="93">
        <f>攻击!AO107</f>
        <v>0.5</v>
      </c>
      <c r="AO107" s="93">
        <f>攻击!AP107</f>
        <v>0.8</v>
      </c>
      <c r="AP107" s="93">
        <f>攻击!AQ107</f>
        <v>1.2</v>
      </c>
      <c r="AQ107" s="1">
        <f>攻击!AR107*HP!$B107</f>
        <v>436</v>
      </c>
      <c r="AR107" s="1">
        <f t="shared" si="2"/>
        <v>10682</v>
      </c>
    </row>
    <row r="108" spans="1:44">
      <c r="A108" s="46">
        <v>106</v>
      </c>
      <c r="B108" s="1">
        <f t="shared" si="3"/>
        <v>10</v>
      </c>
      <c r="C108" s="1">
        <f>攻击!D108*HP!$B108</f>
        <v>2200</v>
      </c>
      <c r="D108" s="1">
        <f>攻击!E108*HP!$B108</f>
        <v>2640</v>
      </c>
      <c r="E108" s="1">
        <f>攻击!F108*HP!$B108</f>
        <v>3300</v>
      </c>
      <c r="F108" s="1">
        <f>攻击!G108*HP!$B108</f>
        <v>4400</v>
      </c>
      <c r="G108" s="1">
        <f>攻击!H108*HP!$B108</f>
        <v>5500</v>
      </c>
      <c r="H108" s="1">
        <f>攻击!I108*HP!$B108</f>
        <v>1090</v>
      </c>
      <c r="I108" s="1">
        <f>攻击!J108*HP!$B108</f>
        <v>660</v>
      </c>
      <c r="J108" s="1">
        <f>攻击!K108*HP!$B108</f>
        <v>1320</v>
      </c>
      <c r="K108" s="1">
        <f>攻击!L108*HP!$B108</f>
        <v>660</v>
      </c>
      <c r="L108" s="1">
        <f>攻击!M108*HP!$B108</f>
        <v>1760</v>
      </c>
      <c r="M108" s="1">
        <f>攻击!N108*HP!$B108</f>
        <v>2640</v>
      </c>
      <c r="N108" s="1">
        <f>攻击!O108*HP!$B108</f>
        <v>3300</v>
      </c>
      <c r="O108" s="1">
        <f>攻击!P108*HP!$B108</f>
        <v>4400</v>
      </c>
      <c r="P108" s="1">
        <f>攻击!Q108*HP!$B108</f>
        <v>5500</v>
      </c>
      <c r="Q108" s="1">
        <f>攻击!R108*HP!$B108</f>
        <v>6600</v>
      </c>
      <c r="R108" s="1">
        <f>攻击!S108*HP!$B108</f>
        <v>7700</v>
      </c>
      <c r="S108" s="1">
        <f>攻击!T108*HP!$B108</f>
        <v>1650</v>
      </c>
      <c r="T108" s="1">
        <f>攻击!U108*HP!$B108</f>
        <v>660</v>
      </c>
      <c r="U108" s="1">
        <f>攻击!V108*HP!$B108</f>
        <v>660</v>
      </c>
      <c r="V108" s="1">
        <f>攻击!W108*HP!$B108</f>
        <v>110</v>
      </c>
      <c r="W108" s="93">
        <f>攻击!X108</f>
        <v>0.2</v>
      </c>
      <c r="X108" s="93">
        <f>攻击!Y108</f>
        <v>0.3</v>
      </c>
      <c r="Y108" s="93">
        <f>攻击!Z108</f>
        <v>0.5</v>
      </c>
      <c r="Z108" s="93">
        <f>攻击!AA108</f>
        <v>0.8</v>
      </c>
      <c r="AA108" s="93">
        <f>攻击!AB108</f>
        <v>1.2</v>
      </c>
      <c r="AB108" s="1">
        <f>攻击!AC108*HP!$B108</f>
        <v>2200</v>
      </c>
      <c r="AC108" s="1">
        <f>攻击!AD108*HP!$B108</f>
        <v>2640</v>
      </c>
      <c r="AD108" s="1">
        <f>攻击!AE108*HP!$B108</f>
        <v>3300</v>
      </c>
      <c r="AE108" s="1">
        <f>攻击!AF108*HP!$B108</f>
        <v>4400</v>
      </c>
      <c r="AF108" s="1">
        <f>攻击!AG108*HP!$B108</f>
        <v>5500</v>
      </c>
      <c r="AG108" s="1">
        <f>攻击!AH108*HP!$B108</f>
        <v>1100</v>
      </c>
      <c r="AH108" s="1">
        <f>攻击!AI108*HP!$B108</f>
        <v>440</v>
      </c>
      <c r="AI108" s="1">
        <f>攻击!AJ108*HP!$B108</f>
        <v>440</v>
      </c>
      <c r="AJ108" s="1">
        <f>攻击!AK108*HP!$B108</f>
        <v>66</v>
      </c>
      <c r="AK108" s="1">
        <f>攻击!AL108*HP!$B108</f>
        <v>2640</v>
      </c>
      <c r="AL108" s="93">
        <f>攻击!AM108</f>
        <v>0.2</v>
      </c>
      <c r="AM108" s="93">
        <f>攻击!AN108</f>
        <v>0.3</v>
      </c>
      <c r="AN108" s="93">
        <f>攻击!AO108</f>
        <v>0.5</v>
      </c>
      <c r="AO108" s="93">
        <f>攻击!AP108</f>
        <v>0.8</v>
      </c>
      <c r="AP108" s="93">
        <f>攻击!AQ108</f>
        <v>1.2</v>
      </c>
      <c r="AQ108" s="1">
        <f>攻击!AR108*HP!$B108</f>
        <v>440</v>
      </c>
      <c r="AR108" s="1">
        <f t="shared" si="2"/>
        <v>10780</v>
      </c>
    </row>
    <row r="109" spans="1:44">
      <c r="A109" s="46">
        <v>107</v>
      </c>
      <c r="B109" s="1">
        <f t="shared" si="3"/>
        <v>10</v>
      </c>
      <c r="C109" s="1">
        <f>攻击!D109*HP!$B109</f>
        <v>2220</v>
      </c>
      <c r="D109" s="1">
        <f>攻击!E109*HP!$B109</f>
        <v>2664</v>
      </c>
      <c r="E109" s="1">
        <f>攻击!F109*HP!$B109</f>
        <v>3330</v>
      </c>
      <c r="F109" s="1">
        <f>攻击!G109*HP!$B109</f>
        <v>4440</v>
      </c>
      <c r="G109" s="1">
        <f>攻击!H109*HP!$B109</f>
        <v>5550</v>
      </c>
      <c r="H109" s="1">
        <f>攻击!I109*HP!$B109</f>
        <v>1090</v>
      </c>
      <c r="I109" s="1">
        <f>攻击!J109*HP!$B109</f>
        <v>666</v>
      </c>
      <c r="J109" s="1">
        <f>攻击!K109*HP!$B109</f>
        <v>1332</v>
      </c>
      <c r="K109" s="1">
        <f>攻击!L109*HP!$B109</f>
        <v>666</v>
      </c>
      <c r="L109" s="1">
        <f>攻击!M109*HP!$B109</f>
        <v>1776.0000000000002</v>
      </c>
      <c r="M109" s="1">
        <f>攻击!N109*HP!$B109</f>
        <v>2664</v>
      </c>
      <c r="N109" s="1">
        <f>攻击!O109*HP!$B109</f>
        <v>3330</v>
      </c>
      <c r="O109" s="1">
        <f>攻击!P109*HP!$B109</f>
        <v>4440</v>
      </c>
      <c r="P109" s="1">
        <f>攻击!Q109*HP!$B109</f>
        <v>5550</v>
      </c>
      <c r="Q109" s="1">
        <f>攻击!R109*HP!$B109</f>
        <v>6660</v>
      </c>
      <c r="R109" s="1">
        <f>攻击!S109*HP!$B109</f>
        <v>7770</v>
      </c>
      <c r="S109" s="1">
        <f>攻击!T109*HP!$B109</f>
        <v>1665</v>
      </c>
      <c r="T109" s="1">
        <f>攻击!U109*HP!$B109</f>
        <v>666</v>
      </c>
      <c r="U109" s="1">
        <f>攻击!V109*HP!$B109</f>
        <v>666</v>
      </c>
      <c r="V109" s="1">
        <f>攻击!W109*HP!$B109</f>
        <v>111.00000000000001</v>
      </c>
      <c r="W109" s="93">
        <f>攻击!X109</f>
        <v>0.2</v>
      </c>
      <c r="X109" s="93">
        <f>攻击!Y109</f>
        <v>0.3</v>
      </c>
      <c r="Y109" s="93">
        <f>攻击!Z109</f>
        <v>0.5</v>
      </c>
      <c r="Z109" s="93">
        <f>攻击!AA109</f>
        <v>0.8</v>
      </c>
      <c r="AA109" s="93">
        <f>攻击!AB109</f>
        <v>1.2</v>
      </c>
      <c r="AB109" s="1">
        <f>攻击!AC109*HP!$B109</f>
        <v>2220</v>
      </c>
      <c r="AC109" s="1">
        <f>攻击!AD109*HP!$B109</f>
        <v>2664</v>
      </c>
      <c r="AD109" s="1">
        <f>攻击!AE109*HP!$B109</f>
        <v>3330</v>
      </c>
      <c r="AE109" s="1">
        <f>攻击!AF109*HP!$B109</f>
        <v>4440</v>
      </c>
      <c r="AF109" s="1">
        <f>攻击!AG109*HP!$B109</f>
        <v>5550</v>
      </c>
      <c r="AG109" s="1">
        <f>攻击!AH109*HP!$B109</f>
        <v>1110</v>
      </c>
      <c r="AH109" s="1">
        <f>攻击!AI109*HP!$B109</f>
        <v>444.00000000000006</v>
      </c>
      <c r="AI109" s="1">
        <f>攻击!AJ109*HP!$B109</f>
        <v>444.00000000000006</v>
      </c>
      <c r="AJ109" s="1">
        <f>攻击!AK109*HP!$B109</f>
        <v>66.599999999999994</v>
      </c>
      <c r="AK109" s="1">
        <f>攻击!AL109*HP!$B109</f>
        <v>2664</v>
      </c>
      <c r="AL109" s="93">
        <f>攻击!AM109</f>
        <v>0.2</v>
      </c>
      <c r="AM109" s="93">
        <f>攻击!AN109</f>
        <v>0.3</v>
      </c>
      <c r="AN109" s="93">
        <f>攻击!AO109</f>
        <v>0.5</v>
      </c>
      <c r="AO109" s="93">
        <f>攻击!AP109</f>
        <v>0.8</v>
      </c>
      <c r="AP109" s="93">
        <f>攻击!AQ109</f>
        <v>1.2</v>
      </c>
      <c r="AQ109" s="1">
        <f>攻击!AR109*HP!$B109</f>
        <v>444.00000000000006</v>
      </c>
      <c r="AR109" s="1">
        <f t="shared" si="2"/>
        <v>10878</v>
      </c>
    </row>
    <row r="110" spans="1:44">
      <c r="A110" s="46">
        <v>108</v>
      </c>
      <c r="B110" s="1">
        <f t="shared" si="3"/>
        <v>10</v>
      </c>
      <c r="C110" s="1">
        <f>攻击!D110*HP!$B110</f>
        <v>2240</v>
      </c>
      <c r="D110" s="1">
        <f>攻击!E110*HP!$B110</f>
        <v>2688</v>
      </c>
      <c r="E110" s="1">
        <f>攻击!F110*HP!$B110</f>
        <v>3360</v>
      </c>
      <c r="F110" s="1">
        <f>攻击!G110*HP!$B110</f>
        <v>4480</v>
      </c>
      <c r="G110" s="1">
        <f>攻击!H110*HP!$B110</f>
        <v>5600</v>
      </c>
      <c r="H110" s="1">
        <f>攻击!I110*HP!$B110</f>
        <v>1090</v>
      </c>
      <c r="I110" s="1">
        <f>攻击!J110*HP!$B110</f>
        <v>672</v>
      </c>
      <c r="J110" s="1">
        <f>攻击!K110*HP!$B110</f>
        <v>1344</v>
      </c>
      <c r="K110" s="1">
        <f>攻击!L110*HP!$B110</f>
        <v>672</v>
      </c>
      <c r="L110" s="1">
        <f>攻击!M110*HP!$B110</f>
        <v>1792.0000000000002</v>
      </c>
      <c r="M110" s="1">
        <f>攻击!N110*HP!$B110</f>
        <v>2688</v>
      </c>
      <c r="N110" s="1">
        <f>攻击!O110*HP!$B110</f>
        <v>3360</v>
      </c>
      <c r="O110" s="1">
        <f>攻击!P110*HP!$B110</f>
        <v>4480</v>
      </c>
      <c r="P110" s="1">
        <f>攻击!Q110*HP!$B110</f>
        <v>5600</v>
      </c>
      <c r="Q110" s="1">
        <f>攻击!R110*HP!$B110</f>
        <v>6720</v>
      </c>
      <c r="R110" s="1">
        <f>攻击!S110*HP!$B110</f>
        <v>7840</v>
      </c>
      <c r="S110" s="1">
        <f>攻击!T110*HP!$B110</f>
        <v>1680</v>
      </c>
      <c r="T110" s="1">
        <f>攻击!U110*HP!$B110</f>
        <v>672</v>
      </c>
      <c r="U110" s="1">
        <f>攻击!V110*HP!$B110</f>
        <v>672</v>
      </c>
      <c r="V110" s="1">
        <f>攻击!W110*HP!$B110</f>
        <v>112.00000000000001</v>
      </c>
      <c r="W110" s="93">
        <f>攻击!X110</f>
        <v>0.2</v>
      </c>
      <c r="X110" s="93">
        <f>攻击!Y110</f>
        <v>0.3</v>
      </c>
      <c r="Y110" s="93">
        <f>攻击!Z110</f>
        <v>0.5</v>
      </c>
      <c r="Z110" s="93">
        <f>攻击!AA110</f>
        <v>0.8</v>
      </c>
      <c r="AA110" s="93">
        <f>攻击!AB110</f>
        <v>1.2</v>
      </c>
      <c r="AB110" s="1">
        <f>攻击!AC110*HP!$B110</f>
        <v>2240</v>
      </c>
      <c r="AC110" s="1">
        <f>攻击!AD110*HP!$B110</f>
        <v>2688</v>
      </c>
      <c r="AD110" s="1">
        <f>攻击!AE110*HP!$B110</f>
        <v>3360</v>
      </c>
      <c r="AE110" s="1">
        <f>攻击!AF110*HP!$B110</f>
        <v>4480</v>
      </c>
      <c r="AF110" s="1">
        <f>攻击!AG110*HP!$B110</f>
        <v>5600</v>
      </c>
      <c r="AG110" s="1">
        <f>攻击!AH110*HP!$B110</f>
        <v>1120</v>
      </c>
      <c r="AH110" s="1">
        <f>攻击!AI110*HP!$B110</f>
        <v>448.00000000000006</v>
      </c>
      <c r="AI110" s="1">
        <f>攻击!AJ110*HP!$B110</f>
        <v>448.00000000000006</v>
      </c>
      <c r="AJ110" s="1">
        <f>攻击!AK110*HP!$B110</f>
        <v>67.2</v>
      </c>
      <c r="AK110" s="1">
        <f>攻击!AL110*HP!$B110</f>
        <v>2688</v>
      </c>
      <c r="AL110" s="93">
        <f>攻击!AM110</f>
        <v>0.2</v>
      </c>
      <c r="AM110" s="93">
        <f>攻击!AN110</f>
        <v>0.3</v>
      </c>
      <c r="AN110" s="93">
        <f>攻击!AO110</f>
        <v>0.5</v>
      </c>
      <c r="AO110" s="93">
        <f>攻击!AP110</f>
        <v>0.8</v>
      </c>
      <c r="AP110" s="93">
        <f>攻击!AQ110</f>
        <v>1.2</v>
      </c>
      <c r="AQ110" s="1">
        <f>攻击!AR110*HP!$B110</f>
        <v>448.00000000000006</v>
      </c>
      <c r="AR110" s="1">
        <f t="shared" si="2"/>
        <v>10976</v>
      </c>
    </row>
    <row r="111" spans="1:44">
      <c r="A111" s="46">
        <v>109</v>
      </c>
      <c r="B111" s="1">
        <f t="shared" si="3"/>
        <v>10</v>
      </c>
      <c r="C111" s="1">
        <f>攻击!D111*HP!$B111</f>
        <v>2260</v>
      </c>
      <c r="D111" s="1">
        <f>攻击!E111*HP!$B111</f>
        <v>2712</v>
      </c>
      <c r="E111" s="1">
        <f>攻击!F111*HP!$B111</f>
        <v>3390</v>
      </c>
      <c r="F111" s="1">
        <f>攻击!G111*HP!$B111</f>
        <v>4520</v>
      </c>
      <c r="G111" s="1">
        <f>攻击!H111*HP!$B111</f>
        <v>5650</v>
      </c>
      <c r="H111" s="1">
        <f>攻击!I111*HP!$B111</f>
        <v>1090</v>
      </c>
      <c r="I111" s="1">
        <f>攻击!J111*HP!$B111</f>
        <v>678</v>
      </c>
      <c r="J111" s="1">
        <f>攻击!K111*HP!$B111</f>
        <v>1356</v>
      </c>
      <c r="K111" s="1">
        <f>攻击!L111*HP!$B111</f>
        <v>678</v>
      </c>
      <c r="L111" s="1">
        <f>攻击!M111*HP!$B111</f>
        <v>1808</v>
      </c>
      <c r="M111" s="1">
        <f>攻击!N111*HP!$B111</f>
        <v>2712</v>
      </c>
      <c r="N111" s="1">
        <f>攻击!O111*HP!$B111</f>
        <v>3390</v>
      </c>
      <c r="O111" s="1">
        <f>攻击!P111*HP!$B111</f>
        <v>4520</v>
      </c>
      <c r="P111" s="1">
        <f>攻击!Q111*HP!$B111</f>
        <v>5650</v>
      </c>
      <c r="Q111" s="1">
        <f>攻击!R111*HP!$B111</f>
        <v>6780</v>
      </c>
      <c r="R111" s="1">
        <f>攻击!S111*HP!$B111</f>
        <v>7910</v>
      </c>
      <c r="S111" s="1">
        <f>攻击!T111*HP!$B111</f>
        <v>1695</v>
      </c>
      <c r="T111" s="1">
        <f>攻击!U111*HP!$B111</f>
        <v>678</v>
      </c>
      <c r="U111" s="1">
        <f>攻击!V111*HP!$B111</f>
        <v>678</v>
      </c>
      <c r="V111" s="1">
        <f>攻击!W111*HP!$B111</f>
        <v>113</v>
      </c>
      <c r="W111" s="93">
        <f>攻击!X111</f>
        <v>0.2</v>
      </c>
      <c r="X111" s="93">
        <f>攻击!Y111</f>
        <v>0.3</v>
      </c>
      <c r="Y111" s="93">
        <f>攻击!Z111</f>
        <v>0.5</v>
      </c>
      <c r="Z111" s="93">
        <f>攻击!AA111</f>
        <v>0.8</v>
      </c>
      <c r="AA111" s="93">
        <f>攻击!AB111</f>
        <v>1.2</v>
      </c>
      <c r="AB111" s="1">
        <f>攻击!AC111*HP!$B111</f>
        <v>2260</v>
      </c>
      <c r="AC111" s="1">
        <f>攻击!AD111*HP!$B111</f>
        <v>2712</v>
      </c>
      <c r="AD111" s="1">
        <f>攻击!AE111*HP!$B111</f>
        <v>3390</v>
      </c>
      <c r="AE111" s="1">
        <f>攻击!AF111*HP!$B111</f>
        <v>4520</v>
      </c>
      <c r="AF111" s="1">
        <f>攻击!AG111*HP!$B111</f>
        <v>5650</v>
      </c>
      <c r="AG111" s="1">
        <f>攻击!AH111*HP!$B111</f>
        <v>1130</v>
      </c>
      <c r="AH111" s="1">
        <f>攻击!AI111*HP!$B111</f>
        <v>452</v>
      </c>
      <c r="AI111" s="1">
        <f>攻击!AJ111*HP!$B111</f>
        <v>452</v>
      </c>
      <c r="AJ111" s="1">
        <f>攻击!AK111*HP!$B111</f>
        <v>67.8</v>
      </c>
      <c r="AK111" s="1">
        <f>攻击!AL111*HP!$B111</f>
        <v>2712</v>
      </c>
      <c r="AL111" s="93">
        <f>攻击!AM111</f>
        <v>0.2</v>
      </c>
      <c r="AM111" s="93">
        <f>攻击!AN111</f>
        <v>0.3</v>
      </c>
      <c r="AN111" s="93">
        <f>攻击!AO111</f>
        <v>0.5</v>
      </c>
      <c r="AO111" s="93">
        <f>攻击!AP111</f>
        <v>0.8</v>
      </c>
      <c r="AP111" s="93">
        <f>攻击!AQ111</f>
        <v>1.2</v>
      </c>
      <c r="AQ111" s="1">
        <f>攻击!AR111*HP!$B111</f>
        <v>452</v>
      </c>
      <c r="AR111" s="1">
        <f t="shared" si="2"/>
        <v>11074</v>
      </c>
    </row>
    <row r="112" spans="1:44">
      <c r="A112" s="46">
        <v>110</v>
      </c>
      <c r="B112" s="1">
        <f t="shared" si="3"/>
        <v>10</v>
      </c>
      <c r="C112" s="1">
        <f>攻击!D112*HP!$B112</f>
        <v>2280</v>
      </c>
      <c r="D112" s="1">
        <f>攻击!E112*HP!$B112</f>
        <v>2735.9999999999995</v>
      </c>
      <c r="E112" s="1">
        <f>攻击!F112*HP!$B112</f>
        <v>3420</v>
      </c>
      <c r="F112" s="1">
        <f>攻击!G112*HP!$B112</f>
        <v>4560</v>
      </c>
      <c r="G112" s="1">
        <f>攻击!H112*HP!$B112</f>
        <v>5700</v>
      </c>
      <c r="H112" s="1">
        <f>攻击!I112*HP!$B112</f>
        <v>1140</v>
      </c>
      <c r="I112" s="1">
        <f>攻击!J112*HP!$B112</f>
        <v>683.99999999999989</v>
      </c>
      <c r="J112" s="1">
        <f>攻击!K112*HP!$B112</f>
        <v>1367.9999999999998</v>
      </c>
      <c r="K112" s="1">
        <f>攻击!L112*HP!$B112</f>
        <v>683.99999999999989</v>
      </c>
      <c r="L112" s="1">
        <f>攻击!M112*HP!$B112</f>
        <v>1824</v>
      </c>
      <c r="M112" s="1">
        <f>攻击!N112*HP!$B112</f>
        <v>2735.9999999999995</v>
      </c>
      <c r="N112" s="1">
        <f>攻击!O112*HP!$B112</f>
        <v>3420</v>
      </c>
      <c r="O112" s="1">
        <f>攻击!P112*HP!$B112</f>
        <v>4560</v>
      </c>
      <c r="P112" s="1">
        <f>攻击!Q112*HP!$B112</f>
        <v>5700</v>
      </c>
      <c r="Q112" s="1">
        <f>攻击!R112*HP!$B112</f>
        <v>6840</v>
      </c>
      <c r="R112" s="1">
        <f>攻击!S112*HP!$B112</f>
        <v>7980</v>
      </c>
      <c r="S112" s="1">
        <f>攻击!T112*HP!$B112</f>
        <v>1710</v>
      </c>
      <c r="T112" s="1">
        <f>攻击!U112*HP!$B112</f>
        <v>683.99999999999989</v>
      </c>
      <c r="U112" s="1">
        <f>攻击!V112*HP!$B112</f>
        <v>683.99999999999989</v>
      </c>
      <c r="V112" s="1">
        <f>攻击!W112*HP!$B112</f>
        <v>114</v>
      </c>
      <c r="W112" s="93">
        <f>攻击!X112</f>
        <v>0.2</v>
      </c>
      <c r="X112" s="93">
        <f>攻击!Y112</f>
        <v>0.3</v>
      </c>
      <c r="Y112" s="93">
        <f>攻击!Z112</f>
        <v>0.5</v>
      </c>
      <c r="Z112" s="93">
        <f>攻击!AA112</f>
        <v>0.8</v>
      </c>
      <c r="AA112" s="93">
        <f>攻击!AB112</f>
        <v>1.2</v>
      </c>
      <c r="AB112" s="1">
        <f>攻击!AC112*HP!$B112</f>
        <v>2280</v>
      </c>
      <c r="AC112" s="1">
        <f>攻击!AD112*HP!$B112</f>
        <v>2735.9999999999995</v>
      </c>
      <c r="AD112" s="1">
        <f>攻击!AE112*HP!$B112</f>
        <v>3420</v>
      </c>
      <c r="AE112" s="1">
        <f>攻击!AF112*HP!$B112</f>
        <v>4560</v>
      </c>
      <c r="AF112" s="1">
        <f>攻击!AG112*HP!$B112</f>
        <v>5700</v>
      </c>
      <c r="AG112" s="1">
        <f>攻击!AH112*HP!$B112</f>
        <v>1140</v>
      </c>
      <c r="AH112" s="1">
        <f>攻击!AI112*HP!$B112</f>
        <v>456</v>
      </c>
      <c r="AI112" s="1">
        <f>攻击!AJ112*HP!$B112</f>
        <v>456</v>
      </c>
      <c r="AJ112" s="1">
        <f>攻击!AK112*HP!$B112</f>
        <v>68.400000000000006</v>
      </c>
      <c r="AK112" s="1">
        <f>攻击!AL112*HP!$B112</f>
        <v>2735.9999999999995</v>
      </c>
      <c r="AL112" s="93">
        <f>攻击!AM112</f>
        <v>0.2</v>
      </c>
      <c r="AM112" s="93">
        <f>攻击!AN112</f>
        <v>0.3</v>
      </c>
      <c r="AN112" s="93">
        <f>攻击!AO112</f>
        <v>0.5</v>
      </c>
      <c r="AO112" s="93">
        <f>攻击!AP112</f>
        <v>0.8</v>
      </c>
      <c r="AP112" s="93">
        <f>攻击!AQ112</f>
        <v>1.2</v>
      </c>
      <c r="AQ112" s="1">
        <f>攻击!AR112*HP!$B112</f>
        <v>456</v>
      </c>
      <c r="AR112" s="1">
        <f t="shared" si="2"/>
        <v>11172</v>
      </c>
    </row>
    <row r="113" spans="1:44">
      <c r="A113" s="46">
        <v>111</v>
      </c>
      <c r="B113" s="1">
        <f t="shared" si="3"/>
        <v>10</v>
      </c>
      <c r="C113" s="1">
        <f>攻击!D113*HP!$B113</f>
        <v>2300</v>
      </c>
      <c r="D113" s="1">
        <f>攻击!E113*HP!$B113</f>
        <v>2760</v>
      </c>
      <c r="E113" s="1">
        <f>攻击!F113*HP!$B113</f>
        <v>3450</v>
      </c>
      <c r="F113" s="1">
        <f>攻击!G113*HP!$B113</f>
        <v>4600</v>
      </c>
      <c r="G113" s="1">
        <f>攻击!H113*HP!$B113</f>
        <v>5750</v>
      </c>
      <c r="H113" s="1">
        <f>攻击!I113*HP!$B113</f>
        <v>1140</v>
      </c>
      <c r="I113" s="1">
        <f>攻击!J113*HP!$B113</f>
        <v>690</v>
      </c>
      <c r="J113" s="1">
        <f>攻击!K113*HP!$B113</f>
        <v>1380</v>
      </c>
      <c r="K113" s="1">
        <f>攻击!L113*HP!$B113</f>
        <v>690</v>
      </c>
      <c r="L113" s="1">
        <f>攻击!M113*HP!$B113</f>
        <v>1840</v>
      </c>
      <c r="M113" s="1">
        <f>攻击!N113*HP!$B113</f>
        <v>2760</v>
      </c>
      <c r="N113" s="1">
        <f>攻击!O113*HP!$B113</f>
        <v>3450</v>
      </c>
      <c r="O113" s="1">
        <f>攻击!P113*HP!$B113</f>
        <v>4600</v>
      </c>
      <c r="P113" s="1">
        <f>攻击!Q113*HP!$B113</f>
        <v>5750</v>
      </c>
      <c r="Q113" s="1">
        <f>攻击!R113*HP!$B113</f>
        <v>6900</v>
      </c>
      <c r="R113" s="1">
        <f>攻击!S113*HP!$B113</f>
        <v>8050</v>
      </c>
      <c r="S113" s="1">
        <f>攻击!T113*HP!$B113</f>
        <v>1725</v>
      </c>
      <c r="T113" s="1">
        <f>攻击!U113*HP!$B113</f>
        <v>690</v>
      </c>
      <c r="U113" s="1">
        <f>攻击!V113*HP!$B113</f>
        <v>690</v>
      </c>
      <c r="V113" s="1">
        <f>攻击!W113*HP!$B113</f>
        <v>115</v>
      </c>
      <c r="W113" s="93">
        <f>攻击!X113</f>
        <v>0.2</v>
      </c>
      <c r="X113" s="93">
        <f>攻击!Y113</f>
        <v>0.3</v>
      </c>
      <c r="Y113" s="93">
        <f>攻击!Z113</f>
        <v>0.5</v>
      </c>
      <c r="Z113" s="93">
        <f>攻击!AA113</f>
        <v>0.8</v>
      </c>
      <c r="AA113" s="93">
        <f>攻击!AB113</f>
        <v>1.2</v>
      </c>
      <c r="AB113" s="1">
        <f>攻击!AC113*HP!$B113</f>
        <v>2300</v>
      </c>
      <c r="AC113" s="1">
        <f>攻击!AD113*HP!$B113</f>
        <v>2760</v>
      </c>
      <c r="AD113" s="1">
        <f>攻击!AE113*HP!$B113</f>
        <v>3450</v>
      </c>
      <c r="AE113" s="1">
        <f>攻击!AF113*HP!$B113</f>
        <v>4600</v>
      </c>
      <c r="AF113" s="1">
        <f>攻击!AG113*HP!$B113</f>
        <v>5750</v>
      </c>
      <c r="AG113" s="1">
        <f>攻击!AH113*HP!$B113</f>
        <v>1150</v>
      </c>
      <c r="AH113" s="1">
        <f>攻击!AI113*HP!$B113</f>
        <v>460</v>
      </c>
      <c r="AI113" s="1">
        <f>攻击!AJ113*HP!$B113</f>
        <v>460</v>
      </c>
      <c r="AJ113" s="1">
        <f>攻击!AK113*HP!$B113</f>
        <v>69</v>
      </c>
      <c r="AK113" s="1">
        <f>攻击!AL113*HP!$B113</f>
        <v>2760</v>
      </c>
      <c r="AL113" s="93">
        <f>攻击!AM113</f>
        <v>0.2</v>
      </c>
      <c r="AM113" s="93">
        <f>攻击!AN113</f>
        <v>0.3</v>
      </c>
      <c r="AN113" s="93">
        <f>攻击!AO113</f>
        <v>0.5</v>
      </c>
      <c r="AO113" s="93">
        <f>攻击!AP113</f>
        <v>0.8</v>
      </c>
      <c r="AP113" s="93">
        <f>攻击!AQ113</f>
        <v>1.2</v>
      </c>
      <c r="AQ113" s="1">
        <f>攻击!AR113*HP!$B113</f>
        <v>460</v>
      </c>
      <c r="AR113" s="1">
        <f t="shared" si="2"/>
        <v>11270</v>
      </c>
    </row>
    <row r="114" spans="1:44">
      <c r="A114" s="46">
        <v>112</v>
      </c>
      <c r="B114" s="1">
        <f t="shared" si="3"/>
        <v>10</v>
      </c>
      <c r="C114" s="1">
        <f>攻击!D114*HP!$B114</f>
        <v>2320</v>
      </c>
      <c r="D114" s="1">
        <f>攻击!E114*HP!$B114</f>
        <v>2784</v>
      </c>
      <c r="E114" s="1">
        <f>攻击!F114*HP!$B114</f>
        <v>3480</v>
      </c>
      <c r="F114" s="1">
        <f>攻击!G114*HP!$B114</f>
        <v>4640</v>
      </c>
      <c r="G114" s="1">
        <f>攻击!H114*HP!$B114</f>
        <v>5800</v>
      </c>
      <c r="H114" s="1">
        <f>攻击!I114*HP!$B114</f>
        <v>1140</v>
      </c>
      <c r="I114" s="1">
        <f>攻击!J114*HP!$B114</f>
        <v>696</v>
      </c>
      <c r="J114" s="1">
        <f>攻击!K114*HP!$B114</f>
        <v>1392</v>
      </c>
      <c r="K114" s="1">
        <f>攻击!L114*HP!$B114</f>
        <v>696</v>
      </c>
      <c r="L114" s="1">
        <f>攻击!M114*HP!$B114</f>
        <v>1856.0000000000002</v>
      </c>
      <c r="M114" s="1">
        <f>攻击!N114*HP!$B114</f>
        <v>2784</v>
      </c>
      <c r="N114" s="1">
        <f>攻击!O114*HP!$B114</f>
        <v>3480</v>
      </c>
      <c r="O114" s="1">
        <f>攻击!P114*HP!$B114</f>
        <v>4640</v>
      </c>
      <c r="P114" s="1">
        <f>攻击!Q114*HP!$B114</f>
        <v>5800</v>
      </c>
      <c r="Q114" s="1">
        <f>攻击!R114*HP!$B114</f>
        <v>6960</v>
      </c>
      <c r="R114" s="1">
        <f>攻击!S114*HP!$B114</f>
        <v>8120</v>
      </c>
      <c r="S114" s="1">
        <f>攻击!T114*HP!$B114</f>
        <v>1740</v>
      </c>
      <c r="T114" s="1">
        <f>攻击!U114*HP!$B114</f>
        <v>696</v>
      </c>
      <c r="U114" s="1">
        <f>攻击!V114*HP!$B114</f>
        <v>696</v>
      </c>
      <c r="V114" s="1">
        <f>攻击!W114*HP!$B114</f>
        <v>116.00000000000001</v>
      </c>
      <c r="W114" s="93">
        <f>攻击!X114</f>
        <v>0.2</v>
      </c>
      <c r="X114" s="93">
        <f>攻击!Y114</f>
        <v>0.3</v>
      </c>
      <c r="Y114" s="93">
        <f>攻击!Z114</f>
        <v>0.5</v>
      </c>
      <c r="Z114" s="93">
        <f>攻击!AA114</f>
        <v>0.8</v>
      </c>
      <c r="AA114" s="93">
        <f>攻击!AB114</f>
        <v>1.2</v>
      </c>
      <c r="AB114" s="1">
        <f>攻击!AC114*HP!$B114</f>
        <v>2320</v>
      </c>
      <c r="AC114" s="1">
        <f>攻击!AD114*HP!$B114</f>
        <v>2784</v>
      </c>
      <c r="AD114" s="1">
        <f>攻击!AE114*HP!$B114</f>
        <v>3480</v>
      </c>
      <c r="AE114" s="1">
        <f>攻击!AF114*HP!$B114</f>
        <v>4640</v>
      </c>
      <c r="AF114" s="1">
        <f>攻击!AG114*HP!$B114</f>
        <v>5800</v>
      </c>
      <c r="AG114" s="1">
        <f>攻击!AH114*HP!$B114</f>
        <v>1160</v>
      </c>
      <c r="AH114" s="1">
        <f>攻击!AI114*HP!$B114</f>
        <v>464.00000000000006</v>
      </c>
      <c r="AI114" s="1">
        <f>攻击!AJ114*HP!$B114</f>
        <v>464.00000000000006</v>
      </c>
      <c r="AJ114" s="1">
        <f>攻击!AK114*HP!$B114</f>
        <v>69.599999999999994</v>
      </c>
      <c r="AK114" s="1">
        <f>攻击!AL114*HP!$B114</f>
        <v>2784</v>
      </c>
      <c r="AL114" s="93">
        <f>攻击!AM114</f>
        <v>0.2</v>
      </c>
      <c r="AM114" s="93">
        <f>攻击!AN114</f>
        <v>0.3</v>
      </c>
      <c r="AN114" s="93">
        <f>攻击!AO114</f>
        <v>0.5</v>
      </c>
      <c r="AO114" s="93">
        <f>攻击!AP114</f>
        <v>0.8</v>
      </c>
      <c r="AP114" s="93">
        <f>攻击!AQ114</f>
        <v>1.2</v>
      </c>
      <c r="AQ114" s="1">
        <f>攻击!AR114*HP!$B114</f>
        <v>464.00000000000006</v>
      </c>
      <c r="AR114" s="1">
        <f t="shared" si="2"/>
        <v>11368</v>
      </c>
    </row>
    <row r="115" spans="1:44">
      <c r="A115" s="46">
        <v>113</v>
      </c>
      <c r="B115" s="1">
        <f t="shared" si="3"/>
        <v>10</v>
      </c>
      <c r="C115" s="1">
        <f>攻击!D115*HP!$B115</f>
        <v>2340</v>
      </c>
      <c r="D115" s="1">
        <f>攻击!E115*HP!$B115</f>
        <v>2808</v>
      </c>
      <c r="E115" s="1">
        <f>攻击!F115*HP!$B115</f>
        <v>3510</v>
      </c>
      <c r="F115" s="1">
        <f>攻击!G115*HP!$B115</f>
        <v>4680</v>
      </c>
      <c r="G115" s="1">
        <f>攻击!H115*HP!$B115</f>
        <v>5850</v>
      </c>
      <c r="H115" s="1">
        <f>攻击!I115*HP!$B115</f>
        <v>1140</v>
      </c>
      <c r="I115" s="1">
        <f>攻击!J115*HP!$B115</f>
        <v>702</v>
      </c>
      <c r="J115" s="1">
        <f>攻击!K115*HP!$B115</f>
        <v>1404</v>
      </c>
      <c r="K115" s="1">
        <f>攻击!L115*HP!$B115</f>
        <v>702</v>
      </c>
      <c r="L115" s="1">
        <f>攻击!M115*HP!$B115</f>
        <v>1872.0000000000002</v>
      </c>
      <c r="M115" s="1">
        <f>攻击!N115*HP!$B115</f>
        <v>2808</v>
      </c>
      <c r="N115" s="1">
        <f>攻击!O115*HP!$B115</f>
        <v>3510</v>
      </c>
      <c r="O115" s="1">
        <f>攻击!P115*HP!$B115</f>
        <v>4680</v>
      </c>
      <c r="P115" s="1">
        <f>攻击!Q115*HP!$B115</f>
        <v>5850</v>
      </c>
      <c r="Q115" s="1">
        <f>攻击!R115*HP!$B115</f>
        <v>7020</v>
      </c>
      <c r="R115" s="1">
        <f>攻击!S115*HP!$B115</f>
        <v>8190</v>
      </c>
      <c r="S115" s="1">
        <f>攻击!T115*HP!$B115</f>
        <v>1755</v>
      </c>
      <c r="T115" s="1">
        <f>攻击!U115*HP!$B115</f>
        <v>702</v>
      </c>
      <c r="U115" s="1">
        <f>攻击!V115*HP!$B115</f>
        <v>702</v>
      </c>
      <c r="V115" s="1">
        <f>攻击!W115*HP!$B115</f>
        <v>117.00000000000001</v>
      </c>
      <c r="W115" s="93">
        <f>攻击!X115</f>
        <v>0.2</v>
      </c>
      <c r="X115" s="93">
        <f>攻击!Y115</f>
        <v>0.3</v>
      </c>
      <c r="Y115" s="93">
        <f>攻击!Z115</f>
        <v>0.5</v>
      </c>
      <c r="Z115" s="93">
        <f>攻击!AA115</f>
        <v>0.8</v>
      </c>
      <c r="AA115" s="93">
        <f>攻击!AB115</f>
        <v>1.2</v>
      </c>
      <c r="AB115" s="1">
        <f>攻击!AC115*HP!$B115</f>
        <v>2340</v>
      </c>
      <c r="AC115" s="1">
        <f>攻击!AD115*HP!$B115</f>
        <v>2808</v>
      </c>
      <c r="AD115" s="1">
        <f>攻击!AE115*HP!$B115</f>
        <v>3510</v>
      </c>
      <c r="AE115" s="1">
        <f>攻击!AF115*HP!$B115</f>
        <v>4680</v>
      </c>
      <c r="AF115" s="1">
        <f>攻击!AG115*HP!$B115</f>
        <v>5850</v>
      </c>
      <c r="AG115" s="1">
        <f>攻击!AH115*HP!$B115</f>
        <v>1170</v>
      </c>
      <c r="AH115" s="1">
        <f>攻击!AI115*HP!$B115</f>
        <v>468.00000000000006</v>
      </c>
      <c r="AI115" s="1">
        <f>攻击!AJ115*HP!$B115</f>
        <v>468.00000000000006</v>
      </c>
      <c r="AJ115" s="1">
        <f>攻击!AK115*HP!$B115</f>
        <v>70.199999999999989</v>
      </c>
      <c r="AK115" s="1">
        <f>攻击!AL115*HP!$B115</f>
        <v>2808</v>
      </c>
      <c r="AL115" s="93">
        <f>攻击!AM115</f>
        <v>0.2</v>
      </c>
      <c r="AM115" s="93">
        <f>攻击!AN115</f>
        <v>0.3</v>
      </c>
      <c r="AN115" s="93">
        <f>攻击!AO115</f>
        <v>0.5</v>
      </c>
      <c r="AO115" s="93">
        <f>攻击!AP115</f>
        <v>0.8</v>
      </c>
      <c r="AP115" s="93">
        <f>攻击!AQ115</f>
        <v>1.2</v>
      </c>
      <c r="AQ115" s="1">
        <f>攻击!AR115*HP!$B115</f>
        <v>468.00000000000006</v>
      </c>
      <c r="AR115" s="1">
        <f t="shared" si="2"/>
        <v>11466</v>
      </c>
    </row>
    <row r="116" spans="1:44">
      <c r="A116" s="46">
        <v>114</v>
      </c>
      <c r="B116" s="1">
        <f t="shared" si="3"/>
        <v>10</v>
      </c>
      <c r="C116" s="1">
        <f>攻击!D116*HP!$B116</f>
        <v>2360</v>
      </c>
      <c r="D116" s="1">
        <f>攻击!E116*HP!$B116</f>
        <v>2832</v>
      </c>
      <c r="E116" s="1">
        <f>攻击!F116*HP!$B116</f>
        <v>3540</v>
      </c>
      <c r="F116" s="1">
        <f>攻击!G116*HP!$B116</f>
        <v>4720</v>
      </c>
      <c r="G116" s="1">
        <f>攻击!H116*HP!$B116</f>
        <v>5900</v>
      </c>
      <c r="H116" s="1">
        <f>攻击!I116*HP!$B116</f>
        <v>1140</v>
      </c>
      <c r="I116" s="1">
        <f>攻击!J116*HP!$B116</f>
        <v>708</v>
      </c>
      <c r="J116" s="1">
        <f>攻击!K116*HP!$B116</f>
        <v>1416</v>
      </c>
      <c r="K116" s="1">
        <f>攻击!L116*HP!$B116</f>
        <v>708</v>
      </c>
      <c r="L116" s="1">
        <f>攻击!M116*HP!$B116</f>
        <v>1888</v>
      </c>
      <c r="M116" s="1">
        <f>攻击!N116*HP!$B116</f>
        <v>2832</v>
      </c>
      <c r="N116" s="1">
        <f>攻击!O116*HP!$B116</f>
        <v>3540</v>
      </c>
      <c r="O116" s="1">
        <f>攻击!P116*HP!$B116</f>
        <v>4720</v>
      </c>
      <c r="P116" s="1">
        <f>攻击!Q116*HP!$B116</f>
        <v>5900</v>
      </c>
      <c r="Q116" s="1">
        <f>攻击!R116*HP!$B116</f>
        <v>7080</v>
      </c>
      <c r="R116" s="1">
        <f>攻击!S116*HP!$B116</f>
        <v>8260</v>
      </c>
      <c r="S116" s="1">
        <f>攻击!T116*HP!$B116</f>
        <v>1770</v>
      </c>
      <c r="T116" s="1">
        <f>攻击!U116*HP!$B116</f>
        <v>708</v>
      </c>
      <c r="U116" s="1">
        <f>攻击!V116*HP!$B116</f>
        <v>708</v>
      </c>
      <c r="V116" s="1">
        <f>攻击!W116*HP!$B116</f>
        <v>118</v>
      </c>
      <c r="W116" s="93">
        <f>攻击!X116</f>
        <v>0.2</v>
      </c>
      <c r="X116" s="93">
        <f>攻击!Y116</f>
        <v>0.3</v>
      </c>
      <c r="Y116" s="93">
        <f>攻击!Z116</f>
        <v>0.5</v>
      </c>
      <c r="Z116" s="93">
        <f>攻击!AA116</f>
        <v>0.8</v>
      </c>
      <c r="AA116" s="93">
        <f>攻击!AB116</f>
        <v>1.2</v>
      </c>
      <c r="AB116" s="1">
        <f>攻击!AC116*HP!$B116</f>
        <v>2360</v>
      </c>
      <c r="AC116" s="1">
        <f>攻击!AD116*HP!$B116</f>
        <v>2832</v>
      </c>
      <c r="AD116" s="1">
        <f>攻击!AE116*HP!$B116</f>
        <v>3540</v>
      </c>
      <c r="AE116" s="1">
        <f>攻击!AF116*HP!$B116</f>
        <v>4720</v>
      </c>
      <c r="AF116" s="1">
        <f>攻击!AG116*HP!$B116</f>
        <v>5900</v>
      </c>
      <c r="AG116" s="1">
        <f>攻击!AH116*HP!$B116</f>
        <v>1180</v>
      </c>
      <c r="AH116" s="1">
        <f>攻击!AI116*HP!$B116</f>
        <v>472</v>
      </c>
      <c r="AI116" s="1">
        <f>攻击!AJ116*HP!$B116</f>
        <v>472</v>
      </c>
      <c r="AJ116" s="1">
        <f>攻击!AK116*HP!$B116</f>
        <v>70.8</v>
      </c>
      <c r="AK116" s="1">
        <f>攻击!AL116*HP!$B116</f>
        <v>2832</v>
      </c>
      <c r="AL116" s="93">
        <f>攻击!AM116</f>
        <v>0.2</v>
      </c>
      <c r="AM116" s="93">
        <f>攻击!AN116</f>
        <v>0.3</v>
      </c>
      <c r="AN116" s="93">
        <f>攻击!AO116</f>
        <v>0.5</v>
      </c>
      <c r="AO116" s="93">
        <f>攻击!AP116</f>
        <v>0.8</v>
      </c>
      <c r="AP116" s="93">
        <f>攻击!AQ116</f>
        <v>1.2</v>
      </c>
      <c r="AQ116" s="1">
        <f>攻击!AR116*HP!$B116</f>
        <v>472</v>
      </c>
      <c r="AR116" s="1">
        <f t="shared" si="2"/>
        <v>11564</v>
      </c>
    </row>
    <row r="117" spans="1:44">
      <c r="A117" s="46">
        <v>115</v>
      </c>
      <c r="B117" s="1">
        <f t="shared" si="3"/>
        <v>10</v>
      </c>
      <c r="C117" s="1">
        <f>攻击!D117*HP!$B117</f>
        <v>2380</v>
      </c>
      <c r="D117" s="1">
        <f>攻击!E117*HP!$B117</f>
        <v>2855.9999999999995</v>
      </c>
      <c r="E117" s="1">
        <f>攻击!F117*HP!$B117</f>
        <v>3570</v>
      </c>
      <c r="F117" s="1">
        <f>攻击!G117*HP!$B117</f>
        <v>4760</v>
      </c>
      <c r="G117" s="1">
        <f>攻击!H117*HP!$B117</f>
        <v>5950</v>
      </c>
      <c r="H117" s="1">
        <f>攻击!I117*HP!$B117</f>
        <v>1190</v>
      </c>
      <c r="I117" s="1">
        <f>攻击!J117*HP!$B117</f>
        <v>713.99999999999989</v>
      </c>
      <c r="J117" s="1">
        <f>攻击!K117*HP!$B117</f>
        <v>1427.9999999999998</v>
      </c>
      <c r="K117" s="1">
        <f>攻击!L117*HP!$B117</f>
        <v>713.99999999999989</v>
      </c>
      <c r="L117" s="1">
        <f>攻击!M117*HP!$B117</f>
        <v>1904</v>
      </c>
      <c r="M117" s="1">
        <f>攻击!N117*HP!$B117</f>
        <v>2855.9999999999995</v>
      </c>
      <c r="N117" s="1">
        <f>攻击!O117*HP!$B117</f>
        <v>3570</v>
      </c>
      <c r="O117" s="1">
        <f>攻击!P117*HP!$B117</f>
        <v>4760</v>
      </c>
      <c r="P117" s="1">
        <f>攻击!Q117*HP!$B117</f>
        <v>5950</v>
      </c>
      <c r="Q117" s="1">
        <f>攻击!R117*HP!$B117</f>
        <v>7140</v>
      </c>
      <c r="R117" s="1">
        <f>攻击!S117*HP!$B117</f>
        <v>8330</v>
      </c>
      <c r="S117" s="1">
        <f>攻击!T117*HP!$B117</f>
        <v>1785</v>
      </c>
      <c r="T117" s="1">
        <f>攻击!U117*HP!$B117</f>
        <v>713.99999999999989</v>
      </c>
      <c r="U117" s="1">
        <f>攻击!V117*HP!$B117</f>
        <v>713.99999999999989</v>
      </c>
      <c r="V117" s="1">
        <f>攻击!W117*HP!$B117</f>
        <v>119</v>
      </c>
      <c r="W117" s="93">
        <f>攻击!X117</f>
        <v>0.2</v>
      </c>
      <c r="X117" s="93">
        <f>攻击!Y117</f>
        <v>0.3</v>
      </c>
      <c r="Y117" s="93">
        <f>攻击!Z117</f>
        <v>0.5</v>
      </c>
      <c r="Z117" s="93">
        <f>攻击!AA117</f>
        <v>0.8</v>
      </c>
      <c r="AA117" s="93">
        <f>攻击!AB117</f>
        <v>1.2</v>
      </c>
      <c r="AB117" s="1">
        <f>攻击!AC117*HP!$B117</f>
        <v>2380</v>
      </c>
      <c r="AC117" s="1">
        <f>攻击!AD117*HP!$B117</f>
        <v>2855.9999999999995</v>
      </c>
      <c r="AD117" s="1">
        <f>攻击!AE117*HP!$B117</f>
        <v>3570</v>
      </c>
      <c r="AE117" s="1">
        <f>攻击!AF117*HP!$B117</f>
        <v>4760</v>
      </c>
      <c r="AF117" s="1">
        <f>攻击!AG117*HP!$B117</f>
        <v>5950</v>
      </c>
      <c r="AG117" s="1">
        <f>攻击!AH117*HP!$B117</f>
        <v>1190</v>
      </c>
      <c r="AH117" s="1">
        <f>攻击!AI117*HP!$B117</f>
        <v>476</v>
      </c>
      <c r="AI117" s="1">
        <f>攻击!AJ117*HP!$B117</f>
        <v>476</v>
      </c>
      <c r="AJ117" s="1">
        <f>攻击!AK117*HP!$B117</f>
        <v>71.399999999999991</v>
      </c>
      <c r="AK117" s="1">
        <f>攻击!AL117*HP!$B117</f>
        <v>2855.9999999999995</v>
      </c>
      <c r="AL117" s="93">
        <f>攻击!AM117</f>
        <v>0.2</v>
      </c>
      <c r="AM117" s="93">
        <f>攻击!AN117</f>
        <v>0.3</v>
      </c>
      <c r="AN117" s="93">
        <f>攻击!AO117</f>
        <v>0.5</v>
      </c>
      <c r="AO117" s="93">
        <f>攻击!AP117</f>
        <v>0.8</v>
      </c>
      <c r="AP117" s="93">
        <f>攻击!AQ117</f>
        <v>1.2</v>
      </c>
      <c r="AQ117" s="1">
        <f>攻击!AR117*HP!$B117</f>
        <v>476</v>
      </c>
      <c r="AR117" s="1">
        <f t="shared" si="2"/>
        <v>11662</v>
      </c>
    </row>
    <row r="118" spans="1:44">
      <c r="A118" s="46">
        <v>116</v>
      </c>
      <c r="B118" s="1">
        <f t="shared" si="3"/>
        <v>10</v>
      </c>
      <c r="C118" s="1">
        <f>攻击!D118*HP!$B118</f>
        <v>2400</v>
      </c>
      <c r="D118" s="1">
        <f>攻击!E118*HP!$B118</f>
        <v>2880</v>
      </c>
      <c r="E118" s="1">
        <f>攻击!F118*HP!$B118</f>
        <v>3600</v>
      </c>
      <c r="F118" s="1">
        <f>攻击!G118*HP!$B118</f>
        <v>4800</v>
      </c>
      <c r="G118" s="1">
        <f>攻击!H118*HP!$B118</f>
        <v>6000</v>
      </c>
      <c r="H118" s="1">
        <f>攻击!I118*HP!$B118</f>
        <v>1190</v>
      </c>
      <c r="I118" s="1">
        <f>攻击!J118*HP!$B118</f>
        <v>720</v>
      </c>
      <c r="J118" s="1">
        <f>攻击!K118*HP!$B118</f>
        <v>1440</v>
      </c>
      <c r="K118" s="1">
        <f>攻击!L118*HP!$B118</f>
        <v>720</v>
      </c>
      <c r="L118" s="1">
        <f>攻击!M118*HP!$B118</f>
        <v>1920</v>
      </c>
      <c r="M118" s="1">
        <f>攻击!N118*HP!$B118</f>
        <v>2880</v>
      </c>
      <c r="N118" s="1">
        <f>攻击!O118*HP!$B118</f>
        <v>3600</v>
      </c>
      <c r="O118" s="1">
        <f>攻击!P118*HP!$B118</f>
        <v>4800</v>
      </c>
      <c r="P118" s="1">
        <f>攻击!Q118*HP!$B118</f>
        <v>6000</v>
      </c>
      <c r="Q118" s="1">
        <f>攻击!R118*HP!$B118</f>
        <v>7200</v>
      </c>
      <c r="R118" s="1">
        <f>攻击!S118*HP!$B118</f>
        <v>8400</v>
      </c>
      <c r="S118" s="1">
        <f>攻击!T118*HP!$B118</f>
        <v>1800</v>
      </c>
      <c r="T118" s="1">
        <f>攻击!U118*HP!$B118</f>
        <v>720</v>
      </c>
      <c r="U118" s="1">
        <f>攻击!V118*HP!$B118</f>
        <v>720</v>
      </c>
      <c r="V118" s="1">
        <f>攻击!W118*HP!$B118</f>
        <v>120</v>
      </c>
      <c r="W118" s="93">
        <f>攻击!X118</f>
        <v>0.2</v>
      </c>
      <c r="X118" s="93">
        <f>攻击!Y118</f>
        <v>0.3</v>
      </c>
      <c r="Y118" s="93">
        <f>攻击!Z118</f>
        <v>0.5</v>
      </c>
      <c r="Z118" s="93">
        <f>攻击!AA118</f>
        <v>0.8</v>
      </c>
      <c r="AA118" s="93">
        <f>攻击!AB118</f>
        <v>1.2</v>
      </c>
      <c r="AB118" s="1">
        <f>攻击!AC118*HP!$B118</f>
        <v>2400</v>
      </c>
      <c r="AC118" s="1">
        <f>攻击!AD118*HP!$B118</f>
        <v>2880</v>
      </c>
      <c r="AD118" s="1">
        <f>攻击!AE118*HP!$B118</f>
        <v>3600</v>
      </c>
      <c r="AE118" s="1">
        <f>攻击!AF118*HP!$B118</f>
        <v>4800</v>
      </c>
      <c r="AF118" s="1">
        <f>攻击!AG118*HP!$B118</f>
        <v>6000</v>
      </c>
      <c r="AG118" s="1">
        <f>攻击!AH118*HP!$B118</f>
        <v>1200</v>
      </c>
      <c r="AH118" s="1">
        <f>攻击!AI118*HP!$B118</f>
        <v>480</v>
      </c>
      <c r="AI118" s="1">
        <f>攻击!AJ118*HP!$B118</f>
        <v>480</v>
      </c>
      <c r="AJ118" s="1">
        <f>攻击!AK118*HP!$B118</f>
        <v>72</v>
      </c>
      <c r="AK118" s="1">
        <f>攻击!AL118*HP!$B118</f>
        <v>2880</v>
      </c>
      <c r="AL118" s="93">
        <f>攻击!AM118</f>
        <v>0.2</v>
      </c>
      <c r="AM118" s="93">
        <f>攻击!AN118</f>
        <v>0.3</v>
      </c>
      <c r="AN118" s="93">
        <f>攻击!AO118</f>
        <v>0.5</v>
      </c>
      <c r="AO118" s="93">
        <f>攻击!AP118</f>
        <v>0.8</v>
      </c>
      <c r="AP118" s="93">
        <f>攻击!AQ118</f>
        <v>1.2</v>
      </c>
      <c r="AQ118" s="1">
        <f>攻击!AR118*HP!$B118</f>
        <v>480</v>
      </c>
      <c r="AR118" s="1">
        <f t="shared" si="2"/>
        <v>11760</v>
      </c>
    </row>
    <row r="119" spans="1:44">
      <c r="A119" s="46">
        <v>117</v>
      </c>
      <c r="B119" s="1">
        <f t="shared" si="3"/>
        <v>10</v>
      </c>
      <c r="C119" s="1">
        <f>攻击!D119*HP!$B119</f>
        <v>2420</v>
      </c>
      <c r="D119" s="1">
        <f>攻击!E119*HP!$B119</f>
        <v>2904</v>
      </c>
      <c r="E119" s="1">
        <f>攻击!F119*HP!$B119</f>
        <v>3630</v>
      </c>
      <c r="F119" s="1">
        <f>攻击!G119*HP!$B119</f>
        <v>4840</v>
      </c>
      <c r="G119" s="1">
        <f>攻击!H119*HP!$B119</f>
        <v>6050</v>
      </c>
      <c r="H119" s="1">
        <f>攻击!I119*HP!$B119</f>
        <v>1190</v>
      </c>
      <c r="I119" s="1">
        <f>攻击!J119*HP!$B119</f>
        <v>726</v>
      </c>
      <c r="J119" s="1">
        <f>攻击!K119*HP!$B119</f>
        <v>1452</v>
      </c>
      <c r="K119" s="1">
        <f>攻击!L119*HP!$B119</f>
        <v>726</v>
      </c>
      <c r="L119" s="1">
        <f>攻击!M119*HP!$B119</f>
        <v>1936.0000000000002</v>
      </c>
      <c r="M119" s="1">
        <f>攻击!N119*HP!$B119</f>
        <v>2904</v>
      </c>
      <c r="N119" s="1">
        <f>攻击!O119*HP!$B119</f>
        <v>3630</v>
      </c>
      <c r="O119" s="1">
        <f>攻击!P119*HP!$B119</f>
        <v>4840</v>
      </c>
      <c r="P119" s="1">
        <f>攻击!Q119*HP!$B119</f>
        <v>6050</v>
      </c>
      <c r="Q119" s="1">
        <f>攻击!R119*HP!$B119</f>
        <v>7260</v>
      </c>
      <c r="R119" s="1">
        <f>攻击!S119*HP!$B119</f>
        <v>8470</v>
      </c>
      <c r="S119" s="1">
        <f>攻击!T119*HP!$B119</f>
        <v>1815</v>
      </c>
      <c r="T119" s="1">
        <f>攻击!U119*HP!$B119</f>
        <v>726</v>
      </c>
      <c r="U119" s="1">
        <f>攻击!V119*HP!$B119</f>
        <v>726</v>
      </c>
      <c r="V119" s="1">
        <f>攻击!W119*HP!$B119</f>
        <v>121.00000000000001</v>
      </c>
      <c r="W119" s="93">
        <f>攻击!X119</f>
        <v>0.2</v>
      </c>
      <c r="X119" s="93">
        <f>攻击!Y119</f>
        <v>0.3</v>
      </c>
      <c r="Y119" s="93">
        <f>攻击!Z119</f>
        <v>0.5</v>
      </c>
      <c r="Z119" s="93">
        <f>攻击!AA119</f>
        <v>0.8</v>
      </c>
      <c r="AA119" s="93">
        <f>攻击!AB119</f>
        <v>1.2</v>
      </c>
      <c r="AB119" s="1">
        <f>攻击!AC119*HP!$B119</f>
        <v>2420</v>
      </c>
      <c r="AC119" s="1">
        <f>攻击!AD119*HP!$B119</f>
        <v>2904</v>
      </c>
      <c r="AD119" s="1">
        <f>攻击!AE119*HP!$B119</f>
        <v>3630</v>
      </c>
      <c r="AE119" s="1">
        <f>攻击!AF119*HP!$B119</f>
        <v>4840</v>
      </c>
      <c r="AF119" s="1">
        <f>攻击!AG119*HP!$B119</f>
        <v>6050</v>
      </c>
      <c r="AG119" s="1">
        <f>攻击!AH119*HP!$B119</f>
        <v>1210</v>
      </c>
      <c r="AH119" s="1">
        <f>攻击!AI119*HP!$B119</f>
        <v>484.00000000000006</v>
      </c>
      <c r="AI119" s="1">
        <f>攻击!AJ119*HP!$B119</f>
        <v>484.00000000000006</v>
      </c>
      <c r="AJ119" s="1">
        <f>攻击!AK119*HP!$B119</f>
        <v>72.599999999999994</v>
      </c>
      <c r="AK119" s="1">
        <f>攻击!AL119*HP!$B119</f>
        <v>2904</v>
      </c>
      <c r="AL119" s="93">
        <f>攻击!AM119</f>
        <v>0.2</v>
      </c>
      <c r="AM119" s="93">
        <f>攻击!AN119</f>
        <v>0.3</v>
      </c>
      <c r="AN119" s="93">
        <f>攻击!AO119</f>
        <v>0.5</v>
      </c>
      <c r="AO119" s="93">
        <f>攻击!AP119</f>
        <v>0.8</v>
      </c>
      <c r="AP119" s="93">
        <f>攻击!AQ119</f>
        <v>1.2</v>
      </c>
      <c r="AQ119" s="1">
        <f>攻击!AR119*HP!$B119</f>
        <v>484.00000000000006</v>
      </c>
      <c r="AR119" s="1">
        <f t="shared" si="2"/>
        <v>11858</v>
      </c>
    </row>
    <row r="120" spans="1:44">
      <c r="A120" s="46">
        <v>118</v>
      </c>
      <c r="B120" s="1">
        <f t="shared" si="3"/>
        <v>10</v>
      </c>
      <c r="C120" s="1">
        <f>攻击!D120*HP!$B120</f>
        <v>2440</v>
      </c>
      <c r="D120" s="1">
        <f>攻击!E120*HP!$B120</f>
        <v>2928</v>
      </c>
      <c r="E120" s="1">
        <f>攻击!F120*HP!$B120</f>
        <v>3660</v>
      </c>
      <c r="F120" s="1">
        <f>攻击!G120*HP!$B120</f>
        <v>4880</v>
      </c>
      <c r="G120" s="1">
        <f>攻击!H120*HP!$B120</f>
        <v>6100</v>
      </c>
      <c r="H120" s="1">
        <f>攻击!I120*HP!$B120</f>
        <v>1190</v>
      </c>
      <c r="I120" s="1">
        <f>攻击!J120*HP!$B120</f>
        <v>732</v>
      </c>
      <c r="J120" s="1">
        <f>攻击!K120*HP!$B120</f>
        <v>1464</v>
      </c>
      <c r="K120" s="1">
        <f>攻击!L120*HP!$B120</f>
        <v>732</v>
      </c>
      <c r="L120" s="1">
        <f>攻击!M120*HP!$B120</f>
        <v>1952.0000000000002</v>
      </c>
      <c r="M120" s="1">
        <f>攻击!N120*HP!$B120</f>
        <v>2928</v>
      </c>
      <c r="N120" s="1">
        <f>攻击!O120*HP!$B120</f>
        <v>3660</v>
      </c>
      <c r="O120" s="1">
        <f>攻击!P120*HP!$B120</f>
        <v>4880</v>
      </c>
      <c r="P120" s="1">
        <f>攻击!Q120*HP!$B120</f>
        <v>6100</v>
      </c>
      <c r="Q120" s="1">
        <f>攻击!R120*HP!$B120</f>
        <v>7320</v>
      </c>
      <c r="R120" s="1">
        <f>攻击!S120*HP!$B120</f>
        <v>8540</v>
      </c>
      <c r="S120" s="1">
        <f>攻击!T120*HP!$B120</f>
        <v>1830</v>
      </c>
      <c r="T120" s="1">
        <f>攻击!U120*HP!$B120</f>
        <v>732</v>
      </c>
      <c r="U120" s="1">
        <f>攻击!V120*HP!$B120</f>
        <v>732</v>
      </c>
      <c r="V120" s="1">
        <f>攻击!W120*HP!$B120</f>
        <v>122.00000000000001</v>
      </c>
      <c r="W120" s="93">
        <f>攻击!X120</f>
        <v>0.2</v>
      </c>
      <c r="X120" s="93">
        <f>攻击!Y120</f>
        <v>0.3</v>
      </c>
      <c r="Y120" s="93">
        <f>攻击!Z120</f>
        <v>0.5</v>
      </c>
      <c r="Z120" s="93">
        <f>攻击!AA120</f>
        <v>0.8</v>
      </c>
      <c r="AA120" s="93">
        <f>攻击!AB120</f>
        <v>1.2</v>
      </c>
      <c r="AB120" s="1">
        <f>攻击!AC120*HP!$B120</f>
        <v>2440</v>
      </c>
      <c r="AC120" s="1">
        <f>攻击!AD120*HP!$B120</f>
        <v>2928</v>
      </c>
      <c r="AD120" s="1">
        <f>攻击!AE120*HP!$B120</f>
        <v>3660</v>
      </c>
      <c r="AE120" s="1">
        <f>攻击!AF120*HP!$B120</f>
        <v>4880</v>
      </c>
      <c r="AF120" s="1">
        <f>攻击!AG120*HP!$B120</f>
        <v>6100</v>
      </c>
      <c r="AG120" s="1">
        <f>攻击!AH120*HP!$B120</f>
        <v>1220</v>
      </c>
      <c r="AH120" s="1">
        <f>攻击!AI120*HP!$B120</f>
        <v>488.00000000000006</v>
      </c>
      <c r="AI120" s="1">
        <f>攻击!AJ120*HP!$B120</f>
        <v>488.00000000000006</v>
      </c>
      <c r="AJ120" s="1">
        <f>攻击!AK120*HP!$B120</f>
        <v>73.199999999999989</v>
      </c>
      <c r="AK120" s="1">
        <f>攻击!AL120*HP!$B120</f>
        <v>2928</v>
      </c>
      <c r="AL120" s="93">
        <f>攻击!AM120</f>
        <v>0.2</v>
      </c>
      <c r="AM120" s="93">
        <f>攻击!AN120</f>
        <v>0.3</v>
      </c>
      <c r="AN120" s="93">
        <f>攻击!AO120</f>
        <v>0.5</v>
      </c>
      <c r="AO120" s="93">
        <f>攻击!AP120</f>
        <v>0.8</v>
      </c>
      <c r="AP120" s="93">
        <f>攻击!AQ120</f>
        <v>1.2</v>
      </c>
      <c r="AQ120" s="1">
        <f>攻击!AR120*HP!$B120</f>
        <v>488.00000000000006</v>
      </c>
      <c r="AR120" s="1">
        <f t="shared" si="2"/>
        <v>11956</v>
      </c>
    </row>
    <row r="121" spans="1:44">
      <c r="A121" s="46">
        <v>119</v>
      </c>
      <c r="B121" s="1">
        <f t="shared" si="3"/>
        <v>10</v>
      </c>
      <c r="C121" s="1">
        <f>攻击!D121*HP!$B121</f>
        <v>2460</v>
      </c>
      <c r="D121" s="1">
        <f>攻击!E121*HP!$B121</f>
        <v>2952</v>
      </c>
      <c r="E121" s="1">
        <f>攻击!F121*HP!$B121</f>
        <v>3690</v>
      </c>
      <c r="F121" s="1">
        <f>攻击!G121*HP!$B121</f>
        <v>4920</v>
      </c>
      <c r="G121" s="1">
        <f>攻击!H121*HP!$B121</f>
        <v>6150</v>
      </c>
      <c r="H121" s="1">
        <f>攻击!I121*HP!$B121</f>
        <v>1190</v>
      </c>
      <c r="I121" s="1">
        <f>攻击!J121*HP!$B121</f>
        <v>738</v>
      </c>
      <c r="J121" s="1">
        <f>攻击!K121*HP!$B121</f>
        <v>1476</v>
      </c>
      <c r="K121" s="1">
        <f>攻击!L121*HP!$B121</f>
        <v>738</v>
      </c>
      <c r="L121" s="1">
        <f>攻击!M121*HP!$B121</f>
        <v>1968</v>
      </c>
      <c r="M121" s="1">
        <f>攻击!N121*HP!$B121</f>
        <v>2952</v>
      </c>
      <c r="N121" s="1">
        <f>攻击!O121*HP!$B121</f>
        <v>3690</v>
      </c>
      <c r="O121" s="1">
        <f>攻击!P121*HP!$B121</f>
        <v>4920</v>
      </c>
      <c r="P121" s="1">
        <f>攻击!Q121*HP!$B121</f>
        <v>6150</v>
      </c>
      <c r="Q121" s="1">
        <f>攻击!R121*HP!$B121</f>
        <v>7380</v>
      </c>
      <c r="R121" s="1">
        <f>攻击!S121*HP!$B121</f>
        <v>8610</v>
      </c>
      <c r="S121" s="1">
        <f>攻击!T121*HP!$B121</f>
        <v>1845</v>
      </c>
      <c r="T121" s="1">
        <f>攻击!U121*HP!$B121</f>
        <v>738</v>
      </c>
      <c r="U121" s="1">
        <f>攻击!V121*HP!$B121</f>
        <v>738</v>
      </c>
      <c r="V121" s="1">
        <f>攻击!W121*HP!$B121</f>
        <v>123</v>
      </c>
      <c r="W121" s="93">
        <f>攻击!X121</f>
        <v>0.2</v>
      </c>
      <c r="X121" s="93">
        <f>攻击!Y121</f>
        <v>0.3</v>
      </c>
      <c r="Y121" s="93">
        <f>攻击!Z121</f>
        <v>0.5</v>
      </c>
      <c r="Z121" s="93">
        <f>攻击!AA121</f>
        <v>0.8</v>
      </c>
      <c r="AA121" s="93">
        <f>攻击!AB121</f>
        <v>1.2</v>
      </c>
      <c r="AB121" s="1">
        <f>攻击!AC121*HP!$B121</f>
        <v>2460</v>
      </c>
      <c r="AC121" s="1">
        <f>攻击!AD121*HP!$B121</f>
        <v>2952</v>
      </c>
      <c r="AD121" s="1">
        <f>攻击!AE121*HP!$B121</f>
        <v>3690</v>
      </c>
      <c r="AE121" s="1">
        <f>攻击!AF121*HP!$B121</f>
        <v>4920</v>
      </c>
      <c r="AF121" s="1">
        <f>攻击!AG121*HP!$B121</f>
        <v>6150</v>
      </c>
      <c r="AG121" s="1">
        <f>攻击!AH121*HP!$B121</f>
        <v>1230</v>
      </c>
      <c r="AH121" s="1">
        <f>攻击!AI121*HP!$B121</f>
        <v>492</v>
      </c>
      <c r="AI121" s="1">
        <f>攻击!AJ121*HP!$B121</f>
        <v>492</v>
      </c>
      <c r="AJ121" s="1">
        <f>攻击!AK121*HP!$B121</f>
        <v>73.8</v>
      </c>
      <c r="AK121" s="1">
        <f>攻击!AL121*HP!$B121</f>
        <v>2952</v>
      </c>
      <c r="AL121" s="93">
        <f>攻击!AM121</f>
        <v>0.2</v>
      </c>
      <c r="AM121" s="93">
        <f>攻击!AN121</f>
        <v>0.3</v>
      </c>
      <c r="AN121" s="93">
        <f>攻击!AO121</f>
        <v>0.5</v>
      </c>
      <c r="AO121" s="93">
        <f>攻击!AP121</f>
        <v>0.8</v>
      </c>
      <c r="AP121" s="93">
        <f>攻击!AQ121</f>
        <v>1.2</v>
      </c>
      <c r="AQ121" s="1">
        <f>攻击!AR121*HP!$B121</f>
        <v>492</v>
      </c>
      <c r="AR121" s="1">
        <f t="shared" si="2"/>
        <v>12054</v>
      </c>
    </row>
    <row r="122" spans="1:44">
      <c r="A122" s="46">
        <v>120</v>
      </c>
      <c r="B122" s="1">
        <f t="shared" si="3"/>
        <v>10</v>
      </c>
      <c r="C122" s="1">
        <f>攻击!D122*HP!$B122</f>
        <v>2480</v>
      </c>
      <c r="D122" s="1">
        <f>攻击!E122*HP!$B122</f>
        <v>2975.9999999999995</v>
      </c>
      <c r="E122" s="1">
        <f>攻击!F122*HP!$B122</f>
        <v>3720</v>
      </c>
      <c r="F122" s="1">
        <f>攻击!G122*HP!$B122</f>
        <v>4960</v>
      </c>
      <c r="G122" s="1">
        <f>攻击!H122*HP!$B122</f>
        <v>6200</v>
      </c>
      <c r="H122" s="1">
        <f>攻击!I122*HP!$B122</f>
        <v>1240</v>
      </c>
      <c r="I122" s="1">
        <f>攻击!J122*HP!$B122</f>
        <v>743.99999999999989</v>
      </c>
      <c r="J122" s="1">
        <f>攻击!K122*HP!$B122</f>
        <v>1487.9999999999998</v>
      </c>
      <c r="K122" s="1">
        <f>攻击!L122*HP!$B122</f>
        <v>743.99999999999989</v>
      </c>
      <c r="L122" s="1">
        <f>攻击!M122*HP!$B122</f>
        <v>1984</v>
      </c>
      <c r="M122" s="1">
        <f>攻击!N122*HP!$B122</f>
        <v>2975.9999999999995</v>
      </c>
      <c r="N122" s="1">
        <f>攻击!O122*HP!$B122</f>
        <v>3720</v>
      </c>
      <c r="O122" s="1">
        <f>攻击!P122*HP!$B122</f>
        <v>4960</v>
      </c>
      <c r="P122" s="1">
        <f>攻击!Q122*HP!$B122</f>
        <v>6200</v>
      </c>
      <c r="Q122" s="1">
        <f>攻击!R122*HP!$B122</f>
        <v>7440</v>
      </c>
      <c r="R122" s="1">
        <f>攻击!S122*HP!$B122</f>
        <v>8680</v>
      </c>
      <c r="S122" s="1">
        <f>攻击!T122*HP!$B122</f>
        <v>1860</v>
      </c>
      <c r="T122" s="1">
        <f>攻击!U122*HP!$B122</f>
        <v>743.99999999999989</v>
      </c>
      <c r="U122" s="1">
        <f>攻击!V122*HP!$B122</f>
        <v>743.99999999999989</v>
      </c>
      <c r="V122" s="1">
        <f>攻击!W122*HP!$B122</f>
        <v>124</v>
      </c>
      <c r="W122" s="93">
        <f>攻击!X122</f>
        <v>0.2</v>
      </c>
      <c r="X122" s="93">
        <f>攻击!Y122</f>
        <v>0.3</v>
      </c>
      <c r="Y122" s="93">
        <f>攻击!Z122</f>
        <v>0.5</v>
      </c>
      <c r="Z122" s="93">
        <f>攻击!AA122</f>
        <v>0.8</v>
      </c>
      <c r="AA122" s="93">
        <f>攻击!AB122</f>
        <v>1.2</v>
      </c>
      <c r="AB122" s="1">
        <f>攻击!AC122*HP!$B122</f>
        <v>2480</v>
      </c>
      <c r="AC122" s="1">
        <f>攻击!AD122*HP!$B122</f>
        <v>2975.9999999999995</v>
      </c>
      <c r="AD122" s="1">
        <f>攻击!AE122*HP!$B122</f>
        <v>3720</v>
      </c>
      <c r="AE122" s="1">
        <f>攻击!AF122*HP!$B122</f>
        <v>4960</v>
      </c>
      <c r="AF122" s="1">
        <f>攻击!AG122*HP!$B122</f>
        <v>6200</v>
      </c>
      <c r="AG122" s="1">
        <f>攻击!AH122*HP!$B122</f>
        <v>1240</v>
      </c>
      <c r="AH122" s="1">
        <f>攻击!AI122*HP!$B122</f>
        <v>496</v>
      </c>
      <c r="AI122" s="1">
        <f>攻击!AJ122*HP!$B122</f>
        <v>496</v>
      </c>
      <c r="AJ122" s="1">
        <f>攻击!AK122*HP!$B122</f>
        <v>74.399999999999991</v>
      </c>
      <c r="AK122" s="1">
        <f>攻击!AL122*HP!$B122</f>
        <v>2975.9999999999995</v>
      </c>
      <c r="AL122" s="93">
        <f>攻击!AM122</f>
        <v>0.2</v>
      </c>
      <c r="AM122" s="93">
        <f>攻击!AN122</f>
        <v>0.3</v>
      </c>
      <c r="AN122" s="93">
        <f>攻击!AO122</f>
        <v>0.5</v>
      </c>
      <c r="AO122" s="93">
        <f>攻击!AP122</f>
        <v>0.8</v>
      </c>
      <c r="AP122" s="93">
        <f>攻击!AQ122</f>
        <v>1.2</v>
      </c>
      <c r="AQ122" s="1">
        <f>攻击!AR122*HP!$B122</f>
        <v>496</v>
      </c>
      <c r="AR122" s="1">
        <f t="shared" si="2"/>
        <v>12152</v>
      </c>
    </row>
  </sheetData>
  <mergeCells count="4">
    <mergeCell ref="C1:M1"/>
    <mergeCell ref="N1:AA1"/>
    <mergeCell ref="AB1:AJ1"/>
    <mergeCell ref="AK1:AP1"/>
  </mergeCells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2"/>
  <sheetViews>
    <sheetView zoomScale="115" zoomScaleNormal="115" workbookViewId="0">
      <selection activeCell="AH15" sqref="AH15"/>
    </sheetView>
  </sheetViews>
  <sheetFormatPr defaultColWidth="6.375" defaultRowHeight="12.75"/>
  <cols>
    <col min="1" max="1" width="4.75" style="23" bestFit="1" customWidth="1"/>
    <col min="2" max="6" width="4.625" style="22" bestFit="1" customWidth="1"/>
    <col min="7" max="12" width="4.75" style="22" bestFit="1" customWidth="1"/>
    <col min="13" max="17" width="4.625" style="22" bestFit="1" customWidth="1"/>
    <col min="18" max="18" width="4.75" style="22" bestFit="1" customWidth="1"/>
    <col min="19" max="20" width="6.375" style="22" bestFit="1" customWidth="1"/>
    <col min="21" max="21" width="4.75" style="22" bestFit="1" customWidth="1"/>
    <col min="22" max="25" width="4.125" style="24" bestFit="1" customWidth="1"/>
    <col min="26" max="26" width="5" style="24" bestFit="1" customWidth="1"/>
    <col min="27" max="27" width="4.75" style="22" bestFit="1" customWidth="1"/>
    <col min="28" max="31" width="4.125" style="24" bestFit="1" customWidth="1"/>
    <col min="32" max="32" width="5" style="24" bestFit="1" customWidth="1"/>
    <col min="33" max="33" width="4.75" style="22" bestFit="1" customWidth="1"/>
    <col min="34" max="34" width="8" style="22" bestFit="1" customWidth="1"/>
    <col min="35" max="16384" width="6.375" style="22"/>
  </cols>
  <sheetData>
    <row r="1" spans="1:34" s="55" customFormat="1" ht="15" customHeight="1" thickBot="1">
      <c r="A1" s="56"/>
      <c r="B1" s="104" t="s">
        <v>68</v>
      </c>
      <c r="C1" s="104"/>
      <c r="D1" s="104"/>
      <c r="E1" s="104"/>
      <c r="F1" s="104"/>
      <c r="G1" s="104"/>
      <c r="H1" s="104"/>
      <c r="I1" s="104"/>
      <c r="J1" s="104"/>
      <c r="K1" s="104"/>
      <c r="L1" s="105"/>
      <c r="M1" s="103" t="s">
        <v>22</v>
      </c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5"/>
      <c r="AA1" s="102" t="s">
        <v>25</v>
      </c>
      <c r="AB1" s="102"/>
      <c r="AC1" s="102"/>
      <c r="AD1" s="102"/>
      <c r="AE1" s="102"/>
      <c r="AF1" s="102"/>
      <c r="AG1" s="55" t="s">
        <v>27</v>
      </c>
    </row>
    <row r="2" spans="1:34" s="43" customFormat="1">
      <c r="A2" s="41" t="s">
        <v>0</v>
      </c>
      <c r="B2" s="43" t="s">
        <v>12</v>
      </c>
      <c r="C2" s="43" t="s">
        <v>13</v>
      </c>
      <c r="D2" s="43" t="s">
        <v>14</v>
      </c>
      <c r="E2" s="43" t="s">
        <v>15</v>
      </c>
      <c r="F2" s="43" t="s">
        <v>16</v>
      </c>
      <c r="G2" s="43" t="s">
        <v>17</v>
      </c>
      <c r="H2" s="43" t="s">
        <v>18</v>
      </c>
      <c r="I2" s="43" t="s">
        <v>19</v>
      </c>
      <c r="J2" s="43" t="s">
        <v>20</v>
      </c>
      <c r="K2" s="43" t="s">
        <v>21</v>
      </c>
      <c r="L2" s="43" t="s">
        <v>41</v>
      </c>
      <c r="M2" s="43" t="s">
        <v>12</v>
      </c>
      <c r="N2" s="43" t="s">
        <v>13</v>
      </c>
      <c r="O2" s="43" t="s">
        <v>14</v>
      </c>
      <c r="P2" s="43" t="s">
        <v>15</v>
      </c>
      <c r="Q2" s="43" t="s">
        <v>16</v>
      </c>
      <c r="R2" s="43" t="s">
        <v>23</v>
      </c>
      <c r="S2" s="43" t="s">
        <v>42</v>
      </c>
      <c r="T2" s="43" t="s">
        <v>43</v>
      </c>
      <c r="U2" s="43" t="s">
        <v>47</v>
      </c>
      <c r="V2" s="44" t="s">
        <v>44</v>
      </c>
      <c r="W2" s="44" t="s">
        <v>30</v>
      </c>
      <c r="X2" s="44" t="s">
        <v>31</v>
      </c>
      <c r="Y2" s="44" t="s">
        <v>32</v>
      </c>
      <c r="Z2" s="44" t="s">
        <v>33</v>
      </c>
      <c r="AA2" s="43" t="s">
        <v>26</v>
      </c>
      <c r="AB2" s="44" t="s">
        <v>44</v>
      </c>
      <c r="AC2" s="44" t="s">
        <v>30</v>
      </c>
      <c r="AD2" s="44" t="s">
        <v>31</v>
      </c>
      <c r="AE2" s="44" t="s">
        <v>32</v>
      </c>
      <c r="AF2" s="44" t="s">
        <v>33</v>
      </c>
      <c r="AG2" s="43" t="s">
        <v>27</v>
      </c>
      <c r="AH2" s="43" t="s">
        <v>95</v>
      </c>
    </row>
    <row r="3" spans="1:34" s="20" customFormat="1">
      <c r="A3" s="46">
        <v>1</v>
      </c>
      <c r="B3" s="47">
        <f>攻击!D3</f>
        <v>10</v>
      </c>
      <c r="C3" s="47">
        <f>攻击!E3</f>
        <v>12</v>
      </c>
      <c r="D3" s="47">
        <f>攻击!F3</f>
        <v>15</v>
      </c>
      <c r="E3" s="47">
        <f>攻击!G3</f>
        <v>20</v>
      </c>
      <c r="F3" s="47">
        <f>攻击!H3</f>
        <v>25</v>
      </c>
      <c r="G3" s="47">
        <f>攻击!I3</f>
        <v>0</v>
      </c>
      <c r="H3" s="47">
        <f>攻击!J3</f>
        <v>0</v>
      </c>
      <c r="I3" s="47">
        <f>攻击!K3</f>
        <v>0</v>
      </c>
      <c r="J3" s="47">
        <f>攻击!L3</f>
        <v>0</v>
      </c>
      <c r="K3" s="47">
        <f>攻击!M3</f>
        <v>0</v>
      </c>
      <c r="L3" s="47">
        <f>攻击!N3</f>
        <v>12</v>
      </c>
      <c r="M3" s="47">
        <f>攻击!O3</f>
        <v>15</v>
      </c>
      <c r="N3" s="47">
        <f>攻击!P3</f>
        <v>20</v>
      </c>
      <c r="O3" s="47">
        <f>攻击!Q3</f>
        <v>25</v>
      </c>
      <c r="P3" s="47">
        <f>攻击!R3</f>
        <v>30</v>
      </c>
      <c r="Q3" s="47">
        <f>攻击!S3</f>
        <v>35</v>
      </c>
      <c r="R3" s="47">
        <f>攻击!T3</f>
        <v>0</v>
      </c>
      <c r="S3" s="47">
        <f>攻击!U3</f>
        <v>3</v>
      </c>
      <c r="T3" s="47">
        <f>攻击!V3</f>
        <v>0</v>
      </c>
      <c r="U3" s="47">
        <f>攻击!W3</f>
        <v>0.5</v>
      </c>
      <c r="V3" s="54">
        <f>攻击!X3</f>
        <v>0</v>
      </c>
      <c r="W3" s="54">
        <f>攻击!Y3</f>
        <v>0</v>
      </c>
      <c r="X3" s="54">
        <f>攻击!Z3</f>
        <v>0</v>
      </c>
      <c r="Y3" s="54">
        <f>攻击!AA3</f>
        <v>0</v>
      </c>
      <c r="Z3" s="54">
        <f>攻击!AB3</f>
        <v>0</v>
      </c>
      <c r="AA3" s="47">
        <f>攻击!AL3</f>
        <v>0</v>
      </c>
      <c r="AB3" s="54">
        <f>攻击!AM3</f>
        <v>0</v>
      </c>
      <c r="AC3" s="54">
        <f>攻击!AN3</f>
        <v>0</v>
      </c>
      <c r="AD3" s="54">
        <f>攻击!AO3</f>
        <v>0</v>
      </c>
      <c r="AE3" s="54">
        <f>攻击!AP3</f>
        <v>0</v>
      </c>
      <c r="AF3" s="54">
        <f>攻击!AQ3</f>
        <v>0</v>
      </c>
      <c r="AG3" s="47">
        <f>攻击!AR3</f>
        <v>2</v>
      </c>
      <c r="AH3" s="20">
        <f>B3+M3+AA3+AG3</f>
        <v>27</v>
      </c>
    </row>
    <row r="4" spans="1:34" s="20" customFormat="1">
      <c r="A4" s="46">
        <v>2</v>
      </c>
      <c r="B4" s="47">
        <f>攻击!D4</f>
        <v>12</v>
      </c>
      <c r="C4" s="47">
        <f>攻击!E4</f>
        <v>14.399999999999999</v>
      </c>
      <c r="D4" s="47">
        <f>攻击!F4</f>
        <v>18</v>
      </c>
      <c r="E4" s="47">
        <f>攻击!G4</f>
        <v>24</v>
      </c>
      <c r="F4" s="47">
        <f>攻击!H4</f>
        <v>30</v>
      </c>
      <c r="G4" s="47">
        <f>攻击!I4</f>
        <v>0</v>
      </c>
      <c r="H4" s="47">
        <f>攻击!J4</f>
        <v>0</v>
      </c>
      <c r="I4" s="47">
        <f>攻击!K4</f>
        <v>0</v>
      </c>
      <c r="J4" s="47">
        <f>攻击!L4</f>
        <v>0</v>
      </c>
      <c r="K4" s="47">
        <f>攻击!M4</f>
        <v>0</v>
      </c>
      <c r="L4" s="47">
        <f>攻击!N4</f>
        <v>14.399999999999999</v>
      </c>
      <c r="M4" s="47">
        <f>攻击!O4</f>
        <v>18</v>
      </c>
      <c r="N4" s="47">
        <f>攻击!P4</f>
        <v>24</v>
      </c>
      <c r="O4" s="47">
        <f>攻击!Q4</f>
        <v>30</v>
      </c>
      <c r="P4" s="47">
        <f>攻击!R4</f>
        <v>36</v>
      </c>
      <c r="Q4" s="47">
        <f>攻击!S4</f>
        <v>42</v>
      </c>
      <c r="R4" s="47">
        <f>攻击!T4</f>
        <v>0</v>
      </c>
      <c r="S4" s="47">
        <f>攻击!U4</f>
        <v>3.5999999999999996</v>
      </c>
      <c r="T4" s="47">
        <f>攻击!V4</f>
        <v>0</v>
      </c>
      <c r="U4" s="47">
        <f>攻击!W4</f>
        <v>0.60000000000000009</v>
      </c>
      <c r="V4" s="54">
        <f>攻击!X4</f>
        <v>0</v>
      </c>
      <c r="W4" s="54">
        <f>攻击!Y4</f>
        <v>0</v>
      </c>
      <c r="X4" s="54">
        <f>攻击!Z4</f>
        <v>0</v>
      </c>
      <c r="Y4" s="54">
        <f>攻击!AA4</f>
        <v>0</v>
      </c>
      <c r="Z4" s="54">
        <f>攻击!AB4</f>
        <v>0</v>
      </c>
      <c r="AA4" s="47">
        <f>攻击!AL4</f>
        <v>0</v>
      </c>
      <c r="AB4" s="54">
        <f>攻击!AM4</f>
        <v>0</v>
      </c>
      <c r="AC4" s="54">
        <f>攻击!AN4</f>
        <v>0</v>
      </c>
      <c r="AD4" s="54">
        <f>攻击!AO4</f>
        <v>0</v>
      </c>
      <c r="AE4" s="54">
        <f>攻击!AP4</f>
        <v>0</v>
      </c>
      <c r="AF4" s="54">
        <f>攻击!AQ4</f>
        <v>0</v>
      </c>
      <c r="AG4" s="47">
        <f>攻击!AR4</f>
        <v>2.4000000000000004</v>
      </c>
      <c r="AH4" s="20">
        <f t="shared" ref="AH4:AH67" si="0">B4+M4+AA4+AG4</f>
        <v>32.4</v>
      </c>
    </row>
    <row r="5" spans="1:34" s="20" customFormat="1">
      <c r="A5" s="46">
        <v>3</v>
      </c>
      <c r="B5" s="47">
        <f>攻击!D5</f>
        <v>14</v>
      </c>
      <c r="C5" s="47">
        <f>攻击!E5</f>
        <v>16.8</v>
      </c>
      <c r="D5" s="47">
        <f>攻击!F5</f>
        <v>21</v>
      </c>
      <c r="E5" s="47">
        <f>攻击!G5</f>
        <v>28</v>
      </c>
      <c r="F5" s="47">
        <f>攻击!H5</f>
        <v>35</v>
      </c>
      <c r="G5" s="47">
        <f>攻击!I5</f>
        <v>0</v>
      </c>
      <c r="H5" s="47">
        <f>攻击!J5</f>
        <v>0</v>
      </c>
      <c r="I5" s="47">
        <f>攻击!K5</f>
        <v>0</v>
      </c>
      <c r="J5" s="47">
        <f>攻击!L5</f>
        <v>0</v>
      </c>
      <c r="K5" s="47">
        <f>攻击!M5</f>
        <v>0</v>
      </c>
      <c r="L5" s="47">
        <f>攻击!N5</f>
        <v>16.8</v>
      </c>
      <c r="M5" s="47">
        <f>攻击!O5</f>
        <v>21</v>
      </c>
      <c r="N5" s="47">
        <f>攻击!P5</f>
        <v>28</v>
      </c>
      <c r="O5" s="47">
        <f>攻击!Q5</f>
        <v>35</v>
      </c>
      <c r="P5" s="47">
        <f>攻击!R5</f>
        <v>42</v>
      </c>
      <c r="Q5" s="47">
        <f>攻击!S5</f>
        <v>49</v>
      </c>
      <c r="R5" s="47">
        <f>攻击!T5</f>
        <v>0</v>
      </c>
      <c r="S5" s="47">
        <f>攻击!U5</f>
        <v>4.2</v>
      </c>
      <c r="T5" s="47">
        <f>攻击!V5</f>
        <v>0</v>
      </c>
      <c r="U5" s="47">
        <f>攻击!W5</f>
        <v>0.70000000000000007</v>
      </c>
      <c r="V5" s="54">
        <f>攻击!X5</f>
        <v>0</v>
      </c>
      <c r="W5" s="54">
        <f>攻击!Y5</f>
        <v>0</v>
      </c>
      <c r="X5" s="54">
        <f>攻击!Z5</f>
        <v>0</v>
      </c>
      <c r="Y5" s="54">
        <f>攻击!AA5</f>
        <v>0</v>
      </c>
      <c r="Z5" s="54">
        <f>攻击!AB5</f>
        <v>0</v>
      </c>
      <c r="AA5" s="47">
        <f>攻击!AL5</f>
        <v>0</v>
      </c>
      <c r="AB5" s="54">
        <f>攻击!AM5</f>
        <v>0</v>
      </c>
      <c r="AC5" s="54">
        <f>攻击!AN5</f>
        <v>0</v>
      </c>
      <c r="AD5" s="54">
        <f>攻击!AO5</f>
        <v>0</v>
      </c>
      <c r="AE5" s="54">
        <f>攻击!AP5</f>
        <v>0</v>
      </c>
      <c r="AF5" s="54">
        <f>攻击!AQ5</f>
        <v>0</v>
      </c>
      <c r="AG5" s="47">
        <f>攻击!AR5</f>
        <v>2.8000000000000003</v>
      </c>
      <c r="AH5" s="20">
        <f t="shared" si="0"/>
        <v>37.799999999999997</v>
      </c>
    </row>
    <row r="6" spans="1:34" s="20" customFormat="1">
      <c r="A6" s="46">
        <v>4</v>
      </c>
      <c r="B6" s="47">
        <f>攻击!D6</f>
        <v>16</v>
      </c>
      <c r="C6" s="47">
        <f>攻击!E6</f>
        <v>19.2</v>
      </c>
      <c r="D6" s="47">
        <f>攻击!F6</f>
        <v>24</v>
      </c>
      <c r="E6" s="47">
        <f>攻击!G6</f>
        <v>32</v>
      </c>
      <c r="F6" s="47">
        <f>攻击!H6</f>
        <v>40</v>
      </c>
      <c r="G6" s="47">
        <f>攻击!I6</f>
        <v>0</v>
      </c>
      <c r="H6" s="47">
        <f>攻击!J6</f>
        <v>0</v>
      </c>
      <c r="I6" s="47">
        <f>攻击!K6</f>
        <v>0</v>
      </c>
      <c r="J6" s="47">
        <f>攻击!L6</f>
        <v>0</v>
      </c>
      <c r="K6" s="47">
        <f>攻击!M6</f>
        <v>0</v>
      </c>
      <c r="L6" s="47">
        <f>攻击!N6</f>
        <v>19.2</v>
      </c>
      <c r="M6" s="47">
        <f>攻击!O6</f>
        <v>24</v>
      </c>
      <c r="N6" s="47">
        <f>攻击!P6</f>
        <v>32</v>
      </c>
      <c r="O6" s="47">
        <f>攻击!Q6</f>
        <v>40</v>
      </c>
      <c r="P6" s="47">
        <f>攻击!R6</f>
        <v>48</v>
      </c>
      <c r="Q6" s="47">
        <f>攻击!S6</f>
        <v>56</v>
      </c>
      <c r="R6" s="47">
        <f>攻击!T6</f>
        <v>0</v>
      </c>
      <c r="S6" s="47">
        <f>攻击!U6</f>
        <v>4.8</v>
      </c>
      <c r="T6" s="47">
        <f>攻击!V6</f>
        <v>0</v>
      </c>
      <c r="U6" s="47">
        <f>攻击!W6</f>
        <v>0.8</v>
      </c>
      <c r="V6" s="54">
        <f>攻击!X6</f>
        <v>0</v>
      </c>
      <c r="W6" s="54">
        <f>攻击!Y6</f>
        <v>0</v>
      </c>
      <c r="X6" s="54">
        <f>攻击!Z6</f>
        <v>0</v>
      </c>
      <c r="Y6" s="54">
        <f>攻击!AA6</f>
        <v>0</v>
      </c>
      <c r="Z6" s="54">
        <f>攻击!AB6</f>
        <v>0</v>
      </c>
      <c r="AA6" s="47">
        <f>攻击!AL6</f>
        <v>0</v>
      </c>
      <c r="AB6" s="54">
        <f>攻击!AM6</f>
        <v>0</v>
      </c>
      <c r="AC6" s="54">
        <f>攻击!AN6</f>
        <v>0</v>
      </c>
      <c r="AD6" s="54">
        <f>攻击!AO6</f>
        <v>0</v>
      </c>
      <c r="AE6" s="54">
        <f>攻击!AP6</f>
        <v>0</v>
      </c>
      <c r="AF6" s="54">
        <f>攻击!AQ6</f>
        <v>0</v>
      </c>
      <c r="AG6" s="47">
        <f>攻击!AR6</f>
        <v>3.2</v>
      </c>
      <c r="AH6" s="20">
        <f t="shared" si="0"/>
        <v>43.2</v>
      </c>
    </row>
    <row r="7" spans="1:34" s="20" customFormat="1">
      <c r="A7" s="46">
        <v>5</v>
      </c>
      <c r="B7" s="47">
        <f>攻击!D7</f>
        <v>18</v>
      </c>
      <c r="C7" s="47">
        <f>攻击!E7</f>
        <v>21.599999999999998</v>
      </c>
      <c r="D7" s="47">
        <f>攻击!F7</f>
        <v>27</v>
      </c>
      <c r="E7" s="47">
        <f>攻击!G7</f>
        <v>36</v>
      </c>
      <c r="F7" s="47">
        <f>攻击!H7</f>
        <v>45</v>
      </c>
      <c r="G7" s="47">
        <f>攻击!I7</f>
        <v>9</v>
      </c>
      <c r="H7" s="47">
        <f>攻击!J7</f>
        <v>0</v>
      </c>
      <c r="I7" s="47">
        <f>攻击!K7</f>
        <v>0</v>
      </c>
      <c r="J7" s="47">
        <f>攻击!L7</f>
        <v>0</v>
      </c>
      <c r="K7" s="47">
        <f>攻击!M7</f>
        <v>0</v>
      </c>
      <c r="L7" s="47">
        <f>攻击!N7</f>
        <v>21.599999999999998</v>
      </c>
      <c r="M7" s="47">
        <f>攻击!O7</f>
        <v>27</v>
      </c>
      <c r="N7" s="47">
        <f>攻击!P7</f>
        <v>36</v>
      </c>
      <c r="O7" s="47">
        <f>攻击!Q7</f>
        <v>45</v>
      </c>
      <c r="P7" s="47">
        <f>攻击!R7</f>
        <v>54</v>
      </c>
      <c r="Q7" s="47">
        <f>攻击!S7</f>
        <v>63</v>
      </c>
      <c r="R7" s="47">
        <f>攻击!T7</f>
        <v>0</v>
      </c>
      <c r="S7" s="47">
        <f>攻击!U7</f>
        <v>5.3999999999999995</v>
      </c>
      <c r="T7" s="47">
        <f>攻击!V7</f>
        <v>0</v>
      </c>
      <c r="U7" s="47">
        <f>攻击!W7</f>
        <v>0.9</v>
      </c>
      <c r="V7" s="54">
        <f>攻击!X7</f>
        <v>0</v>
      </c>
      <c r="W7" s="54">
        <f>攻击!Y7</f>
        <v>0</v>
      </c>
      <c r="X7" s="54">
        <f>攻击!Z7</f>
        <v>0</v>
      </c>
      <c r="Y7" s="54">
        <f>攻击!AA7</f>
        <v>0</v>
      </c>
      <c r="Z7" s="54">
        <f>攻击!AB7</f>
        <v>0</v>
      </c>
      <c r="AA7" s="47">
        <f>攻击!AL7</f>
        <v>0</v>
      </c>
      <c r="AB7" s="54">
        <f>攻击!AM7</f>
        <v>0</v>
      </c>
      <c r="AC7" s="54">
        <f>攻击!AN7</f>
        <v>0</v>
      </c>
      <c r="AD7" s="54">
        <f>攻击!AO7</f>
        <v>0</v>
      </c>
      <c r="AE7" s="54">
        <f>攻击!AP7</f>
        <v>0</v>
      </c>
      <c r="AF7" s="54">
        <f>攻击!AQ7</f>
        <v>0</v>
      </c>
      <c r="AG7" s="47">
        <f>攻击!AR7</f>
        <v>3.6</v>
      </c>
      <c r="AH7" s="20">
        <f t="shared" si="0"/>
        <v>48.6</v>
      </c>
    </row>
    <row r="8" spans="1:34" s="20" customFormat="1">
      <c r="A8" s="46">
        <v>6</v>
      </c>
      <c r="B8" s="47">
        <f>攻击!D8</f>
        <v>20</v>
      </c>
      <c r="C8" s="47">
        <f>攻击!E8</f>
        <v>24</v>
      </c>
      <c r="D8" s="47">
        <f>攻击!F8</f>
        <v>30</v>
      </c>
      <c r="E8" s="47">
        <f>攻击!G8</f>
        <v>40</v>
      </c>
      <c r="F8" s="47">
        <f>攻击!H8</f>
        <v>50</v>
      </c>
      <c r="G8" s="47">
        <f>攻击!I8</f>
        <v>9</v>
      </c>
      <c r="H8" s="47">
        <f>攻击!J8</f>
        <v>0</v>
      </c>
      <c r="I8" s="47">
        <f>攻击!K8</f>
        <v>0</v>
      </c>
      <c r="J8" s="47">
        <f>攻击!L8</f>
        <v>0</v>
      </c>
      <c r="K8" s="47">
        <f>攻击!M8</f>
        <v>0</v>
      </c>
      <c r="L8" s="47">
        <f>攻击!N8</f>
        <v>24</v>
      </c>
      <c r="M8" s="47">
        <f>攻击!O8</f>
        <v>30</v>
      </c>
      <c r="N8" s="47">
        <f>攻击!P8</f>
        <v>40</v>
      </c>
      <c r="O8" s="47">
        <f>攻击!Q8</f>
        <v>50</v>
      </c>
      <c r="P8" s="47">
        <f>攻击!R8</f>
        <v>60</v>
      </c>
      <c r="Q8" s="47">
        <f>攻击!S8</f>
        <v>70</v>
      </c>
      <c r="R8" s="47">
        <f>攻击!T8</f>
        <v>0</v>
      </c>
      <c r="S8" s="47">
        <f>攻击!U8</f>
        <v>6</v>
      </c>
      <c r="T8" s="47">
        <f>攻击!V8</f>
        <v>0</v>
      </c>
      <c r="U8" s="47">
        <f>攻击!W8</f>
        <v>1</v>
      </c>
      <c r="V8" s="54">
        <f>攻击!X8</f>
        <v>0</v>
      </c>
      <c r="W8" s="54">
        <f>攻击!Y8</f>
        <v>0</v>
      </c>
      <c r="X8" s="54">
        <f>攻击!Z8</f>
        <v>0</v>
      </c>
      <c r="Y8" s="54">
        <f>攻击!AA8</f>
        <v>0</v>
      </c>
      <c r="Z8" s="54">
        <f>攻击!AB8</f>
        <v>0</v>
      </c>
      <c r="AA8" s="47">
        <f>攻击!AL8</f>
        <v>0</v>
      </c>
      <c r="AB8" s="54">
        <f>攻击!AM8</f>
        <v>0</v>
      </c>
      <c r="AC8" s="54">
        <f>攻击!AN8</f>
        <v>0</v>
      </c>
      <c r="AD8" s="54">
        <f>攻击!AO8</f>
        <v>0</v>
      </c>
      <c r="AE8" s="54">
        <f>攻击!AP8</f>
        <v>0</v>
      </c>
      <c r="AF8" s="54">
        <f>攻击!AQ8</f>
        <v>0</v>
      </c>
      <c r="AG8" s="47">
        <f>攻击!AR8</f>
        <v>4</v>
      </c>
      <c r="AH8" s="20">
        <f t="shared" si="0"/>
        <v>54</v>
      </c>
    </row>
    <row r="9" spans="1:34" s="20" customFormat="1">
      <c r="A9" s="46">
        <v>7</v>
      </c>
      <c r="B9" s="47">
        <f>攻击!D9</f>
        <v>22</v>
      </c>
      <c r="C9" s="47">
        <f>攻击!E9</f>
        <v>26.4</v>
      </c>
      <c r="D9" s="47">
        <f>攻击!F9</f>
        <v>33</v>
      </c>
      <c r="E9" s="47">
        <f>攻击!G9</f>
        <v>44</v>
      </c>
      <c r="F9" s="47">
        <f>攻击!H9</f>
        <v>55</v>
      </c>
      <c r="G9" s="47">
        <f>攻击!I9</f>
        <v>9</v>
      </c>
      <c r="H9" s="47">
        <f>攻击!J9</f>
        <v>0</v>
      </c>
      <c r="I9" s="47">
        <f>攻击!K9</f>
        <v>0</v>
      </c>
      <c r="J9" s="47">
        <f>攻击!L9</f>
        <v>0</v>
      </c>
      <c r="K9" s="47">
        <f>攻击!M9</f>
        <v>0</v>
      </c>
      <c r="L9" s="47">
        <f>攻击!N9</f>
        <v>26.4</v>
      </c>
      <c r="M9" s="47">
        <f>攻击!O9</f>
        <v>33</v>
      </c>
      <c r="N9" s="47">
        <f>攻击!P9</f>
        <v>44</v>
      </c>
      <c r="O9" s="47">
        <f>攻击!Q9</f>
        <v>55</v>
      </c>
      <c r="P9" s="47">
        <f>攻击!R9</f>
        <v>66</v>
      </c>
      <c r="Q9" s="47">
        <f>攻击!S9</f>
        <v>77</v>
      </c>
      <c r="R9" s="47">
        <f>攻击!T9</f>
        <v>0</v>
      </c>
      <c r="S9" s="47">
        <f>攻击!U9</f>
        <v>6.6</v>
      </c>
      <c r="T9" s="47">
        <f>攻击!V9</f>
        <v>0</v>
      </c>
      <c r="U9" s="47">
        <f>攻击!W9</f>
        <v>1.1000000000000001</v>
      </c>
      <c r="V9" s="54">
        <f>攻击!X9</f>
        <v>0</v>
      </c>
      <c r="W9" s="54">
        <f>攻击!Y9</f>
        <v>0</v>
      </c>
      <c r="X9" s="54">
        <f>攻击!Z9</f>
        <v>0</v>
      </c>
      <c r="Y9" s="54">
        <f>攻击!AA9</f>
        <v>0</v>
      </c>
      <c r="Z9" s="54">
        <f>攻击!AB9</f>
        <v>0</v>
      </c>
      <c r="AA9" s="47">
        <f>攻击!AL9</f>
        <v>0</v>
      </c>
      <c r="AB9" s="54">
        <f>攻击!AM9</f>
        <v>0</v>
      </c>
      <c r="AC9" s="54">
        <f>攻击!AN9</f>
        <v>0</v>
      </c>
      <c r="AD9" s="54">
        <f>攻击!AO9</f>
        <v>0</v>
      </c>
      <c r="AE9" s="54">
        <f>攻击!AP9</f>
        <v>0</v>
      </c>
      <c r="AF9" s="54">
        <f>攻击!AQ9</f>
        <v>0</v>
      </c>
      <c r="AG9" s="47">
        <f>攻击!AR9</f>
        <v>4.4000000000000004</v>
      </c>
      <c r="AH9" s="20">
        <f t="shared" si="0"/>
        <v>59.4</v>
      </c>
    </row>
    <row r="10" spans="1:34" s="20" customFormat="1">
      <c r="A10" s="46">
        <v>8</v>
      </c>
      <c r="B10" s="47">
        <f>攻击!D10</f>
        <v>24</v>
      </c>
      <c r="C10" s="47">
        <f>攻击!E10</f>
        <v>28.799999999999997</v>
      </c>
      <c r="D10" s="47">
        <f>攻击!F10</f>
        <v>36</v>
      </c>
      <c r="E10" s="47">
        <f>攻击!G10</f>
        <v>48</v>
      </c>
      <c r="F10" s="47">
        <f>攻击!H10</f>
        <v>60</v>
      </c>
      <c r="G10" s="47">
        <f>攻击!I10</f>
        <v>9</v>
      </c>
      <c r="H10" s="47">
        <f>攻击!J10</f>
        <v>0</v>
      </c>
      <c r="I10" s="47">
        <f>攻击!K10</f>
        <v>0</v>
      </c>
      <c r="J10" s="47">
        <f>攻击!L10</f>
        <v>0</v>
      </c>
      <c r="K10" s="47">
        <f>攻击!M10</f>
        <v>0</v>
      </c>
      <c r="L10" s="47">
        <f>攻击!N10</f>
        <v>28.799999999999997</v>
      </c>
      <c r="M10" s="47">
        <f>攻击!O10</f>
        <v>36</v>
      </c>
      <c r="N10" s="47">
        <f>攻击!P10</f>
        <v>48</v>
      </c>
      <c r="O10" s="47">
        <f>攻击!Q10</f>
        <v>60</v>
      </c>
      <c r="P10" s="47">
        <f>攻击!R10</f>
        <v>72</v>
      </c>
      <c r="Q10" s="47">
        <f>攻击!S10</f>
        <v>84</v>
      </c>
      <c r="R10" s="47">
        <f>攻击!T10</f>
        <v>0</v>
      </c>
      <c r="S10" s="47">
        <f>攻击!U10</f>
        <v>7.1999999999999993</v>
      </c>
      <c r="T10" s="47">
        <f>攻击!V10</f>
        <v>0</v>
      </c>
      <c r="U10" s="47">
        <f>攻击!W10</f>
        <v>1.2000000000000002</v>
      </c>
      <c r="V10" s="54">
        <f>攻击!X10</f>
        <v>0</v>
      </c>
      <c r="W10" s="54">
        <f>攻击!Y10</f>
        <v>0</v>
      </c>
      <c r="X10" s="54">
        <f>攻击!Z10</f>
        <v>0</v>
      </c>
      <c r="Y10" s="54">
        <f>攻击!AA10</f>
        <v>0</v>
      </c>
      <c r="Z10" s="54">
        <f>攻击!AB10</f>
        <v>0</v>
      </c>
      <c r="AA10" s="47">
        <f>攻击!AL10</f>
        <v>0</v>
      </c>
      <c r="AB10" s="54">
        <f>攻击!AM10</f>
        <v>0</v>
      </c>
      <c r="AC10" s="54">
        <f>攻击!AN10</f>
        <v>0</v>
      </c>
      <c r="AD10" s="54">
        <f>攻击!AO10</f>
        <v>0</v>
      </c>
      <c r="AE10" s="54">
        <f>攻击!AP10</f>
        <v>0</v>
      </c>
      <c r="AF10" s="54">
        <f>攻击!AQ10</f>
        <v>0</v>
      </c>
      <c r="AG10" s="47">
        <f>攻击!AR10</f>
        <v>4.8000000000000007</v>
      </c>
      <c r="AH10" s="20">
        <f t="shared" si="0"/>
        <v>64.8</v>
      </c>
    </row>
    <row r="11" spans="1:34" s="20" customFormat="1">
      <c r="A11" s="46">
        <v>9</v>
      </c>
      <c r="B11" s="47">
        <f>攻击!D11</f>
        <v>26</v>
      </c>
      <c r="C11" s="47">
        <f>攻击!E11</f>
        <v>31.2</v>
      </c>
      <c r="D11" s="47">
        <f>攻击!F11</f>
        <v>39</v>
      </c>
      <c r="E11" s="47">
        <f>攻击!G11</f>
        <v>52</v>
      </c>
      <c r="F11" s="47">
        <f>攻击!H11</f>
        <v>65</v>
      </c>
      <c r="G11" s="47">
        <f>攻击!I11</f>
        <v>9</v>
      </c>
      <c r="H11" s="47">
        <f>攻击!J11</f>
        <v>0</v>
      </c>
      <c r="I11" s="47">
        <f>攻击!K11</f>
        <v>0</v>
      </c>
      <c r="J11" s="47">
        <f>攻击!L11</f>
        <v>0</v>
      </c>
      <c r="K11" s="47">
        <f>攻击!M11</f>
        <v>0</v>
      </c>
      <c r="L11" s="47">
        <f>攻击!N11</f>
        <v>31.2</v>
      </c>
      <c r="M11" s="47">
        <f>攻击!O11</f>
        <v>39</v>
      </c>
      <c r="N11" s="47">
        <f>攻击!P11</f>
        <v>52</v>
      </c>
      <c r="O11" s="47">
        <f>攻击!Q11</f>
        <v>65</v>
      </c>
      <c r="P11" s="47">
        <f>攻击!R11</f>
        <v>78</v>
      </c>
      <c r="Q11" s="47">
        <f>攻击!S11</f>
        <v>91</v>
      </c>
      <c r="R11" s="47">
        <f>攻击!T11</f>
        <v>0</v>
      </c>
      <c r="S11" s="47">
        <f>攻击!U11</f>
        <v>7.8</v>
      </c>
      <c r="T11" s="47">
        <f>攻击!V11</f>
        <v>0</v>
      </c>
      <c r="U11" s="47">
        <f>攻击!W11</f>
        <v>1.3</v>
      </c>
      <c r="V11" s="54">
        <f>攻击!X11</f>
        <v>0</v>
      </c>
      <c r="W11" s="54">
        <f>攻击!Y11</f>
        <v>0</v>
      </c>
      <c r="X11" s="54">
        <f>攻击!Z11</f>
        <v>0</v>
      </c>
      <c r="Y11" s="54">
        <f>攻击!AA11</f>
        <v>0</v>
      </c>
      <c r="Z11" s="54">
        <f>攻击!AB11</f>
        <v>0</v>
      </c>
      <c r="AA11" s="47">
        <f>攻击!AL11</f>
        <v>0</v>
      </c>
      <c r="AB11" s="54">
        <f>攻击!AM11</f>
        <v>0</v>
      </c>
      <c r="AC11" s="54">
        <f>攻击!AN11</f>
        <v>0</v>
      </c>
      <c r="AD11" s="54">
        <f>攻击!AO11</f>
        <v>0</v>
      </c>
      <c r="AE11" s="54">
        <f>攻击!AP11</f>
        <v>0</v>
      </c>
      <c r="AF11" s="54">
        <f>攻击!AQ11</f>
        <v>0</v>
      </c>
      <c r="AG11" s="47">
        <f>攻击!AR11</f>
        <v>5.2</v>
      </c>
      <c r="AH11" s="20">
        <f t="shared" si="0"/>
        <v>70.2</v>
      </c>
    </row>
    <row r="12" spans="1:34" s="20" customFormat="1">
      <c r="A12" s="46">
        <v>10</v>
      </c>
      <c r="B12" s="47">
        <f>攻击!D12</f>
        <v>28</v>
      </c>
      <c r="C12" s="47">
        <f>攻击!E12</f>
        <v>33.6</v>
      </c>
      <c r="D12" s="47">
        <f>攻击!F12</f>
        <v>42</v>
      </c>
      <c r="E12" s="47">
        <f>攻击!G12</f>
        <v>56</v>
      </c>
      <c r="F12" s="47">
        <f>攻击!H12</f>
        <v>70</v>
      </c>
      <c r="G12" s="47">
        <f>攻击!I12</f>
        <v>14</v>
      </c>
      <c r="H12" s="47">
        <f>攻击!J12</f>
        <v>8.4</v>
      </c>
      <c r="I12" s="47">
        <f>攻击!K12</f>
        <v>0</v>
      </c>
      <c r="J12" s="47">
        <f>攻击!L12</f>
        <v>0</v>
      </c>
      <c r="K12" s="47">
        <f>攻击!M12</f>
        <v>0</v>
      </c>
      <c r="L12" s="47">
        <f>攻击!N12</f>
        <v>33.6</v>
      </c>
      <c r="M12" s="47">
        <f>攻击!O12</f>
        <v>42</v>
      </c>
      <c r="N12" s="47">
        <f>攻击!P12</f>
        <v>56</v>
      </c>
      <c r="O12" s="47">
        <f>攻击!Q12</f>
        <v>70</v>
      </c>
      <c r="P12" s="47">
        <f>攻击!R12</f>
        <v>84</v>
      </c>
      <c r="Q12" s="47">
        <f>攻击!S12</f>
        <v>98</v>
      </c>
      <c r="R12" s="47">
        <f>攻击!T12</f>
        <v>0</v>
      </c>
      <c r="S12" s="47">
        <f>攻击!U12</f>
        <v>8.4</v>
      </c>
      <c r="T12" s="47">
        <f>攻击!V12</f>
        <v>0</v>
      </c>
      <c r="U12" s="47">
        <f>攻击!W12</f>
        <v>1.4000000000000001</v>
      </c>
      <c r="V12" s="54">
        <f>攻击!X12</f>
        <v>0</v>
      </c>
      <c r="W12" s="54">
        <f>攻击!Y12</f>
        <v>0</v>
      </c>
      <c r="X12" s="54">
        <f>攻击!Z12</f>
        <v>0</v>
      </c>
      <c r="Y12" s="54">
        <f>攻击!AA12</f>
        <v>0</v>
      </c>
      <c r="Z12" s="54">
        <f>攻击!AB12</f>
        <v>0</v>
      </c>
      <c r="AA12" s="47">
        <f>攻击!AL12</f>
        <v>0</v>
      </c>
      <c r="AB12" s="54">
        <f>攻击!AM12</f>
        <v>0</v>
      </c>
      <c r="AC12" s="54">
        <f>攻击!AN12</f>
        <v>0</v>
      </c>
      <c r="AD12" s="54">
        <f>攻击!AO12</f>
        <v>0</v>
      </c>
      <c r="AE12" s="54">
        <f>攻击!AP12</f>
        <v>0</v>
      </c>
      <c r="AF12" s="54">
        <f>攻击!AQ12</f>
        <v>0</v>
      </c>
      <c r="AG12" s="47">
        <f>攻击!AR12</f>
        <v>5.6000000000000005</v>
      </c>
      <c r="AH12" s="20">
        <f t="shared" si="0"/>
        <v>75.599999999999994</v>
      </c>
    </row>
    <row r="13" spans="1:34" s="20" customFormat="1">
      <c r="A13" s="46">
        <v>11</v>
      </c>
      <c r="B13" s="47">
        <f>攻击!D13</f>
        <v>30</v>
      </c>
      <c r="C13" s="47">
        <f>攻击!E13</f>
        <v>36</v>
      </c>
      <c r="D13" s="47">
        <f>攻击!F13</f>
        <v>45</v>
      </c>
      <c r="E13" s="47">
        <f>攻击!G13</f>
        <v>60</v>
      </c>
      <c r="F13" s="47">
        <f>攻击!H13</f>
        <v>75</v>
      </c>
      <c r="G13" s="47">
        <f>攻击!I13</f>
        <v>14</v>
      </c>
      <c r="H13" s="47">
        <f>攻击!J13</f>
        <v>9</v>
      </c>
      <c r="I13" s="47">
        <f>攻击!K13</f>
        <v>0</v>
      </c>
      <c r="J13" s="47">
        <f>攻击!L13</f>
        <v>0</v>
      </c>
      <c r="K13" s="47">
        <f>攻击!M13</f>
        <v>0</v>
      </c>
      <c r="L13" s="47">
        <f>攻击!N13</f>
        <v>36</v>
      </c>
      <c r="M13" s="47">
        <f>攻击!O13</f>
        <v>45</v>
      </c>
      <c r="N13" s="47">
        <f>攻击!P13</f>
        <v>60</v>
      </c>
      <c r="O13" s="47">
        <f>攻击!Q13</f>
        <v>75</v>
      </c>
      <c r="P13" s="47">
        <f>攻击!R13</f>
        <v>90</v>
      </c>
      <c r="Q13" s="47">
        <f>攻击!S13</f>
        <v>105</v>
      </c>
      <c r="R13" s="47">
        <f>攻击!T13</f>
        <v>0</v>
      </c>
      <c r="S13" s="47">
        <f>攻击!U13</f>
        <v>9</v>
      </c>
      <c r="T13" s="47">
        <f>攻击!V13</f>
        <v>0</v>
      </c>
      <c r="U13" s="47">
        <f>攻击!W13</f>
        <v>1.5</v>
      </c>
      <c r="V13" s="54">
        <f>攻击!X13</f>
        <v>0</v>
      </c>
      <c r="W13" s="54">
        <f>攻击!Y13</f>
        <v>0</v>
      </c>
      <c r="X13" s="54">
        <f>攻击!Z13</f>
        <v>0</v>
      </c>
      <c r="Y13" s="54">
        <f>攻击!AA13</f>
        <v>0</v>
      </c>
      <c r="Z13" s="54">
        <f>攻击!AB13</f>
        <v>0</v>
      </c>
      <c r="AA13" s="47">
        <f>攻击!AL13</f>
        <v>0</v>
      </c>
      <c r="AB13" s="54">
        <f>攻击!AM13</f>
        <v>0</v>
      </c>
      <c r="AC13" s="54">
        <f>攻击!AN13</f>
        <v>0</v>
      </c>
      <c r="AD13" s="54">
        <f>攻击!AO13</f>
        <v>0</v>
      </c>
      <c r="AE13" s="54">
        <f>攻击!AP13</f>
        <v>0</v>
      </c>
      <c r="AF13" s="54">
        <f>攻击!AQ13</f>
        <v>0</v>
      </c>
      <c r="AG13" s="47">
        <f>攻击!AR13</f>
        <v>6</v>
      </c>
      <c r="AH13" s="20">
        <f t="shared" si="0"/>
        <v>81</v>
      </c>
    </row>
    <row r="14" spans="1:34" s="20" customFormat="1">
      <c r="A14" s="46">
        <v>12</v>
      </c>
      <c r="B14" s="47">
        <f>攻击!D14</f>
        <v>32</v>
      </c>
      <c r="C14" s="47">
        <f>攻击!E14</f>
        <v>38.4</v>
      </c>
      <c r="D14" s="47">
        <f>攻击!F14</f>
        <v>48</v>
      </c>
      <c r="E14" s="47">
        <f>攻击!G14</f>
        <v>64</v>
      </c>
      <c r="F14" s="47">
        <f>攻击!H14</f>
        <v>80</v>
      </c>
      <c r="G14" s="47">
        <f>攻击!I14</f>
        <v>14</v>
      </c>
      <c r="H14" s="47">
        <f>攻击!J14</f>
        <v>9.6</v>
      </c>
      <c r="I14" s="47">
        <f>攻击!K14</f>
        <v>0</v>
      </c>
      <c r="J14" s="47">
        <f>攻击!L14</f>
        <v>0</v>
      </c>
      <c r="K14" s="47">
        <f>攻击!M14</f>
        <v>0</v>
      </c>
      <c r="L14" s="47">
        <f>攻击!N14</f>
        <v>38.4</v>
      </c>
      <c r="M14" s="47">
        <f>攻击!O14</f>
        <v>48</v>
      </c>
      <c r="N14" s="47">
        <f>攻击!P14</f>
        <v>64</v>
      </c>
      <c r="O14" s="47">
        <f>攻击!Q14</f>
        <v>80</v>
      </c>
      <c r="P14" s="47">
        <f>攻击!R14</f>
        <v>96</v>
      </c>
      <c r="Q14" s="47">
        <f>攻击!S14</f>
        <v>112</v>
      </c>
      <c r="R14" s="47">
        <f>攻击!T14</f>
        <v>0</v>
      </c>
      <c r="S14" s="47">
        <f>攻击!U14</f>
        <v>9.6</v>
      </c>
      <c r="T14" s="47">
        <f>攻击!V14</f>
        <v>0</v>
      </c>
      <c r="U14" s="47">
        <f>攻击!W14</f>
        <v>1.6</v>
      </c>
      <c r="V14" s="54">
        <f>攻击!X14</f>
        <v>0</v>
      </c>
      <c r="W14" s="54">
        <f>攻击!Y14</f>
        <v>0</v>
      </c>
      <c r="X14" s="54">
        <f>攻击!Z14</f>
        <v>0</v>
      </c>
      <c r="Y14" s="54">
        <f>攻击!AA14</f>
        <v>0</v>
      </c>
      <c r="Z14" s="54">
        <f>攻击!AB14</f>
        <v>0</v>
      </c>
      <c r="AA14" s="47">
        <f>攻击!AL14</f>
        <v>0</v>
      </c>
      <c r="AB14" s="54">
        <f>攻击!AM14</f>
        <v>0</v>
      </c>
      <c r="AC14" s="54">
        <f>攻击!AN14</f>
        <v>0</v>
      </c>
      <c r="AD14" s="54">
        <f>攻击!AO14</f>
        <v>0</v>
      </c>
      <c r="AE14" s="54">
        <f>攻击!AP14</f>
        <v>0</v>
      </c>
      <c r="AF14" s="54">
        <f>攻击!AQ14</f>
        <v>0</v>
      </c>
      <c r="AG14" s="47">
        <f>攻击!AR14</f>
        <v>6.4</v>
      </c>
      <c r="AH14" s="20">
        <f t="shared" si="0"/>
        <v>86.4</v>
      </c>
    </row>
    <row r="15" spans="1:34" s="20" customFormat="1">
      <c r="A15" s="46">
        <v>13</v>
      </c>
      <c r="B15" s="47">
        <f>攻击!D15</f>
        <v>34</v>
      </c>
      <c r="C15" s="47">
        <f>攻击!E15</f>
        <v>40.799999999999997</v>
      </c>
      <c r="D15" s="47">
        <f>攻击!F15</f>
        <v>51</v>
      </c>
      <c r="E15" s="47">
        <f>攻击!G15</f>
        <v>68</v>
      </c>
      <c r="F15" s="47">
        <f>攻击!H15</f>
        <v>85</v>
      </c>
      <c r="G15" s="47">
        <f>攻击!I15</f>
        <v>14</v>
      </c>
      <c r="H15" s="47">
        <f>攻击!J15</f>
        <v>10.199999999999999</v>
      </c>
      <c r="I15" s="47">
        <f>攻击!K15</f>
        <v>0</v>
      </c>
      <c r="J15" s="47">
        <f>攻击!L15</f>
        <v>0</v>
      </c>
      <c r="K15" s="47">
        <f>攻击!M15</f>
        <v>0</v>
      </c>
      <c r="L15" s="47">
        <f>攻击!N15</f>
        <v>40.799999999999997</v>
      </c>
      <c r="M15" s="47">
        <f>攻击!O15</f>
        <v>51</v>
      </c>
      <c r="N15" s="47">
        <f>攻击!P15</f>
        <v>68</v>
      </c>
      <c r="O15" s="47">
        <f>攻击!Q15</f>
        <v>85</v>
      </c>
      <c r="P15" s="47">
        <f>攻击!R15</f>
        <v>102</v>
      </c>
      <c r="Q15" s="47">
        <f>攻击!S15</f>
        <v>119</v>
      </c>
      <c r="R15" s="47">
        <f>攻击!T15</f>
        <v>0</v>
      </c>
      <c r="S15" s="47">
        <f>攻击!U15</f>
        <v>10.199999999999999</v>
      </c>
      <c r="T15" s="47">
        <f>攻击!V15</f>
        <v>0</v>
      </c>
      <c r="U15" s="47">
        <f>攻击!W15</f>
        <v>1.7000000000000002</v>
      </c>
      <c r="V15" s="54">
        <f>攻击!X15</f>
        <v>0</v>
      </c>
      <c r="W15" s="54">
        <f>攻击!Y15</f>
        <v>0</v>
      </c>
      <c r="X15" s="54">
        <f>攻击!Z15</f>
        <v>0</v>
      </c>
      <c r="Y15" s="54">
        <f>攻击!AA15</f>
        <v>0</v>
      </c>
      <c r="Z15" s="54">
        <f>攻击!AB15</f>
        <v>0</v>
      </c>
      <c r="AA15" s="47">
        <f>攻击!AL15</f>
        <v>0</v>
      </c>
      <c r="AB15" s="54">
        <f>攻击!AM15</f>
        <v>0</v>
      </c>
      <c r="AC15" s="54">
        <f>攻击!AN15</f>
        <v>0</v>
      </c>
      <c r="AD15" s="54">
        <f>攻击!AO15</f>
        <v>0</v>
      </c>
      <c r="AE15" s="54">
        <f>攻击!AP15</f>
        <v>0</v>
      </c>
      <c r="AF15" s="54">
        <f>攻击!AQ15</f>
        <v>0</v>
      </c>
      <c r="AG15" s="47">
        <f>攻击!AR15</f>
        <v>6.8000000000000007</v>
      </c>
      <c r="AH15" s="20">
        <f t="shared" si="0"/>
        <v>91.8</v>
      </c>
    </row>
    <row r="16" spans="1:34" s="20" customFormat="1">
      <c r="A16" s="46">
        <v>14</v>
      </c>
      <c r="B16" s="47">
        <f>攻击!D16</f>
        <v>36</v>
      </c>
      <c r="C16" s="47">
        <f>攻击!E16</f>
        <v>43.199999999999996</v>
      </c>
      <c r="D16" s="47">
        <f>攻击!F16</f>
        <v>54</v>
      </c>
      <c r="E16" s="47">
        <f>攻击!G16</f>
        <v>72</v>
      </c>
      <c r="F16" s="47">
        <f>攻击!H16</f>
        <v>90</v>
      </c>
      <c r="G16" s="47">
        <f>攻击!I16</f>
        <v>14</v>
      </c>
      <c r="H16" s="47">
        <f>攻击!J16</f>
        <v>10.799999999999999</v>
      </c>
      <c r="I16" s="47">
        <f>攻击!K16</f>
        <v>0</v>
      </c>
      <c r="J16" s="47">
        <f>攻击!L16</f>
        <v>0</v>
      </c>
      <c r="K16" s="47">
        <f>攻击!M16</f>
        <v>0</v>
      </c>
      <c r="L16" s="47">
        <f>攻击!N16</f>
        <v>43.199999999999996</v>
      </c>
      <c r="M16" s="47">
        <f>攻击!O16</f>
        <v>54</v>
      </c>
      <c r="N16" s="47">
        <f>攻击!P16</f>
        <v>72</v>
      </c>
      <c r="O16" s="47">
        <f>攻击!Q16</f>
        <v>90</v>
      </c>
      <c r="P16" s="47">
        <f>攻击!R16</f>
        <v>108</v>
      </c>
      <c r="Q16" s="47">
        <f>攻击!S16</f>
        <v>126</v>
      </c>
      <c r="R16" s="47">
        <f>攻击!T16</f>
        <v>0</v>
      </c>
      <c r="S16" s="47">
        <f>攻击!U16</f>
        <v>10.799999999999999</v>
      </c>
      <c r="T16" s="47">
        <f>攻击!V16</f>
        <v>0</v>
      </c>
      <c r="U16" s="47">
        <f>攻击!W16</f>
        <v>1.8</v>
      </c>
      <c r="V16" s="54">
        <f>攻击!X16</f>
        <v>0</v>
      </c>
      <c r="W16" s="54">
        <f>攻击!Y16</f>
        <v>0</v>
      </c>
      <c r="X16" s="54">
        <f>攻击!Z16</f>
        <v>0</v>
      </c>
      <c r="Y16" s="54">
        <f>攻击!AA16</f>
        <v>0</v>
      </c>
      <c r="Z16" s="54">
        <f>攻击!AB16</f>
        <v>0</v>
      </c>
      <c r="AA16" s="47">
        <f>攻击!AL16</f>
        <v>0</v>
      </c>
      <c r="AB16" s="54">
        <f>攻击!AM16</f>
        <v>0</v>
      </c>
      <c r="AC16" s="54">
        <f>攻击!AN16</f>
        <v>0</v>
      </c>
      <c r="AD16" s="54">
        <f>攻击!AO16</f>
        <v>0</v>
      </c>
      <c r="AE16" s="54">
        <f>攻击!AP16</f>
        <v>0</v>
      </c>
      <c r="AF16" s="54">
        <f>攻击!AQ16</f>
        <v>0</v>
      </c>
      <c r="AG16" s="47">
        <f>攻击!AR16</f>
        <v>7.2</v>
      </c>
      <c r="AH16" s="20">
        <f t="shared" si="0"/>
        <v>97.2</v>
      </c>
    </row>
    <row r="17" spans="1:34" s="20" customFormat="1">
      <c r="A17" s="46">
        <v>15</v>
      </c>
      <c r="B17" s="47">
        <f>攻击!D17</f>
        <v>38</v>
      </c>
      <c r="C17" s="47">
        <f>攻击!E17</f>
        <v>45.6</v>
      </c>
      <c r="D17" s="47">
        <f>攻击!F17</f>
        <v>57</v>
      </c>
      <c r="E17" s="47">
        <f>攻击!G17</f>
        <v>76</v>
      </c>
      <c r="F17" s="47">
        <f>攻击!H17</f>
        <v>95</v>
      </c>
      <c r="G17" s="47">
        <f>攻击!I17</f>
        <v>19</v>
      </c>
      <c r="H17" s="47">
        <f>攻击!J17</f>
        <v>11.4</v>
      </c>
      <c r="I17" s="47">
        <f>攻击!K17</f>
        <v>22.8</v>
      </c>
      <c r="J17" s="47">
        <f>攻击!L17</f>
        <v>0</v>
      </c>
      <c r="K17" s="47">
        <f>攻击!M17</f>
        <v>0</v>
      </c>
      <c r="L17" s="47">
        <f>攻击!N17</f>
        <v>45.6</v>
      </c>
      <c r="M17" s="47">
        <f>攻击!O17</f>
        <v>57</v>
      </c>
      <c r="N17" s="47">
        <f>攻击!P17</f>
        <v>76</v>
      </c>
      <c r="O17" s="47">
        <f>攻击!Q17</f>
        <v>95</v>
      </c>
      <c r="P17" s="47">
        <f>攻击!R17</f>
        <v>114</v>
      </c>
      <c r="Q17" s="47">
        <f>攻击!S17</f>
        <v>133</v>
      </c>
      <c r="R17" s="47">
        <f>攻击!T17</f>
        <v>0</v>
      </c>
      <c r="S17" s="47">
        <f>攻击!U17</f>
        <v>11.4</v>
      </c>
      <c r="T17" s="47">
        <f>攻击!V17</f>
        <v>0</v>
      </c>
      <c r="U17" s="47">
        <f>攻击!W17</f>
        <v>1.9000000000000001</v>
      </c>
      <c r="V17" s="54">
        <f>攻击!X17</f>
        <v>0</v>
      </c>
      <c r="W17" s="54">
        <f>攻击!Y17</f>
        <v>0</v>
      </c>
      <c r="X17" s="54">
        <f>攻击!Z17</f>
        <v>0</v>
      </c>
      <c r="Y17" s="54">
        <f>攻击!AA17</f>
        <v>0</v>
      </c>
      <c r="Z17" s="54">
        <f>攻击!AB17</f>
        <v>0</v>
      </c>
      <c r="AA17" s="47">
        <f>攻击!AL17</f>
        <v>0</v>
      </c>
      <c r="AB17" s="54">
        <f>攻击!AM17</f>
        <v>0</v>
      </c>
      <c r="AC17" s="54">
        <f>攻击!AN17</f>
        <v>0</v>
      </c>
      <c r="AD17" s="54">
        <f>攻击!AO17</f>
        <v>0</v>
      </c>
      <c r="AE17" s="54">
        <f>攻击!AP17</f>
        <v>0</v>
      </c>
      <c r="AF17" s="54">
        <f>攻击!AQ17</f>
        <v>0</v>
      </c>
      <c r="AG17" s="47">
        <f>攻击!AR17</f>
        <v>7.6000000000000005</v>
      </c>
      <c r="AH17" s="20">
        <f t="shared" si="0"/>
        <v>102.6</v>
      </c>
    </row>
    <row r="18" spans="1:34" s="20" customFormat="1">
      <c r="A18" s="46">
        <v>16</v>
      </c>
      <c r="B18" s="47">
        <f>攻击!D18</f>
        <v>40</v>
      </c>
      <c r="C18" s="47">
        <f>攻击!E18</f>
        <v>48</v>
      </c>
      <c r="D18" s="47">
        <f>攻击!F18</f>
        <v>60</v>
      </c>
      <c r="E18" s="47">
        <f>攻击!G18</f>
        <v>80</v>
      </c>
      <c r="F18" s="47">
        <f>攻击!H18</f>
        <v>100</v>
      </c>
      <c r="G18" s="47">
        <f>攻击!I18</f>
        <v>19</v>
      </c>
      <c r="H18" s="47">
        <f>攻击!J18</f>
        <v>12</v>
      </c>
      <c r="I18" s="47">
        <f>攻击!K18</f>
        <v>24</v>
      </c>
      <c r="J18" s="47">
        <f>攻击!L18</f>
        <v>0</v>
      </c>
      <c r="K18" s="47">
        <f>攻击!M18</f>
        <v>0</v>
      </c>
      <c r="L18" s="47">
        <f>攻击!N18</f>
        <v>48</v>
      </c>
      <c r="M18" s="47">
        <f>攻击!O18</f>
        <v>60</v>
      </c>
      <c r="N18" s="47">
        <f>攻击!P18</f>
        <v>80</v>
      </c>
      <c r="O18" s="47">
        <f>攻击!Q18</f>
        <v>100</v>
      </c>
      <c r="P18" s="47">
        <f>攻击!R18</f>
        <v>120</v>
      </c>
      <c r="Q18" s="47">
        <f>攻击!S18</f>
        <v>140</v>
      </c>
      <c r="R18" s="47">
        <f>攻击!T18</f>
        <v>0</v>
      </c>
      <c r="S18" s="47">
        <f>攻击!U18</f>
        <v>12</v>
      </c>
      <c r="T18" s="47">
        <f>攻击!V18</f>
        <v>0</v>
      </c>
      <c r="U18" s="47">
        <f>攻击!W18</f>
        <v>2</v>
      </c>
      <c r="V18" s="54">
        <f>攻击!X18</f>
        <v>0</v>
      </c>
      <c r="W18" s="54">
        <f>攻击!Y18</f>
        <v>0</v>
      </c>
      <c r="X18" s="54">
        <f>攻击!Z18</f>
        <v>0</v>
      </c>
      <c r="Y18" s="54">
        <f>攻击!AA18</f>
        <v>0</v>
      </c>
      <c r="Z18" s="54">
        <f>攻击!AB18</f>
        <v>0</v>
      </c>
      <c r="AA18" s="47">
        <f>攻击!AL18</f>
        <v>0</v>
      </c>
      <c r="AB18" s="54">
        <f>攻击!AM18</f>
        <v>0</v>
      </c>
      <c r="AC18" s="54">
        <f>攻击!AN18</f>
        <v>0</v>
      </c>
      <c r="AD18" s="54">
        <f>攻击!AO18</f>
        <v>0</v>
      </c>
      <c r="AE18" s="54">
        <f>攻击!AP18</f>
        <v>0</v>
      </c>
      <c r="AF18" s="54">
        <f>攻击!AQ18</f>
        <v>0</v>
      </c>
      <c r="AG18" s="47">
        <f>攻击!AR18</f>
        <v>8</v>
      </c>
      <c r="AH18" s="20">
        <f t="shared" si="0"/>
        <v>108</v>
      </c>
    </row>
    <row r="19" spans="1:34" s="20" customFormat="1">
      <c r="A19" s="46">
        <v>17</v>
      </c>
      <c r="B19" s="47">
        <f>攻击!D19</f>
        <v>42</v>
      </c>
      <c r="C19" s="47">
        <f>攻击!E19</f>
        <v>50.4</v>
      </c>
      <c r="D19" s="47">
        <f>攻击!F19</f>
        <v>63</v>
      </c>
      <c r="E19" s="47">
        <f>攻击!G19</f>
        <v>84</v>
      </c>
      <c r="F19" s="47">
        <f>攻击!H19</f>
        <v>105</v>
      </c>
      <c r="G19" s="47">
        <f>攻击!I19</f>
        <v>19</v>
      </c>
      <c r="H19" s="47">
        <f>攻击!J19</f>
        <v>12.6</v>
      </c>
      <c r="I19" s="47">
        <f>攻击!K19</f>
        <v>25.2</v>
      </c>
      <c r="J19" s="47">
        <f>攻击!L19</f>
        <v>0</v>
      </c>
      <c r="K19" s="47">
        <f>攻击!M19</f>
        <v>0</v>
      </c>
      <c r="L19" s="47">
        <f>攻击!N19</f>
        <v>50.4</v>
      </c>
      <c r="M19" s="47">
        <f>攻击!O19</f>
        <v>63</v>
      </c>
      <c r="N19" s="47">
        <f>攻击!P19</f>
        <v>84</v>
      </c>
      <c r="O19" s="47">
        <f>攻击!Q19</f>
        <v>105</v>
      </c>
      <c r="P19" s="47">
        <f>攻击!R19</f>
        <v>126</v>
      </c>
      <c r="Q19" s="47">
        <f>攻击!S19</f>
        <v>147</v>
      </c>
      <c r="R19" s="47">
        <f>攻击!T19</f>
        <v>0</v>
      </c>
      <c r="S19" s="47">
        <f>攻击!U19</f>
        <v>12.6</v>
      </c>
      <c r="T19" s="47">
        <f>攻击!V19</f>
        <v>0</v>
      </c>
      <c r="U19" s="47">
        <f>攻击!W19</f>
        <v>2.1</v>
      </c>
      <c r="V19" s="54">
        <f>攻击!X19</f>
        <v>0</v>
      </c>
      <c r="W19" s="54">
        <f>攻击!Y19</f>
        <v>0</v>
      </c>
      <c r="X19" s="54">
        <f>攻击!Z19</f>
        <v>0</v>
      </c>
      <c r="Y19" s="54">
        <f>攻击!AA19</f>
        <v>0</v>
      </c>
      <c r="Z19" s="54">
        <f>攻击!AB19</f>
        <v>0</v>
      </c>
      <c r="AA19" s="47">
        <f>攻击!AL19</f>
        <v>0</v>
      </c>
      <c r="AB19" s="54">
        <f>攻击!AM19</f>
        <v>0</v>
      </c>
      <c r="AC19" s="54">
        <f>攻击!AN19</f>
        <v>0</v>
      </c>
      <c r="AD19" s="54">
        <f>攻击!AO19</f>
        <v>0</v>
      </c>
      <c r="AE19" s="54">
        <f>攻击!AP19</f>
        <v>0</v>
      </c>
      <c r="AF19" s="54">
        <f>攻击!AQ19</f>
        <v>0</v>
      </c>
      <c r="AG19" s="47">
        <f>攻击!AR19</f>
        <v>8.4</v>
      </c>
      <c r="AH19" s="20">
        <f t="shared" si="0"/>
        <v>113.4</v>
      </c>
    </row>
    <row r="20" spans="1:34" s="20" customFormat="1">
      <c r="A20" s="46">
        <v>18</v>
      </c>
      <c r="B20" s="47">
        <f>攻击!D20</f>
        <v>44</v>
      </c>
      <c r="C20" s="47">
        <f>攻击!E20</f>
        <v>52.8</v>
      </c>
      <c r="D20" s="47">
        <f>攻击!F20</f>
        <v>66</v>
      </c>
      <c r="E20" s="47">
        <f>攻击!G20</f>
        <v>88</v>
      </c>
      <c r="F20" s="47">
        <f>攻击!H20</f>
        <v>110</v>
      </c>
      <c r="G20" s="47">
        <f>攻击!I20</f>
        <v>19</v>
      </c>
      <c r="H20" s="47">
        <f>攻击!J20</f>
        <v>13.2</v>
      </c>
      <c r="I20" s="47">
        <f>攻击!K20</f>
        <v>26.4</v>
      </c>
      <c r="J20" s="47">
        <f>攻击!L20</f>
        <v>0</v>
      </c>
      <c r="K20" s="47">
        <f>攻击!M20</f>
        <v>0</v>
      </c>
      <c r="L20" s="47">
        <f>攻击!N20</f>
        <v>52.8</v>
      </c>
      <c r="M20" s="47">
        <f>攻击!O20</f>
        <v>66</v>
      </c>
      <c r="N20" s="47">
        <f>攻击!P20</f>
        <v>88</v>
      </c>
      <c r="O20" s="47">
        <f>攻击!Q20</f>
        <v>110</v>
      </c>
      <c r="P20" s="47">
        <f>攻击!R20</f>
        <v>132</v>
      </c>
      <c r="Q20" s="47">
        <f>攻击!S20</f>
        <v>154</v>
      </c>
      <c r="R20" s="47">
        <f>攻击!T20</f>
        <v>0</v>
      </c>
      <c r="S20" s="47">
        <f>攻击!U20</f>
        <v>13.2</v>
      </c>
      <c r="T20" s="47">
        <f>攻击!V20</f>
        <v>0</v>
      </c>
      <c r="U20" s="47">
        <f>攻击!W20</f>
        <v>2.2000000000000002</v>
      </c>
      <c r="V20" s="54">
        <f>攻击!X20</f>
        <v>0</v>
      </c>
      <c r="W20" s="54">
        <f>攻击!Y20</f>
        <v>0</v>
      </c>
      <c r="X20" s="54">
        <f>攻击!Z20</f>
        <v>0</v>
      </c>
      <c r="Y20" s="54">
        <f>攻击!AA20</f>
        <v>0</v>
      </c>
      <c r="Z20" s="54">
        <f>攻击!AB20</f>
        <v>0</v>
      </c>
      <c r="AA20" s="47">
        <f>攻击!AL20</f>
        <v>0</v>
      </c>
      <c r="AB20" s="54">
        <f>攻击!AM20</f>
        <v>0</v>
      </c>
      <c r="AC20" s="54">
        <f>攻击!AN20</f>
        <v>0</v>
      </c>
      <c r="AD20" s="54">
        <f>攻击!AO20</f>
        <v>0</v>
      </c>
      <c r="AE20" s="54">
        <f>攻击!AP20</f>
        <v>0</v>
      </c>
      <c r="AF20" s="54">
        <f>攻击!AQ20</f>
        <v>0</v>
      </c>
      <c r="AG20" s="47">
        <f>攻击!AR20</f>
        <v>8.8000000000000007</v>
      </c>
      <c r="AH20" s="20">
        <f t="shared" si="0"/>
        <v>118.8</v>
      </c>
    </row>
    <row r="21" spans="1:34" s="20" customFormat="1">
      <c r="A21" s="46">
        <v>19</v>
      </c>
      <c r="B21" s="47">
        <f>攻击!D21</f>
        <v>46</v>
      </c>
      <c r="C21" s="47">
        <f>攻击!E21</f>
        <v>55.199999999999996</v>
      </c>
      <c r="D21" s="47">
        <f>攻击!F21</f>
        <v>69</v>
      </c>
      <c r="E21" s="47">
        <f>攻击!G21</f>
        <v>92</v>
      </c>
      <c r="F21" s="47">
        <f>攻击!H21</f>
        <v>115</v>
      </c>
      <c r="G21" s="47">
        <f>攻击!I21</f>
        <v>19</v>
      </c>
      <c r="H21" s="47">
        <f>攻击!J21</f>
        <v>13.799999999999999</v>
      </c>
      <c r="I21" s="47">
        <f>攻击!K21</f>
        <v>27.599999999999998</v>
      </c>
      <c r="J21" s="47">
        <f>攻击!L21</f>
        <v>0</v>
      </c>
      <c r="K21" s="47">
        <f>攻击!M21</f>
        <v>0</v>
      </c>
      <c r="L21" s="47">
        <f>攻击!N21</f>
        <v>55.199999999999996</v>
      </c>
      <c r="M21" s="47">
        <f>攻击!O21</f>
        <v>69</v>
      </c>
      <c r="N21" s="47">
        <f>攻击!P21</f>
        <v>92</v>
      </c>
      <c r="O21" s="47">
        <f>攻击!Q21</f>
        <v>115</v>
      </c>
      <c r="P21" s="47">
        <f>攻击!R21</f>
        <v>138</v>
      </c>
      <c r="Q21" s="47">
        <f>攻击!S21</f>
        <v>161</v>
      </c>
      <c r="R21" s="47">
        <f>攻击!T21</f>
        <v>0</v>
      </c>
      <c r="S21" s="47">
        <f>攻击!U21</f>
        <v>13.799999999999999</v>
      </c>
      <c r="T21" s="47">
        <f>攻击!V21</f>
        <v>0</v>
      </c>
      <c r="U21" s="47">
        <f>攻击!W21</f>
        <v>2.3000000000000003</v>
      </c>
      <c r="V21" s="54">
        <f>攻击!X21</f>
        <v>0</v>
      </c>
      <c r="W21" s="54">
        <f>攻击!Y21</f>
        <v>0</v>
      </c>
      <c r="X21" s="54">
        <f>攻击!Z21</f>
        <v>0</v>
      </c>
      <c r="Y21" s="54">
        <f>攻击!AA21</f>
        <v>0</v>
      </c>
      <c r="Z21" s="54">
        <f>攻击!AB21</f>
        <v>0</v>
      </c>
      <c r="AA21" s="47">
        <f>攻击!AL21</f>
        <v>0</v>
      </c>
      <c r="AB21" s="54">
        <f>攻击!AM21</f>
        <v>0</v>
      </c>
      <c r="AC21" s="54">
        <f>攻击!AN21</f>
        <v>0</v>
      </c>
      <c r="AD21" s="54">
        <f>攻击!AO21</f>
        <v>0</v>
      </c>
      <c r="AE21" s="54">
        <f>攻击!AP21</f>
        <v>0</v>
      </c>
      <c r="AF21" s="54">
        <f>攻击!AQ21</f>
        <v>0</v>
      </c>
      <c r="AG21" s="47">
        <f>攻击!AR21</f>
        <v>9.2000000000000011</v>
      </c>
      <c r="AH21" s="20">
        <f t="shared" si="0"/>
        <v>124.2</v>
      </c>
    </row>
    <row r="22" spans="1:34" s="20" customFormat="1">
      <c r="A22" s="46">
        <v>20</v>
      </c>
      <c r="B22" s="47">
        <f>攻击!D22</f>
        <v>48</v>
      </c>
      <c r="C22" s="47">
        <f>攻击!E22</f>
        <v>57.599999999999994</v>
      </c>
      <c r="D22" s="47">
        <f>攻击!F22</f>
        <v>72</v>
      </c>
      <c r="E22" s="47">
        <f>攻击!G22</f>
        <v>96</v>
      </c>
      <c r="F22" s="47">
        <f>攻击!H22</f>
        <v>120</v>
      </c>
      <c r="G22" s="47">
        <f>攻击!I22</f>
        <v>24</v>
      </c>
      <c r="H22" s="47">
        <f>攻击!J22</f>
        <v>14.399999999999999</v>
      </c>
      <c r="I22" s="47">
        <f>攻击!K22</f>
        <v>28.799999999999997</v>
      </c>
      <c r="J22" s="47">
        <f>攻击!L22</f>
        <v>0</v>
      </c>
      <c r="K22" s="47">
        <f>攻击!M22</f>
        <v>0</v>
      </c>
      <c r="L22" s="47">
        <f>攻击!N22</f>
        <v>57.599999999999994</v>
      </c>
      <c r="M22" s="47">
        <f>攻击!O22</f>
        <v>72</v>
      </c>
      <c r="N22" s="47">
        <f>攻击!P22</f>
        <v>96</v>
      </c>
      <c r="O22" s="47">
        <f>攻击!Q22</f>
        <v>120</v>
      </c>
      <c r="P22" s="47">
        <f>攻击!R22</f>
        <v>144</v>
      </c>
      <c r="Q22" s="47">
        <f>攻击!S22</f>
        <v>168</v>
      </c>
      <c r="R22" s="47">
        <f>攻击!T22</f>
        <v>0</v>
      </c>
      <c r="S22" s="47">
        <f>攻击!U22</f>
        <v>14.399999999999999</v>
      </c>
      <c r="T22" s="47">
        <f>攻击!V22</f>
        <v>0</v>
      </c>
      <c r="U22" s="47">
        <f>攻击!W22</f>
        <v>2.4000000000000004</v>
      </c>
      <c r="V22" s="54">
        <f>攻击!X22</f>
        <v>0</v>
      </c>
      <c r="W22" s="54">
        <f>攻击!Y22</f>
        <v>0</v>
      </c>
      <c r="X22" s="54">
        <f>攻击!Z22</f>
        <v>0</v>
      </c>
      <c r="Y22" s="54">
        <f>攻击!AA22</f>
        <v>0</v>
      </c>
      <c r="Z22" s="54">
        <f>攻击!AB22</f>
        <v>0</v>
      </c>
      <c r="AA22" s="47">
        <f>攻击!AL22</f>
        <v>0</v>
      </c>
      <c r="AB22" s="54">
        <f>攻击!AM22</f>
        <v>0</v>
      </c>
      <c r="AC22" s="54">
        <f>攻击!AN22</f>
        <v>0</v>
      </c>
      <c r="AD22" s="54">
        <f>攻击!AO22</f>
        <v>0</v>
      </c>
      <c r="AE22" s="54">
        <f>攻击!AP22</f>
        <v>0</v>
      </c>
      <c r="AF22" s="54">
        <f>攻击!AQ22</f>
        <v>0</v>
      </c>
      <c r="AG22" s="47">
        <f>攻击!AR22</f>
        <v>9.6000000000000014</v>
      </c>
      <c r="AH22" s="20">
        <f t="shared" si="0"/>
        <v>129.6</v>
      </c>
    </row>
    <row r="23" spans="1:34" s="20" customFormat="1">
      <c r="A23" s="46">
        <v>21</v>
      </c>
      <c r="B23" s="47">
        <f>攻击!D23</f>
        <v>50</v>
      </c>
      <c r="C23" s="47">
        <f>攻击!E23</f>
        <v>60</v>
      </c>
      <c r="D23" s="47">
        <f>攻击!F23</f>
        <v>75</v>
      </c>
      <c r="E23" s="47">
        <f>攻击!G23</f>
        <v>100</v>
      </c>
      <c r="F23" s="47">
        <f>攻击!H23</f>
        <v>125</v>
      </c>
      <c r="G23" s="47">
        <f>攻击!I23</f>
        <v>24</v>
      </c>
      <c r="H23" s="47">
        <f>攻击!J23</f>
        <v>15</v>
      </c>
      <c r="I23" s="47">
        <f>攻击!K23</f>
        <v>30</v>
      </c>
      <c r="J23" s="47">
        <f>攻击!L23</f>
        <v>0</v>
      </c>
      <c r="K23" s="47">
        <f>攻击!M23</f>
        <v>0</v>
      </c>
      <c r="L23" s="47">
        <f>攻击!N23</f>
        <v>60</v>
      </c>
      <c r="M23" s="47">
        <f>攻击!O23</f>
        <v>75</v>
      </c>
      <c r="N23" s="47">
        <f>攻击!P23</f>
        <v>100</v>
      </c>
      <c r="O23" s="47">
        <f>攻击!Q23</f>
        <v>125</v>
      </c>
      <c r="P23" s="47">
        <f>攻击!R23</f>
        <v>150</v>
      </c>
      <c r="Q23" s="47">
        <f>攻击!S23</f>
        <v>175</v>
      </c>
      <c r="R23" s="47">
        <f>攻击!T23</f>
        <v>0</v>
      </c>
      <c r="S23" s="47">
        <f>攻击!U23</f>
        <v>15</v>
      </c>
      <c r="T23" s="47">
        <f>攻击!V23</f>
        <v>0</v>
      </c>
      <c r="U23" s="47">
        <f>攻击!W23</f>
        <v>2.5</v>
      </c>
      <c r="V23" s="54">
        <f>攻击!X23</f>
        <v>0</v>
      </c>
      <c r="W23" s="54">
        <f>攻击!Y23</f>
        <v>0</v>
      </c>
      <c r="X23" s="54">
        <f>攻击!Z23</f>
        <v>0</v>
      </c>
      <c r="Y23" s="54">
        <f>攻击!AA23</f>
        <v>0</v>
      </c>
      <c r="Z23" s="54">
        <f>攻击!AB23</f>
        <v>0</v>
      </c>
      <c r="AA23" s="47">
        <f>攻击!AL23</f>
        <v>0</v>
      </c>
      <c r="AB23" s="54">
        <f>攻击!AM23</f>
        <v>0</v>
      </c>
      <c r="AC23" s="54">
        <f>攻击!AN23</f>
        <v>0</v>
      </c>
      <c r="AD23" s="54">
        <f>攻击!AO23</f>
        <v>0</v>
      </c>
      <c r="AE23" s="54">
        <f>攻击!AP23</f>
        <v>0</v>
      </c>
      <c r="AF23" s="54">
        <f>攻击!AQ23</f>
        <v>0</v>
      </c>
      <c r="AG23" s="47">
        <f>攻击!AR23</f>
        <v>10</v>
      </c>
      <c r="AH23" s="20">
        <f t="shared" si="0"/>
        <v>135</v>
      </c>
    </row>
    <row r="24" spans="1:34" s="20" customFormat="1">
      <c r="A24" s="46">
        <v>22</v>
      </c>
      <c r="B24" s="47">
        <f>攻击!D24</f>
        <v>52</v>
      </c>
      <c r="C24" s="47">
        <f>攻击!E24</f>
        <v>62.4</v>
      </c>
      <c r="D24" s="47">
        <f>攻击!F24</f>
        <v>78</v>
      </c>
      <c r="E24" s="47">
        <f>攻击!G24</f>
        <v>104</v>
      </c>
      <c r="F24" s="47">
        <f>攻击!H24</f>
        <v>130</v>
      </c>
      <c r="G24" s="47">
        <f>攻击!I24</f>
        <v>24</v>
      </c>
      <c r="H24" s="47">
        <f>攻击!J24</f>
        <v>15.6</v>
      </c>
      <c r="I24" s="47">
        <f>攻击!K24</f>
        <v>31.2</v>
      </c>
      <c r="J24" s="47">
        <f>攻击!L24</f>
        <v>0</v>
      </c>
      <c r="K24" s="47">
        <f>攻击!M24</f>
        <v>0</v>
      </c>
      <c r="L24" s="47">
        <f>攻击!N24</f>
        <v>62.4</v>
      </c>
      <c r="M24" s="47">
        <f>攻击!O24</f>
        <v>78</v>
      </c>
      <c r="N24" s="47">
        <f>攻击!P24</f>
        <v>104</v>
      </c>
      <c r="O24" s="47">
        <f>攻击!Q24</f>
        <v>130</v>
      </c>
      <c r="P24" s="47">
        <f>攻击!R24</f>
        <v>156</v>
      </c>
      <c r="Q24" s="47">
        <f>攻击!S24</f>
        <v>182</v>
      </c>
      <c r="R24" s="47">
        <f>攻击!T24</f>
        <v>0</v>
      </c>
      <c r="S24" s="47">
        <f>攻击!U24</f>
        <v>15.6</v>
      </c>
      <c r="T24" s="47">
        <f>攻击!V24</f>
        <v>0</v>
      </c>
      <c r="U24" s="47">
        <f>攻击!W24</f>
        <v>2.6</v>
      </c>
      <c r="V24" s="54">
        <f>攻击!X24</f>
        <v>0</v>
      </c>
      <c r="W24" s="54">
        <f>攻击!Y24</f>
        <v>0</v>
      </c>
      <c r="X24" s="54">
        <f>攻击!Z24</f>
        <v>0</v>
      </c>
      <c r="Y24" s="54">
        <f>攻击!AA24</f>
        <v>0</v>
      </c>
      <c r="Z24" s="54">
        <f>攻击!AB24</f>
        <v>0</v>
      </c>
      <c r="AA24" s="47">
        <f>攻击!AL24</f>
        <v>0</v>
      </c>
      <c r="AB24" s="54">
        <f>攻击!AM24</f>
        <v>0</v>
      </c>
      <c r="AC24" s="54">
        <f>攻击!AN24</f>
        <v>0</v>
      </c>
      <c r="AD24" s="54">
        <f>攻击!AO24</f>
        <v>0</v>
      </c>
      <c r="AE24" s="54">
        <f>攻击!AP24</f>
        <v>0</v>
      </c>
      <c r="AF24" s="54">
        <f>攻击!AQ24</f>
        <v>0</v>
      </c>
      <c r="AG24" s="47">
        <f>攻击!AR24</f>
        <v>10.4</v>
      </c>
      <c r="AH24" s="20">
        <f t="shared" si="0"/>
        <v>140.4</v>
      </c>
    </row>
    <row r="25" spans="1:34" s="20" customFormat="1">
      <c r="A25" s="46">
        <v>23</v>
      </c>
      <c r="B25" s="47">
        <f>攻击!D25</f>
        <v>54</v>
      </c>
      <c r="C25" s="47">
        <f>攻击!E25</f>
        <v>64.8</v>
      </c>
      <c r="D25" s="47">
        <f>攻击!F25</f>
        <v>81</v>
      </c>
      <c r="E25" s="47">
        <f>攻击!G25</f>
        <v>108</v>
      </c>
      <c r="F25" s="47">
        <f>攻击!H25</f>
        <v>135</v>
      </c>
      <c r="G25" s="47">
        <f>攻击!I25</f>
        <v>24</v>
      </c>
      <c r="H25" s="47">
        <f>攻击!J25</f>
        <v>16.2</v>
      </c>
      <c r="I25" s="47">
        <f>攻击!K25</f>
        <v>32.4</v>
      </c>
      <c r="J25" s="47">
        <f>攻击!L25</f>
        <v>0</v>
      </c>
      <c r="K25" s="47">
        <f>攻击!M25</f>
        <v>0</v>
      </c>
      <c r="L25" s="47">
        <f>攻击!N25</f>
        <v>64.8</v>
      </c>
      <c r="M25" s="47">
        <f>攻击!O25</f>
        <v>81</v>
      </c>
      <c r="N25" s="47">
        <f>攻击!P25</f>
        <v>108</v>
      </c>
      <c r="O25" s="47">
        <f>攻击!Q25</f>
        <v>135</v>
      </c>
      <c r="P25" s="47">
        <f>攻击!R25</f>
        <v>162</v>
      </c>
      <c r="Q25" s="47">
        <f>攻击!S25</f>
        <v>189</v>
      </c>
      <c r="R25" s="47">
        <f>攻击!T25</f>
        <v>0</v>
      </c>
      <c r="S25" s="47">
        <f>攻击!U25</f>
        <v>16.2</v>
      </c>
      <c r="T25" s="47">
        <f>攻击!V25</f>
        <v>0</v>
      </c>
      <c r="U25" s="47">
        <f>攻击!W25</f>
        <v>2.7</v>
      </c>
      <c r="V25" s="54">
        <f>攻击!X25</f>
        <v>0</v>
      </c>
      <c r="W25" s="54">
        <f>攻击!Y25</f>
        <v>0</v>
      </c>
      <c r="X25" s="54">
        <f>攻击!Z25</f>
        <v>0</v>
      </c>
      <c r="Y25" s="54">
        <f>攻击!AA25</f>
        <v>0</v>
      </c>
      <c r="Z25" s="54">
        <f>攻击!AB25</f>
        <v>0</v>
      </c>
      <c r="AA25" s="47">
        <f>攻击!AL25</f>
        <v>0</v>
      </c>
      <c r="AB25" s="54">
        <f>攻击!AM25</f>
        <v>0</v>
      </c>
      <c r="AC25" s="54">
        <f>攻击!AN25</f>
        <v>0</v>
      </c>
      <c r="AD25" s="54">
        <f>攻击!AO25</f>
        <v>0</v>
      </c>
      <c r="AE25" s="54">
        <f>攻击!AP25</f>
        <v>0</v>
      </c>
      <c r="AF25" s="54">
        <f>攻击!AQ25</f>
        <v>0</v>
      </c>
      <c r="AG25" s="47">
        <f>攻击!AR25</f>
        <v>10.8</v>
      </c>
      <c r="AH25" s="20">
        <f t="shared" si="0"/>
        <v>145.80000000000001</v>
      </c>
    </row>
    <row r="26" spans="1:34" s="20" customFormat="1">
      <c r="A26" s="46">
        <v>24</v>
      </c>
      <c r="B26" s="47">
        <f>攻击!D26</f>
        <v>56</v>
      </c>
      <c r="C26" s="47">
        <f>攻击!E26</f>
        <v>67.2</v>
      </c>
      <c r="D26" s="47">
        <f>攻击!F26</f>
        <v>84</v>
      </c>
      <c r="E26" s="47">
        <f>攻击!G26</f>
        <v>112</v>
      </c>
      <c r="F26" s="47">
        <f>攻击!H26</f>
        <v>140</v>
      </c>
      <c r="G26" s="47">
        <f>攻击!I26</f>
        <v>24</v>
      </c>
      <c r="H26" s="47">
        <f>攻击!J26</f>
        <v>16.8</v>
      </c>
      <c r="I26" s="47">
        <f>攻击!K26</f>
        <v>33.6</v>
      </c>
      <c r="J26" s="47">
        <f>攻击!L26</f>
        <v>0</v>
      </c>
      <c r="K26" s="47">
        <f>攻击!M26</f>
        <v>0</v>
      </c>
      <c r="L26" s="47">
        <f>攻击!N26</f>
        <v>67.2</v>
      </c>
      <c r="M26" s="47">
        <f>攻击!O26</f>
        <v>84</v>
      </c>
      <c r="N26" s="47">
        <f>攻击!P26</f>
        <v>112</v>
      </c>
      <c r="O26" s="47">
        <f>攻击!Q26</f>
        <v>140</v>
      </c>
      <c r="P26" s="47">
        <f>攻击!R26</f>
        <v>168</v>
      </c>
      <c r="Q26" s="47">
        <f>攻击!S26</f>
        <v>196</v>
      </c>
      <c r="R26" s="47">
        <f>攻击!T26</f>
        <v>0</v>
      </c>
      <c r="S26" s="47">
        <f>攻击!U26</f>
        <v>16.8</v>
      </c>
      <c r="T26" s="47">
        <f>攻击!V26</f>
        <v>0</v>
      </c>
      <c r="U26" s="47">
        <f>攻击!W26</f>
        <v>2.8000000000000003</v>
      </c>
      <c r="V26" s="54">
        <f>攻击!X26</f>
        <v>0</v>
      </c>
      <c r="W26" s="54">
        <f>攻击!Y26</f>
        <v>0</v>
      </c>
      <c r="X26" s="54">
        <f>攻击!Z26</f>
        <v>0</v>
      </c>
      <c r="Y26" s="54">
        <f>攻击!AA26</f>
        <v>0</v>
      </c>
      <c r="Z26" s="54">
        <f>攻击!AB26</f>
        <v>0</v>
      </c>
      <c r="AA26" s="47">
        <f>攻击!AL26</f>
        <v>0</v>
      </c>
      <c r="AB26" s="54">
        <f>攻击!AM26</f>
        <v>0</v>
      </c>
      <c r="AC26" s="54">
        <f>攻击!AN26</f>
        <v>0</v>
      </c>
      <c r="AD26" s="54">
        <f>攻击!AO26</f>
        <v>0</v>
      </c>
      <c r="AE26" s="54">
        <f>攻击!AP26</f>
        <v>0</v>
      </c>
      <c r="AF26" s="54">
        <f>攻击!AQ26</f>
        <v>0</v>
      </c>
      <c r="AG26" s="47">
        <f>攻击!AR26</f>
        <v>11.200000000000001</v>
      </c>
      <c r="AH26" s="20">
        <f t="shared" si="0"/>
        <v>151.19999999999999</v>
      </c>
    </row>
    <row r="27" spans="1:34" s="20" customFormat="1">
      <c r="A27" s="46">
        <v>25</v>
      </c>
      <c r="B27" s="47">
        <f>攻击!D27</f>
        <v>58</v>
      </c>
      <c r="C27" s="47">
        <f>攻击!E27</f>
        <v>69.599999999999994</v>
      </c>
      <c r="D27" s="47">
        <f>攻击!F27</f>
        <v>87</v>
      </c>
      <c r="E27" s="47">
        <f>攻击!G27</f>
        <v>116</v>
      </c>
      <c r="F27" s="47">
        <f>攻击!H27</f>
        <v>145</v>
      </c>
      <c r="G27" s="47">
        <f>攻击!I27</f>
        <v>29</v>
      </c>
      <c r="H27" s="47">
        <f>攻击!J27</f>
        <v>17.399999999999999</v>
      </c>
      <c r="I27" s="47">
        <f>攻击!K27</f>
        <v>34.799999999999997</v>
      </c>
      <c r="J27" s="47">
        <f>攻击!L27</f>
        <v>0</v>
      </c>
      <c r="K27" s="47">
        <f>攻击!M27</f>
        <v>0</v>
      </c>
      <c r="L27" s="47">
        <f>攻击!N27</f>
        <v>69.599999999999994</v>
      </c>
      <c r="M27" s="47">
        <f>攻击!O27</f>
        <v>87</v>
      </c>
      <c r="N27" s="47">
        <f>攻击!P27</f>
        <v>116</v>
      </c>
      <c r="O27" s="47">
        <f>攻击!Q27</f>
        <v>145</v>
      </c>
      <c r="P27" s="47">
        <f>攻击!R27</f>
        <v>174</v>
      </c>
      <c r="Q27" s="47">
        <f>攻击!S27</f>
        <v>203</v>
      </c>
      <c r="R27" s="47">
        <f>攻击!T27</f>
        <v>0</v>
      </c>
      <c r="S27" s="47">
        <f>攻击!U27</f>
        <v>17.399999999999999</v>
      </c>
      <c r="T27" s="47">
        <f>攻击!V27</f>
        <v>0</v>
      </c>
      <c r="U27" s="47">
        <f>攻击!W27</f>
        <v>2.9000000000000004</v>
      </c>
      <c r="V27" s="54">
        <f>攻击!X27</f>
        <v>0</v>
      </c>
      <c r="W27" s="54">
        <f>攻击!Y27</f>
        <v>0</v>
      </c>
      <c r="X27" s="54">
        <f>攻击!Z27</f>
        <v>0</v>
      </c>
      <c r="Y27" s="54">
        <f>攻击!AA27</f>
        <v>0</v>
      </c>
      <c r="Z27" s="54">
        <f>攻击!AB27</f>
        <v>0</v>
      </c>
      <c r="AA27" s="47">
        <f>攻击!AL27</f>
        <v>0</v>
      </c>
      <c r="AB27" s="54">
        <f>攻击!AM27</f>
        <v>0</v>
      </c>
      <c r="AC27" s="54">
        <f>攻击!AN27</f>
        <v>0</v>
      </c>
      <c r="AD27" s="54">
        <f>攻击!AO27</f>
        <v>0</v>
      </c>
      <c r="AE27" s="54">
        <f>攻击!AP27</f>
        <v>0</v>
      </c>
      <c r="AF27" s="54">
        <f>攻击!AQ27</f>
        <v>0</v>
      </c>
      <c r="AG27" s="47">
        <f>攻击!AR27</f>
        <v>11.600000000000001</v>
      </c>
      <c r="AH27" s="20">
        <f t="shared" si="0"/>
        <v>156.6</v>
      </c>
    </row>
    <row r="28" spans="1:34" s="20" customFormat="1">
      <c r="A28" s="46">
        <v>26</v>
      </c>
      <c r="B28" s="47">
        <f>攻击!D28</f>
        <v>60</v>
      </c>
      <c r="C28" s="47">
        <f>攻击!E28</f>
        <v>72</v>
      </c>
      <c r="D28" s="47">
        <f>攻击!F28</f>
        <v>90</v>
      </c>
      <c r="E28" s="47">
        <f>攻击!G28</f>
        <v>120</v>
      </c>
      <c r="F28" s="47">
        <f>攻击!H28</f>
        <v>150</v>
      </c>
      <c r="G28" s="47">
        <f>攻击!I28</f>
        <v>29</v>
      </c>
      <c r="H28" s="47">
        <f>攻击!J28</f>
        <v>18</v>
      </c>
      <c r="I28" s="47">
        <f>攻击!K28</f>
        <v>36</v>
      </c>
      <c r="J28" s="47">
        <f>攻击!L28</f>
        <v>0</v>
      </c>
      <c r="K28" s="47">
        <f>攻击!M28</f>
        <v>0</v>
      </c>
      <c r="L28" s="47">
        <f>攻击!N28</f>
        <v>72</v>
      </c>
      <c r="M28" s="47">
        <f>攻击!O28</f>
        <v>90</v>
      </c>
      <c r="N28" s="47">
        <f>攻击!P28</f>
        <v>120</v>
      </c>
      <c r="O28" s="47">
        <f>攻击!Q28</f>
        <v>150</v>
      </c>
      <c r="P28" s="47">
        <f>攻击!R28</f>
        <v>180</v>
      </c>
      <c r="Q28" s="47">
        <f>攻击!S28</f>
        <v>210</v>
      </c>
      <c r="R28" s="47">
        <f>攻击!T28</f>
        <v>0</v>
      </c>
      <c r="S28" s="47">
        <f>攻击!U28</f>
        <v>18</v>
      </c>
      <c r="T28" s="47">
        <f>攻击!V28</f>
        <v>0</v>
      </c>
      <c r="U28" s="47">
        <f>攻击!W28</f>
        <v>3</v>
      </c>
      <c r="V28" s="54">
        <f>攻击!X28</f>
        <v>0</v>
      </c>
      <c r="W28" s="54">
        <f>攻击!Y28</f>
        <v>0</v>
      </c>
      <c r="X28" s="54">
        <f>攻击!Z28</f>
        <v>0</v>
      </c>
      <c r="Y28" s="54">
        <f>攻击!AA28</f>
        <v>0</v>
      </c>
      <c r="Z28" s="54">
        <f>攻击!AB28</f>
        <v>0</v>
      </c>
      <c r="AA28" s="47">
        <f>攻击!AL28</f>
        <v>0</v>
      </c>
      <c r="AB28" s="54">
        <f>攻击!AM28</f>
        <v>0</v>
      </c>
      <c r="AC28" s="54">
        <f>攻击!AN28</f>
        <v>0</v>
      </c>
      <c r="AD28" s="54">
        <f>攻击!AO28</f>
        <v>0</v>
      </c>
      <c r="AE28" s="54">
        <f>攻击!AP28</f>
        <v>0</v>
      </c>
      <c r="AF28" s="54">
        <f>攻击!AQ28</f>
        <v>0</v>
      </c>
      <c r="AG28" s="47">
        <f>攻击!AR28</f>
        <v>12</v>
      </c>
      <c r="AH28" s="20">
        <f t="shared" si="0"/>
        <v>162</v>
      </c>
    </row>
    <row r="29" spans="1:34" s="20" customFormat="1">
      <c r="A29" s="46">
        <v>27</v>
      </c>
      <c r="B29" s="47">
        <f>攻击!D29</f>
        <v>62</v>
      </c>
      <c r="C29" s="47">
        <f>攻击!E29</f>
        <v>74.399999999999991</v>
      </c>
      <c r="D29" s="47">
        <f>攻击!F29</f>
        <v>93</v>
      </c>
      <c r="E29" s="47">
        <f>攻击!G29</f>
        <v>124</v>
      </c>
      <c r="F29" s="47">
        <f>攻击!H29</f>
        <v>155</v>
      </c>
      <c r="G29" s="47">
        <f>攻击!I29</f>
        <v>29</v>
      </c>
      <c r="H29" s="47">
        <f>攻击!J29</f>
        <v>18.599999999999998</v>
      </c>
      <c r="I29" s="47">
        <f>攻击!K29</f>
        <v>37.199999999999996</v>
      </c>
      <c r="J29" s="47">
        <f>攻击!L29</f>
        <v>0</v>
      </c>
      <c r="K29" s="47">
        <f>攻击!M29</f>
        <v>0</v>
      </c>
      <c r="L29" s="47">
        <f>攻击!N29</f>
        <v>74.399999999999991</v>
      </c>
      <c r="M29" s="47">
        <f>攻击!O29</f>
        <v>93</v>
      </c>
      <c r="N29" s="47">
        <f>攻击!P29</f>
        <v>124</v>
      </c>
      <c r="O29" s="47">
        <f>攻击!Q29</f>
        <v>155</v>
      </c>
      <c r="P29" s="47">
        <f>攻击!R29</f>
        <v>186</v>
      </c>
      <c r="Q29" s="47">
        <f>攻击!S29</f>
        <v>217</v>
      </c>
      <c r="R29" s="47">
        <f>攻击!T29</f>
        <v>0</v>
      </c>
      <c r="S29" s="47">
        <f>攻击!U29</f>
        <v>18.599999999999998</v>
      </c>
      <c r="T29" s="47">
        <f>攻击!V29</f>
        <v>0</v>
      </c>
      <c r="U29" s="47">
        <f>攻击!W29</f>
        <v>3.1</v>
      </c>
      <c r="V29" s="54">
        <f>攻击!X29</f>
        <v>0</v>
      </c>
      <c r="W29" s="54">
        <f>攻击!Y29</f>
        <v>0</v>
      </c>
      <c r="X29" s="54">
        <f>攻击!Z29</f>
        <v>0</v>
      </c>
      <c r="Y29" s="54">
        <f>攻击!AA29</f>
        <v>0</v>
      </c>
      <c r="Z29" s="54">
        <f>攻击!AB29</f>
        <v>0</v>
      </c>
      <c r="AA29" s="47">
        <f>攻击!AL29</f>
        <v>0</v>
      </c>
      <c r="AB29" s="54">
        <f>攻击!AM29</f>
        <v>0</v>
      </c>
      <c r="AC29" s="54">
        <f>攻击!AN29</f>
        <v>0</v>
      </c>
      <c r="AD29" s="54">
        <f>攻击!AO29</f>
        <v>0</v>
      </c>
      <c r="AE29" s="54">
        <f>攻击!AP29</f>
        <v>0</v>
      </c>
      <c r="AF29" s="54">
        <f>攻击!AQ29</f>
        <v>0</v>
      </c>
      <c r="AG29" s="47">
        <f>攻击!AR29</f>
        <v>12.4</v>
      </c>
      <c r="AH29" s="20">
        <f t="shared" si="0"/>
        <v>167.4</v>
      </c>
    </row>
    <row r="30" spans="1:34" s="20" customFormat="1">
      <c r="A30" s="46">
        <v>28</v>
      </c>
      <c r="B30" s="47">
        <f>攻击!D30</f>
        <v>64</v>
      </c>
      <c r="C30" s="47">
        <f>攻击!E30</f>
        <v>76.8</v>
      </c>
      <c r="D30" s="47">
        <f>攻击!F30</f>
        <v>96</v>
      </c>
      <c r="E30" s="47">
        <f>攻击!G30</f>
        <v>128</v>
      </c>
      <c r="F30" s="47">
        <f>攻击!H30</f>
        <v>160</v>
      </c>
      <c r="G30" s="47">
        <f>攻击!I30</f>
        <v>29</v>
      </c>
      <c r="H30" s="47">
        <f>攻击!J30</f>
        <v>19.2</v>
      </c>
      <c r="I30" s="47">
        <f>攻击!K30</f>
        <v>38.4</v>
      </c>
      <c r="J30" s="47">
        <f>攻击!L30</f>
        <v>0</v>
      </c>
      <c r="K30" s="47">
        <f>攻击!M30</f>
        <v>0</v>
      </c>
      <c r="L30" s="47">
        <f>攻击!N30</f>
        <v>76.8</v>
      </c>
      <c r="M30" s="47">
        <f>攻击!O30</f>
        <v>96</v>
      </c>
      <c r="N30" s="47">
        <f>攻击!P30</f>
        <v>128</v>
      </c>
      <c r="O30" s="47">
        <f>攻击!Q30</f>
        <v>160</v>
      </c>
      <c r="P30" s="47">
        <f>攻击!R30</f>
        <v>192</v>
      </c>
      <c r="Q30" s="47">
        <f>攻击!S30</f>
        <v>224</v>
      </c>
      <c r="R30" s="47">
        <f>攻击!T30</f>
        <v>0</v>
      </c>
      <c r="S30" s="47">
        <f>攻击!U30</f>
        <v>19.2</v>
      </c>
      <c r="T30" s="47">
        <f>攻击!V30</f>
        <v>0</v>
      </c>
      <c r="U30" s="47">
        <f>攻击!W30</f>
        <v>3.2</v>
      </c>
      <c r="V30" s="54">
        <f>攻击!X30</f>
        <v>0</v>
      </c>
      <c r="W30" s="54">
        <f>攻击!Y30</f>
        <v>0</v>
      </c>
      <c r="X30" s="54">
        <f>攻击!Z30</f>
        <v>0</v>
      </c>
      <c r="Y30" s="54">
        <f>攻击!AA30</f>
        <v>0</v>
      </c>
      <c r="Z30" s="54">
        <f>攻击!AB30</f>
        <v>0</v>
      </c>
      <c r="AA30" s="47">
        <f>攻击!AL30</f>
        <v>0</v>
      </c>
      <c r="AB30" s="54">
        <f>攻击!AM30</f>
        <v>0</v>
      </c>
      <c r="AC30" s="54">
        <f>攻击!AN30</f>
        <v>0</v>
      </c>
      <c r="AD30" s="54">
        <f>攻击!AO30</f>
        <v>0</v>
      </c>
      <c r="AE30" s="54">
        <f>攻击!AP30</f>
        <v>0</v>
      </c>
      <c r="AF30" s="54">
        <f>攻击!AQ30</f>
        <v>0</v>
      </c>
      <c r="AG30" s="47">
        <f>攻击!AR30</f>
        <v>12.8</v>
      </c>
      <c r="AH30" s="20">
        <f t="shared" si="0"/>
        <v>172.8</v>
      </c>
    </row>
    <row r="31" spans="1:34" s="20" customFormat="1">
      <c r="A31" s="46">
        <v>29</v>
      </c>
      <c r="B31" s="47">
        <f>攻击!D31</f>
        <v>66</v>
      </c>
      <c r="C31" s="47">
        <f>攻击!E31</f>
        <v>79.2</v>
      </c>
      <c r="D31" s="47">
        <f>攻击!F31</f>
        <v>99</v>
      </c>
      <c r="E31" s="47">
        <f>攻击!G31</f>
        <v>132</v>
      </c>
      <c r="F31" s="47">
        <f>攻击!H31</f>
        <v>165</v>
      </c>
      <c r="G31" s="47">
        <f>攻击!I31</f>
        <v>29</v>
      </c>
      <c r="H31" s="47">
        <f>攻击!J31</f>
        <v>19.8</v>
      </c>
      <c r="I31" s="47">
        <f>攻击!K31</f>
        <v>39.6</v>
      </c>
      <c r="J31" s="47">
        <f>攻击!L31</f>
        <v>0</v>
      </c>
      <c r="K31" s="47">
        <f>攻击!M31</f>
        <v>0</v>
      </c>
      <c r="L31" s="47">
        <f>攻击!N31</f>
        <v>79.2</v>
      </c>
      <c r="M31" s="47">
        <f>攻击!O31</f>
        <v>99</v>
      </c>
      <c r="N31" s="47">
        <f>攻击!P31</f>
        <v>132</v>
      </c>
      <c r="O31" s="47">
        <f>攻击!Q31</f>
        <v>165</v>
      </c>
      <c r="P31" s="47">
        <f>攻击!R31</f>
        <v>198</v>
      </c>
      <c r="Q31" s="47">
        <f>攻击!S31</f>
        <v>231</v>
      </c>
      <c r="R31" s="47">
        <f>攻击!T31</f>
        <v>0</v>
      </c>
      <c r="S31" s="47">
        <f>攻击!U31</f>
        <v>19.8</v>
      </c>
      <c r="T31" s="47">
        <f>攻击!V31</f>
        <v>0</v>
      </c>
      <c r="U31" s="47">
        <f>攻击!W31</f>
        <v>3.3000000000000003</v>
      </c>
      <c r="V31" s="54">
        <f>攻击!X31</f>
        <v>0</v>
      </c>
      <c r="W31" s="54">
        <f>攻击!Y31</f>
        <v>0</v>
      </c>
      <c r="X31" s="54">
        <f>攻击!Z31</f>
        <v>0</v>
      </c>
      <c r="Y31" s="54">
        <f>攻击!AA31</f>
        <v>0</v>
      </c>
      <c r="Z31" s="54">
        <f>攻击!AB31</f>
        <v>0</v>
      </c>
      <c r="AA31" s="47">
        <f>攻击!AL31</f>
        <v>0</v>
      </c>
      <c r="AB31" s="54">
        <f>攻击!AM31</f>
        <v>0</v>
      </c>
      <c r="AC31" s="54">
        <f>攻击!AN31</f>
        <v>0</v>
      </c>
      <c r="AD31" s="54">
        <f>攻击!AO31</f>
        <v>0</v>
      </c>
      <c r="AE31" s="54">
        <f>攻击!AP31</f>
        <v>0</v>
      </c>
      <c r="AF31" s="54">
        <f>攻击!AQ31</f>
        <v>0</v>
      </c>
      <c r="AG31" s="47">
        <f>攻击!AR31</f>
        <v>13.200000000000001</v>
      </c>
      <c r="AH31" s="20">
        <f t="shared" si="0"/>
        <v>178.2</v>
      </c>
    </row>
    <row r="32" spans="1:34" s="20" customFormat="1">
      <c r="A32" s="46">
        <v>30</v>
      </c>
      <c r="B32" s="47">
        <f>攻击!D32</f>
        <v>68</v>
      </c>
      <c r="C32" s="47">
        <f>攻击!E32</f>
        <v>81.599999999999994</v>
      </c>
      <c r="D32" s="47">
        <f>攻击!F32</f>
        <v>102</v>
      </c>
      <c r="E32" s="47">
        <f>攻击!G32</f>
        <v>136</v>
      </c>
      <c r="F32" s="47">
        <f>攻击!H32</f>
        <v>170</v>
      </c>
      <c r="G32" s="47">
        <f>攻击!I32</f>
        <v>34</v>
      </c>
      <c r="H32" s="47">
        <f>攻击!J32</f>
        <v>20.399999999999999</v>
      </c>
      <c r="I32" s="47">
        <f>攻击!K32</f>
        <v>40.799999999999997</v>
      </c>
      <c r="J32" s="47">
        <f>攻击!L32</f>
        <v>0</v>
      </c>
      <c r="K32" s="47">
        <f>攻击!M32</f>
        <v>0</v>
      </c>
      <c r="L32" s="47">
        <f>攻击!N32</f>
        <v>81.599999999999994</v>
      </c>
      <c r="M32" s="47">
        <f>攻击!O32</f>
        <v>102</v>
      </c>
      <c r="N32" s="47">
        <f>攻击!P32</f>
        <v>136</v>
      </c>
      <c r="O32" s="47">
        <f>攻击!Q32</f>
        <v>170</v>
      </c>
      <c r="P32" s="47">
        <f>攻击!R32</f>
        <v>204</v>
      </c>
      <c r="Q32" s="47">
        <f>攻击!S32</f>
        <v>238</v>
      </c>
      <c r="R32" s="47">
        <f>攻击!T32</f>
        <v>51</v>
      </c>
      <c r="S32" s="47">
        <f>攻击!U32</f>
        <v>20.399999999999999</v>
      </c>
      <c r="T32" s="47">
        <f>攻击!V32</f>
        <v>20.399999999999999</v>
      </c>
      <c r="U32" s="47">
        <f>攻击!W32</f>
        <v>3.4000000000000004</v>
      </c>
      <c r="V32" s="54">
        <f>攻击!X32</f>
        <v>0</v>
      </c>
      <c r="W32" s="54">
        <f>攻击!Y32</f>
        <v>0</v>
      </c>
      <c r="X32" s="54">
        <f>攻击!Z32</f>
        <v>0</v>
      </c>
      <c r="Y32" s="54">
        <f>攻击!AA32</f>
        <v>0</v>
      </c>
      <c r="Z32" s="54">
        <f>攻击!AB32</f>
        <v>0</v>
      </c>
      <c r="AA32" s="47">
        <f>攻击!AL32</f>
        <v>0</v>
      </c>
      <c r="AB32" s="54">
        <f>攻击!AM32</f>
        <v>0</v>
      </c>
      <c r="AC32" s="54">
        <f>攻击!AN32</f>
        <v>0</v>
      </c>
      <c r="AD32" s="54">
        <f>攻击!AO32</f>
        <v>0</v>
      </c>
      <c r="AE32" s="54">
        <f>攻击!AP32</f>
        <v>0</v>
      </c>
      <c r="AF32" s="54">
        <f>攻击!AQ32</f>
        <v>0</v>
      </c>
      <c r="AG32" s="47">
        <f>攻击!AR32</f>
        <v>13.600000000000001</v>
      </c>
      <c r="AH32" s="20">
        <f t="shared" si="0"/>
        <v>183.6</v>
      </c>
    </row>
    <row r="33" spans="1:34" s="20" customFormat="1">
      <c r="A33" s="46">
        <v>31</v>
      </c>
      <c r="B33" s="47">
        <f>攻击!D33</f>
        <v>70</v>
      </c>
      <c r="C33" s="47">
        <f>攻击!E33</f>
        <v>84</v>
      </c>
      <c r="D33" s="47">
        <f>攻击!F33</f>
        <v>105</v>
      </c>
      <c r="E33" s="47">
        <f>攻击!G33</f>
        <v>140</v>
      </c>
      <c r="F33" s="47">
        <f>攻击!H33</f>
        <v>175</v>
      </c>
      <c r="G33" s="47">
        <f>攻击!I33</f>
        <v>34</v>
      </c>
      <c r="H33" s="47">
        <f>攻击!J33</f>
        <v>21</v>
      </c>
      <c r="I33" s="47">
        <f>攻击!K33</f>
        <v>42</v>
      </c>
      <c r="J33" s="47">
        <f>攻击!L33</f>
        <v>0</v>
      </c>
      <c r="K33" s="47">
        <f>攻击!M33</f>
        <v>0</v>
      </c>
      <c r="L33" s="47">
        <f>攻击!N33</f>
        <v>84</v>
      </c>
      <c r="M33" s="47">
        <f>攻击!O33</f>
        <v>105</v>
      </c>
      <c r="N33" s="47">
        <f>攻击!P33</f>
        <v>140</v>
      </c>
      <c r="O33" s="47">
        <f>攻击!Q33</f>
        <v>175</v>
      </c>
      <c r="P33" s="47">
        <f>攻击!R33</f>
        <v>210</v>
      </c>
      <c r="Q33" s="47">
        <f>攻击!S33</f>
        <v>245</v>
      </c>
      <c r="R33" s="47">
        <f>攻击!T33</f>
        <v>52.5</v>
      </c>
      <c r="S33" s="47">
        <f>攻击!U33</f>
        <v>21</v>
      </c>
      <c r="T33" s="47">
        <f>攻击!V33</f>
        <v>21</v>
      </c>
      <c r="U33" s="47">
        <f>攻击!W33</f>
        <v>3.5</v>
      </c>
      <c r="V33" s="54">
        <f>攻击!X33</f>
        <v>0</v>
      </c>
      <c r="W33" s="54">
        <f>攻击!Y33</f>
        <v>0</v>
      </c>
      <c r="X33" s="54">
        <f>攻击!Z33</f>
        <v>0</v>
      </c>
      <c r="Y33" s="54">
        <f>攻击!AA33</f>
        <v>0</v>
      </c>
      <c r="Z33" s="54">
        <f>攻击!AB33</f>
        <v>0</v>
      </c>
      <c r="AA33" s="47">
        <f>攻击!AL33</f>
        <v>0</v>
      </c>
      <c r="AB33" s="54">
        <f>攻击!AM33</f>
        <v>0</v>
      </c>
      <c r="AC33" s="54">
        <f>攻击!AN33</f>
        <v>0</v>
      </c>
      <c r="AD33" s="54">
        <f>攻击!AO33</f>
        <v>0</v>
      </c>
      <c r="AE33" s="54">
        <f>攻击!AP33</f>
        <v>0</v>
      </c>
      <c r="AF33" s="54">
        <f>攻击!AQ33</f>
        <v>0</v>
      </c>
      <c r="AG33" s="47">
        <f>攻击!AR33</f>
        <v>14</v>
      </c>
      <c r="AH33" s="20">
        <f t="shared" si="0"/>
        <v>189</v>
      </c>
    </row>
    <row r="34" spans="1:34" s="20" customFormat="1">
      <c r="A34" s="46">
        <v>32</v>
      </c>
      <c r="B34" s="47">
        <f>攻击!D34</f>
        <v>72</v>
      </c>
      <c r="C34" s="47">
        <f>攻击!E34</f>
        <v>86.399999999999991</v>
      </c>
      <c r="D34" s="47">
        <f>攻击!F34</f>
        <v>108</v>
      </c>
      <c r="E34" s="47">
        <f>攻击!G34</f>
        <v>144</v>
      </c>
      <c r="F34" s="47">
        <f>攻击!H34</f>
        <v>180</v>
      </c>
      <c r="G34" s="47">
        <f>攻击!I34</f>
        <v>34</v>
      </c>
      <c r="H34" s="47">
        <f>攻击!J34</f>
        <v>21.599999999999998</v>
      </c>
      <c r="I34" s="47">
        <f>攻击!K34</f>
        <v>43.199999999999996</v>
      </c>
      <c r="J34" s="47">
        <f>攻击!L34</f>
        <v>0</v>
      </c>
      <c r="K34" s="47">
        <f>攻击!M34</f>
        <v>0</v>
      </c>
      <c r="L34" s="47">
        <f>攻击!N34</f>
        <v>86.399999999999991</v>
      </c>
      <c r="M34" s="47">
        <f>攻击!O34</f>
        <v>108</v>
      </c>
      <c r="N34" s="47">
        <f>攻击!P34</f>
        <v>144</v>
      </c>
      <c r="O34" s="47">
        <f>攻击!Q34</f>
        <v>180</v>
      </c>
      <c r="P34" s="47">
        <f>攻击!R34</f>
        <v>216</v>
      </c>
      <c r="Q34" s="47">
        <f>攻击!S34</f>
        <v>252</v>
      </c>
      <c r="R34" s="47">
        <f>攻击!T34</f>
        <v>54</v>
      </c>
      <c r="S34" s="47">
        <f>攻击!U34</f>
        <v>21.599999999999998</v>
      </c>
      <c r="T34" s="47">
        <f>攻击!V34</f>
        <v>21.599999999999998</v>
      </c>
      <c r="U34" s="47">
        <f>攻击!W34</f>
        <v>3.6</v>
      </c>
      <c r="V34" s="54">
        <f>攻击!X34</f>
        <v>0</v>
      </c>
      <c r="W34" s="54">
        <f>攻击!Y34</f>
        <v>0</v>
      </c>
      <c r="X34" s="54">
        <f>攻击!Z34</f>
        <v>0</v>
      </c>
      <c r="Y34" s="54">
        <f>攻击!AA34</f>
        <v>0</v>
      </c>
      <c r="Z34" s="54">
        <f>攻击!AB34</f>
        <v>0</v>
      </c>
      <c r="AA34" s="47">
        <f>攻击!AL34</f>
        <v>0</v>
      </c>
      <c r="AB34" s="54">
        <f>攻击!AM34</f>
        <v>0</v>
      </c>
      <c r="AC34" s="54">
        <f>攻击!AN34</f>
        <v>0</v>
      </c>
      <c r="AD34" s="54">
        <f>攻击!AO34</f>
        <v>0</v>
      </c>
      <c r="AE34" s="54">
        <f>攻击!AP34</f>
        <v>0</v>
      </c>
      <c r="AF34" s="54">
        <f>攻击!AQ34</f>
        <v>0</v>
      </c>
      <c r="AG34" s="47">
        <f>攻击!AR34</f>
        <v>14.4</v>
      </c>
      <c r="AH34" s="20">
        <f t="shared" si="0"/>
        <v>194.4</v>
      </c>
    </row>
    <row r="35" spans="1:34" s="20" customFormat="1">
      <c r="A35" s="46">
        <v>33</v>
      </c>
      <c r="B35" s="47">
        <f>攻击!D35</f>
        <v>74</v>
      </c>
      <c r="C35" s="47">
        <f>攻击!E35</f>
        <v>88.8</v>
      </c>
      <c r="D35" s="47">
        <f>攻击!F35</f>
        <v>111</v>
      </c>
      <c r="E35" s="47">
        <f>攻击!G35</f>
        <v>148</v>
      </c>
      <c r="F35" s="47">
        <f>攻击!H35</f>
        <v>185</v>
      </c>
      <c r="G35" s="47">
        <f>攻击!I35</f>
        <v>34</v>
      </c>
      <c r="H35" s="47">
        <f>攻击!J35</f>
        <v>22.2</v>
      </c>
      <c r="I35" s="47">
        <f>攻击!K35</f>
        <v>44.4</v>
      </c>
      <c r="J35" s="47">
        <f>攻击!L35</f>
        <v>0</v>
      </c>
      <c r="K35" s="47">
        <f>攻击!M35</f>
        <v>0</v>
      </c>
      <c r="L35" s="47">
        <f>攻击!N35</f>
        <v>88.8</v>
      </c>
      <c r="M35" s="47">
        <f>攻击!O35</f>
        <v>111</v>
      </c>
      <c r="N35" s="47">
        <f>攻击!P35</f>
        <v>148</v>
      </c>
      <c r="O35" s="47">
        <f>攻击!Q35</f>
        <v>185</v>
      </c>
      <c r="P35" s="47">
        <f>攻击!R35</f>
        <v>222</v>
      </c>
      <c r="Q35" s="47">
        <f>攻击!S35</f>
        <v>259</v>
      </c>
      <c r="R35" s="47">
        <f>攻击!T35</f>
        <v>55.5</v>
      </c>
      <c r="S35" s="47">
        <f>攻击!U35</f>
        <v>22.2</v>
      </c>
      <c r="T35" s="47">
        <f>攻击!V35</f>
        <v>22.2</v>
      </c>
      <c r="U35" s="47">
        <f>攻击!W35</f>
        <v>3.7</v>
      </c>
      <c r="V35" s="54">
        <f>攻击!X35</f>
        <v>0</v>
      </c>
      <c r="W35" s="54">
        <f>攻击!Y35</f>
        <v>0</v>
      </c>
      <c r="X35" s="54">
        <f>攻击!Z35</f>
        <v>0</v>
      </c>
      <c r="Y35" s="54">
        <f>攻击!AA35</f>
        <v>0</v>
      </c>
      <c r="Z35" s="54">
        <f>攻击!AB35</f>
        <v>0</v>
      </c>
      <c r="AA35" s="47">
        <f>攻击!AL35</f>
        <v>0</v>
      </c>
      <c r="AB35" s="54">
        <f>攻击!AM35</f>
        <v>0</v>
      </c>
      <c r="AC35" s="54">
        <f>攻击!AN35</f>
        <v>0</v>
      </c>
      <c r="AD35" s="54">
        <f>攻击!AO35</f>
        <v>0</v>
      </c>
      <c r="AE35" s="54">
        <f>攻击!AP35</f>
        <v>0</v>
      </c>
      <c r="AF35" s="54">
        <f>攻击!AQ35</f>
        <v>0</v>
      </c>
      <c r="AG35" s="47">
        <f>攻击!AR35</f>
        <v>14.8</v>
      </c>
      <c r="AH35" s="20">
        <f t="shared" si="0"/>
        <v>199.8</v>
      </c>
    </row>
    <row r="36" spans="1:34" s="20" customFormat="1">
      <c r="A36" s="46">
        <v>34</v>
      </c>
      <c r="B36" s="47">
        <f>攻击!D36</f>
        <v>76</v>
      </c>
      <c r="C36" s="47">
        <f>攻击!E36</f>
        <v>91.2</v>
      </c>
      <c r="D36" s="47">
        <f>攻击!F36</f>
        <v>114</v>
      </c>
      <c r="E36" s="47">
        <f>攻击!G36</f>
        <v>152</v>
      </c>
      <c r="F36" s="47">
        <f>攻击!H36</f>
        <v>190</v>
      </c>
      <c r="G36" s="47">
        <f>攻击!I36</f>
        <v>34</v>
      </c>
      <c r="H36" s="47">
        <f>攻击!J36</f>
        <v>22.8</v>
      </c>
      <c r="I36" s="47">
        <f>攻击!K36</f>
        <v>45.6</v>
      </c>
      <c r="J36" s="47">
        <f>攻击!L36</f>
        <v>0</v>
      </c>
      <c r="K36" s="47">
        <f>攻击!M36</f>
        <v>0</v>
      </c>
      <c r="L36" s="47">
        <f>攻击!N36</f>
        <v>91.2</v>
      </c>
      <c r="M36" s="47">
        <f>攻击!O36</f>
        <v>114</v>
      </c>
      <c r="N36" s="47">
        <f>攻击!P36</f>
        <v>152</v>
      </c>
      <c r="O36" s="47">
        <f>攻击!Q36</f>
        <v>190</v>
      </c>
      <c r="P36" s="47">
        <f>攻击!R36</f>
        <v>228</v>
      </c>
      <c r="Q36" s="47">
        <f>攻击!S36</f>
        <v>266</v>
      </c>
      <c r="R36" s="47">
        <f>攻击!T36</f>
        <v>57</v>
      </c>
      <c r="S36" s="47">
        <f>攻击!U36</f>
        <v>22.8</v>
      </c>
      <c r="T36" s="47">
        <f>攻击!V36</f>
        <v>22.8</v>
      </c>
      <c r="U36" s="47">
        <f>攻击!W36</f>
        <v>3.8000000000000003</v>
      </c>
      <c r="V36" s="54">
        <f>攻击!X36</f>
        <v>0</v>
      </c>
      <c r="W36" s="54">
        <f>攻击!Y36</f>
        <v>0</v>
      </c>
      <c r="X36" s="54">
        <f>攻击!Z36</f>
        <v>0</v>
      </c>
      <c r="Y36" s="54">
        <f>攻击!AA36</f>
        <v>0</v>
      </c>
      <c r="Z36" s="54">
        <f>攻击!AB36</f>
        <v>0</v>
      </c>
      <c r="AA36" s="47">
        <f>攻击!AL36</f>
        <v>0</v>
      </c>
      <c r="AB36" s="54">
        <f>攻击!AM36</f>
        <v>0</v>
      </c>
      <c r="AC36" s="54">
        <f>攻击!AN36</f>
        <v>0</v>
      </c>
      <c r="AD36" s="54">
        <f>攻击!AO36</f>
        <v>0</v>
      </c>
      <c r="AE36" s="54">
        <f>攻击!AP36</f>
        <v>0</v>
      </c>
      <c r="AF36" s="54">
        <f>攻击!AQ36</f>
        <v>0</v>
      </c>
      <c r="AG36" s="47">
        <f>攻击!AR36</f>
        <v>15.200000000000001</v>
      </c>
      <c r="AH36" s="20">
        <f t="shared" si="0"/>
        <v>205.2</v>
      </c>
    </row>
    <row r="37" spans="1:34" s="20" customFormat="1">
      <c r="A37" s="46">
        <v>35</v>
      </c>
      <c r="B37" s="47">
        <f>攻击!D37</f>
        <v>78</v>
      </c>
      <c r="C37" s="47">
        <f>攻击!E37</f>
        <v>93.6</v>
      </c>
      <c r="D37" s="47">
        <f>攻击!F37</f>
        <v>117</v>
      </c>
      <c r="E37" s="47">
        <f>攻击!G37</f>
        <v>156</v>
      </c>
      <c r="F37" s="47">
        <f>攻击!H37</f>
        <v>195</v>
      </c>
      <c r="G37" s="47">
        <f>攻击!I37</f>
        <v>39</v>
      </c>
      <c r="H37" s="47">
        <f>攻击!J37</f>
        <v>23.4</v>
      </c>
      <c r="I37" s="47">
        <f>攻击!K37</f>
        <v>46.8</v>
      </c>
      <c r="J37" s="47">
        <f>攻击!L37</f>
        <v>0</v>
      </c>
      <c r="K37" s="47">
        <f>攻击!M37</f>
        <v>0</v>
      </c>
      <c r="L37" s="47">
        <f>攻击!N37</f>
        <v>93.6</v>
      </c>
      <c r="M37" s="47">
        <f>攻击!O37</f>
        <v>117</v>
      </c>
      <c r="N37" s="47">
        <f>攻击!P37</f>
        <v>156</v>
      </c>
      <c r="O37" s="47">
        <f>攻击!Q37</f>
        <v>195</v>
      </c>
      <c r="P37" s="47">
        <f>攻击!R37</f>
        <v>234</v>
      </c>
      <c r="Q37" s="47">
        <f>攻击!S37</f>
        <v>273</v>
      </c>
      <c r="R37" s="47">
        <f>攻击!T37</f>
        <v>58.5</v>
      </c>
      <c r="S37" s="47">
        <f>攻击!U37</f>
        <v>23.4</v>
      </c>
      <c r="T37" s="47">
        <f>攻击!V37</f>
        <v>23.4</v>
      </c>
      <c r="U37" s="47">
        <f>攻击!W37</f>
        <v>3.9000000000000004</v>
      </c>
      <c r="V37" s="54">
        <f>攻击!X37</f>
        <v>0</v>
      </c>
      <c r="W37" s="54">
        <f>攻击!Y37</f>
        <v>0</v>
      </c>
      <c r="X37" s="54">
        <f>攻击!Z37</f>
        <v>0</v>
      </c>
      <c r="Y37" s="54">
        <f>攻击!AA37</f>
        <v>0</v>
      </c>
      <c r="Z37" s="54">
        <f>攻击!AB37</f>
        <v>0</v>
      </c>
      <c r="AA37" s="47">
        <f>攻击!AL37</f>
        <v>0</v>
      </c>
      <c r="AB37" s="54">
        <f>攻击!AM37</f>
        <v>0</v>
      </c>
      <c r="AC37" s="54">
        <f>攻击!AN37</f>
        <v>0</v>
      </c>
      <c r="AD37" s="54">
        <f>攻击!AO37</f>
        <v>0</v>
      </c>
      <c r="AE37" s="54">
        <f>攻击!AP37</f>
        <v>0</v>
      </c>
      <c r="AF37" s="54">
        <f>攻击!AQ37</f>
        <v>0</v>
      </c>
      <c r="AG37" s="47">
        <f>攻击!AR37</f>
        <v>15.600000000000001</v>
      </c>
      <c r="AH37" s="20">
        <f t="shared" si="0"/>
        <v>210.6</v>
      </c>
    </row>
    <row r="38" spans="1:34" s="20" customFormat="1">
      <c r="A38" s="46">
        <v>36</v>
      </c>
      <c r="B38" s="47">
        <f>攻击!D38</f>
        <v>80</v>
      </c>
      <c r="C38" s="47">
        <f>攻击!E38</f>
        <v>96</v>
      </c>
      <c r="D38" s="47">
        <f>攻击!F38</f>
        <v>120</v>
      </c>
      <c r="E38" s="47">
        <f>攻击!G38</f>
        <v>160</v>
      </c>
      <c r="F38" s="47">
        <f>攻击!H38</f>
        <v>200</v>
      </c>
      <c r="G38" s="47">
        <f>攻击!I38</f>
        <v>39</v>
      </c>
      <c r="H38" s="47">
        <f>攻击!J38</f>
        <v>24</v>
      </c>
      <c r="I38" s="47">
        <f>攻击!K38</f>
        <v>48</v>
      </c>
      <c r="J38" s="47">
        <f>攻击!L38</f>
        <v>0</v>
      </c>
      <c r="K38" s="47">
        <f>攻击!M38</f>
        <v>0</v>
      </c>
      <c r="L38" s="47">
        <f>攻击!N38</f>
        <v>96</v>
      </c>
      <c r="M38" s="47">
        <f>攻击!O38</f>
        <v>120</v>
      </c>
      <c r="N38" s="47">
        <f>攻击!P38</f>
        <v>160</v>
      </c>
      <c r="O38" s="47">
        <f>攻击!Q38</f>
        <v>200</v>
      </c>
      <c r="P38" s="47">
        <f>攻击!R38</f>
        <v>240</v>
      </c>
      <c r="Q38" s="47">
        <f>攻击!S38</f>
        <v>280</v>
      </c>
      <c r="R38" s="47">
        <f>攻击!T38</f>
        <v>60</v>
      </c>
      <c r="S38" s="47">
        <f>攻击!U38</f>
        <v>24</v>
      </c>
      <c r="T38" s="47">
        <f>攻击!V38</f>
        <v>24</v>
      </c>
      <c r="U38" s="47">
        <f>攻击!W38</f>
        <v>4</v>
      </c>
      <c r="V38" s="54">
        <f>攻击!X38</f>
        <v>0</v>
      </c>
      <c r="W38" s="54">
        <f>攻击!Y38</f>
        <v>0</v>
      </c>
      <c r="X38" s="54">
        <f>攻击!Z38</f>
        <v>0</v>
      </c>
      <c r="Y38" s="54">
        <f>攻击!AA38</f>
        <v>0</v>
      </c>
      <c r="Z38" s="54">
        <f>攻击!AB38</f>
        <v>0</v>
      </c>
      <c r="AA38" s="47">
        <f>攻击!AL38</f>
        <v>0</v>
      </c>
      <c r="AB38" s="54">
        <f>攻击!AM38</f>
        <v>0</v>
      </c>
      <c r="AC38" s="54">
        <f>攻击!AN38</f>
        <v>0</v>
      </c>
      <c r="AD38" s="54">
        <f>攻击!AO38</f>
        <v>0</v>
      </c>
      <c r="AE38" s="54">
        <f>攻击!AP38</f>
        <v>0</v>
      </c>
      <c r="AF38" s="54">
        <f>攻击!AQ38</f>
        <v>0</v>
      </c>
      <c r="AG38" s="47">
        <f>攻击!AR38</f>
        <v>16</v>
      </c>
      <c r="AH38" s="20">
        <f t="shared" si="0"/>
        <v>216</v>
      </c>
    </row>
    <row r="39" spans="1:34" s="20" customFormat="1">
      <c r="A39" s="46">
        <v>37</v>
      </c>
      <c r="B39" s="47">
        <f>攻击!D39</f>
        <v>82</v>
      </c>
      <c r="C39" s="47">
        <f>攻击!E39</f>
        <v>98.399999999999991</v>
      </c>
      <c r="D39" s="47">
        <f>攻击!F39</f>
        <v>123</v>
      </c>
      <c r="E39" s="47">
        <f>攻击!G39</f>
        <v>164</v>
      </c>
      <c r="F39" s="47">
        <f>攻击!H39</f>
        <v>205</v>
      </c>
      <c r="G39" s="47">
        <f>攻击!I39</f>
        <v>39</v>
      </c>
      <c r="H39" s="47">
        <f>攻击!J39</f>
        <v>24.599999999999998</v>
      </c>
      <c r="I39" s="47">
        <f>攻击!K39</f>
        <v>49.199999999999996</v>
      </c>
      <c r="J39" s="47">
        <f>攻击!L39</f>
        <v>0</v>
      </c>
      <c r="K39" s="47">
        <f>攻击!M39</f>
        <v>0</v>
      </c>
      <c r="L39" s="47">
        <f>攻击!N39</f>
        <v>98.399999999999991</v>
      </c>
      <c r="M39" s="47">
        <f>攻击!O39</f>
        <v>123</v>
      </c>
      <c r="N39" s="47">
        <f>攻击!P39</f>
        <v>164</v>
      </c>
      <c r="O39" s="47">
        <f>攻击!Q39</f>
        <v>205</v>
      </c>
      <c r="P39" s="47">
        <f>攻击!R39</f>
        <v>246</v>
      </c>
      <c r="Q39" s="47">
        <f>攻击!S39</f>
        <v>287</v>
      </c>
      <c r="R39" s="47">
        <f>攻击!T39</f>
        <v>61.5</v>
      </c>
      <c r="S39" s="47">
        <f>攻击!U39</f>
        <v>24.599999999999998</v>
      </c>
      <c r="T39" s="47">
        <f>攻击!V39</f>
        <v>24.599999999999998</v>
      </c>
      <c r="U39" s="47">
        <f>攻击!W39</f>
        <v>4.1000000000000005</v>
      </c>
      <c r="V39" s="54">
        <f>攻击!X39</f>
        <v>0</v>
      </c>
      <c r="W39" s="54">
        <f>攻击!Y39</f>
        <v>0</v>
      </c>
      <c r="X39" s="54">
        <f>攻击!Z39</f>
        <v>0</v>
      </c>
      <c r="Y39" s="54">
        <f>攻击!AA39</f>
        <v>0</v>
      </c>
      <c r="Z39" s="54">
        <f>攻击!AB39</f>
        <v>0</v>
      </c>
      <c r="AA39" s="47">
        <f>攻击!AL39</f>
        <v>0</v>
      </c>
      <c r="AB39" s="54">
        <f>攻击!AM39</f>
        <v>0</v>
      </c>
      <c r="AC39" s="54">
        <f>攻击!AN39</f>
        <v>0</v>
      </c>
      <c r="AD39" s="54">
        <f>攻击!AO39</f>
        <v>0</v>
      </c>
      <c r="AE39" s="54">
        <f>攻击!AP39</f>
        <v>0</v>
      </c>
      <c r="AF39" s="54">
        <f>攻击!AQ39</f>
        <v>0</v>
      </c>
      <c r="AG39" s="47">
        <f>攻击!AR39</f>
        <v>16.400000000000002</v>
      </c>
      <c r="AH39" s="20">
        <f t="shared" si="0"/>
        <v>221.4</v>
      </c>
    </row>
    <row r="40" spans="1:34" s="20" customFormat="1">
      <c r="A40" s="46">
        <v>38</v>
      </c>
      <c r="B40" s="47">
        <f>攻击!D40</f>
        <v>84</v>
      </c>
      <c r="C40" s="47">
        <f>攻击!E40</f>
        <v>100.8</v>
      </c>
      <c r="D40" s="47">
        <f>攻击!F40</f>
        <v>126</v>
      </c>
      <c r="E40" s="47">
        <f>攻击!G40</f>
        <v>168</v>
      </c>
      <c r="F40" s="47">
        <f>攻击!H40</f>
        <v>210</v>
      </c>
      <c r="G40" s="47">
        <f>攻击!I40</f>
        <v>39</v>
      </c>
      <c r="H40" s="47">
        <f>攻击!J40</f>
        <v>25.2</v>
      </c>
      <c r="I40" s="47">
        <f>攻击!K40</f>
        <v>50.4</v>
      </c>
      <c r="J40" s="47">
        <f>攻击!L40</f>
        <v>0</v>
      </c>
      <c r="K40" s="47">
        <f>攻击!M40</f>
        <v>0</v>
      </c>
      <c r="L40" s="47">
        <f>攻击!N40</f>
        <v>100.8</v>
      </c>
      <c r="M40" s="47">
        <f>攻击!O40</f>
        <v>126</v>
      </c>
      <c r="N40" s="47">
        <f>攻击!P40</f>
        <v>168</v>
      </c>
      <c r="O40" s="47">
        <f>攻击!Q40</f>
        <v>210</v>
      </c>
      <c r="P40" s="47">
        <f>攻击!R40</f>
        <v>252</v>
      </c>
      <c r="Q40" s="47">
        <f>攻击!S40</f>
        <v>294</v>
      </c>
      <c r="R40" s="47">
        <f>攻击!T40</f>
        <v>63</v>
      </c>
      <c r="S40" s="47">
        <f>攻击!U40</f>
        <v>25.2</v>
      </c>
      <c r="T40" s="47">
        <f>攻击!V40</f>
        <v>25.2</v>
      </c>
      <c r="U40" s="47">
        <f>攻击!W40</f>
        <v>4.2</v>
      </c>
      <c r="V40" s="54">
        <f>攻击!X40</f>
        <v>0</v>
      </c>
      <c r="W40" s="54">
        <f>攻击!Y40</f>
        <v>0</v>
      </c>
      <c r="X40" s="54">
        <f>攻击!Z40</f>
        <v>0</v>
      </c>
      <c r="Y40" s="54">
        <f>攻击!AA40</f>
        <v>0</v>
      </c>
      <c r="Z40" s="54">
        <f>攻击!AB40</f>
        <v>0</v>
      </c>
      <c r="AA40" s="47">
        <f>攻击!AL40</f>
        <v>0</v>
      </c>
      <c r="AB40" s="54">
        <f>攻击!AM40</f>
        <v>0</v>
      </c>
      <c r="AC40" s="54">
        <f>攻击!AN40</f>
        <v>0</v>
      </c>
      <c r="AD40" s="54">
        <f>攻击!AO40</f>
        <v>0</v>
      </c>
      <c r="AE40" s="54">
        <f>攻击!AP40</f>
        <v>0</v>
      </c>
      <c r="AF40" s="54">
        <f>攻击!AQ40</f>
        <v>0</v>
      </c>
      <c r="AG40" s="47">
        <f>攻击!AR40</f>
        <v>16.8</v>
      </c>
      <c r="AH40" s="20">
        <f t="shared" si="0"/>
        <v>226.8</v>
      </c>
    </row>
    <row r="41" spans="1:34" s="20" customFormat="1">
      <c r="A41" s="46">
        <v>39</v>
      </c>
      <c r="B41" s="47">
        <f>攻击!D41</f>
        <v>86</v>
      </c>
      <c r="C41" s="47">
        <f>攻击!E41</f>
        <v>103.2</v>
      </c>
      <c r="D41" s="47">
        <f>攻击!F41</f>
        <v>129</v>
      </c>
      <c r="E41" s="47">
        <f>攻击!G41</f>
        <v>172</v>
      </c>
      <c r="F41" s="47">
        <f>攻击!H41</f>
        <v>215</v>
      </c>
      <c r="G41" s="47">
        <f>攻击!I41</f>
        <v>39</v>
      </c>
      <c r="H41" s="47">
        <f>攻击!J41</f>
        <v>25.8</v>
      </c>
      <c r="I41" s="47">
        <f>攻击!K41</f>
        <v>51.6</v>
      </c>
      <c r="J41" s="47">
        <f>攻击!L41</f>
        <v>0</v>
      </c>
      <c r="K41" s="47">
        <f>攻击!M41</f>
        <v>0</v>
      </c>
      <c r="L41" s="47">
        <f>攻击!N41</f>
        <v>103.2</v>
      </c>
      <c r="M41" s="47">
        <f>攻击!O41</f>
        <v>129</v>
      </c>
      <c r="N41" s="47">
        <f>攻击!P41</f>
        <v>172</v>
      </c>
      <c r="O41" s="47">
        <f>攻击!Q41</f>
        <v>215</v>
      </c>
      <c r="P41" s="47">
        <f>攻击!R41</f>
        <v>258</v>
      </c>
      <c r="Q41" s="47">
        <f>攻击!S41</f>
        <v>301</v>
      </c>
      <c r="R41" s="47">
        <f>攻击!T41</f>
        <v>64.5</v>
      </c>
      <c r="S41" s="47">
        <f>攻击!U41</f>
        <v>25.8</v>
      </c>
      <c r="T41" s="47">
        <f>攻击!V41</f>
        <v>25.8</v>
      </c>
      <c r="U41" s="47">
        <f>攻击!W41</f>
        <v>4.3</v>
      </c>
      <c r="V41" s="54">
        <f>攻击!X41</f>
        <v>0</v>
      </c>
      <c r="W41" s="54">
        <f>攻击!Y41</f>
        <v>0</v>
      </c>
      <c r="X41" s="54">
        <f>攻击!Z41</f>
        <v>0</v>
      </c>
      <c r="Y41" s="54">
        <f>攻击!AA41</f>
        <v>0</v>
      </c>
      <c r="Z41" s="54">
        <f>攻击!AB41</f>
        <v>0</v>
      </c>
      <c r="AA41" s="47">
        <f>攻击!AL41</f>
        <v>0</v>
      </c>
      <c r="AB41" s="54">
        <f>攻击!AM41</f>
        <v>0</v>
      </c>
      <c r="AC41" s="54">
        <f>攻击!AN41</f>
        <v>0</v>
      </c>
      <c r="AD41" s="54">
        <f>攻击!AO41</f>
        <v>0</v>
      </c>
      <c r="AE41" s="54">
        <f>攻击!AP41</f>
        <v>0</v>
      </c>
      <c r="AF41" s="54">
        <f>攻击!AQ41</f>
        <v>0</v>
      </c>
      <c r="AG41" s="47">
        <f>攻击!AR41</f>
        <v>17.2</v>
      </c>
      <c r="AH41" s="20">
        <f t="shared" si="0"/>
        <v>232.2</v>
      </c>
    </row>
    <row r="42" spans="1:34" s="20" customFormat="1">
      <c r="A42" s="46">
        <v>40</v>
      </c>
      <c r="B42" s="47">
        <f>攻击!D42</f>
        <v>88</v>
      </c>
      <c r="C42" s="47">
        <f>攻击!E42</f>
        <v>105.6</v>
      </c>
      <c r="D42" s="47">
        <f>攻击!F42</f>
        <v>132</v>
      </c>
      <c r="E42" s="47">
        <f>攻击!G42</f>
        <v>176</v>
      </c>
      <c r="F42" s="47">
        <f>攻击!H42</f>
        <v>220</v>
      </c>
      <c r="G42" s="47">
        <f>攻击!I42</f>
        <v>44</v>
      </c>
      <c r="H42" s="47">
        <f>攻击!J42</f>
        <v>26.4</v>
      </c>
      <c r="I42" s="47">
        <f>攻击!K42</f>
        <v>52.8</v>
      </c>
      <c r="J42" s="47">
        <f>攻击!L42</f>
        <v>0</v>
      </c>
      <c r="K42" s="47">
        <f>攻击!M42</f>
        <v>0</v>
      </c>
      <c r="L42" s="47">
        <f>攻击!N42</f>
        <v>105.6</v>
      </c>
      <c r="M42" s="47">
        <f>攻击!O42</f>
        <v>132</v>
      </c>
      <c r="N42" s="47">
        <f>攻击!P42</f>
        <v>176</v>
      </c>
      <c r="O42" s="47">
        <f>攻击!Q42</f>
        <v>220</v>
      </c>
      <c r="P42" s="47">
        <f>攻击!R42</f>
        <v>264</v>
      </c>
      <c r="Q42" s="47">
        <f>攻击!S42</f>
        <v>308</v>
      </c>
      <c r="R42" s="47">
        <f>攻击!T42</f>
        <v>66</v>
      </c>
      <c r="S42" s="47">
        <f>攻击!U42</f>
        <v>26.4</v>
      </c>
      <c r="T42" s="47">
        <f>攻击!V42</f>
        <v>26.4</v>
      </c>
      <c r="U42" s="47">
        <f>攻击!W42</f>
        <v>4.4000000000000004</v>
      </c>
      <c r="V42" s="54">
        <f>攻击!X42</f>
        <v>0</v>
      </c>
      <c r="W42" s="54">
        <f>攻击!Y42</f>
        <v>0</v>
      </c>
      <c r="X42" s="54">
        <f>攻击!Z42</f>
        <v>0</v>
      </c>
      <c r="Y42" s="54">
        <f>攻击!AA42</f>
        <v>0</v>
      </c>
      <c r="Z42" s="54">
        <f>攻击!AB42</f>
        <v>0</v>
      </c>
      <c r="AA42" s="47">
        <f>攻击!AL42</f>
        <v>0</v>
      </c>
      <c r="AB42" s="54">
        <f>攻击!AM42</f>
        <v>0</v>
      </c>
      <c r="AC42" s="54">
        <f>攻击!AN42</f>
        <v>0</v>
      </c>
      <c r="AD42" s="54">
        <f>攻击!AO42</f>
        <v>0</v>
      </c>
      <c r="AE42" s="54">
        <f>攻击!AP42</f>
        <v>0</v>
      </c>
      <c r="AF42" s="54">
        <f>攻击!AQ42</f>
        <v>0</v>
      </c>
      <c r="AG42" s="47">
        <f>攻击!AR42</f>
        <v>17.600000000000001</v>
      </c>
      <c r="AH42" s="20">
        <f t="shared" si="0"/>
        <v>237.6</v>
      </c>
    </row>
    <row r="43" spans="1:34" s="20" customFormat="1">
      <c r="A43" s="46">
        <v>41</v>
      </c>
      <c r="B43" s="47">
        <f>攻击!D43</f>
        <v>90</v>
      </c>
      <c r="C43" s="47">
        <f>攻击!E43</f>
        <v>108</v>
      </c>
      <c r="D43" s="47">
        <f>攻击!F43</f>
        <v>135</v>
      </c>
      <c r="E43" s="47">
        <f>攻击!G43</f>
        <v>180</v>
      </c>
      <c r="F43" s="47">
        <f>攻击!H43</f>
        <v>225</v>
      </c>
      <c r="G43" s="47">
        <f>攻击!I43</f>
        <v>44</v>
      </c>
      <c r="H43" s="47">
        <f>攻击!J43</f>
        <v>27</v>
      </c>
      <c r="I43" s="47">
        <f>攻击!K43</f>
        <v>54</v>
      </c>
      <c r="J43" s="47">
        <f>攻击!L43</f>
        <v>0</v>
      </c>
      <c r="K43" s="47">
        <f>攻击!M43</f>
        <v>0</v>
      </c>
      <c r="L43" s="47">
        <f>攻击!N43</f>
        <v>108</v>
      </c>
      <c r="M43" s="47">
        <f>攻击!O43</f>
        <v>135</v>
      </c>
      <c r="N43" s="47">
        <f>攻击!P43</f>
        <v>180</v>
      </c>
      <c r="O43" s="47">
        <f>攻击!Q43</f>
        <v>225</v>
      </c>
      <c r="P43" s="47">
        <f>攻击!R43</f>
        <v>270</v>
      </c>
      <c r="Q43" s="47">
        <f>攻击!S43</f>
        <v>315</v>
      </c>
      <c r="R43" s="47">
        <f>攻击!T43</f>
        <v>67.5</v>
      </c>
      <c r="S43" s="47">
        <f>攻击!U43</f>
        <v>27</v>
      </c>
      <c r="T43" s="47">
        <f>攻击!V43</f>
        <v>27</v>
      </c>
      <c r="U43" s="47">
        <f>攻击!W43</f>
        <v>4.5</v>
      </c>
      <c r="V43" s="54">
        <f>攻击!X43</f>
        <v>0</v>
      </c>
      <c r="W43" s="54">
        <f>攻击!Y43</f>
        <v>0</v>
      </c>
      <c r="X43" s="54">
        <f>攻击!Z43</f>
        <v>0</v>
      </c>
      <c r="Y43" s="54">
        <f>攻击!AA43</f>
        <v>0</v>
      </c>
      <c r="Z43" s="54">
        <f>攻击!AB43</f>
        <v>0</v>
      </c>
      <c r="AA43" s="47">
        <f>攻击!AL43</f>
        <v>0</v>
      </c>
      <c r="AB43" s="54">
        <f>攻击!AM43</f>
        <v>0</v>
      </c>
      <c r="AC43" s="54">
        <f>攻击!AN43</f>
        <v>0</v>
      </c>
      <c r="AD43" s="54">
        <f>攻击!AO43</f>
        <v>0</v>
      </c>
      <c r="AE43" s="54">
        <f>攻击!AP43</f>
        <v>0</v>
      </c>
      <c r="AF43" s="54">
        <f>攻击!AQ43</f>
        <v>0</v>
      </c>
      <c r="AG43" s="47">
        <f>攻击!AR43</f>
        <v>18</v>
      </c>
      <c r="AH43" s="20">
        <f t="shared" si="0"/>
        <v>243</v>
      </c>
    </row>
    <row r="44" spans="1:34" s="20" customFormat="1">
      <c r="A44" s="46">
        <v>42</v>
      </c>
      <c r="B44" s="47">
        <f>攻击!D44</f>
        <v>92</v>
      </c>
      <c r="C44" s="47">
        <f>攻击!E44</f>
        <v>110.39999999999999</v>
      </c>
      <c r="D44" s="47">
        <f>攻击!F44</f>
        <v>138</v>
      </c>
      <c r="E44" s="47">
        <f>攻击!G44</f>
        <v>184</v>
      </c>
      <c r="F44" s="47">
        <f>攻击!H44</f>
        <v>230</v>
      </c>
      <c r="G44" s="47">
        <f>攻击!I44</f>
        <v>44</v>
      </c>
      <c r="H44" s="47">
        <f>攻击!J44</f>
        <v>27.599999999999998</v>
      </c>
      <c r="I44" s="47">
        <f>攻击!K44</f>
        <v>55.199999999999996</v>
      </c>
      <c r="J44" s="47">
        <f>攻击!L44</f>
        <v>0</v>
      </c>
      <c r="K44" s="47">
        <f>攻击!M44</f>
        <v>0</v>
      </c>
      <c r="L44" s="47">
        <f>攻击!N44</f>
        <v>110.39999999999999</v>
      </c>
      <c r="M44" s="47">
        <f>攻击!O44</f>
        <v>138</v>
      </c>
      <c r="N44" s="47">
        <f>攻击!P44</f>
        <v>184</v>
      </c>
      <c r="O44" s="47">
        <f>攻击!Q44</f>
        <v>230</v>
      </c>
      <c r="P44" s="47">
        <f>攻击!R44</f>
        <v>276</v>
      </c>
      <c r="Q44" s="47">
        <f>攻击!S44</f>
        <v>322</v>
      </c>
      <c r="R44" s="47">
        <f>攻击!T44</f>
        <v>69</v>
      </c>
      <c r="S44" s="47">
        <f>攻击!U44</f>
        <v>27.599999999999998</v>
      </c>
      <c r="T44" s="47">
        <f>攻击!V44</f>
        <v>27.599999999999998</v>
      </c>
      <c r="U44" s="47">
        <f>攻击!W44</f>
        <v>4.6000000000000005</v>
      </c>
      <c r="V44" s="54">
        <f>攻击!X44</f>
        <v>0</v>
      </c>
      <c r="W44" s="54">
        <f>攻击!Y44</f>
        <v>0</v>
      </c>
      <c r="X44" s="54">
        <f>攻击!Z44</f>
        <v>0</v>
      </c>
      <c r="Y44" s="54">
        <f>攻击!AA44</f>
        <v>0</v>
      </c>
      <c r="Z44" s="54">
        <f>攻击!AB44</f>
        <v>0</v>
      </c>
      <c r="AA44" s="47">
        <f>攻击!AL44</f>
        <v>0</v>
      </c>
      <c r="AB44" s="54">
        <f>攻击!AM44</f>
        <v>0</v>
      </c>
      <c r="AC44" s="54">
        <f>攻击!AN44</f>
        <v>0</v>
      </c>
      <c r="AD44" s="54">
        <f>攻击!AO44</f>
        <v>0</v>
      </c>
      <c r="AE44" s="54">
        <f>攻击!AP44</f>
        <v>0</v>
      </c>
      <c r="AF44" s="54">
        <f>攻击!AQ44</f>
        <v>0</v>
      </c>
      <c r="AG44" s="47">
        <f>攻击!AR44</f>
        <v>18.400000000000002</v>
      </c>
      <c r="AH44" s="20">
        <f t="shared" si="0"/>
        <v>248.4</v>
      </c>
    </row>
    <row r="45" spans="1:34" s="20" customFormat="1">
      <c r="A45" s="46">
        <v>43</v>
      </c>
      <c r="B45" s="47">
        <f>攻击!D45</f>
        <v>94</v>
      </c>
      <c r="C45" s="47">
        <f>攻击!E45</f>
        <v>112.8</v>
      </c>
      <c r="D45" s="47">
        <f>攻击!F45</f>
        <v>141</v>
      </c>
      <c r="E45" s="47">
        <f>攻击!G45</f>
        <v>188</v>
      </c>
      <c r="F45" s="47">
        <f>攻击!H45</f>
        <v>235</v>
      </c>
      <c r="G45" s="47">
        <f>攻击!I45</f>
        <v>44</v>
      </c>
      <c r="H45" s="47">
        <f>攻击!J45</f>
        <v>28.2</v>
      </c>
      <c r="I45" s="47">
        <f>攻击!K45</f>
        <v>56.4</v>
      </c>
      <c r="J45" s="47">
        <f>攻击!L45</f>
        <v>0</v>
      </c>
      <c r="K45" s="47">
        <f>攻击!M45</f>
        <v>0</v>
      </c>
      <c r="L45" s="47">
        <f>攻击!N45</f>
        <v>112.8</v>
      </c>
      <c r="M45" s="47">
        <f>攻击!O45</f>
        <v>141</v>
      </c>
      <c r="N45" s="47">
        <f>攻击!P45</f>
        <v>188</v>
      </c>
      <c r="O45" s="47">
        <f>攻击!Q45</f>
        <v>235</v>
      </c>
      <c r="P45" s="47">
        <f>攻击!R45</f>
        <v>282</v>
      </c>
      <c r="Q45" s="47">
        <f>攻击!S45</f>
        <v>329</v>
      </c>
      <c r="R45" s="47">
        <f>攻击!T45</f>
        <v>70.5</v>
      </c>
      <c r="S45" s="47">
        <f>攻击!U45</f>
        <v>28.2</v>
      </c>
      <c r="T45" s="47">
        <f>攻击!V45</f>
        <v>28.2</v>
      </c>
      <c r="U45" s="47">
        <f>攻击!W45</f>
        <v>4.7</v>
      </c>
      <c r="V45" s="54">
        <f>攻击!X45</f>
        <v>0</v>
      </c>
      <c r="W45" s="54">
        <f>攻击!Y45</f>
        <v>0</v>
      </c>
      <c r="X45" s="54">
        <f>攻击!Z45</f>
        <v>0</v>
      </c>
      <c r="Y45" s="54">
        <f>攻击!AA45</f>
        <v>0</v>
      </c>
      <c r="Z45" s="54">
        <f>攻击!AB45</f>
        <v>0</v>
      </c>
      <c r="AA45" s="47">
        <f>攻击!AL45</f>
        <v>0</v>
      </c>
      <c r="AB45" s="54">
        <f>攻击!AM45</f>
        <v>0</v>
      </c>
      <c r="AC45" s="54">
        <f>攻击!AN45</f>
        <v>0</v>
      </c>
      <c r="AD45" s="54">
        <f>攻击!AO45</f>
        <v>0</v>
      </c>
      <c r="AE45" s="54">
        <f>攻击!AP45</f>
        <v>0</v>
      </c>
      <c r="AF45" s="54">
        <f>攻击!AQ45</f>
        <v>0</v>
      </c>
      <c r="AG45" s="47">
        <f>攻击!AR45</f>
        <v>18.8</v>
      </c>
      <c r="AH45" s="20">
        <f t="shared" si="0"/>
        <v>253.8</v>
      </c>
    </row>
    <row r="46" spans="1:34" s="20" customFormat="1">
      <c r="A46" s="46">
        <v>44</v>
      </c>
      <c r="B46" s="47">
        <f>攻击!D46</f>
        <v>96</v>
      </c>
      <c r="C46" s="47">
        <f>攻击!E46</f>
        <v>115.19999999999999</v>
      </c>
      <c r="D46" s="47">
        <f>攻击!F46</f>
        <v>144</v>
      </c>
      <c r="E46" s="47">
        <f>攻击!G46</f>
        <v>192</v>
      </c>
      <c r="F46" s="47">
        <f>攻击!H46</f>
        <v>240</v>
      </c>
      <c r="G46" s="47">
        <f>攻击!I46</f>
        <v>44</v>
      </c>
      <c r="H46" s="47">
        <f>攻击!J46</f>
        <v>28.799999999999997</v>
      </c>
      <c r="I46" s="47">
        <f>攻击!K46</f>
        <v>57.599999999999994</v>
      </c>
      <c r="J46" s="47">
        <f>攻击!L46</f>
        <v>0</v>
      </c>
      <c r="K46" s="47">
        <f>攻击!M46</f>
        <v>0</v>
      </c>
      <c r="L46" s="47">
        <f>攻击!N46</f>
        <v>115.19999999999999</v>
      </c>
      <c r="M46" s="47">
        <f>攻击!O46</f>
        <v>144</v>
      </c>
      <c r="N46" s="47">
        <f>攻击!P46</f>
        <v>192</v>
      </c>
      <c r="O46" s="47">
        <f>攻击!Q46</f>
        <v>240</v>
      </c>
      <c r="P46" s="47">
        <f>攻击!R46</f>
        <v>288</v>
      </c>
      <c r="Q46" s="47">
        <f>攻击!S46</f>
        <v>336</v>
      </c>
      <c r="R46" s="47">
        <f>攻击!T46</f>
        <v>72</v>
      </c>
      <c r="S46" s="47">
        <f>攻击!U46</f>
        <v>28.799999999999997</v>
      </c>
      <c r="T46" s="47">
        <f>攻击!V46</f>
        <v>28.799999999999997</v>
      </c>
      <c r="U46" s="47">
        <f>攻击!W46</f>
        <v>4.8000000000000007</v>
      </c>
      <c r="V46" s="54">
        <f>攻击!X46</f>
        <v>0</v>
      </c>
      <c r="W46" s="54">
        <f>攻击!Y46</f>
        <v>0</v>
      </c>
      <c r="X46" s="54">
        <f>攻击!Z46</f>
        <v>0</v>
      </c>
      <c r="Y46" s="54">
        <f>攻击!AA46</f>
        <v>0</v>
      </c>
      <c r="Z46" s="54">
        <f>攻击!AB46</f>
        <v>0</v>
      </c>
      <c r="AA46" s="47">
        <f>攻击!AL46</f>
        <v>0</v>
      </c>
      <c r="AB46" s="54">
        <f>攻击!AM46</f>
        <v>0</v>
      </c>
      <c r="AC46" s="54">
        <f>攻击!AN46</f>
        <v>0</v>
      </c>
      <c r="AD46" s="54">
        <f>攻击!AO46</f>
        <v>0</v>
      </c>
      <c r="AE46" s="54">
        <f>攻击!AP46</f>
        <v>0</v>
      </c>
      <c r="AF46" s="54">
        <f>攻击!AQ46</f>
        <v>0</v>
      </c>
      <c r="AG46" s="47">
        <f>攻击!AR46</f>
        <v>19.200000000000003</v>
      </c>
      <c r="AH46" s="20">
        <f t="shared" si="0"/>
        <v>259.2</v>
      </c>
    </row>
    <row r="47" spans="1:34" s="20" customFormat="1">
      <c r="A47" s="46">
        <v>45</v>
      </c>
      <c r="B47" s="47">
        <f>攻击!D47</f>
        <v>98</v>
      </c>
      <c r="C47" s="47">
        <f>攻击!E47</f>
        <v>117.6</v>
      </c>
      <c r="D47" s="47">
        <f>攻击!F47</f>
        <v>147</v>
      </c>
      <c r="E47" s="47">
        <f>攻击!G47</f>
        <v>196</v>
      </c>
      <c r="F47" s="47">
        <f>攻击!H47</f>
        <v>245</v>
      </c>
      <c r="G47" s="47">
        <f>攻击!I47</f>
        <v>49</v>
      </c>
      <c r="H47" s="47">
        <f>攻击!J47</f>
        <v>29.4</v>
      </c>
      <c r="I47" s="47">
        <f>攻击!K47</f>
        <v>58.8</v>
      </c>
      <c r="J47" s="47">
        <f>攻击!L47</f>
        <v>0</v>
      </c>
      <c r="K47" s="47">
        <f>攻击!M47</f>
        <v>0</v>
      </c>
      <c r="L47" s="47">
        <f>攻击!N47</f>
        <v>117.6</v>
      </c>
      <c r="M47" s="47">
        <f>攻击!O47</f>
        <v>147</v>
      </c>
      <c r="N47" s="47">
        <f>攻击!P47</f>
        <v>196</v>
      </c>
      <c r="O47" s="47">
        <f>攻击!Q47</f>
        <v>245</v>
      </c>
      <c r="P47" s="47">
        <f>攻击!R47</f>
        <v>294</v>
      </c>
      <c r="Q47" s="47">
        <f>攻击!S47</f>
        <v>343</v>
      </c>
      <c r="R47" s="47">
        <f>攻击!T47</f>
        <v>73.5</v>
      </c>
      <c r="S47" s="47">
        <f>攻击!U47</f>
        <v>29.4</v>
      </c>
      <c r="T47" s="47">
        <f>攻击!V47</f>
        <v>29.4</v>
      </c>
      <c r="U47" s="47">
        <f>攻击!W47</f>
        <v>4.9000000000000004</v>
      </c>
      <c r="V47" s="54">
        <f>攻击!X47</f>
        <v>0</v>
      </c>
      <c r="W47" s="54">
        <f>攻击!Y47</f>
        <v>0</v>
      </c>
      <c r="X47" s="54">
        <f>攻击!Z47</f>
        <v>0</v>
      </c>
      <c r="Y47" s="54">
        <f>攻击!AA47</f>
        <v>0</v>
      </c>
      <c r="Z47" s="54">
        <f>攻击!AB47</f>
        <v>0</v>
      </c>
      <c r="AA47" s="47">
        <f>攻击!AL47</f>
        <v>0</v>
      </c>
      <c r="AB47" s="54">
        <f>攻击!AM47</f>
        <v>0</v>
      </c>
      <c r="AC47" s="54">
        <f>攻击!AN47</f>
        <v>0</v>
      </c>
      <c r="AD47" s="54">
        <f>攻击!AO47</f>
        <v>0</v>
      </c>
      <c r="AE47" s="54">
        <f>攻击!AP47</f>
        <v>0</v>
      </c>
      <c r="AF47" s="54">
        <f>攻击!AQ47</f>
        <v>0</v>
      </c>
      <c r="AG47" s="47">
        <f>攻击!AR47</f>
        <v>19.600000000000001</v>
      </c>
      <c r="AH47" s="20">
        <f t="shared" si="0"/>
        <v>264.60000000000002</v>
      </c>
    </row>
    <row r="48" spans="1:34" s="20" customFormat="1">
      <c r="A48" s="46">
        <v>46</v>
      </c>
      <c r="B48" s="47">
        <f>攻击!D48</f>
        <v>100</v>
      </c>
      <c r="C48" s="47">
        <f>攻击!E48</f>
        <v>120</v>
      </c>
      <c r="D48" s="47">
        <f>攻击!F48</f>
        <v>150</v>
      </c>
      <c r="E48" s="47">
        <f>攻击!G48</f>
        <v>200</v>
      </c>
      <c r="F48" s="47">
        <f>攻击!H48</f>
        <v>250</v>
      </c>
      <c r="G48" s="47">
        <f>攻击!I48</f>
        <v>49</v>
      </c>
      <c r="H48" s="47">
        <f>攻击!J48</f>
        <v>30</v>
      </c>
      <c r="I48" s="47">
        <f>攻击!K48</f>
        <v>60</v>
      </c>
      <c r="J48" s="47">
        <f>攻击!L48</f>
        <v>0</v>
      </c>
      <c r="K48" s="47">
        <f>攻击!M48</f>
        <v>0</v>
      </c>
      <c r="L48" s="47">
        <f>攻击!N48</f>
        <v>120</v>
      </c>
      <c r="M48" s="47">
        <f>攻击!O48</f>
        <v>150</v>
      </c>
      <c r="N48" s="47">
        <f>攻击!P48</f>
        <v>200</v>
      </c>
      <c r="O48" s="47">
        <f>攻击!Q48</f>
        <v>250</v>
      </c>
      <c r="P48" s="47">
        <f>攻击!R48</f>
        <v>300</v>
      </c>
      <c r="Q48" s="47">
        <f>攻击!S48</f>
        <v>350</v>
      </c>
      <c r="R48" s="47">
        <f>攻击!T48</f>
        <v>75</v>
      </c>
      <c r="S48" s="47">
        <f>攻击!U48</f>
        <v>30</v>
      </c>
      <c r="T48" s="47">
        <f>攻击!V48</f>
        <v>30</v>
      </c>
      <c r="U48" s="47">
        <f>攻击!W48</f>
        <v>5</v>
      </c>
      <c r="V48" s="54">
        <f>攻击!X48</f>
        <v>0</v>
      </c>
      <c r="W48" s="54">
        <f>攻击!Y48</f>
        <v>0</v>
      </c>
      <c r="X48" s="54">
        <f>攻击!Z48</f>
        <v>0</v>
      </c>
      <c r="Y48" s="54">
        <f>攻击!AA48</f>
        <v>0</v>
      </c>
      <c r="Z48" s="54">
        <f>攻击!AB48</f>
        <v>0</v>
      </c>
      <c r="AA48" s="47">
        <f>攻击!AL48</f>
        <v>0</v>
      </c>
      <c r="AB48" s="54">
        <f>攻击!AM48</f>
        <v>0</v>
      </c>
      <c r="AC48" s="54">
        <f>攻击!AN48</f>
        <v>0</v>
      </c>
      <c r="AD48" s="54">
        <f>攻击!AO48</f>
        <v>0</v>
      </c>
      <c r="AE48" s="54">
        <f>攻击!AP48</f>
        <v>0</v>
      </c>
      <c r="AF48" s="54">
        <f>攻击!AQ48</f>
        <v>0</v>
      </c>
      <c r="AG48" s="47">
        <f>攻击!AR48</f>
        <v>20</v>
      </c>
      <c r="AH48" s="20">
        <f t="shared" si="0"/>
        <v>270</v>
      </c>
    </row>
    <row r="49" spans="1:34" s="20" customFormat="1">
      <c r="A49" s="46">
        <v>47</v>
      </c>
      <c r="B49" s="47">
        <f>攻击!D49</f>
        <v>102</v>
      </c>
      <c r="C49" s="47">
        <f>攻击!E49</f>
        <v>122.39999999999999</v>
      </c>
      <c r="D49" s="47">
        <f>攻击!F49</f>
        <v>153</v>
      </c>
      <c r="E49" s="47">
        <f>攻击!G49</f>
        <v>204</v>
      </c>
      <c r="F49" s="47">
        <f>攻击!H49</f>
        <v>255</v>
      </c>
      <c r="G49" s="47">
        <f>攻击!I49</f>
        <v>49</v>
      </c>
      <c r="H49" s="47">
        <f>攻击!J49</f>
        <v>30.599999999999998</v>
      </c>
      <c r="I49" s="47">
        <f>攻击!K49</f>
        <v>61.199999999999996</v>
      </c>
      <c r="J49" s="47">
        <f>攻击!L49</f>
        <v>0</v>
      </c>
      <c r="K49" s="47">
        <f>攻击!M49</f>
        <v>0</v>
      </c>
      <c r="L49" s="47">
        <f>攻击!N49</f>
        <v>122.39999999999999</v>
      </c>
      <c r="M49" s="47">
        <f>攻击!O49</f>
        <v>153</v>
      </c>
      <c r="N49" s="47">
        <f>攻击!P49</f>
        <v>204</v>
      </c>
      <c r="O49" s="47">
        <f>攻击!Q49</f>
        <v>255</v>
      </c>
      <c r="P49" s="47">
        <f>攻击!R49</f>
        <v>306</v>
      </c>
      <c r="Q49" s="47">
        <f>攻击!S49</f>
        <v>357</v>
      </c>
      <c r="R49" s="47">
        <f>攻击!T49</f>
        <v>76.5</v>
      </c>
      <c r="S49" s="47">
        <f>攻击!U49</f>
        <v>30.599999999999998</v>
      </c>
      <c r="T49" s="47">
        <f>攻击!V49</f>
        <v>30.599999999999998</v>
      </c>
      <c r="U49" s="47">
        <f>攻击!W49</f>
        <v>5.1000000000000005</v>
      </c>
      <c r="V49" s="54">
        <f>攻击!X49</f>
        <v>0</v>
      </c>
      <c r="W49" s="54">
        <f>攻击!Y49</f>
        <v>0</v>
      </c>
      <c r="X49" s="54">
        <f>攻击!Z49</f>
        <v>0</v>
      </c>
      <c r="Y49" s="54">
        <f>攻击!AA49</f>
        <v>0</v>
      </c>
      <c r="Z49" s="54">
        <f>攻击!AB49</f>
        <v>0</v>
      </c>
      <c r="AA49" s="47">
        <f>攻击!AL49</f>
        <v>0</v>
      </c>
      <c r="AB49" s="54">
        <f>攻击!AM49</f>
        <v>0</v>
      </c>
      <c r="AC49" s="54">
        <f>攻击!AN49</f>
        <v>0</v>
      </c>
      <c r="AD49" s="54">
        <f>攻击!AO49</f>
        <v>0</v>
      </c>
      <c r="AE49" s="54">
        <f>攻击!AP49</f>
        <v>0</v>
      </c>
      <c r="AF49" s="54">
        <f>攻击!AQ49</f>
        <v>0</v>
      </c>
      <c r="AG49" s="47">
        <f>攻击!AR49</f>
        <v>20.400000000000002</v>
      </c>
      <c r="AH49" s="20">
        <f t="shared" si="0"/>
        <v>275.39999999999998</v>
      </c>
    </row>
    <row r="50" spans="1:34" s="20" customFormat="1">
      <c r="A50" s="46">
        <v>48</v>
      </c>
      <c r="B50" s="47">
        <f>攻击!D50</f>
        <v>104</v>
      </c>
      <c r="C50" s="47">
        <f>攻击!E50</f>
        <v>124.8</v>
      </c>
      <c r="D50" s="47">
        <f>攻击!F50</f>
        <v>156</v>
      </c>
      <c r="E50" s="47">
        <f>攻击!G50</f>
        <v>208</v>
      </c>
      <c r="F50" s="47">
        <f>攻击!H50</f>
        <v>260</v>
      </c>
      <c r="G50" s="47">
        <f>攻击!I50</f>
        <v>49</v>
      </c>
      <c r="H50" s="47">
        <f>攻击!J50</f>
        <v>31.2</v>
      </c>
      <c r="I50" s="47">
        <f>攻击!K50</f>
        <v>62.4</v>
      </c>
      <c r="J50" s="47">
        <f>攻击!L50</f>
        <v>0</v>
      </c>
      <c r="K50" s="47">
        <f>攻击!M50</f>
        <v>0</v>
      </c>
      <c r="L50" s="47">
        <f>攻击!N50</f>
        <v>124.8</v>
      </c>
      <c r="M50" s="47">
        <f>攻击!O50</f>
        <v>156</v>
      </c>
      <c r="N50" s="47">
        <f>攻击!P50</f>
        <v>208</v>
      </c>
      <c r="O50" s="47">
        <f>攻击!Q50</f>
        <v>260</v>
      </c>
      <c r="P50" s="47">
        <f>攻击!R50</f>
        <v>312</v>
      </c>
      <c r="Q50" s="47">
        <f>攻击!S50</f>
        <v>364</v>
      </c>
      <c r="R50" s="47">
        <f>攻击!T50</f>
        <v>78</v>
      </c>
      <c r="S50" s="47">
        <f>攻击!U50</f>
        <v>31.2</v>
      </c>
      <c r="T50" s="47">
        <f>攻击!V50</f>
        <v>31.2</v>
      </c>
      <c r="U50" s="47">
        <f>攻击!W50</f>
        <v>5.2</v>
      </c>
      <c r="V50" s="54">
        <f>攻击!X50</f>
        <v>0</v>
      </c>
      <c r="W50" s="54">
        <f>攻击!Y50</f>
        <v>0</v>
      </c>
      <c r="X50" s="54">
        <f>攻击!Z50</f>
        <v>0</v>
      </c>
      <c r="Y50" s="54">
        <f>攻击!AA50</f>
        <v>0</v>
      </c>
      <c r="Z50" s="54">
        <f>攻击!AB50</f>
        <v>0</v>
      </c>
      <c r="AA50" s="47">
        <f>攻击!AL50</f>
        <v>0</v>
      </c>
      <c r="AB50" s="54">
        <f>攻击!AM50</f>
        <v>0</v>
      </c>
      <c r="AC50" s="54">
        <f>攻击!AN50</f>
        <v>0</v>
      </c>
      <c r="AD50" s="54">
        <f>攻击!AO50</f>
        <v>0</v>
      </c>
      <c r="AE50" s="54">
        <f>攻击!AP50</f>
        <v>0</v>
      </c>
      <c r="AF50" s="54">
        <f>攻击!AQ50</f>
        <v>0</v>
      </c>
      <c r="AG50" s="47">
        <f>攻击!AR50</f>
        <v>20.8</v>
      </c>
      <c r="AH50" s="20">
        <f t="shared" si="0"/>
        <v>280.8</v>
      </c>
    </row>
    <row r="51" spans="1:34" s="20" customFormat="1">
      <c r="A51" s="46">
        <v>49</v>
      </c>
      <c r="B51" s="47">
        <f>攻击!D51</f>
        <v>106</v>
      </c>
      <c r="C51" s="47">
        <f>攻击!E51</f>
        <v>127.19999999999999</v>
      </c>
      <c r="D51" s="47">
        <f>攻击!F51</f>
        <v>159</v>
      </c>
      <c r="E51" s="47">
        <f>攻击!G51</f>
        <v>212</v>
      </c>
      <c r="F51" s="47">
        <f>攻击!H51</f>
        <v>265</v>
      </c>
      <c r="G51" s="47">
        <f>攻击!I51</f>
        <v>49</v>
      </c>
      <c r="H51" s="47">
        <f>攻击!J51</f>
        <v>31.799999999999997</v>
      </c>
      <c r="I51" s="47">
        <f>攻击!K51</f>
        <v>63.599999999999994</v>
      </c>
      <c r="J51" s="47">
        <f>攻击!L51</f>
        <v>0</v>
      </c>
      <c r="K51" s="47">
        <f>攻击!M51</f>
        <v>0</v>
      </c>
      <c r="L51" s="47">
        <f>攻击!N51</f>
        <v>127.19999999999999</v>
      </c>
      <c r="M51" s="47">
        <f>攻击!O51</f>
        <v>159</v>
      </c>
      <c r="N51" s="47">
        <f>攻击!P51</f>
        <v>212</v>
      </c>
      <c r="O51" s="47">
        <f>攻击!Q51</f>
        <v>265</v>
      </c>
      <c r="P51" s="47">
        <f>攻击!R51</f>
        <v>318</v>
      </c>
      <c r="Q51" s="47">
        <f>攻击!S51</f>
        <v>371</v>
      </c>
      <c r="R51" s="47">
        <f>攻击!T51</f>
        <v>79.5</v>
      </c>
      <c r="S51" s="47">
        <f>攻击!U51</f>
        <v>31.799999999999997</v>
      </c>
      <c r="T51" s="47">
        <f>攻击!V51</f>
        <v>31.799999999999997</v>
      </c>
      <c r="U51" s="47">
        <f>攻击!W51</f>
        <v>5.3000000000000007</v>
      </c>
      <c r="V51" s="54">
        <f>攻击!X51</f>
        <v>0</v>
      </c>
      <c r="W51" s="54">
        <f>攻击!Y51</f>
        <v>0</v>
      </c>
      <c r="X51" s="54">
        <f>攻击!Z51</f>
        <v>0</v>
      </c>
      <c r="Y51" s="54">
        <f>攻击!AA51</f>
        <v>0</v>
      </c>
      <c r="Z51" s="54">
        <f>攻击!AB51</f>
        <v>0</v>
      </c>
      <c r="AA51" s="47">
        <f>攻击!AL51</f>
        <v>0</v>
      </c>
      <c r="AB51" s="54">
        <f>攻击!AM51</f>
        <v>0</v>
      </c>
      <c r="AC51" s="54">
        <f>攻击!AN51</f>
        <v>0</v>
      </c>
      <c r="AD51" s="54">
        <f>攻击!AO51</f>
        <v>0</v>
      </c>
      <c r="AE51" s="54">
        <f>攻击!AP51</f>
        <v>0</v>
      </c>
      <c r="AF51" s="54">
        <f>攻击!AQ51</f>
        <v>0</v>
      </c>
      <c r="AG51" s="47">
        <f>攻击!AR51</f>
        <v>21.200000000000003</v>
      </c>
      <c r="AH51" s="20">
        <f t="shared" si="0"/>
        <v>286.2</v>
      </c>
    </row>
    <row r="52" spans="1:34" s="20" customFormat="1">
      <c r="A52" s="46">
        <v>50</v>
      </c>
      <c r="B52" s="47">
        <f>攻击!D52</f>
        <v>108</v>
      </c>
      <c r="C52" s="47">
        <f>攻击!E52</f>
        <v>129.6</v>
      </c>
      <c r="D52" s="47">
        <f>攻击!F52</f>
        <v>162</v>
      </c>
      <c r="E52" s="47">
        <f>攻击!G52</f>
        <v>216</v>
      </c>
      <c r="F52" s="47">
        <f>攻击!H52</f>
        <v>270</v>
      </c>
      <c r="G52" s="47">
        <f>攻击!I52</f>
        <v>54</v>
      </c>
      <c r="H52" s="47">
        <f>攻击!J52</f>
        <v>32.4</v>
      </c>
      <c r="I52" s="47">
        <f>攻击!K52</f>
        <v>64.8</v>
      </c>
      <c r="J52" s="47">
        <f>攻击!L52</f>
        <v>0</v>
      </c>
      <c r="K52" s="47">
        <f>攻击!M52</f>
        <v>86.4</v>
      </c>
      <c r="L52" s="47">
        <f>攻击!N52</f>
        <v>129.6</v>
      </c>
      <c r="M52" s="47">
        <f>攻击!O52</f>
        <v>162</v>
      </c>
      <c r="N52" s="47">
        <f>攻击!P52</f>
        <v>216</v>
      </c>
      <c r="O52" s="47">
        <f>攻击!Q52</f>
        <v>270</v>
      </c>
      <c r="P52" s="47">
        <f>攻击!R52</f>
        <v>324</v>
      </c>
      <c r="Q52" s="47">
        <f>攻击!S52</f>
        <v>378</v>
      </c>
      <c r="R52" s="47">
        <f>攻击!T52</f>
        <v>81</v>
      </c>
      <c r="S52" s="47">
        <f>攻击!U52</f>
        <v>32.4</v>
      </c>
      <c r="T52" s="47">
        <f>攻击!V52</f>
        <v>32.4</v>
      </c>
      <c r="U52" s="47">
        <f>攻击!W52</f>
        <v>5.4</v>
      </c>
      <c r="V52" s="54">
        <f>攻击!X52</f>
        <v>0</v>
      </c>
      <c r="W52" s="54">
        <f>攻击!Y52</f>
        <v>0</v>
      </c>
      <c r="X52" s="54">
        <f>攻击!Z52</f>
        <v>0</v>
      </c>
      <c r="Y52" s="54">
        <f>攻击!AA52</f>
        <v>0</v>
      </c>
      <c r="Z52" s="54">
        <f>攻击!AB52</f>
        <v>0</v>
      </c>
      <c r="AA52" s="47">
        <f>攻击!AL52</f>
        <v>0</v>
      </c>
      <c r="AB52" s="54">
        <f>攻击!AM52</f>
        <v>0</v>
      </c>
      <c r="AC52" s="54">
        <f>攻击!AN52</f>
        <v>0</v>
      </c>
      <c r="AD52" s="54">
        <f>攻击!AO52</f>
        <v>0</v>
      </c>
      <c r="AE52" s="54">
        <f>攻击!AP52</f>
        <v>0</v>
      </c>
      <c r="AF52" s="54">
        <f>攻击!AQ52</f>
        <v>0</v>
      </c>
      <c r="AG52" s="47">
        <f>攻击!AR52</f>
        <v>21.6</v>
      </c>
      <c r="AH52" s="20">
        <f t="shared" si="0"/>
        <v>291.60000000000002</v>
      </c>
    </row>
    <row r="53" spans="1:34" s="20" customFormat="1">
      <c r="A53" s="46">
        <v>51</v>
      </c>
      <c r="B53" s="47">
        <f>攻击!D53</f>
        <v>110</v>
      </c>
      <c r="C53" s="47">
        <f>攻击!E53</f>
        <v>132</v>
      </c>
      <c r="D53" s="47">
        <f>攻击!F53</f>
        <v>165</v>
      </c>
      <c r="E53" s="47">
        <f>攻击!G53</f>
        <v>220</v>
      </c>
      <c r="F53" s="47">
        <f>攻击!H53</f>
        <v>275</v>
      </c>
      <c r="G53" s="47">
        <f>攻击!I53</f>
        <v>54</v>
      </c>
      <c r="H53" s="47">
        <f>攻击!J53</f>
        <v>33</v>
      </c>
      <c r="I53" s="47">
        <f>攻击!K53</f>
        <v>66</v>
      </c>
      <c r="J53" s="47">
        <f>攻击!L53</f>
        <v>0</v>
      </c>
      <c r="K53" s="47">
        <f>攻击!M53</f>
        <v>88</v>
      </c>
      <c r="L53" s="47">
        <f>攻击!N53</f>
        <v>132</v>
      </c>
      <c r="M53" s="47">
        <f>攻击!O53</f>
        <v>165</v>
      </c>
      <c r="N53" s="47">
        <f>攻击!P53</f>
        <v>220</v>
      </c>
      <c r="O53" s="47">
        <f>攻击!Q53</f>
        <v>275</v>
      </c>
      <c r="P53" s="47">
        <f>攻击!R53</f>
        <v>330</v>
      </c>
      <c r="Q53" s="47">
        <f>攻击!S53</f>
        <v>385</v>
      </c>
      <c r="R53" s="47">
        <f>攻击!T53</f>
        <v>82.5</v>
      </c>
      <c r="S53" s="47">
        <f>攻击!U53</f>
        <v>33</v>
      </c>
      <c r="T53" s="47">
        <f>攻击!V53</f>
        <v>33</v>
      </c>
      <c r="U53" s="47">
        <f>攻击!W53</f>
        <v>5.5</v>
      </c>
      <c r="V53" s="54">
        <f>攻击!X53</f>
        <v>0</v>
      </c>
      <c r="W53" s="54">
        <f>攻击!Y53</f>
        <v>0</v>
      </c>
      <c r="X53" s="54">
        <f>攻击!Z53</f>
        <v>0</v>
      </c>
      <c r="Y53" s="54">
        <f>攻击!AA53</f>
        <v>0</v>
      </c>
      <c r="Z53" s="54">
        <f>攻击!AB53</f>
        <v>0</v>
      </c>
      <c r="AA53" s="47">
        <f>攻击!AL53</f>
        <v>0</v>
      </c>
      <c r="AB53" s="54">
        <f>攻击!AM53</f>
        <v>0</v>
      </c>
      <c r="AC53" s="54">
        <f>攻击!AN53</f>
        <v>0</v>
      </c>
      <c r="AD53" s="54">
        <f>攻击!AO53</f>
        <v>0</v>
      </c>
      <c r="AE53" s="54">
        <f>攻击!AP53</f>
        <v>0</v>
      </c>
      <c r="AF53" s="54">
        <f>攻击!AQ53</f>
        <v>0</v>
      </c>
      <c r="AG53" s="47">
        <f>攻击!AR53</f>
        <v>22</v>
      </c>
      <c r="AH53" s="20">
        <f t="shared" si="0"/>
        <v>297</v>
      </c>
    </row>
    <row r="54" spans="1:34" s="20" customFormat="1">
      <c r="A54" s="46">
        <v>52</v>
      </c>
      <c r="B54" s="47">
        <f>攻击!D54</f>
        <v>112</v>
      </c>
      <c r="C54" s="47">
        <f>攻击!E54</f>
        <v>134.4</v>
      </c>
      <c r="D54" s="47">
        <f>攻击!F54</f>
        <v>168</v>
      </c>
      <c r="E54" s="47">
        <f>攻击!G54</f>
        <v>224</v>
      </c>
      <c r="F54" s="47">
        <f>攻击!H54</f>
        <v>280</v>
      </c>
      <c r="G54" s="47">
        <f>攻击!I54</f>
        <v>54</v>
      </c>
      <c r="H54" s="47">
        <f>攻击!J54</f>
        <v>33.6</v>
      </c>
      <c r="I54" s="47">
        <f>攻击!K54</f>
        <v>67.2</v>
      </c>
      <c r="J54" s="47">
        <f>攻击!L54</f>
        <v>0</v>
      </c>
      <c r="K54" s="47">
        <f>攻击!M54</f>
        <v>89.600000000000009</v>
      </c>
      <c r="L54" s="47">
        <f>攻击!N54</f>
        <v>134.4</v>
      </c>
      <c r="M54" s="47">
        <f>攻击!O54</f>
        <v>168</v>
      </c>
      <c r="N54" s="47">
        <f>攻击!P54</f>
        <v>224</v>
      </c>
      <c r="O54" s="47">
        <f>攻击!Q54</f>
        <v>280</v>
      </c>
      <c r="P54" s="47">
        <f>攻击!R54</f>
        <v>336</v>
      </c>
      <c r="Q54" s="47">
        <f>攻击!S54</f>
        <v>392</v>
      </c>
      <c r="R54" s="47">
        <f>攻击!T54</f>
        <v>84</v>
      </c>
      <c r="S54" s="47">
        <f>攻击!U54</f>
        <v>33.6</v>
      </c>
      <c r="T54" s="47">
        <f>攻击!V54</f>
        <v>33.6</v>
      </c>
      <c r="U54" s="47">
        <f>攻击!W54</f>
        <v>5.6000000000000005</v>
      </c>
      <c r="V54" s="54">
        <f>攻击!X54</f>
        <v>0</v>
      </c>
      <c r="W54" s="54">
        <f>攻击!Y54</f>
        <v>0</v>
      </c>
      <c r="X54" s="54">
        <f>攻击!Z54</f>
        <v>0</v>
      </c>
      <c r="Y54" s="54">
        <f>攻击!AA54</f>
        <v>0</v>
      </c>
      <c r="Z54" s="54">
        <f>攻击!AB54</f>
        <v>0</v>
      </c>
      <c r="AA54" s="47">
        <f>攻击!AL54</f>
        <v>0</v>
      </c>
      <c r="AB54" s="54">
        <f>攻击!AM54</f>
        <v>0</v>
      </c>
      <c r="AC54" s="54">
        <f>攻击!AN54</f>
        <v>0</v>
      </c>
      <c r="AD54" s="54">
        <f>攻击!AO54</f>
        <v>0</v>
      </c>
      <c r="AE54" s="54">
        <f>攻击!AP54</f>
        <v>0</v>
      </c>
      <c r="AF54" s="54">
        <f>攻击!AQ54</f>
        <v>0</v>
      </c>
      <c r="AG54" s="47">
        <f>攻击!AR54</f>
        <v>22.400000000000002</v>
      </c>
      <c r="AH54" s="20">
        <f t="shared" si="0"/>
        <v>302.39999999999998</v>
      </c>
    </row>
    <row r="55" spans="1:34" s="20" customFormat="1">
      <c r="A55" s="46">
        <v>53</v>
      </c>
      <c r="B55" s="47">
        <f>攻击!D55</f>
        <v>114</v>
      </c>
      <c r="C55" s="47">
        <f>攻击!E55</f>
        <v>136.79999999999998</v>
      </c>
      <c r="D55" s="47">
        <f>攻击!F55</f>
        <v>171</v>
      </c>
      <c r="E55" s="47">
        <f>攻击!G55</f>
        <v>228</v>
      </c>
      <c r="F55" s="47">
        <f>攻击!H55</f>
        <v>285</v>
      </c>
      <c r="G55" s="47">
        <f>攻击!I55</f>
        <v>54</v>
      </c>
      <c r="H55" s="47">
        <f>攻击!J55</f>
        <v>34.199999999999996</v>
      </c>
      <c r="I55" s="47">
        <f>攻击!K55</f>
        <v>68.399999999999991</v>
      </c>
      <c r="J55" s="47">
        <f>攻击!L55</f>
        <v>0</v>
      </c>
      <c r="K55" s="47">
        <f>攻击!M55</f>
        <v>91.2</v>
      </c>
      <c r="L55" s="47">
        <f>攻击!N55</f>
        <v>136.79999999999998</v>
      </c>
      <c r="M55" s="47">
        <f>攻击!O55</f>
        <v>171</v>
      </c>
      <c r="N55" s="47">
        <f>攻击!P55</f>
        <v>228</v>
      </c>
      <c r="O55" s="47">
        <f>攻击!Q55</f>
        <v>285</v>
      </c>
      <c r="P55" s="47">
        <f>攻击!R55</f>
        <v>342</v>
      </c>
      <c r="Q55" s="47">
        <f>攻击!S55</f>
        <v>399</v>
      </c>
      <c r="R55" s="47">
        <f>攻击!T55</f>
        <v>85.5</v>
      </c>
      <c r="S55" s="47">
        <f>攻击!U55</f>
        <v>34.199999999999996</v>
      </c>
      <c r="T55" s="47">
        <f>攻击!V55</f>
        <v>34.199999999999996</v>
      </c>
      <c r="U55" s="47">
        <f>攻击!W55</f>
        <v>5.7</v>
      </c>
      <c r="V55" s="54">
        <f>攻击!X55</f>
        <v>0</v>
      </c>
      <c r="W55" s="54">
        <f>攻击!Y55</f>
        <v>0</v>
      </c>
      <c r="X55" s="54">
        <f>攻击!Z55</f>
        <v>0</v>
      </c>
      <c r="Y55" s="54">
        <f>攻击!AA55</f>
        <v>0</v>
      </c>
      <c r="Z55" s="54">
        <f>攻击!AB55</f>
        <v>0</v>
      </c>
      <c r="AA55" s="47">
        <f>攻击!AL55</f>
        <v>0</v>
      </c>
      <c r="AB55" s="54">
        <f>攻击!AM55</f>
        <v>0</v>
      </c>
      <c r="AC55" s="54">
        <f>攻击!AN55</f>
        <v>0</v>
      </c>
      <c r="AD55" s="54">
        <f>攻击!AO55</f>
        <v>0</v>
      </c>
      <c r="AE55" s="54">
        <f>攻击!AP55</f>
        <v>0</v>
      </c>
      <c r="AF55" s="54">
        <f>攻击!AQ55</f>
        <v>0</v>
      </c>
      <c r="AG55" s="47">
        <f>攻击!AR55</f>
        <v>22.8</v>
      </c>
      <c r="AH55" s="20">
        <f t="shared" si="0"/>
        <v>307.8</v>
      </c>
    </row>
    <row r="56" spans="1:34" s="20" customFormat="1">
      <c r="A56" s="46">
        <v>54</v>
      </c>
      <c r="B56" s="47">
        <f>攻击!D56</f>
        <v>116</v>
      </c>
      <c r="C56" s="47">
        <f>攻击!E56</f>
        <v>139.19999999999999</v>
      </c>
      <c r="D56" s="47">
        <f>攻击!F56</f>
        <v>174</v>
      </c>
      <c r="E56" s="47">
        <f>攻击!G56</f>
        <v>232</v>
      </c>
      <c r="F56" s="47">
        <f>攻击!H56</f>
        <v>290</v>
      </c>
      <c r="G56" s="47">
        <f>攻击!I56</f>
        <v>54</v>
      </c>
      <c r="H56" s="47">
        <f>攻击!J56</f>
        <v>34.799999999999997</v>
      </c>
      <c r="I56" s="47">
        <f>攻击!K56</f>
        <v>69.599999999999994</v>
      </c>
      <c r="J56" s="47">
        <f>攻击!L56</f>
        <v>0</v>
      </c>
      <c r="K56" s="47">
        <f>攻击!M56</f>
        <v>92.800000000000011</v>
      </c>
      <c r="L56" s="47">
        <f>攻击!N56</f>
        <v>139.19999999999999</v>
      </c>
      <c r="M56" s="47">
        <f>攻击!O56</f>
        <v>174</v>
      </c>
      <c r="N56" s="47">
        <f>攻击!P56</f>
        <v>232</v>
      </c>
      <c r="O56" s="47">
        <f>攻击!Q56</f>
        <v>290</v>
      </c>
      <c r="P56" s="47">
        <f>攻击!R56</f>
        <v>348</v>
      </c>
      <c r="Q56" s="47">
        <f>攻击!S56</f>
        <v>406</v>
      </c>
      <c r="R56" s="47">
        <f>攻击!T56</f>
        <v>87</v>
      </c>
      <c r="S56" s="47">
        <f>攻击!U56</f>
        <v>34.799999999999997</v>
      </c>
      <c r="T56" s="47">
        <f>攻击!V56</f>
        <v>34.799999999999997</v>
      </c>
      <c r="U56" s="47">
        <f>攻击!W56</f>
        <v>5.8000000000000007</v>
      </c>
      <c r="V56" s="54">
        <f>攻击!X56</f>
        <v>0</v>
      </c>
      <c r="W56" s="54">
        <f>攻击!Y56</f>
        <v>0</v>
      </c>
      <c r="X56" s="54">
        <f>攻击!Z56</f>
        <v>0</v>
      </c>
      <c r="Y56" s="54">
        <f>攻击!AA56</f>
        <v>0</v>
      </c>
      <c r="Z56" s="54">
        <f>攻击!AB56</f>
        <v>0</v>
      </c>
      <c r="AA56" s="47">
        <f>攻击!AL56</f>
        <v>0</v>
      </c>
      <c r="AB56" s="54">
        <f>攻击!AM56</f>
        <v>0</v>
      </c>
      <c r="AC56" s="54">
        <f>攻击!AN56</f>
        <v>0</v>
      </c>
      <c r="AD56" s="54">
        <f>攻击!AO56</f>
        <v>0</v>
      </c>
      <c r="AE56" s="54">
        <f>攻击!AP56</f>
        <v>0</v>
      </c>
      <c r="AF56" s="54">
        <f>攻击!AQ56</f>
        <v>0</v>
      </c>
      <c r="AG56" s="47">
        <f>攻击!AR56</f>
        <v>23.200000000000003</v>
      </c>
      <c r="AH56" s="20">
        <f t="shared" si="0"/>
        <v>313.2</v>
      </c>
    </row>
    <row r="57" spans="1:34" s="20" customFormat="1">
      <c r="A57" s="46">
        <v>55</v>
      </c>
      <c r="B57" s="47">
        <f>攻击!D57</f>
        <v>118</v>
      </c>
      <c r="C57" s="47">
        <f>攻击!E57</f>
        <v>141.6</v>
      </c>
      <c r="D57" s="47">
        <f>攻击!F57</f>
        <v>177</v>
      </c>
      <c r="E57" s="47">
        <f>攻击!G57</f>
        <v>236</v>
      </c>
      <c r="F57" s="47">
        <f>攻击!H57</f>
        <v>295</v>
      </c>
      <c r="G57" s="47">
        <f>攻击!I57</f>
        <v>59</v>
      </c>
      <c r="H57" s="47">
        <f>攻击!J57</f>
        <v>35.4</v>
      </c>
      <c r="I57" s="47">
        <f>攻击!K57</f>
        <v>70.8</v>
      </c>
      <c r="J57" s="47">
        <f>攻击!L57</f>
        <v>0</v>
      </c>
      <c r="K57" s="47">
        <f>攻击!M57</f>
        <v>94.4</v>
      </c>
      <c r="L57" s="47">
        <f>攻击!N57</f>
        <v>141.6</v>
      </c>
      <c r="M57" s="47">
        <f>攻击!O57</f>
        <v>177</v>
      </c>
      <c r="N57" s="47">
        <f>攻击!P57</f>
        <v>236</v>
      </c>
      <c r="O57" s="47">
        <f>攻击!Q57</f>
        <v>295</v>
      </c>
      <c r="P57" s="47">
        <f>攻击!R57</f>
        <v>354</v>
      </c>
      <c r="Q57" s="47">
        <f>攻击!S57</f>
        <v>413</v>
      </c>
      <c r="R57" s="47">
        <f>攻击!T57</f>
        <v>88.5</v>
      </c>
      <c r="S57" s="47">
        <f>攻击!U57</f>
        <v>35.4</v>
      </c>
      <c r="T57" s="47">
        <f>攻击!V57</f>
        <v>35.4</v>
      </c>
      <c r="U57" s="47">
        <f>攻击!W57</f>
        <v>5.9</v>
      </c>
      <c r="V57" s="54">
        <f>攻击!X57</f>
        <v>0</v>
      </c>
      <c r="W57" s="54">
        <f>攻击!Y57</f>
        <v>0</v>
      </c>
      <c r="X57" s="54">
        <f>攻击!Z57</f>
        <v>0</v>
      </c>
      <c r="Y57" s="54">
        <f>攻击!AA57</f>
        <v>0</v>
      </c>
      <c r="Z57" s="54">
        <f>攻击!AB57</f>
        <v>0</v>
      </c>
      <c r="AA57" s="47">
        <f>攻击!AL57</f>
        <v>0</v>
      </c>
      <c r="AB57" s="54">
        <f>攻击!AM57</f>
        <v>0</v>
      </c>
      <c r="AC57" s="54">
        <f>攻击!AN57</f>
        <v>0</v>
      </c>
      <c r="AD57" s="54">
        <f>攻击!AO57</f>
        <v>0</v>
      </c>
      <c r="AE57" s="54">
        <f>攻击!AP57</f>
        <v>0</v>
      </c>
      <c r="AF57" s="54">
        <f>攻击!AQ57</f>
        <v>0</v>
      </c>
      <c r="AG57" s="47">
        <f>攻击!AR57</f>
        <v>23.6</v>
      </c>
      <c r="AH57" s="20">
        <f t="shared" si="0"/>
        <v>318.60000000000002</v>
      </c>
    </row>
    <row r="58" spans="1:34" s="20" customFormat="1">
      <c r="A58" s="46">
        <v>56</v>
      </c>
      <c r="B58" s="47">
        <f>攻击!D58</f>
        <v>120</v>
      </c>
      <c r="C58" s="47">
        <f>攻击!E58</f>
        <v>144</v>
      </c>
      <c r="D58" s="47">
        <f>攻击!F58</f>
        <v>180</v>
      </c>
      <c r="E58" s="47">
        <f>攻击!G58</f>
        <v>240</v>
      </c>
      <c r="F58" s="47">
        <f>攻击!H58</f>
        <v>300</v>
      </c>
      <c r="G58" s="47">
        <f>攻击!I58</f>
        <v>59</v>
      </c>
      <c r="H58" s="47">
        <f>攻击!J58</f>
        <v>36</v>
      </c>
      <c r="I58" s="47">
        <f>攻击!K58</f>
        <v>72</v>
      </c>
      <c r="J58" s="47">
        <f>攻击!L58</f>
        <v>0</v>
      </c>
      <c r="K58" s="47">
        <f>攻击!M58</f>
        <v>96</v>
      </c>
      <c r="L58" s="47">
        <f>攻击!N58</f>
        <v>144</v>
      </c>
      <c r="M58" s="47">
        <f>攻击!O58</f>
        <v>180</v>
      </c>
      <c r="N58" s="47">
        <f>攻击!P58</f>
        <v>240</v>
      </c>
      <c r="O58" s="47">
        <f>攻击!Q58</f>
        <v>300</v>
      </c>
      <c r="P58" s="47">
        <f>攻击!R58</f>
        <v>360</v>
      </c>
      <c r="Q58" s="47">
        <f>攻击!S58</f>
        <v>420</v>
      </c>
      <c r="R58" s="47">
        <f>攻击!T58</f>
        <v>90</v>
      </c>
      <c r="S58" s="47">
        <f>攻击!U58</f>
        <v>36</v>
      </c>
      <c r="T58" s="47">
        <f>攻击!V58</f>
        <v>36</v>
      </c>
      <c r="U58" s="47">
        <f>攻击!W58</f>
        <v>6</v>
      </c>
      <c r="V58" s="54">
        <f>攻击!X58</f>
        <v>0</v>
      </c>
      <c r="W58" s="54">
        <f>攻击!Y58</f>
        <v>0</v>
      </c>
      <c r="X58" s="54">
        <f>攻击!Z58</f>
        <v>0</v>
      </c>
      <c r="Y58" s="54">
        <f>攻击!AA58</f>
        <v>0</v>
      </c>
      <c r="Z58" s="54">
        <f>攻击!AB58</f>
        <v>0</v>
      </c>
      <c r="AA58" s="47">
        <f>攻击!AL58</f>
        <v>0</v>
      </c>
      <c r="AB58" s="54">
        <f>攻击!AM58</f>
        <v>0</v>
      </c>
      <c r="AC58" s="54">
        <f>攻击!AN58</f>
        <v>0</v>
      </c>
      <c r="AD58" s="54">
        <f>攻击!AO58</f>
        <v>0</v>
      </c>
      <c r="AE58" s="54">
        <f>攻击!AP58</f>
        <v>0</v>
      </c>
      <c r="AF58" s="54">
        <f>攻击!AQ58</f>
        <v>0</v>
      </c>
      <c r="AG58" s="47">
        <f>攻击!AR58</f>
        <v>24</v>
      </c>
      <c r="AH58" s="20">
        <f t="shared" si="0"/>
        <v>324</v>
      </c>
    </row>
    <row r="59" spans="1:34" s="20" customFormat="1">
      <c r="A59" s="46">
        <v>57</v>
      </c>
      <c r="B59" s="47">
        <f>攻击!D59</f>
        <v>122</v>
      </c>
      <c r="C59" s="47">
        <f>攻击!E59</f>
        <v>146.4</v>
      </c>
      <c r="D59" s="47">
        <f>攻击!F59</f>
        <v>183</v>
      </c>
      <c r="E59" s="47">
        <f>攻击!G59</f>
        <v>244</v>
      </c>
      <c r="F59" s="47">
        <f>攻击!H59</f>
        <v>305</v>
      </c>
      <c r="G59" s="47">
        <f>攻击!I59</f>
        <v>59</v>
      </c>
      <c r="H59" s="47">
        <f>攻击!J59</f>
        <v>36.6</v>
      </c>
      <c r="I59" s="47">
        <f>攻击!K59</f>
        <v>73.2</v>
      </c>
      <c r="J59" s="47">
        <f>攻击!L59</f>
        <v>0</v>
      </c>
      <c r="K59" s="47">
        <f>攻击!M59</f>
        <v>97.600000000000009</v>
      </c>
      <c r="L59" s="47">
        <f>攻击!N59</f>
        <v>146.4</v>
      </c>
      <c r="M59" s="47">
        <f>攻击!O59</f>
        <v>183</v>
      </c>
      <c r="N59" s="47">
        <f>攻击!P59</f>
        <v>244</v>
      </c>
      <c r="O59" s="47">
        <f>攻击!Q59</f>
        <v>305</v>
      </c>
      <c r="P59" s="47">
        <f>攻击!R59</f>
        <v>366</v>
      </c>
      <c r="Q59" s="47">
        <f>攻击!S59</f>
        <v>427</v>
      </c>
      <c r="R59" s="47">
        <f>攻击!T59</f>
        <v>91.5</v>
      </c>
      <c r="S59" s="47">
        <f>攻击!U59</f>
        <v>36.6</v>
      </c>
      <c r="T59" s="47">
        <f>攻击!V59</f>
        <v>36.6</v>
      </c>
      <c r="U59" s="47">
        <f>攻击!W59</f>
        <v>6.1000000000000005</v>
      </c>
      <c r="V59" s="54">
        <f>攻击!X59</f>
        <v>0</v>
      </c>
      <c r="W59" s="54">
        <f>攻击!Y59</f>
        <v>0</v>
      </c>
      <c r="X59" s="54">
        <f>攻击!Z59</f>
        <v>0</v>
      </c>
      <c r="Y59" s="54">
        <f>攻击!AA59</f>
        <v>0</v>
      </c>
      <c r="Z59" s="54">
        <f>攻击!AB59</f>
        <v>0</v>
      </c>
      <c r="AA59" s="47">
        <f>攻击!AL59</f>
        <v>0</v>
      </c>
      <c r="AB59" s="54">
        <f>攻击!AM59</f>
        <v>0</v>
      </c>
      <c r="AC59" s="54">
        <f>攻击!AN59</f>
        <v>0</v>
      </c>
      <c r="AD59" s="54">
        <f>攻击!AO59</f>
        <v>0</v>
      </c>
      <c r="AE59" s="54">
        <f>攻击!AP59</f>
        <v>0</v>
      </c>
      <c r="AF59" s="54">
        <f>攻击!AQ59</f>
        <v>0</v>
      </c>
      <c r="AG59" s="47">
        <f>攻击!AR59</f>
        <v>24.400000000000002</v>
      </c>
      <c r="AH59" s="20">
        <f t="shared" si="0"/>
        <v>329.4</v>
      </c>
    </row>
    <row r="60" spans="1:34" s="20" customFormat="1">
      <c r="A60" s="46">
        <v>58</v>
      </c>
      <c r="B60" s="47">
        <f>攻击!D60</f>
        <v>124</v>
      </c>
      <c r="C60" s="47">
        <f>攻击!E60</f>
        <v>148.79999999999998</v>
      </c>
      <c r="D60" s="47">
        <f>攻击!F60</f>
        <v>186</v>
      </c>
      <c r="E60" s="47">
        <f>攻击!G60</f>
        <v>248</v>
      </c>
      <c r="F60" s="47">
        <f>攻击!H60</f>
        <v>310</v>
      </c>
      <c r="G60" s="47">
        <f>攻击!I60</f>
        <v>59</v>
      </c>
      <c r="H60" s="47">
        <f>攻击!J60</f>
        <v>37.199999999999996</v>
      </c>
      <c r="I60" s="47">
        <f>攻击!K60</f>
        <v>74.399999999999991</v>
      </c>
      <c r="J60" s="47">
        <f>攻击!L60</f>
        <v>0</v>
      </c>
      <c r="K60" s="47">
        <f>攻击!M60</f>
        <v>99.2</v>
      </c>
      <c r="L60" s="47">
        <f>攻击!N60</f>
        <v>148.79999999999998</v>
      </c>
      <c r="M60" s="47">
        <f>攻击!O60</f>
        <v>186</v>
      </c>
      <c r="N60" s="47">
        <f>攻击!P60</f>
        <v>248</v>
      </c>
      <c r="O60" s="47">
        <f>攻击!Q60</f>
        <v>310</v>
      </c>
      <c r="P60" s="47">
        <f>攻击!R60</f>
        <v>372</v>
      </c>
      <c r="Q60" s="47">
        <f>攻击!S60</f>
        <v>434</v>
      </c>
      <c r="R60" s="47">
        <f>攻击!T60</f>
        <v>93</v>
      </c>
      <c r="S60" s="47">
        <f>攻击!U60</f>
        <v>37.199999999999996</v>
      </c>
      <c r="T60" s="47">
        <f>攻击!V60</f>
        <v>37.199999999999996</v>
      </c>
      <c r="U60" s="47">
        <f>攻击!W60</f>
        <v>6.2</v>
      </c>
      <c r="V60" s="54">
        <f>攻击!X60</f>
        <v>0</v>
      </c>
      <c r="W60" s="54">
        <f>攻击!Y60</f>
        <v>0</v>
      </c>
      <c r="X60" s="54">
        <f>攻击!Z60</f>
        <v>0</v>
      </c>
      <c r="Y60" s="54">
        <f>攻击!AA60</f>
        <v>0</v>
      </c>
      <c r="Z60" s="54">
        <f>攻击!AB60</f>
        <v>0</v>
      </c>
      <c r="AA60" s="47">
        <f>攻击!AL60</f>
        <v>0</v>
      </c>
      <c r="AB60" s="54">
        <f>攻击!AM60</f>
        <v>0</v>
      </c>
      <c r="AC60" s="54">
        <f>攻击!AN60</f>
        <v>0</v>
      </c>
      <c r="AD60" s="54">
        <f>攻击!AO60</f>
        <v>0</v>
      </c>
      <c r="AE60" s="54">
        <f>攻击!AP60</f>
        <v>0</v>
      </c>
      <c r="AF60" s="54">
        <f>攻击!AQ60</f>
        <v>0</v>
      </c>
      <c r="AG60" s="47">
        <f>攻击!AR60</f>
        <v>24.8</v>
      </c>
      <c r="AH60" s="20">
        <f t="shared" si="0"/>
        <v>334.8</v>
      </c>
    </row>
    <row r="61" spans="1:34" s="20" customFormat="1">
      <c r="A61" s="46">
        <v>59</v>
      </c>
      <c r="B61" s="47">
        <f>攻击!D61</f>
        <v>126</v>
      </c>
      <c r="C61" s="47">
        <f>攻击!E61</f>
        <v>151.19999999999999</v>
      </c>
      <c r="D61" s="47">
        <f>攻击!F61</f>
        <v>189</v>
      </c>
      <c r="E61" s="47">
        <f>攻击!G61</f>
        <v>252</v>
      </c>
      <c r="F61" s="47">
        <f>攻击!H61</f>
        <v>315</v>
      </c>
      <c r="G61" s="47">
        <f>攻击!I61</f>
        <v>59</v>
      </c>
      <c r="H61" s="47">
        <f>攻击!J61</f>
        <v>37.799999999999997</v>
      </c>
      <c r="I61" s="47">
        <f>攻击!K61</f>
        <v>75.599999999999994</v>
      </c>
      <c r="J61" s="47">
        <f>攻击!L61</f>
        <v>0</v>
      </c>
      <c r="K61" s="47">
        <f>攻击!M61</f>
        <v>100.80000000000001</v>
      </c>
      <c r="L61" s="47">
        <f>攻击!N61</f>
        <v>151.19999999999999</v>
      </c>
      <c r="M61" s="47">
        <f>攻击!O61</f>
        <v>189</v>
      </c>
      <c r="N61" s="47">
        <f>攻击!P61</f>
        <v>252</v>
      </c>
      <c r="O61" s="47">
        <f>攻击!Q61</f>
        <v>315</v>
      </c>
      <c r="P61" s="47">
        <f>攻击!R61</f>
        <v>378</v>
      </c>
      <c r="Q61" s="47">
        <f>攻击!S61</f>
        <v>441</v>
      </c>
      <c r="R61" s="47">
        <f>攻击!T61</f>
        <v>94.5</v>
      </c>
      <c r="S61" s="47">
        <f>攻击!U61</f>
        <v>37.799999999999997</v>
      </c>
      <c r="T61" s="47">
        <f>攻击!V61</f>
        <v>37.799999999999997</v>
      </c>
      <c r="U61" s="47">
        <f>攻击!W61</f>
        <v>6.3000000000000007</v>
      </c>
      <c r="V61" s="54">
        <f>攻击!X61</f>
        <v>0</v>
      </c>
      <c r="W61" s="54">
        <f>攻击!Y61</f>
        <v>0</v>
      </c>
      <c r="X61" s="54">
        <f>攻击!Z61</f>
        <v>0</v>
      </c>
      <c r="Y61" s="54">
        <f>攻击!AA61</f>
        <v>0</v>
      </c>
      <c r="Z61" s="54">
        <f>攻击!AB61</f>
        <v>0</v>
      </c>
      <c r="AA61" s="47">
        <f>攻击!AL61</f>
        <v>0</v>
      </c>
      <c r="AB61" s="54">
        <f>攻击!AM61</f>
        <v>0</v>
      </c>
      <c r="AC61" s="54">
        <f>攻击!AN61</f>
        <v>0</v>
      </c>
      <c r="AD61" s="54">
        <f>攻击!AO61</f>
        <v>0</v>
      </c>
      <c r="AE61" s="54">
        <f>攻击!AP61</f>
        <v>0</v>
      </c>
      <c r="AF61" s="54">
        <f>攻击!AQ61</f>
        <v>0</v>
      </c>
      <c r="AG61" s="47">
        <f>攻击!AR61</f>
        <v>25.200000000000003</v>
      </c>
      <c r="AH61" s="20">
        <f t="shared" si="0"/>
        <v>340.2</v>
      </c>
    </row>
    <row r="62" spans="1:34" s="20" customFormat="1">
      <c r="A62" s="46">
        <v>60</v>
      </c>
      <c r="B62" s="47">
        <f>攻击!D62</f>
        <v>128</v>
      </c>
      <c r="C62" s="47">
        <f>攻击!E62</f>
        <v>153.6</v>
      </c>
      <c r="D62" s="47">
        <f>攻击!F62</f>
        <v>192</v>
      </c>
      <c r="E62" s="47">
        <f>攻击!G62</f>
        <v>256</v>
      </c>
      <c r="F62" s="47">
        <f>攻击!H62</f>
        <v>320</v>
      </c>
      <c r="G62" s="47">
        <f>攻击!I62</f>
        <v>64</v>
      </c>
      <c r="H62" s="47">
        <f>攻击!J62</f>
        <v>38.4</v>
      </c>
      <c r="I62" s="47">
        <f>攻击!K62</f>
        <v>76.8</v>
      </c>
      <c r="J62" s="47">
        <f>攻击!L62</f>
        <v>0</v>
      </c>
      <c r="K62" s="47">
        <f>攻击!M62</f>
        <v>102.4</v>
      </c>
      <c r="L62" s="47">
        <f>攻击!N62</f>
        <v>153.6</v>
      </c>
      <c r="M62" s="47">
        <f>攻击!O62</f>
        <v>192</v>
      </c>
      <c r="N62" s="47">
        <f>攻击!P62</f>
        <v>256</v>
      </c>
      <c r="O62" s="47">
        <f>攻击!Q62</f>
        <v>320</v>
      </c>
      <c r="P62" s="47">
        <f>攻击!R62</f>
        <v>384</v>
      </c>
      <c r="Q62" s="47">
        <f>攻击!S62</f>
        <v>448</v>
      </c>
      <c r="R62" s="47">
        <f>攻击!T62</f>
        <v>96</v>
      </c>
      <c r="S62" s="47">
        <f>攻击!U62</f>
        <v>38.4</v>
      </c>
      <c r="T62" s="47">
        <f>攻击!V62</f>
        <v>38.4</v>
      </c>
      <c r="U62" s="47">
        <f>攻击!W62</f>
        <v>6.4</v>
      </c>
      <c r="V62" s="54">
        <f>攻击!X62</f>
        <v>0</v>
      </c>
      <c r="W62" s="54">
        <f>攻击!Y62</f>
        <v>0</v>
      </c>
      <c r="X62" s="54">
        <f>攻击!Z62</f>
        <v>0</v>
      </c>
      <c r="Y62" s="54">
        <f>攻击!AA62</f>
        <v>0</v>
      </c>
      <c r="Z62" s="54">
        <f>攻击!AB62</f>
        <v>0</v>
      </c>
      <c r="AA62" s="47">
        <f>攻击!AL62</f>
        <v>0</v>
      </c>
      <c r="AB62" s="54">
        <f>攻击!AM62</f>
        <v>0</v>
      </c>
      <c r="AC62" s="54">
        <f>攻击!AN62</f>
        <v>0</v>
      </c>
      <c r="AD62" s="54">
        <f>攻击!AO62</f>
        <v>0</v>
      </c>
      <c r="AE62" s="54">
        <f>攻击!AP62</f>
        <v>0</v>
      </c>
      <c r="AF62" s="54">
        <f>攻击!AQ62</f>
        <v>0</v>
      </c>
      <c r="AG62" s="47">
        <f>攻击!AR62</f>
        <v>25.6</v>
      </c>
      <c r="AH62" s="20">
        <f t="shared" si="0"/>
        <v>345.6</v>
      </c>
    </row>
    <row r="63" spans="1:34" s="20" customFormat="1">
      <c r="A63" s="46">
        <v>61</v>
      </c>
      <c r="B63" s="47">
        <f>攻击!D63</f>
        <v>130</v>
      </c>
      <c r="C63" s="47">
        <f>攻击!E63</f>
        <v>156</v>
      </c>
      <c r="D63" s="47">
        <f>攻击!F63</f>
        <v>195</v>
      </c>
      <c r="E63" s="47">
        <f>攻击!G63</f>
        <v>260</v>
      </c>
      <c r="F63" s="47">
        <f>攻击!H63</f>
        <v>325</v>
      </c>
      <c r="G63" s="47">
        <f>攻击!I63</f>
        <v>64</v>
      </c>
      <c r="H63" s="47">
        <f>攻击!J63</f>
        <v>39</v>
      </c>
      <c r="I63" s="47">
        <f>攻击!K63</f>
        <v>78</v>
      </c>
      <c r="J63" s="47">
        <f>攻击!L63</f>
        <v>0</v>
      </c>
      <c r="K63" s="47">
        <f>攻击!M63</f>
        <v>104</v>
      </c>
      <c r="L63" s="47">
        <f>攻击!N63</f>
        <v>156</v>
      </c>
      <c r="M63" s="47">
        <f>攻击!O63</f>
        <v>195</v>
      </c>
      <c r="N63" s="47">
        <f>攻击!P63</f>
        <v>260</v>
      </c>
      <c r="O63" s="47">
        <f>攻击!Q63</f>
        <v>325</v>
      </c>
      <c r="P63" s="47">
        <f>攻击!R63</f>
        <v>390</v>
      </c>
      <c r="Q63" s="47">
        <f>攻击!S63</f>
        <v>455</v>
      </c>
      <c r="R63" s="47">
        <f>攻击!T63</f>
        <v>97.5</v>
      </c>
      <c r="S63" s="47">
        <f>攻击!U63</f>
        <v>39</v>
      </c>
      <c r="T63" s="47">
        <f>攻击!V63</f>
        <v>39</v>
      </c>
      <c r="U63" s="47">
        <f>攻击!W63</f>
        <v>6.5</v>
      </c>
      <c r="V63" s="54">
        <f>攻击!X63</f>
        <v>0</v>
      </c>
      <c r="W63" s="54">
        <f>攻击!Y63</f>
        <v>0</v>
      </c>
      <c r="X63" s="54">
        <f>攻击!Z63</f>
        <v>0</v>
      </c>
      <c r="Y63" s="54">
        <f>攻击!AA63</f>
        <v>0</v>
      </c>
      <c r="Z63" s="54">
        <f>攻击!AB63</f>
        <v>0</v>
      </c>
      <c r="AA63" s="47">
        <f>攻击!AL63</f>
        <v>0</v>
      </c>
      <c r="AB63" s="54">
        <f>攻击!AM63</f>
        <v>0</v>
      </c>
      <c r="AC63" s="54">
        <f>攻击!AN63</f>
        <v>0</v>
      </c>
      <c r="AD63" s="54">
        <f>攻击!AO63</f>
        <v>0</v>
      </c>
      <c r="AE63" s="54">
        <f>攻击!AP63</f>
        <v>0</v>
      </c>
      <c r="AF63" s="54">
        <f>攻击!AQ63</f>
        <v>0</v>
      </c>
      <c r="AG63" s="47">
        <f>攻击!AR63</f>
        <v>26</v>
      </c>
      <c r="AH63" s="20">
        <f t="shared" si="0"/>
        <v>351</v>
      </c>
    </row>
    <row r="64" spans="1:34" s="20" customFormat="1">
      <c r="A64" s="46">
        <v>62</v>
      </c>
      <c r="B64" s="47">
        <f>攻击!D64</f>
        <v>132</v>
      </c>
      <c r="C64" s="47">
        <f>攻击!E64</f>
        <v>158.4</v>
      </c>
      <c r="D64" s="47">
        <f>攻击!F64</f>
        <v>198</v>
      </c>
      <c r="E64" s="47">
        <f>攻击!G64</f>
        <v>264</v>
      </c>
      <c r="F64" s="47">
        <f>攻击!H64</f>
        <v>330</v>
      </c>
      <c r="G64" s="47">
        <f>攻击!I64</f>
        <v>64</v>
      </c>
      <c r="H64" s="47">
        <f>攻击!J64</f>
        <v>39.6</v>
      </c>
      <c r="I64" s="47">
        <f>攻击!K64</f>
        <v>79.2</v>
      </c>
      <c r="J64" s="47">
        <f>攻击!L64</f>
        <v>0</v>
      </c>
      <c r="K64" s="47">
        <f>攻击!M64</f>
        <v>105.60000000000001</v>
      </c>
      <c r="L64" s="47">
        <f>攻击!N64</f>
        <v>158.4</v>
      </c>
      <c r="M64" s="47">
        <f>攻击!O64</f>
        <v>198</v>
      </c>
      <c r="N64" s="47">
        <f>攻击!P64</f>
        <v>264</v>
      </c>
      <c r="O64" s="47">
        <f>攻击!Q64</f>
        <v>330</v>
      </c>
      <c r="P64" s="47">
        <f>攻击!R64</f>
        <v>396</v>
      </c>
      <c r="Q64" s="47">
        <f>攻击!S64</f>
        <v>462</v>
      </c>
      <c r="R64" s="47">
        <f>攻击!T64</f>
        <v>99</v>
      </c>
      <c r="S64" s="47">
        <f>攻击!U64</f>
        <v>39.6</v>
      </c>
      <c r="T64" s="47">
        <f>攻击!V64</f>
        <v>39.6</v>
      </c>
      <c r="U64" s="47">
        <f>攻击!W64</f>
        <v>6.6000000000000005</v>
      </c>
      <c r="V64" s="54">
        <f>攻击!X64</f>
        <v>0</v>
      </c>
      <c r="W64" s="54">
        <f>攻击!Y64</f>
        <v>0</v>
      </c>
      <c r="X64" s="54">
        <f>攻击!Z64</f>
        <v>0</v>
      </c>
      <c r="Y64" s="54">
        <f>攻击!AA64</f>
        <v>0</v>
      </c>
      <c r="Z64" s="54">
        <f>攻击!AB64</f>
        <v>0</v>
      </c>
      <c r="AA64" s="47">
        <f>攻击!AL64</f>
        <v>0</v>
      </c>
      <c r="AB64" s="54">
        <f>攻击!AM64</f>
        <v>0</v>
      </c>
      <c r="AC64" s="54">
        <f>攻击!AN64</f>
        <v>0</v>
      </c>
      <c r="AD64" s="54">
        <f>攻击!AO64</f>
        <v>0</v>
      </c>
      <c r="AE64" s="54">
        <f>攻击!AP64</f>
        <v>0</v>
      </c>
      <c r="AF64" s="54">
        <f>攻击!AQ64</f>
        <v>0</v>
      </c>
      <c r="AG64" s="47">
        <f>攻击!AR64</f>
        <v>26.400000000000002</v>
      </c>
      <c r="AH64" s="20">
        <f t="shared" si="0"/>
        <v>356.4</v>
      </c>
    </row>
    <row r="65" spans="1:34" s="20" customFormat="1">
      <c r="A65" s="46">
        <v>63</v>
      </c>
      <c r="B65" s="47">
        <f>攻击!D65</f>
        <v>134</v>
      </c>
      <c r="C65" s="47">
        <f>攻击!E65</f>
        <v>160.79999999999998</v>
      </c>
      <c r="D65" s="47">
        <f>攻击!F65</f>
        <v>201</v>
      </c>
      <c r="E65" s="47">
        <f>攻击!G65</f>
        <v>268</v>
      </c>
      <c r="F65" s="47">
        <f>攻击!H65</f>
        <v>335</v>
      </c>
      <c r="G65" s="47">
        <f>攻击!I65</f>
        <v>64</v>
      </c>
      <c r="H65" s="47">
        <f>攻击!J65</f>
        <v>40.199999999999996</v>
      </c>
      <c r="I65" s="47">
        <f>攻击!K65</f>
        <v>80.399999999999991</v>
      </c>
      <c r="J65" s="47">
        <f>攻击!L65</f>
        <v>0</v>
      </c>
      <c r="K65" s="47">
        <f>攻击!M65</f>
        <v>107.2</v>
      </c>
      <c r="L65" s="47">
        <f>攻击!N65</f>
        <v>160.79999999999998</v>
      </c>
      <c r="M65" s="47">
        <f>攻击!O65</f>
        <v>201</v>
      </c>
      <c r="N65" s="47">
        <f>攻击!P65</f>
        <v>268</v>
      </c>
      <c r="O65" s="47">
        <f>攻击!Q65</f>
        <v>335</v>
      </c>
      <c r="P65" s="47">
        <f>攻击!R65</f>
        <v>402</v>
      </c>
      <c r="Q65" s="47">
        <f>攻击!S65</f>
        <v>469</v>
      </c>
      <c r="R65" s="47">
        <f>攻击!T65</f>
        <v>100.5</v>
      </c>
      <c r="S65" s="47">
        <f>攻击!U65</f>
        <v>40.199999999999996</v>
      </c>
      <c r="T65" s="47">
        <f>攻击!V65</f>
        <v>40.199999999999996</v>
      </c>
      <c r="U65" s="47">
        <f>攻击!W65</f>
        <v>6.7</v>
      </c>
      <c r="V65" s="54">
        <f>攻击!X65</f>
        <v>0</v>
      </c>
      <c r="W65" s="54">
        <f>攻击!Y65</f>
        <v>0</v>
      </c>
      <c r="X65" s="54">
        <f>攻击!Z65</f>
        <v>0</v>
      </c>
      <c r="Y65" s="54">
        <f>攻击!AA65</f>
        <v>0</v>
      </c>
      <c r="Z65" s="54">
        <f>攻击!AB65</f>
        <v>0</v>
      </c>
      <c r="AA65" s="47">
        <f>攻击!AL65</f>
        <v>0</v>
      </c>
      <c r="AB65" s="54">
        <f>攻击!AM65</f>
        <v>0</v>
      </c>
      <c r="AC65" s="54">
        <f>攻击!AN65</f>
        <v>0</v>
      </c>
      <c r="AD65" s="54">
        <f>攻击!AO65</f>
        <v>0</v>
      </c>
      <c r="AE65" s="54">
        <f>攻击!AP65</f>
        <v>0</v>
      </c>
      <c r="AF65" s="54">
        <f>攻击!AQ65</f>
        <v>0</v>
      </c>
      <c r="AG65" s="47">
        <f>攻击!AR65</f>
        <v>26.8</v>
      </c>
      <c r="AH65" s="20">
        <f t="shared" si="0"/>
        <v>361.8</v>
      </c>
    </row>
    <row r="66" spans="1:34" s="20" customFormat="1">
      <c r="A66" s="46">
        <v>64</v>
      </c>
      <c r="B66" s="47">
        <f>攻击!D66</f>
        <v>136</v>
      </c>
      <c r="C66" s="47">
        <f>攻击!E66</f>
        <v>163.19999999999999</v>
      </c>
      <c r="D66" s="47">
        <f>攻击!F66</f>
        <v>204</v>
      </c>
      <c r="E66" s="47">
        <f>攻击!G66</f>
        <v>272</v>
      </c>
      <c r="F66" s="47">
        <f>攻击!H66</f>
        <v>340</v>
      </c>
      <c r="G66" s="47">
        <f>攻击!I66</f>
        <v>64</v>
      </c>
      <c r="H66" s="47">
        <f>攻击!J66</f>
        <v>40.799999999999997</v>
      </c>
      <c r="I66" s="47">
        <f>攻击!K66</f>
        <v>81.599999999999994</v>
      </c>
      <c r="J66" s="47">
        <f>攻击!L66</f>
        <v>0</v>
      </c>
      <c r="K66" s="47">
        <f>攻击!M66</f>
        <v>108.80000000000001</v>
      </c>
      <c r="L66" s="47">
        <f>攻击!N66</f>
        <v>163.19999999999999</v>
      </c>
      <c r="M66" s="47">
        <f>攻击!O66</f>
        <v>204</v>
      </c>
      <c r="N66" s="47">
        <f>攻击!P66</f>
        <v>272</v>
      </c>
      <c r="O66" s="47">
        <f>攻击!Q66</f>
        <v>340</v>
      </c>
      <c r="P66" s="47">
        <f>攻击!R66</f>
        <v>408</v>
      </c>
      <c r="Q66" s="47">
        <f>攻击!S66</f>
        <v>476</v>
      </c>
      <c r="R66" s="47">
        <f>攻击!T66</f>
        <v>102</v>
      </c>
      <c r="S66" s="47">
        <f>攻击!U66</f>
        <v>40.799999999999997</v>
      </c>
      <c r="T66" s="47">
        <f>攻击!V66</f>
        <v>40.799999999999997</v>
      </c>
      <c r="U66" s="47">
        <f>攻击!W66</f>
        <v>6.8000000000000007</v>
      </c>
      <c r="V66" s="54">
        <f>攻击!X66</f>
        <v>0</v>
      </c>
      <c r="W66" s="54">
        <f>攻击!Y66</f>
        <v>0</v>
      </c>
      <c r="X66" s="54">
        <f>攻击!Z66</f>
        <v>0</v>
      </c>
      <c r="Y66" s="54">
        <f>攻击!AA66</f>
        <v>0</v>
      </c>
      <c r="Z66" s="54">
        <f>攻击!AB66</f>
        <v>0</v>
      </c>
      <c r="AA66" s="47">
        <f>攻击!AL66</f>
        <v>0</v>
      </c>
      <c r="AB66" s="54">
        <f>攻击!AM66</f>
        <v>0</v>
      </c>
      <c r="AC66" s="54">
        <f>攻击!AN66</f>
        <v>0</v>
      </c>
      <c r="AD66" s="54">
        <f>攻击!AO66</f>
        <v>0</v>
      </c>
      <c r="AE66" s="54">
        <f>攻击!AP66</f>
        <v>0</v>
      </c>
      <c r="AF66" s="54">
        <f>攻击!AQ66</f>
        <v>0</v>
      </c>
      <c r="AG66" s="47">
        <f>攻击!AR66</f>
        <v>27.200000000000003</v>
      </c>
      <c r="AH66" s="20">
        <f t="shared" si="0"/>
        <v>367.2</v>
      </c>
    </row>
    <row r="67" spans="1:34" s="20" customFormat="1">
      <c r="A67" s="46">
        <v>65</v>
      </c>
      <c r="B67" s="47">
        <f>攻击!D67</f>
        <v>138</v>
      </c>
      <c r="C67" s="47">
        <f>攻击!E67</f>
        <v>165.6</v>
      </c>
      <c r="D67" s="47">
        <f>攻击!F67</f>
        <v>207</v>
      </c>
      <c r="E67" s="47">
        <f>攻击!G67</f>
        <v>276</v>
      </c>
      <c r="F67" s="47">
        <f>攻击!H67</f>
        <v>345</v>
      </c>
      <c r="G67" s="47">
        <f>攻击!I67</f>
        <v>69</v>
      </c>
      <c r="H67" s="47">
        <f>攻击!J67</f>
        <v>41.4</v>
      </c>
      <c r="I67" s="47">
        <f>攻击!K67</f>
        <v>82.8</v>
      </c>
      <c r="J67" s="47">
        <f>攻击!L67</f>
        <v>0</v>
      </c>
      <c r="K67" s="47">
        <f>攻击!M67</f>
        <v>110.4</v>
      </c>
      <c r="L67" s="47">
        <f>攻击!N67</f>
        <v>165.6</v>
      </c>
      <c r="M67" s="47">
        <f>攻击!O67</f>
        <v>207</v>
      </c>
      <c r="N67" s="47">
        <f>攻击!P67</f>
        <v>276</v>
      </c>
      <c r="O67" s="47">
        <f>攻击!Q67</f>
        <v>345</v>
      </c>
      <c r="P67" s="47">
        <f>攻击!R67</f>
        <v>414</v>
      </c>
      <c r="Q67" s="47">
        <f>攻击!S67</f>
        <v>483</v>
      </c>
      <c r="R67" s="47">
        <f>攻击!T67</f>
        <v>103.5</v>
      </c>
      <c r="S67" s="47">
        <f>攻击!U67</f>
        <v>41.4</v>
      </c>
      <c r="T67" s="47">
        <f>攻击!V67</f>
        <v>41.4</v>
      </c>
      <c r="U67" s="47">
        <f>攻击!W67</f>
        <v>6.9</v>
      </c>
      <c r="V67" s="54">
        <f>攻击!X67</f>
        <v>0</v>
      </c>
      <c r="W67" s="54">
        <f>攻击!Y67</f>
        <v>0</v>
      </c>
      <c r="X67" s="54">
        <f>攻击!Z67</f>
        <v>0</v>
      </c>
      <c r="Y67" s="54">
        <f>攻击!AA67</f>
        <v>0</v>
      </c>
      <c r="Z67" s="54">
        <f>攻击!AB67</f>
        <v>0</v>
      </c>
      <c r="AA67" s="47">
        <f>攻击!AL67</f>
        <v>0</v>
      </c>
      <c r="AB67" s="54">
        <f>攻击!AM67</f>
        <v>0</v>
      </c>
      <c r="AC67" s="54">
        <f>攻击!AN67</f>
        <v>0</v>
      </c>
      <c r="AD67" s="54">
        <f>攻击!AO67</f>
        <v>0</v>
      </c>
      <c r="AE67" s="54">
        <f>攻击!AP67</f>
        <v>0</v>
      </c>
      <c r="AF67" s="54">
        <f>攻击!AQ67</f>
        <v>0</v>
      </c>
      <c r="AG67" s="47">
        <f>攻击!AR67</f>
        <v>27.6</v>
      </c>
      <c r="AH67" s="20">
        <f t="shared" si="0"/>
        <v>372.6</v>
      </c>
    </row>
    <row r="68" spans="1:34" s="20" customFormat="1">
      <c r="A68" s="46">
        <v>66</v>
      </c>
      <c r="B68" s="47">
        <f>攻击!D68</f>
        <v>140</v>
      </c>
      <c r="C68" s="47">
        <f>攻击!E68</f>
        <v>168</v>
      </c>
      <c r="D68" s="47">
        <f>攻击!F68</f>
        <v>210</v>
      </c>
      <c r="E68" s="47">
        <f>攻击!G68</f>
        <v>280</v>
      </c>
      <c r="F68" s="47">
        <f>攻击!H68</f>
        <v>350</v>
      </c>
      <c r="G68" s="47">
        <f>攻击!I68</f>
        <v>69</v>
      </c>
      <c r="H68" s="47">
        <f>攻击!J68</f>
        <v>42</v>
      </c>
      <c r="I68" s="47">
        <f>攻击!K68</f>
        <v>84</v>
      </c>
      <c r="J68" s="47">
        <f>攻击!L68</f>
        <v>0</v>
      </c>
      <c r="K68" s="47">
        <f>攻击!M68</f>
        <v>112</v>
      </c>
      <c r="L68" s="47">
        <f>攻击!N68</f>
        <v>168</v>
      </c>
      <c r="M68" s="47">
        <f>攻击!O68</f>
        <v>210</v>
      </c>
      <c r="N68" s="47">
        <f>攻击!P68</f>
        <v>280</v>
      </c>
      <c r="O68" s="47">
        <f>攻击!Q68</f>
        <v>350</v>
      </c>
      <c r="P68" s="47">
        <f>攻击!R68</f>
        <v>420</v>
      </c>
      <c r="Q68" s="47">
        <f>攻击!S68</f>
        <v>490</v>
      </c>
      <c r="R68" s="47">
        <f>攻击!T68</f>
        <v>105</v>
      </c>
      <c r="S68" s="47">
        <f>攻击!U68</f>
        <v>42</v>
      </c>
      <c r="T68" s="47">
        <f>攻击!V68</f>
        <v>42</v>
      </c>
      <c r="U68" s="47">
        <f>攻击!W68</f>
        <v>7</v>
      </c>
      <c r="V68" s="54">
        <f>攻击!X68</f>
        <v>0</v>
      </c>
      <c r="W68" s="54">
        <f>攻击!Y68</f>
        <v>0</v>
      </c>
      <c r="X68" s="54">
        <f>攻击!Z68</f>
        <v>0</v>
      </c>
      <c r="Y68" s="54">
        <f>攻击!AA68</f>
        <v>0</v>
      </c>
      <c r="Z68" s="54">
        <f>攻击!AB68</f>
        <v>0</v>
      </c>
      <c r="AA68" s="47">
        <f>攻击!AL68</f>
        <v>0</v>
      </c>
      <c r="AB68" s="54">
        <f>攻击!AM68</f>
        <v>0</v>
      </c>
      <c r="AC68" s="54">
        <f>攻击!AN68</f>
        <v>0</v>
      </c>
      <c r="AD68" s="54">
        <f>攻击!AO68</f>
        <v>0</v>
      </c>
      <c r="AE68" s="54">
        <f>攻击!AP68</f>
        <v>0</v>
      </c>
      <c r="AF68" s="54">
        <f>攻击!AQ68</f>
        <v>0</v>
      </c>
      <c r="AG68" s="47">
        <f>攻击!AR68</f>
        <v>28</v>
      </c>
      <c r="AH68" s="20">
        <f t="shared" ref="AH68:AH122" si="1">B68+M68+AA68+AG68</f>
        <v>378</v>
      </c>
    </row>
    <row r="69" spans="1:34" s="20" customFormat="1">
      <c r="A69" s="46">
        <v>67</v>
      </c>
      <c r="B69" s="47">
        <f>攻击!D69</f>
        <v>142</v>
      </c>
      <c r="C69" s="47">
        <f>攻击!E69</f>
        <v>170.4</v>
      </c>
      <c r="D69" s="47">
        <f>攻击!F69</f>
        <v>213</v>
      </c>
      <c r="E69" s="47">
        <f>攻击!G69</f>
        <v>284</v>
      </c>
      <c r="F69" s="47">
        <f>攻击!H69</f>
        <v>355</v>
      </c>
      <c r="G69" s="47">
        <f>攻击!I69</f>
        <v>69</v>
      </c>
      <c r="H69" s="47">
        <f>攻击!J69</f>
        <v>42.6</v>
      </c>
      <c r="I69" s="47">
        <f>攻击!K69</f>
        <v>85.2</v>
      </c>
      <c r="J69" s="47">
        <f>攻击!L69</f>
        <v>0</v>
      </c>
      <c r="K69" s="47">
        <f>攻击!M69</f>
        <v>113.60000000000001</v>
      </c>
      <c r="L69" s="47">
        <f>攻击!N69</f>
        <v>170.4</v>
      </c>
      <c r="M69" s="47">
        <f>攻击!O69</f>
        <v>213</v>
      </c>
      <c r="N69" s="47">
        <f>攻击!P69</f>
        <v>284</v>
      </c>
      <c r="O69" s="47">
        <f>攻击!Q69</f>
        <v>355</v>
      </c>
      <c r="P69" s="47">
        <f>攻击!R69</f>
        <v>426</v>
      </c>
      <c r="Q69" s="47">
        <f>攻击!S69</f>
        <v>497</v>
      </c>
      <c r="R69" s="47">
        <f>攻击!T69</f>
        <v>106.5</v>
      </c>
      <c r="S69" s="47">
        <f>攻击!U69</f>
        <v>42.6</v>
      </c>
      <c r="T69" s="47">
        <f>攻击!V69</f>
        <v>42.6</v>
      </c>
      <c r="U69" s="47">
        <f>攻击!W69</f>
        <v>7.1000000000000005</v>
      </c>
      <c r="V69" s="54">
        <f>攻击!X69</f>
        <v>0</v>
      </c>
      <c r="W69" s="54">
        <f>攻击!Y69</f>
        <v>0</v>
      </c>
      <c r="X69" s="54">
        <f>攻击!Z69</f>
        <v>0</v>
      </c>
      <c r="Y69" s="54">
        <f>攻击!AA69</f>
        <v>0</v>
      </c>
      <c r="Z69" s="54">
        <f>攻击!AB69</f>
        <v>0</v>
      </c>
      <c r="AA69" s="47">
        <f>攻击!AL69</f>
        <v>0</v>
      </c>
      <c r="AB69" s="54">
        <f>攻击!AM69</f>
        <v>0</v>
      </c>
      <c r="AC69" s="54">
        <f>攻击!AN69</f>
        <v>0</v>
      </c>
      <c r="AD69" s="54">
        <f>攻击!AO69</f>
        <v>0</v>
      </c>
      <c r="AE69" s="54">
        <f>攻击!AP69</f>
        <v>0</v>
      </c>
      <c r="AF69" s="54">
        <f>攻击!AQ69</f>
        <v>0</v>
      </c>
      <c r="AG69" s="47">
        <f>攻击!AR69</f>
        <v>28.400000000000002</v>
      </c>
      <c r="AH69" s="20">
        <f t="shared" si="1"/>
        <v>383.4</v>
      </c>
    </row>
    <row r="70" spans="1:34" s="20" customFormat="1">
      <c r="A70" s="46">
        <v>68</v>
      </c>
      <c r="B70" s="47">
        <f>攻击!D70</f>
        <v>144</v>
      </c>
      <c r="C70" s="47">
        <f>攻击!E70</f>
        <v>172.79999999999998</v>
      </c>
      <c r="D70" s="47">
        <f>攻击!F70</f>
        <v>216</v>
      </c>
      <c r="E70" s="47">
        <f>攻击!G70</f>
        <v>288</v>
      </c>
      <c r="F70" s="47">
        <f>攻击!H70</f>
        <v>360</v>
      </c>
      <c r="G70" s="47">
        <f>攻击!I70</f>
        <v>69</v>
      </c>
      <c r="H70" s="47">
        <f>攻击!J70</f>
        <v>43.199999999999996</v>
      </c>
      <c r="I70" s="47">
        <f>攻击!K70</f>
        <v>86.399999999999991</v>
      </c>
      <c r="J70" s="47">
        <f>攻击!L70</f>
        <v>0</v>
      </c>
      <c r="K70" s="47">
        <f>攻击!M70</f>
        <v>115.2</v>
      </c>
      <c r="L70" s="47">
        <f>攻击!N70</f>
        <v>172.79999999999998</v>
      </c>
      <c r="M70" s="47">
        <f>攻击!O70</f>
        <v>216</v>
      </c>
      <c r="N70" s="47">
        <f>攻击!P70</f>
        <v>288</v>
      </c>
      <c r="O70" s="47">
        <f>攻击!Q70</f>
        <v>360</v>
      </c>
      <c r="P70" s="47">
        <f>攻击!R70</f>
        <v>432</v>
      </c>
      <c r="Q70" s="47">
        <f>攻击!S70</f>
        <v>504</v>
      </c>
      <c r="R70" s="47">
        <f>攻击!T70</f>
        <v>108</v>
      </c>
      <c r="S70" s="47">
        <f>攻击!U70</f>
        <v>43.199999999999996</v>
      </c>
      <c r="T70" s="47">
        <f>攻击!V70</f>
        <v>43.199999999999996</v>
      </c>
      <c r="U70" s="47">
        <f>攻击!W70</f>
        <v>7.2</v>
      </c>
      <c r="V70" s="54">
        <f>攻击!X70</f>
        <v>0</v>
      </c>
      <c r="W70" s="54">
        <f>攻击!Y70</f>
        <v>0</v>
      </c>
      <c r="X70" s="54">
        <f>攻击!Z70</f>
        <v>0</v>
      </c>
      <c r="Y70" s="54">
        <f>攻击!AA70</f>
        <v>0</v>
      </c>
      <c r="Z70" s="54">
        <f>攻击!AB70</f>
        <v>0</v>
      </c>
      <c r="AA70" s="47">
        <f>攻击!AL70</f>
        <v>0</v>
      </c>
      <c r="AB70" s="54">
        <f>攻击!AM70</f>
        <v>0</v>
      </c>
      <c r="AC70" s="54">
        <f>攻击!AN70</f>
        <v>0</v>
      </c>
      <c r="AD70" s="54">
        <f>攻击!AO70</f>
        <v>0</v>
      </c>
      <c r="AE70" s="54">
        <f>攻击!AP70</f>
        <v>0</v>
      </c>
      <c r="AF70" s="54">
        <f>攻击!AQ70</f>
        <v>0</v>
      </c>
      <c r="AG70" s="47">
        <f>攻击!AR70</f>
        <v>28.8</v>
      </c>
      <c r="AH70" s="20">
        <f t="shared" si="1"/>
        <v>388.8</v>
      </c>
    </row>
    <row r="71" spans="1:34" s="20" customFormat="1">
      <c r="A71" s="46">
        <v>69</v>
      </c>
      <c r="B71" s="47">
        <f>攻击!D71</f>
        <v>146</v>
      </c>
      <c r="C71" s="47">
        <f>攻击!E71</f>
        <v>175.2</v>
      </c>
      <c r="D71" s="47">
        <f>攻击!F71</f>
        <v>219</v>
      </c>
      <c r="E71" s="47">
        <f>攻击!G71</f>
        <v>292</v>
      </c>
      <c r="F71" s="47">
        <f>攻击!H71</f>
        <v>365</v>
      </c>
      <c r="G71" s="47">
        <f>攻击!I71</f>
        <v>69</v>
      </c>
      <c r="H71" s="47">
        <f>攻击!J71</f>
        <v>43.8</v>
      </c>
      <c r="I71" s="47">
        <f>攻击!K71</f>
        <v>87.6</v>
      </c>
      <c r="J71" s="47">
        <f>攻击!L71</f>
        <v>0</v>
      </c>
      <c r="K71" s="47">
        <f>攻击!M71</f>
        <v>116.80000000000001</v>
      </c>
      <c r="L71" s="47">
        <f>攻击!N71</f>
        <v>175.2</v>
      </c>
      <c r="M71" s="47">
        <f>攻击!O71</f>
        <v>219</v>
      </c>
      <c r="N71" s="47">
        <f>攻击!P71</f>
        <v>292</v>
      </c>
      <c r="O71" s="47">
        <f>攻击!Q71</f>
        <v>365</v>
      </c>
      <c r="P71" s="47">
        <f>攻击!R71</f>
        <v>438</v>
      </c>
      <c r="Q71" s="47">
        <f>攻击!S71</f>
        <v>511</v>
      </c>
      <c r="R71" s="47">
        <f>攻击!T71</f>
        <v>109.5</v>
      </c>
      <c r="S71" s="47">
        <f>攻击!U71</f>
        <v>43.8</v>
      </c>
      <c r="T71" s="47">
        <f>攻击!V71</f>
        <v>43.8</v>
      </c>
      <c r="U71" s="47">
        <f>攻击!W71</f>
        <v>7.3000000000000007</v>
      </c>
      <c r="V71" s="54">
        <f>攻击!X71</f>
        <v>0</v>
      </c>
      <c r="W71" s="54">
        <f>攻击!Y71</f>
        <v>0</v>
      </c>
      <c r="X71" s="54">
        <f>攻击!Z71</f>
        <v>0</v>
      </c>
      <c r="Y71" s="54">
        <f>攻击!AA71</f>
        <v>0</v>
      </c>
      <c r="Z71" s="54">
        <f>攻击!AB71</f>
        <v>0</v>
      </c>
      <c r="AA71" s="47">
        <f>攻击!AL71</f>
        <v>0</v>
      </c>
      <c r="AB71" s="54">
        <f>攻击!AM71</f>
        <v>0</v>
      </c>
      <c r="AC71" s="54">
        <f>攻击!AN71</f>
        <v>0</v>
      </c>
      <c r="AD71" s="54">
        <f>攻击!AO71</f>
        <v>0</v>
      </c>
      <c r="AE71" s="54">
        <f>攻击!AP71</f>
        <v>0</v>
      </c>
      <c r="AF71" s="54">
        <f>攻击!AQ71</f>
        <v>0</v>
      </c>
      <c r="AG71" s="47">
        <f>攻击!AR71</f>
        <v>29.200000000000003</v>
      </c>
      <c r="AH71" s="20">
        <f t="shared" si="1"/>
        <v>394.2</v>
      </c>
    </row>
    <row r="72" spans="1:34" s="20" customFormat="1">
      <c r="A72" s="46">
        <v>70</v>
      </c>
      <c r="B72" s="47">
        <f>攻击!D72</f>
        <v>148</v>
      </c>
      <c r="C72" s="47">
        <f>攻击!E72</f>
        <v>177.6</v>
      </c>
      <c r="D72" s="47">
        <f>攻击!F72</f>
        <v>222</v>
      </c>
      <c r="E72" s="47">
        <f>攻击!G72</f>
        <v>296</v>
      </c>
      <c r="F72" s="47">
        <f>攻击!H72</f>
        <v>370</v>
      </c>
      <c r="G72" s="47">
        <f>攻击!I72</f>
        <v>74</v>
      </c>
      <c r="H72" s="47">
        <f>攻击!J72</f>
        <v>44.4</v>
      </c>
      <c r="I72" s="47">
        <f>攻击!K72</f>
        <v>88.8</v>
      </c>
      <c r="J72" s="47">
        <f>攻击!L72</f>
        <v>44.4</v>
      </c>
      <c r="K72" s="47">
        <f>攻击!M72</f>
        <v>118.4</v>
      </c>
      <c r="L72" s="47">
        <f>攻击!N72</f>
        <v>177.6</v>
      </c>
      <c r="M72" s="47">
        <f>攻击!O72</f>
        <v>222</v>
      </c>
      <c r="N72" s="47">
        <f>攻击!P72</f>
        <v>296</v>
      </c>
      <c r="O72" s="47">
        <f>攻击!Q72</f>
        <v>370</v>
      </c>
      <c r="P72" s="47">
        <f>攻击!R72</f>
        <v>444</v>
      </c>
      <c r="Q72" s="47">
        <f>攻击!S72</f>
        <v>518</v>
      </c>
      <c r="R72" s="47">
        <f>攻击!T72</f>
        <v>111</v>
      </c>
      <c r="S72" s="47">
        <f>攻击!U72</f>
        <v>44.4</v>
      </c>
      <c r="T72" s="47">
        <f>攻击!V72</f>
        <v>44.4</v>
      </c>
      <c r="U72" s="47">
        <f>攻击!W72</f>
        <v>7.4</v>
      </c>
      <c r="V72" s="54">
        <f>攻击!X72</f>
        <v>0</v>
      </c>
      <c r="W72" s="54">
        <f>攻击!Y72</f>
        <v>0</v>
      </c>
      <c r="X72" s="54">
        <f>攻击!Z72</f>
        <v>0</v>
      </c>
      <c r="Y72" s="54">
        <f>攻击!AA72</f>
        <v>0</v>
      </c>
      <c r="Z72" s="54">
        <f>攻击!AB72</f>
        <v>0</v>
      </c>
      <c r="AA72" s="47">
        <f>攻击!AL72</f>
        <v>177.6</v>
      </c>
      <c r="AB72" s="54">
        <f>攻击!AM72</f>
        <v>0</v>
      </c>
      <c r="AC72" s="54">
        <f>攻击!AN72</f>
        <v>0</v>
      </c>
      <c r="AD72" s="54">
        <f>攻击!AO72</f>
        <v>0</v>
      </c>
      <c r="AE72" s="54">
        <f>攻击!AP72</f>
        <v>0</v>
      </c>
      <c r="AF72" s="54">
        <f>攻击!AQ72</f>
        <v>0</v>
      </c>
      <c r="AG72" s="47">
        <f>攻击!AR72</f>
        <v>29.6</v>
      </c>
      <c r="AH72" s="20">
        <f t="shared" si="1"/>
        <v>577.20000000000005</v>
      </c>
    </row>
    <row r="73" spans="1:34" s="20" customFormat="1">
      <c r="A73" s="46">
        <v>71</v>
      </c>
      <c r="B73" s="47">
        <f>攻击!D73</f>
        <v>150</v>
      </c>
      <c r="C73" s="47">
        <f>攻击!E73</f>
        <v>180</v>
      </c>
      <c r="D73" s="47">
        <f>攻击!F73</f>
        <v>225</v>
      </c>
      <c r="E73" s="47">
        <f>攻击!G73</f>
        <v>300</v>
      </c>
      <c r="F73" s="47">
        <f>攻击!H73</f>
        <v>375</v>
      </c>
      <c r="G73" s="47">
        <f>攻击!I73</f>
        <v>74</v>
      </c>
      <c r="H73" s="47">
        <f>攻击!J73</f>
        <v>45</v>
      </c>
      <c r="I73" s="47">
        <f>攻击!K73</f>
        <v>90</v>
      </c>
      <c r="J73" s="47">
        <f>攻击!L73</f>
        <v>45</v>
      </c>
      <c r="K73" s="47">
        <f>攻击!M73</f>
        <v>120</v>
      </c>
      <c r="L73" s="47">
        <f>攻击!N73</f>
        <v>180</v>
      </c>
      <c r="M73" s="47">
        <f>攻击!O73</f>
        <v>225</v>
      </c>
      <c r="N73" s="47">
        <f>攻击!P73</f>
        <v>300</v>
      </c>
      <c r="O73" s="47">
        <f>攻击!Q73</f>
        <v>375</v>
      </c>
      <c r="P73" s="47">
        <f>攻击!R73</f>
        <v>450</v>
      </c>
      <c r="Q73" s="47">
        <f>攻击!S73</f>
        <v>525</v>
      </c>
      <c r="R73" s="47">
        <f>攻击!T73</f>
        <v>112.5</v>
      </c>
      <c r="S73" s="47">
        <f>攻击!U73</f>
        <v>45</v>
      </c>
      <c r="T73" s="47">
        <f>攻击!V73</f>
        <v>45</v>
      </c>
      <c r="U73" s="47">
        <f>攻击!W73</f>
        <v>7.5</v>
      </c>
      <c r="V73" s="54">
        <f>攻击!X73</f>
        <v>0</v>
      </c>
      <c r="W73" s="54">
        <f>攻击!Y73</f>
        <v>0</v>
      </c>
      <c r="X73" s="54">
        <f>攻击!Z73</f>
        <v>0</v>
      </c>
      <c r="Y73" s="54">
        <f>攻击!AA73</f>
        <v>0</v>
      </c>
      <c r="Z73" s="54">
        <f>攻击!AB73</f>
        <v>0</v>
      </c>
      <c r="AA73" s="47">
        <f>攻击!AL73</f>
        <v>180</v>
      </c>
      <c r="AB73" s="54">
        <f>攻击!AM73</f>
        <v>0</v>
      </c>
      <c r="AC73" s="54">
        <f>攻击!AN73</f>
        <v>0</v>
      </c>
      <c r="AD73" s="54">
        <f>攻击!AO73</f>
        <v>0</v>
      </c>
      <c r="AE73" s="54">
        <f>攻击!AP73</f>
        <v>0</v>
      </c>
      <c r="AF73" s="54">
        <f>攻击!AQ73</f>
        <v>0</v>
      </c>
      <c r="AG73" s="47">
        <f>攻击!AR73</f>
        <v>30</v>
      </c>
      <c r="AH73" s="20">
        <f t="shared" si="1"/>
        <v>585</v>
      </c>
    </row>
    <row r="74" spans="1:34" s="20" customFormat="1">
      <c r="A74" s="46">
        <v>72</v>
      </c>
      <c r="B74" s="47">
        <f>攻击!D74</f>
        <v>152</v>
      </c>
      <c r="C74" s="47">
        <f>攻击!E74</f>
        <v>182.4</v>
      </c>
      <c r="D74" s="47">
        <f>攻击!F74</f>
        <v>228</v>
      </c>
      <c r="E74" s="47">
        <f>攻击!G74</f>
        <v>304</v>
      </c>
      <c r="F74" s="47">
        <f>攻击!H74</f>
        <v>380</v>
      </c>
      <c r="G74" s="47">
        <f>攻击!I74</f>
        <v>74</v>
      </c>
      <c r="H74" s="47">
        <f>攻击!J74</f>
        <v>45.6</v>
      </c>
      <c r="I74" s="47">
        <f>攻击!K74</f>
        <v>91.2</v>
      </c>
      <c r="J74" s="47">
        <f>攻击!L74</f>
        <v>45.6</v>
      </c>
      <c r="K74" s="47">
        <f>攻击!M74</f>
        <v>121.60000000000001</v>
      </c>
      <c r="L74" s="47">
        <f>攻击!N74</f>
        <v>182.4</v>
      </c>
      <c r="M74" s="47">
        <f>攻击!O74</f>
        <v>228</v>
      </c>
      <c r="N74" s="47">
        <f>攻击!P74</f>
        <v>304</v>
      </c>
      <c r="O74" s="47">
        <f>攻击!Q74</f>
        <v>380</v>
      </c>
      <c r="P74" s="47">
        <f>攻击!R74</f>
        <v>456</v>
      </c>
      <c r="Q74" s="47">
        <f>攻击!S74</f>
        <v>532</v>
      </c>
      <c r="R74" s="47">
        <f>攻击!T74</f>
        <v>114</v>
      </c>
      <c r="S74" s="47">
        <f>攻击!U74</f>
        <v>45.6</v>
      </c>
      <c r="T74" s="47">
        <f>攻击!V74</f>
        <v>45.6</v>
      </c>
      <c r="U74" s="47">
        <f>攻击!W74</f>
        <v>7.6000000000000005</v>
      </c>
      <c r="V74" s="54">
        <f>攻击!X74</f>
        <v>0</v>
      </c>
      <c r="W74" s="54">
        <f>攻击!Y74</f>
        <v>0</v>
      </c>
      <c r="X74" s="54">
        <f>攻击!Z74</f>
        <v>0</v>
      </c>
      <c r="Y74" s="54">
        <f>攻击!AA74</f>
        <v>0</v>
      </c>
      <c r="Z74" s="54">
        <f>攻击!AB74</f>
        <v>0</v>
      </c>
      <c r="AA74" s="47">
        <f>攻击!AL74</f>
        <v>182.4</v>
      </c>
      <c r="AB74" s="54">
        <f>攻击!AM74</f>
        <v>0</v>
      </c>
      <c r="AC74" s="54">
        <f>攻击!AN74</f>
        <v>0</v>
      </c>
      <c r="AD74" s="54">
        <f>攻击!AO74</f>
        <v>0</v>
      </c>
      <c r="AE74" s="54">
        <f>攻击!AP74</f>
        <v>0</v>
      </c>
      <c r="AF74" s="54">
        <f>攻击!AQ74</f>
        <v>0</v>
      </c>
      <c r="AG74" s="47">
        <f>攻击!AR74</f>
        <v>30.400000000000002</v>
      </c>
      <c r="AH74" s="20">
        <f t="shared" si="1"/>
        <v>592.79999999999995</v>
      </c>
    </row>
    <row r="75" spans="1:34" s="20" customFormat="1">
      <c r="A75" s="46">
        <v>73</v>
      </c>
      <c r="B75" s="47">
        <f>攻击!D75</f>
        <v>154</v>
      </c>
      <c r="C75" s="47">
        <f>攻击!E75</f>
        <v>184.79999999999998</v>
      </c>
      <c r="D75" s="47">
        <f>攻击!F75</f>
        <v>231</v>
      </c>
      <c r="E75" s="47">
        <f>攻击!G75</f>
        <v>308</v>
      </c>
      <c r="F75" s="47">
        <f>攻击!H75</f>
        <v>385</v>
      </c>
      <c r="G75" s="47">
        <f>攻击!I75</f>
        <v>74</v>
      </c>
      <c r="H75" s="47">
        <f>攻击!J75</f>
        <v>46.199999999999996</v>
      </c>
      <c r="I75" s="47">
        <f>攻击!K75</f>
        <v>92.399999999999991</v>
      </c>
      <c r="J75" s="47">
        <f>攻击!L75</f>
        <v>46.199999999999996</v>
      </c>
      <c r="K75" s="47">
        <f>攻击!M75</f>
        <v>123.2</v>
      </c>
      <c r="L75" s="47">
        <f>攻击!N75</f>
        <v>184.79999999999998</v>
      </c>
      <c r="M75" s="47">
        <f>攻击!O75</f>
        <v>231</v>
      </c>
      <c r="N75" s="47">
        <f>攻击!P75</f>
        <v>308</v>
      </c>
      <c r="O75" s="47">
        <f>攻击!Q75</f>
        <v>385</v>
      </c>
      <c r="P75" s="47">
        <f>攻击!R75</f>
        <v>462</v>
      </c>
      <c r="Q75" s="47">
        <f>攻击!S75</f>
        <v>539</v>
      </c>
      <c r="R75" s="47">
        <f>攻击!T75</f>
        <v>115.5</v>
      </c>
      <c r="S75" s="47">
        <f>攻击!U75</f>
        <v>46.199999999999996</v>
      </c>
      <c r="T75" s="47">
        <f>攻击!V75</f>
        <v>46.199999999999996</v>
      </c>
      <c r="U75" s="47">
        <f>攻击!W75</f>
        <v>7.7</v>
      </c>
      <c r="V75" s="54">
        <f>攻击!X75</f>
        <v>0</v>
      </c>
      <c r="W75" s="54">
        <f>攻击!Y75</f>
        <v>0</v>
      </c>
      <c r="X75" s="54">
        <f>攻击!Z75</f>
        <v>0</v>
      </c>
      <c r="Y75" s="54">
        <f>攻击!AA75</f>
        <v>0</v>
      </c>
      <c r="Z75" s="54">
        <f>攻击!AB75</f>
        <v>0</v>
      </c>
      <c r="AA75" s="47">
        <f>攻击!AL75</f>
        <v>184.79999999999998</v>
      </c>
      <c r="AB75" s="54">
        <f>攻击!AM75</f>
        <v>0</v>
      </c>
      <c r="AC75" s="54">
        <f>攻击!AN75</f>
        <v>0</v>
      </c>
      <c r="AD75" s="54">
        <f>攻击!AO75</f>
        <v>0</v>
      </c>
      <c r="AE75" s="54">
        <f>攻击!AP75</f>
        <v>0</v>
      </c>
      <c r="AF75" s="54">
        <f>攻击!AQ75</f>
        <v>0</v>
      </c>
      <c r="AG75" s="47">
        <f>攻击!AR75</f>
        <v>30.8</v>
      </c>
      <c r="AH75" s="20">
        <f t="shared" si="1"/>
        <v>600.59999999999991</v>
      </c>
    </row>
    <row r="76" spans="1:34" s="20" customFormat="1">
      <c r="A76" s="46">
        <v>74</v>
      </c>
      <c r="B76" s="47">
        <f>攻击!D76</f>
        <v>156</v>
      </c>
      <c r="C76" s="47">
        <f>攻击!E76</f>
        <v>187.2</v>
      </c>
      <c r="D76" s="47">
        <f>攻击!F76</f>
        <v>234</v>
      </c>
      <c r="E76" s="47">
        <f>攻击!G76</f>
        <v>312</v>
      </c>
      <c r="F76" s="47">
        <f>攻击!H76</f>
        <v>390</v>
      </c>
      <c r="G76" s="47">
        <f>攻击!I76</f>
        <v>74</v>
      </c>
      <c r="H76" s="47">
        <f>攻击!J76</f>
        <v>46.8</v>
      </c>
      <c r="I76" s="47">
        <f>攻击!K76</f>
        <v>93.6</v>
      </c>
      <c r="J76" s="47">
        <f>攻击!L76</f>
        <v>46.8</v>
      </c>
      <c r="K76" s="47">
        <f>攻击!M76</f>
        <v>124.80000000000001</v>
      </c>
      <c r="L76" s="47">
        <f>攻击!N76</f>
        <v>187.2</v>
      </c>
      <c r="M76" s="47">
        <f>攻击!O76</f>
        <v>234</v>
      </c>
      <c r="N76" s="47">
        <f>攻击!P76</f>
        <v>312</v>
      </c>
      <c r="O76" s="47">
        <f>攻击!Q76</f>
        <v>390</v>
      </c>
      <c r="P76" s="47">
        <f>攻击!R76</f>
        <v>468</v>
      </c>
      <c r="Q76" s="47">
        <f>攻击!S76</f>
        <v>546</v>
      </c>
      <c r="R76" s="47">
        <f>攻击!T76</f>
        <v>117</v>
      </c>
      <c r="S76" s="47">
        <f>攻击!U76</f>
        <v>46.8</v>
      </c>
      <c r="T76" s="47">
        <f>攻击!V76</f>
        <v>46.8</v>
      </c>
      <c r="U76" s="47">
        <f>攻击!W76</f>
        <v>7.8000000000000007</v>
      </c>
      <c r="V76" s="54">
        <f>攻击!X76</f>
        <v>0</v>
      </c>
      <c r="W76" s="54">
        <f>攻击!Y76</f>
        <v>0</v>
      </c>
      <c r="X76" s="54">
        <f>攻击!Z76</f>
        <v>0</v>
      </c>
      <c r="Y76" s="54">
        <f>攻击!AA76</f>
        <v>0</v>
      </c>
      <c r="Z76" s="54">
        <f>攻击!AB76</f>
        <v>0</v>
      </c>
      <c r="AA76" s="47">
        <f>攻击!AL76</f>
        <v>187.2</v>
      </c>
      <c r="AB76" s="54">
        <f>攻击!AM76</f>
        <v>0</v>
      </c>
      <c r="AC76" s="54">
        <f>攻击!AN76</f>
        <v>0</v>
      </c>
      <c r="AD76" s="54">
        <f>攻击!AO76</f>
        <v>0</v>
      </c>
      <c r="AE76" s="54">
        <f>攻击!AP76</f>
        <v>0</v>
      </c>
      <c r="AF76" s="54">
        <f>攻击!AQ76</f>
        <v>0</v>
      </c>
      <c r="AG76" s="47">
        <f>攻击!AR76</f>
        <v>31.200000000000003</v>
      </c>
      <c r="AH76" s="20">
        <f t="shared" si="1"/>
        <v>608.40000000000009</v>
      </c>
    </row>
    <row r="77" spans="1:34" s="20" customFormat="1">
      <c r="A77" s="46">
        <v>75</v>
      </c>
      <c r="B77" s="47">
        <f>攻击!D77</f>
        <v>158</v>
      </c>
      <c r="C77" s="47">
        <f>攻击!E77</f>
        <v>189.6</v>
      </c>
      <c r="D77" s="47">
        <f>攻击!F77</f>
        <v>237</v>
      </c>
      <c r="E77" s="47">
        <f>攻击!G77</f>
        <v>316</v>
      </c>
      <c r="F77" s="47">
        <f>攻击!H77</f>
        <v>395</v>
      </c>
      <c r="G77" s="47">
        <f>攻击!I77</f>
        <v>79</v>
      </c>
      <c r="H77" s="47">
        <f>攻击!J77</f>
        <v>47.4</v>
      </c>
      <c r="I77" s="47">
        <f>攻击!K77</f>
        <v>94.8</v>
      </c>
      <c r="J77" s="47">
        <f>攻击!L77</f>
        <v>47.4</v>
      </c>
      <c r="K77" s="47">
        <f>攻击!M77</f>
        <v>126.4</v>
      </c>
      <c r="L77" s="47">
        <f>攻击!N77</f>
        <v>189.6</v>
      </c>
      <c r="M77" s="47">
        <f>攻击!O77</f>
        <v>237</v>
      </c>
      <c r="N77" s="47">
        <f>攻击!P77</f>
        <v>316</v>
      </c>
      <c r="O77" s="47">
        <f>攻击!Q77</f>
        <v>395</v>
      </c>
      <c r="P77" s="47">
        <f>攻击!R77</f>
        <v>474</v>
      </c>
      <c r="Q77" s="47">
        <f>攻击!S77</f>
        <v>553</v>
      </c>
      <c r="R77" s="47">
        <f>攻击!T77</f>
        <v>118.5</v>
      </c>
      <c r="S77" s="47">
        <f>攻击!U77</f>
        <v>47.4</v>
      </c>
      <c r="T77" s="47">
        <f>攻击!V77</f>
        <v>47.4</v>
      </c>
      <c r="U77" s="47">
        <f>攻击!W77</f>
        <v>7.9</v>
      </c>
      <c r="V77" s="54">
        <f>攻击!X77</f>
        <v>0</v>
      </c>
      <c r="W77" s="54">
        <f>攻击!Y77</f>
        <v>0</v>
      </c>
      <c r="X77" s="54">
        <f>攻击!Z77</f>
        <v>0</v>
      </c>
      <c r="Y77" s="54">
        <f>攻击!AA77</f>
        <v>0</v>
      </c>
      <c r="Z77" s="54">
        <f>攻击!AB77</f>
        <v>0</v>
      </c>
      <c r="AA77" s="47">
        <f>攻击!AL77</f>
        <v>189.6</v>
      </c>
      <c r="AB77" s="54">
        <f>攻击!AM77</f>
        <v>0</v>
      </c>
      <c r="AC77" s="54">
        <f>攻击!AN77</f>
        <v>0</v>
      </c>
      <c r="AD77" s="54">
        <f>攻击!AO77</f>
        <v>0</v>
      </c>
      <c r="AE77" s="54">
        <f>攻击!AP77</f>
        <v>0</v>
      </c>
      <c r="AF77" s="54">
        <f>攻击!AQ77</f>
        <v>0</v>
      </c>
      <c r="AG77" s="47">
        <f>攻击!AR77</f>
        <v>31.6</v>
      </c>
      <c r="AH77" s="20">
        <f t="shared" si="1"/>
        <v>616.20000000000005</v>
      </c>
    </row>
    <row r="78" spans="1:34" s="20" customFormat="1">
      <c r="A78" s="46">
        <v>76</v>
      </c>
      <c r="B78" s="47">
        <f>攻击!D78</f>
        <v>160</v>
      </c>
      <c r="C78" s="47">
        <f>攻击!E78</f>
        <v>192</v>
      </c>
      <c r="D78" s="47">
        <f>攻击!F78</f>
        <v>240</v>
      </c>
      <c r="E78" s="47">
        <f>攻击!G78</f>
        <v>320</v>
      </c>
      <c r="F78" s="47">
        <f>攻击!H78</f>
        <v>400</v>
      </c>
      <c r="G78" s="47">
        <f>攻击!I78</f>
        <v>79</v>
      </c>
      <c r="H78" s="47">
        <f>攻击!J78</f>
        <v>48</v>
      </c>
      <c r="I78" s="47">
        <f>攻击!K78</f>
        <v>96</v>
      </c>
      <c r="J78" s="47">
        <f>攻击!L78</f>
        <v>48</v>
      </c>
      <c r="K78" s="47">
        <f>攻击!M78</f>
        <v>128</v>
      </c>
      <c r="L78" s="47">
        <f>攻击!N78</f>
        <v>192</v>
      </c>
      <c r="M78" s="47">
        <f>攻击!O78</f>
        <v>240</v>
      </c>
      <c r="N78" s="47">
        <f>攻击!P78</f>
        <v>320</v>
      </c>
      <c r="O78" s="47">
        <f>攻击!Q78</f>
        <v>400</v>
      </c>
      <c r="P78" s="47">
        <f>攻击!R78</f>
        <v>480</v>
      </c>
      <c r="Q78" s="47">
        <f>攻击!S78</f>
        <v>560</v>
      </c>
      <c r="R78" s="47">
        <f>攻击!T78</f>
        <v>120</v>
      </c>
      <c r="S78" s="47">
        <f>攻击!U78</f>
        <v>48</v>
      </c>
      <c r="T78" s="47">
        <f>攻击!V78</f>
        <v>48</v>
      </c>
      <c r="U78" s="47">
        <f>攻击!W78</f>
        <v>8</v>
      </c>
      <c r="V78" s="54">
        <f>攻击!X78</f>
        <v>0</v>
      </c>
      <c r="W78" s="54">
        <f>攻击!Y78</f>
        <v>0</v>
      </c>
      <c r="X78" s="54">
        <f>攻击!Z78</f>
        <v>0</v>
      </c>
      <c r="Y78" s="54">
        <f>攻击!AA78</f>
        <v>0</v>
      </c>
      <c r="Z78" s="54">
        <f>攻击!AB78</f>
        <v>0</v>
      </c>
      <c r="AA78" s="47">
        <f>攻击!AL78</f>
        <v>192</v>
      </c>
      <c r="AB78" s="54">
        <f>攻击!AM78</f>
        <v>0</v>
      </c>
      <c r="AC78" s="54">
        <f>攻击!AN78</f>
        <v>0</v>
      </c>
      <c r="AD78" s="54">
        <f>攻击!AO78</f>
        <v>0</v>
      </c>
      <c r="AE78" s="54">
        <f>攻击!AP78</f>
        <v>0</v>
      </c>
      <c r="AF78" s="54">
        <f>攻击!AQ78</f>
        <v>0</v>
      </c>
      <c r="AG78" s="47">
        <f>攻击!AR78</f>
        <v>32</v>
      </c>
      <c r="AH78" s="20">
        <f t="shared" si="1"/>
        <v>624</v>
      </c>
    </row>
    <row r="79" spans="1:34" s="20" customFormat="1">
      <c r="A79" s="46">
        <v>77</v>
      </c>
      <c r="B79" s="47">
        <f>攻击!D79</f>
        <v>162</v>
      </c>
      <c r="C79" s="47">
        <f>攻击!E79</f>
        <v>194.4</v>
      </c>
      <c r="D79" s="47">
        <f>攻击!F79</f>
        <v>243</v>
      </c>
      <c r="E79" s="47">
        <f>攻击!G79</f>
        <v>324</v>
      </c>
      <c r="F79" s="47">
        <f>攻击!H79</f>
        <v>405</v>
      </c>
      <c r="G79" s="47">
        <f>攻击!I79</f>
        <v>79</v>
      </c>
      <c r="H79" s="47">
        <f>攻击!J79</f>
        <v>48.6</v>
      </c>
      <c r="I79" s="47">
        <f>攻击!K79</f>
        <v>97.2</v>
      </c>
      <c r="J79" s="47">
        <f>攻击!L79</f>
        <v>48.6</v>
      </c>
      <c r="K79" s="47">
        <f>攻击!M79</f>
        <v>129.6</v>
      </c>
      <c r="L79" s="47">
        <f>攻击!N79</f>
        <v>194.4</v>
      </c>
      <c r="M79" s="47">
        <f>攻击!O79</f>
        <v>243</v>
      </c>
      <c r="N79" s="47">
        <f>攻击!P79</f>
        <v>324</v>
      </c>
      <c r="O79" s="47">
        <f>攻击!Q79</f>
        <v>405</v>
      </c>
      <c r="P79" s="47">
        <f>攻击!R79</f>
        <v>486</v>
      </c>
      <c r="Q79" s="47">
        <f>攻击!S79</f>
        <v>567</v>
      </c>
      <c r="R79" s="47">
        <f>攻击!T79</f>
        <v>121.5</v>
      </c>
      <c r="S79" s="47">
        <f>攻击!U79</f>
        <v>48.6</v>
      </c>
      <c r="T79" s="47">
        <f>攻击!V79</f>
        <v>48.6</v>
      </c>
      <c r="U79" s="47">
        <f>攻击!W79</f>
        <v>8.1</v>
      </c>
      <c r="V79" s="54">
        <f>攻击!X79</f>
        <v>0</v>
      </c>
      <c r="W79" s="54">
        <f>攻击!Y79</f>
        <v>0</v>
      </c>
      <c r="X79" s="54">
        <f>攻击!Z79</f>
        <v>0</v>
      </c>
      <c r="Y79" s="54">
        <f>攻击!AA79</f>
        <v>0</v>
      </c>
      <c r="Z79" s="54">
        <f>攻击!AB79</f>
        <v>0</v>
      </c>
      <c r="AA79" s="47">
        <f>攻击!AL79</f>
        <v>194.4</v>
      </c>
      <c r="AB79" s="54">
        <f>攻击!AM79</f>
        <v>0</v>
      </c>
      <c r="AC79" s="54">
        <f>攻击!AN79</f>
        <v>0</v>
      </c>
      <c r="AD79" s="54">
        <f>攻击!AO79</f>
        <v>0</v>
      </c>
      <c r="AE79" s="54">
        <f>攻击!AP79</f>
        <v>0</v>
      </c>
      <c r="AF79" s="54">
        <f>攻击!AQ79</f>
        <v>0</v>
      </c>
      <c r="AG79" s="47">
        <f>攻击!AR79</f>
        <v>32.4</v>
      </c>
      <c r="AH79" s="20">
        <f t="shared" si="1"/>
        <v>631.79999999999995</v>
      </c>
    </row>
    <row r="80" spans="1:34" s="20" customFormat="1">
      <c r="A80" s="46">
        <v>78</v>
      </c>
      <c r="B80" s="47">
        <f>攻击!D80</f>
        <v>164</v>
      </c>
      <c r="C80" s="47">
        <f>攻击!E80</f>
        <v>196.79999999999998</v>
      </c>
      <c r="D80" s="47">
        <f>攻击!F80</f>
        <v>246</v>
      </c>
      <c r="E80" s="47">
        <f>攻击!G80</f>
        <v>328</v>
      </c>
      <c r="F80" s="47">
        <f>攻击!H80</f>
        <v>410</v>
      </c>
      <c r="G80" s="47">
        <f>攻击!I80</f>
        <v>79</v>
      </c>
      <c r="H80" s="47">
        <f>攻击!J80</f>
        <v>49.199999999999996</v>
      </c>
      <c r="I80" s="47">
        <f>攻击!K80</f>
        <v>98.399999999999991</v>
      </c>
      <c r="J80" s="47">
        <f>攻击!L80</f>
        <v>49.199999999999996</v>
      </c>
      <c r="K80" s="47">
        <f>攻击!M80</f>
        <v>131.20000000000002</v>
      </c>
      <c r="L80" s="47">
        <f>攻击!N80</f>
        <v>196.79999999999998</v>
      </c>
      <c r="M80" s="47">
        <f>攻击!O80</f>
        <v>246</v>
      </c>
      <c r="N80" s="47">
        <f>攻击!P80</f>
        <v>328</v>
      </c>
      <c r="O80" s="47">
        <f>攻击!Q80</f>
        <v>410</v>
      </c>
      <c r="P80" s="47">
        <f>攻击!R80</f>
        <v>492</v>
      </c>
      <c r="Q80" s="47">
        <f>攻击!S80</f>
        <v>574</v>
      </c>
      <c r="R80" s="47">
        <f>攻击!T80</f>
        <v>123</v>
      </c>
      <c r="S80" s="47">
        <f>攻击!U80</f>
        <v>49.199999999999996</v>
      </c>
      <c r="T80" s="47">
        <f>攻击!V80</f>
        <v>49.199999999999996</v>
      </c>
      <c r="U80" s="47">
        <f>攻击!W80</f>
        <v>8.2000000000000011</v>
      </c>
      <c r="V80" s="54">
        <f>攻击!X80</f>
        <v>0</v>
      </c>
      <c r="W80" s="54">
        <f>攻击!Y80</f>
        <v>0</v>
      </c>
      <c r="X80" s="54">
        <f>攻击!Z80</f>
        <v>0</v>
      </c>
      <c r="Y80" s="54">
        <f>攻击!AA80</f>
        <v>0</v>
      </c>
      <c r="Z80" s="54">
        <f>攻击!AB80</f>
        <v>0</v>
      </c>
      <c r="AA80" s="47">
        <f>攻击!AL80</f>
        <v>196.79999999999998</v>
      </c>
      <c r="AB80" s="54">
        <f>攻击!AM80</f>
        <v>0</v>
      </c>
      <c r="AC80" s="54">
        <f>攻击!AN80</f>
        <v>0</v>
      </c>
      <c r="AD80" s="54">
        <f>攻击!AO80</f>
        <v>0</v>
      </c>
      <c r="AE80" s="54">
        <f>攻击!AP80</f>
        <v>0</v>
      </c>
      <c r="AF80" s="54">
        <f>攻击!AQ80</f>
        <v>0</v>
      </c>
      <c r="AG80" s="47">
        <f>攻击!AR80</f>
        <v>32.800000000000004</v>
      </c>
      <c r="AH80" s="20">
        <f t="shared" si="1"/>
        <v>639.59999999999991</v>
      </c>
    </row>
    <row r="81" spans="1:34" s="20" customFormat="1">
      <c r="A81" s="46">
        <v>79</v>
      </c>
      <c r="B81" s="47">
        <f>攻击!D81</f>
        <v>166</v>
      </c>
      <c r="C81" s="47">
        <f>攻击!E81</f>
        <v>199.2</v>
      </c>
      <c r="D81" s="47">
        <f>攻击!F81</f>
        <v>249</v>
      </c>
      <c r="E81" s="47">
        <f>攻击!G81</f>
        <v>332</v>
      </c>
      <c r="F81" s="47">
        <f>攻击!H81</f>
        <v>415</v>
      </c>
      <c r="G81" s="47">
        <f>攻击!I81</f>
        <v>79</v>
      </c>
      <c r="H81" s="47">
        <f>攻击!J81</f>
        <v>49.8</v>
      </c>
      <c r="I81" s="47">
        <f>攻击!K81</f>
        <v>99.6</v>
      </c>
      <c r="J81" s="47">
        <f>攻击!L81</f>
        <v>49.8</v>
      </c>
      <c r="K81" s="47">
        <f>攻击!M81</f>
        <v>132.80000000000001</v>
      </c>
      <c r="L81" s="47">
        <f>攻击!N81</f>
        <v>199.2</v>
      </c>
      <c r="M81" s="47">
        <f>攻击!O81</f>
        <v>249</v>
      </c>
      <c r="N81" s="47">
        <f>攻击!P81</f>
        <v>332</v>
      </c>
      <c r="O81" s="47">
        <f>攻击!Q81</f>
        <v>415</v>
      </c>
      <c r="P81" s="47">
        <f>攻击!R81</f>
        <v>498</v>
      </c>
      <c r="Q81" s="47">
        <f>攻击!S81</f>
        <v>581</v>
      </c>
      <c r="R81" s="47">
        <f>攻击!T81</f>
        <v>124.5</v>
      </c>
      <c r="S81" s="47">
        <f>攻击!U81</f>
        <v>49.8</v>
      </c>
      <c r="T81" s="47">
        <f>攻击!V81</f>
        <v>49.8</v>
      </c>
      <c r="U81" s="47">
        <f>攻击!W81</f>
        <v>8.3000000000000007</v>
      </c>
      <c r="V81" s="54">
        <f>攻击!X81</f>
        <v>0</v>
      </c>
      <c r="W81" s="54">
        <f>攻击!Y81</f>
        <v>0</v>
      </c>
      <c r="X81" s="54">
        <f>攻击!Z81</f>
        <v>0</v>
      </c>
      <c r="Y81" s="54">
        <f>攻击!AA81</f>
        <v>0</v>
      </c>
      <c r="Z81" s="54">
        <f>攻击!AB81</f>
        <v>0</v>
      </c>
      <c r="AA81" s="47">
        <f>攻击!AL81</f>
        <v>199.2</v>
      </c>
      <c r="AB81" s="54">
        <f>攻击!AM81</f>
        <v>0</v>
      </c>
      <c r="AC81" s="54">
        <f>攻击!AN81</f>
        <v>0</v>
      </c>
      <c r="AD81" s="54">
        <f>攻击!AO81</f>
        <v>0</v>
      </c>
      <c r="AE81" s="54">
        <f>攻击!AP81</f>
        <v>0</v>
      </c>
      <c r="AF81" s="54">
        <f>攻击!AQ81</f>
        <v>0</v>
      </c>
      <c r="AG81" s="47">
        <f>攻击!AR81</f>
        <v>33.200000000000003</v>
      </c>
      <c r="AH81" s="20">
        <f t="shared" si="1"/>
        <v>647.40000000000009</v>
      </c>
    </row>
    <row r="82" spans="1:34" s="20" customFormat="1">
      <c r="A82" s="46">
        <v>80</v>
      </c>
      <c r="B82" s="47">
        <f>攻击!D82</f>
        <v>168</v>
      </c>
      <c r="C82" s="47">
        <f>攻击!E82</f>
        <v>201.6</v>
      </c>
      <c r="D82" s="47">
        <f>攻击!F82</f>
        <v>252</v>
      </c>
      <c r="E82" s="47">
        <f>攻击!G82</f>
        <v>336</v>
      </c>
      <c r="F82" s="47">
        <f>攻击!H82</f>
        <v>420</v>
      </c>
      <c r="G82" s="47">
        <f>攻击!I82</f>
        <v>84</v>
      </c>
      <c r="H82" s="47">
        <f>攻击!J82</f>
        <v>50.4</v>
      </c>
      <c r="I82" s="47">
        <f>攻击!K82</f>
        <v>100.8</v>
      </c>
      <c r="J82" s="47">
        <f>攻击!L82</f>
        <v>50.4</v>
      </c>
      <c r="K82" s="47">
        <f>攻击!M82</f>
        <v>134.4</v>
      </c>
      <c r="L82" s="47">
        <f>攻击!N82</f>
        <v>201.6</v>
      </c>
      <c r="M82" s="47">
        <f>攻击!O82</f>
        <v>252</v>
      </c>
      <c r="N82" s="47">
        <f>攻击!P82</f>
        <v>336</v>
      </c>
      <c r="O82" s="47">
        <f>攻击!Q82</f>
        <v>420</v>
      </c>
      <c r="P82" s="47">
        <f>攻击!R82</f>
        <v>504</v>
      </c>
      <c r="Q82" s="47">
        <f>攻击!S82</f>
        <v>588</v>
      </c>
      <c r="R82" s="47">
        <f>攻击!T82</f>
        <v>126</v>
      </c>
      <c r="S82" s="47">
        <f>攻击!U82</f>
        <v>50.4</v>
      </c>
      <c r="T82" s="47">
        <f>攻击!V82</f>
        <v>50.4</v>
      </c>
      <c r="U82" s="47">
        <f>攻击!W82</f>
        <v>8.4</v>
      </c>
      <c r="V82" s="54">
        <f>攻击!X82</f>
        <v>0.2</v>
      </c>
      <c r="W82" s="54">
        <f>攻击!Y82</f>
        <v>0.3</v>
      </c>
      <c r="X82" s="54">
        <f>攻击!Z82</f>
        <v>0.5</v>
      </c>
      <c r="Y82" s="54">
        <f>攻击!AA82</f>
        <v>0.8</v>
      </c>
      <c r="Z82" s="54">
        <f>攻击!AB82</f>
        <v>1.2</v>
      </c>
      <c r="AA82" s="47">
        <f>攻击!AL82</f>
        <v>201.6</v>
      </c>
      <c r="AB82" s="54">
        <f>攻击!AM82</f>
        <v>0.2</v>
      </c>
      <c r="AC82" s="54">
        <f>攻击!AN82</f>
        <v>0.3</v>
      </c>
      <c r="AD82" s="54">
        <f>攻击!AO82</f>
        <v>0.5</v>
      </c>
      <c r="AE82" s="54">
        <f>攻击!AP82</f>
        <v>0.8</v>
      </c>
      <c r="AF82" s="54">
        <f>攻击!AQ82</f>
        <v>1.2</v>
      </c>
      <c r="AG82" s="47">
        <f>攻击!AR82</f>
        <v>33.6</v>
      </c>
      <c r="AH82" s="20">
        <f t="shared" si="1"/>
        <v>655.20000000000005</v>
      </c>
    </row>
    <row r="83" spans="1:34" s="20" customFormat="1">
      <c r="A83" s="46">
        <v>81</v>
      </c>
      <c r="B83" s="47">
        <f>攻击!D83</f>
        <v>170</v>
      </c>
      <c r="C83" s="47">
        <f>攻击!E83</f>
        <v>204</v>
      </c>
      <c r="D83" s="47">
        <f>攻击!F83</f>
        <v>255</v>
      </c>
      <c r="E83" s="47">
        <f>攻击!G83</f>
        <v>340</v>
      </c>
      <c r="F83" s="47">
        <f>攻击!H83</f>
        <v>425</v>
      </c>
      <c r="G83" s="47">
        <f>攻击!I83</f>
        <v>84</v>
      </c>
      <c r="H83" s="47">
        <f>攻击!J83</f>
        <v>51</v>
      </c>
      <c r="I83" s="47">
        <f>攻击!K83</f>
        <v>102</v>
      </c>
      <c r="J83" s="47">
        <f>攻击!L83</f>
        <v>51</v>
      </c>
      <c r="K83" s="47">
        <f>攻击!M83</f>
        <v>136</v>
      </c>
      <c r="L83" s="47">
        <f>攻击!N83</f>
        <v>204</v>
      </c>
      <c r="M83" s="47">
        <f>攻击!O83</f>
        <v>255</v>
      </c>
      <c r="N83" s="47">
        <f>攻击!P83</f>
        <v>340</v>
      </c>
      <c r="O83" s="47">
        <f>攻击!Q83</f>
        <v>425</v>
      </c>
      <c r="P83" s="47">
        <f>攻击!R83</f>
        <v>510</v>
      </c>
      <c r="Q83" s="47">
        <f>攻击!S83</f>
        <v>595</v>
      </c>
      <c r="R83" s="47">
        <f>攻击!T83</f>
        <v>127.5</v>
      </c>
      <c r="S83" s="47">
        <f>攻击!U83</f>
        <v>51</v>
      </c>
      <c r="T83" s="47">
        <f>攻击!V83</f>
        <v>51</v>
      </c>
      <c r="U83" s="47">
        <f>攻击!W83</f>
        <v>8.5</v>
      </c>
      <c r="V83" s="54">
        <f>攻击!X83</f>
        <v>0.2</v>
      </c>
      <c r="W83" s="54">
        <f>攻击!Y83</f>
        <v>0.3</v>
      </c>
      <c r="X83" s="54">
        <f>攻击!Z83</f>
        <v>0.5</v>
      </c>
      <c r="Y83" s="54">
        <f>攻击!AA83</f>
        <v>0.8</v>
      </c>
      <c r="Z83" s="54">
        <f>攻击!AB83</f>
        <v>1.2</v>
      </c>
      <c r="AA83" s="47">
        <f>攻击!AL83</f>
        <v>204</v>
      </c>
      <c r="AB83" s="54">
        <f>攻击!AM83</f>
        <v>0.2</v>
      </c>
      <c r="AC83" s="54">
        <f>攻击!AN83</f>
        <v>0.3</v>
      </c>
      <c r="AD83" s="54">
        <f>攻击!AO83</f>
        <v>0.5</v>
      </c>
      <c r="AE83" s="54">
        <f>攻击!AP83</f>
        <v>0.8</v>
      </c>
      <c r="AF83" s="54">
        <f>攻击!AQ83</f>
        <v>1.2</v>
      </c>
      <c r="AG83" s="47">
        <f>攻击!AR83</f>
        <v>34</v>
      </c>
      <c r="AH83" s="20">
        <f t="shared" si="1"/>
        <v>663</v>
      </c>
    </row>
    <row r="84" spans="1:34" s="20" customFormat="1">
      <c r="A84" s="46">
        <v>82</v>
      </c>
      <c r="B84" s="47">
        <f>攻击!D84</f>
        <v>172</v>
      </c>
      <c r="C84" s="47">
        <f>攻击!E84</f>
        <v>206.4</v>
      </c>
      <c r="D84" s="47">
        <f>攻击!F84</f>
        <v>258</v>
      </c>
      <c r="E84" s="47">
        <f>攻击!G84</f>
        <v>344</v>
      </c>
      <c r="F84" s="47">
        <f>攻击!H84</f>
        <v>430</v>
      </c>
      <c r="G84" s="47">
        <f>攻击!I84</f>
        <v>84</v>
      </c>
      <c r="H84" s="47">
        <f>攻击!J84</f>
        <v>51.6</v>
      </c>
      <c r="I84" s="47">
        <f>攻击!K84</f>
        <v>103.2</v>
      </c>
      <c r="J84" s="47">
        <f>攻击!L84</f>
        <v>51.6</v>
      </c>
      <c r="K84" s="47">
        <f>攻击!M84</f>
        <v>137.6</v>
      </c>
      <c r="L84" s="47">
        <f>攻击!N84</f>
        <v>206.4</v>
      </c>
      <c r="M84" s="47">
        <f>攻击!O84</f>
        <v>258</v>
      </c>
      <c r="N84" s="47">
        <f>攻击!P84</f>
        <v>344</v>
      </c>
      <c r="O84" s="47">
        <f>攻击!Q84</f>
        <v>430</v>
      </c>
      <c r="P84" s="47">
        <f>攻击!R84</f>
        <v>516</v>
      </c>
      <c r="Q84" s="47">
        <f>攻击!S84</f>
        <v>602</v>
      </c>
      <c r="R84" s="47">
        <f>攻击!T84</f>
        <v>129</v>
      </c>
      <c r="S84" s="47">
        <f>攻击!U84</f>
        <v>51.6</v>
      </c>
      <c r="T84" s="47">
        <f>攻击!V84</f>
        <v>51.6</v>
      </c>
      <c r="U84" s="47">
        <f>攻击!W84</f>
        <v>8.6</v>
      </c>
      <c r="V84" s="54">
        <f>攻击!X84</f>
        <v>0.2</v>
      </c>
      <c r="W84" s="54">
        <f>攻击!Y84</f>
        <v>0.3</v>
      </c>
      <c r="X84" s="54">
        <f>攻击!Z84</f>
        <v>0.5</v>
      </c>
      <c r="Y84" s="54">
        <f>攻击!AA84</f>
        <v>0.8</v>
      </c>
      <c r="Z84" s="54">
        <f>攻击!AB84</f>
        <v>1.2</v>
      </c>
      <c r="AA84" s="47">
        <f>攻击!AL84</f>
        <v>206.4</v>
      </c>
      <c r="AB84" s="54">
        <f>攻击!AM84</f>
        <v>0.2</v>
      </c>
      <c r="AC84" s="54">
        <f>攻击!AN84</f>
        <v>0.3</v>
      </c>
      <c r="AD84" s="54">
        <f>攻击!AO84</f>
        <v>0.5</v>
      </c>
      <c r="AE84" s="54">
        <f>攻击!AP84</f>
        <v>0.8</v>
      </c>
      <c r="AF84" s="54">
        <f>攻击!AQ84</f>
        <v>1.2</v>
      </c>
      <c r="AG84" s="47">
        <f>攻击!AR84</f>
        <v>34.4</v>
      </c>
      <c r="AH84" s="20">
        <f t="shared" si="1"/>
        <v>670.8</v>
      </c>
    </row>
    <row r="85" spans="1:34" s="20" customFormat="1">
      <c r="A85" s="46">
        <v>83</v>
      </c>
      <c r="B85" s="47">
        <f>攻击!D85</f>
        <v>174</v>
      </c>
      <c r="C85" s="47">
        <f>攻击!E85</f>
        <v>208.79999999999998</v>
      </c>
      <c r="D85" s="47">
        <f>攻击!F85</f>
        <v>261</v>
      </c>
      <c r="E85" s="47">
        <f>攻击!G85</f>
        <v>348</v>
      </c>
      <c r="F85" s="47">
        <f>攻击!H85</f>
        <v>435</v>
      </c>
      <c r="G85" s="47">
        <f>攻击!I85</f>
        <v>84</v>
      </c>
      <c r="H85" s="47">
        <f>攻击!J85</f>
        <v>52.199999999999996</v>
      </c>
      <c r="I85" s="47">
        <f>攻击!K85</f>
        <v>104.39999999999999</v>
      </c>
      <c r="J85" s="47">
        <f>攻击!L85</f>
        <v>52.199999999999996</v>
      </c>
      <c r="K85" s="47">
        <f>攻击!M85</f>
        <v>139.20000000000002</v>
      </c>
      <c r="L85" s="47">
        <f>攻击!N85</f>
        <v>208.79999999999998</v>
      </c>
      <c r="M85" s="47">
        <f>攻击!O85</f>
        <v>261</v>
      </c>
      <c r="N85" s="47">
        <f>攻击!P85</f>
        <v>348</v>
      </c>
      <c r="O85" s="47">
        <f>攻击!Q85</f>
        <v>435</v>
      </c>
      <c r="P85" s="47">
        <f>攻击!R85</f>
        <v>522</v>
      </c>
      <c r="Q85" s="47">
        <f>攻击!S85</f>
        <v>609</v>
      </c>
      <c r="R85" s="47">
        <f>攻击!T85</f>
        <v>130.5</v>
      </c>
      <c r="S85" s="47">
        <f>攻击!U85</f>
        <v>52.199999999999996</v>
      </c>
      <c r="T85" s="47">
        <f>攻击!V85</f>
        <v>52.199999999999996</v>
      </c>
      <c r="U85" s="47">
        <f>攻击!W85</f>
        <v>8.7000000000000011</v>
      </c>
      <c r="V85" s="54">
        <f>攻击!X85</f>
        <v>0.2</v>
      </c>
      <c r="W85" s="54">
        <f>攻击!Y85</f>
        <v>0.3</v>
      </c>
      <c r="X85" s="54">
        <f>攻击!Z85</f>
        <v>0.5</v>
      </c>
      <c r="Y85" s="54">
        <f>攻击!AA85</f>
        <v>0.8</v>
      </c>
      <c r="Z85" s="54">
        <f>攻击!AB85</f>
        <v>1.2</v>
      </c>
      <c r="AA85" s="47">
        <f>攻击!AL85</f>
        <v>208.79999999999998</v>
      </c>
      <c r="AB85" s="54">
        <f>攻击!AM85</f>
        <v>0.2</v>
      </c>
      <c r="AC85" s="54">
        <f>攻击!AN85</f>
        <v>0.3</v>
      </c>
      <c r="AD85" s="54">
        <f>攻击!AO85</f>
        <v>0.5</v>
      </c>
      <c r="AE85" s="54">
        <f>攻击!AP85</f>
        <v>0.8</v>
      </c>
      <c r="AF85" s="54">
        <f>攻击!AQ85</f>
        <v>1.2</v>
      </c>
      <c r="AG85" s="47">
        <f>攻击!AR85</f>
        <v>34.800000000000004</v>
      </c>
      <c r="AH85" s="20">
        <f t="shared" si="1"/>
        <v>678.59999999999991</v>
      </c>
    </row>
    <row r="86" spans="1:34" s="20" customFormat="1">
      <c r="A86" s="46">
        <v>84</v>
      </c>
      <c r="B86" s="47">
        <f>攻击!D86</f>
        <v>176</v>
      </c>
      <c r="C86" s="47">
        <f>攻击!E86</f>
        <v>211.2</v>
      </c>
      <c r="D86" s="47">
        <f>攻击!F86</f>
        <v>264</v>
      </c>
      <c r="E86" s="47">
        <f>攻击!G86</f>
        <v>352</v>
      </c>
      <c r="F86" s="47">
        <f>攻击!H86</f>
        <v>440</v>
      </c>
      <c r="G86" s="47">
        <f>攻击!I86</f>
        <v>84</v>
      </c>
      <c r="H86" s="47">
        <f>攻击!J86</f>
        <v>52.8</v>
      </c>
      <c r="I86" s="47">
        <f>攻击!K86</f>
        <v>105.6</v>
      </c>
      <c r="J86" s="47">
        <f>攻击!L86</f>
        <v>52.8</v>
      </c>
      <c r="K86" s="47">
        <f>攻击!M86</f>
        <v>140.80000000000001</v>
      </c>
      <c r="L86" s="47">
        <f>攻击!N86</f>
        <v>211.2</v>
      </c>
      <c r="M86" s="47">
        <f>攻击!O86</f>
        <v>264</v>
      </c>
      <c r="N86" s="47">
        <f>攻击!P86</f>
        <v>352</v>
      </c>
      <c r="O86" s="47">
        <f>攻击!Q86</f>
        <v>440</v>
      </c>
      <c r="P86" s="47">
        <f>攻击!R86</f>
        <v>528</v>
      </c>
      <c r="Q86" s="47">
        <f>攻击!S86</f>
        <v>616</v>
      </c>
      <c r="R86" s="47">
        <f>攻击!T86</f>
        <v>132</v>
      </c>
      <c r="S86" s="47">
        <f>攻击!U86</f>
        <v>52.8</v>
      </c>
      <c r="T86" s="47">
        <f>攻击!V86</f>
        <v>52.8</v>
      </c>
      <c r="U86" s="47">
        <f>攻击!W86</f>
        <v>8.8000000000000007</v>
      </c>
      <c r="V86" s="54">
        <f>攻击!X86</f>
        <v>0.2</v>
      </c>
      <c r="W86" s="54">
        <f>攻击!Y86</f>
        <v>0.3</v>
      </c>
      <c r="X86" s="54">
        <f>攻击!Z86</f>
        <v>0.5</v>
      </c>
      <c r="Y86" s="54">
        <f>攻击!AA86</f>
        <v>0.8</v>
      </c>
      <c r="Z86" s="54">
        <f>攻击!AB86</f>
        <v>1.2</v>
      </c>
      <c r="AA86" s="47">
        <f>攻击!AL86</f>
        <v>211.2</v>
      </c>
      <c r="AB86" s="54">
        <f>攻击!AM86</f>
        <v>0.2</v>
      </c>
      <c r="AC86" s="54">
        <f>攻击!AN86</f>
        <v>0.3</v>
      </c>
      <c r="AD86" s="54">
        <f>攻击!AO86</f>
        <v>0.5</v>
      </c>
      <c r="AE86" s="54">
        <f>攻击!AP86</f>
        <v>0.8</v>
      </c>
      <c r="AF86" s="54">
        <f>攻击!AQ86</f>
        <v>1.2</v>
      </c>
      <c r="AG86" s="47">
        <f>攻击!AR86</f>
        <v>35.200000000000003</v>
      </c>
      <c r="AH86" s="20">
        <f t="shared" si="1"/>
        <v>686.40000000000009</v>
      </c>
    </row>
    <row r="87" spans="1:34" s="20" customFormat="1">
      <c r="A87" s="46">
        <v>85</v>
      </c>
      <c r="B87" s="47">
        <f>攻击!D87</f>
        <v>178</v>
      </c>
      <c r="C87" s="47">
        <f>攻击!E87</f>
        <v>213.6</v>
      </c>
      <c r="D87" s="47">
        <f>攻击!F87</f>
        <v>267</v>
      </c>
      <c r="E87" s="47">
        <f>攻击!G87</f>
        <v>356</v>
      </c>
      <c r="F87" s="47">
        <f>攻击!H87</f>
        <v>445</v>
      </c>
      <c r="G87" s="47">
        <f>攻击!I87</f>
        <v>89</v>
      </c>
      <c r="H87" s="47">
        <f>攻击!J87</f>
        <v>53.4</v>
      </c>
      <c r="I87" s="47">
        <f>攻击!K87</f>
        <v>106.8</v>
      </c>
      <c r="J87" s="47">
        <f>攻击!L87</f>
        <v>53.4</v>
      </c>
      <c r="K87" s="47">
        <f>攻击!M87</f>
        <v>142.4</v>
      </c>
      <c r="L87" s="47">
        <f>攻击!N87</f>
        <v>213.6</v>
      </c>
      <c r="M87" s="47">
        <f>攻击!O87</f>
        <v>267</v>
      </c>
      <c r="N87" s="47">
        <f>攻击!P87</f>
        <v>356</v>
      </c>
      <c r="O87" s="47">
        <f>攻击!Q87</f>
        <v>445</v>
      </c>
      <c r="P87" s="47">
        <f>攻击!R87</f>
        <v>534</v>
      </c>
      <c r="Q87" s="47">
        <f>攻击!S87</f>
        <v>623</v>
      </c>
      <c r="R87" s="47">
        <f>攻击!T87</f>
        <v>133.5</v>
      </c>
      <c r="S87" s="47">
        <f>攻击!U87</f>
        <v>53.4</v>
      </c>
      <c r="T87" s="47">
        <f>攻击!V87</f>
        <v>53.4</v>
      </c>
      <c r="U87" s="47">
        <f>攻击!W87</f>
        <v>8.9</v>
      </c>
      <c r="V87" s="54">
        <f>攻击!X87</f>
        <v>0.2</v>
      </c>
      <c r="W87" s="54">
        <f>攻击!Y87</f>
        <v>0.3</v>
      </c>
      <c r="X87" s="54">
        <f>攻击!Z87</f>
        <v>0.5</v>
      </c>
      <c r="Y87" s="54">
        <f>攻击!AA87</f>
        <v>0.8</v>
      </c>
      <c r="Z87" s="54">
        <f>攻击!AB87</f>
        <v>1.2</v>
      </c>
      <c r="AA87" s="47">
        <f>攻击!AL87</f>
        <v>213.6</v>
      </c>
      <c r="AB87" s="54">
        <f>攻击!AM87</f>
        <v>0.2</v>
      </c>
      <c r="AC87" s="54">
        <f>攻击!AN87</f>
        <v>0.3</v>
      </c>
      <c r="AD87" s="54">
        <f>攻击!AO87</f>
        <v>0.5</v>
      </c>
      <c r="AE87" s="54">
        <f>攻击!AP87</f>
        <v>0.8</v>
      </c>
      <c r="AF87" s="54">
        <f>攻击!AQ87</f>
        <v>1.2</v>
      </c>
      <c r="AG87" s="47">
        <f>攻击!AR87</f>
        <v>35.6</v>
      </c>
      <c r="AH87" s="20">
        <f t="shared" si="1"/>
        <v>694.2</v>
      </c>
    </row>
    <row r="88" spans="1:34" s="20" customFormat="1">
      <c r="A88" s="46">
        <v>86</v>
      </c>
      <c r="B88" s="47">
        <f>攻击!D88</f>
        <v>180</v>
      </c>
      <c r="C88" s="47">
        <f>攻击!E88</f>
        <v>216</v>
      </c>
      <c r="D88" s="47">
        <f>攻击!F88</f>
        <v>270</v>
      </c>
      <c r="E88" s="47">
        <f>攻击!G88</f>
        <v>360</v>
      </c>
      <c r="F88" s="47">
        <f>攻击!H88</f>
        <v>450</v>
      </c>
      <c r="G88" s="47">
        <f>攻击!I88</f>
        <v>89</v>
      </c>
      <c r="H88" s="47">
        <f>攻击!J88</f>
        <v>54</v>
      </c>
      <c r="I88" s="47">
        <f>攻击!K88</f>
        <v>108</v>
      </c>
      <c r="J88" s="47">
        <f>攻击!L88</f>
        <v>54</v>
      </c>
      <c r="K88" s="47">
        <f>攻击!M88</f>
        <v>144</v>
      </c>
      <c r="L88" s="47">
        <f>攻击!N88</f>
        <v>216</v>
      </c>
      <c r="M88" s="47">
        <f>攻击!O88</f>
        <v>270</v>
      </c>
      <c r="N88" s="47">
        <f>攻击!P88</f>
        <v>360</v>
      </c>
      <c r="O88" s="47">
        <f>攻击!Q88</f>
        <v>450</v>
      </c>
      <c r="P88" s="47">
        <f>攻击!R88</f>
        <v>540</v>
      </c>
      <c r="Q88" s="47">
        <f>攻击!S88</f>
        <v>630</v>
      </c>
      <c r="R88" s="47">
        <f>攻击!T88</f>
        <v>135</v>
      </c>
      <c r="S88" s="47">
        <f>攻击!U88</f>
        <v>54</v>
      </c>
      <c r="T88" s="47">
        <f>攻击!V88</f>
        <v>54</v>
      </c>
      <c r="U88" s="47">
        <f>攻击!W88</f>
        <v>9</v>
      </c>
      <c r="V88" s="54">
        <f>攻击!X88</f>
        <v>0.2</v>
      </c>
      <c r="W88" s="54">
        <f>攻击!Y88</f>
        <v>0.3</v>
      </c>
      <c r="X88" s="54">
        <f>攻击!Z88</f>
        <v>0.5</v>
      </c>
      <c r="Y88" s="54">
        <f>攻击!AA88</f>
        <v>0.8</v>
      </c>
      <c r="Z88" s="54">
        <f>攻击!AB88</f>
        <v>1.2</v>
      </c>
      <c r="AA88" s="47">
        <f>攻击!AL88</f>
        <v>216</v>
      </c>
      <c r="AB88" s="54">
        <f>攻击!AM88</f>
        <v>0.2</v>
      </c>
      <c r="AC88" s="54">
        <f>攻击!AN88</f>
        <v>0.3</v>
      </c>
      <c r="AD88" s="54">
        <f>攻击!AO88</f>
        <v>0.5</v>
      </c>
      <c r="AE88" s="54">
        <f>攻击!AP88</f>
        <v>0.8</v>
      </c>
      <c r="AF88" s="54">
        <f>攻击!AQ88</f>
        <v>1.2</v>
      </c>
      <c r="AG88" s="47">
        <f>攻击!AR88</f>
        <v>36</v>
      </c>
      <c r="AH88" s="20">
        <f t="shared" si="1"/>
        <v>702</v>
      </c>
    </row>
    <row r="89" spans="1:34" s="20" customFormat="1">
      <c r="A89" s="46">
        <v>87</v>
      </c>
      <c r="B89" s="47">
        <f>攻击!D89</f>
        <v>182</v>
      </c>
      <c r="C89" s="47">
        <f>攻击!E89</f>
        <v>218.4</v>
      </c>
      <c r="D89" s="47">
        <f>攻击!F89</f>
        <v>273</v>
      </c>
      <c r="E89" s="47">
        <f>攻击!G89</f>
        <v>364</v>
      </c>
      <c r="F89" s="47">
        <f>攻击!H89</f>
        <v>455</v>
      </c>
      <c r="G89" s="47">
        <f>攻击!I89</f>
        <v>89</v>
      </c>
      <c r="H89" s="47">
        <f>攻击!J89</f>
        <v>54.6</v>
      </c>
      <c r="I89" s="47">
        <f>攻击!K89</f>
        <v>109.2</v>
      </c>
      <c r="J89" s="47">
        <f>攻击!L89</f>
        <v>54.6</v>
      </c>
      <c r="K89" s="47">
        <f>攻击!M89</f>
        <v>145.6</v>
      </c>
      <c r="L89" s="47">
        <f>攻击!N89</f>
        <v>218.4</v>
      </c>
      <c r="M89" s="47">
        <f>攻击!O89</f>
        <v>273</v>
      </c>
      <c r="N89" s="47">
        <f>攻击!P89</f>
        <v>364</v>
      </c>
      <c r="O89" s="47">
        <f>攻击!Q89</f>
        <v>455</v>
      </c>
      <c r="P89" s="47">
        <f>攻击!R89</f>
        <v>546</v>
      </c>
      <c r="Q89" s="47">
        <f>攻击!S89</f>
        <v>637</v>
      </c>
      <c r="R89" s="47">
        <f>攻击!T89</f>
        <v>136.5</v>
      </c>
      <c r="S89" s="47">
        <f>攻击!U89</f>
        <v>54.6</v>
      </c>
      <c r="T89" s="47">
        <f>攻击!V89</f>
        <v>54.6</v>
      </c>
      <c r="U89" s="47">
        <f>攻击!W89</f>
        <v>9.1</v>
      </c>
      <c r="V89" s="54">
        <f>攻击!X89</f>
        <v>0.2</v>
      </c>
      <c r="W89" s="54">
        <f>攻击!Y89</f>
        <v>0.3</v>
      </c>
      <c r="X89" s="54">
        <f>攻击!Z89</f>
        <v>0.5</v>
      </c>
      <c r="Y89" s="54">
        <f>攻击!AA89</f>
        <v>0.8</v>
      </c>
      <c r="Z89" s="54">
        <f>攻击!AB89</f>
        <v>1.2</v>
      </c>
      <c r="AA89" s="47">
        <f>攻击!AL89</f>
        <v>218.4</v>
      </c>
      <c r="AB89" s="54">
        <f>攻击!AM89</f>
        <v>0.2</v>
      </c>
      <c r="AC89" s="54">
        <f>攻击!AN89</f>
        <v>0.3</v>
      </c>
      <c r="AD89" s="54">
        <f>攻击!AO89</f>
        <v>0.5</v>
      </c>
      <c r="AE89" s="54">
        <f>攻击!AP89</f>
        <v>0.8</v>
      </c>
      <c r="AF89" s="54">
        <f>攻击!AQ89</f>
        <v>1.2</v>
      </c>
      <c r="AG89" s="47">
        <f>攻击!AR89</f>
        <v>36.4</v>
      </c>
      <c r="AH89" s="20">
        <f t="shared" si="1"/>
        <v>709.8</v>
      </c>
    </row>
    <row r="90" spans="1:34" s="20" customFormat="1">
      <c r="A90" s="46">
        <v>88</v>
      </c>
      <c r="B90" s="47">
        <f>攻击!D90</f>
        <v>184</v>
      </c>
      <c r="C90" s="47">
        <f>攻击!E90</f>
        <v>220.79999999999998</v>
      </c>
      <c r="D90" s="47">
        <f>攻击!F90</f>
        <v>276</v>
      </c>
      <c r="E90" s="47">
        <f>攻击!G90</f>
        <v>368</v>
      </c>
      <c r="F90" s="47">
        <f>攻击!H90</f>
        <v>460</v>
      </c>
      <c r="G90" s="47">
        <f>攻击!I90</f>
        <v>89</v>
      </c>
      <c r="H90" s="47">
        <f>攻击!J90</f>
        <v>55.199999999999996</v>
      </c>
      <c r="I90" s="47">
        <f>攻击!K90</f>
        <v>110.39999999999999</v>
      </c>
      <c r="J90" s="47">
        <f>攻击!L90</f>
        <v>55.199999999999996</v>
      </c>
      <c r="K90" s="47">
        <f>攻击!M90</f>
        <v>147.20000000000002</v>
      </c>
      <c r="L90" s="47">
        <f>攻击!N90</f>
        <v>220.79999999999998</v>
      </c>
      <c r="M90" s="47">
        <f>攻击!O90</f>
        <v>276</v>
      </c>
      <c r="N90" s="47">
        <f>攻击!P90</f>
        <v>368</v>
      </c>
      <c r="O90" s="47">
        <f>攻击!Q90</f>
        <v>460</v>
      </c>
      <c r="P90" s="47">
        <f>攻击!R90</f>
        <v>552</v>
      </c>
      <c r="Q90" s="47">
        <f>攻击!S90</f>
        <v>644</v>
      </c>
      <c r="R90" s="47">
        <f>攻击!T90</f>
        <v>138</v>
      </c>
      <c r="S90" s="47">
        <f>攻击!U90</f>
        <v>55.199999999999996</v>
      </c>
      <c r="T90" s="47">
        <f>攻击!V90</f>
        <v>55.199999999999996</v>
      </c>
      <c r="U90" s="47">
        <f>攻击!W90</f>
        <v>9.2000000000000011</v>
      </c>
      <c r="V90" s="54">
        <f>攻击!X90</f>
        <v>0.2</v>
      </c>
      <c r="W90" s="54">
        <f>攻击!Y90</f>
        <v>0.3</v>
      </c>
      <c r="X90" s="54">
        <f>攻击!Z90</f>
        <v>0.5</v>
      </c>
      <c r="Y90" s="54">
        <f>攻击!AA90</f>
        <v>0.8</v>
      </c>
      <c r="Z90" s="54">
        <f>攻击!AB90</f>
        <v>1.2</v>
      </c>
      <c r="AA90" s="47">
        <f>攻击!AL90</f>
        <v>220.79999999999998</v>
      </c>
      <c r="AB90" s="54">
        <f>攻击!AM90</f>
        <v>0.2</v>
      </c>
      <c r="AC90" s="54">
        <f>攻击!AN90</f>
        <v>0.3</v>
      </c>
      <c r="AD90" s="54">
        <f>攻击!AO90</f>
        <v>0.5</v>
      </c>
      <c r="AE90" s="54">
        <f>攻击!AP90</f>
        <v>0.8</v>
      </c>
      <c r="AF90" s="54">
        <f>攻击!AQ90</f>
        <v>1.2</v>
      </c>
      <c r="AG90" s="47">
        <f>攻击!AR90</f>
        <v>36.800000000000004</v>
      </c>
      <c r="AH90" s="20">
        <f t="shared" si="1"/>
        <v>717.59999999999991</v>
      </c>
    </row>
    <row r="91" spans="1:34" s="20" customFormat="1">
      <c r="A91" s="46">
        <v>89</v>
      </c>
      <c r="B91" s="47">
        <f>攻击!D91</f>
        <v>186</v>
      </c>
      <c r="C91" s="47">
        <f>攻击!E91</f>
        <v>223.2</v>
      </c>
      <c r="D91" s="47">
        <f>攻击!F91</f>
        <v>279</v>
      </c>
      <c r="E91" s="47">
        <f>攻击!G91</f>
        <v>372</v>
      </c>
      <c r="F91" s="47">
        <f>攻击!H91</f>
        <v>465</v>
      </c>
      <c r="G91" s="47">
        <f>攻击!I91</f>
        <v>89</v>
      </c>
      <c r="H91" s="47">
        <f>攻击!J91</f>
        <v>55.8</v>
      </c>
      <c r="I91" s="47">
        <f>攻击!K91</f>
        <v>111.6</v>
      </c>
      <c r="J91" s="47">
        <f>攻击!L91</f>
        <v>55.8</v>
      </c>
      <c r="K91" s="47">
        <f>攻击!M91</f>
        <v>148.80000000000001</v>
      </c>
      <c r="L91" s="47">
        <f>攻击!N91</f>
        <v>223.2</v>
      </c>
      <c r="M91" s="47">
        <f>攻击!O91</f>
        <v>279</v>
      </c>
      <c r="N91" s="47">
        <f>攻击!P91</f>
        <v>372</v>
      </c>
      <c r="O91" s="47">
        <f>攻击!Q91</f>
        <v>465</v>
      </c>
      <c r="P91" s="47">
        <f>攻击!R91</f>
        <v>558</v>
      </c>
      <c r="Q91" s="47">
        <f>攻击!S91</f>
        <v>651</v>
      </c>
      <c r="R91" s="47">
        <f>攻击!T91</f>
        <v>139.5</v>
      </c>
      <c r="S91" s="47">
        <f>攻击!U91</f>
        <v>55.8</v>
      </c>
      <c r="T91" s="47">
        <f>攻击!V91</f>
        <v>55.8</v>
      </c>
      <c r="U91" s="47">
        <f>攻击!W91</f>
        <v>9.3000000000000007</v>
      </c>
      <c r="V91" s="54">
        <f>攻击!X91</f>
        <v>0.2</v>
      </c>
      <c r="W91" s="54">
        <f>攻击!Y91</f>
        <v>0.3</v>
      </c>
      <c r="X91" s="54">
        <f>攻击!Z91</f>
        <v>0.5</v>
      </c>
      <c r="Y91" s="54">
        <f>攻击!AA91</f>
        <v>0.8</v>
      </c>
      <c r="Z91" s="54">
        <f>攻击!AB91</f>
        <v>1.2</v>
      </c>
      <c r="AA91" s="47">
        <f>攻击!AL91</f>
        <v>223.2</v>
      </c>
      <c r="AB91" s="54">
        <f>攻击!AM91</f>
        <v>0.2</v>
      </c>
      <c r="AC91" s="54">
        <f>攻击!AN91</f>
        <v>0.3</v>
      </c>
      <c r="AD91" s="54">
        <f>攻击!AO91</f>
        <v>0.5</v>
      </c>
      <c r="AE91" s="54">
        <f>攻击!AP91</f>
        <v>0.8</v>
      </c>
      <c r="AF91" s="54">
        <f>攻击!AQ91</f>
        <v>1.2</v>
      </c>
      <c r="AG91" s="47">
        <f>攻击!AR91</f>
        <v>37.200000000000003</v>
      </c>
      <c r="AH91" s="20">
        <f t="shared" si="1"/>
        <v>725.40000000000009</v>
      </c>
    </row>
    <row r="92" spans="1:34" s="20" customFormat="1">
      <c r="A92" s="46">
        <v>90</v>
      </c>
      <c r="B92" s="47">
        <f>攻击!D92</f>
        <v>188</v>
      </c>
      <c r="C92" s="47">
        <f>攻击!E92</f>
        <v>225.6</v>
      </c>
      <c r="D92" s="47">
        <f>攻击!F92</f>
        <v>282</v>
      </c>
      <c r="E92" s="47">
        <f>攻击!G92</f>
        <v>376</v>
      </c>
      <c r="F92" s="47">
        <f>攻击!H92</f>
        <v>470</v>
      </c>
      <c r="G92" s="47">
        <f>攻击!I92</f>
        <v>94</v>
      </c>
      <c r="H92" s="47">
        <f>攻击!J92</f>
        <v>56.4</v>
      </c>
      <c r="I92" s="47">
        <f>攻击!K92</f>
        <v>112.8</v>
      </c>
      <c r="J92" s="47">
        <f>攻击!L92</f>
        <v>56.4</v>
      </c>
      <c r="K92" s="47">
        <f>攻击!M92</f>
        <v>150.4</v>
      </c>
      <c r="L92" s="47">
        <f>攻击!N92</f>
        <v>225.6</v>
      </c>
      <c r="M92" s="47">
        <f>攻击!O92</f>
        <v>282</v>
      </c>
      <c r="N92" s="47">
        <f>攻击!P92</f>
        <v>376</v>
      </c>
      <c r="O92" s="47">
        <f>攻击!Q92</f>
        <v>470</v>
      </c>
      <c r="P92" s="47">
        <f>攻击!R92</f>
        <v>564</v>
      </c>
      <c r="Q92" s="47">
        <f>攻击!S92</f>
        <v>658</v>
      </c>
      <c r="R92" s="47">
        <f>攻击!T92</f>
        <v>141</v>
      </c>
      <c r="S92" s="47">
        <f>攻击!U92</f>
        <v>56.4</v>
      </c>
      <c r="T92" s="47">
        <f>攻击!V92</f>
        <v>56.4</v>
      </c>
      <c r="U92" s="47">
        <f>攻击!W92</f>
        <v>9.4</v>
      </c>
      <c r="V92" s="54">
        <f>攻击!X92</f>
        <v>0.2</v>
      </c>
      <c r="W92" s="54">
        <f>攻击!Y92</f>
        <v>0.3</v>
      </c>
      <c r="X92" s="54">
        <f>攻击!Z92</f>
        <v>0.5</v>
      </c>
      <c r="Y92" s="54">
        <f>攻击!AA92</f>
        <v>0.8</v>
      </c>
      <c r="Z92" s="54">
        <f>攻击!AB92</f>
        <v>1.2</v>
      </c>
      <c r="AA92" s="47">
        <f>攻击!AL92</f>
        <v>225.6</v>
      </c>
      <c r="AB92" s="54">
        <f>攻击!AM92</f>
        <v>0.2</v>
      </c>
      <c r="AC92" s="54">
        <f>攻击!AN92</f>
        <v>0.3</v>
      </c>
      <c r="AD92" s="54">
        <f>攻击!AO92</f>
        <v>0.5</v>
      </c>
      <c r="AE92" s="54">
        <f>攻击!AP92</f>
        <v>0.8</v>
      </c>
      <c r="AF92" s="54">
        <f>攻击!AQ92</f>
        <v>1.2</v>
      </c>
      <c r="AG92" s="47">
        <f>攻击!AR92</f>
        <v>37.6</v>
      </c>
      <c r="AH92" s="20">
        <f t="shared" si="1"/>
        <v>733.2</v>
      </c>
    </row>
    <row r="93" spans="1:34" s="20" customFormat="1">
      <c r="A93" s="46">
        <v>91</v>
      </c>
      <c r="B93" s="47">
        <f>攻击!D93</f>
        <v>190</v>
      </c>
      <c r="C93" s="47">
        <f>攻击!E93</f>
        <v>228</v>
      </c>
      <c r="D93" s="47">
        <f>攻击!F93</f>
        <v>285</v>
      </c>
      <c r="E93" s="47">
        <f>攻击!G93</f>
        <v>380</v>
      </c>
      <c r="F93" s="47">
        <f>攻击!H93</f>
        <v>475</v>
      </c>
      <c r="G93" s="47">
        <f>攻击!I93</f>
        <v>94</v>
      </c>
      <c r="H93" s="47">
        <f>攻击!J93</f>
        <v>57</v>
      </c>
      <c r="I93" s="47">
        <f>攻击!K93</f>
        <v>114</v>
      </c>
      <c r="J93" s="47">
        <f>攻击!L93</f>
        <v>57</v>
      </c>
      <c r="K93" s="47">
        <f>攻击!M93</f>
        <v>152</v>
      </c>
      <c r="L93" s="47">
        <f>攻击!N93</f>
        <v>228</v>
      </c>
      <c r="M93" s="47">
        <f>攻击!O93</f>
        <v>285</v>
      </c>
      <c r="N93" s="47">
        <f>攻击!P93</f>
        <v>380</v>
      </c>
      <c r="O93" s="47">
        <f>攻击!Q93</f>
        <v>475</v>
      </c>
      <c r="P93" s="47">
        <f>攻击!R93</f>
        <v>570</v>
      </c>
      <c r="Q93" s="47">
        <f>攻击!S93</f>
        <v>665</v>
      </c>
      <c r="R93" s="47">
        <f>攻击!T93</f>
        <v>142.5</v>
      </c>
      <c r="S93" s="47">
        <f>攻击!U93</f>
        <v>57</v>
      </c>
      <c r="T93" s="47">
        <f>攻击!V93</f>
        <v>57</v>
      </c>
      <c r="U93" s="47">
        <f>攻击!W93</f>
        <v>9.5</v>
      </c>
      <c r="V93" s="54">
        <f>攻击!X93</f>
        <v>0.2</v>
      </c>
      <c r="W93" s="54">
        <f>攻击!Y93</f>
        <v>0.3</v>
      </c>
      <c r="X93" s="54">
        <f>攻击!Z93</f>
        <v>0.5</v>
      </c>
      <c r="Y93" s="54">
        <f>攻击!AA93</f>
        <v>0.8</v>
      </c>
      <c r="Z93" s="54">
        <f>攻击!AB93</f>
        <v>1.2</v>
      </c>
      <c r="AA93" s="47">
        <f>攻击!AL93</f>
        <v>228</v>
      </c>
      <c r="AB93" s="54">
        <f>攻击!AM93</f>
        <v>0.2</v>
      </c>
      <c r="AC93" s="54">
        <f>攻击!AN93</f>
        <v>0.3</v>
      </c>
      <c r="AD93" s="54">
        <f>攻击!AO93</f>
        <v>0.5</v>
      </c>
      <c r="AE93" s="54">
        <f>攻击!AP93</f>
        <v>0.8</v>
      </c>
      <c r="AF93" s="54">
        <f>攻击!AQ93</f>
        <v>1.2</v>
      </c>
      <c r="AG93" s="47">
        <f>攻击!AR93</f>
        <v>38</v>
      </c>
      <c r="AH93" s="20">
        <f t="shared" si="1"/>
        <v>741</v>
      </c>
    </row>
    <row r="94" spans="1:34" s="20" customFormat="1">
      <c r="A94" s="46">
        <v>92</v>
      </c>
      <c r="B94" s="47">
        <f>攻击!D94</f>
        <v>192</v>
      </c>
      <c r="C94" s="47">
        <f>攻击!E94</f>
        <v>230.39999999999998</v>
      </c>
      <c r="D94" s="47">
        <f>攻击!F94</f>
        <v>288</v>
      </c>
      <c r="E94" s="47">
        <f>攻击!G94</f>
        <v>384</v>
      </c>
      <c r="F94" s="47">
        <f>攻击!H94</f>
        <v>480</v>
      </c>
      <c r="G94" s="47">
        <f>攻击!I94</f>
        <v>94</v>
      </c>
      <c r="H94" s="47">
        <f>攻击!J94</f>
        <v>57.599999999999994</v>
      </c>
      <c r="I94" s="47">
        <f>攻击!K94</f>
        <v>115.19999999999999</v>
      </c>
      <c r="J94" s="47">
        <f>攻击!L94</f>
        <v>57.599999999999994</v>
      </c>
      <c r="K94" s="47">
        <f>攻击!M94</f>
        <v>153.60000000000002</v>
      </c>
      <c r="L94" s="47">
        <f>攻击!N94</f>
        <v>230.39999999999998</v>
      </c>
      <c r="M94" s="47">
        <f>攻击!O94</f>
        <v>288</v>
      </c>
      <c r="N94" s="47">
        <f>攻击!P94</f>
        <v>384</v>
      </c>
      <c r="O94" s="47">
        <f>攻击!Q94</f>
        <v>480</v>
      </c>
      <c r="P94" s="47">
        <f>攻击!R94</f>
        <v>576</v>
      </c>
      <c r="Q94" s="47">
        <f>攻击!S94</f>
        <v>672</v>
      </c>
      <c r="R94" s="47">
        <f>攻击!T94</f>
        <v>144</v>
      </c>
      <c r="S94" s="47">
        <f>攻击!U94</f>
        <v>57.599999999999994</v>
      </c>
      <c r="T94" s="47">
        <f>攻击!V94</f>
        <v>57.599999999999994</v>
      </c>
      <c r="U94" s="47">
        <f>攻击!W94</f>
        <v>9.6000000000000014</v>
      </c>
      <c r="V94" s="54">
        <f>攻击!X94</f>
        <v>0.2</v>
      </c>
      <c r="W94" s="54">
        <f>攻击!Y94</f>
        <v>0.3</v>
      </c>
      <c r="X94" s="54">
        <f>攻击!Z94</f>
        <v>0.5</v>
      </c>
      <c r="Y94" s="54">
        <f>攻击!AA94</f>
        <v>0.8</v>
      </c>
      <c r="Z94" s="54">
        <f>攻击!AB94</f>
        <v>1.2</v>
      </c>
      <c r="AA94" s="47">
        <f>攻击!AL94</f>
        <v>230.39999999999998</v>
      </c>
      <c r="AB94" s="54">
        <f>攻击!AM94</f>
        <v>0.2</v>
      </c>
      <c r="AC94" s="54">
        <f>攻击!AN94</f>
        <v>0.3</v>
      </c>
      <c r="AD94" s="54">
        <f>攻击!AO94</f>
        <v>0.5</v>
      </c>
      <c r="AE94" s="54">
        <f>攻击!AP94</f>
        <v>0.8</v>
      </c>
      <c r="AF94" s="54">
        <f>攻击!AQ94</f>
        <v>1.2</v>
      </c>
      <c r="AG94" s="47">
        <f>攻击!AR94</f>
        <v>38.400000000000006</v>
      </c>
      <c r="AH94" s="20">
        <f t="shared" si="1"/>
        <v>748.8</v>
      </c>
    </row>
    <row r="95" spans="1:34" s="20" customFormat="1">
      <c r="A95" s="46">
        <v>93</v>
      </c>
      <c r="B95" s="47">
        <f>攻击!D95</f>
        <v>194</v>
      </c>
      <c r="C95" s="47">
        <f>攻击!E95</f>
        <v>232.79999999999998</v>
      </c>
      <c r="D95" s="47">
        <f>攻击!F95</f>
        <v>291</v>
      </c>
      <c r="E95" s="47">
        <f>攻击!G95</f>
        <v>388</v>
      </c>
      <c r="F95" s="47">
        <f>攻击!H95</f>
        <v>485</v>
      </c>
      <c r="G95" s="47">
        <f>攻击!I95</f>
        <v>94</v>
      </c>
      <c r="H95" s="47">
        <f>攻击!J95</f>
        <v>58.199999999999996</v>
      </c>
      <c r="I95" s="47">
        <f>攻击!K95</f>
        <v>116.39999999999999</v>
      </c>
      <c r="J95" s="47">
        <f>攻击!L95</f>
        <v>58.199999999999996</v>
      </c>
      <c r="K95" s="47">
        <f>攻击!M95</f>
        <v>155.20000000000002</v>
      </c>
      <c r="L95" s="47">
        <f>攻击!N95</f>
        <v>232.79999999999998</v>
      </c>
      <c r="M95" s="47">
        <f>攻击!O95</f>
        <v>291</v>
      </c>
      <c r="N95" s="47">
        <f>攻击!P95</f>
        <v>388</v>
      </c>
      <c r="O95" s="47">
        <f>攻击!Q95</f>
        <v>485</v>
      </c>
      <c r="P95" s="47">
        <f>攻击!R95</f>
        <v>582</v>
      </c>
      <c r="Q95" s="47">
        <f>攻击!S95</f>
        <v>679</v>
      </c>
      <c r="R95" s="47">
        <f>攻击!T95</f>
        <v>145.5</v>
      </c>
      <c r="S95" s="47">
        <f>攻击!U95</f>
        <v>58.199999999999996</v>
      </c>
      <c r="T95" s="47">
        <f>攻击!V95</f>
        <v>58.199999999999996</v>
      </c>
      <c r="U95" s="47">
        <f>攻击!W95</f>
        <v>9.7000000000000011</v>
      </c>
      <c r="V95" s="54">
        <f>攻击!X95</f>
        <v>0.2</v>
      </c>
      <c r="W95" s="54">
        <f>攻击!Y95</f>
        <v>0.3</v>
      </c>
      <c r="X95" s="54">
        <f>攻击!Z95</f>
        <v>0.5</v>
      </c>
      <c r="Y95" s="54">
        <f>攻击!AA95</f>
        <v>0.8</v>
      </c>
      <c r="Z95" s="54">
        <f>攻击!AB95</f>
        <v>1.2</v>
      </c>
      <c r="AA95" s="47">
        <f>攻击!AL95</f>
        <v>232.79999999999998</v>
      </c>
      <c r="AB95" s="54">
        <f>攻击!AM95</f>
        <v>0.2</v>
      </c>
      <c r="AC95" s="54">
        <f>攻击!AN95</f>
        <v>0.3</v>
      </c>
      <c r="AD95" s="54">
        <f>攻击!AO95</f>
        <v>0.5</v>
      </c>
      <c r="AE95" s="54">
        <f>攻击!AP95</f>
        <v>0.8</v>
      </c>
      <c r="AF95" s="54">
        <f>攻击!AQ95</f>
        <v>1.2</v>
      </c>
      <c r="AG95" s="47">
        <f>攻击!AR95</f>
        <v>38.800000000000004</v>
      </c>
      <c r="AH95" s="20">
        <f t="shared" si="1"/>
        <v>756.59999999999991</v>
      </c>
    </row>
    <row r="96" spans="1:34" s="20" customFormat="1">
      <c r="A96" s="46">
        <v>94</v>
      </c>
      <c r="B96" s="47">
        <f>攻击!D96</f>
        <v>196</v>
      </c>
      <c r="C96" s="47">
        <f>攻击!E96</f>
        <v>235.2</v>
      </c>
      <c r="D96" s="47">
        <f>攻击!F96</f>
        <v>294</v>
      </c>
      <c r="E96" s="47">
        <f>攻击!G96</f>
        <v>392</v>
      </c>
      <c r="F96" s="47">
        <f>攻击!H96</f>
        <v>490</v>
      </c>
      <c r="G96" s="47">
        <f>攻击!I96</f>
        <v>94</v>
      </c>
      <c r="H96" s="47">
        <f>攻击!J96</f>
        <v>58.8</v>
      </c>
      <c r="I96" s="47">
        <f>攻击!K96</f>
        <v>117.6</v>
      </c>
      <c r="J96" s="47">
        <f>攻击!L96</f>
        <v>58.8</v>
      </c>
      <c r="K96" s="47">
        <f>攻击!M96</f>
        <v>156.80000000000001</v>
      </c>
      <c r="L96" s="47">
        <f>攻击!N96</f>
        <v>235.2</v>
      </c>
      <c r="M96" s="47">
        <f>攻击!O96</f>
        <v>294</v>
      </c>
      <c r="N96" s="47">
        <f>攻击!P96</f>
        <v>392</v>
      </c>
      <c r="O96" s="47">
        <f>攻击!Q96</f>
        <v>490</v>
      </c>
      <c r="P96" s="47">
        <f>攻击!R96</f>
        <v>588</v>
      </c>
      <c r="Q96" s="47">
        <f>攻击!S96</f>
        <v>686</v>
      </c>
      <c r="R96" s="47">
        <f>攻击!T96</f>
        <v>147</v>
      </c>
      <c r="S96" s="47">
        <f>攻击!U96</f>
        <v>58.8</v>
      </c>
      <c r="T96" s="47">
        <f>攻击!V96</f>
        <v>58.8</v>
      </c>
      <c r="U96" s="47">
        <f>攻击!W96</f>
        <v>9.8000000000000007</v>
      </c>
      <c r="V96" s="54">
        <f>攻击!X96</f>
        <v>0.2</v>
      </c>
      <c r="W96" s="54">
        <f>攻击!Y96</f>
        <v>0.3</v>
      </c>
      <c r="X96" s="54">
        <f>攻击!Z96</f>
        <v>0.5</v>
      </c>
      <c r="Y96" s="54">
        <f>攻击!AA96</f>
        <v>0.8</v>
      </c>
      <c r="Z96" s="54">
        <f>攻击!AB96</f>
        <v>1.2</v>
      </c>
      <c r="AA96" s="47">
        <f>攻击!AL96</f>
        <v>235.2</v>
      </c>
      <c r="AB96" s="54">
        <f>攻击!AM96</f>
        <v>0.2</v>
      </c>
      <c r="AC96" s="54">
        <f>攻击!AN96</f>
        <v>0.3</v>
      </c>
      <c r="AD96" s="54">
        <f>攻击!AO96</f>
        <v>0.5</v>
      </c>
      <c r="AE96" s="54">
        <f>攻击!AP96</f>
        <v>0.8</v>
      </c>
      <c r="AF96" s="54">
        <f>攻击!AQ96</f>
        <v>1.2</v>
      </c>
      <c r="AG96" s="47">
        <f>攻击!AR96</f>
        <v>39.200000000000003</v>
      </c>
      <c r="AH96" s="20">
        <f t="shared" si="1"/>
        <v>764.40000000000009</v>
      </c>
    </row>
    <row r="97" spans="1:34" s="20" customFormat="1">
      <c r="A97" s="46">
        <v>95</v>
      </c>
      <c r="B97" s="47">
        <f>攻击!D97</f>
        <v>198</v>
      </c>
      <c r="C97" s="47">
        <f>攻击!E97</f>
        <v>237.6</v>
      </c>
      <c r="D97" s="47">
        <f>攻击!F97</f>
        <v>297</v>
      </c>
      <c r="E97" s="47">
        <f>攻击!G97</f>
        <v>396</v>
      </c>
      <c r="F97" s="47">
        <f>攻击!H97</f>
        <v>495</v>
      </c>
      <c r="G97" s="47">
        <f>攻击!I97</f>
        <v>99</v>
      </c>
      <c r="H97" s="47">
        <f>攻击!J97</f>
        <v>59.4</v>
      </c>
      <c r="I97" s="47">
        <f>攻击!K97</f>
        <v>118.8</v>
      </c>
      <c r="J97" s="47">
        <f>攻击!L97</f>
        <v>59.4</v>
      </c>
      <c r="K97" s="47">
        <f>攻击!M97</f>
        <v>158.4</v>
      </c>
      <c r="L97" s="47">
        <f>攻击!N97</f>
        <v>237.6</v>
      </c>
      <c r="M97" s="47">
        <f>攻击!O97</f>
        <v>297</v>
      </c>
      <c r="N97" s="47">
        <f>攻击!P97</f>
        <v>396</v>
      </c>
      <c r="O97" s="47">
        <f>攻击!Q97</f>
        <v>495</v>
      </c>
      <c r="P97" s="47">
        <f>攻击!R97</f>
        <v>594</v>
      </c>
      <c r="Q97" s="47">
        <f>攻击!S97</f>
        <v>693</v>
      </c>
      <c r="R97" s="47">
        <f>攻击!T97</f>
        <v>148.5</v>
      </c>
      <c r="S97" s="47">
        <f>攻击!U97</f>
        <v>59.4</v>
      </c>
      <c r="T97" s="47">
        <f>攻击!V97</f>
        <v>59.4</v>
      </c>
      <c r="U97" s="47">
        <f>攻击!W97</f>
        <v>9.9</v>
      </c>
      <c r="V97" s="54">
        <f>攻击!X97</f>
        <v>0.2</v>
      </c>
      <c r="W97" s="54">
        <f>攻击!Y97</f>
        <v>0.3</v>
      </c>
      <c r="X97" s="54">
        <f>攻击!Z97</f>
        <v>0.5</v>
      </c>
      <c r="Y97" s="54">
        <f>攻击!AA97</f>
        <v>0.8</v>
      </c>
      <c r="Z97" s="54">
        <f>攻击!AB97</f>
        <v>1.2</v>
      </c>
      <c r="AA97" s="47">
        <f>攻击!AL97</f>
        <v>237.6</v>
      </c>
      <c r="AB97" s="54">
        <f>攻击!AM97</f>
        <v>0.2</v>
      </c>
      <c r="AC97" s="54">
        <f>攻击!AN97</f>
        <v>0.3</v>
      </c>
      <c r="AD97" s="54">
        <f>攻击!AO97</f>
        <v>0.5</v>
      </c>
      <c r="AE97" s="54">
        <f>攻击!AP97</f>
        <v>0.8</v>
      </c>
      <c r="AF97" s="54">
        <f>攻击!AQ97</f>
        <v>1.2</v>
      </c>
      <c r="AG97" s="47">
        <f>攻击!AR97</f>
        <v>39.6</v>
      </c>
      <c r="AH97" s="20">
        <f t="shared" si="1"/>
        <v>772.2</v>
      </c>
    </row>
    <row r="98" spans="1:34" s="20" customFormat="1">
      <c r="A98" s="46">
        <v>96</v>
      </c>
      <c r="B98" s="47">
        <f>攻击!D98</f>
        <v>200</v>
      </c>
      <c r="C98" s="47">
        <f>攻击!E98</f>
        <v>240</v>
      </c>
      <c r="D98" s="47">
        <f>攻击!F98</f>
        <v>300</v>
      </c>
      <c r="E98" s="47">
        <f>攻击!G98</f>
        <v>400</v>
      </c>
      <c r="F98" s="47">
        <f>攻击!H98</f>
        <v>500</v>
      </c>
      <c r="G98" s="47">
        <f>攻击!I98</f>
        <v>99</v>
      </c>
      <c r="H98" s="47">
        <f>攻击!J98</f>
        <v>60</v>
      </c>
      <c r="I98" s="47">
        <f>攻击!K98</f>
        <v>120</v>
      </c>
      <c r="J98" s="47">
        <f>攻击!L98</f>
        <v>60</v>
      </c>
      <c r="K98" s="47">
        <f>攻击!M98</f>
        <v>160</v>
      </c>
      <c r="L98" s="47">
        <f>攻击!N98</f>
        <v>240</v>
      </c>
      <c r="M98" s="47">
        <f>攻击!O98</f>
        <v>300</v>
      </c>
      <c r="N98" s="47">
        <f>攻击!P98</f>
        <v>400</v>
      </c>
      <c r="O98" s="47">
        <f>攻击!Q98</f>
        <v>500</v>
      </c>
      <c r="P98" s="47">
        <f>攻击!R98</f>
        <v>600</v>
      </c>
      <c r="Q98" s="47">
        <f>攻击!S98</f>
        <v>700</v>
      </c>
      <c r="R98" s="47">
        <f>攻击!T98</f>
        <v>150</v>
      </c>
      <c r="S98" s="47">
        <f>攻击!U98</f>
        <v>60</v>
      </c>
      <c r="T98" s="47">
        <f>攻击!V98</f>
        <v>60</v>
      </c>
      <c r="U98" s="47">
        <f>攻击!W98</f>
        <v>10</v>
      </c>
      <c r="V98" s="54">
        <f>攻击!X98</f>
        <v>0.2</v>
      </c>
      <c r="W98" s="54">
        <f>攻击!Y98</f>
        <v>0.3</v>
      </c>
      <c r="X98" s="54">
        <f>攻击!Z98</f>
        <v>0.5</v>
      </c>
      <c r="Y98" s="54">
        <f>攻击!AA98</f>
        <v>0.8</v>
      </c>
      <c r="Z98" s="54">
        <f>攻击!AB98</f>
        <v>1.2</v>
      </c>
      <c r="AA98" s="47">
        <f>攻击!AL98</f>
        <v>240</v>
      </c>
      <c r="AB98" s="54">
        <f>攻击!AM98</f>
        <v>0.2</v>
      </c>
      <c r="AC98" s="54">
        <f>攻击!AN98</f>
        <v>0.3</v>
      </c>
      <c r="AD98" s="54">
        <f>攻击!AO98</f>
        <v>0.5</v>
      </c>
      <c r="AE98" s="54">
        <f>攻击!AP98</f>
        <v>0.8</v>
      </c>
      <c r="AF98" s="54">
        <f>攻击!AQ98</f>
        <v>1.2</v>
      </c>
      <c r="AG98" s="47">
        <f>攻击!AR98</f>
        <v>40</v>
      </c>
      <c r="AH98" s="20">
        <f t="shared" si="1"/>
        <v>780</v>
      </c>
    </row>
    <row r="99" spans="1:34" s="20" customFormat="1">
      <c r="A99" s="46">
        <v>97</v>
      </c>
      <c r="B99" s="47">
        <f>攻击!D99</f>
        <v>202</v>
      </c>
      <c r="C99" s="47">
        <f>攻击!E99</f>
        <v>242.39999999999998</v>
      </c>
      <c r="D99" s="47">
        <f>攻击!F99</f>
        <v>303</v>
      </c>
      <c r="E99" s="47">
        <f>攻击!G99</f>
        <v>404</v>
      </c>
      <c r="F99" s="47">
        <f>攻击!H99</f>
        <v>505</v>
      </c>
      <c r="G99" s="47">
        <f>攻击!I99</f>
        <v>99</v>
      </c>
      <c r="H99" s="47">
        <f>攻击!J99</f>
        <v>60.599999999999994</v>
      </c>
      <c r="I99" s="47">
        <f>攻击!K99</f>
        <v>121.19999999999999</v>
      </c>
      <c r="J99" s="47">
        <f>攻击!L99</f>
        <v>60.599999999999994</v>
      </c>
      <c r="K99" s="47">
        <f>攻击!M99</f>
        <v>161.60000000000002</v>
      </c>
      <c r="L99" s="47">
        <f>攻击!N99</f>
        <v>242.39999999999998</v>
      </c>
      <c r="M99" s="47">
        <f>攻击!O99</f>
        <v>303</v>
      </c>
      <c r="N99" s="47">
        <f>攻击!P99</f>
        <v>404</v>
      </c>
      <c r="O99" s="47">
        <f>攻击!Q99</f>
        <v>505</v>
      </c>
      <c r="P99" s="47">
        <f>攻击!R99</f>
        <v>606</v>
      </c>
      <c r="Q99" s="47">
        <f>攻击!S99</f>
        <v>707</v>
      </c>
      <c r="R99" s="47">
        <f>攻击!T99</f>
        <v>151.5</v>
      </c>
      <c r="S99" s="47">
        <f>攻击!U99</f>
        <v>60.599999999999994</v>
      </c>
      <c r="T99" s="47">
        <f>攻击!V99</f>
        <v>60.599999999999994</v>
      </c>
      <c r="U99" s="47">
        <f>攻击!W99</f>
        <v>10.100000000000001</v>
      </c>
      <c r="V99" s="54">
        <f>攻击!X99</f>
        <v>0.2</v>
      </c>
      <c r="W99" s="54">
        <f>攻击!Y99</f>
        <v>0.3</v>
      </c>
      <c r="X99" s="54">
        <f>攻击!Z99</f>
        <v>0.5</v>
      </c>
      <c r="Y99" s="54">
        <f>攻击!AA99</f>
        <v>0.8</v>
      </c>
      <c r="Z99" s="54">
        <f>攻击!AB99</f>
        <v>1.2</v>
      </c>
      <c r="AA99" s="47">
        <f>攻击!AL99</f>
        <v>242.39999999999998</v>
      </c>
      <c r="AB99" s="54">
        <f>攻击!AM99</f>
        <v>0.2</v>
      </c>
      <c r="AC99" s="54">
        <f>攻击!AN99</f>
        <v>0.3</v>
      </c>
      <c r="AD99" s="54">
        <f>攻击!AO99</f>
        <v>0.5</v>
      </c>
      <c r="AE99" s="54">
        <f>攻击!AP99</f>
        <v>0.8</v>
      </c>
      <c r="AF99" s="54">
        <f>攻击!AQ99</f>
        <v>1.2</v>
      </c>
      <c r="AG99" s="47">
        <f>攻击!AR99</f>
        <v>40.400000000000006</v>
      </c>
      <c r="AH99" s="20">
        <f t="shared" si="1"/>
        <v>787.8</v>
      </c>
    </row>
    <row r="100" spans="1:34" s="20" customFormat="1">
      <c r="A100" s="46">
        <v>98</v>
      </c>
      <c r="B100" s="47">
        <f>攻击!D100</f>
        <v>204</v>
      </c>
      <c r="C100" s="47">
        <f>攻击!E100</f>
        <v>244.79999999999998</v>
      </c>
      <c r="D100" s="47">
        <f>攻击!F100</f>
        <v>306</v>
      </c>
      <c r="E100" s="47">
        <f>攻击!G100</f>
        <v>408</v>
      </c>
      <c r="F100" s="47">
        <f>攻击!H100</f>
        <v>510</v>
      </c>
      <c r="G100" s="47">
        <f>攻击!I100</f>
        <v>99</v>
      </c>
      <c r="H100" s="47">
        <f>攻击!J100</f>
        <v>61.199999999999996</v>
      </c>
      <c r="I100" s="47">
        <f>攻击!K100</f>
        <v>122.39999999999999</v>
      </c>
      <c r="J100" s="47">
        <f>攻击!L100</f>
        <v>61.199999999999996</v>
      </c>
      <c r="K100" s="47">
        <f>攻击!M100</f>
        <v>163.20000000000002</v>
      </c>
      <c r="L100" s="47">
        <f>攻击!N100</f>
        <v>244.79999999999998</v>
      </c>
      <c r="M100" s="47">
        <f>攻击!O100</f>
        <v>306</v>
      </c>
      <c r="N100" s="47">
        <f>攻击!P100</f>
        <v>408</v>
      </c>
      <c r="O100" s="47">
        <f>攻击!Q100</f>
        <v>510</v>
      </c>
      <c r="P100" s="47">
        <f>攻击!R100</f>
        <v>612</v>
      </c>
      <c r="Q100" s="47">
        <f>攻击!S100</f>
        <v>714</v>
      </c>
      <c r="R100" s="47">
        <f>攻击!T100</f>
        <v>153</v>
      </c>
      <c r="S100" s="47">
        <f>攻击!U100</f>
        <v>61.199999999999996</v>
      </c>
      <c r="T100" s="47">
        <f>攻击!V100</f>
        <v>61.199999999999996</v>
      </c>
      <c r="U100" s="47">
        <f>攻击!W100</f>
        <v>10.200000000000001</v>
      </c>
      <c r="V100" s="54">
        <f>攻击!X100</f>
        <v>0.2</v>
      </c>
      <c r="W100" s="54">
        <f>攻击!Y100</f>
        <v>0.3</v>
      </c>
      <c r="X100" s="54">
        <f>攻击!Z100</f>
        <v>0.5</v>
      </c>
      <c r="Y100" s="54">
        <f>攻击!AA100</f>
        <v>0.8</v>
      </c>
      <c r="Z100" s="54">
        <f>攻击!AB100</f>
        <v>1.2</v>
      </c>
      <c r="AA100" s="47">
        <f>攻击!AL100</f>
        <v>244.79999999999998</v>
      </c>
      <c r="AB100" s="54">
        <f>攻击!AM100</f>
        <v>0.2</v>
      </c>
      <c r="AC100" s="54">
        <f>攻击!AN100</f>
        <v>0.3</v>
      </c>
      <c r="AD100" s="54">
        <f>攻击!AO100</f>
        <v>0.5</v>
      </c>
      <c r="AE100" s="54">
        <f>攻击!AP100</f>
        <v>0.8</v>
      </c>
      <c r="AF100" s="54">
        <f>攻击!AQ100</f>
        <v>1.2</v>
      </c>
      <c r="AG100" s="47">
        <f>攻击!AR100</f>
        <v>40.800000000000004</v>
      </c>
      <c r="AH100" s="20">
        <f t="shared" si="1"/>
        <v>795.59999999999991</v>
      </c>
    </row>
    <row r="101" spans="1:34" s="20" customFormat="1">
      <c r="A101" s="46">
        <v>99</v>
      </c>
      <c r="B101" s="47">
        <f>攻击!D101</f>
        <v>206</v>
      </c>
      <c r="C101" s="47">
        <f>攻击!E101</f>
        <v>247.2</v>
      </c>
      <c r="D101" s="47">
        <f>攻击!F101</f>
        <v>309</v>
      </c>
      <c r="E101" s="47">
        <f>攻击!G101</f>
        <v>412</v>
      </c>
      <c r="F101" s="47">
        <f>攻击!H101</f>
        <v>515</v>
      </c>
      <c r="G101" s="47">
        <f>攻击!I101</f>
        <v>99</v>
      </c>
      <c r="H101" s="47">
        <f>攻击!J101</f>
        <v>61.8</v>
      </c>
      <c r="I101" s="47">
        <f>攻击!K101</f>
        <v>123.6</v>
      </c>
      <c r="J101" s="47">
        <f>攻击!L101</f>
        <v>61.8</v>
      </c>
      <c r="K101" s="47">
        <f>攻击!M101</f>
        <v>164.8</v>
      </c>
      <c r="L101" s="47">
        <f>攻击!N101</f>
        <v>247.2</v>
      </c>
      <c r="M101" s="47">
        <f>攻击!O101</f>
        <v>309</v>
      </c>
      <c r="N101" s="47">
        <f>攻击!P101</f>
        <v>412</v>
      </c>
      <c r="O101" s="47">
        <f>攻击!Q101</f>
        <v>515</v>
      </c>
      <c r="P101" s="47">
        <f>攻击!R101</f>
        <v>618</v>
      </c>
      <c r="Q101" s="47">
        <f>攻击!S101</f>
        <v>721</v>
      </c>
      <c r="R101" s="47">
        <f>攻击!T101</f>
        <v>154.5</v>
      </c>
      <c r="S101" s="47">
        <f>攻击!U101</f>
        <v>61.8</v>
      </c>
      <c r="T101" s="47">
        <f>攻击!V101</f>
        <v>61.8</v>
      </c>
      <c r="U101" s="47">
        <f>攻击!W101</f>
        <v>10.3</v>
      </c>
      <c r="V101" s="54">
        <f>攻击!X101</f>
        <v>0.2</v>
      </c>
      <c r="W101" s="54">
        <f>攻击!Y101</f>
        <v>0.3</v>
      </c>
      <c r="X101" s="54">
        <f>攻击!Z101</f>
        <v>0.5</v>
      </c>
      <c r="Y101" s="54">
        <f>攻击!AA101</f>
        <v>0.8</v>
      </c>
      <c r="Z101" s="54">
        <f>攻击!AB101</f>
        <v>1.2</v>
      </c>
      <c r="AA101" s="47">
        <f>攻击!AL101</f>
        <v>247.2</v>
      </c>
      <c r="AB101" s="54">
        <f>攻击!AM101</f>
        <v>0.2</v>
      </c>
      <c r="AC101" s="54">
        <f>攻击!AN101</f>
        <v>0.3</v>
      </c>
      <c r="AD101" s="54">
        <f>攻击!AO101</f>
        <v>0.5</v>
      </c>
      <c r="AE101" s="54">
        <f>攻击!AP101</f>
        <v>0.8</v>
      </c>
      <c r="AF101" s="54">
        <f>攻击!AQ101</f>
        <v>1.2</v>
      </c>
      <c r="AG101" s="47">
        <f>攻击!AR101</f>
        <v>41.2</v>
      </c>
      <c r="AH101" s="20">
        <f t="shared" si="1"/>
        <v>803.40000000000009</v>
      </c>
    </row>
    <row r="102" spans="1:34" s="20" customFormat="1">
      <c r="A102" s="46">
        <v>100</v>
      </c>
      <c r="B102" s="47">
        <f>攻击!D102</f>
        <v>208</v>
      </c>
      <c r="C102" s="47">
        <f>攻击!E102</f>
        <v>249.6</v>
      </c>
      <c r="D102" s="47">
        <f>攻击!F102</f>
        <v>312</v>
      </c>
      <c r="E102" s="47">
        <f>攻击!G102</f>
        <v>416</v>
      </c>
      <c r="F102" s="47">
        <f>攻击!H102</f>
        <v>520</v>
      </c>
      <c r="G102" s="47">
        <f>攻击!I102</f>
        <v>104</v>
      </c>
      <c r="H102" s="47">
        <f>攻击!J102</f>
        <v>62.4</v>
      </c>
      <c r="I102" s="47">
        <f>攻击!K102</f>
        <v>124.8</v>
      </c>
      <c r="J102" s="47">
        <f>攻击!L102</f>
        <v>62.4</v>
      </c>
      <c r="K102" s="47">
        <f>攻击!M102</f>
        <v>166.4</v>
      </c>
      <c r="L102" s="47">
        <f>攻击!N102</f>
        <v>249.6</v>
      </c>
      <c r="M102" s="47">
        <f>攻击!O102</f>
        <v>312</v>
      </c>
      <c r="N102" s="47">
        <f>攻击!P102</f>
        <v>416</v>
      </c>
      <c r="O102" s="47">
        <f>攻击!Q102</f>
        <v>520</v>
      </c>
      <c r="P102" s="47">
        <f>攻击!R102</f>
        <v>624</v>
      </c>
      <c r="Q102" s="47">
        <f>攻击!S102</f>
        <v>728</v>
      </c>
      <c r="R102" s="47">
        <f>攻击!T102</f>
        <v>156</v>
      </c>
      <c r="S102" s="47">
        <f>攻击!U102</f>
        <v>62.4</v>
      </c>
      <c r="T102" s="47">
        <f>攻击!V102</f>
        <v>62.4</v>
      </c>
      <c r="U102" s="47">
        <f>攻击!W102</f>
        <v>10.4</v>
      </c>
      <c r="V102" s="54">
        <f>攻击!X102</f>
        <v>0.2</v>
      </c>
      <c r="W102" s="54">
        <f>攻击!Y102</f>
        <v>0.3</v>
      </c>
      <c r="X102" s="54">
        <f>攻击!Z102</f>
        <v>0.5</v>
      </c>
      <c r="Y102" s="54">
        <f>攻击!AA102</f>
        <v>0.8</v>
      </c>
      <c r="Z102" s="54">
        <f>攻击!AB102</f>
        <v>1.2</v>
      </c>
      <c r="AA102" s="47">
        <f>攻击!AL102</f>
        <v>249.6</v>
      </c>
      <c r="AB102" s="54">
        <f>攻击!AM102</f>
        <v>0.2</v>
      </c>
      <c r="AC102" s="54">
        <f>攻击!AN102</f>
        <v>0.3</v>
      </c>
      <c r="AD102" s="54">
        <f>攻击!AO102</f>
        <v>0.5</v>
      </c>
      <c r="AE102" s="54">
        <f>攻击!AP102</f>
        <v>0.8</v>
      </c>
      <c r="AF102" s="54">
        <f>攻击!AQ102</f>
        <v>1.2</v>
      </c>
      <c r="AG102" s="47">
        <f>攻击!AR102</f>
        <v>41.6</v>
      </c>
      <c r="AH102" s="20">
        <f t="shared" si="1"/>
        <v>811.2</v>
      </c>
    </row>
    <row r="103" spans="1:34" s="20" customFormat="1">
      <c r="A103" s="46">
        <v>101</v>
      </c>
      <c r="B103" s="47">
        <f>攻击!D103</f>
        <v>210</v>
      </c>
      <c r="C103" s="47">
        <f>攻击!E103</f>
        <v>252</v>
      </c>
      <c r="D103" s="47">
        <f>攻击!F103</f>
        <v>315</v>
      </c>
      <c r="E103" s="47">
        <f>攻击!G103</f>
        <v>420</v>
      </c>
      <c r="F103" s="47">
        <f>攻击!H103</f>
        <v>525</v>
      </c>
      <c r="G103" s="47">
        <f>攻击!I103</f>
        <v>104</v>
      </c>
      <c r="H103" s="47">
        <f>攻击!J103</f>
        <v>63</v>
      </c>
      <c r="I103" s="47">
        <f>攻击!K103</f>
        <v>126</v>
      </c>
      <c r="J103" s="47">
        <f>攻击!L103</f>
        <v>63</v>
      </c>
      <c r="K103" s="47">
        <f>攻击!M103</f>
        <v>168</v>
      </c>
      <c r="L103" s="47">
        <f>攻击!N103</f>
        <v>252</v>
      </c>
      <c r="M103" s="47">
        <f>攻击!O103</f>
        <v>315</v>
      </c>
      <c r="N103" s="47">
        <f>攻击!P103</f>
        <v>420</v>
      </c>
      <c r="O103" s="47">
        <f>攻击!Q103</f>
        <v>525</v>
      </c>
      <c r="P103" s="47">
        <f>攻击!R103</f>
        <v>630</v>
      </c>
      <c r="Q103" s="47">
        <f>攻击!S103</f>
        <v>735</v>
      </c>
      <c r="R103" s="47">
        <f>攻击!T103</f>
        <v>157.5</v>
      </c>
      <c r="S103" s="47">
        <f>攻击!U103</f>
        <v>63</v>
      </c>
      <c r="T103" s="47">
        <f>攻击!V103</f>
        <v>63</v>
      </c>
      <c r="U103" s="47">
        <f>攻击!W103</f>
        <v>10.5</v>
      </c>
      <c r="V103" s="54">
        <f>攻击!X103</f>
        <v>0.2</v>
      </c>
      <c r="W103" s="54">
        <f>攻击!Y103</f>
        <v>0.3</v>
      </c>
      <c r="X103" s="54">
        <f>攻击!Z103</f>
        <v>0.5</v>
      </c>
      <c r="Y103" s="54">
        <f>攻击!AA103</f>
        <v>0.8</v>
      </c>
      <c r="Z103" s="54">
        <f>攻击!AB103</f>
        <v>1.2</v>
      </c>
      <c r="AA103" s="47">
        <f>攻击!AL103</f>
        <v>252</v>
      </c>
      <c r="AB103" s="54">
        <f>攻击!AM103</f>
        <v>0.2</v>
      </c>
      <c r="AC103" s="54">
        <f>攻击!AN103</f>
        <v>0.3</v>
      </c>
      <c r="AD103" s="54">
        <f>攻击!AO103</f>
        <v>0.5</v>
      </c>
      <c r="AE103" s="54">
        <f>攻击!AP103</f>
        <v>0.8</v>
      </c>
      <c r="AF103" s="54">
        <f>攻击!AQ103</f>
        <v>1.2</v>
      </c>
      <c r="AG103" s="47">
        <f>攻击!AR103</f>
        <v>42</v>
      </c>
      <c r="AH103" s="20">
        <f t="shared" si="1"/>
        <v>819</v>
      </c>
    </row>
    <row r="104" spans="1:34" s="20" customFormat="1">
      <c r="A104" s="46">
        <v>102</v>
      </c>
      <c r="B104" s="47">
        <f>攻击!D104</f>
        <v>212</v>
      </c>
      <c r="C104" s="47">
        <f>攻击!E104</f>
        <v>254.39999999999998</v>
      </c>
      <c r="D104" s="47">
        <f>攻击!F104</f>
        <v>318</v>
      </c>
      <c r="E104" s="47">
        <f>攻击!G104</f>
        <v>424</v>
      </c>
      <c r="F104" s="47">
        <f>攻击!H104</f>
        <v>530</v>
      </c>
      <c r="G104" s="47">
        <f>攻击!I104</f>
        <v>104</v>
      </c>
      <c r="H104" s="47">
        <f>攻击!J104</f>
        <v>63.599999999999994</v>
      </c>
      <c r="I104" s="47">
        <f>攻击!K104</f>
        <v>127.19999999999999</v>
      </c>
      <c r="J104" s="47">
        <f>攻击!L104</f>
        <v>63.599999999999994</v>
      </c>
      <c r="K104" s="47">
        <f>攻击!M104</f>
        <v>169.60000000000002</v>
      </c>
      <c r="L104" s="47">
        <f>攻击!N104</f>
        <v>254.39999999999998</v>
      </c>
      <c r="M104" s="47">
        <f>攻击!O104</f>
        <v>318</v>
      </c>
      <c r="N104" s="47">
        <f>攻击!P104</f>
        <v>424</v>
      </c>
      <c r="O104" s="47">
        <f>攻击!Q104</f>
        <v>530</v>
      </c>
      <c r="P104" s="47">
        <f>攻击!R104</f>
        <v>636</v>
      </c>
      <c r="Q104" s="47">
        <f>攻击!S104</f>
        <v>742</v>
      </c>
      <c r="R104" s="47">
        <f>攻击!T104</f>
        <v>159</v>
      </c>
      <c r="S104" s="47">
        <f>攻击!U104</f>
        <v>63.599999999999994</v>
      </c>
      <c r="T104" s="47">
        <f>攻击!V104</f>
        <v>63.599999999999994</v>
      </c>
      <c r="U104" s="47">
        <f>攻击!W104</f>
        <v>10.600000000000001</v>
      </c>
      <c r="V104" s="54">
        <f>攻击!X104</f>
        <v>0.2</v>
      </c>
      <c r="W104" s="54">
        <f>攻击!Y104</f>
        <v>0.3</v>
      </c>
      <c r="X104" s="54">
        <f>攻击!Z104</f>
        <v>0.5</v>
      </c>
      <c r="Y104" s="54">
        <f>攻击!AA104</f>
        <v>0.8</v>
      </c>
      <c r="Z104" s="54">
        <f>攻击!AB104</f>
        <v>1.2</v>
      </c>
      <c r="AA104" s="47">
        <f>攻击!AL104</f>
        <v>254.39999999999998</v>
      </c>
      <c r="AB104" s="54">
        <f>攻击!AM104</f>
        <v>0.2</v>
      </c>
      <c r="AC104" s="54">
        <f>攻击!AN104</f>
        <v>0.3</v>
      </c>
      <c r="AD104" s="54">
        <f>攻击!AO104</f>
        <v>0.5</v>
      </c>
      <c r="AE104" s="54">
        <f>攻击!AP104</f>
        <v>0.8</v>
      </c>
      <c r="AF104" s="54">
        <f>攻击!AQ104</f>
        <v>1.2</v>
      </c>
      <c r="AG104" s="47">
        <f>攻击!AR104</f>
        <v>42.400000000000006</v>
      </c>
      <c r="AH104" s="20">
        <f t="shared" si="1"/>
        <v>826.8</v>
      </c>
    </row>
    <row r="105" spans="1:34" s="20" customFormat="1">
      <c r="A105" s="46">
        <v>103</v>
      </c>
      <c r="B105" s="47">
        <f>攻击!D105</f>
        <v>214</v>
      </c>
      <c r="C105" s="47">
        <f>攻击!E105</f>
        <v>256.8</v>
      </c>
      <c r="D105" s="47">
        <f>攻击!F105</f>
        <v>321</v>
      </c>
      <c r="E105" s="47">
        <f>攻击!G105</f>
        <v>428</v>
      </c>
      <c r="F105" s="47">
        <f>攻击!H105</f>
        <v>535</v>
      </c>
      <c r="G105" s="47">
        <f>攻击!I105</f>
        <v>104</v>
      </c>
      <c r="H105" s="47">
        <f>攻击!J105</f>
        <v>64.2</v>
      </c>
      <c r="I105" s="47">
        <f>攻击!K105</f>
        <v>128.4</v>
      </c>
      <c r="J105" s="47">
        <f>攻击!L105</f>
        <v>64.2</v>
      </c>
      <c r="K105" s="47">
        <f>攻击!M105</f>
        <v>171.20000000000002</v>
      </c>
      <c r="L105" s="47">
        <f>攻击!N105</f>
        <v>256.8</v>
      </c>
      <c r="M105" s="47">
        <f>攻击!O105</f>
        <v>321</v>
      </c>
      <c r="N105" s="47">
        <f>攻击!P105</f>
        <v>428</v>
      </c>
      <c r="O105" s="47">
        <f>攻击!Q105</f>
        <v>535</v>
      </c>
      <c r="P105" s="47">
        <f>攻击!R105</f>
        <v>642</v>
      </c>
      <c r="Q105" s="47">
        <f>攻击!S105</f>
        <v>749</v>
      </c>
      <c r="R105" s="47">
        <f>攻击!T105</f>
        <v>160.5</v>
      </c>
      <c r="S105" s="47">
        <f>攻击!U105</f>
        <v>64.2</v>
      </c>
      <c r="T105" s="47">
        <f>攻击!V105</f>
        <v>64.2</v>
      </c>
      <c r="U105" s="47">
        <f>攻击!W105</f>
        <v>10.700000000000001</v>
      </c>
      <c r="V105" s="54">
        <f>攻击!X105</f>
        <v>0.2</v>
      </c>
      <c r="W105" s="54">
        <f>攻击!Y105</f>
        <v>0.3</v>
      </c>
      <c r="X105" s="54">
        <f>攻击!Z105</f>
        <v>0.5</v>
      </c>
      <c r="Y105" s="54">
        <f>攻击!AA105</f>
        <v>0.8</v>
      </c>
      <c r="Z105" s="54">
        <f>攻击!AB105</f>
        <v>1.2</v>
      </c>
      <c r="AA105" s="47">
        <f>攻击!AL105</f>
        <v>256.8</v>
      </c>
      <c r="AB105" s="54">
        <f>攻击!AM105</f>
        <v>0.2</v>
      </c>
      <c r="AC105" s="54">
        <f>攻击!AN105</f>
        <v>0.3</v>
      </c>
      <c r="AD105" s="54">
        <f>攻击!AO105</f>
        <v>0.5</v>
      </c>
      <c r="AE105" s="54">
        <f>攻击!AP105</f>
        <v>0.8</v>
      </c>
      <c r="AF105" s="54">
        <f>攻击!AQ105</f>
        <v>1.2</v>
      </c>
      <c r="AG105" s="47">
        <f>攻击!AR105</f>
        <v>42.800000000000004</v>
      </c>
      <c r="AH105" s="20">
        <f t="shared" si="1"/>
        <v>834.59999999999991</v>
      </c>
    </row>
    <row r="106" spans="1:34" s="20" customFormat="1">
      <c r="A106" s="46">
        <v>104</v>
      </c>
      <c r="B106" s="47">
        <f>攻击!D106</f>
        <v>216</v>
      </c>
      <c r="C106" s="47">
        <f>攻击!E106</f>
        <v>259.2</v>
      </c>
      <c r="D106" s="47">
        <f>攻击!F106</f>
        <v>324</v>
      </c>
      <c r="E106" s="47">
        <f>攻击!G106</f>
        <v>432</v>
      </c>
      <c r="F106" s="47">
        <f>攻击!H106</f>
        <v>540</v>
      </c>
      <c r="G106" s="47">
        <f>攻击!I106</f>
        <v>104</v>
      </c>
      <c r="H106" s="47">
        <f>攻击!J106</f>
        <v>64.8</v>
      </c>
      <c r="I106" s="47">
        <f>攻击!K106</f>
        <v>129.6</v>
      </c>
      <c r="J106" s="47">
        <f>攻击!L106</f>
        <v>64.8</v>
      </c>
      <c r="K106" s="47">
        <f>攻击!M106</f>
        <v>172.8</v>
      </c>
      <c r="L106" s="47">
        <f>攻击!N106</f>
        <v>259.2</v>
      </c>
      <c r="M106" s="47">
        <f>攻击!O106</f>
        <v>324</v>
      </c>
      <c r="N106" s="47">
        <f>攻击!P106</f>
        <v>432</v>
      </c>
      <c r="O106" s="47">
        <f>攻击!Q106</f>
        <v>540</v>
      </c>
      <c r="P106" s="47">
        <f>攻击!R106</f>
        <v>648</v>
      </c>
      <c r="Q106" s="47">
        <f>攻击!S106</f>
        <v>756</v>
      </c>
      <c r="R106" s="47">
        <f>攻击!T106</f>
        <v>162</v>
      </c>
      <c r="S106" s="47">
        <f>攻击!U106</f>
        <v>64.8</v>
      </c>
      <c r="T106" s="47">
        <f>攻击!V106</f>
        <v>64.8</v>
      </c>
      <c r="U106" s="47">
        <f>攻击!W106</f>
        <v>10.8</v>
      </c>
      <c r="V106" s="54">
        <f>攻击!X106</f>
        <v>0.2</v>
      </c>
      <c r="W106" s="54">
        <f>攻击!Y106</f>
        <v>0.3</v>
      </c>
      <c r="X106" s="54">
        <f>攻击!Z106</f>
        <v>0.5</v>
      </c>
      <c r="Y106" s="54">
        <f>攻击!AA106</f>
        <v>0.8</v>
      </c>
      <c r="Z106" s="54">
        <f>攻击!AB106</f>
        <v>1.2</v>
      </c>
      <c r="AA106" s="47">
        <f>攻击!AL106</f>
        <v>259.2</v>
      </c>
      <c r="AB106" s="54">
        <f>攻击!AM106</f>
        <v>0.2</v>
      </c>
      <c r="AC106" s="54">
        <f>攻击!AN106</f>
        <v>0.3</v>
      </c>
      <c r="AD106" s="54">
        <f>攻击!AO106</f>
        <v>0.5</v>
      </c>
      <c r="AE106" s="54">
        <f>攻击!AP106</f>
        <v>0.8</v>
      </c>
      <c r="AF106" s="54">
        <f>攻击!AQ106</f>
        <v>1.2</v>
      </c>
      <c r="AG106" s="47">
        <f>攻击!AR106</f>
        <v>43.2</v>
      </c>
      <c r="AH106" s="20">
        <f t="shared" si="1"/>
        <v>842.40000000000009</v>
      </c>
    </row>
    <row r="107" spans="1:34" s="20" customFormat="1">
      <c r="A107" s="46">
        <v>105</v>
      </c>
      <c r="B107" s="47">
        <f>攻击!D107</f>
        <v>218</v>
      </c>
      <c r="C107" s="47">
        <f>攻击!E107</f>
        <v>261.59999999999997</v>
      </c>
      <c r="D107" s="47">
        <f>攻击!F107</f>
        <v>327</v>
      </c>
      <c r="E107" s="47">
        <f>攻击!G107</f>
        <v>436</v>
      </c>
      <c r="F107" s="47">
        <f>攻击!H107</f>
        <v>545</v>
      </c>
      <c r="G107" s="47">
        <f>攻击!I107</f>
        <v>109</v>
      </c>
      <c r="H107" s="47">
        <f>攻击!J107</f>
        <v>65.399999999999991</v>
      </c>
      <c r="I107" s="47">
        <f>攻击!K107</f>
        <v>130.79999999999998</v>
      </c>
      <c r="J107" s="47">
        <f>攻击!L107</f>
        <v>65.399999999999991</v>
      </c>
      <c r="K107" s="47">
        <f>攻击!M107</f>
        <v>174.4</v>
      </c>
      <c r="L107" s="47">
        <f>攻击!N107</f>
        <v>261.59999999999997</v>
      </c>
      <c r="M107" s="47">
        <f>攻击!O107</f>
        <v>327</v>
      </c>
      <c r="N107" s="47">
        <f>攻击!P107</f>
        <v>436</v>
      </c>
      <c r="O107" s="47">
        <f>攻击!Q107</f>
        <v>545</v>
      </c>
      <c r="P107" s="47">
        <f>攻击!R107</f>
        <v>654</v>
      </c>
      <c r="Q107" s="47">
        <f>攻击!S107</f>
        <v>763</v>
      </c>
      <c r="R107" s="47">
        <f>攻击!T107</f>
        <v>163.5</v>
      </c>
      <c r="S107" s="47">
        <f>攻击!U107</f>
        <v>65.399999999999991</v>
      </c>
      <c r="T107" s="47">
        <f>攻击!V107</f>
        <v>65.399999999999991</v>
      </c>
      <c r="U107" s="47">
        <f>攻击!W107</f>
        <v>10.9</v>
      </c>
      <c r="V107" s="54">
        <f>攻击!X107</f>
        <v>0.2</v>
      </c>
      <c r="W107" s="54">
        <f>攻击!Y107</f>
        <v>0.3</v>
      </c>
      <c r="X107" s="54">
        <f>攻击!Z107</f>
        <v>0.5</v>
      </c>
      <c r="Y107" s="54">
        <f>攻击!AA107</f>
        <v>0.8</v>
      </c>
      <c r="Z107" s="54">
        <f>攻击!AB107</f>
        <v>1.2</v>
      </c>
      <c r="AA107" s="47">
        <f>攻击!AL107</f>
        <v>261.59999999999997</v>
      </c>
      <c r="AB107" s="54">
        <f>攻击!AM107</f>
        <v>0.2</v>
      </c>
      <c r="AC107" s="54">
        <f>攻击!AN107</f>
        <v>0.3</v>
      </c>
      <c r="AD107" s="54">
        <f>攻击!AO107</f>
        <v>0.5</v>
      </c>
      <c r="AE107" s="54">
        <f>攻击!AP107</f>
        <v>0.8</v>
      </c>
      <c r="AF107" s="54">
        <f>攻击!AQ107</f>
        <v>1.2</v>
      </c>
      <c r="AG107" s="47">
        <f>攻击!AR107</f>
        <v>43.6</v>
      </c>
      <c r="AH107" s="20">
        <f t="shared" si="1"/>
        <v>850.19999999999993</v>
      </c>
    </row>
    <row r="108" spans="1:34" s="20" customFormat="1">
      <c r="A108" s="46">
        <v>106</v>
      </c>
      <c r="B108" s="47">
        <f>攻击!D108</f>
        <v>220</v>
      </c>
      <c r="C108" s="47">
        <f>攻击!E108</f>
        <v>264</v>
      </c>
      <c r="D108" s="47">
        <f>攻击!F108</f>
        <v>330</v>
      </c>
      <c r="E108" s="47">
        <f>攻击!G108</f>
        <v>440</v>
      </c>
      <c r="F108" s="47">
        <f>攻击!H108</f>
        <v>550</v>
      </c>
      <c r="G108" s="47">
        <f>攻击!I108</f>
        <v>109</v>
      </c>
      <c r="H108" s="47">
        <f>攻击!J108</f>
        <v>66</v>
      </c>
      <c r="I108" s="47">
        <f>攻击!K108</f>
        <v>132</v>
      </c>
      <c r="J108" s="47">
        <f>攻击!L108</f>
        <v>66</v>
      </c>
      <c r="K108" s="47">
        <f>攻击!M108</f>
        <v>176</v>
      </c>
      <c r="L108" s="47">
        <f>攻击!N108</f>
        <v>264</v>
      </c>
      <c r="M108" s="47">
        <f>攻击!O108</f>
        <v>330</v>
      </c>
      <c r="N108" s="47">
        <f>攻击!P108</f>
        <v>440</v>
      </c>
      <c r="O108" s="47">
        <f>攻击!Q108</f>
        <v>550</v>
      </c>
      <c r="P108" s="47">
        <f>攻击!R108</f>
        <v>660</v>
      </c>
      <c r="Q108" s="47">
        <f>攻击!S108</f>
        <v>770</v>
      </c>
      <c r="R108" s="47">
        <f>攻击!T108</f>
        <v>165</v>
      </c>
      <c r="S108" s="47">
        <f>攻击!U108</f>
        <v>66</v>
      </c>
      <c r="T108" s="47">
        <f>攻击!V108</f>
        <v>66</v>
      </c>
      <c r="U108" s="47">
        <f>攻击!W108</f>
        <v>11</v>
      </c>
      <c r="V108" s="54">
        <f>攻击!X108</f>
        <v>0.2</v>
      </c>
      <c r="W108" s="54">
        <f>攻击!Y108</f>
        <v>0.3</v>
      </c>
      <c r="X108" s="54">
        <f>攻击!Z108</f>
        <v>0.5</v>
      </c>
      <c r="Y108" s="54">
        <f>攻击!AA108</f>
        <v>0.8</v>
      </c>
      <c r="Z108" s="54">
        <f>攻击!AB108</f>
        <v>1.2</v>
      </c>
      <c r="AA108" s="47">
        <f>攻击!AL108</f>
        <v>264</v>
      </c>
      <c r="AB108" s="54">
        <f>攻击!AM108</f>
        <v>0.2</v>
      </c>
      <c r="AC108" s="54">
        <f>攻击!AN108</f>
        <v>0.3</v>
      </c>
      <c r="AD108" s="54">
        <f>攻击!AO108</f>
        <v>0.5</v>
      </c>
      <c r="AE108" s="54">
        <f>攻击!AP108</f>
        <v>0.8</v>
      </c>
      <c r="AF108" s="54">
        <f>攻击!AQ108</f>
        <v>1.2</v>
      </c>
      <c r="AG108" s="47">
        <f>攻击!AR108</f>
        <v>44</v>
      </c>
      <c r="AH108" s="20">
        <f t="shared" si="1"/>
        <v>858</v>
      </c>
    </row>
    <row r="109" spans="1:34" s="20" customFormat="1">
      <c r="A109" s="46">
        <v>107</v>
      </c>
      <c r="B109" s="47">
        <f>攻击!D109</f>
        <v>222</v>
      </c>
      <c r="C109" s="47">
        <f>攻击!E109</f>
        <v>266.39999999999998</v>
      </c>
      <c r="D109" s="47">
        <f>攻击!F109</f>
        <v>333</v>
      </c>
      <c r="E109" s="47">
        <f>攻击!G109</f>
        <v>444</v>
      </c>
      <c r="F109" s="47">
        <f>攻击!H109</f>
        <v>555</v>
      </c>
      <c r="G109" s="47">
        <f>攻击!I109</f>
        <v>109</v>
      </c>
      <c r="H109" s="47">
        <f>攻击!J109</f>
        <v>66.599999999999994</v>
      </c>
      <c r="I109" s="47">
        <f>攻击!K109</f>
        <v>133.19999999999999</v>
      </c>
      <c r="J109" s="47">
        <f>攻击!L109</f>
        <v>66.599999999999994</v>
      </c>
      <c r="K109" s="47">
        <f>攻击!M109</f>
        <v>177.60000000000002</v>
      </c>
      <c r="L109" s="47">
        <f>攻击!N109</f>
        <v>266.39999999999998</v>
      </c>
      <c r="M109" s="47">
        <f>攻击!O109</f>
        <v>333</v>
      </c>
      <c r="N109" s="47">
        <f>攻击!P109</f>
        <v>444</v>
      </c>
      <c r="O109" s="47">
        <f>攻击!Q109</f>
        <v>555</v>
      </c>
      <c r="P109" s="47">
        <f>攻击!R109</f>
        <v>666</v>
      </c>
      <c r="Q109" s="47">
        <f>攻击!S109</f>
        <v>777</v>
      </c>
      <c r="R109" s="47">
        <f>攻击!T109</f>
        <v>166.5</v>
      </c>
      <c r="S109" s="47">
        <f>攻击!U109</f>
        <v>66.599999999999994</v>
      </c>
      <c r="T109" s="47">
        <f>攻击!V109</f>
        <v>66.599999999999994</v>
      </c>
      <c r="U109" s="47">
        <f>攻击!W109</f>
        <v>11.100000000000001</v>
      </c>
      <c r="V109" s="54">
        <f>攻击!X109</f>
        <v>0.2</v>
      </c>
      <c r="W109" s="54">
        <f>攻击!Y109</f>
        <v>0.3</v>
      </c>
      <c r="X109" s="54">
        <f>攻击!Z109</f>
        <v>0.5</v>
      </c>
      <c r="Y109" s="54">
        <f>攻击!AA109</f>
        <v>0.8</v>
      </c>
      <c r="Z109" s="54">
        <f>攻击!AB109</f>
        <v>1.2</v>
      </c>
      <c r="AA109" s="47">
        <f>攻击!AL109</f>
        <v>266.39999999999998</v>
      </c>
      <c r="AB109" s="54">
        <f>攻击!AM109</f>
        <v>0.2</v>
      </c>
      <c r="AC109" s="54">
        <f>攻击!AN109</f>
        <v>0.3</v>
      </c>
      <c r="AD109" s="54">
        <f>攻击!AO109</f>
        <v>0.5</v>
      </c>
      <c r="AE109" s="54">
        <f>攻击!AP109</f>
        <v>0.8</v>
      </c>
      <c r="AF109" s="54">
        <f>攻击!AQ109</f>
        <v>1.2</v>
      </c>
      <c r="AG109" s="47">
        <f>攻击!AR109</f>
        <v>44.400000000000006</v>
      </c>
      <c r="AH109" s="20">
        <f t="shared" si="1"/>
        <v>865.8</v>
      </c>
    </row>
    <row r="110" spans="1:34" s="20" customFormat="1">
      <c r="A110" s="46">
        <v>108</v>
      </c>
      <c r="B110" s="47">
        <f>攻击!D110</f>
        <v>224</v>
      </c>
      <c r="C110" s="47">
        <f>攻击!E110</f>
        <v>268.8</v>
      </c>
      <c r="D110" s="47">
        <f>攻击!F110</f>
        <v>336</v>
      </c>
      <c r="E110" s="47">
        <f>攻击!G110</f>
        <v>448</v>
      </c>
      <c r="F110" s="47">
        <f>攻击!H110</f>
        <v>560</v>
      </c>
      <c r="G110" s="47">
        <f>攻击!I110</f>
        <v>109</v>
      </c>
      <c r="H110" s="47">
        <f>攻击!J110</f>
        <v>67.2</v>
      </c>
      <c r="I110" s="47">
        <f>攻击!K110</f>
        <v>134.4</v>
      </c>
      <c r="J110" s="47">
        <f>攻击!L110</f>
        <v>67.2</v>
      </c>
      <c r="K110" s="47">
        <f>攻击!M110</f>
        <v>179.20000000000002</v>
      </c>
      <c r="L110" s="47">
        <f>攻击!N110</f>
        <v>268.8</v>
      </c>
      <c r="M110" s="47">
        <f>攻击!O110</f>
        <v>336</v>
      </c>
      <c r="N110" s="47">
        <f>攻击!P110</f>
        <v>448</v>
      </c>
      <c r="O110" s="47">
        <f>攻击!Q110</f>
        <v>560</v>
      </c>
      <c r="P110" s="47">
        <f>攻击!R110</f>
        <v>672</v>
      </c>
      <c r="Q110" s="47">
        <f>攻击!S110</f>
        <v>784</v>
      </c>
      <c r="R110" s="47">
        <f>攻击!T110</f>
        <v>168</v>
      </c>
      <c r="S110" s="47">
        <f>攻击!U110</f>
        <v>67.2</v>
      </c>
      <c r="T110" s="47">
        <f>攻击!V110</f>
        <v>67.2</v>
      </c>
      <c r="U110" s="47">
        <f>攻击!W110</f>
        <v>11.200000000000001</v>
      </c>
      <c r="V110" s="54">
        <f>攻击!X110</f>
        <v>0.2</v>
      </c>
      <c r="W110" s="54">
        <f>攻击!Y110</f>
        <v>0.3</v>
      </c>
      <c r="X110" s="54">
        <f>攻击!Z110</f>
        <v>0.5</v>
      </c>
      <c r="Y110" s="54">
        <f>攻击!AA110</f>
        <v>0.8</v>
      </c>
      <c r="Z110" s="54">
        <f>攻击!AB110</f>
        <v>1.2</v>
      </c>
      <c r="AA110" s="47">
        <f>攻击!AL110</f>
        <v>268.8</v>
      </c>
      <c r="AB110" s="54">
        <f>攻击!AM110</f>
        <v>0.2</v>
      </c>
      <c r="AC110" s="54">
        <f>攻击!AN110</f>
        <v>0.3</v>
      </c>
      <c r="AD110" s="54">
        <f>攻击!AO110</f>
        <v>0.5</v>
      </c>
      <c r="AE110" s="54">
        <f>攻击!AP110</f>
        <v>0.8</v>
      </c>
      <c r="AF110" s="54">
        <f>攻击!AQ110</f>
        <v>1.2</v>
      </c>
      <c r="AG110" s="47">
        <f>攻击!AR110</f>
        <v>44.800000000000004</v>
      </c>
      <c r="AH110" s="20">
        <f t="shared" si="1"/>
        <v>873.59999999999991</v>
      </c>
    </row>
    <row r="111" spans="1:34" s="20" customFormat="1">
      <c r="A111" s="46">
        <v>109</v>
      </c>
      <c r="B111" s="47">
        <f>攻击!D111</f>
        <v>226</v>
      </c>
      <c r="C111" s="47">
        <f>攻击!E111</f>
        <v>271.2</v>
      </c>
      <c r="D111" s="47">
        <f>攻击!F111</f>
        <v>339</v>
      </c>
      <c r="E111" s="47">
        <f>攻击!G111</f>
        <v>452</v>
      </c>
      <c r="F111" s="47">
        <f>攻击!H111</f>
        <v>565</v>
      </c>
      <c r="G111" s="47">
        <f>攻击!I111</f>
        <v>109</v>
      </c>
      <c r="H111" s="47">
        <f>攻击!J111</f>
        <v>67.8</v>
      </c>
      <c r="I111" s="47">
        <f>攻击!K111</f>
        <v>135.6</v>
      </c>
      <c r="J111" s="47">
        <f>攻击!L111</f>
        <v>67.8</v>
      </c>
      <c r="K111" s="47">
        <f>攻击!M111</f>
        <v>180.8</v>
      </c>
      <c r="L111" s="47">
        <f>攻击!N111</f>
        <v>271.2</v>
      </c>
      <c r="M111" s="47">
        <f>攻击!O111</f>
        <v>339</v>
      </c>
      <c r="N111" s="47">
        <f>攻击!P111</f>
        <v>452</v>
      </c>
      <c r="O111" s="47">
        <f>攻击!Q111</f>
        <v>565</v>
      </c>
      <c r="P111" s="47">
        <f>攻击!R111</f>
        <v>678</v>
      </c>
      <c r="Q111" s="47">
        <f>攻击!S111</f>
        <v>791</v>
      </c>
      <c r="R111" s="47">
        <f>攻击!T111</f>
        <v>169.5</v>
      </c>
      <c r="S111" s="47">
        <f>攻击!U111</f>
        <v>67.8</v>
      </c>
      <c r="T111" s="47">
        <f>攻击!V111</f>
        <v>67.8</v>
      </c>
      <c r="U111" s="47">
        <f>攻击!W111</f>
        <v>11.3</v>
      </c>
      <c r="V111" s="54">
        <f>攻击!X111</f>
        <v>0.2</v>
      </c>
      <c r="W111" s="54">
        <f>攻击!Y111</f>
        <v>0.3</v>
      </c>
      <c r="X111" s="54">
        <f>攻击!Z111</f>
        <v>0.5</v>
      </c>
      <c r="Y111" s="54">
        <f>攻击!AA111</f>
        <v>0.8</v>
      </c>
      <c r="Z111" s="54">
        <f>攻击!AB111</f>
        <v>1.2</v>
      </c>
      <c r="AA111" s="47">
        <f>攻击!AL111</f>
        <v>271.2</v>
      </c>
      <c r="AB111" s="54">
        <f>攻击!AM111</f>
        <v>0.2</v>
      </c>
      <c r="AC111" s="54">
        <f>攻击!AN111</f>
        <v>0.3</v>
      </c>
      <c r="AD111" s="54">
        <f>攻击!AO111</f>
        <v>0.5</v>
      </c>
      <c r="AE111" s="54">
        <f>攻击!AP111</f>
        <v>0.8</v>
      </c>
      <c r="AF111" s="54">
        <f>攻击!AQ111</f>
        <v>1.2</v>
      </c>
      <c r="AG111" s="47">
        <f>攻击!AR111</f>
        <v>45.2</v>
      </c>
      <c r="AH111" s="20">
        <f t="shared" si="1"/>
        <v>881.40000000000009</v>
      </c>
    </row>
    <row r="112" spans="1:34" s="20" customFormat="1">
      <c r="A112" s="46">
        <v>110</v>
      </c>
      <c r="B112" s="47">
        <f>攻击!D112</f>
        <v>228</v>
      </c>
      <c r="C112" s="47">
        <f>攻击!E112</f>
        <v>273.59999999999997</v>
      </c>
      <c r="D112" s="47">
        <f>攻击!F112</f>
        <v>342</v>
      </c>
      <c r="E112" s="47">
        <f>攻击!G112</f>
        <v>456</v>
      </c>
      <c r="F112" s="47">
        <f>攻击!H112</f>
        <v>570</v>
      </c>
      <c r="G112" s="47">
        <f>攻击!I112</f>
        <v>114</v>
      </c>
      <c r="H112" s="47">
        <f>攻击!J112</f>
        <v>68.399999999999991</v>
      </c>
      <c r="I112" s="47">
        <f>攻击!K112</f>
        <v>136.79999999999998</v>
      </c>
      <c r="J112" s="47">
        <f>攻击!L112</f>
        <v>68.399999999999991</v>
      </c>
      <c r="K112" s="47">
        <f>攻击!M112</f>
        <v>182.4</v>
      </c>
      <c r="L112" s="47">
        <f>攻击!N112</f>
        <v>273.59999999999997</v>
      </c>
      <c r="M112" s="47">
        <f>攻击!O112</f>
        <v>342</v>
      </c>
      <c r="N112" s="47">
        <f>攻击!P112</f>
        <v>456</v>
      </c>
      <c r="O112" s="47">
        <f>攻击!Q112</f>
        <v>570</v>
      </c>
      <c r="P112" s="47">
        <f>攻击!R112</f>
        <v>684</v>
      </c>
      <c r="Q112" s="47">
        <f>攻击!S112</f>
        <v>798</v>
      </c>
      <c r="R112" s="47">
        <f>攻击!T112</f>
        <v>171</v>
      </c>
      <c r="S112" s="47">
        <f>攻击!U112</f>
        <v>68.399999999999991</v>
      </c>
      <c r="T112" s="47">
        <f>攻击!V112</f>
        <v>68.399999999999991</v>
      </c>
      <c r="U112" s="47">
        <f>攻击!W112</f>
        <v>11.4</v>
      </c>
      <c r="V112" s="54">
        <f>攻击!X112</f>
        <v>0.2</v>
      </c>
      <c r="W112" s="54">
        <f>攻击!Y112</f>
        <v>0.3</v>
      </c>
      <c r="X112" s="54">
        <f>攻击!Z112</f>
        <v>0.5</v>
      </c>
      <c r="Y112" s="54">
        <f>攻击!AA112</f>
        <v>0.8</v>
      </c>
      <c r="Z112" s="54">
        <f>攻击!AB112</f>
        <v>1.2</v>
      </c>
      <c r="AA112" s="47">
        <f>攻击!AL112</f>
        <v>273.59999999999997</v>
      </c>
      <c r="AB112" s="54">
        <f>攻击!AM112</f>
        <v>0.2</v>
      </c>
      <c r="AC112" s="54">
        <f>攻击!AN112</f>
        <v>0.3</v>
      </c>
      <c r="AD112" s="54">
        <f>攻击!AO112</f>
        <v>0.5</v>
      </c>
      <c r="AE112" s="54">
        <f>攻击!AP112</f>
        <v>0.8</v>
      </c>
      <c r="AF112" s="54">
        <f>攻击!AQ112</f>
        <v>1.2</v>
      </c>
      <c r="AG112" s="47">
        <f>攻击!AR112</f>
        <v>45.6</v>
      </c>
      <c r="AH112" s="20">
        <f t="shared" si="1"/>
        <v>889.19999999999993</v>
      </c>
    </row>
    <row r="113" spans="1:34" s="20" customFormat="1">
      <c r="A113" s="46">
        <v>111</v>
      </c>
      <c r="B113" s="47">
        <f>攻击!D113</f>
        <v>230</v>
      </c>
      <c r="C113" s="47">
        <f>攻击!E113</f>
        <v>276</v>
      </c>
      <c r="D113" s="47">
        <f>攻击!F113</f>
        <v>345</v>
      </c>
      <c r="E113" s="47">
        <f>攻击!G113</f>
        <v>460</v>
      </c>
      <c r="F113" s="47">
        <f>攻击!H113</f>
        <v>575</v>
      </c>
      <c r="G113" s="47">
        <f>攻击!I113</f>
        <v>114</v>
      </c>
      <c r="H113" s="47">
        <f>攻击!J113</f>
        <v>69</v>
      </c>
      <c r="I113" s="47">
        <f>攻击!K113</f>
        <v>138</v>
      </c>
      <c r="J113" s="47">
        <f>攻击!L113</f>
        <v>69</v>
      </c>
      <c r="K113" s="47">
        <f>攻击!M113</f>
        <v>184</v>
      </c>
      <c r="L113" s="47">
        <f>攻击!N113</f>
        <v>276</v>
      </c>
      <c r="M113" s="47">
        <f>攻击!O113</f>
        <v>345</v>
      </c>
      <c r="N113" s="47">
        <f>攻击!P113</f>
        <v>460</v>
      </c>
      <c r="O113" s="47">
        <f>攻击!Q113</f>
        <v>575</v>
      </c>
      <c r="P113" s="47">
        <f>攻击!R113</f>
        <v>690</v>
      </c>
      <c r="Q113" s="47">
        <f>攻击!S113</f>
        <v>805</v>
      </c>
      <c r="R113" s="47">
        <f>攻击!T113</f>
        <v>172.5</v>
      </c>
      <c r="S113" s="47">
        <f>攻击!U113</f>
        <v>69</v>
      </c>
      <c r="T113" s="47">
        <f>攻击!V113</f>
        <v>69</v>
      </c>
      <c r="U113" s="47">
        <f>攻击!W113</f>
        <v>11.5</v>
      </c>
      <c r="V113" s="54">
        <f>攻击!X113</f>
        <v>0.2</v>
      </c>
      <c r="W113" s="54">
        <f>攻击!Y113</f>
        <v>0.3</v>
      </c>
      <c r="X113" s="54">
        <f>攻击!Z113</f>
        <v>0.5</v>
      </c>
      <c r="Y113" s="54">
        <f>攻击!AA113</f>
        <v>0.8</v>
      </c>
      <c r="Z113" s="54">
        <f>攻击!AB113</f>
        <v>1.2</v>
      </c>
      <c r="AA113" s="47">
        <f>攻击!AL113</f>
        <v>276</v>
      </c>
      <c r="AB113" s="54">
        <f>攻击!AM113</f>
        <v>0.2</v>
      </c>
      <c r="AC113" s="54">
        <f>攻击!AN113</f>
        <v>0.3</v>
      </c>
      <c r="AD113" s="54">
        <f>攻击!AO113</f>
        <v>0.5</v>
      </c>
      <c r="AE113" s="54">
        <f>攻击!AP113</f>
        <v>0.8</v>
      </c>
      <c r="AF113" s="54">
        <f>攻击!AQ113</f>
        <v>1.2</v>
      </c>
      <c r="AG113" s="47">
        <f>攻击!AR113</f>
        <v>46</v>
      </c>
      <c r="AH113" s="20">
        <f t="shared" si="1"/>
        <v>897</v>
      </c>
    </row>
    <row r="114" spans="1:34" s="20" customFormat="1">
      <c r="A114" s="46">
        <v>112</v>
      </c>
      <c r="B114" s="47">
        <f>攻击!D114</f>
        <v>232</v>
      </c>
      <c r="C114" s="47">
        <f>攻击!E114</f>
        <v>278.39999999999998</v>
      </c>
      <c r="D114" s="47">
        <f>攻击!F114</f>
        <v>348</v>
      </c>
      <c r="E114" s="47">
        <f>攻击!G114</f>
        <v>464</v>
      </c>
      <c r="F114" s="47">
        <f>攻击!H114</f>
        <v>580</v>
      </c>
      <c r="G114" s="47">
        <f>攻击!I114</f>
        <v>114</v>
      </c>
      <c r="H114" s="47">
        <f>攻击!J114</f>
        <v>69.599999999999994</v>
      </c>
      <c r="I114" s="47">
        <f>攻击!K114</f>
        <v>139.19999999999999</v>
      </c>
      <c r="J114" s="47">
        <f>攻击!L114</f>
        <v>69.599999999999994</v>
      </c>
      <c r="K114" s="47">
        <f>攻击!M114</f>
        <v>185.60000000000002</v>
      </c>
      <c r="L114" s="47">
        <f>攻击!N114</f>
        <v>278.39999999999998</v>
      </c>
      <c r="M114" s="47">
        <f>攻击!O114</f>
        <v>348</v>
      </c>
      <c r="N114" s="47">
        <f>攻击!P114</f>
        <v>464</v>
      </c>
      <c r="O114" s="47">
        <f>攻击!Q114</f>
        <v>580</v>
      </c>
      <c r="P114" s="47">
        <f>攻击!R114</f>
        <v>696</v>
      </c>
      <c r="Q114" s="47">
        <f>攻击!S114</f>
        <v>812</v>
      </c>
      <c r="R114" s="47">
        <f>攻击!T114</f>
        <v>174</v>
      </c>
      <c r="S114" s="47">
        <f>攻击!U114</f>
        <v>69.599999999999994</v>
      </c>
      <c r="T114" s="47">
        <f>攻击!V114</f>
        <v>69.599999999999994</v>
      </c>
      <c r="U114" s="47">
        <f>攻击!W114</f>
        <v>11.600000000000001</v>
      </c>
      <c r="V114" s="54">
        <f>攻击!X114</f>
        <v>0.2</v>
      </c>
      <c r="W114" s="54">
        <f>攻击!Y114</f>
        <v>0.3</v>
      </c>
      <c r="X114" s="54">
        <f>攻击!Z114</f>
        <v>0.5</v>
      </c>
      <c r="Y114" s="54">
        <f>攻击!AA114</f>
        <v>0.8</v>
      </c>
      <c r="Z114" s="54">
        <f>攻击!AB114</f>
        <v>1.2</v>
      </c>
      <c r="AA114" s="47">
        <f>攻击!AL114</f>
        <v>278.39999999999998</v>
      </c>
      <c r="AB114" s="54">
        <f>攻击!AM114</f>
        <v>0.2</v>
      </c>
      <c r="AC114" s="54">
        <f>攻击!AN114</f>
        <v>0.3</v>
      </c>
      <c r="AD114" s="54">
        <f>攻击!AO114</f>
        <v>0.5</v>
      </c>
      <c r="AE114" s="54">
        <f>攻击!AP114</f>
        <v>0.8</v>
      </c>
      <c r="AF114" s="54">
        <f>攻击!AQ114</f>
        <v>1.2</v>
      </c>
      <c r="AG114" s="47">
        <f>攻击!AR114</f>
        <v>46.400000000000006</v>
      </c>
      <c r="AH114" s="20">
        <f t="shared" si="1"/>
        <v>904.8</v>
      </c>
    </row>
    <row r="115" spans="1:34" s="20" customFormat="1">
      <c r="A115" s="46">
        <v>113</v>
      </c>
      <c r="B115" s="47">
        <f>攻击!D115</f>
        <v>234</v>
      </c>
      <c r="C115" s="47">
        <f>攻击!E115</f>
        <v>280.8</v>
      </c>
      <c r="D115" s="47">
        <f>攻击!F115</f>
        <v>351</v>
      </c>
      <c r="E115" s="47">
        <f>攻击!G115</f>
        <v>468</v>
      </c>
      <c r="F115" s="47">
        <f>攻击!H115</f>
        <v>585</v>
      </c>
      <c r="G115" s="47">
        <f>攻击!I115</f>
        <v>114</v>
      </c>
      <c r="H115" s="47">
        <f>攻击!J115</f>
        <v>70.2</v>
      </c>
      <c r="I115" s="47">
        <f>攻击!K115</f>
        <v>140.4</v>
      </c>
      <c r="J115" s="47">
        <f>攻击!L115</f>
        <v>70.2</v>
      </c>
      <c r="K115" s="47">
        <f>攻击!M115</f>
        <v>187.20000000000002</v>
      </c>
      <c r="L115" s="47">
        <f>攻击!N115</f>
        <v>280.8</v>
      </c>
      <c r="M115" s="47">
        <f>攻击!O115</f>
        <v>351</v>
      </c>
      <c r="N115" s="47">
        <f>攻击!P115</f>
        <v>468</v>
      </c>
      <c r="O115" s="47">
        <f>攻击!Q115</f>
        <v>585</v>
      </c>
      <c r="P115" s="47">
        <f>攻击!R115</f>
        <v>702</v>
      </c>
      <c r="Q115" s="47">
        <f>攻击!S115</f>
        <v>819</v>
      </c>
      <c r="R115" s="47">
        <f>攻击!T115</f>
        <v>175.5</v>
      </c>
      <c r="S115" s="47">
        <f>攻击!U115</f>
        <v>70.2</v>
      </c>
      <c r="T115" s="47">
        <f>攻击!V115</f>
        <v>70.2</v>
      </c>
      <c r="U115" s="47">
        <f>攻击!W115</f>
        <v>11.700000000000001</v>
      </c>
      <c r="V115" s="54">
        <f>攻击!X115</f>
        <v>0.2</v>
      </c>
      <c r="W115" s="54">
        <f>攻击!Y115</f>
        <v>0.3</v>
      </c>
      <c r="X115" s="54">
        <f>攻击!Z115</f>
        <v>0.5</v>
      </c>
      <c r="Y115" s="54">
        <f>攻击!AA115</f>
        <v>0.8</v>
      </c>
      <c r="Z115" s="54">
        <f>攻击!AB115</f>
        <v>1.2</v>
      </c>
      <c r="AA115" s="47">
        <f>攻击!AL115</f>
        <v>280.8</v>
      </c>
      <c r="AB115" s="54">
        <f>攻击!AM115</f>
        <v>0.2</v>
      </c>
      <c r="AC115" s="54">
        <f>攻击!AN115</f>
        <v>0.3</v>
      </c>
      <c r="AD115" s="54">
        <f>攻击!AO115</f>
        <v>0.5</v>
      </c>
      <c r="AE115" s="54">
        <f>攻击!AP115</f>
        <v>0.8</v>
      </c>
      <c r="AF115" s="54">
        <f>攻击!AQ115</f>
        <v>1.2</v>
      </c>
      <c r="AG115" s="47">
        <f>攻击!AR115</f>
        <v>46.800000000000004</v>
      </c>
      <c r="AH115" s="20">
        <f t="shared" si="1"/>
        <v>912.59999999999991</v>
      </c>
    </row>
    <row r="116" spans="1:34" s="20" customFormat="1">
      <c r="A116" s="46">
        <v>114</v>
      </c>
      <c r="B116" s="47">
        <f>攻击!D116</f>
        <v>236</v>
      </c>
      <c r="C116" s="47">
        <f>攻击!E116</f>
        <v>283.2</v>
      </c>
      <c r="D116" s="47">
        <f>攻击!F116</f>
        <v>354</v>
      </c>
      <c r="E116" s="47">
        <f>攻击!G116</f>
        <v>472</v>
      </c>
      <c r="F116" s="47">
        <f>攻击!H116</f>
        <v>590</v>
      </c>
      <c r="G116" s="47">
        <f>攻击!I116</f>
        <v>114</v>
      </c>
      <c r="H116" s="47">
        <f>攻击!J116</f>
        <v>70.8</v>
      </c>
      <c r="I116" s="47">
        <f>攻击!K116</f>
        <v>141.6</v>
      </c>
      <c r="J116" s="47">
        <f>攻击!L116</f>
        <v>70.8</v>
      </c>
      <c r="K116" s="47">
        <f>攻击!M116</f>
        <v>188.8</v>
      </c>
      <c r="L116" s="47">
        <f>攻击!N116</f>
        <v>283.2</v>
      </c>
      <c r="M116" s="47">
        <f>攻击!O116</f>
        <v>354</v>
      </c>
      <c r="N116" s="47">
        <f>攻击!P116</f>
        <v>472</v>
      </c>
      <c r="O116" s="47">
        <f>攻击!Q116</f>
        <v>590</v>
      </c>
      <c r="P116" s="47">
        <f>攻击!R116</f>
        <v>708</v>
      </c>
      <c r="Q116" s="47">
        <f>攻击!S116</f>
        <v>826</v>
      </c>
      <c r="R116" s="47">
        <f>攻击!T116</f>
        <v>177</v>
      </c>
      <c r="S116" s="47">
        <f>攻击!U116</f>
        <v>70.8</v>
      </c>
      <c r="T116" s="47">
        <f>攻击!V116</f>
        <v>70.8</v>
      </c>
      <c r="U116" s="47">
        <f>攻击!W116</f>
        <v>11.8</v>
      </c>
      <c r="V116" s="54">
        <f>攻击!X116</f>
        <v>0.2</v>
      </c>
      <c r="W116" s="54">
        <f>攻击!Y116</f>
        <v>0.3</v>
      </c>
      <c r="X116" s="54">
        <f>攻击!Z116</f>
        <v>0.5</v>
      </c>
      <c r="Y116" s="54">
        <f>攻击!AA116</f>
        <v>0.8</v>
      </c>
      <c r="Z116" s="54">
        <f>攻击!AB116</f>
        <v>1.2</v>
      </c>
      <c r="AA116" s="47">
        <f>攻击!AL116</f>
        <v>283.2</v>
      </c>
      <c r="AB116" s="54">
        <f>攻击!AM116</f>
        <v>0.2</v>
      </c>
      <c r="AC116" s="54">
        <f>攻击!AN116</f>
        <v>0.3</v>
      </c>
      <c r="AD116" s="54">
        <f>攻击!AO116</f>
        <v>0.5</v>
      </c>
      <c r="AE116" s="54">
        <f>攻击!AP116</f>
        <v>0.8</v>
      </c>
      <c r="AF116" s="54">
        <f>攻击!AQ116</f>
        <v>1.2</v>
      </c>
      <c r="AG116" s="47">
        <f>攻击!AR116</f>
        <v>47.2</v>
      </c>
      <c r="AH116" s="20">
        <f t="shared" si="1"/>
        <v>920.40000000000009</v>
      </c>
    </row>
    <row r="117" spans="1:34" s="20" customFormat="1">
      <c r="A117" s="46">
        <v>115</v>
      </c>
      <c r="B117" s="47">
        <f>攻击!D117</f>
        <v>238</v>
      </c>
      <c r="C117" s="47">
        <f>攻击!E117</f>
        <v>285.59999999999997</v>
      </c>
      <c r="D117" s="47">
        <f>攻击!F117</f>
        <v>357</v>
      </c>
      <c r="E117" s="47">
        <f>攻击!G117</f>
        <v>476</v>
      </c>
      <c r="F117" s="47">
        <f>攻击!H117</f>
        <v>595</v>
      </c>
      <c r="G117" s="47">
        <f>攻击!I117</f>
        <v>119</v>
      </c>
      <c r="H117" s="47">
        <f>攻击!J117</f>
        <v>71.399999999999991</v>
      </c>
      <c r="I117" s="47">
        <f>攻击!K117</f>
        <v>142.79999999999998</v>
      </c>
      <c r="J117" s="47">
        <f>攻击!L117</f>
        <v>71.399999999999991</v>
      </c>
      <c r="K117" s="47">
        <f>攻击!M117</f>
        <v>190.4</v>
      </c>
      <c r="L117" s="47">
        <f>攻击!N117</f>
        <v>285.59999999999997</v>
      </c>
      <c r="M117" s="47">
        <f>攻击!O117</f>
        <v>357</v>
      </c>
      <c r="N117" s="47">
        <f>攻击!P117</f>
        <v>476</v>
      </c>
      <c r="O117" s="47">
        <f>攻击!Q117</f>
        <v>595</v>
      </c>
      <c r="P117" s="47">
        <f>攻击!R117</f>
        <v>714</v>
      </c>
      <c r="Q117" s="47">
        <f>攻击!S117</f>
        <v>833</v>
      </c>
      <c r="R117" s="47">
        <f>攻击!T117</f>
        <v>178.5</v>
      </c>
      <c r="S117" s="47">
        <f>攻击!U117</f>
        <v>71.399999999999991</v>
      </c>
      <c r="T117" s="47">
        <f>攻击!V117</f>
        <v>71.399999999999991</v>
      </c>
      <c r="U117" s="47">
        <f>攻击!W117</f>
        <v>11.9</v>
      </c>
      <c r="V117" s="54">
        <f>攻击!X117</f>
        <v>0.2</v>
      </c>
      <c r="W117" s="54">
        <f>攻击!Y117</f>
        <v>0.3</v>
      </c>
      <c r="X117" s="54">
        <f>攻击!Z117</f>
        <v>0.5</v>
      </c>
      <c r="Y117" s="54">
        <f>攻击!AA117</f>
        <v>0.8</v>
      </c>
      <c r="Z117" s="54">
        <f>攻击!AB117</f>
        <v>1.2</v>
      </c>
      <c r="AA117" s="47">
        <f>攻击!AL117</f>
        <v>285.59999999999997</v>
      </c>
      <c r="AB117" s="54">
        <f>攻击!AM117</f>
        <v>0.2</v>
      </c>
      <c r="AC117" s="54">
        <f>攻击!AN117</f>
        <v>0.3</v>
      </c>
      <c r="AD117" s="54">
        <f>攻击!AO117</f>
        <v>0.5</v>
      </c>
      <c r="AE117" s="54">
        <f>攻击!AP117</f>
        <v>0.8</v>
      </c>
      <c r="AF117" s="54">
        <f>攻击!AQ117</f>
        <v>1.2</v>
      </c>
      <c r="AG117" s="47">
        <f>攻击!AR117</f>
        <v>47.6</v>
      </c>
      <c r="AH117" s="20">
        <f t="shared" si="1"/>
        <v>928.19999999999993</v>
      </c>
    </row>
    <row r="118" spans="1:34" s="20" customFormat="1">
      <c r="A118" s="46">
        <v>116</v>
      </c>
      <c r="B118" s="47">
        <f>攻击!D118</f>
        <v>240</v>
      </c>
      <c r="C118" s="47">
        <f>攻击!E118</f>
        <v>288</v>
      </c>
      <c r="D118" s="47">
        <f>攻击!F118</f>
        <v>360</v>
      </c>
      <c r="E118" s="47">
        <f>攻击!G118</f>
        <v>480</v>
      </c>
      <c r="F118" s="47">
        <f>攻击!H118</f>
        <v>600</v>
      </c>
      <c r="G118" s="47">
        <f>攻击!I118</f>
        <v>119</v>
      </c>
      <c r="H118" s="47">
        <f>攻击!J118</f>
        <v>72</v>
      </c>
      <c r="I118" s="47">
        <f>攻击!K118</f>
        <v>144</v>
      </c>
      <c r="J118" s="47">
        <f>攻击!L118</f>
        <v>72</v>
      </c>
      <c r="K118" s="47">
        <f>攻击!M118</f>
        <v>192</v>
      </c>
      <c r="L118" s="47">
        <f>攻击!N118</f>
        <v>288</v>
      </c>
      <c r="M118" s="47">
        <f>攻击!O118</f>
        <v>360</v>
      </c>
      <c r="N118" s="47">
        <f>攻击!P118</f>
        <v>480</v>
      </c>
      <c r="O118" s="47">
        <f>攻击!Q118</f>
        <v>600</v>
      </c>
      <c r="P118" s="47">
        <f>攻击!R118</f>
        <v>720</v>
      </c>
      <c r="Q118" s="47">
        <f>攻击!S118</f>
        <v>840</v>
      </c>
      <c r="R118" s="47">
        <f>攻击!T118</f>
        <v>180</v>
      </c>
      <c r="S118" s="47">
        <f>攻击!U118</f>
        <v>72</v>
      </c>
      <c r="T118" s="47">
        <f>攻击!V118</f>
        <v>72</v>
      </c>
      <c r="U118" s="47">
        <f>攻击!W118</f>
        <v>12</v>
      </c>
      <c r="V118" s="54">
        <f>攻击!X118</f>
        <v>0.2</v>
      </c>
      <c r="W118" s="54">
        <f>攻击!Y118</f>
        <v>0.3</v>
      </c>
      <c r="X118" s="54">
        <f>攻击!Z118</f>
        <v>0.5</v>
      </c>
      <c r="Y118" s="54">
        <f>攻击!AA118</f>
        <v>0.8</v>
      </c>
      <c r="Z118" s="54">
        <f>攻击!AB118</f>
        <v>1.2</v>
      </c>
      <c r="AA118" s="47">
        <f>攻击!AL118</f>
        <v>288</v>
      </c>
      <c r="AB118" s="54">
        <f>攻击!AM118</f>
        <v>0.2</v>
      </c>
      <c r="AC118" s="54">
        <f>攻击!AN118</f>
        <v>0.3</v>
      </c>
      <c r="AD118" s="54">
        <f>攻击!AO118</f>
        <v>0.5</v>
      </c>
      <c r="AE118" s="54">
        <f>攻击!AP118</f>
        <v>0.8</v>
      </c>
      <c r="AF118" s="54">
        <f>攻击!AQ118</f>
        <v>1.2</v>
      </c>
      <c r="AG118" s="47">
        <f>攻击!AR118</f>
        <v>48</v>
      </c>
      <c r="AH118" s="20">
        <f t="shared" si="1"/>
        <v>936</v>
      </c>
    </row>
    <row r="119" spans="1:34" s="20" customFormat="1">
      <c r="A119" s="46">
        <v>117</v>
      </c>
      <c r="B119" s="47">
        <f>攻击!D119</f>
        <v>242</v>
      </c>
      <c r="C119" s="47">
        <f>攻击!E119</f>
        <v>290.39999999999998</v>
      </c>
      <c r="D119" s="47">
        <f>攻击!F119</f>
        <v>363</v>
      </c>
      <c r="E119" s="47">
        <f>攻击!G119</f>
        <v>484</v>
      </c>
      <c r="F119" s="47">
        <f>攻击!H119</f>
        <v>605</v>
      </c>
      <c r="G119" s="47">
        <f>攻击!I119</f>
        <v>119</v>
      </c>
      <c r="H119" s="47">
        <f>攻击!J119</f>
        <v>72.599999999999994</v>
      </c>
      <c r="I119" s="47">
        <f>攻击!K119</f>
        <v>145.19999999999999</v>
      </c>
      <c r="J119" s="47">
        <f>攻击!L119</f>
        <v>72.599999999999994</v>
      </c>
      <c r="K119" s="47">
        <f>攻击!M119</f>
        <v>193.60000000000002</v>
      </c>
      <c r="L119" s="47">
        <f>攻击!N119</f>
        <v>290.39999999999998</v>
      </c>
      <c r="M119" s="47">
        <f>攻击!O119</f>
        <v>363</v>
      </c>
      <c r="N119" s="47">
        <f>攻击!P119</f>
        <v>484</v>
      </c>
      <c r="O119" s="47">
        <f>攻击!Q119</f>
        <v>605</v>
      </c>
      <c r="P119" s="47">
        <f>攻击!R119</f>
        <v>726</v>
      </c>
      <c r="Q119" s="47">
        <f>攻击!S119</f>
        <v>847</v>
      </c>
      <c r="R119" s="47">
        <f>攻击!T119</f>
        <v>181.5</v>
      </c>
      <c r="S119" s="47">
        <f>攻击!U119</f>
        <v>72.599999999999994</v>
      </c>
      <c r="T119" s="47">
        <f>攻击!V119</f>
        <v>72.599999999999994</v>
      </c>
      <c r="U119" s="47">
        <f>攻击!W119</f>
        <v>12.100000000000001</v>
      </c>
      <c r="V119" s="54">
        <f>攻击!X119</f>
        <v>0.2</v>
      </c>
      <c r="W119" s="54">
        <f>攻击!Y119</f>
        <v>0.3</v>
      </c>
      <c r="X119" s="54">
        <f>攻击!Z119</f>
        <v>0.5</v>
      </c>
      <c r="Y119" s="54">
        <f>攻击!AA119</f>
        <v>0.8</v>
      </c>
      <c r="Z119" s="54">
        <f>攻击!AB119</f>
        <v>1.2</v>
      </c>
      <c r="AA119" s="47">
        <f>攻击!AL119</f>
        <v>290.39999999999998</v>
      </c>
      <c r="AB119" s="54">
        <f>攻击!AM119</f>
        <v>0.2</v>
      </c>
      <c r="AC119" s="54">
        <f>攻击!AN119</f>
        <v>0.3</v>
      </c>
      <c r="AD119" s="54">
        <f>攻击!AO119</f>
        <v>0.5</v>
      </c>
      <c r="AE119" s="54">
        <f>攻击!AP119</f>
        <v>0.8</v>
      </c>
      <c r="AF119" s="54">
        <f>攻击!AQ119</f>
        <v>1.2</v>
      </c>
      <c r="AG119" s="47">
        <f>攻击!AR119</f>
        <v>48.400000000000006</v>
      </c>
      <c r="AH119" s="20">
        <f t="shared" si="1"/>
        <v>943.8</v>
      </c>
    </row>
    <row r="120" spans="1:34" s="20" customFormat="1">
      <c r="A120" s="46">
        <v>118</v>
      </c>
      <c r="B120" s="47">
        <f>攻击!D120</f>
        <v>244</v>
      </c>
      <c r="C120" s="47">
        <f>攻击!E120</f>
        <v>292.8</v>
      </c>
      <c r="D120" s="47">
        <f>攻击!F120</f>
        <v>366</v>
      </c>
      <c r="E120" s="47">
        <f>攻击!G120</f>
        <v>488</v>
      </c>
      <c r="F120" s="47">
        <f>攻击!H120</f>
        <v>610</v>
      </c>
      <c r="G120" s="47">
        <f>攻击!I120</f>
        <v>119</v>
      </c>
      <c r="H120" s="47">
        <f>攻击!J120</f>
        <v>73.2</v>
      </c>
      <c r="I120" s="47">
        <f>攻击!K120</f>
        <v>146.4</v>
      </c>
      <c r="J120" s="47">
        <f>攻击!L120</f>
        <v>73.2</v>
      </c>
      <c r="K120" s="47">
        <f>攻击!M120</f>
        <v>195.20000000000002</v>
      </c>
      <c r="L120" s="47">
        <f>攻击!N120</f>
        <v>292.8</v>
      </c>
      <c r="M120" s="47">
        <f>攻击!O120</f>
        <v>366</v>
      </c>
      <c r="N120" s="47">
        <f>攻击!P120</f>
        <v>488</v>
      </c>
      <c r="O120" s="47">
        <f>攻击!Q120</f>
        <v>610</v>
      </c>
      <c r="P120" s="47">
        <f>攻击!R120</f>
        <v>732</v>
      </c>
      <c r="Q120" s="47">
        <f>攻击!S120</f>
        <v>854</v>
      </c>
      <c r="R120" s="47">
        <f>攻击!T120</f>
        <v>183</v>
      </c>
      <c r="S120" s="47">
        <f>攻击!U120</f>
        <v>73.2</v>
      </c>
      <c r="T120" s="47">
        <f>攻击!V120</f>
        <v>73.2</v>
      </c>
      <c r="U120" s="47">
        <f>攻击!W120</f>
        <v>12.200000000000001</v>
      </c>
      <c r="V120" s="54">
        <f>攻击!X120</f>
        <v>0.2</v>
      </c>
      <c r="W120" s="54">
        <f>攻击!Y120</f>
        <v>0.3</v>
      </c>
      <c r="X120" s="54">
        <f>攻击!Z120</f>
        <v>0.5</v>
      </c>
      <c r="Y120" s="54">
        <f>攻击!AA120</f>
        <v>0.8</v>
      </c>
      <c r="Z120" s="54">
        <f>攻击!AB120</f>
        <v>1.2</v>
      </c>
      <c r="AA120" s="47">
        <f>攻击!AL120</f>
        <v>292.8</v>
      </c>
      <c r="AB120" s="54">
        <f>攻击!AM120</f>
        <v>0.2</v>
      </c>
      <c r="AC120" s="54">
        <f>攻击!AN120</f>
        <v>0.3</v>
      </c>
      <c r="AD120" s="54">
        <f>攻击!AO120</f>
        <v>0.5</v>
      </c>
      <c r="AE120" s="54">
        <f>攻击!AP120</f>
        <v>0.8</v>
      </c>
      <c r="AF120" s="54">
        <f>攻击!AQ120</f>
        <v>1.2</v>
      </c>
      <c r="AG120" s="47">
        <f>攻击!AR120</f>
        <v>48.800000000000004</v>
      </c>
      <c r="AH120" s="20">
        <f t="shared" si="1"/>
        <v>951.59999999999991</v>
      </c>
    </row>
    <row r="121" spans="1:34" s="20" customFormat="1">
      <c r="A121" s="46">
        <v>119</v>
      </c>
      <c r="B121" s="47">
        <f>攻击!D121</f>
        <v>246</v>
      </c>
      <c r="C121" s="47">
        <f>攻击!E121</f>
        <v>295.2</v>
      </c>
      <c r="D121" s="47">
        <f>攻击!F121</f>
        <v>369</v>
      </c>
      <c r="E121" s="47">
        <f>攻击!G121</f>
        <v>492</v>
      </c>
      <c r="F121" s="47">
        <f>攻击!H121</f>
        <v>615</v>
      </c>
      <c r="G121" s="47">
        <f>攻击!I121</f>
        <v>119</v>
      </c>
      <c r="H121" s="47">
        <f>攻击!J121</f>
        <v>73.8</v>
      </c>
      <c r="I121" s="47">
        <f>攻击!K121</f>
        <v>147.6</v>
      </c>
      <c r="J121" s="47">
        <f>攻击!L121</f>
        <v>73.8</v>
      </c>
      <c r="K121" s="47">
        <f>攻击!M121</f>
        <v>196.8</v>
      </c>
      <c r="L121" s="47">
        <f>攻击!N121</f>
        <v>295.2</v>
      </c>
      <c r="M121" s="47">
        <f>攻击!O121</f>
        <v>369</v>
      </c>
      <c r="N121" s="47">
        <f>攻击!P121</f>
        <v>492</v>
      </c>
      <c r="O121" s="47">
        <f>攻击!Q121</f>
        <v>615</v>
      </c>
      <c r="P121" s="47">
        <f>攻击!R121</f>
        <v>738</v>
      </c>
      <c r="Q121" s="47">
        <f>攻击!S121</f>
        <v>861</v>
      </c>
      <c r="R121" s="47">
        <f>攻击!T121</f>
        <v>184.5</v>
      </c>
      <c r="S121" s="47">
        <f>攻击!U121</f>
        <v>73.8</v>
      </c>
      <c r="T121" s="47">
        <f>攻击!V121</f>
        <v>73.8</v>
      </c>
      <c r="U121" s="47">
        <f>攻击!W121</f>
        <v>12.3</v>
      </c>
      <c r="V121" s="54">
        <f>攻击!X121</f>
        <v>0.2</v>
      </c>
      <c r="W121" s="54">
        <f>攻击!Y121</f>
        <v>0.3</v>
      </c>
      <c r="X121" s="54">
        <f>攻击!Z121</f>
        <v>0.5</v>
      </c>
      <c r="Y121" s="54">
        <f>攻击!AA121</f>
        <v>0.8</v>
      </c>
      <c r="Z121" s="54">
        <f>攻击!AB121</f>
        <v>1.2</v>
      </c>
      <c r="AA121" s="47">
        <f>攻击!AL121</f>
        <v>295.2</v>
      </c>
      <c r="AB121" s="54">
        <f>攻击!AM121</f>
        <v>0.2</v>
      </c>
      <c r="AC121" s="54">
        <f>攻击!AN121</f>
        <v>0.3</v>
      </c>
      <c r="AD121" s="54">
        <f>攻击!AO121</f>
        <v>0.5</v>
      </c>
      <c r="AE121" s="54">
        <f>攻击!AP121</f>
        <v>0.8</v>
      </c>
      <c r="AF121" s="54">
        <f>攻击!AQ121</f>
        <v>1.2</v>
      </c>
      <c r="AG121" s="47">
        <f>攻击!AR121</f>
        <v>49.2</v>
      </c>
      <c r="AH121" s="20">
        <f t="shared" si="1"/>
        <v>959.40000000000009</v>
      </c>
    </row>
    <row r="122" spans="1:34" s="20" customFormat="1">
      <c r="A122" s="46">
        <v>120</v>
      </c>
      <c r="B122" s="47">
        <f>攻击!D122</f>
        <v>248</v>
      </c>
      <c r="C122" s="47">
        <f>攻击!E122</f>
        <v>297.59999999999997</v>
      </c>
      <c r="D122" s="47">
        <f>攻击!F122</f>
        <v>372</v>
      </c>
      <c r="E122" s="47">
        <f>攻击!G122</f>
        <v>496</v>
      </c>
      <c r="F122" s="47">
        <f>攻击!H122</f>
        <v>620</v>
      </c>
      <c r="G122" s="47">
        <f>攻击!I122</f>
        <v>124</v>
      </c>
      <c r="H122" s="47">
        <f>攻击!J122</f>
        <v>74.399999999999991</v>
      </c>
      <c r="I122" s="47">
        <f>攻击!K122</f>
        <v>148.79999999999998</v>
      </c>
      <c r="J122" s="47">
        <f>攻击!L122</f>
        <v>74.399999999999991</v>
      </c>
      <c r="K122" s="47">
        <f>攻击!M122</f>
        <v>198.4</v>
      </c>
      <c r="L122" s="47">
        <f>攻击!N122</f>
        <v>297.59999999999997</v>
      </c>
      <c r="M122" s="47">
        <f>攻击!O122</f>
        <v>372</v>
      </c>
      <c r="N122" s="47">
        <f>攻击!P122</f>
        <v>496</v>
      </c>
      <c r="O122" s="47">
        <f>攻击!Q122</f>
        <v>620</v>
      </c>
      <c r="P122" s="47">
        <f>攻击!R122</f>
        <v>744</v>
      </c>
      <c r="Q122" s="47">
        <f>攻击!S122</f>
        <v>868</v>
      </c>
      <c r="R122" s="47">
        <f>攻击!T122</f>
        <v>186</v>
      </c>
      <c r="S122" s="47">
        <f>攻击!U122</f>
        <v>74.399999999999991</v>
      </c>
      <c r="T122" s="47">
        <f>攻击!V122</f>
        <v>74.399999999999991</v>
      </c>
      <c r="U122" s="47">
        <f>攻击!W122</f>
        <v>12.4</v>
      </c>
      <c r="V122" s="54">
        <f>攻击!X122</f>
        <v>0.2</v>
      </c>
      <c r="W122" s="54">
        <f>攻击!Y122</f>
        <v>0.3</v>
      </c>
      <c r="X122" s="54">
        <f>攻击!Z122</f>
        <v>0.5</v>
      </c>
      <c r="Y122" s="54">
        <f>攻击!AA122</f>
        <v>0.8</v>
      </c>
      <c r="Z122" s="54">
        <f>攻击!AB122</f>
        <v>1.2</v>
      </c>
      <c r="AA122" s="47">
        <f>攻击!AL122</f>
        <v>297.59999999999997</v>
      </c>
      <c r="AB122" s="54">
        <f>攻击!AM122</f>
        <v>0.2</v>
      </c>
      <c r="AC122" s="54">
        <f>攻击!AN122</f>
        <v>0.3</v>
      </c>
      <c r="AD122" s="54">
        <f>攻击!AO122</f>
        <v>0.5</v>
      </c>
      <c r="AE122" s="54">
        <f>攻击!AP122</f>
        <v>0.8</v>
      </c>
      <c r="AF122" s="54">
        <f>攻击!AQ122</f>
        <v>1.2</v>
      </c>
      <c r="AG122" s="47">
        <f>攻击!AR122</f>
        <v>49.6</v>
      </c>
      <c r="AH122" s="20">
        <f t="shared" si="1"/>
        <v>967.19999999999993</v>
      </c>
    </row>
  </sheetData>
  <mergeCells count="3">
    <mergeCell ref="B1:L1"/>
    <mergeCell ref="M1:Z1"/>
    <mergeCell ref="AA1:AF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2"/>
  <sheetViews>
    <sheetView workbookViewId="0">
      <selection activeCell="B1" sqref="B1:L1"/>
    </sheetView>
  </sheetViews>
  <sheetFormatPr defaultRowHeight="14.25"/>
  <cols>
    <col min="1" max="1" width="4.75" style="23" bestFit="1" customWidth="1"/>
    <col min="2" max="7" width="5" style="94" bestFit="1" customWidth="1"/>
    <col min="8" max="8" width="4.875" style="94" bestFit="1" customWidth="1"/>
    <col min="9" max="9" width="5" style="94" bestFit="1" customWidth="1"/>
    <col min="10" max="10" width="4.875" style="94" bestFit="1" customWidth="1"/>
    <col min="11" max="18" width="5" style="94" bestFit="1" customWidth="1"/>
    <col min="19" max="20" width="6.5" style="94" bestFit="1" customWidth="1"/>
    <col min="21" max="21" width="4.875" style="94" bestFit="1" customWidth="1"/>
    <col min="22" max="25" width="4" style="1" bestFit="1" customWidth="1"/>
    <col min="26" max="26" width="5.5" style="1" bestFit="1" customWidth="1"/>
    <col min="27" max="27" width="5" style="94" bestFit="1" customWidth="1"/>
    <col min="28" max="31" width="4" style="1" bestFit="1" customWidth="1"/>
    <col min="32" max="32" width="5.5" style="1" bestFit="1" customWidth="1"/>
    <col min="33" max="33" width="4.75" style="94" bestFit="1" customWidth="1"/>
    <col min="34" max="34" width="8" style="94" bestFit="1" customWidth="1"/>
  </cols>
  <sheetData>
    <row r="1" spans="1:34" ht="15" thickBot="1">
      <c r="A1" s="85"/>
      <c r="B1" s="104" t="s">
        <v>120</v>
      </c>
      <c r="C1" s="104"/>
      <c r="D1" s="104"/>
      <c r="E1" s="104"/>
      <c r="F1" s="104"/>
      <c r="G1" s="104"/>
      <c r="H1" s="104"/>
      <c r="I1" s="104"/>
      <c r="J1" s="104"/>
      <c r="K1" s="104"/>
      <c r="L1" s="105"/>
      <c r="M1" s="103" t="s">
        <v>22</v>
      </c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5"/>
      <c r="AA1" s="102" t="s">
        <v>25</v>
      </c>
      <c r="AB1" s="102"/>
      <c r="AC1" s="102"/>
      <c r="AD1" s="102"/>
      <c r="AE1" s="102"/>
      <c r="AF1" s="102"/>
      <c r="AG1" s="83" t="s">
        <v>27</v>
      </c>
      <c r="AH1" s="83"/>
    </row>
    <row r="2" spans="1:34">
      <c r="A2" s="41" t="s">
        <v>0</v>
      </c>
      <c r="B2" s="43" t="s">
        <v>12</v>
      </c>
      <c r="C2" s="43" t="s">
        <v>13</v>
      </c>
      <c r="D2" s="43" t="s">
        <v>14</v>
      </c>
      <c r="E2" s="43" t="s">
        <v>15</v>
      </c>
      <c r="F2" s="43" t="s">
        <v>16</v>
      </c>
      <c r="G2" s="43" t="s">
        <v>17</v>
      </c>
      <c r="H2" s="43" t="s">
        <v>18</v>
      </c>
      <c r="I2" s="43" t="s">
        <v>19</v>
      </c>
      <c r="J2" s="43" t="s">
        <v>20</v>
      </c>
      <c r="K2" s="43" t="s">
        <v>21</v>
      </c>
      <c r="L2" s="43" t="s">
        <v>41</v>
      </c>
      <c r="M2" s="43" t="s">
        <v>12</v>
      </c>
      <c r="N2" s="43" t="s">
        <v>13</v>
      </c>
      <c r="O2" s="43" t="s">
        <v>14</v>
      </c>
      <c r="P2" s="43" t="s">
        <v>15</v>
      </c>
      <c r="Q2" s="43" t="s">
        <v>16</v>
      </c>
      <c r="R2" s="43" t="s">
        <v>23</v>
      </c>
      <c r="S2" s="43" t="s">
        <v>42</v>
      </c>
      <c r="T2" s="43" t="s">
        <v>43</v>
      </c>
      <c r="U2" s="43" t="s">
        <v>47</v>
      </c>
      <c r="V2" s="44" t="s">
        <v>44</v>
      </c>
      <c r="W2" s="44" t="s">
        <v>30</v>
      </c>
      <c r="X2" s="44" t="s">
        <v>31</v>
      </c>
      <c r="Y2" s="44" t="s">
        <v>32</v>
      </c>
      <c r="Z2" s="44" t="s">
        <v>33</v>
      </c>
      <c r="AA2" s="43" t="s">
        <v>26</v>
      </c>
      <c r="AB2" s="44" t="s">
        <v>44</v>
      </c>
      <c r="AC2" s="44" t="s">
        <v>30</v>
      </c>
      <c r="AD2" s="44" t="s">
        <v>31</v>
      </c>
      <c r="AE2" s="44" t="s">
        <v>32</v>
      </c>
      <c r="AF2" s="44" t="s">
        <v>33</v>
      </c>
      <c r="AG2" s="43" t="s">
        <v>27</v>
      </c>
      <c r="AH2" s="43" t="s">
        <v>95</v>
      </c>
    </row>
    <row r="3" spans="1:34">
      <c r="A3" s="46">
        <v>1</v>
      </c>
      <c r="B3" s="94">
        <f>攻击!D3</f>
        <v>10</v>
      </c>
      <c r="C3" s="94">
        <f>攻击!E3</f>
        <v>12</v>
      </c>
      <c r="D3" s="94">
        <f>攻击!F3</f>
        <v>15</v>
      </c>
      <c r="E3" s="94">
        <f>攻击!G3</f>
        <v>20</v>
      </c>
      <c r="F3" s="94">
        <f>攻击!H3</f>
        <v>25</v>
      </c>
      <c r="G3" s="94">
        <f>攻击!I3</f>
        <v>0</v>
      </c>
      <c r="H3" s="94">
        <f>攻击!J3</f>
        <v>0</v>
      </c>
      <c r="I3" s="94">
        <f>攻击!K3</f>
        <v>0</v>
      </c>
      <c r="J3" s="94">
        <f>攻击!L3</f>
        <v>0</v>
      </c>
      <c r="K3" s="94">
        <f>攻击!M3</f>
        <v>0</v>
      </c>
      <c r="L3" s="94">
        <f>攻击!N3</f>
        <v>12</v>
      </c>
      <c r="M3" s="94">
        <f>攻击!O3</f>
        <v>15</v>
      </c>
      <c r="N3" s="94">
        <f>攻击!P3</f>
        <v>20</v>
      </c>
      <c r="O3" s="94">
        <f>攻击!Q3</f>
        <v>25</v>
      </c>
      <c r="P3" s="94">
        <f>攻击!R3</f>
        <v>30</v>
      </c>
      <c r="Q3" s="94">
        <f>攻击!S3</f>
        <v>35</v>
      </c>
      <c r="R3" s="94">
        <f>攻击!T3</f>
        <v>0</v>
      </c>
      <c r="S3" s="94">
        <f>攻击!U3</f>
        <v>3</v>
      </c>
      <c r="T3" s="94">
        <f>攻击!V3</f>
        <v>0</v>
      </c>
      <c r="U3" s="94">
        <f>攻击!W3</f>
        <v>0.5</v>
      </c>
      <c r="V3" s="93">
        <f>攻击!X3</f>
        <v>0</v>
      </c>
      <c r="W3" s="93">
        <f>攻击!Y3</f>
        <v>0</v>
      </c>
      <c r="X3" s="93">
        <f>攻击!Z3</f>
        <v>0</v>
      </c>
      <c r="Y3" s="93">
        <f>攻击!AA3</f>
        <v>0</v>
      </c>
      <c r="Z3" s="93">
        <f>攻击!AB3</f>
        <v>0</v>
      </c>
      <c r="AA3" s="94">
        <f>攻击!AL3</f>
        <v>0</v>
      </c>
      <c r="AB3" s="93">
        <f>攻击!AM3</f>
        <v>0</v>
      </c>
      <c r="AC3" s="93">
        <f>攻击!AN3</f>
        <v>0</v>
      </c>
      <c r="AD3" s="93">
        <f>攻击!AO3</f>
        <v>0</v>
      </c>
      <c r="AE3" s="93">
        <f>攻击!AP3</f>
        <v>0</v>
      </c>
      <c r="AF3" s="93">
        <f>攻击!AQ3</f>
        <v>0</v>
      </c>
      <c r="AG3" s="94">
        <f>攻击!AR3</f>
        <v>2</v>
      </c>
      <c r="AH3" s="94">
        <f>B3+M3+AA3+AG3</f>
        <v>27</v>
      </c>
    </row>
    <row r="4" spans="1:34">
      <c r="A4" s="46">
        <v>2</v>
      </c>
      <c r="B4" s="94">
        <f>攻击!D4</f>
        <v>12</v>
      </c>
      <c r="C4" s="94">
        <f>攻击!E4</f>
        <v>14.399999999999999</v>
      </c>
      <c r="D4" s="94">
        <f>攻击!F4</f>
        <v>18</v>
      </c>
      <c r="E4" s="94">
        <f>攻击!G4</f>
        <v>24</v>
      </c>
      <c r="F4" s="94">
        <f>攻击!H4</f>
        <v>30</v>
      </c>
      <c r="G4" s="94">
        <f>攻击!I4</f>
        <v>0</v>
      </c>
      <c r="H4" s="94">
        <f>攻击!J4</f>
        <v>0</v>
      </c>
      <c r="I4" s="94">
        <f>攻击!K4</f>
        <v>0</v>
      </c>
      <c r="J4" s="94">
        <f>攻击!L4</f>
        <v>0</v>
      </c>
      <c r="K4" s="94">
        <f>攻击!M4</f>
        <v>0</v>
      </c>
      <c r="L4" s="94">
        <f>攻击!N4</f>
        <v>14.399999999999999</v>
      </c>
      <c r="M4" s="94">
        <f>攻击!O4</f>
        <v>18</v>
      </c>
      <c r="N4" s="94">
        <f>攻击!P4</f>
        <v>24</v>
      </c>
      <c r="O4" s="94">
        <f>攻击!Q4</f>
        <v>30</v>
      </c>
      <c r="P4" s="94">
        <f>攻击!R4</f>
        <v>36</v>
      </c>
      <c r="Q4" s="94">
        <f>攻击!S4</f>
        <v>42</v>
      </c>
      <c r="R4" s="94">
        <f>攻击!T4</f>
        <v>0</v>
      </c>
      <c r="S4" s="94">
        <f>攻击!U4</f>
        <v>3.5999999999999996</v>
      </c>
      <c r="T4" s="94">
        <f>攻击!V4</f>
        <v>0</v>
      </c>
      <c r="U4" s="94">
        <f>攻击!W4</f>
        <v>0.60000000000000009</v>
      </c>
      <c r="V4" s="93">
        <f>攻击!X4</f>
        <v>0</v>
      </c>
      <c r="W4" s="93">
        <f>攻击!Y4</f>
        <v>0</v>
      </c>
      <c r="X4" s="93">
        <f>攻击!Z4</f>
        <v>0</v>
      </c>
      <c r="Y4" s="93">
        <f>攻击!AA4</f>
        <v>0</v>
      </c>
      <c r="Z4" s="93">
        <f>攻击!AB4</f>
        <v>0</v>
      </c>
      <c r="AA4" s="94">
        <f>攻击!AL4</f>
        <v>0</v>
      </c>
      <c r="AB4" s="93">
        <f>攻击!AM4</f>
        <v>0</v>
      </c>
      <c r="AC4" s="93">
        <f>攻击!AN4</f>
        <v>0</v>
      </c>
      <c r="AD4" s="93">
        <f>攻击!AO4</f>
        <v>0</v>
      </c>
      <c r="AE4" s="93">
        <f>攻击!AP4</f>
        <v>0</v>
      </c>
      <c r="AF4" s="93">
        <f>攻击!AQ4</f>
        <v>0</v>
      </c>
      <c r="AG4" s="94">
        <f>攻击!AR4</f>
        <v>2.4000000000000004</v>
      </c>
      <c r="AH4" s="94">
        <f t="shared" ref="AH4:AH67" si="0">B4+M4+AA4+AG4</f>
        <v>32.4</v>
      </c>
    </row>
    <row r="5" spans="1:34">
      <c r="A5" s="46">
        <v>3</v>
      </c>
      <c r="B5" s="94">
        <f>攻击!D5</f>
        <v>14</v>
      </c>
      <c r="C5" s="94">
        <f>攻击!E5</f>
        <v>16.8</v>
      </c>
      <c r="D5" s="94">
        <f>攻击!F5</f>
        <v>21</v>
      </c>
      <c r="E5" s="94">
        <f>攻击!G5</f>
        <v>28</v>
      </c>
      <c r="F5" s="94">
        <f>攻击!H5</f>
        <v>35</v>
      </c>
      <c r="G5" s="94">
        <f>攻击!I5</f>
        <v>0</v>
      </c>
      <c r="H5" s="94">
        <f>攻击!J5</f>
        <v>0</v>
      </c>
      <c r="I5" s="94">
        <f>攻击!K5</f>
        <v>0</v>
      </c>
      <c r="J5" s="94">
        <f>攻击!L5</f>
        <v>0</v>
      </c>
      <c r="K5" s="94">
        <f>攻击!M5</f>
        <v>0</v>
      </c>
      <c r="L5" s="94">
        <f>攻击!N5</f>
        <v>16.8</v>
      </c>
      <c r="M5" s="94">
        <f>攻击!O5</f>
        <v>21</v>
      </c>
      <c r="N5" s="94">
        <f>攻击!P5</f>
        <v>28</v>
      </c>
      <c r="O5" s="94">
        <f>攻击!Q5</f>
        <v>35</v>
      </c>
      <c r="P5" s="94">
        <f>攻击!R5</f>
        <v>42</v>
      </c>
      <c r="Q5" s="94">
        <f>攻击!S5</f>
        <v>49</v>
      </c>
      <c r="R5" s="94">
        <f>攻击!T5</f>
        <v>0</v>
      </c>
      <c r="S5" s="94">
        <f>攻击!U5</f>
        <v>4.2</v>
      </c>
      <c r="T5" s="94">
        <f>攻击!V5</f>
        <v>0</v>
      </c>
      <c r="U5" s="94">
        <f>攻击!W5</f>
        <v>0.70000000000000007</v>
      </c>
      <c r="V5" s="93">
        <f>攻击!X5</f>
        <v>0</v>
      </c>
      <c r="W5" s="93">
        <f>攻击!Y5</f>
        <v>0</v>
      </c>
      <c r="X5" s="93">
        <f>攻击!Z5</f>
        <v>0</v>
      </c>
      <c r="Y5" s="93">
        <f>攻击!AA5</f>
        <v>0</v>
      </c>
      <c r="Z5" s="93">
        <f>攻击!AB5</f>
        <v>0</v>
      </c>
      <c r="AA5" s="94">
        <f>攻击!AL5</f>
        <v>0</v>
      </c>
      <c r="AB5" s="93">
        <f>攻击!AM5</f>
        <v>0</v>
      </c>
      <c r="AC5" s="93">
        <f>攻击!AN5</f>
        <v>0</v>
      </c>
      <c r="AD5" s="93">
        <f>攻击!AO5</f>
        <v>0</v>
      </c>
      <c r="AE5" s="93">
        <f>攻击!AP5</f>
        <v>0</v>
      </c>
      <c r="AF5" s="93">
        <f>攻击!AQ5</f>
        <v>0</v>
      </c>
      <c r="AG5" s="94">
        <f>攻击!AR5</f>
        <v>2.8000000000000003</v>
      </c>
      <c r="AH5" s="94">
        <f t="shared" si="0"/>
        <v>37.799999999999997</v>
      </c>
    </row>
    <row r="6" spans="1:34">
      <c r="A6" s="46">
        <v>4</v>
      </c>
      <c r="B6" s="94">
        <f>攻击!D6</f>
        <v>16</v>
      </c>
      <c r="C6" s="94">
        <f>攻击!E6</f>
        <v>19.2</v>
      </c>
      <c r="D6" s="94">
        <f>攻击!F6</f>
        <v>24</v>
      </c>
      <c r="E6" s="94">
        <f>攻击!G6</f>
        <v>32</v>
      </c>
      <c r="F6" s="94">
        <f>攻击!H6</f>
        <v>40</v>
      </c>
      <c r="G6" s="94">
        <f>攻击!I6</f>
        <v>0</v>
      </c>
      <c r="H6" s="94">
        <f>攻击!J6</f>
        <v>0</v>
      </c>
      <c r="I6" s="94">
        <f>攻击!K6</f>
        <v>0</v>
      </c>
      <c r="J6" s="94">
        <f>攻击!L6</f>
        <v>0</v>
      </c>
      <c r="K6" s="94">
        <f>攻击!M6</f>
        <v>0</v>
      </c>
      <c r="L6" s="94">
        <f>攻击!N6</f>
        <v>19.2</v>
      </c>
      <c r="M6" s="94">
        <f>攻击!O6</f>
        <v>24</v>
      </c>
      <c r="N6" s="94">
        <f>攻击!P6</f>
        <v>32</v>
      </c>
      <c r="O6" s="94">
        <f>攻击!Q6</f>
        <v>40</v>
      </c>
      <c r="P6" s="94">
        <f>攻击!R6</f>
        <v>48</v>
      </c>
      <c r="Q6" s="94">
        <f>攻击!S6</f>
        <v>56</v>
      </c>
      <c r="R6" s="94">
        <f>攻击!T6</f>
        <v>0</v>
      </c>
      <c r="S6" s="94">
        <f>攻击!U6</f>
        <v>4.8</v>
      </c>
      <c r="T6" s="94">
        <f>攻击!V6</f>
        <v>0</v>
      </c>
      <c r="U6" s="94">
        <f>攻击!W6</f>
        <v>0.8</v>
      </c>
      <c r="V6" s="93">
        <f>攻击!X6</f>
        <v>0</v>
      </c>
      <c r="W6" s="93">
        <f>攻击!Y6</f>
        <v>0</v>
      </c>
      <c r="X6" s="93">
        <f>攻击!Z6</f>
        <v>0</v>
      </c>
      <c r="Y6" s="93">
        <f>攻击!AA6</f>
        <v>0</v>
      </c>
      <c r="Z6" s="93">
        <f>攻击!AB6</f>
        <v>0</v>
      </c>
      <c r="AA6" s="94">
        <f>攻击!AL6</f>
        <v>0</v>
      </c>
      <c r="AB6" s="93">
        <f>攻击!AM6</f>
        <v>0</v>
      </c>
      <c r="AC6" s="93">
        <f>攻击!AN6</f>
        <v>0</v>
      </c>
      <c r="AD6" s="93">
        <f>攻击!AO6</f>
        <v>0</v>
      </c>
      <c r="AE6" s="93">
        <f>攻击!AP6</f>
        <v>0</v>
      </c>
      <c r="AF6" s="93">
        <f>攻击!AQ6</f>
        <v>0</v>
      </c>
      <c r="AG6" s="94">
        <f>攻击!AR6</f>
        <v>3.2</v>
      </c>
      <c r="AH6" s="94">
        <f t="shared" si="0"/>
        <v>43.2</v>
      </c>
    </row>
    <row r="7" spans="1:34">
      <c r="A7" s="46">
        <v>5</v>
      </c>
      <c r="B7" s="94">
        <f>攻击!D7</f>
        <v>18</v>
      </c>
      <c r="C7" s="94">
        <f>攻击!E7</f>
        <v>21.599999999999998</v>
      </c>
      <c r="D7" s="94">
        <f>攻击!F7</f>
        <v>27</v>
      </c>
      <c r="E7" s="94">
        <f>攻击!G7</f>
        <v>36</v>
      </c>
      <c r="F7" s="94">
        <f>攻击!H7</f>
        <v>45</v>
      </c>
      <c r="G7" s="94">
        <f>攻击!I7</f>
        <v>9</v>
      </c>
      <c r="H7" s="94">
        <f>攻击!J7</f>
        <v>0</v>
      </c>
      <c r="I7" s="94">
        <f>攻击!K7</f>
        <v>0</v>
      </c>
      <c r="J7" s="94">
        <f>攻击!L7</f>
        <v>0</v>
      </c>
      <c r="K7" s="94">
        <f>攻击!M7</f>
        <v>0</v>
      </c>
      <c r="L7" s="94">
        <f>攻击!N7</f>
        <v>21.599999999999998</v>
      </c>
      <c r="M7" s="94">
        <f>攻击!O7</f>
        <v>27</v>
      </c>
      <c r="N7" s="94">
        <f>攻击!P7</f>
        <v>36</v>
      </c>
      <c r="O7" s="94">
        <f>攻击!Q7</f>
        <v>45</v>
      </c>
      <c r="P7" s="94">
        <f>攻击!R7</f>
        <v>54</v>
      </c>
      <c r="Q7" s="94">
        <f>攻击!S7</f>
        <v>63</v>
      </c>
      <c r="R7" s="94">
        <f>攻击!T7</f>
        <v>0</v>
      </c>
      <c r="S7" s="94">
        <f>攻击!U7</f>
        <v>5.3999999999999995</v>
      </c>
      <c r="T7" s="94">
        <f>攻击!V7</f>
        <v>0</v>
      </c>
      <c r="U7" s="94">
        <f>攻击!W7</f>
        <v>0.9</v>
      </c>
      <c r="V7" s="93">
        <f>攻击!X7</f>
        <v>0</v>
      </c>
      <c r="W7" s="93">
        <f>攻击!Y7</f>
        <v>0</v>
      </c>
      <c r="X7" s="93">
        <f>攻击!Z7</f>
        <v>0</v>
      </c>
      <c r="Y7" s="93">
        <f>攻击!AA7</f>
        <v>0</v>
      </c>
      <c r="Z7" s="93">
        <f>攻击!AB7</f>
        <v>0</v>
      </c>
      <c r="AA7" s="94">
        <f>攻击!AL7</f>
        <v>0</v>
      </c>
      <c r="AB7" s="93">
        <f>攻击!AM7</f>
        <v>0</v>
      </c>
      <c r="AC7" s="93">
        <f>攻击!AN7</f>
        <v>0</v>
      </c>
      <c r="AD7" s="93">
        <f>攻击!AO7</f>
        <v>0</v>
      </c>
      <c r="AE7" s="93">
        <f>攻击!AP7</f>
        <v>0</v>
      </c>
      <c r="AF7" s="93">
        <f>攻击!AQ7</f>
        <v>0</v>
      </c>
      <c r="AG7" s="94">
        <f>攻击!AR7</f>
        <v>3.6</v>
      </c>
      <c r="AH7" s="94">
        <f t="shared" si="0"/>
        <v>48.6</v>
      </c>
    </row>
    <row r="8" spans="1:34">
      <c r="A8" s="46">
        <v>6</v>
      </c>
      <c r="B8" s="94">
        <f>攻击!D8</f>
        <v>20</v>
      </c>
      <c r="C8" s="94">
        <f>攻击!E8</f>
        <v>24</v>
      </c>
      <c r="D8" s="94">
        <f>攻击!F8</f>
        <v>30</v>
      </c>
      <c r="E8" s="94">
        <f>攻击!G8</f>
        <v>40</v>
      </c>
      <c r="F8" s="94">
        <f>攻击!H8</f>
        <v>50</v>
      </c>
      <c r="G8" s="94">
        <f>攻击!I8</f>
        <v>9</v>
      </c>
      <c r="H8" s="94">
        <f>攻击!J8</f>
        <v>0</v>
      </c>
      <c r="I8" s="94">
        <f>攻击!K8</f>
        <v>0</v>
      </c>
      <c r="J8" s="94">
        <f>攻击!L8</f>
        <v>0</v>
      </c>
      <c r="K8" s="94">
        <f>攻击!M8</f>
        <v>0</v>
      </c>
      <c r="L8" s="94">
        <f>攻击!N8</f>
        <v>24</v>
      </c>
      <c r="M8" s="94">
        <f>攻击!O8</f>
        <v>30</v>
      </c>
      <c r="N8" s="94">
        <f>攻击!P8</f>
        <v>40</v>
      </c>
      <c r="O8" s="94">
        <f>攻击!Q8</f>
        <v>50</v>
      </c>
      <c r="P8" s="94">
        <f>攻击!R8</f>
        <v>60</v>
      </c>
      <c r="Q8" s="94">
        <f>攻击!S8</f>
        <v>70</v>
      </c>
      <c r="R8" s="94">
        <f>攻击!T8</f>
        <v>0</v>
      </c>
      <c r="S8" s="94">
        <f>攻击!U8</f>
        <v>6</v>
      </c>
      <c r="T8" s="94">
        <f>攻击!V8</f>
        <v>0</v>
      </c>
      <c r="U8" s="94">
        <f>攻击!W8</f>
        <v>1</v>
      </c>
      <c r="V8" s="93">
        <f>攻击!X8</f>
        <v>0</v>
      </c>
      <c r="W8" s="93">
        <f>攻击!Y8</f>
        <v>0</v>
      </c>
      <c r="X8" s="93">
        <f>攻击!Z8</f>
        <v>0</v>
      </c>
      <c r="Y8" s="93">
        <f>攻击!AA8</f>
        <v>0</v>
      </c>
      <c r="Z8" s="93">
        <f>攻击!AB8</f>
        <v>0</v>
      </c>
      <c r="AA8" s="94">
        <f>攻击!AL8</f>
        <v>0</v>
      </c>
      <c r="AB8" s="93">
        <f>攻击!AM8</f>
        <v>0</v>
      </c>
      <c r="AC8" s="93">
        <f>攻击!AN8</f>
        <v>0</v>
      </c>
      <c r="AD8" s="93">
        <f>攻击!AO8</f>
        <v>0</v>
      </c>
      <c r="AE8" s="93">
        <f>攻击!AP8</f>
        <v>0</v>
      </c>
      <c r="AF8" s="93">
        <f>攻击!AQ8</f>
        <v>0</v>
      </c>
      <c r="AG8" s="94">
        <f>攻击!AR8</f>
        <v>4</v>
      </c>
      <c r="AH8" s="94">
        <f t="shared" si="0"/>
        <v>54</v>
      </c>
    </row>
    <row r="9" spans="1:34">
      <c r="A9" s="46">
        <v>7</v>
      </c>
      <c r="B9" s="94">
        <f>攻击!D9</f>
        <v>22</v>
      </c>
      <c r="C9" s="94">
        <f>攻击!E9</f>
        <v>26.4</v>
      </c>
      <c r="D9" s="94">
        <f>攻击!F9</f>
        <v>33</v>
      </c>
      <c r="E9" s="94">
        <f>攻击!G9</f>
        <v>44</v>
      </c>
      <c r="F9" s="94">
        <f>攻击!H9</f>
        <v>55</v>
      </c>
      <c r="G9" s="94">
        <f>攻击!I9</f>
        <v>9</v>
      </c>
      <c r="H9" s="94">
        <f>攻击!J9</f>
        <v>0</v>
      </c>
      <c r="I9" s="94">
        <f>攻击!K9</f>
        <v>0</v>
      </c>
      <c r="J9" s="94">
        <f>攻击!L9</f>
        <v>0</v>
      </c>
      <c r="K9" s="94">
        <f>攻击!M9</f>
        <v>0</v>
      </c>
      <c r="L9" s="94">
        <f>攻击!N9</f>
        <v>26.4</v>
      </c>
      <c r="M9" s="94">
        <f>攻击!O9</f>
        <v>33</v>
      </c>
      <c r="N9" s="94">
        <f>攻击!P9</f>
        <v>44</v>
      </c>
      <c r="O9" s="94">
        <f>攻击!Q9</f>
        <v>55</v>
      </c>
      <c r="P9" s="94">
        <f>攻击!R9</f>
        <v>66</v>
      </c>
      <c r="Q9" s="94">
        <f>攻击!S9</f>
        <v>77</v>
      </c>
      <c r="R9" s="94">
        <f>攻击!T9</f>
        <v>0</v>
      </c>
      <c r="S9" s="94">
        <f>攻击!U9</f>
        <v>6.6</v>
      </c>
      <c r="T9" s="94">
        <f>攻击!V9</f>
        <v>0</v>
      </c>
      <c r="U9" s="94">
        <f>攻击!W9</f>
        <v>1.1000000000000001</v>
      </c>
      <c r="V9" s="93">
        <f>攻击!X9</f>
        <v>0</v>
      </c>
      <c r="W9" s="93">
        <f>攻击!Y9</f>
        <v>0</v>
      </c>
      <c r="X9" s="93">
        <f>攻击!Z9</f>
        <v>0</v>
      </c>
      <c r="Y9" s="93">
        <f>攻击!AA9</f>
        <v>0</v>
      </c>
      <c r="Z9" s="93">
        <f>攻击!AB9</f>
        <v>0</v>
      </c>
      <c r="AA9" s="94">
        <f>攻击!AL9</f>
        <v>0</v>
      </c>
      <c r="AB9" s="93">
        <f>攻击!AM9</f>
        <v>0</v>
      </c>
      <c r="AC9" s="93">
        <f>攻击!AN9</f>
        <v>0</v>
      </c>
      <c r="AD9" s="93">
        <f>攻击!AO9</f>
        <v>0</v>
      </c>
      <c r="AE9" s="93">
        <f>攻击!AP9</f>
        <v>0</v>
      </c>
      <c r="AF9" s="93">
        <f>攻击!AQ9</f>
        <v>0</v>
      </c>
      <c r="AG9" s="94">
        <f>攻击!AR9</f>
        <v>4.4000000000000004</v>
      </c>
      <c r="AH9" s="94">
        <f t="shared" si="0"/>
        <v>59.4</v>
      </c>
    </row>
    <row r="10" spans="1:34">
      <c r="A10" s="46">
        <v>8</v>
      </c>
      <c r="B10" s="94">
        <f>攻击!D10</f>
        <v>24</v>
      </c>
      <c r="C10" s="94">
        <f>攻击!E10</f>
        <v>28.799999999999997</v>
      </c>
      <c r="D10" s="94">
        <f>攻击!F10</f>
        <v>36</v>
      </c>
      <c r="E10" s="94">
        <f>攻击!G10</f>
        <v>48</v>
      </c>
      <c r="F10" s="94">
        <f>攻击!H10</f>
        <v>60</v>
      </c>
      <c r="G10" s="94">
        <f>攻击!I10</f>
        <v>9</v>
      </c>
      <c r="H10" s="94">
        <f>攻击!J10</f>
        <v>0</v>
      </c>
      <c r="I10" s="94">
        <f>攻击!K10</f>
        <v>0</v>
      </c>
      <c r="J10" s="94">
        <f>攻击!L10</f>
        <v>0</v>
      </c>
      <c r="K10" s="94">
        <f>攻击!M10</f>
        <v>0</v>
      </c>
      <c r="L10" s="94">
        <f>攻击!N10</f>
        <v>28.799999999999997</v>
      </c>
      <c r="M10" s="94">
        <f>攻击!O10</f>
        <v>36</v>
      </c>
      <c r="N10" s="94">
        <f>攻击!P10</f>
        <v>48</v>
      </c>
      <c r="O10" s="94">
        <f>攻击!Q10</f>
        <v>60</v>
      </c>
      <c r="P10" s="94">
        <f>攻击!R10</f>
        <v>72</v>
      </c>
      <c r="Q10" s="94">
        <f>攻击!S10</f>
        <v>84</v>
      </c>
      <c r="R10" s="94">
        <f>攻击!T10</f>
        <v>0</v>
      </c>
      <c r="S10" s="94">
        <f>攻击!U10</f>
        <v>7.1999999999999993</v>
      </c>
      <c r="T10" s="94">
        <f>攻击!V10</f>
        <v>0</v>
      </c>
      <c r="U10" s="94">
        <f>攻击!W10</f>
        <v>1.2000000000000002</v>
      </c>
      <c r="V10" s="93">
        <f>攻击!X10</f>
        <v>0</v>
      </c>
      <c r="W10" s="93">
        <f>攻击!Y10</f>
        <v>0</v>
      </c>
      <c r="X10" s="93">
        <f>攻击!Z10</f>
        <v>0</v>
      </c>
      <c r="Y10" s="93">
        <f>攻击!AA10</f>
        <v>0</v>
      </c>
      <c r="Z10" s="93">
        <f>攻击!AB10</f>
        <v>0</v>
      </c>
      <c r="AA10" s="94">
        <f>攻击!AL10</f>
        <v>0</v>
      </c>
      <c r="AB10" s="93">
        <f>攻击!AM10</f>
        <v>0</v>
      </c>
      <c r="AC10" s="93">
        <f>攻击!AN10</f>
        <v>0</v>
      </c>
      <c r="AD10" s="93">
        <f>攻击!AO10</f>
        <v>0</v>
      </c>
      <c r="AE10" s="93">
        <f>攻击!AP10</f>
        <v>0</v>
      </c>
      <c r="AF10" s="93">
        <f>攻击!AQ10</f>
        <v>0</v>
      </c>
      <c r="AG10" s="94">
        <f>攻击!AR10</f>
        <v>4.8000000000000007</v>
      </c>
      <c r="AH10" s="94">
        <f t="shared" si="0"/>
        <v>64.8</v>
      </c>
    </row>
    <row r="11" spans="1:34">
      <c r="A11" s="46">
        <v>9</v>
      </c>
      <c r="B11" s="94">
        <f>攻击!D11</f>
        <v>26</v>
      </c>
      <c r="C11" s="94">
        <f>攻击!E11</f>
        <v>31.2</v>
      </c>
      <c r="D11" s="94">
        <f>攻击!F11</f>
        <v>39</v>
      </c>
      <c r="E11" s="94">
        <f>攻击!G11</f>
        <v>52</v>
      </c>
      <c r="F11" s="94">
        <f>攻击!H11</f>
        <v>65</v>
      </c>
      <c r="G11" s="94">
        <f>攻击!I11</f>
        <v>9</v>
      </c>
      <c r="H11" s="94">
        <f>攻击!J11</f>
        <v>0</v>
      </c>
      <c r="I11" s="94">
        <f>攻击!K11</f>
        <v>0</v>
      </c>
      <c r="J11" s="94">
        <f>攻击!L11</f>
        <v>0</v>
      </c>
      <c r="K11" s="94">
        <f>攻击!M11</f>
        <v>0</v>
      </c>
      <c r="L11" s="94">
        <f>攻击!N11</f>
        <v>31.2</v>
      </c>
      <c r="M11" s="94">
        <f>攻击!O11</f>
        <v>39</v>
      </c>
      <c r="N11" s="94">
        <f>攻击!P11</f>
        <v>52</v>
      </c>
      <c r="O11" s="94">
        <f>攻击!Q11</f>
        <v>65</v>
      </c>
      <c r="P11" s="94">
        <f>攻击!R11</f>
        <v>78</v>
      </c>
      <c r="Q11" s="94">
        <f>攻击!S11</f>
        <v>91</v>
      </c>
      <c r="R11" s="94">
        <f>攻击!T11</f>
        <v>0</v>
      </c>
      <c r="S11" s="94">
        <f>攻击!U11</f>
        <v>7.8</v>
      </c>
      <c r="T11" s="94">
        <f>攻击!V11</f>
        <v>0</v>
      </c>
      <c r="U11" s="94">
        <f>攻击!W11</f>
        <v>1.3</v>
      </c>
      <c r="V11" s="93">
        <f>攻击!X11</f>
        <v>0</v>
      </c>
      <c r="W11" s="93">
        <f>攻击!Y11</f>
        <v>0</v>
      </c>
      <c r="X11" s="93">
        <f>攻击!Z11</f>
        <v>0</v>
      </c>
      <c r="Y11" s="93">
        <f>攻击!AA11</f>
        <v>0</v>
      </c>
      <c r="Z11" s="93">
        <f>攻击!AB11</f>
        <v>0</v>
      </c>
      <c r="AA11" s="94">
        <f>攻击!AL11</f>
        <v>0</v>
      </c>
      <c r="AB11" s="93">
        <f>攻击!AM11</f>
        <v>0</v>
      </c>
      <c r="AC11" s="93">
        <f>攻击!AN11</f>
        <v>0</v>
      </c>
      <c r="AD11" s="93">
        <f>攻击!AO11</f>
        <v>0</v>
      </c>
      <c r="AE11" s="93">
        <f>攻击!AP11</f>
        <v>0</v>
      </c>
      <c r="AF11" s="93">
        <f>攻击!AQ11</f>
        <v>0</v>
      </c>
      <c r="AG11" s="94">
        <f>攻击!AR11</f>
        <v>5.2</v>
      </c>
      <c r="AH11" s="94">
        <f t="shared" si="0"/>
        <v>70.2</v>
      </c>
    </row>
    <row r="12" spans="1:34">
      <c r="A12" s="46">
        <v>10</v>
      </c>
      <c r="B12" s="94">
        <f>攻击!D12</f>
        <v>28</v>
      </c>
      <c r="C12" s="94">
        <f>攻击!E12</f>
        <v>33.6</v>
      </c>
      <c r="D12" s="94">
        <f>攻击!F12</f>
        <v>42</v>
      </c>
      <c r="E12" s="94">
        <f>攻击!G12</f>
        <v>56</v>
      </c>
      <c r="F12" s="94">
        <f>攻击!H12</f>
        <v>70</v>
      </c>
      <c r="G12" s="94">
        <f>攻击!I12</f>
        <v>14</v>
      </c>
      <c r="H12" s="94">
        <f>攻击!J12</f>
        <v>8.4</v>
      </c>
      <c r="I12" s="94">
        <f>攻击!K12</f>
        <v>0</v>
      </c>
      <c r="J12" s="94">
        <f>攻击!L12</f>
        <v>0</v>
      </c>
      <c r="K12" s="94">
        <f>攻击!M12</f>
        <v>0</v>
      </c>
      <c r="L12" s="94">
        <f>攻击!N12</f>
        <v>33.6</v>
      </c>
      <c r="M12" s="94">
        <f>攻击!O12</f>
        <v>42</v>
      </c>
      <c r="N12" s="94">
        <f>攻击!P12</f>
        <v>56</v>
      </c>
      <c r="O12" s="94">
        <f>攻击!Q12</f>
        <v>70</v>
      </c>
      <c r="P12" s="94">
        <f>攻击!R12</f>
        <v>84</v>
      </c>
      <c r="Q12" s="94">
        <f>攻击!S12</f>
        <v>98</v>
      </c>
      <c r="R12" s="94">
        <f>攻击!T12</f>
        <v>0</v>
      </c>
      <c r="S12" s="94">
        <f>攻击!U12</f>
        <v>8.4</v>
      </c>
      <c r="T12" s="94">
        <f>攻击!V12</f>
        <v>0</v>
      </c>
      <c r="U12" s="94">
        <f>攻击!W12</f>
        <v>1.4000000000000001</v>
      </c>
      <c r="V12" s="93">
        <f>攻击!X12</f>
        <v>0</v>
      </c>
      <c r="W12" s="93">
        <f>攻击!Y12</f>
        <v>0</v>
      </c>
      <c r="X12" s="93">
        <f>攻击!Z12</f>
        <v>0</v>
      </c>
      <c r="Y12" s="93">
        <f>攻击!AA12</f>
        <v>0</v>
      </c>
      <c r="Z12" s="93">
        <f>攻击!AB12</f>
        <v>0</v>
      </c>
      <c r="AA12" s="94">
        <f>攻击!AL12</f>
        <v>0</v>
      </c>
      <c r="AB12" s="93">
        <f>攻击!AM12</f>
        <v>0</v>
      </c>
      <c r="AC12" s="93">
        <f>攻击!AN12</f>
        <v>0</v>
      </c>
      <c r="AD12" s="93">
        <f>攻击!AO12</f>
        <v>0</v>
      </c>
      <c r="AE12" s="93">
        <f>攻击!AP12</f>
        <v>0</v>
      </c>
      <c r="AF12" s="93">
        <f>攻击!AQ12</f>
        <v>0</v>
      </c>
      <c r="AG12" s="94">
        <f>攻击!AR12</f>
        <v>5.6000000000000005</v>
      </c>
      <c r="AH12" s="94">
        <f t="shared" si="0"/>
        <v>75.599999999999994</v>
      </c>
    </row>
    <row r="13" spans="1:34">
      <c r="A13" s="46">
        <v>11</v>
      </c>
      <c r="B13" s="94">
        <f>攻击!D13</f>
        <v>30</v>
      </c>
      <c r="C13" s="94">
        <f>攻击!E13</f>
        <v>36</v>
      </c>
      <c r="D13" s="94">
        <f>攻击!F13</f>
        <v>45</v>
      </c>
      <c r="E13" s="94">
        <f>攻击!G13</f>
        <v>60</v>
      </c>
      <c r="F13" s="94">
        <f>攻击!H13</f>
        <v>75</v>
      </c>
      <c r="G13" s="94">
        <f>攻击!I13</f>
        <v>14</v>
      </c>
      <c r="H13" s="94">
        <f>攻击!J13</f>
        <v>9</v>
      </c>
      <c r="I13" s="94">
        <f>攻击!K13</f>
        <v>0</v>
      </c>
      <c r="J13" s="94">
        <f>攻击!L13</f>
        <v>0</v>
      </c>
      <c r="K13" s="94">
        <f>攻击!M13</f>
        <v>0</v>
      </c>
      <c r="L13" s="94">
        <f>攻击!N13</f>
        <v>36</v>
      </c>
      <c r="M13" s="94">
        <f>攻击!O13</f>
        <v>45</v>
      </c>
      <c r="N13" s="94">
        <f>攻击!P13</f>
        <v>60</v>
      </c>
      <c r="O13" s="94">
        <f>攻击!Q13</f>
        <v>75</v>
      </c>
      <c r="P13" s="94">
        <f>攻击!R13</f>
        <v>90</v>
      </c>
      <c r="Q13" s="94">
        <f>攻击!S13</f>
        <v>105</v>
      </c>
      <c r="R13" s="94">
        <f>攻击!T13</f>
        <v>0</v>
      </c>
      <c r="S13" s="94">
        <f>攻击!U13</f>
        <v>9</v>
      </c>
      <c r="T13" s="94">
        <f>攻击!V13</f>
        <v>0</v>
      </c>
      <c r="U13" s="94">
        <f>攻击!W13</f>
        <v>1.5</v>
      </c>
      <c r="V13" s="93">
        <f>攻击!X13</f>
        <v>0</v>
      </c>
      <c r="W13" s="93">
        <f>攻击!Y13</f>
        <v>0</v>
      </c>
      <c r="X13" s="93">
        <f>攻击!Z13</f>
        <v>0</v>
      </c>
      <c r="Y13" s="93">
        <f>攻击!AA13</f>
        <v>0</v>
      </c>
      <c r="Z13" s="93">
        <f>攻击!AB13</f>
        <v>0</v>
      </c>
      <c r="AA13" s="94">
        <f>攻击!AL13</f>
        <v>0</v>
      </c>
      <c r="AB13" s="93">
        <f>攻击!AM13</f>
        <v>0</v>
      </c>
      <c r="AC13" s="93">
        <f>攻击!AN13</f>
        <v>0</v>
      </c>
      <c r="AD13" s="93">
        <f>攻击!AO13</f>
        <v>0</v>
      </c>
      <c r="AE13" s="93">
        <f>攻击!AP13</f>
        <v>0</v>
      </c>
      <c r="AF13" s="93">
        <f>攻击!AQ13</f>
        <v>0</v>
      </c>
      <c r="AG13" s="94">
        <f>攻击!AR13</f>
        <v>6</v>
      </c>
      <c r="AH13" s="94">
        <f t="shared" si="0"/>
        <v>81</v>
      </c>
    </row>
    <row r="14" spans="1:34">
      <c r="A14" s="46">
        <v>12</v>
      </c>
      <c r="B14" s="94">
        <f>攻击!D14</f>
        <v>32</v>
      </c>
      <c r="C14" s="94">
        <f>攻击!E14</f>
        <v>38.4</v>
      </c>
      <c r="D14" s="94">
        <f>攻击!F14</f>
        <v>48</v>
      </c>
      <c r="E14" s="94">
        <f>攻击!G14</f>
        <v>64</v>
      </c>
      <c r="F14" s="94">
        <f>攻击!H14</f>
        <v>80</v>
      </c>
      <c r="G14" s="94">
        <f>攻击!I14</f>
        <v>14</v>
      </c>
      <c r="H14" s="94">
        <f>攻击!J14</f>
        <v>9.6</v>
      </c>
      <c r="I14" s="94">
        <f>攻击!K14</f>
        <v>0</v>
      </c>
      <c r="J14" s="94">
        <f>攻击!L14</f>
        <v>0</v>
      </c>
      <c r="K14" s="94">
        <f>攻击!M14</f>
        <v>0</v>
      </c>
      <c r="L14" s="94">
        <f>攻击!N14</f>
        <v>38.4</v>
      </c>
      <c r="M14" s="94">
        <f>攻击!O14</f>
        <v>48</v>
      </c>
      <c r="N14" s="94">
        <f>攻击!P14</f>
        <v>64</v>
      </c>
      <c r="O14" s="94">
        <f>攻击!Q14</f>
        <v>80</v>
      </c>
      <c r="P14" s="94">
        <f>攻击!R14</f>
        <v>96</v>
      </c>
      <c r="Q14" s="94">
        <f>攻击!S14</f>
        <v>112</v>
      </c>
      <c r="R14" s="94">
        <f>攻击!T14</f>
        <v>0</v>
      </c>
      <c r="S14" s="94">
        <f>攻击!U14</f>
        <v>9.6</v>
      </c>
      <c r="T14" s="94">
        <f>攻击!V14</f>
        <v>0</v>
      </c>
      <c r="U14" s="94">
        <f>攻击!W14</f>
        <v>1.6</v>
      </c>
      <c r="V14" s="93">
        <f>攻击!X14</f>
        <v>0</v>
      </c>
      <c r="W14" s="93">
        <f>攻击!Y14</f>
        <v>0</v>
      </c>
      <c r="X14" s="93">
        <f>攻击!Z14</f>
        <v>0</v>
      </c>
      <c r="Y14" s="93">
        <f>攻击!AA14</f>
        <v>0</v>
      </c>
      <c r="Z14" s="93">
        <f>攻击!AB14</f>
        <v>0</v>
      </c>
      <c r="AA14" s="94">
        <f>攻击!AL14</f>
        <v>0</v>
      </c>
      <c r="AB14" s="93">
        <f>攻击!AM14</f>
        <v>0</v>
      </c>
      <c r="AC14" s="93">
        <f>攻击!AN14</f>
        <v>0</v>
      </c>
      <c r="AD14" s="93">
        <f>攻击!AO14</f>
        <v>0</v>
      </c>
      <c r="AE14" s="93">
        <f>攻击!AP14</f>
        <v>0</v>
      </c>
      <c r="AF14" s="93">
        <f>攻击!AQ14</f>
        <v>0</v>
      </c>
      <c r="AG14" s="94">
        <f>攻击!AR14</f>
        <v>6.4</v>
      </c>
      <c r="AH14" s="94">
        <f t="shared" si="0"/>
        <v>86.4</v>
      </c>
    </row>
    <row r="15" spans="1:34">
      <c r="A15" s="46">
        <v>13</v>
      </c>
      <c r="B15" s="94">
        <f>攻击!D15</f>
        <v>34</v>
      </c>
      <c r="C15" s="94">
        <f>攻击!E15</f>
        <v>40.799999999999997</v>
      </c>
      <c r="D15" s="94">
        <f>攻击!F15</f>
        <v>51</v>
      </c>
      <c r="E15" s="94">
        <f>攻击!G15</f>
        <v>68</v>
      </c>
      <c r="F15" s="94">
        <f>攻击!H15</f>
        <v>85</v>
      </c>
      <c r="G15" s="94">
        <f>攻击!I15</f>
        <v>14</v>
      </c>
      <c r="H15" s="94">
        <f>攻击!J15</f>
        <v>10.199999999999999</v>
      </c>
      <c r="I15" s="94">
        <f>攻击!K15</f>
        <v>0</v>
      </c>
      <c r="J15" s="94">
        <f>攻击!L15</f>
        <v>0</v>
      </c>
      <c r="K15" s="94">
        <f>攻击!M15</f>
        <v>0</v>
      </c>
      <c r="L15" s="94">
        <f>攻击!N15</f>
        <v>40.799999999999997</v>
      </c>
      <c r="M15" s="94">
        <f>攻击!O15</f>
        <v>51</v>
      </c>
      <c r="N15" s="94">
        <f>攻击!P15</f>
        <v>68</v>
      </c>
      <c r="O15" s="94">
        <f>攻击!Q15</f>
        <v>85</v>
      </c>
      <c r="P15" s="94">
        <f>攻击!R15</f>
        <v>102</v>
      </c>
      <c r="Q15" s="94">
        <f>攻击!S15</f>
        <v>119</v>
      </c>
      <c r="R15" s="94">
        <f>攻击!T15</f>
        <v>0</v>
      </c>
      <c r="S15" s="94">
        <f>攻击!U15</f>
        <v>10.199999999999999</v>
      </c>
      <c r="T15" s="94">
        <f>攻击!V15</f>
        <v>0</v>
      </c>
      <c r="U15" s="94">
        <f>攻击!W15</f>
        <v>1.7000000000000002</v>
      </c>
      <c r="V15" s="93">
        <f>攻击!X15</f>
        <v>0</v>
      </c>
      <c r="W15" s="93">
        <f>攻击!Y15</f>
        <v>0</v>
      </c>
      <c r="X15" s="93">
        <f>攻击!Z15</f>
        <v>0</v>
      </c>
      <c r="Y15" s="93">
        <f>攻击!AA15</f>
        <v>0</v>
      </c>
      <c r="Z15" s="93">
        <f>攻击!AB15</f>
        <v>0</v>
      </c>
      <c r="AA15" s="94">
        <f>攻击!AL15</f>
        <v>0</v>
      </c>
      <c r="AB15" s="93">
        <f>攻击!AM15</f>
        <v>0</v>
      </c>
      <c r="AC15" s="93">
        <f>攻击!AN15</f>
        <v>0</v>
      </c>
      <c r="AD15" s="93">
        <f>攻击!AO15</f>
        <v>0</v>
      </c>
      <c r="AE15" s="93">
        <f>攻击!AP15</f>
        <v>0</v>
      </c>
      <c r="AF15" s="93">
        <f>攻击!AQ15</f>
        <v>0</v>
      </c>
      <c r="AG15" s="94">
        <f>攻击!AR15</f>
        <v>6.8000000000000007</v>
      </c>
      <c r="AH15" s="94">
        <f t="shared" si="0"/>
        <v>91.8</v>
      </c>
    </row>
    <row r="16" spans="1:34">
      <c r="A16" s="46">
        <v>14</v>
      </c>
      <c r="B16" s="94">
        <f>攻击!D16</f>
        <v>36</v>
      </c>
      <c r="C16" s="94">
        <f>攻击!E16</f>
        <v>43.199999999999996</v>
      </c>
      <c r="D16" s="94">
        <f>攻击!F16</f>
        <v>54</v>
      </c>
      <c r="E16" s="94">
        <f>攻击!G16</f>
        <v>72</v>
      </c>
      <c r="F16" s="94">
        <f>攻击!H16</f>
        <v>90</v>
      </c>
      <c r="G16" s="94">
        <f>攻击!I16</f>
        <v>14</v>
      </c>
      <c r="H16" s="94">
        <f>攻击!J16</f>
        <v>10.799999999999999</v>
      </c>
      <c r="I16" s="94">
        <f>攻击!K16</f>
        <v>0</v>
      </c>
      <c r="J16" s="94">
        <f>攻击!L16</f>
        <v>0</v>
      </c>
      <c r="K16" s="94">
        <f>攻击!M16</f>
        <v>0</v>
      </c>
      <c r="L16" s="94">
        <f>攻击!N16</f>
        <v>43.199999999999996</v>
      </c>
      <c r="M16" s="94">
        <f>攻击!O16</f>
        <v>54</v>
      </c>
      <c r="N16" s="94">
        <f>攻击!P16</f>
        <v>72</v>
      </c>
      <c r="O16" s="94">
        <f>攻击!Q16</f>
        <v>90</v>
      </c>
      <c r="P16" s="94">
        <f>攻击!R16</f>
        <v>108</v>
      </c>
      <c r="Q16" s="94">
        <f>攻击!S16</f>
        <v>126</v>
      </c>
      <c r="R16" s="94">
        <f>攻击!T16</f>
        <v>0</v>
      </c>
      <c r="S16" s="94">
        <f>攻击!U16</f>
        <v>10.799999999999999</v>
      </c>
      <c r="T16" s="94">
        <f>攻击!V16</f>
        <v>0</v>
      </c>
      <c r="U16" s="94">
        <f>攻击!W16</f>
        <v>1.8</v>
      </c>
      <c r="V16" s="93">
        <f>攻击!X16</f>
        <v>0</v>
      </c>
      <c r="W16" s="93">
        <f>攻击!Y16</f>
        <v>0</v>
      </c>
      <c r="X16" s="93">
        <f>攻击!Z16</f>
        <v>0</v>
      </c>
      <c r="Y16" s="93">
        <f>攻击!AA16</f>
        <v>0</v>
      </c>
      <c r="Z16" s="93">
        <f>攻击!AB16</f>
        <v>0</v>
      </c>
      <c r="AA16" s="94">
        <f>攻击!AL16</f>
        <v>0</v>
      </c>
      <c r="AB16" s="93">
        <f>攻击!AM16</f>
        <v>0</v>
      </c>
      <c r="AC16" s="93">
        <f>攻击!AN16</f>
        <v>0</v>
      </c>
      <c r="AD16" s="93">
        <f>攻击!AO16</f>
        <v>0</v>
      </c>
      <c r="AE16" s="93">
        <f>攻击!AP16</f>
        <v>0</v>
      </c>
      <c r="AF16" s="93">
        <f>攻击!AQ16</f>
        <v>0</v>
      </c>
      <c r="AG16" s="94">
        <f>攻击!AR16</f>
        <v>7.2</v>
      </c>
      <c r="AH16" s="94">
        <f t="shared" si="0"/>
        <v>97.2</v>
      </c>
    </row>
    <row r="17" spans="1:34">
      <c r="A17" s="46">
        <v>15</v>
      </c>
      <c r="B17" s="94">
        <f>攻击!D17</f>
        <v>38</v>
      </c>
      <c r="C17" s="94">
        <f>攻击!E17</f>
        <v>45.6</v>
      </c>
      <c r="D17" s="94">
        <f>攻击!F17</f>
        <v>57</v>
      </c>
      <c r="E17" s="94">
        <f>攻击!G17</f>
        <v>76</v>
      </c>
      <c r="F17" s="94">
        <f>攻击!H17</f>
        <v>95</v>
      </c>
      <c r="G17" s="94">
        <f>攻击!I17</f>
        <v>19</v>
      </c>
      <c r="H17" s="94">
        <f>攻击!J17</f>
        <v>11.4</v>
      </c>
      <c r="I17" s="94">
        <f>攻击!K17</f>
        <v>22.8</v>
      </c>
      <c r="J17" s="94">
        <f>攻击!L17</f>
        <v>0</v>
      </c>
      <c r="K17" s="94">
        <f>攻击!M17</f>
        <v>0</v>
      </c>
      <c r="L17" s="94">
        <f>攻击!N17</f>
        <v>45.6</v>
      </c>
      <c r="M17" s="94">
        <f>攻击!O17</f>
        <v>57</v>
      </c>
      <c r="N17" s="94">
        <f>攻击!P17</f>
        <v>76</v>
      </c>
      <c r="O17" s="94">
        <f>攻击!Q17</f>
        <v>95</v>
      </c>
      <c r="P17" s="94">
        <f>攻击!R17</f>
        <v>114</v>
      </c>
      <c r="Q17" s="94">
        <f>攻击!S17</f>
        <v>133</v>
      </c>
      <c r="R17" s="94">
        <f>攻击!T17</f>
        <v>0</v>
      </c>
      <c r="S17" s="94">
        <f>攻击!U17</f>
        <v>11.4</v>
      </c>
      <c r="T17" s="94">
        <f>攻击!V17</f>
        <v>0</v>
      </c>
      <c r="U17" s="94">
        <f>攻击!W17</f>
        <v>1.9000000000000001</v>
      </c>
      <c r="V17" s="93">
        <f>攻击!X17</f>
        <v>0</v>
      </c>
      <c r="W17" s="93">
        <f>攻击!Y17</f>
        <v>0</v>
      </c>
      <c r="X17" s="93">
        <f>攻击!Z17</f>
        <v>0</v>
      </c>
      <c r="Y17" s="93">
        <f>攻击!AA17</f>
        <v>0</v>
      </c>
      <c r="Z17" s="93">
        <f>攻击!AB17</f>
        <v>0</v>
      </c>
      <c r="AA17" s="94">
        <f>攻击!AL17</f>
        <v>0</v>
      </c>
      <c r="AB17" s="93">
        <f>攻击!AM17</f>
        <v>0</v>
      </c>
      <c r="AC17" s="93">
        <f>攻击!AN17</f>
        <v>0</v>
      </c>
      <c r="AD17" s="93">
        <f>攻击!AO17</f>
        <v>0</v>
      </c>
      <c r="AE17" s="93">
        <f>攻击!AP17</f>
        <v>0</v>
      </c>
      <c r="AF17" s="93">
        <f>攻击!AQ17</f>
        <v>0</v>
      </c>
      <c r="AG17" s="94">
        <f>攻击!AR17</f>
        <v>7.6000000000000005</v>
      </c>
      <c r="AH17" s="94">
        <f t="shared" si="0"/>
        <v>102.6</v>
      </c>
    </row>
    <row r="18" spans="1:34">
      <c r="A18" s="46">
        <v>16</v>
      </c>
      <c r="B18" s="94">
        <f>攻击!D18</f>
        <v>40</v>
      </c>
      <c r="C18" s="94">
        <f>攻击!E18</f>
        <v>48</v>
      </c>
      <c r="D18" s="94">
        <f>攻击!F18</f>
        <v>60</v>
      </c>
      <c r="E18" s="94">
        <f>攻击!G18</f>
        <v>80</v>
      </c>
      <c r="F18" s="94">
        <f>攻击!H18</f>
        <v>100</v>
      </c>
      <c r="G18" s="94">
        <f>攻击!I18</f>
        <v>19</v>
      </c>
      <c r="H18" s="94">
        <f>攻击!J18</f>
        <v>12</v>
      </c>
      <c r="I18" s="94">
        <f>攻击!K18</f>
        <v>24</v>
      </c>
      <c r="J18" s="94">
        <f>攻击!L18</f>
        <v>0</v>
      </c>
      <c r="K18" s="94">
        <f>攻击!M18</f>
        <v>0</v>
      </c>
      <c r="L18" s="94">
        <f>攻击!N18</f>
        <v>48</v>
      </c>
      <c r="M18" s="94">
        <f>攻击!O18</f>
        <v>60</v>
      </c>
      <c r="N18" s="94">
        <f>攻击!P18</f>
        <v>80</v>
      </c>
      <c r="O18" s="94">
        <f>攻击!Q18</f>
        <v>100</v>
      </c>
      <c r="P18" s="94">
        <f>攻击!R18</f>
        <v>120</v>
      </c>
      <c r="Q18" s="94">
        <f>攻击!S18</f>
        <v>140</v>
      </c>
      <c r="R18" s="94">
        <f>攻击!T18</f>
        <v>0</v>
      </c>
      <c r="S18" s="94">
        <f>攻击!U18</f>
        <v>12</v>
      </c>
      <c r="T18" s="94">
        <f>攻击!V18</f>
        <v>0</v>
      </c>
      <c r="U18" s="94">
        <f>攻击!W18</f>
        <v>2</v>
      </c>
      <c r="V18" s="93">
        <f>攻击!X18</f>
        <v>0</v>
      </c>
      <c r="W18" s="93">
        <f>攻击!Y18</f>
        <v>0</v>
      </c>
      <c r="X18" s="93">
        <f>攻击!Z18</f>
        <v>0</v>
      </c>
      <c r="Y18" s="93">
        <f>攻击!AA18</f>
        <v>0</v>
      </c>
      <c r="Z18" s="93">
        <f>攻击!AB18</f>
        <v>0</v>
      </c>
      <c r="AA18" s="94">
        <f>攻击!AL18</f>
        <v>0</v>
      </c>
      <c r="AB18" s="93">
        <f>攻击!AM18</f>
        <v>0</v>
      </c>
      <c r="AC18" s="93">
        <f>攻击!AN18</f>
        <v>0</v>
      </c>
      <c r="AD18" s="93">
        <f>攻击!AO18</f>
        <v>0</v>
      </c>
      <c r="AE18" s="93">
        <f>攻击!AP18</f>
        <v>0</v>
      </c>
      <c r="AF18" s="93">
        <f>攻击!AQ18</f>
        <v>0</v>
      </c>
      <c r="AG18" s="94">
        <f>攻击!AR18</f>
        <v>8</v>
      </c>
      <c r="AH18" s="94">
        <f t="shared" si="0"/>
        <v>108</v>
      </c>
    </row>
    <row r="19" spans="1:34">
      <c r="A19" s="46">
        <v>17</v>
      </c>
      <c r="B19" s="94">
        <f>攻击!D19</f>
        <v>42</v>
      </c>
      <c r="C19" s="94">
        <f>攻击!E19</f>
        <v>50.4</v>
      </c>
      <c r="D19" s="94">
        <f>攻击!F19</f>
        <v>63</v>
      </c>
      <c r="E19" s="94">
        <f>攻击!G19</f>
        <v>84</v>
      </c>
      <c r="F19" s="94">
        <f>攻击!H19</f>
        <v>105</v>
      </c>
      <c r="G19" s="94">
        <f>攻击!I19</f>
        <v>19</v>
      </c>
      <c r="H19" s="94">
        <f>攻击!J19</f>
        <v>12.6</v>
      </c>
      <c r="I19" s="94">
        <f>攻击!K19</f>
        <v>25.2</v>
      </c>
      <c r="J19" s="94">
        <f>攻击!L19</f>
        <v>0</v>
      </c>
      <c r="K19" s="94">
        <f>攻击!M19</f>
        <v>0</v>
      </c>
      <c r="L19" s="94">
        <f>攻击!N19</f>
        <v>50.4</v>
      </c>
      <c r="M19" s="94">
        <f>攻击!O19</f>
        <v>63</v>
      </c>
      <c r="N19" s="94">
        <f>攻击!P19</f>
        <v>84</v>
      </c>
      <c r="O19" s="94">
        <f>攻击!Q19</f>
        <v>105</v>
      </c>
      <c r="P19" s="94">
        <f>攻击!R19</f>
        <v>126</v>
      </c>
      <c r="Q19" s="94">
        <f>攻击!S19</f>
        <v>147</v>
      </c>
      <c r="R19" s="94">
        <f>攻击!T19</f>
        <v>0</v>
      </c>
      <c r="S19" s="94">
        <f>攻击!U19</f>
        <v>12.6</v>
      </c>
      <c r="T19" s="94">
        <f>攻击!V19</f>
        <v>0</v>
      </c>
      <c r="U19" s="94">
        <f>攻击!W19</f>
        <v>2.1</v>
      </c>
      <c r="V19" s="93">
        <f>攻击!X19</f>
        <v>0</v>
      </c>
      <c r="W19" s="93">
        <f>攻击!Y19</f>
        <v>0</v>
      </c>
      <c r="X19" s="93">
        <f>攻击!Z19</f>
        <v>0</v>
      </c>
      <c r="Y19" s="93">
        <f>攻击!AA19</f>
        <v>0</v>
      </c>
      <c r="Z19" s="93">
        <f>攻击!AB19</f>
        <v>0</v>
      </c>
      <c r="AA19" s="94">
        <f>攻击!AL19</f>
        <v>0</v>
      </c>
      <c r="AB19" s="93">
        <f>攻击!AM19</f>
        <v>0</v>
      </c>
      <c r="AC19" s="93">
        <f>攻击!AN19</f>
        <v>0</v>
      </c>
      <c r="AD19" s="93">
        <f>攻击!AO19</f>
        <v>0</v>
      </c>
      <c r="AE19" s="93">
        <f>攻击!AP19</f>
        <v>0</v>
      </c>
      <c r="AF19" s="93">
        <f>攻击!AQ19</f>
        <v>0</v>
      </c>
      <c r="AG19" s="94">
        <f>攻击!AR19</f>
        <v>8.4</v>
      </c>
      <c r="AH19" s="94">
        <f t="shared" si="0"/>
        <v>113.4</v>
      </c>
    </row>
    <row r="20" spans="1:34">
      <c r="A20" s="46">
        <v>18</v>
      </c>
      <c r="B20" s="94">
        <f>攻击!D20</f>
        <v>44</v>
      </c>
      <c r="C20" s="94">
        <f>攻击!E20</f>
        <v>52.8</v>
      </c>
      <c r="D20" s="94">
        <f>攻击!F20</f>
        <v>66</v>
      </c>
      <c r="E20" s="94">
        <f>攻击!G20</f>
        <v>88</v>
      </c>
      <c r="F20" s="94">
        <f>攻击!H20</f>
        <v>110</v>
      </c>
      <c r="G20" s="94">
        <f>攻击!I20</f>
        <v>19</v>
      </c>
      <c r="H20" s="94">
        <f>攻击!J20</f>
        <v>13.2</v>
      </c>
      <c r="I20" s="94">
        <f>攻击!K20</f>
        <v>26.4</v>
      </c>
      <c r="J20" s="94">
        <f>攻击!L20</f>
        <v>0</v>
      </c>
      <c r="K20" s="94">
        <f>攻击!M20</f>
        <v>0</v>
      </c>
      <c r="L20" s="94">
        <f>攻击!N20</f>
        <v>52.8</v>
      </c>
      <c r="M20" s="94">
        <f>攻击!O20</f>
        <v>66</v>
      </c>
      <c r="N20" s="94">
        <f>攻击!P20</f>
        <v>88</v>
      </c>
      <c r="O20" s="94">
        <f>攻击!Q20</f>
        <v>110</v>
      </c>
      <c r="P20" s="94">
        <f>攻击!R20</f>
        <v>132</v>
      </c>
      <c r="Q20" s="94">
        <f>攻击!S20</f>
        <v>154</v>
      </c>
      <c r="R20" s="94">
        <f>攻击!T20</f>
        <v>0</v>
      </c>
      <c r="S20" s="94">
        <f>攻击!U20</f>
        <v>13.2</v>
      </c>
      <c r="T20" s="94">
        <f>攻击!V20</f>
        <v>0</v>
      </c>
      <c r="U20" s="94">
        <f>攻击!W20</f>
        <v>2.2000000000000002</v>
      </c>
      <c r="V20" s="93">
        <f>攻击!X20</f>
        <v>0</v>
      </c>
      <c r="W20" s="93">
        <f>攻击!Y20</f>
        <v>0</v>
      </c>
      <c r="X20" s="93">
        <f>攻击!Z20</f>
        <v>0</v>
      </c>
      <c r="Y20" s="93">
        <f>攻击!AA20</f>
        <v>0</v>
      </c>
      <c r="Z20" s="93">
        <f>攻击!AB20</f>
        <v>0</v>
      </c>
      <c r="AA20" s="94">
        <f>攻击!AL20</f>
        <v>0</v>
      </c>
      <c r="AB20" s="93">
        <f>攻击!AM20</f>
        <v>0</v>
      </c>
      <c r="AC20" s="93">
        <f>攻击!AN20</f>
        <v>0</v>
      </c>
      <c r="AD20" s="93">
        <f>攻击!AO20</f>
        <v>0</v>
      </c>
      <c r="AE20" s="93">
        <f>攻击!AP20</f>
        <v>0</v>
      </c>
      <c r="AF20" s="93">
        <f>攻击!AQ20</f>
        <v>0</v>
      </c>
      <c r="AG20" s="94">
        <f>攻击!AR20</f>
        <v>8.8000000000000007</v>
      </c>
      <c r="AH20" s="94">
        <f t="shared" si="0"/>
        <v>118.8</v>
      </c>
    </row>
    <row r="21" spans="1:34">
      <c r="A21" s="46">
        <v>19</v>
      </c>
      <c r="B21" s="94">
        <f>攻击!D21</f>
        <v>46</v>
      </c>
      <c r="C21" s="94">
        <f>攻击!E21</f>
        <v>55.199999999999996</v>
      </c>
      <c r="D21" s="94">
        <f>攻击!F21</f>
        <v>69</v>
      </c>
      <c r="E21" s="94">
        <f>攻击!G21</f>
        <v>92</v>
      </c>
      <c r="F21" s="94">
        <f>攻击!H21</f>
        <v>115</v>
      </c>
      <c r="G21" s="94">
        <f>攻击!I21</f>
        <v>19</v>
      </c>
      <c r="H21" s="94">
        <f>攻击!J21</f>
        <v>13.799999999999999</v>
      </c>
      <c r="I21" s="94">
        <f>攻击!K21</f>
        <v>27.599999999999998</v>
      </c>
      <c r="J21" s="94">
        <f>攻击!L21</f>
        <v>0</v>
      </c>
      <c r="K21" s="94">
        <f>攻击!M21</f>
        <v>0</v>
      </c>
      <c r="L21" s="94">
        <f>攻击!N21</f>
        <v>55.199999999999996</v>
      </c>
      <c r="M21" s="94">
        <f>攻击!O21</f>
        <v>69</v>
      </c>
      <c r="N21" s="94">
        <f>攻击!P21</f>
        <v>92</v>
      </c>
      <c r="O21" s="94">
        <f>攻击!Q21</f>
        <v>115</v>
      </c>
      <c r="P21" s="94">
        <f>攻击!R21</f>
        <v>138</v>
      </c>
      <c r="Q21" s="94">
        <f>攻击!S21</f>
        <v>161</v>
      </c>
      <c r="R21" s="94">
        <f>攻击!T21</f>
        <v>0</v>
      </c>
      <c r="S21" s="94">
        <f>攻击!U21</f>
        <v>13.799999999999999</v>
      </c>
      <c r="T21" s="94">
        <f>攻击!V21</f>
        <v>0</v>
      </c>
      <c r="U21" s="94">
        <f>攻击!W21</f>
        <v>2.3000000000000003</v>
      </c>
      <c r="V21" s="93">
        <f>攻击!X21</f>
        <v>0</v>
      </c>
      <c r="W21" s="93">
        <f>攻击!Y21</f>
        <v>0</v>
      </c>
      <c r="X21" s="93">
        <f>攻击!Z21</f>
        <v>0</v>
      </c>
      <c r="Y21" s="93">
        <f>攻击!AA21</f>
        <v>0</v>
      </c>
      <c r="Z21" s="93">
        <f>攻击!AB21</f>
        <v>0</v>
      </c>
      <c r="AA21" s="94">
        <f>攻击!AL21</f>
        <v>0</v>
      </c>
      <c r="AB21" s="93">
        <f>攻击!AM21</f>
        <v>0</v>
      </c>
      <c r="AC21" s="93">
        <f>攻击!AN21</f>
        <v>0</v>
      </c>
      <c r="AD21" s="93">
        <f>攻击!AO21</f>
        <v>0</v>
      </c>
      <c r="AE21" s="93">
        <f>攻击!AP21</f>
        <v>0</v>
      </c>
      <c r="AF21" s="93">
        <f>攻击!AQ21</f>
        <v>0</v>
      </c>
      <c r="AG21" s="94">
        <f>攻击!AR21</f>
        <v>9.2000000000000011</v>
      </c>
      <c r="AH21" s="94">
        <f t="shared" si="0"/>
        <v>124.2</v>
      </c>
    </row>
    <row r="22" spans="1:34">
      <c r="A22" s="46">
        <v>20</v>
      </c>
      <c r="B22" s="94">
        <f>攻击!D22</f>
        <v>48</v>
      </c>
      <c r="C22" s="94">
        <f>攻击!E22</f>
        <v>57.599999999999994</v>
      </c>
      <c r="D22" s="94">
        <f>攻击!F22</f>
        <v>72</v>
      </c>
      <c r="E22" s="94">
        <f>攻击!G22</f>
        <v>96</v>
      </c>
      <c r="F22" s="94">
        <f>攻击!H22</f>
        <v>120</v>
      </c>
      <c r="G22" s="94">
        <f>攻击!I22</f>
        <v>24</v>
      </c>
      <c r="H22" s="94">
        <f>攻击!J22</f>
        <v>14.399999999999999</v>
      </c>
      <c r="I22" s="94">
        <f>攻击!K22</f>
        <v>28.799999999999997</v>
      </c>
      <c r="J22" s="94">
        <f>攻击!L22</f>
        <v>0</v>
      </c>
      <c r="K22" s="94">
        <f>攻击!M22</f>
        <v>0</v>
      </c>
      <c r="L22" s="94">
        <f>攻击!N22</f>
        <v>57.599999999999994</v>
      </c>
      <c r="M22" s="94">
        <f>攻击!O22</f>
        <v>72</v>
      </c>
      <c r="N22" s="94">
        <f>攻击!P22</f>
        <v>96</v>
      </c>
      <c r="O22" s="94">
        <f>攻击!Q22</f>
        <v>120</v>
      </c>
      <c r="P22" s="94">
        <f>攻击!R22</f>
        <v>144</v>
      </c>
      <c r="Q22" s="94">
        <f>攻击!S22</f>
        <v>168</v>
      </c>
      <c r="R22" s="94">
        <f>攻击!T22</f>
        <v>0</v>
      </c>
      <c r="S22" s="94">
        <f>攻击!U22</f>
        <v>14.399999999999999</v>
      </c>
      <c r="T22" s="94">
        <f>攻击!V22</f>
        <v>0</v>
      </c>
      <c r="U22" s="94">
        <f>攻击!W22</f>
        <v>2.4000000000000004</v>
      </c>
      <c r="V22" s="93">
        <f>攻击!X22</f>
        <v>0</v>
      </c>
      <c r="W22" s="93">
        <f>攻击!Y22</f>
        <v>0</v>
      </c>
      <c r="X22" s="93">
        <f>攻击!Z22</f>
        <v>0</v>
      </c>
      <c r="Y22" s="93">
        <f>攻击!AA22</f>
        <v>0</v>
      </c>
      <c r="Z22" s="93">
        <f>攻击!AB22</f>
        <v>0</v>
      </c>
      <c r="AA22" s="94">
        <f>攻击!AL22</f>
        <v>0</v>
      </c>
      <c r="AB22" s="93">
        <f>攻击!AM22</f>
        <v>0</v>
      </c>
      <c r="AC22" s="93">
        <f>攻击!AN22</f>
        <v>0</v>
      </c>
      <c r="AD22" s="93">
        <f>攻击!AO22</f>
        <v>0</v>
      </c>
      <c r="AE22" s="93">
        <f>攻击!AP22</f>
        <v>0</v>
      </c>
      <c r="AF22" s="93">
        <f>攻击!AQ22</f>
        <v>0</v>
      </c>
      <c r="AG22" s="94">
        <f>攻击!AR22</f>
        <v>9.6000000000000014</v>
      </c>
      <c r="AH22" s="94">
        <f t="shared" si="0"/>
        <v>129.6</v>
      </c>
    </row>
    <row r="23" spans="1:34">
      <c r="A23" s="46">
        <v>21</v>
      </c>
      <c r="B23" s="94">
        <f>攻击!D23</f>
        <v>50</v>
      </c>
      <c r="C23" s="94">
        <f>攻击!E23</f>
        <v>60</v>
      </c>
      <c r="D23" s="94">
        <f>攻击!F23</f>
        <v>75</v>
      </c>
      <c r="E23" s="94">
        <f>攻击!G23</f>
        <v>100</v>
      </c>
      <c r="F23" s="94">
        <f>攻击!H23</f>
        <v>125</v>
      </c>
      <c r="G23" s="94">
        <f>攻击!I23</f>
        <v>24</v>
      </c>
      <c r="H23" s="94">
        <f>攻击!J23</f>
        <v>15</v>
      </c>
      <c r="I23" s="94">
        <f>攻击!K23</f>
        <v>30</v>
      </c>
      <c r="J23" s="94">
        <f>攻击!L23</f>
        <v>0</v>
      </c>
      <c r="K23" s="94">
        <f>攻击!M23</f>
        <v>0</v>
      </c>
      <c r="L23" s="94">
        <f>攻击!N23</f>
        <v>60</v>
      </c>
      <c r="M23" s="94">
        <f>攻击!O23</f>
        <v>75</v>
      </c>
      <c r="N23" s="94">
        <f>攻击!P23</f>
        <v>100</v>
      </c>
      <c r="O23" s="94">
        <f>攻击!Q23</f>
        <v>125</v>
      </c>
      <c r="P23" s="94">
        <f>攻击!R23</f>
        <v>150</v>
      </c>
      <c r="Q23" s="94">
        <f>攻击!S23</f>
        <v>175</v>
      </c>
      <c r="R23" s="94">
        <f>攻击!T23</f>
        <v>0</v>
      </c>
      <c r="S23" s="94">
        <f>攻击!U23</f>
        <v>15</v>
      </c>
      <c r="T23" s="94">
        <f>攻击!V23</f>
        <v>0</v>
      </c>
      <c r="U23" s="94">
        <f>攻击!W23</f>
        <v>2.5</v>
      </c>
      <c r="V23" s="93">
        <f>攻击!X23</f>
        <v>0</v>
      </c>
      <c r="W23" s="93">
        <f>攻击!Y23</f>
        <v>0</v>
      </c>
      <c r="X23" s="93">
        <f>攻击!Z23</f>
        <v>0</v>
      </c>
      <c r="Y23" s="93">
        <f>攻击!AA23</f>
        <v>0</v>
      </c>
      <c r="Z23" s="93">
        <f>攻击!AB23</f>
        <v>0</v>
      </c>
      <c r="AA23" s="94">
        <f>攻击!AL23</f>
        <v>0</v>
      </c>
      <c r="AB23" s="93">
        <f>攻击!AM23</f>
        <v>0</v>
      </c>
      <c r="AC23" s="93">
        <f>攻击!AN23</f>
        <v>0</v>
      </c>
      <c r="AD23" s="93">
        <f>攻击!AO23</f>
        <v>0</v>
      </c>
      <c r="AE23" s="93">
        <f>攻击!AP23</f>
        <v>0</v>
      </c>
      <c r="AF23" s="93">
        <f>攻击!AQ23</f>
        <v>0</v>
      </c>
      <c r="AG23" s="94">
        <f>攻击!AR23</f>
        <v>10</v>
      </c>
      <c r="AH23" s="94">
        <f t="shared" si="0"/>
        <v>135</v>
      </c>
    </row>
    <row r="24" spans="1:34">
      <c r="A24" s="46">
        <v>22</v>
      </c>
      <c r="B24" s="94">
        <f>攻击!D24</f>
        <v>52</v>
      </c>
      <c r="C24" s="94">
        <f>攻击!E24</f>
        <v>62.4</v>
      </c>
      <c r="D24" s="94">
        <f>攻击!F24</f>
        <v>78</v>
      </c>
      <c r="E24" s="94">
        <f>攻击!G24</f>
        <v>104</v>
      </c>
      <c r="F24" s="94">
        <f>攻击!H24</f>
        <v>130</v>
      </c>
      <c r="G24" s="94">
        <f>攻击!I24</f>
        <v>24</v>
      </c>
      <c r="H24" s="94">
        <f>攻击!J24</f>
        <v>15.6</v>
      </c>
      <c r="I24" s="94">
        <f>攻击!K24</f>
        <v>31.2</v>
      </c>
      <c r="J24" s="94">
        <f>攻击!L24</f>
        <v>0</v>
      </c>
      <c r="K24" s="94">
        <f>攻击!M24</f>
        <v>0</v>
      </c>
      <c r="L24" s="94">
        <f>攻击!N24</f>
        <v>62.4</v>
      </c>
      <c r="M24" s="94">
        <f>攻击!O24</f>
        <v>78</v>
      </c>
      <c r="N24" s="94">
        <f>攻击!P24</f>
        <v>104</v>
      </c>
      <c r="O24" s="94">
        <f>攻击!Q24</f>
        <v>130</v>
      </c>
      <c r="P24" s="94">
        <f>攻击!R24</f>
        <v>156</v>
      </c>
      <c r="Q24" s="94">
        <f>攻击!S24</f>
        <v>182</v>
      </c>
      <c r="R24" s="94">
        <f>攻击!T24</f>
        <v>0</v>
      </c>
      <c r="S24" s="94">
        <f>攻击!U24</f>
        <v>15.6</v>
      </c>
      <c r="T24" s="94">
        <f>攻击!V24</f>
        <v>0</v>
      </c>
      <c r="U24" s="94">
        <f>攻击!W24</f>
        <v>2.6</v>
      </c>
      <c r="V24" s="93">
        <f>攻击!X24</f>
        <v>0</v>
      </c>
      <c r="W24" s="93">
        <f>攻击!Y24</f>
        <v>0</v>
      </c>
      <c r="X24" s="93">
        <f>攻击!Z24</f>
        <v>0</v>
      </c>
      <c r="Y24" s="93">
        <f>攻击!AA24</f>
        <v>0</v>
      </c>
      <c r="Z24" s="93">
        <f>攻击!AB24</f>
        <v>0</v>
      </c>
      <c r="AA24" s="94">
        <f>攻击!AL24</f>
        <v>0</v>
      </c>
      <c r="AB24" s="93">
        <f>攻击!AM24</f>
        <v>0</v>
      </c>
      <c r="AC24" s="93">
        <f>攻击!AN24</f>
        <v>0</v>
      </c>
      <c r="AD24" s="93">
        <f>攻击!AO24</f>
        <v>0</v>
      </c>
      <c r="AE24" s="93">
        <f>攻击!AP24</f>
        <v>0</v>
      </c>
      <c r="AF24" s="93">
        <f>攻击!AQ24</f>
        <v>0</v>
      </c>
      <c r="AG24" s="94">
        <f>攻击!AR24</f>
        <v>10.4</v>
      </c>
      <c r="AH24" s="94">
        <f t="shared" si="0"/>
        <v>140.4</v>
      </c>
    </row>
    <row r="25" spans="1:34">
      <c r="A25" s="46">
        <v>23</v>
      </c>
      <c r="B25" s="94">
        <f>攻击!D25</f>
        <v>54</v>
      </c>
      <c r="C25" s="94">
        <f>攻击!E25</f>
        <v>64.8</v>
      </c>
      <c r="D25" s="94">
        <f>攻击!F25</f>
        <v>81</v>
      </c>
      <c r="E25" s="94">
        <f>攻击!G25</f>
        <v>108</v>
      </c>
      <c r="F25" s="94">
        <f>攻击!H25</f>
        <v>135</v>
      </c>
      <c r="G25" s="94">
        <f>攻击!I25</f>
        <v>24</v>
      </c>
      <c r="H25" s="94">
        <f>攻击!J25</f>
        <v>16.2</v>
      </c>
      <c r="I25" s="94">
        <f>攻击!K25</f>
        <v>32.4</v>
      </c>
      <c r="J25" s="94">
        <f>攻击!L25</f>
        <v>0</v>
      </c>
      <c r="K25" s="94">
        <f>攻击!M25</f>
        <v>0</v>
      </c>
      <c r="L25" s="94">
        <f>攻击!N25</f>
        <v>64.8</v>
      </c>
      <c r="M25" s="94">
        <f>攻击!O25</f>
        <v>81</v>
      </c>
      <c r="N25" s="94">
        <f>攻击!P25</f>
        <v>108</v>
      </c>
      <c r="O25" s="94">
        <f>攻击!Q25</f>
        <v>135</v>
      </c>
      <c r="P25" s="94">
        <f>攻击!R25</f>
        <v>162</v>
      </c>
      <c r="Q25" s="94">
        <f>攻击!S25</f>
        <v>189</v>
      </c>
      <c r="R25" s="94">
        <f>攻击!T25</f>
        <v>0</v>
      </c>
      <c r="S25" s="94">
        <f>攻击!U25</f>
        <v>16.2</v>
      </c>
      <c r="T25" s="94">
        <f>攻击!V25</f>
        <v>0</v>
      </c>
      <c r="U25" s="94">
        <f>攻击!W25</f>
        <v>2.7</v>
      </c>
      <c r="V25" s="93">
        <f>攻击!X25</f>
        <v>0</v>
      </c>
      <c r="W25" s="93">
        <f>攻击!Y25</f>
        <v>0</v>
      </c>
      <c r="X25" s="93">
        <f>攻击!Z25</f>
        <v>0</v>
      </c>
      <c r="Y25" s="93">
        <f>攻击!AA25</f>
        <v>0</v>
      </c>
      <c r="Z25" s="93">
        <f>攻击!AB25</f>
        <v>0</v>
      </c>
      <c r="AA25" s="94">
        <f>攻击!AL25</f>
        <v>0</v>
      </c>
      <c r="AB25" s="93">
        <f>攻击!AM25</f>
        <v>0</v>
      </c>
      <c r="AC25" s="93">
        <f>攻击!AN25</f>
        <v>0</v>
      </c>
      <c r="AD25" s="93">
        <f>攻击!AO25</f>
        <v>0</v>
      </c>
      <c r="AE25" s="93">
        <f>攻击!AP25</f>
        <v>0</v>
      </c>
      <c r="AF25" s="93">
        <f>攻击!AQ25</f>
        <v>0</v>
      </c>
      <c r="AG25" s="94">
        <f>攻击!AR25</f>
        <v>10.8</v>
      </c>
      <c r="AH25" s="94">
        <f t="shared" si="0"/>
        <v>145.80000000000001</v>
      </c>
    </row>
    <row r="26" spans="1:34">
      <c r="A26" s="46">
        <v>24</v>
      </c>
      <c r="B26" s="94">
        <f>攻击!D26</f>
        <v>56</v>
      </c>
      <c r="C26" s="94">
        <f>攻击!E26</f>
        <v>67.2</v>
      </c>
      <c r="D26" s="94">
        <f>攻击!F26</f>
        <v>84</v>
      </c>
      <c r="E26" s="94">
        <f>攻击!G26</f>
        <v>112</v>
      </c>
      <c r="F26" s="94">
        <f>攻击!H26</f>
        <v>140</v>
      </c>
      <c r="G26" s="94">
        <f>攻击!I26</f>
        <v>24</v>
      </c>
      <c r="H26" s="94">
        <f>攻击!J26</f>
        <v>16.8</v>
      </c>
      <c r="I26" s="94">
        <f>攻击!K26</f>
        <v>33.6</v>
      </c>
      <c r="J26" s="94">
        <f>攻击!L26</f>
        <v>0</v>
      </c>
      <c r="K26" s="94">
        <f>攻击!M26</f>
        <v>0</v>
      </c>
      <c r="L26" s="94">
        <f>攻击!N26</f>
        <v>67.2</v>
      </c>
      <c r="M26" s="94">
        <f>攻击!O26</f>
        <v>84</v>
      </c>
      <c r="N26" s="94">
        <f>攻击!P26</f>
        <v>112</v>
      </c>
      <c r="O26" s="94">
        <f>攻击!Q26</f>
        <v>140</v>
      </c>
      <c r="P26" s="94">
        <f>攻击!R26</f>
        <v>168</v>
      </c>
      <c r="Q26" s="94">
        <f>攻击!S26</f>
        <v>196</v>
      </c>
      <c r="R26" s="94">
        <f>攻击!T26</f>
        <v>0</v>
      </c>
      <c r="S26" s="94">
        <f>攻击!U26</f>
        <v>16.8</v>
      </c>
      <c r="T26" s="94">
        <f>攻击!V26</f>
        <v>0</v>
      </c>
      <c r="U26" s="94">
        <f>攻击!W26</f>
        <v>2.8000000000000003</v>
      </c>
      <c r="V26" s="93">
        <f>攻击!X26</f>
        <v>0</v>
      </c>
      <c r="W26" s="93">
        <f>攻击!Y26</f>
        <v>0</v>
      </c>
      <c r="X26" s="93">
        <f>攻击!Z26</f>
        <v>0</v>
      </c>
      <c r="Y26" s="93">
        <f>攻击!AA26</f>
        <v>0</v>
      </c>
      <c r="Z26" s="93">
        <f>攻击!AB26</f>
        <v>0</v>
      </c>
      <c r="AA26" s="94">
        <f>攻击!AL26</f>
        <v>0</v>
      </c>
      <c r="AB26" s="93">
        <f>攻击!AM26</f>
        <v>0</v>
      </c>
      <c r="AC26" s="93">
        <f>攻击!AN26</f>
        <v>0</v>
      </c>
      <c r="AD26" s="93">
        <f>攻击!AO26</f>
        <v>0</v>
      </c>
      <c r="AE26" s="93">
        <f>攻击!AP26</f>
        <v>0</v>
      </c>
      <c r="AF26" s="93">
        <f>攻击!AQ26</f>
        <v>0</v>
      </c>
      <c r="AG26" s="94">
        <f>攻击!AR26</f>
        <v>11.200000000000001</v>
      </c>
      <c r="AH26" s="94">
        <f t="shared" si="0"/>
        <v>151.19999999999999</v>
      </c>
    </row>
    <row r="27" spans="1:34">
      <c r="A27" s="46">
        <v>25</v>
      </c>
      <c r="B27" s="94">
        <f>攻击!D27</f>
        <v>58</v>
      </c>
      <c r="C27" s="94">
        <f>攻击!E27</f>
        <v>69.599999999999994</v>
      </c>
      <c r="D27" s="94">
        <f>攻击!F27</f>
        <v>87</v>
      </c>
      <c r="E27" s="94">
        <f>攻击!G27</f>
        <v>116</v>
      </c>
      <c r="F27" s="94">
        <f>攻击!H27</f>
        <v>145</v>
      </c>
      <c r="G27" s="94">
        <f>攻击!I27</f>
        <v>29</v>
      </c>
      <c r="H27" s="94">
        <f>攻击!J27</f>
        <v>17.399999999999999</v>
      </c>
      <c r="I27" s="94">
        <f>攻击!K27</f>
        <v>34.799999999999997</v>
      </c>
      <c r="J27" s="94">
        <f>攻击!L27</f>
        <v>0</v>
      </c>
      <c r="K27" s="94">
        <f>攻击!M27</f>
        <v>0</v>
      </c>
      <c r="L27" s="94">
        <f>攻击!N27</f>
        <v>69.599999999999994</v>
      </c>
      <c r="M27" s="94">
        <f>攻击!O27</f>
        <v>87</v>
      </c>
      <c r="N27" s="94">
        <f>攻击!P27</f>
        <v>116</v>
      </c>
      <c r="O27" s="94">
        <f>攻击!Q27</f>
        <v>145</v>
      </c>
      <c r="P27" s="94">
        <f>攻击!R27</f>
        <v>174</v>
      </c>
      <c r="Q27" s="94">
        <f>攻击!S27</f>
        <v>203</v>
      </c>
      <c r="R27" s="94">
        <f>攻击!T27</f>
        <v>0</v>
      </c>
      <c r="S27" s="94">
        <f>攻击!U27</f>
        <v>17.399999999999999</v>
      </c>
      <c r="T27" s="94">
        <f>攻击!V27</f>
        <v>0</v>
      </c>
      <c r="U27" s="94">
        <f>攻击!W27</f>
        <v>2.9000000000000004</v>
      </c>
      <c r="V27" s="93">
        <f>攻击!X27</f>
        <v>0</v>
      </c>
      <c r="W27" s="93">
        <f>攻击!Y27</f>
        <v>0</v>
      </c>
      <c r="X27" s="93">
        <f>攻击!Z27</f>
        <v>0</v>
      </c>
      <c r="Y27" s="93">
        <f>攻击!AA27</f>
        <v>0</v>
      </c>
      <c r="Z27" s="93">
        <f>攻击!AB27</f>
        <v>0</v>
      </c>
      <c r="AA27" s="94">
        <f>攻击!AL27</f>
        <v>0</v>
      </c>
      <c r="AB27" s="93">
        <f>攻击!AM27</f>
        <v>0</v>
      </c>
      <c r="AC27" s="93">
        <f>攻击!AN27</f>
        <v>0</v>
      </c>
      <c r="AD27" s="93">
        <f>攻击!AO27</f>
        <v>0</v>
      </c>
      <c r="AE27" s="93">
        <f>攻击!AP27</f>
        <v>0</v>
      </c>
      <c r="AF27" s="93">
        <f>攻击!AQ27</f>
        <v>0</v>
      </c>
      <c r="AG27" s="94">
        <f>攻击!AR27</f>
        <v>11.600000000000001</v>
      </c>
      <c r="AH27" s="94">
        <f t="shared" si="0"/>
        <v>156.6</v>
      </c>
    </row>
    <row r="28" spans="1:34">
      <c r="A28" s="46">
        <v>26</v>
      </c>
      <c r="B28" s="94">
        <f>攻击!D28</f>
        <v>60</v>
      </c>
      <c r="C28" s="94">
        <f>攻击!E28</f>
        <v>72</v>
      </c>
      <c r="D28" s="94">
        <f>攻击!F28</f>
        <v>90</v>
      </c>
      <c r="E28" s="94">
        <f>攻击!G28</f>
        <v>120</v>
      </c>
      <c r="F28" s="94">
        <f>攻击!H28</f>
        <v>150</v>
      </c>
      <c r="G28" s="94">
        <f>攻击!I28</f>
        <v>29</v>
      </c>
      <c r="H28" s="94">
        <f>攻击!J28</f>
        <v>18</v>
      </c>
      <c r="I28" s="94">
        <f>攻击!K28</f>
        <v>36</v>
      </c>
      <c r="J28" s="94">
        <f>攻击!L28</f>
        <v>0</v>
      </c>
      <c r="K28" s="94">
        <f>攻击!M28</f>
        <v>0</v>
      </c>
      <c r="L28" s="94">
        <f>攻击!N28</f>
        <v>72</v>
      </c>
      <c r="M28" s="94">
        <f>攻击!O28</f>
        <v>90</v>
      </c>
      <c r="N28" s="94">
        <f>攻击!P28</f>
        <v>120</v>
      </c>
      <c r="O28" s="94">
        <f>攻击!Q28</f>
        <v>150</v>
      </c>
      <c r="P28" s="94">
        <f>攻击!R28</f>
        <v>180</v>
      </c>
      <c r="Q28" s="94">
        <f>攻击!S28</f>
        <v>210</v>
      </c>
      <c r="R28" s="94">
        <f>攻击!T28</f>
        <v>0</v>
      </c>
      <c r="S28" s="94">
        <f>攻击!U28</f>
        <v>18</v>
      </c>
      <c r="T28" s="94">
        <f>攻击!V28</f>
        <v>0</v>
      </c>
      <c r="U28" s="94">
        <f>攻击!W28</f>
        <v>3</v>
      </c>
      <c r="V28" s="93">
        <f>攻击!X28</f>
        <v>0</v>
      </c>
      <c r="W28" s="93">
        <f>攻击!Y28</f>
        <v>0</v>
      </c>
      <c r="X28" s="93">
        <f>攻击!Z28</f>
        <v>0</v>
      </c>
      <c r="Y28" s="93">
        <f>攻击!AA28</f>
        <v>0</v>
      </c>
      <c r="Z28" s="93">
        <f>攻击!AB28</f>
        <v>0</v>
      </c>
      <c r="AA28" s="94">
        <f>攻击!AL28</f>
        <v>0</v>
      </c>
      <c r="AB28" s="93">
        <f>攻击!AM28</f>
        <v>0</v>
      </c>
      <c r="AC28" s="93">
        <f>攻击!AN28</f>
        <v>0</v>
      </c>
      <c r="AD28" s="93">
        <f>攻击!AO28</f>
        <v>0</v>
      </c>
      <c r="AE28" s="93">
        <f>攻击!AP28</f>
        <v>0</v>
      </c>
      <c r="AF28" s="93">
        <f>攻击!AQ28</f>
        <v>0</v>
      </c>
      <c r="AG28" s="94">
        <f>攻击!AR28</f>
        <v>12</v>
      </c>
      <c r="AH28" s="94">
        <f t="shared" si="0"/>
        <v>162</v>
      </c>
    </row>
    <row r="29" spans="1:34">
      <c r="A29" s="46">
        <v>27</v>
      </c>
      <c r="B29" s="94">
        <f>攻击!D29</f>
        <v>62</v>
      </c>
      <c r="C29" s="94">
        <f>攻击!E29</f>
        <v>74.399999999999991</v>
      </c>
      <c r="D29" s="94">
        <f>攻击!F29</f>
        <v>93</v>
      </c>
      <c r="E29" s="94">
        <f>攻击!G29</f>
        <v>124</v>
      </c>
      <c r="F29" s="94">
        <f>攻击!H29</f>
        <v>155</v>
      </c>
      <c r="G29" s="94">
        <f>攻击!I29</f>
        <v>29</v>
      </c>
      <c r="H29" s="94">
        <f>攻击!J29</f>
        <v>18.599999999999998</v>
      </c>
      <c r="I29" s="94">
        <f>攻击!K29</f>
        <v>37.199999999999996</v>
      </c>
      <c r="J29" s="94">
        <f>攻击!L29</f>
        <v>0</v>
      </c>
      <c r="K29" s="94">
        <f>攻击!M29</f>
        <v>0</v>
      </c>
      <c r="L29" s="94">
        <f>攻击!N29</f>
        <v>74.399999999999991</v>
      </c>
      <c r="M29" s="94">
        <f>攻击!O29</f>
        <v>93</v>
      </c>
      <c r="N29" s="94">
        <f>攻击!P29</f>
        <v>124</v>
      </c>
      <c r="O29" s="94">
        <f>攻击!Q29</f>
        <v>155</v>
      </c>
      <c r="P29" s="94">
        <f>攻击!R29</f>
        <v>186</v>
      </c>
      <c r="Q29" s="94">
        <f>攻击!S29</f>
        <v>217</v>
      </c>
      <c r="R29" s="94">
        <f>攻击!T29</f>
        <v>0</v>
      </c>
      <c r="S29" s="94">
        <f>攻击!U29</f>
        <v>18.599999999999998</v>
      </c>
      <c r="T29" s="94">
        <f>攻击!V29</f>
        <v>0</v>
      </c>
      <c r="U29" s="94">
        <f>攻击!W29</f>
        <v>3.1</v>
      </c>
      <c r="V29" s="93">
        <f>攻击!X29</f>
        <v>0</v>
      </c>
      <c r="W29" s="93">
        <f>攻击!Y29</f>
        <v>0</v>
      </c>
      <c r="X29" s="93">
        <f>攻击!Z29</f>
        <v>0</v>
      </c>
      <c r="Y29" s="93">
        <f>攻击!AA29</f>
        <v>0</v>
      </c>
      <c r="Z29" s="93">
        <f>攻击!AB29</f>
        <v>0</v>
      </c>
      <c r="AA29" s="94">
        <f>攻击!AL29</f>
        <v>0</v>
      </c>
      <c r="AB29" s="93">
        <f>攻击!AM29</f>
        <v>0</v>
      </c>
      <c r="AC29" s="93">
        <f>攻击!AN29</f>
        <v>0</v>
      </c>
      <c r="AD29" s="93">
        <f>攻击!AO29</f>
        <v>0</v>
      </c>
      <c r="AE29" s="93">
        <f>攻击!AP29</f>
        <v>0</v>
      </c>
      <c r="AF29" s="93">
        <f>攻击!AQ29</f>
        <v>0</v>
      </c>
      <c r="AG29" s="94">
        <f>攻击!AR29</f>
        <v>12.4</v>
      </c>
      <c r="AH29" s="94">
        <f t="shared" si="0"/>
        <v>167.4</v>
      </c>
    </row>
    <row r="30" spans="1:34">
      <c r="A30" s="46">
        <v>28</v>
      </c>
      <c r="B30" s="94">
        <f>攻击!D30</f>
        <v>64</v>
      </c>
      <c r="C30" s="94">
        <f>攻击!E30</f>
        <v>76.8</v>
      </c>
      <c r="D30" s="94">
        <f>攻击!F30</f>
        <v>96</v>
      </c>
      <c r="E30" s="94">
        <f>攻击!G30</f>
        <v>128</v>
      </c>
      <c r="F30" s="94">
        <f>攻击!H30</f>
        <v>160</v>
      </c>
      <c r="G30" s="94">
        <f>攻击!I30</f>
        <v>29</v>
      </c>
      <c r="H30" s="94">
        <f>攻击!J30</f>
        <v>19.2</v>
      </c>
      <c r="I30" s="94">
        <f>攻击!K30</f>
        <v>38.4</v>
      </c>
      <c r="J30" s="94">
        <f>攻击!L30</f>
        <v>0</v>
      </c>
      <c r="K30" s="94">
        <f>攻击!M30</f>
        <v>0</v>
      </c>
      <c r="L30" s="94">
        <f>攻击!N30</f>
        <v>76.8</v>
      </c>
      <c r="M30" s="94">
        <f>攻击!O30</f>
        <v>96</v>
      </c>
      <c r="N30" s="94">
        <f>攻击!P30</f>
        <v>128</v>
      </c>
      <c r="O30" s="94">
        <f>攻击!Q30</f>
        <v>160</v>
      </c>
      <c r="P30" s="94">
        <f>攻击!R30</f>
        <v>192</v>
      </c>
      <c r="Q30" s="94">
        <f>攻击!S30</f>
        <v>224</v>
      </c>
      <c r="R30" s="94">
        <f>攻击!T30</f>
        <v>0</v>
      </c>
      <c r="S30" s="94">
        <f>攻击!U30</f>
        <v>19.2</v>
      </c>
      <c r="T30" s="94">
        <f>攻击!V30</f>
        <v>0</v>
      </c>
      <c r="U30" s="94">
        <f>攻击!W30</f>
        <v>3.2</v>
      </c>
      <c r="V30" s="93">
        <f>攻击!X30</f>
        <v>0</v>
      </c>
      <c r="W30" s="93">
        <f>攻击!Y30</f>
        <v>0</v>
      </c>
      <c r="X30" s="93">
        <f>攻击!Z30</f>
        <v>0</v>
      </c>
      <c r="Y30" s="93">
        <f>攻击!AA30</f>
        <v>0</v>
      </c>
      <c r="Z30" s="93">
        <f>攻击!AB30</f>
        <v>0</v>
      </c>
      <c r="AA30" s="94">
        <f>攻击!AL30</f>
        <v>0</v>
      </c>
      <c r="AB30" s="93">
        <f>攻击!AM30</f>
        <v>0</v>
      </c>
      <c r="AC30" s="93">
        <f>攻击!AN30</f>
        <v>0</v>
      </c>
      <c r="AD30" s="93">
        <f>攻击!AO30</f>
        <v>0</v>
      </c>
      <c r="AE30" s="93">
        <f>攻击!AP30</f>
        <v>0</v>
      </c>
      <c r="AF30" s="93">
        <f>攻击!AQ30</f>
        <v>0</v>
      </c>
      <c r="AG30" s="94">
        <f>攻击!AR30</f>
        <v>12.8</v>
      </c>
      <c r="AH30" s="94">
        <f t="shared" si="0"/>
        <v>172.8</v>
      </c>
    </row>
    <row r="31" spans="1:34">
      <c r="A31" s="46">
        <v>29</v>
      </c>
      <c r="B31" s="94">
        <f>攻击!D31</f>
        <v>66</v>
      </c>
      <c r="C31" s="94">
        <f>攻击!E31</f>
        <v>79.2</v>
      </c>
      <c r="D31" s="94">
        <f>攻击!F31</f>
        <v>99</v>
      </c>
      <c r="E31" s="94">
        <f>攻击!G31</f>
        <v>132</v>
      </c>
      <c r="F31" s="94">
        <f>攻击!H31</f>
        <v>165</v>
      </c>
      <c r="G31" s="94">
        <f>攻击!I31</f>
        <v>29</v>
      </c>
      <c r="H31" s="94">
        <f>攻击!J31</f>
        <v>19.8</v>
      </c>
      <c r="I31" s="94">
        <f>攻击!K31</f>
        <v>39.6</v>
      </c>
      <c r="J31" s="94">
        <f>攻击!L31</f>
        <v>0</v>
      </c>
      <c r="K31" s="94">
        <f>攻击!M31</f>
        <v>0</v>
      </c>
      <c r="L31" s="94">
        <f>攻击!N31</f>
        <v>79.2</v>
      </c>
      <c r="M31" s="94">
        <f>攻击!O31</f>
        <v>99</v>
      </c>
      <c r="N31" s="94">
        <f>攻击!P31</f>
        <v>132</v>
      </c>
      <c r="O31" s="94">
        <f>攻击!Q31</f>
        <v>165</v>
      </c>
      <c r="P31" s="94">
        <f>攻击!R31</f>
        <v>198</v>
      </c>
      <c r="Q31" s="94">
        <f>攻击!S31</f>
        <v>231</v>
      </c>
      <c r="R31" s="94">
        <f>攻击!T31</f>
        <v>0</v>
      </c>
      <c r="S31" s="94">
        <f>攻击!U31</f>
        <v>19.8</v>
      </c>
      <c r="T31" s="94">
        <f>攻击!V31</f>
        <v>0</v>
      </c>
      <c r="U31" s="94">
        <f>攻击!W31</f>
        <v>3.3000000000000003</v>
      </c>
      <c r="V31" s="93">
        <f>攻击!X31</f>
        <v>0</v>
      </c>
      <c r="W31" s="93">
        <f>攻击!Y31</f>
        <v>0</v>
      </c>
      <c r="X31" s="93">
        <f>攻击!Z31</f>
        <v>0</v>
      </c>
      <c r="Y31" s="93">
        <f>攻击!AA31</f>
        <v>0</v>
      </c>
      <c r="Z31" s="93">
        <f>攻击!AB31</f>
        <v>0</v>
      </c>
      <c r="AA31" s="94">
        <f>攻击!AL31</f>
        <v>0</v>
      </c>
      <c r="AB31" s="93">
        <f>攻击!AM31</f>
        <v>0</v>
      </c>
      <c r="AC31" s="93">
        <f>攻击!AN31</f>
        <v>0</v>
      </c>
      <c r="AD31" s="93">
        <f>攻击!AO31</f>
        <v>0</v>
      </c>
      <c r="AE31" s="93">
        <f>攻击!AP31</f>
        <v>0</v>
      </c>
      <c r="AF31" s="93">
        <f>攻击!AQ31</f>
        <v>0</v>
      </c>
      <c r="AG31" s="94">
        <f>攻击!AR31</f>
        <v>13.200000000000001</v>
      </c>
      <c r="AH31" s="94">
        <f t="shared" si="0"/>
        <v>178.2</v>
      </c>
    </row>
    <row r="32" spans="1:34">
      <c r="A32" s="46">
        <v>30</v>
      </c>
      <c r="B32" s="94">
        <f>攻击!D32</f>
        <v>68</v>
      </c>
      <c r="C32" s="94">
        <f>攻击!E32</f>
        <v>81.599999999999994</v>
      </c>
      <c r="D32" s="94">
        <f>攻击!F32</f>
        <v>102</v>
      </c>
      <c r="E32" s="94">
        <f>攻击!G32</f>
        <v>136</v>
      </c>
      <c r="F32" s="94">
        <f>攻击!H32</f>
        <v>170</v>
      </c>
      <c r="G32" s="94">
        <f>攻击!I32</f>
        <v>34</v>
      </c>
      <c r="H32" s="94">
        <f>攻击!J32</f>
        <v>20.399999999999999</v>
      </c>
      <c r="I32" s="94">
        <f>攻击!K32</f>
        <v>40.799999999999997</v>
      </c>
      <c r="J32" s="94">
        <f>攻击!L32</f>
        <v>0</v>
      </c>
      <c r="K32" s="94">
        <f>攻击!M32</f>
        <v>0</v>
      </c>
      <c r="L32" s="94">
        <f>攻击!N32</f>
        <v>81.599999999999994</v>
      </c>
      <c r="M32" s="94">
        <f>攻击!O32</f>
        <v>102</v>
      </c>
      <c r="N32" s="94">
        <f>攻击!P32</f>
        <v>136</v>
      </c>
      <c r="O32" s="94">
        <f>攻击!Q32</f>
        <v>170</v>
      </c>
      <c r="P32" s="94">
        <f>攻击!R32</f>
        <v>204</v>
      </c>
      <c r="Q32" s="94">
        <f>攻击!S32</f>
        <v>238</v>
      </c>
      <c r="R32" s="94">
        <f>攻击!T32</f>
        <v>51</v>
      </c>
      <c r="S32" s="94">
        <f>攻击!U32</f>
        <v>20.399999999999999</v>
      </c>
      <c r="T32" s="94">
        <f>攻击!V32</f>
        <v>20.399999999999999</v>
      </c>
      <c r="U32" s="94">
        <f>攻击!W32</f>
        <v>3.4000000000000004</v>
      </c>
      <c r="V32" s="93">
        <f>攻击!X32</f>
        <v>0</v>
      </c>
      <c r="W32" s="93">
        <f>攻击!Y32</f>
        <v>0</v>
      </c>
      <c r="X32" s="93">
        <f>攻击!Z32</f>
        <v>0</v>
      </c>
      <c r="Y32" s="93">
        <f>攻击!AA32</f>
        <v>0</v>
      </c>
      <c r="Z32" s="93">
        <f>攻击!AB32</f>
        <v>0</v>
      </c>
      <c r="AA32" s="94">
        <f>攻击!AL32</f>
        <v>0</v>
      </c>
      <c r="AB32" s="93">
        <f>攻击!AM32</f>
        <v>0</v>
      </c>
      <c r="AC32" s="93">
        <f>攻击!AN32</f>
        <v>0</v>
      </c>
      <c r="AD32" s="93">
        <f>攻击!AO32</f>
        <v>0</v>
      </c>
      <c r="AE32" s="93">
        <f>攻击!AP32</f>
        <v>0</v>
      </c>
      <c r="AF32" s="93">
        <f>攻击!AQ32</f>
        <v>0</v>
      </c>
      <c r="AG32" s="94">
        <f>攻击!AR32</f>
        <v>13.600000000000001</v>
      </c>
      <c r="AH32" s="94">
        <f t="shared" si="0"/>
        <v>183.6</v>
      </c>
    </row>
    <row r="33" spans="1:34">
      <c r="A33" s="46">
        <v>31</v>
      </c>
      <c r="B33" s="94">
        <f>攻击!D33</f>
        <v>70</v>
      </c>
      <c r="C33" s="94">
        <f>攻击!E33</f>
        <v>84</v>
      </c>
      <c r="D33" s="94">
        <f>攻击!F33</f>
        <v>105</v>
      </c>
      <c r="E33" s="94">
        <f>攻击!G33</f>
        <v>140</v>
      </c>
      <c r="F33" s="94">
        <f>攻击!H33</f>
        <v>175</v>
      </c>
      <c r="G33" s="94">
        <f>攻击!I33</f>
        <v>34</v>
      </c>
      <c r="H33" s="94">
        <f>攻击!J33</f>
        <v>21</v>
      </c>
      <c r="I33" s="94">
        <f>攻击!K33</f>
        <v>42</v>
      </c>
      <c r="J33" s="94">
        <f>攻击!L33</f>
        <v>0</v>
      </c>
      <c r="K33" s="94">
        <f>攻击!M33</f>
        <v>0</v>
      </c>
      <c r="L33" s="94">
        <f>攻击!N33</f>
        <v>84</v>
      </c>
      <c r="M33" s="94">
        <f>攻击!O33</f>
        <v>105</v>
      </c>
      <c r="N33" s="94">
        <f>攻击!P33</f>
        <v>140</v>
      </c>
      <c r="O33" s="94">
        <f>攻击!Q33</f>
        <v>175</v>
      </c>
      <c r="P33" s="94">
        <f>攻击!R33</f>
        <v>210</v>
      </c>
      <c r="Q33" s="94">
        <f>攻击!S33</f>
        <v>245</v>
      </c>
      <c r="R33" s="94">
        <f>攻击!T33</f>
        <v>52.5</v>
      </c>
      <c r="S33" s="94">
        <f>攻击!U33</f>
        <v>21</v>
      </c>
      <c r="T33" s="94">
        <f>攻击!V33</f>
        <v>21</v>
      </c>
      <c r="U33" s="94">
        <f>攻击!W33</f>
        <v>3.5</v>
      </c>
      <c r="V33" s="93">
        <f>攻击!X33</f>
        <v>0</v>
      </c>
      <c r="W33" s="93">
        <f>攻击!Y33</f>
        <v>0</v>
      </c>
      <c r="X33" s="93">
        <f>攻击!Z33</f>
        <v>0</v>
      </c>
      <c r="Y33" s="93">
        <f>攻击!AA33</f>
        <v>0</v>
      </c>
      <c r="Z33" s="93">
        <f>攻击!AB33</f>
        <v>0</v>
      </c>
      <c r="AA33" s="94">
        <f>攻击!AL33</f>
        <v>0</v>
      </c>
      <c r="AB33" s="93">
        <f>攻击!AM33</f>
        <v>0</v>
      </c>
      <c r="AC33" s="93">
        <f>攻击!AN33</f>
        <v>0</v>
      </c>
      <c r="AD33" s="93">
        <f>攻击!AO33</f>
        <v>0</v>
      </c>
      <c r="AE33" s="93">
        <f>攻击!AP33</f>
        <v>0</v>
      </c>
      <c r="AF33" s="93">
        <f>攻击!AQ33</f>
        <v>0</v>
      </c>
      <c r="AG33" s="94">
        <f>攻击!AR33</f>
        <v>14</v>
      </c>
      <c r="AH33" s="94">
        <f t="shared" si="0"/>
        <v>189</v>
      </c>
    </row>
    <row r="34" spans="1:34">
      <c r="A34" s="46">
        <v>32</v>
      </c>
      <c r="B34" s="94">
        <f>攻击!D34</f>
        <v>72</v>
      </c>
      <c r="C34" s="94">
        <f>攻击!E34</f>
        <v>86.399999999999991</v>
      </c>
      <c r="D34" s="94">
        <f>攻击!F34</f>
        <v>108</v>
      </c>
      <c r="E34" s="94">
        <f>攻击!G34</f>
        <v>144</v>
      </c>
      <c r="F34" s="94">
        <f>攻击!H34</f>
        <v>180</v>
      </c>
      <c r="G34" s="94">
        <f>攻击!I34</f>
        <v>34</v>
      </c>
      <c r="H34" s="94">
        <f>攻击!J34</f>
        <v>21.599999999999998</v>
      </c>
      <c r="I34" s="94">
        <f>攻击!K34</f>
        <v>43.199999999999996</v>
      </c>
      <c r="J34" s="94">
        <f>攻击!L34</f>
        <v>0</v>
      </c>
      <c r="K34" s="94">
        <f>攻击!M34</f>
        <v>0</v>
      </c>
      <c r="L34" s="94">
        <f>攻击!N34</f>
        <v>86.399999999999991</v>
      </c>
      <c r="M34" s="94">
        <f>攻击!O34</f>
        <v>108</v>
      </c>
      <c r="N34" s="94">
        <f>攻击!P34</f>
        <v>144</v>
      </c>
      <c r="O34" s="94">
        <f>攻击!Q34</f>
        <v>180</v>
      </c>
      <c r="P34" s="94">
        <f>攻击!R34</f>
        <v>216</v>
      </c>
      <c r="Q34" s="94">
        <f>攻击!S34</f>
        <v>252</v>
      </c>
      <c r="R34" s="94">
        <f>攻击!T34</f>
        <v>54</v>
      </c>
      <c r="S34" s="94">
        <f>攻击!U34</f>
        <v>21.599999999999998</v>
      </c>
      <c r="T34" s="94">
        <f>攻击!V34</f>
        <v>21.599999999999998</v>
      </c>
      <c r="U34" s="94">
        <f>攻击!W34</f>
        <v>3.6</v>
      </c>
      <c r="V34" s="93">
        <f>攻击!X34</f>
        <v>0</v>
      </c>
      <c r="W34" s="93">
        <f>攻击!Y34</f>
        <v>0</v>
      </c>
      <c r="X34" s="93">
        <f>攻击!Z34</f>
        <v>0</v>
      </c>
      <c r="Y34" s="93">
        <f>攻击!AA34</f>
        <v>0</v>
      </c>
      <c r="Z34" s="93">
        <f>攻击!AB34</f>
        <v>0</v>
      </c>
      <c r="AA34" s="94">
        <f>攻击!AL34</f>
        <v>0</v>
      </c>
      <c r="AB34" s="93">
        <f>攻击!AM34</f>
        <v>0</v>
      </c>
      <c r="AC34" s="93">
        <f>攻击!AN34</f>
        <v>0</v>
      </c>
      <c r="AD34" s="93">
        <f>攻击!AO34</f>
        <v>0</v>
      </c>
      <c r="AE34" s="93">
        <f>攻击!AP34</f>
        <v>0</v>
      </c>
      <c r="AF34" s="93">
        <f>攻击!AQ34</f>
        <v>0</v>
      </c>
      <c r="AG34" s="94">
        <f>攻击!AR34</f>
        <v>14.4</v>
      </c>
      <c r="AH34" s="94">
        <f t="shared" si="0"/>
        <v>194.4</v>
      </c>
    </row>
    <row r="35" spans="1:34">
      <c r="A35" s="46">
        <v>33</v>
      </c>
      <c r="B35" s="94">
        <f>攻击!D35</f>
        <v>74</v>
      </c>
      <c r="C35" s="94">
        <f>攻击!E35</f>
        <v>88.8</v>
      </c>
      <c r="D35" s="94">
        <f>攻击!F35</f>
        <v>111</v>
      </c>
      <c r="E35" s="94">
        <f>攻击!G35</f>
        <v>148</v>
      </c>
      <c r="F35" s="94">
        <f>攻击!H35</f>
        <v>185</v>
      </c>
      <c r="G35" s="94">
        <f>攻击!I35</f>
        <v>34</v>
      </c>
      <c r="H35" s="94">
        <f>攻击!J35</f>
        <v>22.2</v>
      </c>
      <c r="I35" s="94">
        <f>攻击!K35</f>
        <v>44.4</v>
      </c>
      <c r="J35" s="94">
        <f>攻击!L35</f>
        <v>0</v>
      </c>
      <c r="K35" s="94">
        <f>攻击!M35</f>
        <v>0</v>
      </c>
      <c r="L35" s="94">
        <f>攻击!N35</f>
        <v>88.8</v>
      </c>
      <c r="M35" s="94">
        <f>攻击!O35</f>
        <v>111</v>
      </c>
      <c r="N35" s="94">
        <f>攻击!P35</f>
        <v>148</v>
      </c>
      <c r="O35" s="94">
        <f>攻击!Q35</f>
        <v>185</v>
      </c>
      <c r="P35" s="94">
        <f>攻击!R35</f>
        <v>222</v>
      </c>
      <c r="Q35" s="94">
        <f>攻击!S35</f>
        <v>259</v>
      </c>
      <c r="R35" s="94">
        <f>攻击!T35</f>
        <v>55.5</v>
      </c>
      <c r="S35" s="94">
        <f>攻击!U35</f>
        <v>22.2</v>
      </c>
      <c r="T35" s="94">
        <f>攻击!V35</f>
        <v>22.2</v>
      </c>
      <c r="U35" s="94">
        <f>攻击!W35</f>
        <v>3.7</v>
      </c>
      <c r="V35" s="93">
        <f>攻击!X35</f>
        <v>0</v>
      </c>
      <c r="W35" s="93">
        <f>攻击!Y35</f>
        <v>0</v>
      </c>
      <c r="X35" s="93">
        <f>攻击!Z35</f>
        <v>0</v>
      </c>
      <c r="Y35" s="93">
        <f>攻击!AA35</f>
        <v>0</v>
      </c>
      <c r="Z35" s="93">
        <f>攻击!AB35</f>
        <v>0</v>
      </c>
      <c r="AA35" s="94">
        <f>攻击!AL35</f>
        <v>0</v>
      </c>
      <c r="AB35" s="93">
        <f>攻击!AM35</f>
        <v>0</v>
      </c>
      <c r="AC35" s="93">
        <f>攻击!AN35</f>
        <v>0</v>
      </c>
      <c r="AD35" s="93">
        <f>攻击!AO35</f>
        <v>0</v>
      </c>
      <c r="AE35" s="93">
        <f>攻击!AP35</f>
        <v>0</v>
      </c>
      <c r="AF35" s="93">
        <f>攻击!AQ35</f>
        <v>0</v>
      </c>
      <c r="AG35" s="94">
        <f>攻击!AR35</f>
        <v>14.8</v>
      </c>
      <c r="AH35" s="94">
        <f t="shared" si="0"/>
        <v>199.8</v>
      </c>
    </row>
    <row r="36" spans="1:34">
      <c r="A36" s="46">
        <v>34</v>
      </c>
      <c r="B36" s="94">
        <f>攻击!D36</f>
        <v>76</v>
      </c>
      <c r="C36" s="94">
        <f>攻击!E36</f>
        <v>91.2</v>
      </c>
      <c r="D36" s="94">
        <f>攻击!F36</f>
        <v>114</v>
      </c>
      <c r="E36" s="94">
        <f>攻击!G36</f>
        <v>152</v>
      </c>
      <c r="F36" s="94">
        <f>攻击!H36</f>
        <v>190</v>
      </c>
      <c r="G36" s="94">
        <f>攻击!I36</f>
        <v>34</v>
      </c>
      <c r="H36" s="94">
        <f>攻击!J36</f>
        <v>22.8</v>
      </c>
      <c r="I36" s="94">
        <f>攻击!K36</f>
        <v>45.6</v>
      </c>
      <c r="J36" s="94">
        <f>攻击!L36</f>
        <v>0</v>
      </c>
      <c r="K36" s="94">
        <f>攻击!M36</f>
        <v>0</v>
      </c>
      <c r="L36" s="94">
        <f>攻击!N36</f>
        <v>91.2</v>
      </c>
      <c r="M36" s="94">
        <f>攻击!O36</f>
        <v>114</v>
      </c>
      <c r="N36" s="94">
        <f>攻击!P36</f>
        <v>152</v>
      </c>
      <c r="O36" s="94">
        <f>攻击!Q36</f>
        <v>190</v>
      </c>
      <c r="P36" s="94">
        <f>攻击!R36</f>
        <v>228</v>
      </c>
      <c r="Q36" s="94">
        <f>攻击!S36</f>
        <v>266</v>
      </c>
      <c r="R36" s="94">
        <f>攻击!T36</f>
        <v>57</v>
      </c>
      <c r="S36" s="94">
        <f>攻击!U36</f>
        <v>22.8</v>
      </c>
      <c r="T36" s="94">
        <f>攻击!V36</f>
        <v>22.8</v>
      </c>
      <c r="U36" s="94">
        <f>攻击!W36</f>
        <v>3.8000000000000003</v>
      </c>
      <c r="V36" s="93">
        <f>攻击!X36</f>
        <v>0</v>
      </c>
      <c r="W36" s="93">
        <f>攻击!Y36</f>
        <v>0</v>
      </c>
      <c r="X36" s="93">
        <f>攻击!Z36</f>
        <v>0</v>
      </c>
      <c r="Y36" s="93">
        <f>攻击!AA36</f>
        <v>0</v>
      </c>
      <c r="Z36" s="93">
        <f>攻击!AB36</f>
        <v>0</v>
      </c>
      <c r="AA36" s="94">
        <f>攻击!AL36</f>
        <v>0</v>
      </c>
      <c r="AB36" s="93">
        <f>攻击!AM36</f>
        <v>0</v>
      </c>
      <c r="AC36" s="93">
        <f>攻击!AN36</f>
        <v>0</v>
      </c>
      <c r="AD36" s="93">
        <f>攻击!AO36</f>
        <v>0</v>
      </c>
      <c r="AE36" s="93">
        <f>攻击!AP36</f>
        <v>0</v>
      </c>
      <c r="AF36" s="93">
        <f>攻击!AQ36</f>
        <v>0</v>
      </c>
      <c r="AG36" s="94">
        <f>攻击!AR36</f>
        <v>15.200000000000001</v>
      </c>
      <c r="AH36" s="94">
        <f t="shared" si="0"/>
        <v>205.2</v>
      </c>
    </row>
    <row r="37" spans="1:34">
      <c r="A37" s="46">
        <v>35</v>
      </c>
      <c r="B37" s="94">
        <f>攻击!D37</f>
        <v>78</v>
      </c>
      <c r="C37" s="94">
        <f>攻击!E37</f>
        <v>93.6</v>
      </c>
      <c r="D37" s="94">
        <f>攻击!F37</f>
        <v>117</v>
      </c>
      <c r="E37" s="94">
        <f>攻击!G37</f>
        <v>156</v>
      </c>
      <c r="F37" s="94">
        <f>攻击!H37</f>
        <v>195</v>
      </c>
      <c r="G37" s="94">
        <f>攻击!I37</f>
        <v>39</v>
      </c>
      <c r="H37" s="94">
        <f>攻击!J37</f>
        <v>23.4</v>
      </c>
      <c r="I37" s="94">
        <f>攻击!K37</f>
        <v>46.8</v>
      </c>
      <c r="J37" s="94">
        <f>攻击!L37</f>
        <v>0</v>
      </c>
      <c r="K37" s="94">
        <f>攻击!M37</f>
        <v>0</v>
      </c>
      <c r="L37" s="94">
        <f>攻击!N37</f>
        <v>93.6</v>
      </c>
      <c r="M37" s="94">
        <f>攻击!O37</f>
        <v>117</v>
      </c>
      <c r="N37" s="94">
        <f>攻击!P37</f>
        <v>156</v>
      </c>
      <c r="O37" s="94">
        <f>攻击!Q37</f>
        <v>195</v>
      </c>
      <c r="P37" s="94">
        <f>攻击!R37</f>
        <v>234</v>
      </c>
      <c r="Q37" s="94">
        <f>攻击!S37</f>
        <v>273</v>
      </c>
      <c r="R37" s="94">
        <f>攻击!T37</f>
        <v>58.5</v>
      </c>
      <c r="S37" s="94">
        <f>攻击!U37</f>
        <v>23.4</v>
      </c>
      <c r="T37" s="94">
        <f>攻击!V37</f>
        <v>23.4</v>
      </c>
      <c r="U37" s="94">
        <f>攻击!W37</f>
        <v>3.9000000000000004</v>
      </c>
      <c r="V37" s="93">
        <f>攻击!X37</f>
        <v>0</v>
      </c>
      <c r="W37" s="93">
        <f>攻击!Y37</f>
        <v>0</v>
      </c>
      <c r="X37" s="93">
        <f>攻击!Z37</f>
        <v>0</v>
      </c>
      <c r="Y37" s="93">
        <f>攻击!AA37</f>
        <v>0</v>
      </c>
      <c r="Z37" s="93">
        <f>攻击!AB37</f>
        <v>0</v>
      </c>
      <c r="AA37" s="94">
        <f>攻击!AL37</f>
        <v>0</v>
      </c>
      <c r="AB37" s="93">
        <f>攻击!AM37</f>
        <v>0</v>
      </c>
      <c r="AC37" s="93">
        <f>攻击!AN37</f>
        <v>0</v>
      </c>
      <c r="AD37" s="93">
        <f>攻击!AO37</f>
        <v>0</v>
      </c>
      <c r="AE37" s="93">
        <f>攻击!AP37</f>
        <v>0</v>
      </c>
      <c r="AF37" s="93">
        <f>攻击!AQ37</f>
        <v>0</v>
      </c>
      <c r="AG37" s="94">
        <f>攻击!AR37</f>
        <v>15.600000000000001</v>
      </c>
      <c r="AH37" s="94">
        <f t="shared" si="0"/>
        <v>210.6</v>
      </c>
    </row>
    <row r="38" spans="1:34">
      <c r="A38" s="46">
        <v>36</v>
      </c>
      <c r="B38" s="94">
        <f>攻击!D38</f>
        <v>80</v>
      </c>
      <c r="C38" s="94">
        <f>攻击!E38</f>
        <v>96</v>
      </c>
      <c r="D38" s="94">
        <f>攻击!F38</f>
        <v>120</v>
      </c>
      <c r="E38" s="94">
        <f>攻击!G38</f>
        <v>160</v>
      </c>
      <c r="F38" s="94">
        <f>攻击!H38</f>
        <v>200</v>
      </c>
      <c r="G38" s="94">
        <f>攻击!I38</f>
        <v>39</v>
      </c>
      <c r="H38" s="94">
        <f>攻击!J38</f>
        <v>24</v>
      </c>
      <c r="I38" s="94">
        <f>攻击!K38</f>
        <v>48</v>
      </c>
      <c r="J38" s="94">
        <f>攻击!L38</f>
        <v>0</v>
      </c>
      <c r="K38" s="94">
        <f>攻击!M38</f>
        <v>0</v>
      </c>
      <c r="L38" s="94">
        <f>攻击!N38</f>
        <v>96</v>
      </c>
      <c r="M38" s="94">
        <f>攻击!O38</f>
        <v>120</v>
      </c>
      <c r="N38" s="94">
        <f>攻击!P38</f>
        <v>160</v>
      </c>
      <c r="O38" s="94">
        <f>攻击!Q38</f>
        <v>200</v>
      </c>
      <c r="P38" s="94">
        <f>攻击!R38</f>
        <v>240</v>
      </c>
      <c r="Q38" s="94">
        <f>攻击!S38</f>
        <v>280</v>
      </c>
      <c r="R38" s="94">
        <f>攻击!T38</f>
        <v>60</v>
      </c>
      <c r="S38" s="94">
        <f>攻击!U38</f>
        <v>24</v>
      </c>
      <c r="T38" s="94">
        <f>攻击!V38</f>
        <v>24</v>
      </c>
      <c r="U38" s="94">
        <f>攻击!W38</f>
        <v>4</v>
      </c>
      <c r="V38" s="93">
        <f>攻击!X38</f>
        <v>0</v>
      </c>
      <c r="W38" s="93">
        <f>攻击!Y38</f>
        <v>0</v>
      </c>
      <c r="X38" s="93">
        <f>攻击!Z38</f>
        <v>0</v>
      </c>
      <c r="Y38" s="93">
        <f>攻击!AA38</f>
        <v>0</v>
      </c>
      <c r="Z38" s="93">
        <f>攻击!AB38</f>
        <v>0</v>
      </c>
      <c r="AA38" s="94">
        <f>攻击!AL38</f>
        <v>0</v>
      </c>
      <c r="AB38" s="93">
        <f>攻击!AM38</f>
        <v>0</v>
      </c>
      <c r="AC38" s="93">
        <f>攻击!AN38</f>
        <v>0</v>
      </c>
      <c r="AD38" s="93">
        <f>攻击!AO38</f>
        <v>0</v>
      </c>
      <c r="AE38" s="93">
        <f>攻击!AP38</f>
        <v>0</v>
      </c>
      <c r="AF38" s="93">
        <f>攻击!AQ38</f>
        <v>0</v>
      </c>
      <c r="AG38" s="94">
        <f>攻击!AR38</f>
        <v>16</v>
      </c>
      <c r="AH38" s="94">
        <f t="shared" si="0"/>
        <v>216</v>
      </c>
    </row>
    <row r="39" spans="1:34">
      <c r="A39" s="46">
        <v>37</v>
      </c>
      <c r="B39" s="94">
        <f>攻击!D39</f>
        <v>82</v>
      </c>
      <c r="C39" s="94">
        <f>攻击!E39</f>
        <v>98.399999999999991</v>
      </c>
      <c r="D39" s="94">
        <f>攻击!F39</f>
        <v>123</v>
      </c>
      <c r="E39" s="94">
        <f>攻击!G39</f>
        <v>164</v>
      </c>
      <c r="F39" s="94">
        <f>攻击!H39</f>
        <v>205</v>
      </c>
      <c r="G39" s="94">
        <f>攻击!I39</f>
        <v>39</v>
      </c>
      <c r="H39" s="94">
        <f>攻击!J39</f>
        <v>24.599999999999998</v>
      </c>
      <c r="I39" s="94">
        <f>攻击!K39</f>
        <v>49.199999999999996</v>
      </c>
      <c r="J39" s="94">
        <f>攻击!L39</f>
        <v>0</v>
      </c>
      <c r="K39" s="94">
        <f>攻击!M39</f>
        <v>0</v>
      </c>
      <c r="L39" s="94">
        <f>攻击!N39</f>
        <v>98.399999999999991</v>
      </c>
      <c r="M39" s="94">
        <f>攻击!O39</f>
        <v>123</v>
      </c>
      <c r="N39" s="94">
        <f>攻击!P39</f>
        <v>164</v>
      </c>
      <c r="O39" s="94">
        <f>攻击!Q39</f>
        <v>205</v>
      </c>
      <c r="P39" s="94">
        <f>攻击!R39</f>
        <v>246</v>
      </c>
      <c r="Q39" s="94">
        <f>攻击!S39</f>
        <v>287</v>
      </c>
      <c r="R39" s="94">
        <f>攻击!T39</f>
        <v>61.5</v>
      </c>
      <c r="S39" s="94">
        <f>攻击!U39</f>
        <v>24.599999999999998</v>
      </c>
      <c r="T39" s="94">
        <f>攻击!V39</f>
        <v>24.599999999999998</v>
      </c>
      <c r="U39" s="94">
        <f>攻击!W39</f>
        <v>4.1000000000000005</v>
      </c>
      <c r="V39" s="93">
        <f>攻击!X39</f>
        <v>0</v>
      </c>
      <c r="W39" s="93">
        <f>攻击!Y39</f>
        <v>0</v>
      </c>
      <c r="X39" s="93">
        <f>攻击!Z39</f>
        <v>0</v>
      </c>
      <c r="Y39" s="93">
        <f>攻击!AA39</f>
        <v>0</v>
      </c>
      <c r="Z39" s="93">
        <f>攻击!AB39</f>
        <v>0</v>
      </c>
      <c r="AA39" s="94">
        <f>攻击!AL39</f>
        <v>0</v>
      </c>
      <c r="AB39" s="93">
        <f>攻击!AM39</f>
        <v>0</v>
      </c>
      <c r="AC39" s="93">
        <f>攻击!AN39</f>
        <v>0</v>
      </c>
      <c r="AD39" s="93">
        <f>攻击!AO39</f>
        <v>0</v>
      </c>
      <c r="AE39" s="93">
        <f>攻击!AP39</f>
        <v>0</v>
      </c>
      <c r="AF39" s="93">
        <f>攻击!AQ39</f>
        <v>0</v>
      </c>
      <c r="AG39" s="94">
        <f>攻击!AR39</f>
        <v>16.400000000000002</v>
      </c>
      <c r="AH39" s="94">
        <f t="shared" si="0"/>
        <v>221.4</v>
      </c>
    </row>
    <row r="40" spans="1:34">
      <c r="A40" s="46">
        <v>38</v>
      </c>
      <c r="B40" s="94">
        <f>攻击!D40</f>
        <v>84</v>
      </c>
      <c r="C40" s="94">
        <f>攻击!E40</f>
        <v>100.8</v>
      </c>
      <c r="D40" s="94">
        <f>攻击!F40</f>
        <v>126</v>
      </c>
      <c r="E40" s="94">
        <f>攻击!G40</f>
        <v>168</v>
      </c>
      <c r="F40" s="94">
        <f>攻击!H40</f>
        <v>210</v>
      </c>
      <c r="G40" s="94">
        <f>攻击!I40</f>
        <v>39</v>
      </c>
      <c r="H40" s="94">
        <f>攻击!J40</f>
        <v>25.2</v>
      </c>
      <c r="I40" s="94">
        <f>攻击!K40</f>
        <v>50.4</v>
      </c>
      <c r="J40" s="94">
        <f>攻击!L40</f>
        <v>0</v>
      </c>
      <c r="K40" s="94">
        <f>攻击!M40</f>
        <v>0</v>
      </c>
      <c r="L40" s="94">
        <f>攻击!N40</f>
        <v>100.8</v>
      </c>
      <c r="M40" s="94">
        <f>攻击!O40</f>
        <v>126</v>
      </c>
      <c r="N40" s="94">
        <f>攻击!P40</f>
        <v>168</v>
      </c>
      <c r="O40" s="94">
        <f>攻击!Q40</f>
        <v>210</v>
      </c>
      <c r="P40" s="94">
        <f>攻击!R40</f>
        <v>252</v>
      </c>
      <c r="Q40" s="94">
        <f>攻击!S40</f>
        <v>294</v>
      </c>
      <c r="R40" s="94">
        <f>攻击!T40</f>
        <v>63</v>
      </c>
      <c r="S40" s="94">
        <f>攻击!U40</f>
        <v>25.2</v>
      </c>
      <c r="T40" s="94">
        <f>攻击!V40</f>
        <v>25.2</v>
      </c>
      <c r="U40" s="94">
        <f>攻击!W40</f>
        <v>4.2</v>
      </c>
      <c r="V40" s="93">
        <f>攻击!X40</f>
        <v>0</v>
      </c>
      <c r="W40" s="93">
        <f>攻击!Y40</f>
        <v>0</v>
      </c>
      <c r="X40" s="93">
        <f>攻击!Z40</f>
        <v>0</v>
      </c>
      <c r="Y40" s="93">
        <f>攻击!AA40</f>
        <v>0</v>
      </c>
      <c r="Z40" s="93">
        <f>攻击!AB40</f>
        <v>0</v>
      </c>
      <c r="AA40" s="94">
        <f>攻击!AL40</f>
        <v>0</v>
      </c>
      <c r="AB40" s="93">
        <f>攻击!AM40</f>
        <v>0</v>
      </c>
      <c r="AC40" s="93">
        <f>攻击!AN40</f>
        <v>0</v>
      </c>
      <c r="AD40" s="93">
        <f>攻击!AO40</f>
        <v>0</v>
      </c>
      <c r="AE40" s="93">
        <f>攻击!AP40</f>
        <v>0</v>
      </c>
      <c r="AF40" s="93">
        <f>攻击!AQ40</f>
        <v>0</v>
      </c>
      <c r="AG40" s="94">
        <f>攻击!AR40</f>
        <v>16.8</v>
      </c>
      <c r="AH40" s="94">
        <f t="shared" si="0"/>
        <v>226.8</v>
      </c>
    </row>
    <row r="41" spans="1:34">
      <c r="A41" s="46">
        <v>39</v>
      </c>
      <c r="B41" s="94">
        <f>攻击!D41</f>
        <v>86</v>
      </c>
      <c r="C41" s="94">
        <f>攻击!E41</f>
        <v>103.2</v>
      </c>
      <c r="D41" s="94">
        <f>攻击!F41</f>
        <v>129</v>
      </c>
      <c r="E41" s="94">
        <f>攻击!G41</f>
        <v>172</v>
      </c>
      <c r="F41" s="94">
        <f>攻击!H41</f>
        <v>215</v>
      </c>
      <c r="G41" s="94">
        <f>攻击!I41</f>
        <v>39</v>
      </c>
      <c r="H41" s="94">
        <f>攻击!J41</f>
        <v>25.8</v>
      </c>
      <c r="I41" s="94">
        <f>攻击!K41</f>
        <v>51.6</v>
      </c>
      <c r="J41" s="94">
        <f>攻击!L41</f>
        <v>0</v>
      </c>
      <c r="K41" s="94">
        <f>攻击!M41</f>
        <v>0</v>
      </c>
      <c r="L41" s="94">
        <f>攻击!N41</f>
        <v>103.2</v>
      </c>
      <c r="M41" s="94">
        <f>攻击!O41</f>
        <v>129</v>
      </c>
      <c r="N41" s="94">
        <f>攻击!P41</f>
        <v>172</v>
      </c>
      <c r="O41" s="94">
        <f>攻击!Q41</f>
        <v>215</v>
      </c>
      <c r="P41" s="94">
        <f>攻击!R41</f>
        <v>258</v>
      </c>
      <c r="Q41" s="94">
        <f>攻击!S41</f>
        <v>301</v>
      </c>
      <c r="R41" s="94">
        <f>攻击!T41</f>
        <v>64.5</v>
      </c>
      <c r="S41" s="94">
        <f>攻击!U41</f>
        <v>25.8</v>
      </c>
      <c r="T41" s="94">
        <f>攻击!V41</f>
        <v>25.8</v>
      </c>
      <c r="U41" s="94">
        <f>攻击!W41</f>
        <v>4.3</v>
      </c>
      <c r="V41" s="93">
        <f>攻击!X41</f>
        <v>0</v>
      </c>
      <c r="W41" s="93">
        <f>攻击!Y41</f>
        <v>0</v>
      </c>
      <c r="X41" s="93">
        <f>攻击!Z41</f>
        <v>0</v>
      </c>
      <c r="Y41" s="93">
        <f>攻击!AA41</f>
        <v>0</v>
      </c>
      <c r="Z41" s="93">
        <f>攻击!AB41</f>
        <v>0</v>
      </c>
      <c r="AA41" s="94">
        <f>攻击!AL41</f>
        <v>0</v>
      </c>
      <c r="AB41" s="93">
        <f>攻击!AM41</f>
        <v>0</v>
      </c>
      <c r="AC41" s="93">
        <f>攻击!AN41</f>
        <v>0</v>
      </c>
      <c r="AD41" s="93">
        <f>攻击!AO41</f>
        <v>0</v>
      </c>
      <c r="AE41" s="93">
        <f>攻击!AP41</f>
        <v>0</v>
      </c>
      <c r="AF41" s="93">
        <f>攻击!AQ41</f>
        <v>0</v>
      </c>
      <c r="AG41" s="94">
        <f>攻击!AR41</f>
        <v>17.2</v>
      </c>
      <c r="AH41" s="94">
        <f t="shared" si="0"/>
        <v>232.2</v>
      </c>
    </row>
    <row r="42" spans="1:34">
      <c r="A42" s="46">
        <v>40</v>
      </c>
      <c r="B42" s="94">
        <f>攻击!D42</f>
        <v>88</v>
      </c>
      <c r="C42" s="94">
        <f>攻击!E42</f>
        <v>105.6</v>
      </c>
      <c r="D42" s="94">
        <f>攻击!F42</f>
        <v>132</v>
      </c>
      <c r="E42" s="94">
        <f>攻击!G42</f>
        <v>176</v>
      </c>
      <c r="F42" s="94">
        <f>攻击!H42</f>
        <v>220</v>
      </c>
      <c r="G42" s="94">
        <f>攻击!I42</f>
        <v>44</v>
      </c>
      <c r="H42" s="94">
        <f>攻击!J42</f>
        <v>26.4</v>
      </c>
      <c r="I42" s="94">
        <f>攻击!K42</f>
        <v>52.8</v>
      </c>
      <c r="J42" s="94">
        <f>攻击!L42</f>
        <v>0</v>
      </c>
      <c r="K42" s="94">
        <f>攻击!M42</f>
        <v>0</v>
      </c>
      <c r="L42" s="94">
        <f>攻击!N42</f>
        <v>105.6</v>
      </c>
      <c r="M42" s="94">
        <f>攻击!O42</f>
        <v>132</v>
      </c>
      <c r="N42" s="94">
        <f>攻击!P42</f>
        <v>176</v>
      </c>
      <c r="O42" s="94">
        <f>攻击!Q42</f>
        <v>220</v>
      </c>
      <c r="P42" s="94">
        <f>攻击!R42</f>
        <v>264</v>
      </c>
      <c r="Q42" s="94">
        <f>攻击!S42</f>
        <v>308</v>
      </c>
      <c r="R42" s="94">
        <f>攻击!T42</f>
        <v>66</v>
      </c>
      <c r="S42" s="94">
        <f>攻击!U42</f>
        <v>26.4</v>
      </c>
      <c r="T42" s="94">
        <f>攻击!V42</f>
        <v>26.4</v>
      </c>
      <c r="U42" s="94">
        <f>攻击!W42</f>
        <v>4.4000000000000004</v>
      </c>
      <c r="V42" s="93">
        <f>攻击!X42</f>
        <v>0</v>
      </c>
      <c r="W42" s="93">
        <f>攻击!Y42</f>
        <v>0</v>
      </c>
      <c r="X42" s="93">
        <f>攻击!Z42</f>
        <v>0</v>
      </c>
      <c r="Y42" s="93">
        <f>攻击!AA42</f>
        <v>0</v>
      </c>
      <c r="Z42" s="93">
        <f>攻击!AB42</f>
        <v>0</v>
      </c>
      <c r="AA42" s="94">
        <f>攻击!AL42</f>
        <v>0</v>
      </c>
      <c r="AB42" s="93">
        <f>攻击!AM42</f>
        <v>0</v>
      </c>
      <c r="AC42" s="93">
        <f>攻击!AN42</f>
        <v>0</v>
      </c>
      <c r="AD42" s="93">
        <f>攻击!AO42</f>
        <v>0</v>
      </c>
      <c r="AE42" s="93">
        <f>攻击!AP42</f>
        <v>0</v>
      </c>
      <c r="AF42" s="93">
        <f>攻击!AQ42</f>
        <v>0</v>
      </c>
      <c r="AG42" s="94">
        <f>攻击!AR42</f>
        <v>17.600000000000001</v>
      </c>
      <c r="AH42" s="94">
        <f t="shared" si="0"/>
        <v>237.6</v>
      </c>
    </row>
    <row r="43" spans="1:34">
      <c r="A43" s="46">
        <v>41</v>
      </c>
      <c r="B43" s="94">
        <f>攻击!D43</f>
        <v>90</v>
      </c>
      <c r="C43" s="94">
        <f>攻击!E43</f>
        <v>108</v>
      </c>
      <c r="D43" s="94">
        <f>攻击!F43</f>
        <v>135</v>
      </c>
      <c r="E43" s="94">
        <f>攻击!G43</f>
        <v>180</v>
      </c>
      <c r="F43" s="94">
        <f>攻击!H43</f>
        <v>225</v>
      </c>
      <c r="G43" s="94">
        <f>攻击!I43</f>
        <v>44</v>
      </c>
      <c r="H43" s="94">
        <f>攻击!J43</f>
        <v>27</v>
      </c>
      <c r="I43" s="94">
        <f>攻击!K43</f>
        <v>54</v>
      </c>
      <c r="J43" s="94">
        <f>攻击!L43</f>
        <v>0</v>
      </c>
      <c r="K43" s="94">
        <f>攻击!M43</f>
        <v>0</v>
      </c>
      <c r="L43" s="94">
        <f>攻击!N43</f>
        <v>108</v>
      </c>
      <c r="M43" s="94">
        <f>攻击!O43</f>
        <v>135</v>
      </c>
      <c r="N43" s="94">
        <f>攻击!P43</f>
        <v>180</v>
      </c>
      <c r="O43" s="94">
        <f>攻击!Q43</f>
        <v>225</v>
      </c>
      <c r="P43" s="94">
        <f>攻击!R43</f>
        <v>270</v>
      </c>
      <c r="Q43" s="94">
        <f>攻击!S43</f>
        <v>315</v>
      </c>
      <c r="R43" s="94">
        <f>攻击!T43</f>
        <v>67.5</v>
      </c>
      <c r="S43" s="94">
        <f>攻击!U43</f>
        <v>27</v>
      </c>
      <c r="T43" s="94">
        <f>攻击!V43</f>
        <v>27</v>
      </c>
      <c r="U43" s="94">
        <f>攻击!W43</f>
        <v>4.5</v>
      </c>
      <c r="V43" s="93">
        <f>攻击!X43</f>
        <v>0</v>
      </c>
      <c r="W43" s="93">
        <f>攻击!Y43</f>
        <v>0</v>
      </c>
      <c r="X43" s="93">
        <f>攻击!Z43</f>
        <v>0</v>
      </c>
      <c r="Y43" s="93">
        <f>攻击!AA43</f>
        <v>0</v>
      </c>
      <c r="Z43" s="93">
        <f>攻击!AB43</f>
        <v>0</v>
      </c>
      <c r="AA43" s="94">
        <f>攻击!AL43</f>
        <v>0</v>
      </c>
      <c r="AB43" s="93">
        <f>攻击!AM43</f>
        <v>0</v>
      </c>
      <c r="AC43" s="93">
        <f>攻击!AN43</f>
        <v>0</v>
      </c>
      <c r="AD43" s="93">
        <f>攻击!AO43</f>
        <v>0</v>
      </c>
      <c r="AE43" s="93">
        <f>攻击!AP43</f>
        <v>0</v>
      </c>
      <c r="AF43" s="93">
        <f>攻击!AQ43</f>
        <v>0</v>
      </c>
      <c r="AG43" s="94">
        <f>攻击!AR43</f>
        <v>18</v>
      </c>
      <c r="AH43" s="94">
        <f t="shared" si="0"/>
        <v>243</v>
      </c>
    </row>
    <row r="44" spans="1:34">
      <c r="A44" s="46">
        <v>42</v>
      </c>
      <c r="B44" s="94">
        <f>攻击!D44</f>
        <v>92</v>
      </c>
      <c r="C44" s="94">
        <f>攻击!E44</f>
        <v>110.39999999999999</v>
      </c>
      <c r="D44" s="94">
        <f>攻击!F44</f>
        <v>138</v>
      </c>
      <c r="E44" s="94">
        <f>攻击!G44</f>
        <v>184</v>
      </c>
      <c r="F44" s="94">
        <f>攻击!H44</f>
        <v>230</v>
      </c>
      <c r="G44" s="94">
        <f>攻击!I44</f>
        <v>44</v>
      </c>
      <c r="H44" s="94">
        <f>攻击!J44</f>
        <v>27.599999999999998</v>
      </c>
      <c r="I44" s="94">
        <f>攻击!K44</f>
        <v>55.199999999999996</v>
      </c>
      <c r="J44" s="94">
        <f>攻击!L44</f>
        <v>0</v>
      </c>
      <c r="K44" s="94">
        <f>攻击!M44</f>
        <v>0</v>
      </c>
      <c r="L44" s="94">
        <f>攻击!N44</f>
        <v>110.39999999999999</v>
      </c>
      <c r="M44" s="94">
        <f>攻击!O44</f>
        <v>138</v>
      </c>
      <c r="N44" s="94">
        <f>攻击!P44</f>
        <v>184</v>
      </c>
      <c r="O44" s="94">
        <f>攻击!Q44</f>
        <v>230</v>
      </c>
      <c r="P44" s="94">
        <f>攻击!R44</f>
        <v>276</v>
      </c>
      <c r="Q44" s="94">
        <f>攻击!S44</f>
        <v>322</v>
      </c>
      <c r="R44" s="94">
        <f>攻击!T44</f>
        <v>69</v>
      </c>
      <c r="S44" s="94">
        <f>攻击!U44</f>
        <v>27.599999999999998</v>
      </c>
      <c r="T44" s="94">
        <f>攻击!V44</f>
        <v>27.599999999999998</v>
      </c>
      <c r="U44" s="94">
        <f>攻击!W44</f>
        <v>4.6000000000000005</v>
      </c>
      <c r="V44" s="93">
        <f>攻击!X44</f>
        <v>0</v>
      </c>
      <c r="W44" s="93">
        <f>攻击!Y44</f>
        <v>0</v>
      </c>
      <c r="X44" s="93">
        <f>攻击!Z44</f>
        <v>0</v>
      </c>
      <c r="Y44" s="93">
        <f>攻击!AA44</f>
        <v>0</v>
      </c>
      <c r="Z44" s="93">
        <f>攻击!AB44</f>
        <v>0</v>
      </c>
      <c r="AA44" s="94">
        <f>攻击!AL44</f>
        <v>0</v>
      </c>
      <c r="AB44" s="93">
        <f>攻击!AM44</f>
        <v>0</v>
      </c>
      <c r="AC44" s="93">
        <f>攻击!AN44</f>
        <v>0</v>
      </c>
      <c r="AD44" s="93">
        <f>攻击!AO44</f>
        <v>0</v>
      </c>
      <c r="AE44" s="93">
        <f>攻击!AP44</f>
        <v>0</v>
      </c>
      <c r="AF44" s="93">
        <f>攻击!AQ44</f>
        <v>0</v>
      </c>
      <c r="AG44" s="94">
        <f>攻击!AR44</f>
        <v>18.400000000000002</v>
      </c>
      <c r="AH44" s="94">
        <f t="shared" si="0"/>
        <v>248.4</v>
      </c>
    </row>
    <row r="45" spans="1:34">
      <c r="A45" s="46">
        <v>43</v>
      </c>
      <c r="B45" s="94">
        <f>攻击!D45</f>
        <v>94</v>
      </c>
      <c r="C45" s="94">
        <f>攻击!E45</f>
        <v>112.8</v>
      </c>
      <c r="D45" s="94">
        <f>攻击!F45</f>
        <v>141</v>
      </c>
      <c r="E45" s="94">
        <f>攻击!G45</f>
        <v>188</v>
      </c>
      <c r="F45" s="94">
        <f>攻击!H45</f>
        <v>235</v>
      </c>
      <c r="G45" s="94">
        <f>攻击!I45</f>
        <v>44</v>
      </c>
      <c r="H45" s="94">
        <f>攻击!J45</f>
        <v>28.2</v>
      </c>
      <c r="I45" s="94">
        <f>攻击!K45</f>
        <v>56.4</v>
      </c>
      <c r="J45" s="94">
        <f>攻击!L45</f>
        <v>0</v>
      </c>
      <c r="K45" s="94">
        <f>攻击!M45</f>
        <v>0</v>
      </c>
      <c r="L45" s="94">
        <f>攻击!N45</f>
        <v>112.8</v>
      </c>
      <c r="M45" s="94">
        <f>攻击!O45</f>
        <v>141</v>
      </c>
      <c r="N45" s="94">
        <f>攻击!P45</f>
        <v>188</v>
      </c>
      <c r="O45" s="94">
        <f>攻击!Q45</f>
        <v>235</v>
      </c>
      <c r="P45" s="94">
        <f>攻击!R45</f>
        <v>282</v>
      </c>
      <c r="Q45" s="94">
        <f>攻击!S45</f>
        <v>329</v>
      </c>
      <c r="R45" s="94">
        <f>攻击!T45</f>
        <v>70.5</v>
      </c>
      <c r="S45" s="94">
        <f>攻击!U45</f>
        <v>28.2</v>
      </c>
      <c r="T45" s="94">
        <f>攻击!V45</f>
        <v>28.2</v>
      </c>
      <c r="U45" s="94">
        <f>攻击!W45</f>
        <v>4.7</v>
      </c>
      <c r="V45" s="93">
        <f>攻击!X45</f>
        <v>0</v>
      </c>
      <c r="W45" s="93">
        <f>攻击!Y45</f>
        <v>0</v>
      </c>
      <c r="X45" s="93">
        <f>攻击!Z45</f>
        <v>0</v>
      </c>
      <c r="Y45" s="93">
        <f>攻击!AA45</f>
        <v>0</v>
      </c>
      <c r="Z45" s="93">
        <f>攻击!AB45</f>
        <v>0</v>
      </c>
      <c r="AA45" s="94">
        <f>攻击!AL45</f>
        <v>0</v>
      </c>
      <c r="AB45" s="93">
        <f>攻击!AM45</f>
        <v>0</v>
      </c>
      <c r="AC45" s="93">
        <f>攻击!AN45</f>
        <v>0</v>
      </c>
      <c r="AD45" s="93">
        <f>攻击!AO45</f>
        <v>0</v>
      </c>
      <c r="AE45" s="93">
        <f>攻击!AP45</f>
        <v>0</v>
      </c>
      <c r="AF45" s="93">
        <f>攻击!AQ45</f>
        <v>0</v>
      </c>
      <c r="AG45" s="94">
        <f>攻击!AR45</f>
        <v>18.8</v>
      </c>
      <c r="AH45" s="94">
        <f t="shared" si="0"/>
        <v>253.8</v>
      </c>
    </row>
    <row r="46" spans="1:34">
      <c r="A46" s="46">
        <v>44</v>
      </c>
      <c r="B46" s="94">
        <f>攻击!D46</f>
        <v>96</v>
      </c>
      <c r="C46" s="94">
        <f>攻击!E46</f>
        <v>115.19999999999999</v>
      </c>
      <c r="D46" s="94">
        <f>攻击!F46</f>
        <v>144</v>
      </c>
      <c r="E46" s="94">
        <f>攻击!G46</f>
        <v>192</v>
      </c>
      <c r="F46" s="94">
        <f>攻击!H46</f>
        <v>240</v>
      </c>
      <c r="G46" s="94">
        <f>攻击!I46</f>
        <v>44</v>
      </c>
      <c r="H46" s="94">
        <f>攻击!J46</f>
        <v>28.799999999999997</v>
      </c>
      <c r="I46" s="94">
        <f>攻击!K46</f>
        <v>57.599999999999994</v>
      </c>
      <c r="J46" s="94">
        <f>攻击!L46</f>
        <v>0</v>
      </c>
      <c r="K46" s="94">
        <f>攻击!M46</f>
        <v>0</v>
      </c>
      <c r="L46" s="94">
        <f>攻击!N46</f>
        <v>115.19999999999999</v>
      </c>
      <c r="M46" s="94">
        <f>攻击!O46</f>
        <v>144</v>
      </c>
      <c r="N46" s="94">
        <f>攻击!P46</f>
        <v>192</v>
      </c>
      <c r="O46" s="94">
        <f>攻击!Q46</f>
        <v>240</v>
      </c>
      <c r="P46" s="94">
        <f>攻击!R46</f>
        <v>288</v>
      </c>
      <c r="Q46" s="94">
        <f>攻击!S46</f>
        <v>336</v>
      </c>
      <c r="R46" s="94">
        <f>攻击!T46</f>
        <v>72</v>
      </c>
      <c r="S46" s="94">
        <f>攻击!U46</f>
        <v>28.799999999999997</v>
      </c>
      <c r="T46" s="94">
        <f>攻击!V46</f>
        <v>28.799999999999997</v>
      </c>
      <c r="U46" s="94">
        <f>攻击!W46</f>
        <v>4.8000000000000007</v>
      </c>
      <c r="V46" s="93">
        <f>攻击!X46</f>
        <v>0</v>
      </c>
      <c r="W46" s="93">
        <f>攻击!Y46</f>
        <v>0</v>
      </c>
      <c r="X46" s="93">
        <f>攻击!Z46</f>
        <v>0</v>
      </c>
      <c r="Y46" s="93">
        <f>攻击!AA46</f>
        <v>0</v>
      </c>
      <c r="Z46" s="93">
        <f>攻击!AB46</f>
        <v>0</v>
      </c>
      <c r="AA46" s="94">
        <f>攻击!AL46</f>
        <v>0</v>
      </c>
      <c r="AB46" s="93">
        <f>攻击!AM46</f>
        <v>0</v>
      </c>
      <c r="AC46" s="93">
        <f>攻击!AN46</f>
        <v>0</v>
      </c>
      <c r="AD46" s="93">
        <f>攻击!AO46</f>
        <v>0</v>
      </c>
      <c r="AE46" s="93">
        <f>攻击!AP46</f>
        <v>0</v>
      </c>
      <c r="AF46" s="93">
        <f>攻击!AQ46</f>
        <v>0</v>
      </c>
      <c r="AG46" s="94">
        <f>攻击!AR46</f>
        <v>19.200000000000003</v>
      </c>
      <c r="AH46" s="94">
        <f t="shared" si="0"/>
        <v>259.2</v>
      </c>
    </row>
    <row r="47" spans="1:34">
      <c r="A47" s="46">
        <v>45</v>
      </c>
      <c r="B47" s="94">
        <f>攻击!D47</f>
        <v>98</v>
      </c>
      <c r="C47" s="94">
        <f>攻击!E47</f>
        <v>117.6</v>
      </c>
      <c r="D47" s="94">
        <f>攻击!F47</f>
        <v>147</v>
      </c>
      <c r="E47" s="94">
        <f>攻击!G47</f>
        <v>196</v>
      </c>
      <c r="F47" s="94">
        <f>攻击!H47</f>
        <v>245</v>
      </c>
      <c r="G47" s="94">
        <f>攻击!I47</f>
        <v>49</v>
      </c>
      <c r="H47" s="94">
        <f>攻击!J47</f>
        <v>29.4</v>
      </c>
      <c r="I47" s="94">
        <f>攻击!K47</f>
        <v>58.8</v>
      </c>
      <c r="J47" s="94">
        <f>攻击!L47</f>
        <v>0</v>
      </c>
      <c r="K47" s="94">
        <f>攻击!M47</f>
        <v>0</v>
      </c>
      <c r="L47" s="94">
        <f>攻击!N47</f>
        <v>117.6</v>
      </c>
      <c r="M47" s="94">
        <f>攻击!O47</f>
        <v>147</v>
      </c>
      <c r="N47" s="94">
        <f>攻击!P47</f>
        <v>196</v>
      </c>
      <c r="O47" s="94">
        <f>攻击!Q47</f>
        <v>245</v>
      </c>
      <c r="P47" s="94">
        <f>攻击!R47</f>
        <v>294</v>
      </c>
      <c r="Q47" s="94">
        <f>攻击!S47</f>
        <v>343</v>
      </c>
      <c r="R47" s="94">
        <f>攻击!T47</f>
        <v>73.5</v>
      </c>
      <c r="S47" s="94">
        <f>攻击!U47</f>
        <v>29.4</v>
      </c>
      <c r="T47" s="94">
        <f>攻击!V47</f>
        <v>29.4</v>
      </c>
      <c r="U47" s="94">
        <f>攻击!W47</f>
        <v>4.9000000000000004</v>
      </c>
      <c r="V47" s="93">
        <f>攻击!X47</f>
        <v>0</v>
      </c>
      <c r="W47" s="93">
        <f>攻击!Y47</f>
        <v>0</v>
      </c>
      <c r="X47" s="93">
        <f>攻击!Z47</f>
        <v>0</v>
      </c>
      <c r="Y47" s="93">
        <f>攻击!AA47</f>
        <v>0</v>
      </c>
      <c r="Z47" s="93">
        <f>攻击!AB47</f>
        <v>0</v>
      </c>
      <c r="AA47" s="94">
        <f>攻击!AL47</f>
        <v>0</v>
      </c>
      <c r="AB47" s="93">
        <f>攻击!AM47</f>
        <v>0</v>
      </c>
      <c r="AC47" s="93">
        <f>攻击!AN47</f>
        <v>0</v>
      </c>
      <c r="AD47" s="93">
        <f>攻击!AO47</f>
        <v>0</v>
      </c>
      <c r="AE47" s="93">
        <f>攻击!AP47</f>
        <v>0</v>
      </c>
      <c r="AF47" s="93">
        <f>攻击!AQ47</f>
        <v>0</v>
      </c>
      <c r="AG47" s="94">
        <f>攻击!AR47</f>
        <v>19.600000000000001</v>
      </c>
      <c r="AH47" s="94">
        <f t="shared" si="0"/>
        <v>264.60000000000002</v>
      </c>
    </row>
    <row r="48" spans="1:34">
      <c r="A48" s="46">
        <v>46</v>
      </c>
      <c r="B48" s="94">
        <f>攻击!D48</f>
        <v>100</v>
      </c>
      <c r="C48" s="94">
        <f>攻击!E48</f>
        <v>120</v>
      </c>
      <c r="D48" s="94">
        <f>攻击!F48</f>
        <v>150</v>
      </c>
      <c r="E48" s="94">
        <f>攻击!G48</f>
        <v>200</v>
      </c>
      <c r="F48" s="94">
        <f>攻击!H48</f>
        <v>250</v>
      </c>
      <c r="G48" s="94">
        <f>攻击!I48</f>
        <v>49</v>
      </c>
      <c r="H48" s="94">
        <f>攻击!J48</f>
        <v>30</v>
      </c>
      <c r="I48" s="94">
        <f>攻击!K48</f>
        <v>60</v>
      </c>
      <c r="J48" s="94">
        <f>攻击!L48</f>
        <v>0</v>
      </c>
      <c r="K48" s="94">
        <f>攻击!M48</f>
        <v>0</v>
      </c>
      <c r="L48" s="94">
        <f>攻击!N48</f>
        <v>120</v>
      </c>
      <c r="M48" s="94">
        <f>攻击!O48</f>
        <v>150</v>
      </c>
      <c r="N48" s="94">
        <f>攻击!P48</f>
        <v>200</v>
      </c>
      <c r="O48" s="94">
        <f>攻击!Q48</f>
        <v>250</v>
      </c>
      <c r="P48" s="94">
        <f>攻击!R48</f>
        <v>300</v>
      </c>
      <c r="Q48" s="94">
        <f>攻击!S48</f>
        <v>350</v>
      </c>
      <c r="R48" s="94">
        <f>攻击!T48</f>
        <v>75</v>
      </c>
      <c r="S48" s="94">
        <f>攻击!U48</f>
        <v>30</v>
      </c>
      <c r="T48" s="94">
        <f>攻击!V48</f>
        <v>30</v>
      </c>
      <c r="U48" s="94">
        <f>攻击!W48</f>
        <v>5</v>
      </c>
      <c r="V48" s="93">
        <f>攻击!X48</f>
        <v>0</v>
      </c>
      <c r="W48" s="93">
        <f>攻击!Y48</f>
        <v>0</v>
      </c>
      <c r="X48" s="93">
        <f>攻击!Z48</f>
        <v>0</v>
      </c>
      <c r="Y48" s="93">
        <f>攻击!AA48</f>
        <v>0</v>
      </c>
      <c r="Z48" s="93">
        <f>攻击!AB48</f>
        <v>0</v>
      </c>
      <c r="AA48" s="94">
        <f>攻击!AL48</f>
        <v>0</v>
      </c>
      <c r="AB48" s="93">
        <f>攻击!AM48</f>
        <v>0</v>
      </c>
      <c r="AC48" s="93">
        <f>攻击!AN48</f>
        <v>0</v>
      </c>
      <c r="AD48" s="93">
        <f>攻击!AO48</f>
        <v>0</v>
      </c>
      <c r="AE48" s="93">
        <f>攻击!AP48</f>
        <v>0</v>
      </c>
      <c r="AF48" s="93">
        <f>攻击!AQ48</f>
        <v>0</v>
      </c>
      <c r="AG48" s="94">
        <f>攻击!AR48</f>
        <v>20</v>
      </c>
      <c r="AH48" s="94">
        <f t="shared" si="0"/>
        <v>270</v>
      </c>
    </row>
    <row r="49" spans="1:34">
      <c r="A49" s="46">
        <v>47</v>
      </c>
      <c r="B49" s="94">
        <f>攻击!D49</f>
        <v>102</v>
      </c>
      <c r="C49" s="94">
        <f>攻击!E49</f>
        <v>122.39999999999999</v>
      </c>
      <c r="D49" s="94">
        <f>攻击!F49</f>
        <v>153</v>
      </c>
      <c r="E49" s="94">
        <f>攻击!G49</f>
        <v>204</v>
      </c>
      <c r="F49" s="94">
        <f>攻击!H49</f>
        <v>255</v>
      </c>
      <c r="G49" s="94">
        <f>攻击!I49</f>
        <v>49</v>
      </c>
      <c r="H49" s="94">
        <f>攻击!J49</f>
        <v>30.599999999999998</v>
      </c>
      <c r="I49" s="94">
        <f>攻击!K49</f>
        <v>61.199999999999996</v>
      </c>
      <c r="J49" s="94">
        <f>攻击!L49</f>
        <v>0</v>
      </c>
      <c r="K49" s="94">
        <f>攻击!M49</f>
        <v>0</v>
      </c>
      <c r="L49" s="94">
        <f>攻击!N49</f>
        <v>122.39999999999999</v>
      </c>
      <c r="M49" s="94">
        <f>攻击!O49</f>
        <v>153</v>
      </c>
      <c r="N49" s="94">
        <f>攻击!P49</f>
        <v>204</v>
      </c>
      <c r="O49" s="94">
        <f>攻击!Q49</f>
        <v>255</v>
      </c>
      <c r="P49" s="94">
        <f>攻击!R49</f>
        <v>306</v>
      </c>
      <c r="Q49" s="94">
        <f>攻击!S49</f>
        <v>357</v>
      </c>
      <c r="R49" s="94">
        <f>攻击!T49</f>
        <v>76.5</v>
      </c>
      <c r="S49" s="94">
        <f>攻击!U49</f>
        <v>30.599999999999998</v>
      </c>
      <c r="T49" s="94">
        <f>攻击!V49</f>
        <v>30.599999999999998</v>
      </c>
      <c r="U49" s="94">
        <f>攻击!W49</f>
        <v>5.1000000000000005</v>
      </c>
      <c r="V49" s="93">
        <f>攻击!X49</f>
        <v>0</v>
      </c>
      <c r="W49" s="93">
        <f>攻击!Y49</f>
        <v>0</v>
      </c>
      <c r="X49" s="93">
        <f>攻击!Z49</f>
        <v>0</v>
      </c>
      <c r="Y49" s="93">
        <f>攻击!AA49</f>
        <v>0</v>
      </c>
      <c r="Z49" s="93">
        <f>攻击!AB49</f>
        <v>0</v>
      </c>
      <c r="AA49" s="94">
        <f>攻击!AL49</f>
        <v>0</v>
      </c>
      <c r="AB49" s="93">
        <f>攻击!AM49</f>
        <v>0</v>
      </c>
      <c r="AC49" s="93">
        <f>攻击!AN49</f>
        <v>0</v>
      </c>
      <c r="AD49" s="93">
        <f>攻击!AO49</f>
        <v>0</v>
      </c>
      <c r="AE49" s="93">
        <f>攻击!AP49</f>
        <v>0</v>
      </c>
      <c r="AF49" s="93">
        <f>攻击!AQ49</f>
        <v>0</v>
      </c>
      <c r="AG49" s="94">
        <f>攻击!AR49</f>
        <v>20.400000000000002</v>
      </c>
      <c r="AH49" s="94">
        <f t="shared" si="0"/>
        <v>275.39999999999998</v>
      </c>
    </row>
    <row r="50" spans="1:34">
      <c r="A50" s="46">
        <v>48</v>
      </c>
      <c r="B50" s="94">
        <f>攻击!D50</f>
        <v>104</v>
      </c>
      <c r="C50" s="94">
        <f>攻击!E50</f>
        <v>124.8</v>
      </c>
      <c r="D50" s="94">
        <f>攻击!F50</f>
        <v>156</v>
      </c>
      <c r="E50" s="94">
        <f>攻击!G50</f>
        <v>208</v>
      </c>
      <c r="F50" s="94">
        <f>攻击!H50</f>
        <v>260</v>
      </c>
      <c r="G50" s="94">
        <f>攻击!I50</f>
        <v>49</v>
      </c>
      <c r="H50" s="94">
        <f>攻击!J50</f>
        <v>31.2</v>
      </c>
      <c r="I50" s="94">
        <f>攻击!K50</f>
        <v>62.4</v>
      </c>
      <c r="J50" s="94">
        <f>攻击!L50</f>
        <v>0</v>
      </c>
      <c r="K50" s="94">
        <f>攻击!M50</f>
        <v>0</v>
      </c>
      <c r="L50" s="94">
        <f>攻击!N50</f>
        <v>124.8</v>
      </c>
      <c r="M50" s="94">
        <f>攻击!O50</f>
        <v>156</v>
      </c>
      <c r="N50" s="94">
        <f>攻击!P50</f>
        <v>208</v>
      </c>
      <c r="O50" s="94">
        <f>攻击!Q50</f>
        <v>260</v>
      </c>
      <c r="P50" s="94">
        <f>攻击!R50</f>
        <v>312</v>
      </c>
      <c r="Q50" s="94">
        <f>攻击!S50</f>
        <v>364</v>
      </c>
      <c r="R50" s="94">
        <f>攻击!T50</f>
        <v>78</v>
      </c>
      <c r="S50" s="94">
        <f>攻击!U50</f>
        <v>31.2</v>
      </c>
      <c r="T50" s="94">
        <f>攻击!V50</f>
        <v>31.2</v>
      </c>
      <c r="U50" s="94">
        <f>攻击!W50</f>
        <v>5.2</v>
      </c>
      <c r="V50" s="93">
        <f>攻击!X50</f>
        <v>0</v>
      </c>
      <c r="W50" s="93">
        <f>攻击!Y50</f>
        <v>0</v>
      </c>
      <c r="X50" s="93">
        <f>攻击!Z50</f>
        <v>0</v>
      </c>
      <c r="Y50" s="93">
        <f>攻击!AA50</f>
        <v>0</v>
      </c>
      <c r="Z50" s="93">
        <f>攻击!AB50</f>
        <v>0</v>
      </c>
      <c r="AA50" s="94">
        <f>攻击!AL50</f>
        <v>0</v>
      </c>
      <c r="AB50" s="93">
        <f>攻击!AM50</f>
        <v>0</v>
      </c>
      <c r="AC50" s="93">
        <f>攻击!AN50</f>
        <v>0</v>
      </c>
      <c r="AD50" s="93">
        <f>攻击!AO50</f>
        <v>0</v>
      </c>
      <c r="AE50" s="93">
        <f>攻击!AP50</f>
        <v>0</v>
      </c>
      <c r="AF50" s="93">
        <f>攻击!AQ50</f>
        <v>0</v>
      </c>
      <c r="AG50" s="94">
        <f>攻击!AR50</f>
        <v>20.8</v>
      </c>
      <c r="AH50" s="94">
        <f t="shared" si="0"/>
        <v>280.8</v>
      </c>
    </row>
    <row r="51" spans="1:34">
      <c r="A51" s="46">
        <v>49</v>
      </c>
      <c r="B51" s="94">
        <f>攻击!D51</f>
        <v>106</v>
      </c>
      <c r="C51" s="94">
        <f>攻击!E51</f>
        <v>127.19999999999999</v>
      </c>
      <c r="D51" s="94">
        <f>攻击!F51</f>
        <v>159</v>
      </c>
      <c r="E51" s="94">
        <f>攻击!G51</f>
        <v>212</v>
      </c>
      <c r="F51" s="94">
        <f>攻击!H51</f>
        <v>265</v>
      </c>
      <c r="G51" s="94">
        <f>攻击!I51</f>
        <v>49</v>
      </c>
      <c r="H51" s="94">
        <f>攻击!J51</f>
        <v>31.799999999999997</v>
      </c>
      <c r="I51" s="94">
        <f>攻击!K51</f>
        <v>63.599999999999994</v>
      </c>
      <c r="J51" s="94">
        <f>攻击!L51</f>
        <v>0</v>
      </c>
      <c r="K51" s="94">
        <f>攻击!M51</f>
        <v>0</v>
      </c>
      <c r="L51" s="94">
        <f>攻击!N51</f>
        <v>127.19999999999999</v>
      </c>
      <c r="M51" s="94">
        <f>攻击!O51</f>
        <v>159</v>
      </c>
      <c r="N51" s="94">
        <f>攻击!P51</f>
        <v>212</v>
      </c>
      <c r="O51" s="94">
        <f>攻击!Q51</f>
        <v>265</v>
      </c>
      <c r="P51" s="94">
        <f>攻击!R51</f>
        <v>318</v>
      </c>
      <c r="Q51" s="94">
        <f>攻击!S51</f>
        <v>371</v>
      </c>
      <c r="R51" s="94">
        <f>攻击!T51</f>
        <v>79.5</v>
      </c>
      <c r="S51" s="94">
        <f>攻击!U51</f>
        <v>31.799999999999997</v>
      </c>
      <c r="T51" s="94">
        <f>攻击!V51</f>
        <v>31.799999999999997</v>
      </c>
      <c r="U51" s="94">
        <f>攻击!W51</f>
        <v>5.3000000000000007</v>
      </c>
      <c r="V51" s="93">
        <f>攻击!X51</f>
        <v>0</v>
      </c>
      <c r="W51" s="93">
        <f>攻击!Y51</f>
        <v>0</v>
      </c>
      <c r="X51" s="93">
        <f>攻击!Z51</f>
        <v>0</v>
      </c>
      <c r="Y51" s="93">
        <f>攻击!AA51</f>
        <v>0</v>
      </c>
      <c r="Z51" s="93">
        <f>攻击!AB51</f>
        <v>0</v>
      </c>
      <c r="AA51" s="94">
        <f>攻击!AL51</f>
        <v>0</v>
      </c>
      <c r="AB51" s="93">
        <f>攻击!AM51</f>
        <v>0</v>
      </c>
      <c r="AC51" s="93">
        <f>攻击!AN51</f>
        <v>0</v>
      </c>
      <c r="AD51" s="93">
        <f>攻击!AO51</f>
        <v>0</v>
      </c>
      <c r="AE51" s="93">
        <f>攻击!AP51</f>
        <v>0</v>
      </c>
      <c r="AF51" s="93">
        <f>攻击!AQ51</f>
        <v>0</v>
      </c>
      <c r="AG51" s="94">
        <f>攻击!AR51</f>
        <v>21.200000000000003</v>
      </c>
      <c r="AH51" s="94">
        <f t="shared" si="0"/>
        <v>286.2</v>
      </c>
    </row>
    <row r="52" spans="1:34">
      <c r="A52" s="46">
        <v>50</v>
      </c>
      <c r="B52" s="94">
        <f>攻击!D52</f>
        <v>108</v>
      </c>
      <c r="C52" s="94">
        <f>攻击!E52</f>
        <v>129.6</v>
      </c>
      <c r="D52" s="94">
        <f>攻击!F52</f>
        <v>162</v>
      </c>
      <c r="E52" s="94">
        <f>攻击!G52</f>
        <v>216</v>
      </c>
      <c r="F52" s="94">
        <f>攻击!H52</f>
        <v>270</v>
      </c>
      <c r="G52" s="94">
        <f>攻击!I52</f>
        <v>54</v>
      </c>
      <c r="H52" s="94">
        <f>攻击!J52</f>
        <v>32.4</v>
      </c>
      <c r="I52" s="94">
        <f>攻击!K52</f>
        <v>64.8</v>
      </c>
      <c r="J52" s="94">
        <f>攻击!L52</f>
        <v>0</v>
      </c>
      <c r="K52" s="94">
        <f>攻击!M52</f>
        <v>86.4</v>
      </c>
      <c r="L52" s="94">
        <f>攻击!N52</f>
        <v>129.6</v>
      </c>
      <c r="M52" s="94">
        <f>攻击!O52</f>
        <v>162</v>
      </c>
      <c r="N52" s="94">
        <f>攻击!P52</f>
        <v>216</v>
      </c>
      <c r="O52" s="94">
        <f>攻击!Q52</f>
        <v>270</v>
      </c>
      <c r="P52" s="94">
        <f>攻击!R52</f>
        <v>324</v>
      </c>
      <c r="Q52" s="94">
        <f>攻击!S52</f>
        <v>378</v>
      </c>
      <c r="R52" s="94">
        <f>攻击!T52</f>
        <v>81</v>
      </c>
      <c r="S52" s="94">
        <f>攻击!U52</f>
        <v>32.4</v>
      </c>
      <c r="T52" s="94">
        <f>攻击!V52</f>
        <v>32.4</v>
      </c>
      <c r="U52" s="94">
        <f>攻击!W52</f>
        <v>5.4</v>
      </c>
      <c r="V52" s="93">
        <f>攻击!X52</f>
        <v>0</v>
      </c>
      <c r="W52" s="93">
        <f>攻击!Y52</f>
        <v>0</v>
      </c>
      <c r="X52" s="93">
        <f>攻击!Z52</f>
        <v>0</v>
      </c>
      <c r="Y52" s="93">
        <f>攻击!AA52</f>
        <v>0</v>
      </c>
      <c r="Z52" s="93">
        <f>攻击!AB52</f>
        <v>0</v>
      </c>
      <c r="AA52" s="94">
        <f>攻击!AL52</f>
        <v>0</v>
      </c>
      <c r="AB52" s="93">
        <f>攻击!AM52</f>
        <v>0</v>
      </c>
      <c r="AC52" s="93">
        <f>攻击!AN52</f>
        <v>0</v>
      </c>
      <c r="AD52" s="93">
        <f>攻击!AO52</f>
        <v>0</v>
      </c>
      <c r="AE52" s="93">
        <f>攻击!AP52</f>
        <v>0</v>
      </c>
      <c r="AF52" s="93">
        <f>攻击!AQ52</f>
        <v>0</v>
      </c>
      <c r="AG52" s="94">
        <f>攻击!AR52</f>
        <v>21.6</v>
      </c>
      <c r="AH52" s="94">
        <f t="shared" si="0"/>
        <v>291.60000000000002</v>
      </c>
    </row>
    <row r="53" spans="1:34">
      <c r="A53" s="46">
        <v>51</v>
      </c>
      <c r="B53" s="94">
        <f>攻击!D53</f>
        <v>110</v>
      </c>
      <c r="C53" s="94">
        <f>攻击!E53</f>
        <v>132</v>
      </c>
      <c r="D53" s="94">
        <f>攻击!F53</f>
        <v>165</v>
      </c>
      <c r="E53" s="94">
        <f>攻击!G53</f>
        <v>220</v>
      </c>
      <c r="F53" s="94">
        <f>攻击!H53</f>
        <v>275</v>
      </c>
      <c r="G53" s="94">
        <f>攻击!I53</f>
        <v>54</v>
      </c>
      <c r="H53" s="94">
        <f>攻击!J53</f>
        <v>33</v>
      </c>
      <c r="I53" s="94">
        <f>攻击!K53</f>
        <v>66</v>
      </c>
      <c r="J53" s="94">
        <f>攻击!L53</f>
        <v>0</v>
      </c>
      <c r="K53" s="94">
        <f>攻击!M53</f>
        <v>88</v>
      </c>
      <c r="L53" s="94">
        <f>攻击!N53</f>
        <v>132</v>
      </c>
      <c r="M53" s="94">
        <f>攻击!O53</f>
        <v>165</v>
      </c>
      <c r="N53" s="94">
        <f>攻击!P53</f>
        <v>220</v>
      </c>
      <c r="O53" s="94">
        <f>攻击!Q53</f>
        <v>275</v>
      </c>
      <c r="P53" s="94">
        <f>攻击!R53</f>
        <v>330</v>
      </c>
      <c r="Q53" s="94">
        <f>攻击!S53</f>
        <v>385</v>
      </c>
      <c r="R53" s="94">
        <f>攻击!T53</f>
        <v>82.5</v>
      </c>
      <c r="S53" s="94">
        <f>攻击!U53</f>
        <v>33</v>
      </c>
      <c r="T53" s="94">
        <f>攻击!V53</f>
        <v>33</v>
      </c>
      <c r="U53" s="94">
        <f>攻击!W53</f>
        <v>5.5</v>
      </c>
      <c r="V53" s="93">
        <f>攻击!X53</f>
        <v>0</v>
      </c>
      <c r="W53" s="93">
        <f>攻击!Y53</f>
        <v>0</v>
      </c>
      <c r="X53" s="93">
        <f>攻击!Z53</f>
        <v>0</v>
      </c>
      <c r="Y53" s="93">
        <f>攻击!AA53</f>
        <v>0</v>
      </c>
      <c r="Z53" s="93">
        <f>攻击!AB53</f>
        <v>0</v>
      </c>
      <c r="AA53" s="94">
        <f>攻击!AL53</f>
        <v>0</v>
      </c>
      <c r="AB53" s="93">
        <f>攻击!AM53</f>
        <v>0</v>
      </c>
      <c r="AC53" s="93">
        <f>攻击!AN53</f>
        <v>0</v>
      </c>
      <c r="AD53" s="93">
        <f>攻击!AO53</f>
        <v>0</v>
      </c>
      <c r="AE53" s="93">
        <f>攻击!AP53</f>
        <v>0</v>
      </c>
      <c r="AF53" s="93">
        <f>攻击!AQ53</f>
        <v>0</v>
      </c>
      <c r="AG53" s="94">
        <f>攻击!AR53</f>
        <v>22</v>
      </c>
      <c r="AH53" s="94">
        <f t="shared" si="0"/>
        <v>297</v>
      </c>
    </row>
    <row r="54" spans="1:34">
      <c r="A54" s="46">
        <v>52</v>
      </c>
      <c r="B54" s="94">
        <f>攻击!D54</f>
        <v>112</v>
      </c>
      <c r="C54" s="94">
        <f>攻击!E54</f>
        <v>134.4</v>
      </c>
      <c r="D54" s="94">
        <f>攻击!F54</f>
        <v>168</v>
      </c>
      <c r="E54" s="94">
        <f>攻击!G54</f>
        <v>224</v>
      </c>
      <c r="F54" s="94">
        <f>攻击!H54</f>
        <v>280</v>
      </c>
      <c r="G54" s="94">
        <f>攻击!I54</f>
        <v>54</v>
      </c>
      <c r="H54" s="94">
        <f>攻击!J54</f>
        <v>33.6</v>
      </c>
      <c r="I54" s="94">
        <f>攻击!K54</f>
        <v>67.2</v>
      </c>
      <c r="J54" s="94">
        <f>攻击!L54</f>
        <v>0</v>
      </c>
      <c r="K54" s="94">
        <f>攻击!M54</f>
        <v>89.600000000000009</v>
      </c>
      <c r="L54" s="94">
        <f>攻击!N54</f>
        <v>134.4</v>
      </c>
      <c r="M54" s="94">
        <f>攻击!O54</f>
        <v>168</v>
      </c>
      <c r="N54" s="94">
        <f>攻击!P54</f>
        <v>224</v>
      </c>
      <c r="O54" s="94">
        <f>攻击!Q54</f>
        <v>280</v>
      </c>
      <c r="P54" s="94">
        <f>攻击!R54</f>
        <v>336</v>
      </c>
      <c r="Q54" s="94">
        <f>攻击!S54</f>
        <v>392</v>
      </c>
      <c r="R54" s="94">
        <f>攻击!T54</f>
        <v>84</v>
      </c>
      <c r="S54" s="94">
        <f>攻击!U54</f>
        <v>33.6</v>
      </c>
      <c r="T54" s="94">
        <f>攻击!V54</f>
        <v>33.6</v>
      </c>
      <c r="U54" s="94">
        <f>攻击!W54</f>
        <v>5.6000000000000005</v>
      </c>
      <c r="V54" s="93">
        <f>攻击!X54</f>
        <v>0</v>
      </c>
      <c r="W54" s="93">
        <f>攻击!Y54</f>
        <v>0</v>
      </c>
      <c r="X54" s="93">
        <f>攻击!Z54</f>
        <v>0</v>
      </c>
      <c r="Y54" s="93">
        <f>攻击!AA54</f>
        <v>0</v>
      </c>
      <c r="Z54" s="93">
        <f>攻击!AB54</f>
        <v>0</v>
      </c>
      <c r="AA54" s="94">
        <f>攻击!AL54</f>
        <v>0</v>
      </c>
      <c r="AB54" s="93">
        <f>攻击!AM54</f>
        <v>0</v>
      </c>
      <c r="AC54" s="93">
        <f>攻击!AN54</f>
        <v>0</v>
      </c>
      <c r="AD54" s="93">
        <f>攻击!AO54</f>
        <v>0</v>
      </c>
      <c r="AE54" s="93">
        <f>攻击!AP54</f>
        <v>0</v>
      </c>
      <c r="AF54" s="93">
        <f>攻击!AQ54</f>
        <v>0</v>
      </c>
      <c r="AG54" s="94">
        <f>攻击!AR54</f>
        <v>22.400000000000002</v>
      </c>
      <c r="AH54" s="94">
        <f t="shared" si="0"/>
        <v>302.39999999999998</v>
      </c>
    </row>
    <row r="55" spans="1:34">
      <c r="A55" s="46">
        <v>53</v>
      </c>
      <c r="B55" s="94">
        <f>攻击!D55</f>
        <v>114</v>
      </c>
      <c r="C55" s="94">
        <f>攻击!E55</f>
        <v>136.79999999999998</v>
      </c>
      <c r="D55" s="94">
        <f>攻击!F55</f>
        <v>171</v>
      </c>
      <c r="E55" s="94">
        <f>攻击!G55</f>
        <v>228</v>
      </c>
      <c r="F55" s="94">
        <f>攻击!H55</f>
        <v>285</v>
      </c>
      <c r="G55" s="94">
        <f>攻击!I55</f>
        <v>54</v>
      </c>
      <c r="H55" s="94">
        <f>攻击!J55</f>
        <v>34.199999999999996</v>
      </c>
      <c r="I55" s="94">
        <f>攻击!K55</f>
        <v>68.399999999999991</v>
      </c>
      <c r="J55" s="94">
        <f>攻击!L55</f>
        <v>0</v>
      </c>
      <c r="K55" s="94">
        <f>攻击!M55</f>
        <v>91.2</v>
      </c>
      <c r="L55" s="94">
        <f>攻击!N55</f>
        <v>136.79999999999998</v>
      </c>
      <c r="M55" s="94">
        <f>攻击!O55</f>
        <v>171</v>
      </c>
      <c r="N55" s="94">
        <f>攻击!P55</f>
        <v>228</v>
      </c>
      <c r="O55" s="94">
        <f>攻击!Q55</f>
        <v>285</v>
      </c>
      <c r="P55" s="94">
        <f>攻击!R55</f>
        <v>342</v>
      </c>
      <c r="Q55" s="94">
        <f>攻击!S55</f>
        <v>399</v>
      </c>
      <c r="R55" s="94">
        <f>攻击!T55</f>
        <v>85.5</v>
      </c>
      <c r="S55" s="94">
        <f>攻击!U55</f>
        <v>34.199999999999996</v>
      </c>
      <c r="T55" s="94">
        <f>攻击!V55</f>
        <v>34.199999999999996</v>
      </c>
      <c r="U55" s="94">
        <f>攻击!W55</f>
        <v>5.7</v>
      </c>
      <c r="V55" s="93">
        <f>攻击!X55</f>
        <v>0</v>
      </c>
      <c r="W55" s="93">
        <f>攻击!Y55</f>
        <v>0</v>
      </c>
      <c r="X55" s="93">
        <f>攻击!Z55</f>
        <v>0</v>
      </c>
      <c r="Y55" s="93">
        <f>攻击!AA55</f>
        <v>0</v>
      </c>
      <c r="Z55" s="93">
        <f>攻击!AB55</f>
        <v>0</v>
      </c>
      <c r="AA55" s="94">
        <f>攻击!AL55</f>
        <v>0</v>
      </c>
      <c r="AB55" s="93">
        <f>攻击!AM55</f>
        <v>0</v>
      </c>
      <c r="AC55" s="93">
        <f>攻击!AN55</f>
        <v>0</v>
      </c>
      <c r="AD55" s="93">
        <f>攻击!AO55</f>
        <v>0</v>
      </c>
      <c r="AE55" s="93">
        <f>攻击!AP55</f>
        <v>0</v>
      </c>
      <c r="AF55" s="93">
        <f>攻击!AQ55</f>
        <v>0</v>
      </c>
      <c r="AG55" s="94">
        <f>攻击!AR55</f>
        <v>22.8</v>
      </c>
      <c r="AH55" s="94">
        <f t="shared" si="0"/>
        <v>307.8</v>
      </c>
    </row>
    <row r="56" spans="1:34">
      <c r="A56" s="46">
        <v>54</v>
      </c>
      <c r="B56" s="94">
        <f>攻击!D56</f>
        <v>116</v>
      </c>
      <c r="C56" s="94">
        <f>攻击!E56</f>
        <v>139.19999999999999</v>
      </c>
      <c r="D56" s="94">
        <f>攻击!F56</f>
        <v>174</v>
      </c>
      <c r="E56" s="94">
        <f>攻击!G56</f>
        <v>232</v>
      </c>
      <c r="F56" s="94">
        <f>攻击!H56</f>
        <v>290</v>
      </c>
      <c r="G56" s="94">
        <f>攻击!I56</f>
        <v>54</v>
      </c>
      <c r="H56" s="94">
        <f>攻击!J56</f>
        <v>34.799999999999997</v>
      </c>
      <c r="I56" s="94">
        <f>攻击!K56</f>
        <v>69.599999999999994</v>
      </c>
      <c r="J56" s="94">
        <f>攻击!L56</f>
        <v>0</v>
      </c>
      <c r="K56" s="94">
        <f>攻击!M56</f>
        <v>92.800000000000011</v>
      </c>
      <c r="L56" s="94">
        <f>攻击!N56</f>
        <v>139.19999999999999</v>
      </c>
      <c r="M56" s="94">
        <f>攻击!O56</f>
        <v>174</v>
      </c>
      <c r="N56" s="94">
        <f>攻击!P56</f>
        <v>232</v>
      </c>
      <c r="O56" s="94">
        <f>攻击!Q56</f>
        <v>290</v>
      </c>
      <c r="P56" s="94">
        <f>攻击!R56</f>
        <v>348</v>
      </c>
      <c r="Q56" s="94">
        <f>攻击!S56</f>
        <v>406</v>
      </c>
      <c r="R56" s="94">
        <f>攻击!T56</f>
        <v>87</v>
      </c>
      <c r="S56" s="94">
        <f>攻击!U56</f>
        <v>34.799999999999997</v>
      </c>
      <c r="T56" s="94">
        <f>攻击!V56</f>
        <v>34.799999999999997</v>
      </c>
      <c r="U56" s="94">
        <f>攻击!W56</f>
        <v>5.8000000000000007</v>
      </c>
      <c r="V56" s="93">
        <f>攻击!X56</f>
        <v>0</v>
      </c>
      <c r="W56" s="93">
        <f>攻击!Y56</f>
        <v>0</v>
      </c>
      <c r="X56" s="93">
        <f>攻击!Z56</f>
        <v>0</v>
      </c>
      <c r="Y56" s="93">
        <f>攻击!AA56</f>
        <v>0</v>
      </c>
      <c r="Z56" s="93">
        <f>攻击!AB56</f>
        <v>0</v>
      </c>
      <c r="AA56" s="94">
        <f>攻击!AL56</f>
        <v>0</v>
      </c>
      <c r="AB56" s="93">
        <f>攻击!AM56</f>
        <v>0</v>
      </c>
      <c r="AC56" s="93">
        <f>攻击!AN56</f>
        <v>0</v>
      </c>
      <c r="AD56" s="93">
        <f>攻击!AO56</f>
        <v>0</v>
      </c>
      <c r="AE56" s="93">
        <f>攻击!AP56</f>
        <v>0</v>
      </c>
      <c r="AF56" s="93">
        <f>攻击!AQ56</f>
        <v>0</v>
      </c>
      <c r="AG56" s="94">
        <f>攻击!AR56</f>
        <v>23.200000000000003</v>
      </c>
      <c r="AH56" s="94">
        <f t="shared" si="0"/>
        <v>313.2</v>
      </c>
    </row>
    <row r="57" spans="1:34">
      <c r="A57" s="46">
        <v>55</v>
      </c>
      <c r="B57" s="94">
        <f>攻击!D57</f>
        <v>118</v>
      </c>
      <c r="C57" s="94">
        <f>攻击!E57</f>
        <v>141.6</v>
      </c>
      <c r="D57" s="94">
        <f>攻击!F57</f>
        <v>177</v>
      </c>
      <c r="E57" s="94">
        <f>攻击!G57</f>
        <v>236</v>
      </c>
      <c r="F57" s="94">
        <f>攻击!H57</f>
        <v>295</v>
      </c>
      <c r="G57" s="94">
        <f>攻击!I57</f>
        <v>59</v>
      </c>
      <c r="H57" s="94">
        <f>攻击!J57</f>
        <v>35.4</v>
      </c>
      <c r="I57" s="94">
        <f>攻击!K57</f>
        <v>70.8</v>
      </c>
      <c r="J57" s="94">
        <f>攻击!L57</f>
        <v>0</v>
      </c>
      <c r="K57" s="94">
        <f>攻击!M57</f>
        <v>94.4</v>
      </c>
      <c r="L57" s="94">
        <f>攻击!N57</f>
        <v>141.6</v>
      </c>
      <c r="M57" s="94">
        <f>攻击!O57</f>
        <v>177</v>
      </c>
      <c r="N57" s="94">
        <f>攻击!P57</f>
        <v>236</v>
      </c>
      <c r="O57" s="94">
        <f>攻击!Q57</f>
        <v>295</v>
      </c>
      <c r="P57" s="94">
        <f>攻击!R57</f>
        <v>354</v>
      </c>
      <c r="Q57" s="94">
        <f>攻击!S57</f>
        <v>413</v>
      </c>
      <c r="R57" s="94">
        <f>攻击!T57</f>
        <v>88.5</v>
      </c>
      <c r="S57" s="94">
        <f>攻击!U57</f>
        <v>35.4</v>
      </c>
      <c r="T57" s="94">
        <f>攻击!V57</f>
        <v>35.4</v>
      </c>
      <c r="U57" s="94">
        <f>攻击!W57</f>
        <v>5.9</v>
      </c>
      <c r="V57" s="93">
        <f>攻击!X57</f>
        <v>0</v>
      </c>
      <c r="W57" s="93">
        <f>攻击!Y57</f>
        <v>0</v>
      </c>
      <c r="X57" s="93">
        <f>攻击!Z57</f>
        <v>0</v>
      </c>
      <c r="Y57" s="93">
        <f>攻击!AA57</f>
        <v>0</v>
      </c>
      <c r="Z57" s="93">
        <f>攻击!AB57</f>
        <v>0</v>
      </c>
      <c r="AA57" s="94">
        <f>攻击!AL57</f>
        <v>0</v>
      </c>
      <c r="AB57" s="93">
        <f>攻击!AM57</f>
        <v>0</v>
      </c>
      <c r="AC57" s="93">
        <f>攻击!AN57</f>
        <v>0</v>
      </c>
      <c r="AD57" s="93">
        <f>攻击!AO57</f>
        <v>0</v>
      </c>
      <c r="AE57" s="93">
        <f>攻击!AP57</f>
        <v>0</v>
      </c>
      <c r="AF57" s="93">
        <f>攻击!AQ57</f>
        <v>0</v>
      </c>
      <c r="AG57" s="94">
        <f>攻击!AR57</f>
        <v>23.6</v>
      </c>
      <c r="AH57" s="94">
        <f t="shared" si="0"/>
        <v>318.60000000000002</v>
      </c>
    </row>
    <row r="58" spans="1:34">
      <c r="A58" s="46">
        <v>56</v>
      </c>
      <c r="B58" s="94">
        <f>攻击!D58</f>
        <v>120</v>
      </c>
      <c r="C58" s="94">
        <f>攻击!E58</f>
        <v>144</v>
      </c>
      <c r="D58" s="94">
        <f>攻击!F58</f>
        <v>180</v>
      </c>
      <c r="E58" s="94">
        <f>攻击!G58</f>
        <v>240</v>
      </c>
      <c r="F58" s="94">
        <f>攻击!H58</f>
        <v>300</v>
      </c>
      <c r="G58" s="94">
        <f>攻击!I58</f>
        <v>59</v>
      </c>
      <c r="H58" s="94">
        <f>攻击!J58</f>
        <v>36</v>
      </c>
      <c r="I58" s="94">
        <f>攻击!K58</f>
        <v>72</v>
      </c>
      <c r="J58" s="94">
        <f>攻击!L58</f>
        <v>0</v>
      </c>
      <c r="K58" s="94">
        <f>攻击!M58</f>
        <v>96</v>
      </c>
      <c r="L58" s="94">
        <f>攻击!N58</f>
        <v>144</v>
      </c>
      <c r="M58" s="94">
        <f>攻击!O58</f>
        <v>180</v>
      </c>
      <c r="N58" s="94">
        <f>攻击!P58</f>
        <v>240</v>
      </c>
      <c r="O58" s="94">
        <f>攻击!Q58</f>
        <v>300</v>
      </c>
      <c r="P58" s="94">
        <f>攻击!R58</f>
        <v>360</v>
      </c>
      <c r="Q58" s="94">
        <f>攻击!S58</f>
        <v>420</v>
      </c>
      <c r="R58" s="94">
        <f>攻击!T58</f>
        <v>90</v>
      </c>
      <c r="S58" s="94">
        <f>攻击!U58</f>
        <v>36</v>
      </c>
      <c r="T58" s="94">
        <f>攻击!V58</f>
        <v>36</v>
      </c>
      <c r="U58" s="94">
        <f>攻击!W58</f>
        <v>6</v>
      </c>
      <c r="V58" s="93">
        <f>攻击!X58</f>
        <v>0</v>
      </c>
      <c r="W58" s="93">
        <f>攻击!Y58</f>
        <v>0</v>
      </c>
      <c r="X58" s="93">
        <f>攻击!Z58</f>
        <v>0</v>
      </c>
      <c r="Y58" s="93">
        <f>攻击!AA58</f>
        <v>0</v>
      </c>
      <c r="Z58" s="93">
        <f>攻击!AB58</f>
        <v>0</v>
      </c>
      <c r="AA58" s="94">
        <f>攻击!AL58</f>
        <v>0</v>
      </c>
      <c r="AB58" s="93">
        <f>攻击!AM58</f>
        <v>0</v>
      </c>
      <c r="AC58" s="93">
        <f>攻击!AN58</f>
        <v>0</v>
      </c>
      <c r="AD58" s="93">
        <f>攻击!AO58</f>
        <v>0</v>
      </c>
      <c r="AE58" s="93">
        <f>攻击!AP58</f>
        <v>0</v>
      </c>
      <c r="AF58" s="93">
        <f>攻击!AQ58</f>
        <v>0</v>
      </c>
      <c r="AG58" s="94">
        <f>攻击!AR58</f>
        <v>24</v>
      </c>
      <c r="AH58" s="94">
        <f t="shared" si="0"/>
        <v>324</v>
      </c>
    </row>
    <row r="59" spans="1:34">
      <c r="A59" s="46">
        <v>57</v>
      </c>
      <c r="B59" s="94">
        <f>攻击!D59</f>
        <v>122</v>
      </c>
      <c r="C59" s="94">
        <f>攻击!E59</f>
        <v>146.4</v>
      </c>
      <c r="D59" s="94">
        <f>攻击!F59</f>
        <v>183</v>
      </c>
      <c r="E59" s="94">
        <f>攻击!G59</f>
        <v>244</v>
      </c>
      <c r="F59" s="94">
        <f>攻击!H59</f>
        <v>305</v>
      </c>
      <c r="G59" s="94">
        <f>攻击!I59</f>
        <v>59</v>
      </c>
      <c r="H59" s="94">
        <f>攻击!J59</f>
        <v>36.6</v>
      </c>
      <c r="I59" s="94">
        <f>攻击!K59</f>
        <v>73.2</v>
      </c>
      <c r="J59" s="94">
        <f>攻击!L59</f>
        <v>0</v>
      </c>
      <c r="K59" s="94">
        <f>攻击!M59</f>
        <v>97.600000000000009</v>
      </c>
      <c r="L59" s="94">
        <f>攻击!N59</f>
        <v>146.4</v>
      </c>
      <c r="M59" s="94">
        <f>攻击!O59</f>
        <v>183</v>
      </c>
      <c r="N59" s="94">
        <f>攻击!P59</f>
        <v>244</v>
      </c>
      <c r="O59" s="94">
        <f>攻击!Q59</f>
        <v>305</v>
      </c>
      <c r="P59" s="94">
        <f>攻击!R59</f>
        <v>366</v>
      </c>
      <c r="Q59" s="94">
        <f>攻击!S59</f>
        <v>427</v>
      </c>
      <c r="R59" s="94">
        <f>攻击!T59</f>
        <v>91.5</v>
      </c>
      <c r="S59" s="94">
        <f>攻击!U59</f>
        <v>36.6</v>
      </c>
      <c r="T59" s="94">
        <f>攻击!V59</f>
        <v>36.6</v>
      </c>
      <c r="U59" s="94">
        <f>攻击!W59</f>
        <v>6.1000000000000005</v>
      </c>
      <c r="V59" s="93">
        <f>攻击!X59</f>
        <v>0</v>
      </c>
      <c r="W59" s="93">
        <f>攻击!Y59</f>
        <v>0</v>
      </c>
      <c r="X59" s="93">
        <f>攻击!Z59</f>
        <v>0</v>
      </c>
      <c r="Y59" s="93">
        <f>攻击!AA59</f>
        <v>0</v>
      </c>
      <c r="Z59" s="93">
        <f>攻击!AB59</f>
        <v>0</v>
      </c>
      <c r="AA59" s="94">
        <f>攻击!AL59</f>
        <v>0</v>
      </c>
      <c r="AB59" s="93">
        <f>攻击!AM59</f>
        <v>0</v>
      </c>
      <c r="AC59" s="93">
        <f>攻击!AN59</f>
        <v>0</v>
      </c>
      <c r="AD59" s="93">
        <f>攻击!AO59</f>
        <v>0</v>
      </c>
      <c r="AE59" s="93">
        <f>攻击!AP59</f>
        <v>0</v>
      </c>
      <c r="AF59" s="93">
        <f>攻击!AQ59</f>
        <v>0</v>
      </c>
      <c r="AG59" s="94">
        <f>攻击!AR59</f>
        <v>24.400000000000002</v>
      </c>
      <c r="AH59" s="94">
        <f t="shared" si="0"/>
        <v>329.4</v>
      </c>
    </row>
    <row r="60" spans="1:34">
      <c r="A60" s="46">
        <v>58</v>
      </c>
      <c r="B60" s="94">
        <f>攻击!D60</f>
        <v>124</v>
      </c>
      <c r="C60" s="94">
        <f>攻击!E60</f>
        <v>148.79999999999998</v>
      </c>
      <c r="D60" s="94">
        <f>攻击!F60</f>
        <v>186</v>
      </c>
      <c r="E60" s="94">
        <f>攻击!G60</f>
        <v>248</v>
      </c>
      <c r="F60" s="94">
        <f>攻击!H60</f>
        <v>310</v>
      </c>
      <c r="G60" s="94">
        <f>攻击!I60</f>
        <v>59</v>
      </c>
      <c r="H60" s="94">
        <f>攻击!J60</f>
        <v>37.199999999999996</v>
      </c>
      <c r="I60" s="94">
        <f>攻击!K60</f>
        <v>74.399999999999991</v>
      </c>
      <c r="J60" s="94">
        <f>攻击!L60</f>
        <v>0</v>
      </c>
      <c r="K60" s="94">
        <f>攻击!M60</f>
        <v>99.2</v>
      </c>
      <c r="L60" s="94">
        <f>攻击!N60</f>
        <v>148.79999999999998</v>
      </c>
      <c r="M60" s="94">
        <f>攻击!O60</f>
        <v>186</v>
      </c>
      <c r="N60" s="94">
        <f>攻击!P60</f>
        <v>248</v>
      </c>
      <c r="O60" s="94">
        <f>攻击!Q60</f>
        <v>310</v>
      </c>
      <c r="P60" s="94">
        <f>攻击!R60</f>
        <v>372</v>
      </c>
      <c r="Q60" s="94">
        <f>攻击!S60</f>
        <v>434</v>
      </c>
      <c r="R60" s="94">
        <f>攻击!T60</f>
        <v>93</v>
      </c>
      <c r="S60" s="94">
        <f>攻击!U60</f>
        <v>37.199999999999996</v>
      </c>
      <c r="T60" s="94">
        <f>攻击!V60</f>
        <v>37.199999999999996</v>
      </c>
      <c r="U60" s="94">
        <f>攻击!W60</f>
        <v>6.2</v>
      </c>
      <c r="V60" s="93">
        <f>攻击!X60</f>
        <v>0</v>
      </c>
      <c r="W60" s="93">
        <f>攻击!Y60</f>
        <v>0</v>
      </c>
      <c r="X60" s="93">
        <f>攻击!Z60</f>
        <v>0</v>
      </c>
      <c r="Y60" s="93">
        <f>攻击!AA60</f>
        <v>0</v>
      </c>
      <c r="Z60" s="93">
        <f>攻击!AB60</f>
        <v>0</v>
      </c>
      <c r="AA60" s="94">
        <f>攻击!AL60</f>
        <v>0</v>
      </c>
      <c r="AB60" s="93">
        <f>攻击!AM60</f>
        <v>0</v>
      </c>
      <c r="AC60" s="93">
        <f>攻击!AN60</f>
        <v>0</v>
      </c>
      <c r="AD60" s="93">
        <f>攻击!AO60</f>
        <v>0</v>
      </c>
      <c r="AE60" s="93">
        <f>攻击!AP60</f>
        <v>0</v>
      </c>
      <c r="AF60" s="93">
        <f>攻击!AQ60</f>
        <v>0</v>
      </c>
      <c r="AG60" s="94">
        <f>攻击!AR60</f>
        <v>24.8</v>
      </c>
      <c r="AH60" s="94">
        <f t="shared" si="0"/>
        <v>334.8</v>
      </c>
    </row>
    <row r="61" spans="1:34">
      <c r="A61" s="46">
        <v>59</v>
      </c>
      <c r="B61" s="94">
        <f>攻击!D61</f>
        <v>126</v>
      </c>
      <c r="C61" s="94">
        <f>攻击!E61</f>
        <v>151.19999999999999</v>
      </c>
      <c r="D61" s="94">
        <f>攻击!F61</f>
        <v>189</v>
      </c>
      <c r="E61" s="94">
        <f>攻击!G61</f>
        <v>252</v>
      </c>
      <c r="F61" s="94">
        <f>攻击!H61</f>
        <v>315</v>
      </c>
      <c r="G61" s="94">
        <f>攻击!I61</f>
        <v>59</v>
      </c>
      <c r="H61" s="94">
        <f>攻击!J61</f>
        <v>37.799999999999997</v>
      </c>
      <c r="I61" s="94">
        <f>攻击!K61</f>
        <v>75.599999999999994</v>
      </c>
      <c r="J61" s="94">
        <f>攻击!L61</f>
        <v>0</v>
      </c>
      <c r="K61" s="94">
        <f>攻击!M61</f>
        <v>100.80000000000001</v>
      </c>
      <c r="L61" s="94">
        <f>攻击!N61</f>
        <v>151.19999999999999</v>
      </c>
      <c r="M61" s="94">
        <f>攻击!O61</f>
        <v>189</v>
      </c>
      <c r="N61" s="94">
        <f>攻击!P61</f>
        <v>252</v>
      </c>
      <c r="O61" s="94">
        <f>攻击!Q61</f>
        <v>315</v>
      </c>
      <c r="P61" s="94">
        <f>攻击!R61</f>
        <v>378</v>
      </c>
      <c r="Q61" s="94">
        <f>攻击!S61</f>
        <v>441</v>
      </c>
      <c r="R61" s="94">
        <f>攻击!T61</f>
        <v>94.5</v>
      </c>
      <c r="S61" s="94">
        <f>攻击!U61</f>
        <v>37.799999999999997</v>
      </c>
      <c r="T61" s="94">
        <f>攻击!V61</f>
        <v>37.799999999999997</v>
      </c>
      <c r="U61" s="94">
        <f>攻击!W61</f>
        <v>6.3000000000000007</v>
      </c>
      <c r="V61" s="93">
        <f>攻击!X61</f>
        <v>0</v>
      </c>
      <c r="W61" s="93">
        <f>攻击!Y61</f>
        <v>0</v>
      </c>
      <c r="X61" s="93">
        <f>攻击!Z61</f>
        <v>0</v>
      </c>
      <c r="Y61" s="93">
        <f>攻击!AA61</f>
        <v>0</v>
      </c>
      <c r="Z61" s="93">
        <f>攻击!AB61</f>
        <v>0</v>
      </c>
      <c r="AA61" s="94">
        <f>攻击!AL61</f>
        <v>0</v>
      </c>
      <c r="AB61" s="93">
        <f>攻击!AM61</f>
        <v>0</v>
      </c>
      <c r="AC61" s="93">
        <f>攻击!AN61</f>
        <v>0</v>
      </c>
      <c r="AD61" s="93">
        <f>攻击!AO61</f>
        <v>0</v>
      </c>
      <c r="AE61" s="93">
        <f>攻击!AP61</f>
        <v>0</v>
      </c>
      <c r="AF61" s="93">
        <f>攻击!AQ61</f>
        <v>0</v>
      </c>
      <c r="AG61" s="94">
        <f>攻击!AR61</f>
        <v>25.200000000000003</v>
      </c>
      <c r="AH61" s="94">
        <f t="shared" si="0"/>
        <v>340.2</v>
      </c>
    </row>
    <row r="62" spans="1:34">
      <c r="A62" s="46">
        <v>60</v>
      </c>
      <c r="B62" s="94">
        <f>攻击!D62</f>
        <v>128</v>
      </c>
      <c r="C62" s="94">
        <f>攻击!E62</f>
        <v>153.6</v>
      </c>
      <c r="D62" s="94">
        <f>攻击!F62</f>
        <v>192</v>
      </c>
      <c r="E62" s="94">
        <f>攻击!G62</f>
        <v>256</v>
      </c>
      <c r="F62" s="94">
        <f>攻击!H62</f>
        <v>320</v>
      </c>
      <c r="G62" s="94">
        <f>攻击!I62</f>
        <v>64</v>
      </c>
      <c r="H62" s="94">
        <f>攻击!J62</f>
        <v>38.4</v>
      </c>
      <c r="I62" s="94">
        <f>攻击!K62</f>
        <v>76.8</v>
      </c>
      <c r="J62" s="94">
        <f>攻击!L62</f>
        <v>0</v>
      </c>
      <c r="K62" s="94">
        <f>攻击!M62</f>
        <v>102.4</v>
      </c>
      <c r="L62" s="94">
        <f>攻击!N62</f>
        <v>153.6</v>
      </c>
      <c r="M62" s="94">
        <f>攻击!O62</f>
        <v>192</v>
      </c>
      <c r="N62" s="94">
        <f>攻击!P62</f>
        <v>256</v>
      </c>
      <c r="O62" s="94">
        <f>攻击!Q62</f>
        <v>320</v>
      </c>
      <c r="P62" s="94">
        <f>攻击!R62</f>
        <v>384</v>
      </c>
      <c r="Q62" s="94">
        <f>攻击!S62</f>
        <v>448</v>
      </c>
      <c r="R62" s="94">
        <f>攻击!T62</f>
        <v>96</v>
      </c>
      <c r="S62" s="94">
        <f>攻击!U62</f>
        <v>38.4</v>
      </c>
      <c r="T62" s="94">
        <f>攻击!V62</f>
        <v>38.4</v>
      </c>
      <c r="U62" s="94">
        <f>攻击!W62</f>
        <v>6.4</v>
      </c>
      <c r="V62" s="93">
        <f>攻击!X62</f>
        <v>0</v>
      </c>
      <c r="W62" s="93">
        <f>攻击!Y62</f>
        <v>0</v>
      </c>
      <c r="X62" s="93">
        <f>攻击!Z62</f>
        <v>0</v>
      </c>
      <c r="Y62" s="93">
        <f>攻击!AA62</f>
        <v>0</v>
      </c>
      <c r="Z62" s="93">
        <f>攻击!AB62</f>
        <v>0</v>
      </c>
      <c r="AA62" s="94">
        <f>攻击!AL62</f>
        <v>0</v>
      </c>
      <c r="AB62" s="93">
        <f>攻击!AM62</f>
        <v>0</v>
      </c>
      <c r="AC62" s="93">
        <f>攻击!AN62</f>
        <v>0</v>
      </c>
      <c r="AD62" s="93">
        <f>攻击!AO62</f>
        <v>0</v>
      </c>
      <c r="AE62" s="93">
        <f>攻击!AP62</f>
        <v>0</v>
      </c>
      <c r="AF62" s="93">
        <f>攻击!AQ62</f>
        <v>0</v>
      </c>
      <c r="AG62" s="94">
        <f>攻击!AR62</f>
        <v>25.6</v>
      </c>
      <c r="AH62" s="94">
        <f t="shared" si="0"/>
        <v>345.6</v>
      </c>
    </row>
    <row r="63" spans="1:34">
      <c r="A63" s="46">
        <v>61</v>
      </c>
      <c r="B63" s="94">
        <f>攻击!D63</f>
        <v>130</v>
      </c>
      <c r="C63" s="94">
        <f>攻击!E63</f>
        <v>156</v>
      </c>
      <c r="D63" s="94">
        <f>攻击!F63</f>
        <v>195</v>
      </c>
      <c r="E63" s="94">
        <f>攻击!G63</f>
        <v>260</v>
      </c>
      <c r="F63" s="94">
        <f>攻击!H63</f>
        <v>325</v>
      </c>
      <c r="G63" s="94">
        <f>攻击!I63</f>
        <v>64</v>
      </c>
      <c r="H63" s="94">
        <f>攻击!J63</f>
        <v>39</v>
      </c>
      <c r="I63" s="94">
        <f>攻击!K63</f>
        <v>78</v>
      </c>
      <c r="J63" s="94">
        <f>攻击!L63</f>
        <v>0</v>
      </c>
      <c r="K63" s="94">
        <f>攻击!M63</f>
        <v>104</v>
      </c>
      <c r="L63" s="94">
        <f>攻击!N63</f>
        <v>156</v>
      </c>
      <c r="M63" s="94">
        <f>攻击!O63</f>
        <v>195</v>
      </c>
      <c r="N63" s="94">
        <f>攻击!P63</f>
        <v>260</v>
      </c>
      <c r="O63" s="94">
        <f>攻击!Q63</f>
        <v>325</v>
      </c>
      <c r="P63" s="94">
        <f>攻击!R63</f>
        <v>390</v>
      </c>
      <c r="Q63" s="94">
        <f>攻击!S63</f>
        <v>455</v>
      </c>
      <c r="R63" s="94">
        <f>攻击!T63</f>
        <v>97.5</v>
      </c>
      <c r="S63" s="94">
        <f>攻击!U63</f>
        <v>39</v>
      </c>
      <c r="T63" s="94">
        <f>攻击!V63</f>
        <v>39</v>
      </c>
      <c r="U63" s="94">
        <f>攻击!W63</f>
        <v>6.5</v>
      </c>
      <c r="V63" s="93">
        <f>攻击!X63</f>
        <v>0</v>
      </c>
      <c r="W63" s="93">
        <f>攻击!Y63</f>
        <v>0</v>
      </c>
      <c r="X63" s="93">
        <f>攻击!Z63</f>
        <v>0</v>
      </c>
      <c r="Y63" s="93">
        <f>攻击!AA63</f>
        <v>0</v>
      </c>
      <c r="Z63" s="93">
        <f>攻击!AB63</f>
        <v>0</v>
      </c>
      <c r="AA63" s="94">
        <f>攻击!AL63</f>
        <v>0</v>
      </c>
      <c r="AB63" s="93">
        <f>攻击!AM63</f>
        <v>0</v>
      </c>
      <c r="AC63" s="93">
        <f>攻击!AN63</f>
        <v>0</v>
      </c>
      <c r="AD63" s="93">
        <f>攻击!AO63</f>
        <v>0</v>
      </c>
      <c r="AE63" s="93">
        <f>攻击!AP63</f>
        <v>0</v>
      </c>
      <c r="AF63" s="93">
        <f>攻击!AQ63</f>
        <v>0</v>
      </c>
      <c r="AG63" s="94">
        <f>攻击!AR63</f>
        <v>26</v>
      </c>
      <c r="AH63" s="94">
        <f t="shared" si="0"/>
        <v>351</v>
      </c>
    </row>
    <row r="64" spans="1:34">
      <c r="A64" s="46">
        <v>62</v>
      </c>
      <c r="B64" s="94">
        <f>攻击!D64</f>
        <v>132</v>
      </c>
      <c r="C64" s="94">
        <f>攻击!E64</f>
        <v>158.4</v>
      </c>
      <c r="D64" s="94">
        <f>攻击!F64</f>
        <v>198</v>
      </c>
      <c r="E64" s="94">
        <f>攻击!G64</f>
        <v>264</v>
      </c>
      <c r="F64" s="94">
        <f>攻击!H64</f>
        <v>330</v>
      </c>
      <c r="G64" s="94">
        <f>攻击!I64</f>
        <v>64</v>
      </c>
      <c r="H64" s="94">
        <f>攻击!J64</f>
        <v>39.6</v>
      </c>
      <c r="I64" s="94">
        <f>攻击!K64</f>
        <v>79.2</v>
      </c>
      <c r="J64" s="94">
        <f>攻击!L64</f>
        <v>0</v>
      </c>
      <c r="K64" s="94">
        <f>攻击!M64</f>
        <v>105.60000000000001</v>
      </c>
      <c r="L64" s="94">
        <f>攻击!N64</f>
        <v>158.4</v>
      </c>
      <c r="M64" s="94">
        <f>攻击!O64</f>
        <v>198</v>
      </c>
      <c r="N64" s="94">
        <f>攻击!P64</f>
        <v>264</v>
      </c>
      <c r="O64" s="94">
        <f>攻击!Q64</f>
        <v>330</v>
      </c>
      <c r="P64" s="94">
        <f>攻击!R64</f>
        <v>396</v>
      </c>
      <c r="Q64" s="94">
        <f>攻击!S64</f>
        <v>462</v>
      </c>
      <c r="R64" s="94">
        <f>攻击!T64</f>
        <v>99</v>
      </c>
      <c r="S64" s="94">
        <f>攻击!U64</f>
        <v>39.6</v>
      </c>
      <c r="T64" s="94">
        <f>攻击!V64</f>
        <v>39.6</v>
      </c>
      <c r="U64" s="94">
        <f>攻击!W64</f>
        <v>6.6000000000000005</v>
      </c>
      <c r="V64" s="93">
        <f>攻击!X64</f>
        <v>0</v>
      </c>
      <c r="W64" s="93">
        <f>攻击!Y64</f>
        <v>0</v>
      </c>
      <c r="X64" s="93">
        <f>攻击!Z64</f>
        <v>0</v>
      </c>
      <c r="Y64" s="93">
        <f>攻击!AA64</f>
        <v>0</v>
      </c>
      <c r="Z64" s="93">
        <f>攻击!AB64</f>
        <v>0</v>
      </c>
      <c r="AA64" s="94">
        <f>攻击!AL64</f>
        <v>0</v>
      </c>
      <c r="AB64" s="93">
        <f>攻击!AM64</f>
        <v>0</v>
      </c>
      <c r="AC64" s="93">
        <f>攻击!AN64</f>
        <v>0</v>
      </c>
      <c r="AD64" s="93">
        <f>攻击!AO64</f>
        <v>0</v>
      </c>
      <c r="AE64" s="93">
        <f>攻击!AP64</f>
        <v>0</v>
      </c>
      <c r="AF64" s="93">
        <f>攻击!AQ64</f>
        <v>0</v>
      </c>
      <c r="AG64" s="94">
        <f>攻击!AR64</f>
        <v>26.400000000000002</v>
      </c>
      <c r="AH64" s="94">
        <f t="shared" si="0"/>
        <v>356.4</v>
      </c>
    </row>
    <row r="65" spans="1:34">
      <c r="A65" s="46">
        <v>63</v>
      </c>
      <c r="B65" s="94">
        <f>攻击!D65</f>
        <v>134</v>
      </c>
      <c r="C65" s="94">
        <f>攻击!E65</f>
        <v>160.79999999999998</v>
      </c>
      <c r="D65" s="94">
        <f>攻击!F65</f>
        <v>201</v>
      </c>
      <c r="E65" s="94">
        <f>攻击!G65</f>
        <v>268</v>
      </c>
      <c r="F65" s="94">
        <f>攻击!H65</f>
        <v>335</v>
      </c>
      <c r="G65" s="94">
        <f>攻击!I65</f>
        <v>64</v>
      </c>
      <c r="H65" s="94">
        <f>攻击!J65</f>
        <v>40.199999999999996</v>
      </c>
      <c r="I65" s="94">
        <f>攻击!K65</f>
        <v>80.399999999999991</v>
      </c>
      <c r="J65" s="94">
        <f>攻击!L65</f>
        <v>0</v>
      </c>
      <c r="K65" s="94">
        <f>攻击!M65</f>
        <v>107.2</v>
      </c>
      <c r="L65" s="94">
        <f>攻击!N65</f>
        <v>160.79999999999998</v>
      </c>
      <c r="M65" s="94">
        <f>攻击!O65</f>
        <v>201</v>
      </c>
      <c r="N65" s="94">
        <f>攻击!P65</f>
        <v>268</v>
      </c>
      <c r="O65" s="94">
        <f>攻击!Q65</f>
        <v>335</v>
      </c>
      <c r="P65" s="94">
        <f>攻击!R65</f>
        <v>402</v>
      </c>
      <c r="Q65" s="94">
        <f>攻击!S65</f>
        <v>469</v>
      </c>
      <c r="R65" s="94">
        <f>攻击!T65</f>
        <v>100.5</v>
      </c>
      <c r="S65" s="94">
        <f>攻击!U65</f>
        <v>40.199999999999996</v>
      </c>
      <c r="T65" s="94">
        <f>攻击!V65</f>
        <v>40.199999999999996</v>
      </c>
      <c r="U65" s="94">
        <f>攻击!W65</f>
        <v>6.7</v>
      </c>
      <c r="V65" s="93">
        <f>攻击!X65</f>
        <v>0</v>
      </c>
      <c r="W65" s="93">
        <f>攻击!Y65</f>
        <v>0</v>
      </c>
      <c r="X65" s="93">
        <f>攻击!Z65</f>
        <v>0</v>
      </c>
      <c r="Y65" s="93">
        <f>攻击!AA65</f>
        <v>0</v>
      </c>
      <c r="Z65" s="93">
        <f>攻击!AB65</f>
        <v>0</v>
      </c>
      <c r="AA65" s="94">
        <f>攻击!AL65</f>
        <v>0</v>
      </c>
      <c r="AB65" s="93">
        <f>攻击!AM65</f>
        <v>0</v>
      </c>
      <c r="AC65" s="93">
        <f>攻击!AN65</f>
        <v>0</v>
      </c>
      <c r="AD65" s="93">
        <f>攻击!AO65</f>
        <v>0</v>
      </c>
      <c r="AE65" s="93">
        <f>攻击!AP65</f>
        <v>0</v>
      </c>
      <c r="AF65" s="93">
        <f>攻击!AQ65</f>
        <v>0</v>
      </c>
      <c r="AG65" s="94">
        <f>攻击!AR65</f>
        <v>26.8</v>
      </c>
      <c r="AH65" s="94">
        <f t="shared" si="0"/>
        <v>361.8</v>
      </c>
    </row>
    <row r="66" spans="1:34">
      <c r="A66" s="46">
        <v>64</v>
      </c>
      <c r="B66" s="94">
        <f>攻击!D66</f>
        <v>136</v>
      </c>
      <c r="C66" s="94">
        <f>攻击!E66</f>
        <v>163.19999999999999</v>
      </c>
      <c r="D66" s="94">
        <f>攻击!F66</f>
        <v>204</v>
      </c>
      <c r="E66" s="94">
        <f>攻击!G66</f>
        <v>272</v>
      </c>
      <c r="F66" s="94">
        <f>攻击!H66</f>
        <v>340</v>
      </c>
      <c r="G66" s="94">
        <f>攻击!I66</f>
        <v>64</v>
      </c>
      <c r="H66" s="94">
        <f>攻击!J66</f>
        <v>40.799999999999997</v>
      </c>
      <c r="I66" s="94">
        <f>攻击!K66</f>
        <v>81.599999999999994</v>
      </c>
      <c r="J66" s="94">
        <f>攻击!L66</f>
        <v>0</v>
      </c>
      <c r="K66" s="94">
        <f>攻击!M66</f>
        <v>108.80000000000001</v>
      </c>
      <c r="L66" s="94">
        <f>攻击!N66</f>
        <v>163.19999999999999</v>
      </c>
      <c r="M66" s="94">
        <f>攻击!O66</f>
        <v>204</v>
      </c>
      <c r="N66" s="94">
        <f>攻击!P66</f>
        <v>272</v>
      </c>
      <c r="O66" s="94">
        <f>攻击!Q66</f>
        <v>340</v>
      </c>
      <c r="P66" s="94">
        <f>攻击!R66</f>
        <v>408</v>
      </c>
      <c r="Q66" s="94">
        <f>攻击!S66</f>
        <v>476</v>
      </c>
      <c r="R66" s="94">
        <f>攻击!T66</f>
        <v>102</v>
      </c>
      <c r="S66" s="94">
        <f>攻击!U66</f>
        <v>40.799999999999997</v>
      </c>
      <c r="T66" s="94">
        <f>攻击!V66</f>
        <v>40.799999999999997</v>
      </c>
      <c r="U66" s="94">
        <f>攻击!W66</f>
        <v>6.8000000000000007</v>
      </c>
      <c r="V66" s="93">
        <f>攻击!X66</f>
        <v>0</v>
      </c>
      <c r="W66" s="93">
        <f>攻击!Y66</f>
        <v>0</v>
      </c>
      <c r="X66" s="93">
        <f>攻击!Z66</f>
        <v>0</v>
      </c>
      <c r="Y66" s="93">
        <f>攻击!AA66</f>
        <v>0</v>
      </c>
      <c r="Z66" s="93">
        <f>攻击!AB66</f>
        <v>0</v>
      </c>
      <c r="AA66" s="94">
        <f>攻击!AL66</f>
        <v>0</v>
      </c>
      <c r="AB66" s="93">
        <f>攻击!AM66</f>
        <v>0</v>
      </c>
      <c r="AC66" s="93">
        <f>攻击!AN66</f>
        <v>0</v>
      </c>
      <c r="AD66" s="93">
        <f>攻击!AO66</f>
        <v>0</v>
      </c>
      <c r="AE66" s="93">
        <f>攻击!AP66</f>
        <v>0</v>
      </c>
      <c r="AF66" s="93">
        <f>攻击!AQ66</f>
        <v>0</v>
      </c>
      <c r="AG66" s="94">
        <f>攻击!AR66</f>
        <v>27.200000000000003</v>
      </c>
      <c r="AH66" s="94">
        <f t="shared" si="0"/>
        <v>367.2</v>
      </c>
    </row>
    <row r="67" spans="1:34">
      <c r="A67" s="46">
        <v>65</v>
      </c>
      <c r="B67" s="94">
        <f>攻击!D67</f>
        <v>138</v>
      </c>
      <c r="C67" s="94">
        <f>攻击!E67</f>
        <v>165.6</v>
      </c>
      <c r="D67" s="94">
        <f>攻击!F67</f>
        <v>207</v>
      </c>
      <c r="E67" s="94">
        <f>攻击!G67</f>
        <v>276</v>
      </c>
      <c r="F67" s="94">
        <f>攻击!H67</f>
        <v>345</v>
      </c>
      <c r="G67" s="94">
        <f>攻击!I67</f>
        <v>69</v>
      </c>
      <c r="H67" s="94">
        <f>攻击!J67</f>
        <v>41.4</v>
      </c>
      <c r="I67" s="94">
        <f>攻击!K67</f>
        <v>82.8</v>
      </c>
      <c r="J67" s="94">
        <f>攻击!L67</f>
        <v>0</v>
      </c>
      <c r="K67" s="94">
        <f>攻击!M67</f>
        <v>110.4</v>
      </c>
      <c r="L67" s="94">
        <f>攻击!N67</f>
        <v>165.6</v>
      </c>
      <c r="M67" s="94">
        <f>攻击!O67</f>
        <v>207</v>
      </c>
      <c r="N67" s="94">
        <f>攻击!P67</f>
        <v>276</v>
      </c>
      <c r="O67" s="94">
        <f>攻击!Q67</f>
        <v>345</v>
      </c>
      <c r="P67" s="94">
        <f>攻击!R67</f>
        <v>414</v>
      </c>
      <c r="Q67" s="94">
        <f>攻击!S67</f>
        <v>483</v>
      </c>
      <c r="R67" s="94">
        <f>攻击!T67</f>
        <v>103.5</v>
      </c>
      <c r="S67" s="94">
        <f>攻击!U67</f>
        <v>41.4</v>
      </c>
      <c r="T67" s="94">
        <f>攻击!V67</f>
        <v>41.4</v>
      </c>
      <c r="U67" s="94">
        <f>攻击!W67</f>
        <v>6.9</v>
      </c>
      <c r="V67" s="93">
        <f>攻击!X67</f>
        <v>0</v>
      </c>
      <c r="W67" s="93">
        <f>攻击!Y67</f>
        <v>0</v>
      </c>
      <c r="X67" s="93">
        <f>攻击!Z67</f>
        <v>0</v>
      </c>
      <c r="Y67" s="93">
        <f>攻击!AA67</f>
        <v>0</v>
      </c>
      <c r="Z67" s="93">
        <f>攻击!AB67</f>
        <v>0</v>
      </c>
      <c r="AA67" s="94">
        <f>攻击!AL67</f>
        <v>0</v>
      </c>
      <c r="AB67" s="93">
        <f>攻击!AM67</f>
        <v>0</v>
      </c>
      <c r="AC67" s="93">
        <f>攻击!AN67</f>
        <v>0</v>
      </c>
      <c r="AD67" s="93">
        <f>攻击!AO67</f>
        <v>0</v>
      </c>
      <c r="AE67" s="93">
        <f>攻击!AP67</f>
        <v>0</v>
      </c>
      <c r="AF67" s="93">
        <f>攻击!AQ67</f>
        <v>0</v>
      </c>
      <c r="AG67" s="94">
        <f>攻击!AR67</f>
        <v>27.6</v>
      </c>
      <c r="AH67" s="94">
        <f t="shared" si="0"/>
        <v>372.6</v>
      </c>
    </row>
    <row r="68" spans="1:34">
      <c r="A68" s="46">
        <v>66</v>
      </c>
      <c r="B68" s="94">
        <f>攻击!D68</f>
        <v>140</v>
      </c>
      <c r="C68" s="94">
        <f>攻击!E68</f>
        <v>168</v>
      </c>
      <c r="D68" s="94">
        <f>攻击!F68</f>
        <v>210</v>
      </c>
      <c r="E68" s="94">
        <f>攻击!G68</f>
        <v>280</v>
      </c>
      <c r="F68" s="94">
        <f>攻击!H68</f>
        <v>350</v>
      </c>
      <c r="G68" s="94">
        <f>攻击!I68</f>
        <v>69</v>
      </c>
      <c r="H68" s="94">
        <f>攻击!J68</f>
        <v>42</v>
      </c>
      <c r="I68" s="94">
        <f>攻击!K68</f>
        <v>84</v>
      </c>
      <c r="J68" s="94">
        <f>攻击!L68</f>
        <v>0</v>
      </c>
      <c r="K68" s="94">
        <f>攻击!M68</f>
        <v>112</v>
      </c>
      <c r="L68" s="94">
        <f>攻击!N68</f>
        <v>168</v>
      </c>
      <c r="M68" s="94">
        <f>攻击!O68</f>
        <v>210</v>
      </c>
      <c r="N68" s="94">
        <f>攻击!P68</f>
        <v>280</v>
      </c>
      <c r="O68" s="94">
        <f>攻击!Q68</f>
        <v>350</v>
      </c>
      <c r="P68" s="94">
        <f>攻击!R68</f>
        <v>420</v>
      </c>
      <c r="Q68" s="94">
        <f>攻击!S68</f>
        <v>490</v>
      </c>
      <c r="R68" s="94">
        <f>攻击!T68</f>
        <v>105</v>
      </c>
      <c r="S68" s="94">
        <f>攻击!U68</f>
        <v>42</v>
      </c>
      <c r="T68" s="94">
        <f>攻击!V68</f>
        <v>42</v>
      </c>
      <c r="U68" s="94">
        <f>攻击!W68</f>
        <v>7</v>
      </c>
      <c r="V68" s="93">
        <f>攻击!X68</f>
        <v>0</v>
      </c>
      <c r="W68" s="93">
        <f>攻击!Y68</f>
        <v>0</v>
      </c>
      <c r="X68" s="93">
        <f>攻击!Z68</f>
        <v>0</v>
      </c>
      <c r="Y68" s="93">
        <f>攻击!AA68</f>
        <v>0</v>
      </c>
      <c r="Z68" s="93">
        <f>攻击!AB68</f>
        <v>0</v>
      </c>
      <c r="AA68" s="94">
        <f>攻击!AL68</f>
        <v>0</v>
      </c>
      <c r="AB68" s="93">
        <f>攻击!AM68</f>
        <v>0</v>
      </c>
      <c r="AC68" s="93">
        <f>攻击!AN68</f>
        <v>0</v>
      </c>
      <c r="AD68" s="93">
        <f>攻击!AO68</f>
        <v>0</v>
      </c>
      <c r="AE68" s="93">
        <f>攻击!AP68</f>
        <v>0</v>
      </c>
      <c r="AF68" s="93">
        <f>攻击!AQ68</f>
        <v>0</v>
      </c>
      <c r="AG68" s="94">
        <f>攻击!AR68</f>
        <v>28</v>
      </c>
      <c r="AH68" s="94">
        <f t="shared" ref="AH68:AH122" si="1">B68+M68+AA68+AG68</f>
        <v>378</v>
      </c>
    </row>
    <row r="69" spans="1:34">
      <c r="A69" s="46">
        <v>67</v>
      </c>
      <c r="B69" s="94">
        <f>攻击!D69</f>
        <v>142</v>
      </c>
      <c r="C69" s="94">
        <f>攻击!E69</f>
        <v>170.4</v>
      </c>
      <c r="D69" s="94">
        <f>攻击!F69</f>
        <v>213</v>
      </c>
      <c r="E69" s="94">
        <f>攻击!G69</f>
        <v>284</v>
      </c>
      <c r="F69" s="94">
        <f>攻击!H69</f>
        <v>355</v>
      </c>
      <c r="G69" s="94">
        <f>攻击!I69</f>
        <v>69</v>
      </c>
      <c r="H69" s="94">
        <f>攻击!J69</f>
        <v>42.6</v>
      </c>
      <c r="I69" s="94">
        <f>攻击!K69</f>
        <v>85.2</v>
      </c>
      <c r="J69" s="94">
        <f>攻击!L69</f>
        <v>0</v>
      </c>
      <c r="K69" s="94">
        <f>攻击!M69</f>
        <v>113.60000000000001</v>
      </c>
      <c r="L69" s="94">
        <f>攻击!N69</f>
        <v>170.4</v>
      </c>
      <c r="M69" s="94">
        <f>攻击!O69</f>
        <v>213</v>
      </c>
      <c r="N69" s="94">
        <f>攻击!P69</f>
        <v>284</v>
      </c>
      <c r="O69" s="94">
        <f>攻击!Q69</f>
        <v>355</v>
      </c>
      <c r="P69" s="94">
        <f>攻击!R69</f>
        <v>426</v>
      </c>
      <c r="Q69" s="94">
        <f>攻击!S69</f>
        <v>497</v>
      </c>
      <c r="R69" s="94">
        <f>攻击!T69</f>
        <v>106.5</v>
      </c>
      <c r="S69" s="94">
        <f>攻击!U69</f>
        <v>42.6</v>
      </c>
      <c r="T69" s="94">
        <f>攻击!V69</f>
        <v>42.6</v>
      </c>
      <c r="U69" s="94">
        <f>攻击!W69</f>
        <v>7.1000000000000005</v>
      </c>
      <c r="V69" s="93">
        <f>攻击!X69</f>
        <v>0</v>
      </c>
      <c r="W69" s="93">
        <f>攻击!Y69</f>
        <v>0</v>
      </c>
      <c r="X69" s="93">
        <f>攻击!Z69</f>
        <v>0</v>
      </c>
      <c r="Y69" s="93">
        <f>攻击!AA69</f>
        <v>0</v>
      </c>
      <c r="Z69" s="93">
        <f>攻击!AB69</f>
        <v>0</v>
      </c>
      <c r="AA69" s="94">
        <f>攻击!AL69</f>
        <v>0</v>
      </c>
      <c r="AB69" s="93">
        <f>攻击!AM69</f>
        <v>0</v>
      </c>
      <c r="AC69" s="93">
        <f>攻击!AN69</f>
        <v>0</v>
      </c>
      <c r="AD69" s="93">
        <f>攻击!AO69</f>
        <v>0</v>
      </c>
      <c r="AE69" s="93">
        <f>攻击!AP69</f>
        <v>0</v>
      </c>
      <c r="AF69" s="93">
        <f>攻击!AQ69</f>
        <v>0</v>
      </c>
      <c r="AG69" s="94">
        <f>攻击!AR69</f>
        <v>28.400000000000002</v>
      </c>
      <c r="AH69" s="94">
        <f t="shared" si="1"/>
        <v>383.4</v>
      </c>
    </row>
    <row r="70" spans="1:34">
      <c r="A70" s="46">
        <v>68</v>
      </c>
      <c r="B70" s="94">
        <f>攻击!D70</f>
        <v>144</v>
      </c>
      <c r="C70" s="94">
        <f>攻击!E70</f>
        <v>172.79999999999998</v>
      </c>
      <c r="D70" s="94">
        <f>攻击!F70</f>
        <v>216</v>
      </c>
      <c r="E70" s="94">
        <f>攻击!G70</f>
        <v>288</v>
      </c>
      <c r="F70" s="94">
        <f>攻击!H70</f>
        <v>360</v>
      </c>
      <c r="G70" s="94">
        <f>攻击!I70</f>
        <v>69</v>
      </c>
      <c r="H70" s="94">
        <f>攻击!J70</f>
        <v>43.199999999999996</v>
      </c>
      <c r="I70" s="94">
        <f>攻击!K70</f>
        <v>86.399999999999991</v>
      </c>
      <c r="J70" s="94">
        <f>攻击!L70</f>
        <v>0</v>
      </c>
      <c r="K70" s="94">
        <f>攻击!M70</f>
        <v>115.2</v>
      </c>
      <c r="L70" s="94">
        <f>攻击!N70</f>
        <v>172.79999999999998</v>
      </c>
      <c r="M70" s="94">
        <f>攻击!O70</f>
        <v>216</v>
      </c>
      <c r="N70" s="94">
        <f>攻击!P70</f>
        <v>288</v>
      </c>
      <c r="O70" s="94">
        <f>攻击!Q70</f>
        <v>360</v>
      </c>
      <c r="P70" s="94">
        <f>攻击!R70</f>
        <v>432</v>
      </c>
      <c r="Q70" s="94">
        <f>攻击!S70</f>
        <v>504</v>
      </c>
      <c r="R70" s="94">
        <f>攻击!T70</f>
        <v>108</v>
      </c>
      <c r="S70" s="94">
        <f>攻击!U70</f>
        <v>43.199999999999996</v>
      </c>
      <c r="T70" s="94">
        <f>攻击!V70</f>
        <v>43.199999999999996</v>
      </c>
      <c r="U70" s="94">
        <f>攻击!W70</f>
        <v>7.2</v>
      </c>
      <c r="V70" s="93">
        <f>攻击!X70</f>
        <v>0</v>
      </c>
      <c r="W70" s="93">
        <f>攻击!Y70</f>
        <v>0</v>
      </c>
      <c r="X70" s="93">
        <f>攻击!Z70</f>
        <v>0</v>
      </c>
      <c r="Y70" s="93">
        <f>攻击!AA70</f>
        <v>0</v>
      </c>
      <c r="Z70" s="93">
        <f>攻击!AB70</f>
        <v>0</v>
      </c>
      <c r="AA70" s="94">
        <f>攻击!AL70</f>
        <v>0</v>
      </c>
      <c r="AB70" s="93">
        <f>攻击!AM70</f>
        <v>0</v>
      </c>
      <c r="AC70" s="93">
        <f>攻击!AN70</f>
        <v>0</v>
      </c>
      <c r="AD70" s="93">
        <f>攻击!AO70</f>
        <v>0</v>
      </c>
      <c r="AE70" s="93">
        <f>攻击!AP70</f>
        <v>0</v>
      </c>
      <c r="AF70" s="93">
        <f>攻击!AQ70</f>
        <v>0</v>
      </c>
      <c r="AG70" s="94">
        <f>攻击!AR70</f>
        <v>28.8</v>
      </c>
      <c r="AH70" s="94">
        <f t="shared" si="1"/>
        <v>388.8</v>
      </c>
    </row>
    <row r="71" spans="1:34">
      <c r="A71" s="46">
        <v>69</v>
      </c>
      <c r="B71" s="94">
        <f>攻击!D71</f>
        <v>146</v>
      </c>
      <c r="C71" s="94">
        <f>攻击!E71</f>
        <v>175.2</v>
      </c>
      <c r="D71" s="94">
        <f>攻击!F71</f>
        <v>219</v>
      </c>
      <c r="E71" s="94">
        <f>攻击!G71</f>
        <v>292</v>
      </c>
      <c r="F71" s="94">
        <f>攻击!H71</f>
        <v>365</v>
      </c>
      <c r="G71" s="94">
        <f>攻击!I71</f>
        <v>69</v>
      </c>
      <c r="H71" s="94">
        <f>攻击!J71</f>
        <v>43.8</v>
      </c>
      <c r="I71" s="94">
        <f>攻击!K71</f>
        <v>87.6</v>
      </c>
      <c r="J71" s="94">
        <f>攻击!L71</f>
        <v>0</v>
      </c>
      <c r="K71" s="94">
        <f>攻击!M71</f>
        <v>116.80000000000001</v>
      </c>
      <c r="L71" s="94">
        <f>攻击!N71</f>
        <v>175.2</v>
      </c>
      <c r="M71" s="94">
        <f>攻击!O71</f>
        <v>219</v>
      </c>
      <c r="N71" s="94">
        <f>攻击!P71</f>
        <v>292</v>
      </c>
      <c r="O71" s="94">
        <f>攻击!Q71</f>
        <v>365</v>
      </c>
      <c r="P71" s="94">
        <f>攻击!R71</f>
        <v>438</v>
      </c>
      <c r="Q71" s="94">
        <f>攻击!S71</f>
        <v>511</v>
      </c>
      <c r="R71" s="94">
        <f>攻击!T71</f>
        <v>109.5</v>
      </c>
      <c r="S71" s="94">
        <f>攻击!U71</f>
        <v>43.8</v>
      </c>
      <c r="T71" s="94">
        <f>攻击!V71</f>
        <v>43.8</v>
      </c>
      <c r="U71" s="94">
        <f>攻击!W71</f>
        <v>7.3000000000000007</v>
      </c>
      <c r="V71" s="93">
        <f>攻击!X71</f>
        <v>0</v>
      </c>
      <c r="W71" s="93">
        <f>攻击!Y71</f>
        <v>0</v>
      </c>
      <c r="X71" s="93">
        <f>攻击!Z71</f>
        <v>0</v>
      </c>
      <c r="Y71" s="93">
        <f>攻击!AA71</f>
        <v>0</v>
      </c>
      <c r="Z71" s="93">
        <f>攻击!AB71</f>
        <v>0</v>
      </c>
      <c r="AA71" s="94">
        <f>攻击!AL71</f>
        <v>0</v>
      </c>
      <c r="AB71" s="93">
        <f>攻击!AM71</f>
        <v>0</v>
      </c>
      <c r="AC71" s="93">
        <f>攻击!AN71</f>
        <v>0</v>
      </c>
      <c r="AD71" s="93">
        <f>攻击!AO71</f>
        <v>0</v>
      </c>
      <c r="AE71" s="93">
        <f>攻击!AP71</f>
        <v>0</v>
      </c>
      <c r="AF71" s="93">
        <f>攻击!AQ71</f>
        <v>0</v>
      </c>
      <c r="AG71" s="94">
        <f>攻击!AR71</f>
        <v>29.200000000000003</v>
      </c>
      <c r="AH71" s="94">
        <f t="shared" si="1"/>
        <v>394.2</v>
      </c>
    </row>
    <row r="72" spans="1:34">
      <c r="A72" s="46">
        <v>70</v>
      </c>
      <c r="B72" s="94">
        <f>攻击!D72</f>
        <v>148</v>
      </c>
      <c r="C72" s="94">
        <f>攻击!E72</f>
        <v>177.6</v>
      </c>
      <c r="D72" s="94">
        <f>攻击!F72</f>
        <v>222</v>
      </c>
      <c r="E72" s="94">
        <f>攻击!G72</f>
        <v>296</v>
      </c>
      <c r="F72" s="94">
        <f>攻击!H72</f>
        <v>370</v>
      </c>
      <c r="G72" s="94">
        <f>攻击!I72</f>
        <v>74</v>
      </c>
      <c r="H72" s="94">
        <f>攻击!J72</f>
        <v>44.4</v>
      </c>
      <c r="I72" s="94">
        <f>攻击!K72</f>
        <v>88.8</v>
      </c>
      <c r="J72" s="94">
        <f>攻击!L72</f>
        <v>44.4</v>
      </c>
      <c r="K72" s="94">
        <f>攻击!M72</f>
        <v>118.4</v>
      </c>
      <c r="L72" s="94">
        <f>攻击!N72</f>
        <v>177.6</v>
      </c>
      <c r="M72" s="94">
        <f>攻击!O72</f>
        <v>222</v>
      </c>
      <c r="N72" s="94">
        <f>攻击!P72</f>
        <v>296</v>
      </c>
      <c r="O72" s="94">
        <f>攻击!Q72</f>
        <v>370</v>
      </c>
      <c r="P72" s="94">
        <f>攻击!R72</f>
        <v>444</v>
      </c>
      <c r="Q72" s="94">
        <f>攻击!S72</f>
        <v>518</v>
      </c>
      <c r="R72" s="94">
        <f>攻击!T72</f>
        <v>111</v>
      </c>
      <c r="S72" s="94">
        <f>攻击!U72</f>
        <v>44.4</v>
      </c>
      <c r="T72" s="94">
        <f>攻击!V72</f>
        <v>44.4</v>
      </c>
      <c r="U72" s="94">
        <f>攻击!W72</f>
        <v>7.4</v>
      </c>
      <c r="V72" s="93">
        <f>攻击!X72</f>
        <v>0</v>
      </c>
      <c r="W72" s="93">
        <f>攻击!Y72</f>
        <v>0</v>
      </c>
      <c r="X72" s="93">
        <f>攻击!Z72</f>
        <v>0</v>
      </c>
      <c r="Y72" s="93">
        <f>攻击!AA72</f>
        <v>0</v>
      </c>
      <c r="Z72" s="93">
        <f>攻击!AB72</f>
        <v>0</v>
      </c>
      <c r="AA72" s="94">
        <f>攻击!AL72</f>
        <v>177.6</v>
      </c>
      <c r="AB72" s="93">
        <f>攻击!AM72</f>
        <v>0</v>
      </c>
      <c r="AC72" s="93">
        <f>攻击!AN72</f>
        <v>0</v>
      </c>
      <c r="AD72" s="93">
        <f>攻击!AO72</f>
        <v>0</v>
      </c>
      <c r="AE72" s="93">
        <f>攻击!AP72</f>
        <v>0</v>
      </c>
      <c r="AF72" s="93">
        <f>攻击!AQ72</f>
        <v>0</v>
      </c>
      <c r="AG72" s="94">
        <f>攻击!AR72</f>
        <v>29.6</v>
      </c>
      <c r="AH72" s="94">
        <f t="shared" si="1"/>
        <v>577.20000000000005</v>
      </c>
    </row>
    <row r="73" spans="1:34">
      <c r="A73" s="46">
        <v>71</v>
      </c>
      <c r="B73" s="94">
        <f>攻击!D73</f>
        <v>150</v>
      </c>
      <c r="C73" s="94">
        <f>攻击!E73</f>
        <v>180</v>
      </c>
      <c r="D73" s="94">
        <f>攻击!F73</f>
        <v>225</v>
      </c>
      <c r="E73" s="94">
        <f>攻击!G73</f>
        <v>300</v>
      </c>
      <c r="F73" s="94">
        <f>攻击!H73</f>
        <v>375</v>
      </c>
      <c r="G73" s="94">
        <f>攻击!I73</f>
        <v>74</v>
      </c>
      <c r="H73" s="94">
        <f>攻击!J73</f>
        <v>45</v>
      </c>
      <c r="I73" s="94">
        <f>攻击!K73</f>
        <v>90</v>
      </c>
      <c r="J73" s="94">
        <f>攻击!L73</f>
        <v>45</v>
      </c>
      <c r="K73" s="94">
        <f>攻击!M73</f>
        <v>120</v>
      </c>
      <c r="L73" s="94">
        <f>攻击!N73</f>
        <v>180</v>
      </c>
      <c r="M73" s="94">
        <f>攻击!O73</f>
        <v>225</v>
      </c>
      <c r="N73" s="94">
        <f>攻击!P73</f>
        <v>300</v>
      </c>
      <c r="O73" s="94">
        <f>攻击!Q73</f>
        <v>375</v>
      </c>
      <c r="P73" s="94">
        <f>攻击!R73</f>
        <v>450</v>
      </c>
      <c r="Q73" s="94">
        <f>攻击!S73</f>
        <v>525</v>
      </c>
      <c r="R73" s="94">
        <f>攻击!T73</f>
        <v>112.5</v>
      </c>
      <c r="S73" s="94">
        <f>攻击!U73</f>
        <v>45</v>
      </c>
      <c r="T73" s="94">
        <f>攻击!V73</f>
        <v>45</v>
      </c>
      <c r="U73" s="94">
        <f>攻击!W73</f>
        <v>7.5</v>
      </c>
      <c r="V73" s="93">
        <f>攻击!X73</f>
        <v>0</v>
      </c>
      <c r="W73" s="93">
        <f>攻击!Y73</f>
        <v>0</v>
      </c>
      <c r="X73" s="93">
        <f>攻击!Z73</f>
        <v>0</v>
      </c>
      <c r="Y73" s="93">
        <f>攻击!AA73</f>
        <v>0</v>
      </c>
      <c r="Z73" s="93">
        <f>攻击!AB73</f>
        <v>0</v>
      </c>
      <c r="AA73" s="94">
        <f>攻击!AL73</f>
        <v>180</v>
      </c>
      <c r="AB73" s="93">
        <f>攻击!AM73</f>
        <v>0</v>
      </c>
      <c r="AC73" s="93">
        <f>攻击!AN73</f>
        <v>0</v>
      </c>
      <c r="AD73" s="93">
        <f>攻击!AO73</f>
        <v>0</v>
      </c>
      <c r="AE73" s="93">
        <f>攻击!AP73</f>
        <v>0</v>
      </c>
      <c r="AF73" s="93">
        <f>攻击!AQ73</f>
        <v>0</v>
      </c>
      <c r="AG73" s="94">
        <f>攻击!AR73</f>
        <v>30</v>
      </c>
      <c r="AH73" s="94">
        <f t="shared" si="1"/>
        <v>585</v>
      </c>
    </row>
    <row r="74" spans="1:34">
      <c r="A74" s="46">
        <v>72</v>
      </c>
      <c r="B74" s="94">
        <f>攻击!D74</f>
        <v>152</v>
      </c>
      <c r="C74" s="94">
        <f>攻击!E74</f>
        <v>182.4</v>
      </c>
      <c r="D74" s="94">
        <f>攻击!F74</f>
        <v>228</v>
      </c>
      <c r="E74" s="94">
        <f>攻击!G74</f>
        <v>304</v>
      </c>
      <c r="F74" s="94">
        <f>攻击!H74</f>
        <v>380</v>
      </c>
      <c r="G74" s="94">
        <f>攻击!I74</f>
        <v>74</v>
      </c>
      <c r="H74" s="94">
        <f>攻击!J74</f>
        <v>45.6</v>
      </c>
      <c r="I74" s="94">
        <f>攻击!K74</f>
        <v>91.2</v>
      </c>
      <c r="J74" s="94">
        <f>攻击!L74</f>
        <v>45.6</v>
      </c>
      <c r="K74" s="94">
        <f>攻击!M74</f>
        <v>121.60000000000001</v>
      </c>
      <c r="L74" s="94">
        <f>攻击!N74</f>
        <v>182.4</v>
      </c>
      <c r="M74" s="94">
        <f>攻击!O74</f>
        <v>228</v>
      </c>
      <c r="N74" s="94">
        <f>攻击!P74</f>
        <v>304</v>
      </c>
      <c r="O74" s="94">
        <f>攻击!Q74</f>
        <v>380</v>
      </c>
      <c r="P74" s="94">
        <f>攻击!R74</f>
        <v>456</v>
      </c>
      <c r="Q74" s="94">
        <f>攻击!S74</f>
        <v>532</v>
      </c>
      <c r="R74" s="94">
        <f>攻击!T74</f>
        <v>114</v>
      </c>
      <c r="S74" s="94">
        <f>攻击!U74</f>
        <v>45.6</v>
      </c>
      <c r="T74" s="94">
        <f>攻击!V74</f>
        <v>45.6</v>
      </c>
      <c r="U74" s="94">
        <f>攻击!W74</f>
        <v>7.6000000000000005</v>
      </c>
      <c r="V74" s="93">
        <f>攻击!X74</f>
        <v>0</v>
      </c>
      <c r="W74" s="93">
        <f>攻击!Y74</f>
        <v>0</v>
      </c>
      <c r="X74" s="93">
        <f>攻击!Z74</f>
        <v>0</v>
      </c>
      <c r="Y74" s="93">
        <f>攻击!AA74</f>
        <v>0</v>
      </c>
      <c r="Z74" s="93">
        <f>攻击!AB74</f>
        <v>0</v>
      </c>
      <c r="AA74" s="94">
        <f>攻击!AL74</f>
        <v>182.4</v>
      </c>
      <c r="AB74" s="93">
        <f>攻击!AM74</f>
        <v>0</v>
      </c>
      <c r="AC74" s="93">
        <f>攻击!AN74</f>
        <v>0</v>
      </c>
      <c r="AD74" s="93">
        <f>攻击!AO74</f>
        <v>0</v>
      </c>
      <c r="AE74" s="93">
        <f>攻击!AP74</f>
        <v>0</v>
      </c>
      <c r="AF74" s="93">
        <f>攻击!AQ74</f>
        <v>0</v>
      </c>
      <c r="AG74" s="94">
        <f>攻击!AR74</f>
        <v>30.400000000000002</v>
      </c>
      <c r="AH74" s="94">
        <f t="shared" si="1"/>
        <v>592.79999999999995</v>
      </c>
    </row>
    <row r="75" spans="1:34">
      <c r="A75" s="46">
        <v>73</v>
      </c>
      <c r="B75" s="94">
        <f>攻击!D75</f>
        <v>154</v>
      </c>
      <c r="C75" s="94">
        <f>攻击!E75</f>
        <v>184.79999999999998</v>
      </c>
      <c r="D75" s="94">
        <f>攻击!F75</f>
        <v>231</v>
      </c>
      <c r="E75" s="94">
        <f>攻击!G75</f>
        <v>308</v>
      </c>
      <c r="F75" s="94">
        <f>攻击!H75</f>
        <v>385</v>
      </c>
      <c r="G75" s="94">
        <f>攻击!I75</f>
        <v>74</v>
      </c>
      <c r="H75" s="94">
        <f>攻击!J75</f>
        <v>46.199999999999996</v>
      </c>
      <c r="I75" s="94">
        <f>攻击!K75</f>
        <v>92.399999999999991</v>
      </c>
      <c r="J75" s="94">
        <f>攻击!L75</f>
        <v>46.199999999999996</v>
      </c>
      <c r="K75" s="94">
        <f>攻击!M75</f>
        <v>123.2</v>
      </c>
      <c r="L75" s="94">
        <f>攻击!N75</f>
        <v>184.79999999999998</v>
      </c>
      <c r="M75" s="94">
        <f>攻击!O75</f>
        <v>231</v>
      </c>
      <c r="N75" s="94">
        <f>攻击!P75</f>
        <v>308</v>
      </c>
      <c r="O75" s="94">
        <f>攻击!Q75</f>
        <v>385</v>
      </c>
      <c r="P75" s="94">
        <f>攻击!R75</f>
        <v>462</v>
      </c>
      <c r="Q75" s="94">
        <f>攻击!S75</f>
        <v>539</v>
      </c>
      <c r="R75" s="94">
        <f>攻击!T75</f>
        <v>115.5</v>
      </c>
      <c r="S75" s="94">
        <f>攻击!U75</f>
        <v>46.199999999999996</v>
      </c>
      <c r="T75" s="94">
        <f>攻击!V75</f>
        <v>46.199999999999996</v>
      </c>
      <c r="U75" s="94">
        <f>攻击!W75</f>
        <v>7.7</v>
      </c>
      <c r="V75" s="93">
        <f>攻击!X75</f>
        <v>0</v>
      </c>
      <c r="W75" s="93">
        <f>攻击!Y75</f>
        <v>0</v>
      </c>
      <c r="X75" s="93">
        <f>攻击!Z75</f>
        <v>0</v>
      </c>
      <c r="Y75" s="93">
        <f>攻击!AA75</f>
        <v>0</v>
      </c>
      <c r="Z75" s="93">
        <f>攻击!AB75</f>
        <v>0</v>
      </c>
      <c r="AA75" s="94">
        <f>攻击!AL75</f>
        <v>184.79999999999998</v>
      </c>
      <c r="AB75" s="93">
        <f>攻击!AM75</f>
        <v>0</v>
      </c>
      <c r="AC75" s="93">
        <f>攻击!AN75</f>
        <v>0</v>
      </c>
      <c r="AD75" s="93">
        <f>攻击!AO75</f>
        <v>0</v>
      </c>
      <c r="AE75" s="93">
        <f>攻击!AP75</f>
        <v>0</v>
      </c>
      <c r="AF75" s="93">
        <f>攻击!AQ75</f>
        <v>0</v>
      </c>
      <c r="AG75" s="94">
        <f>攻击!AR75</f>
        <v>30.8</v>
      </c>
      <c r="AH75" s="94">
        <f t="shared" si="1"/>
        <v>600.59999999999991</v>
      </c>
    </row>
    <row r="76" spans="1:34">
      <c r="A76" s="46">
        <v>74</v>
      </c>
      <c r="B76" s="94">
        <f>攻击!D76</f>
        <v>156</v>
      </c>
      <c r="C76" s="94">
        <f>攻击!E76</f>
        <v>187.2</v>
      </c>
      <c r="D76" s="94">
        <f>攻击!F76</f>
        <v>234</v>
      </c>
      <c r="E76" s="94">
        <f>攻击!G76</f>
        <v>312</v>
      </c>
      <c r="F76" s="94">
        <f>攻击!H76</f>
        <v>390</v>
      </c>
      <c r="G76" s="94">
        <f>攻击!I76</f>
        <v>74</v>
      </c>
      <c r="H76" s="94">
        <f>攻击!J76</f>
        <v>46.8</v>
      </c>
      <c r="I76" s="94">
        <f>攻击!K76</f>
        <v>93.6</v>
      </c>
      <c r="J76" s="94">
        <f>攻击!L76</f>
        <v>46.8</v>
      </c>
      <c r="K76" s="94">
        <f>攻击!M76</f>
        <v>124.80000000000001</v>
      </c>
      <c r="L76" s="94">
        <f>攻击!N76</f>
        <v>187.2</v>
      </c>
      <c r="M76" s="94">
        <f>攻击!O76</f>
        <v>234</v>
      </c>
      <c r="N76" s="94">
        <f>攻击!P76</f>
        <v>312</v>
      </c>
      <c r="O76" s="94">
        <f>攻击!Q76</f>
        <v>390</v>
      </c>
      <c r="P76" s="94">
        <f>攻击!R76</f>
        <v>468</v>
      </c>
      <c r="Q76" s="94">
        <f>攻击!S76</f>
        <v>546</v>
      </c>
      <c r="R76" s="94">
        <f>攻击!T76</f>
        <v>117</v>
      </c>
      <c r="S76" s="94">
        <f>攻击!U76</f>
        <v>46.8</v>
      </c>
      <c r="T76" s="94">
        <f>攻击!V76</f>
        <v>46.8</v>
      </c>
      <c r="U76" s="94">
        <f>攻击!W76</f>
        <v>7.8000000000000007</v>
      </c>
      <c r="V76" s="93">
        <f>攻击!X76</f>
        <v>0</v>
      </c>
      <c r="W76" s="93">
        <f>攻击!Y76</f>
        <v>0</v>
      </c>
      <c r="X76" s="93">
        <f>攻击!Z76</f>
        <v>0</v>
      </c>
      <c r="Y76" s="93">
        <f>攻击!AA76</f>
        <v>0</v>
      </c>
      <c r="Z76" s="93">
        <f>攻击!AB76</f>
        <v>0</v>
      </c>
      <c r="AA76" s="94">
        <f>攻击!AL76</f>
        <v>187.2</v>
      </c>
      <c r="AB76" s="93">
        <f>攻击!AM76</f>
        <v>0</v>
      </c>
      <c r="AC76" s="93">
        <f>攻击!AN76</f>
        <v>0</v>
      </c>
      <c r="AD76" s="93">
        <f>攻击!AO76</f>
        <v>0</v>
      </c>
      <c r="AE76" s="93">
        <f>攻击!AP76</f>
        <v>0</v>
      </c>
      <c r="AF76" s="93">
        <f>攻击!AQ76</f>
        <v>0</v>
      </c>
      <c r="AG76" s="94">
        <f>攻击!AR76</f>
        <v>31.200000000000003</v>
      </c>
      <c r="AH76" s="94">
        <f t="shared" si="1"/>
        <v>608.40000000000009</v>
      </c>
    </row>
    <row r="77" spans="1:34">
      <c r="A77" s="46">
        <v>75</v>
      </c>
      <c r="B77" s="94">
        <f>攻击!D77</f>
        <v>158</v>
      </c>
      <c r="C77" s="94">
        <f>攻击!E77</f>
        <v>189.6</v>
      </c>
      <c r="D77" s="94">
        <f>攻击!F77</f>
        <v>237</v>
      </c>
      <c r="E77" s="94">
        <f>攻击!G77</f>
        <v>316</v>
      </c>
      <c r="F77" s="94">
        <f>攻击!H77</f>
        <v>395</v>
      </c>
      <c r="G77" s="94">
        <f>攻击!I77</f>
        <v>79</v>
      </c>
      <c r="H77" s="94">
        <f>攻击!J77</f>
        <v>47.4</v>
      </c>
      <c r="I77" s="94">
        <f>攻击!K77</f>
        <v>94.8</v>
      </c>
      <c r="J77" s="94">
        <f>攻击!L77</f>
        <v>47.4</v>
      </c>
      <c r="K77" s="94">
        <f>攻击!M77</f>
        <v>126.4</v>
      </c>
      <c r="L77" s="94">
        <f>攻击!N77</f>
        <v>189.6</v>
      </c>
      <c r="M77" s="94">
        <f>攻击!O77</f>
        <v>237</v>
      </c>
      <c r="N77" s="94">
        <f>攻击!P77</f>
        <v>316</v>
      </c>
      <c r="O77" s="94">
        <f>攻击!Q77</f>
        <v>395</v>
      </c>
      <c r="P77" s="94">
        <f>攻击!R77</f>
        <v>474</v>
      </c>
      <c r="Q77" s="94">
        <f>攻击!S77</f>
        <v>553</v>
      </c>
      <c r="R77" s="94">
        <f>攻击!T77</f>
        <v>118.5</v>
      </c>
      <c r="S77" s="94">
        <f>攻击!U77</f>
        <v>47.4</v>
      </c>
      <c r="T77" s="94">
        <f>攻击!V77</f>
        <v>47.4</v>
      </c>
      <c r="U77" s="94">
        <f>攻击!W77</f>
        <v>7.9</v>
      </c>
      <c r="V77" s="93">
        <f>攻击!X77</f>
        <v>0</v>
      </c>
      <c r="W77" s="93">
        <f>攻击!Y77</f>
        <v>0</v>
      </c>
      <c r="X77" s="93">
        <f>攻击!Z77</f>
        <v>0</v>
      </c>
      <c r="Y77" s="93">
        <f>攻击!AA77</f>
        <v>0</v>
      </c>
      <c r="Z77" s="93">
        <f>攻击!AB77</f>
        <v>0</v>
      </c>
      <c r="AA77" s="94">
        <f>攻击!AL77</f>
        <v>189.6</v>
      </c>
      <c r="AB77" s="93">
        <f>攻击!AM77</f>
        <v>0</v>
      </c>
      <c r="AC77" s="93">
        <f>攻击!AN77</f>
        <v>0</v>
      </c>
      <c r="AD77" s="93">
        <f>攻击!AO77</f>
        <v>0</v>
      </c>
      <c r="AE77" s="93">
        <f>攻击!AP77</f>
        <v>0</v>
      </c>
      <c r="AF77" s="93">
        <f>攻击!AQ77</f>
        <v>0</v>
      </c>
      <c r="AG77" s="94">
        <f>攻击!AR77</f>
        <v>31.6</v>
      </c>
      <c r="AH77" s="94">
        <f t="shared" si="1"/>
        <v>616.20000000000005</v>
      </c>
    </row>
    <row r="78" spans="1:34">
      <c r="A78" s="46">
        <v>76</v>
      </c>
      <c r="B78" s="94">
        <f>攻击!D78</f>
        <v>160</v>
      </c>
      <c r="C78" s="94">
        <f>攻击!E78</f>
        <v>192</v>
      </c>
      <c r="D78" s="94">
        <f>攻击!F78</f>
        <v>240</v>
      </c>
      <c r="E78" s="94">
        <f>攻击!G78</f>
        <v>320</v>
      </c>
      <c r="F78" s="94">
        <f>攻击!H78</f>
        <v>400</v>
      </c>
      <c r="G78" s="94">
        <f>攻击!I78</f>
        <v>79</v>
      </c>
      <c r="H78" s="94">
        <f>攻击!J78</f>
        <v>48</v>
      </c>
      <c r="I78" s="94">
        <f>攻击!K78</f>
        <v>96</v>
      </c>
      <c r="J78" s="94">
        <f>攻击!L78</f>
        <v>48</v>
      </c>
      <c r="K78" s="94">
        <f>攻击!M78</f>
        <v>128</v>
      </c>
      <c r="L78" s="94">
        <f>攻击!N78</f>
        <v>192</v>
      </c>
      <c r="M78" s="94">
        <f>攻击!O78</f>
        <v>240</v>
      </c>
      <c r="N78" s="94">
        <f>攻击!P78</f>
        <v>320</v>
      </c>
      <c r="O78" s="94">
        <f>攻击!Q78</f>
        <v>400</v>
      </c>
      <c r="P78" s="94">
        <f>攻击!R78</f>
        <v>480</v>
      </c>
      <c r="Q78" s="94">
        <f>攻击!S78</f>
        <v>560</v>
      </c>
      <c r="R78" s="94">
        <f>攻击!T78</f>
        <v>120</v>
      </c>
      <c r="S78" s="94">
        <f>攻击!U78</f>
        <v>48</v>
      </c>
      <c r="T78" s="94">
        <f>攻击!V78</f>
        <v>48</v>
      </c>
      <c r="U78" s="94">
        <f>攻击!W78</f>
        <v>8</v>
      </c>
      <c r="V78" s="93">
        <f>攻击!X78</f>
        <v>0</v>
      </c>
      <c r="W78" s="93">
        <f>攻击!Y78</f>
        <v>0</v>
      </c>
      <c r="X78" s="93">
        <f>攻击!Z78</f>
        <v>0</v>
      </c>
      <c r="Y78" s="93">
        <f>攻击!AA78</f>
        <v>0</v>
      </c>
      <c r="Z78" s="93">
        <f>攻击!AB78</f>
        <v>0</v>
      </c>
      <c r="AA78" s="94">
        <f>攻击!AL78</f>
        <v>192</v>
      </c>
      <c r="AB78" s="93">
        <f>攻击!AM78</f>
        <v>0</v>
      </c>
      <c r="AC78" s="93">
        <f>攻击!AN78</f>
        <v>0</v>
      </c>
      <c r="AD78" s="93">
        <f>攻击!AO78</f>
        <v>0</v>
      </c>
      <c r="AE78" s="93">
        <f>攻击!AP78</f>
        <v>0</v>
      </c>
      <c r="AF78" s="93">
        <f>攻击!AQ78</f>
        <v>0</v>
      </c>
      <c r="AG78" s="94">
        <f>攻击!AR78</f>
        <v>32</v>
      </c>
      <c r="AH78" s="94">
        <f t="shared" si="1"/>
        <v>624</v>
      </c>
    </row>
    <row r="79" spans="1:34">
      <c r="A79" s="46">
        <v>77</v>
      </c>
      <c r="B79" s="94">
        <f>攻击!D79</f>
        <v>162</v>
      </c>
      <c r="C79" s="94">
        <f>攻击!E79</f>
        <v>194.4</v>
      </c>
      <c r="D79" s="94">
        <f>攻击!F79</f>
        <v>243</v>
      </c>
      <c r="E79" s="94">
        <f>攻击!G79</f>
        <v>324</v>
      </c>
      <c r="F79" s="94">
        <f>攻击!H79</f>
        <v>405</v>
      </c>
      <c r="G79" s="94">
        <f>攻击!I79</f>
        <v>79</v>
      </c>
      <c r="H79" s="94">
        <f>攻击!J79</f>
        <v>48.6</v>
      </c>
      <c r="I79" s="94">
        <f>攻击!K79</f>
        <v>97.2</v>
      </c>
      <c r="J79" s="94">
        <f>攻击!L79</f>
        <v>48.6</v>
      </c>
      <c r="K79" s="94">
        <f>攻击!M79</f>
        <v>129.6</v>
      </c>
      <c r="L79" s="94">
        <f>攻击!N79</f>
        <v>194.4</v>
      </c>
      <c r="M79" s="94">
        <f>攻击!O79</f>
        <v>243</v>
      </c>
      <c r="N79" s="94">
        <f>攻击!P79</f>
        <v>324</v>
      </c>
      <c r="O79" s="94">
        <f>攻击!Q79</f>
        <v>405</v>
      </c>
      <c r="P79" s="94">
        <f>攻击!R79</f>
        <v>486</v>
      </c>
      <c r="Q79" s="94">
        <f>攻击!S79</f>
        <v>567</v>
      </c>
      <c r="R79" s="94">
        <f>攻击!T79</f>
        <v>121.5</v>
      </c>
      <c r="S79" s="94">
        <f>攻击!U79</f>
        <v>48.6</v>
      </c>
      <c r="T79" s="94">
        <f>攻击!V79</f>
        <v>48.6</v>
      </c>
      <c r="U79" s="94">
        <f>攻击!W79</f>
        <v>8.1</v>
      </c>
      <c r="V79" s="93">
        <f>攻击!X79</f>
        <v>0</v>
      </c>
      <c r="W79" s="93">
        <f>攻击!Y79</f>
        <v>0</v>
      </c>
      <c r="X79" s="93">
        <f>攻击!Z79</f>
        <v>0</v>
      </c>
      <c r="Y79" s="93">
        <f>攻击!AA79</f>
        <v>0</v>
      </c>
      <c r="Z79" s="93">
        <f>攻击!AB79</f>
        <v>0</v>
      </c>
      <c r="AA79" s="94">
        <f>攻击!AL79</f>
        <v>194.4</v>
      </c>
      <c r="AB79" s="93">
        <f>攻击!AM79</f>
        <v>0</v>
      </c>
      <c r="AC79" s="93">
        <f>攻击!AN79</f>
        <v>0</v>
      </c>
      <c r="AD79" s="93">
        <f>攻击!AO79</f>
        <v>0</v>
      </c>
      <c r="AE79" s="93">
        <f>攻击!AP79</f>
        <v>0</v>
      </c>
      <c r="AF79" s="93">
        <f>攻击!AQ79</f>
        <v>0</v>
      </c>
      <c r="AG79" s="94">
        <f>攻击!AR79</f>
        <v>32.4</v>
      </c>
      <c r="AH79" s="94">
        <f t="shared" si="1"/>
        <v>631.79999999999995</v>
      </c>
    </row>
    <row r="80" spans="1:34">
      <c r="A80" s="46">
        <v>78</v>
      </c>
      <c r="B80" s="94">
        <f>攻击!D80</f>
        <v>164</v>
      </c>
      <c r="C80" s="94">
        <f>攻击!E80</f>
        <v>196.79999999999998</v>
      </c>
      <c r="D80" s="94">
        <f>攻击!F80</f>
        <v>246</v>
      </c>
      <c r="E80" s="94">
        <f>攻击!G80</f>
        <v>328</v>
      </c>
      <c r="F80" s="94">
        <f>攻击!H80</f>
        <v>410</v>
      </c>
      <c r="G80" s="94">
        <f>攻击!I80</f>
        <v>79</v>
      </c>
      <c r="H80" s="94">
        <f>攻击!J80</f>
        <v>49.199999999999996</v>
      </c>
      <c r="I80" s="94">
        <f>攻击!K80</f>
        <v>98.399999999999991</v>
      </c>
      <c r="J80" s="94">
        <f>攻击!L80</f>
        <v>49.199999999999996</v>
      </c>
      <c r="K80" s="94">
        <f>攻击!M80</f>
        <v>131.20000000000002</v>
      </c>
      <c r="L80" s="94">
        <f>攻击!N80</f>
        <v>196.79999999999998</v>
      </c>
      <c r="M80" s="94">
        <f>攻击!O80</f>
        <v>246</v>
      </c>
      <c r="N80" s="94">
        <f>攻击!P80</f>
        <v>328</v>
      </c>
      <c r="O80" s="94">
        <f>攻击!Q80</f>
        <v>410</v>
      </c>
      <c r="P80" s="94">
        <f>攻击!R80</f>
        <v>492</v>
      </c>
      <c r="Q80" s="94">
        <f>攻击!S80</f>
        <v>574</v>
      </c>
      <c r="R80" s="94">
        <f>攻击!T80</f>
        <v>123</v>
      </c>
      <c r="S80" s="94">
        <f>攻击!U80</f>
        <v>49.199999999999996</v>
      </c>
      <c r="T80" s="94">
        <f>攻击!V80</f>
        <v>49.199999999999996</v>
      </c>
      <c r="U80" s="94">
        <f>攻击!W80</f>
        <v>8.2000000000000011</v>
      </c>
      <c r="V80" s="93">
        <f>攻击!X80</f>
        <v>0</v>
      </c>
      <c r="W80" s="93">
        <f>攻击!Y80</f>
        <v>0</v>
      </c>
      <c r="X80" s="93">
        <f>攻击!Z80</f>
        <v>0</v>
      </c>
      <c r="Y80" s="93">
        <f>攻击!AA80</f>
        <v>0</v>
      </c>
      <c r="Z80" s="93">
        <f>攻击!AB80</f>
        <v>0</v>
      </c>
      <c r="AA80" s="94">
        <f>攻击!AL80</f>
        <v>196.79999999999998</v>
      </c>
      <c r="AB80" s="93">
        <f>攻击!AM80</f>
        <v>0</v>
      </c>
      <c r="AC80" s="93">
        <f>攻击!AN80</f>
        <v>0</v>
      </c>
      <c r="AD80" s="93">
        <f>攻击!AO80</f>
        <v>0</v>
      </c>
      <c r="AE80" s="93">
        <f>攻击!AP80</f>
        <v>0</v>
      </c>
      <c r="AF80" s="93">
        <f>攻击!AQ80</f>
        <v>0</v>
      </c>
      <c r="AG80" s="94">
        <f>攻击!AR80</f>
        <v>32.800000000000004</v>
      </c>
      <c r="AH80" s="94">
        <f t="shared" si="1"/>
        <v>639.59999999999991</v>
      </c>
    </row>
    <row r="81" spans="1:34">
      <c r="A81" s="46">
        <v>79</v>
      </c>
      <c r="B81" s="94">
        <f>攻击!D81</f>
        <v>166</v>
      </c>
      <c r="C81" s="94">
        <f>攻击!E81</f>
        <v>199.2</v>
      </c>
      <c r="D81" s="94">
        <f>攻击!F81</f>
        <v>249</v>
      </c>
      <c r="E81" s="94">
        <f>攻击!G81</f>
        <v>332</v>
      </c>
      <c r="F81" s="94">
        <f>攻击!H81</f>
        <v>415</v>
      </c>
      <c r="G81" s="94">
        <f>攻击!I81</f>
        <v>79</v>
      </c>
      <c r="H81" s="94">
        <f>攻击!J81</f>
        <v>49.8</v>
      </c>
      <c r="I81" s="94">
        <f>攻击!K81</f>
        <v>99.6</v>
      </c>
      <c r="J81" s="94">
        <f>攻击!L81</f>
        <v>49.8</v>
      </c>
      <c r="K81" s="94">
        <f>攻击!M81</f>
        <v>132.80000000000001</v>
      </c>
      <c r="L81" s="94">
        <f>攻击!N81</f>
        <v>199.2</v>
      </c>
      <c r="M81" s="94">
        <f>攻击!O81</f>
        <v>249</v>
      </c>
      <c r="N81" s="94">
        <f>攻击!P81</f>
        <v>332</v>
      </c>
      <c r="O81" s="94">
        <f>攻击!Q81</f>
        <v>415</v>
      </c>
      <c r="P81" s="94">
        <f>攻击!R81</f>
        <v>498</v>
      </c>
      <c r="Q81" s="94">
        <f>攻击!S81</f>
        <v>581</v>
      </c>
      <c r="R81" s="94">
        <f>攻击!T81</f>
        <v>124.5</v>
      </c>
      <c r="S81" s="94">
        <f>攻击!U81</f>
        <v>49.8</v>
      </c>
      <c r="T81" s="94">
        <f>攻击!V81</f>
        <v>49.8</v>
      </c>
      <c r="U81" s="94">
        <f>攻击!W81</f>
        <v>8.3000000000000007</v>
      </c>
      <c r="V81" s="93">
        <f>攻击!X81</f>
        <v>0</v>
      </c>
      <c r="W81" s="93">
        <f>攻击!Y81</f>
        <v>0</v>
      </c>
      <c r="X81" s="93">
        <f>攻击!Z81</f>
        <v>0</v>
      </c>
      <c r="Y81" s="93">
        <f>攻击!AA81</f>
        <v>0</v>
      </c>
      <c r="Z81" s="93">
        <f>攻击!AB81</f>
        <v>0</v>
      </c>
      <c r="AA81" s="94">
        <f>攻击!AL81</f>
        <v>199.2</v>
      </c>
      <c r="AB81" s="93">
        <f>攻击!AM81</f>
        <v>0</v>
      </c>
      <c r="AC81" s="93">
        <f>攻击!AN81</f>
        <v>0</v>
      </c>
      <c r="AD81" s="93">
        <f>攻击!AO81</f>
        <v>0</v>
      </c>
      <c r="AE81" s="93">
        <f>攻击!AP81</f>
        <v>0</v>
      </c>
      <c r="AF81" s="93">
        <f>攻击!AQ81</f>
        <v>0</v>
      </c>
      <c r="AG81" s="94">
        <f>攻击!AR81</f>
        <v>33.200000000000003</v>
      </c>
      <c r="AH81" s="94">
        <f t="shared" si="1"/>
        <v>647.40000000000009</v>
      </c>
    </row>
    <row r="82" spans="1:34">
      <c r="A82" s="46">
        <v>80</v>
      </c>
      <c r="B82" s="94">
        <f>攻击!D82</f>
        <v>168</v>
      </c>
      <c r="C82" s="94">
        <f>攻击!E82</f>
        <v>201.6</v>
      </c>
      <c r="D82" s="94">
        <f>攻击!F82</f>
        <v>252</v>
      </c>
      <c r="E82" s="94">
        <f>攻击!G82</f>
        <v>336</v>
      </c>
      <c r="F82" s="94">
        <f>攻击!H82</f>
        <v>420</v>
      </c>
      <c r="G82" s="94">
        <f>攻击!I82</f>
        <v>84</v>
      </c>
      <c r="H82" s="94">
        <f>攻击!J82</f>
        <v>50.4</v>
      </c>
      <c r="I82" s="94">
        <f>攻击!K82</f>
        <v>100.8</v>
      </c>
      <c r="J82" s="94">
        <f>攻击!L82</f>
        <v>50.4</v>
      </c>
      <c r="K82" s="94">
        <f>攻击!M82</f>
        <v>134.4</v>
      </c>
      <c r="L82" s="94">
        <f>攻击!N82</f>
        <v>201.6</v>
      </c>
      <c r="M82" s="94">
        <f>攻击!O82</f>
        <v>252</v>
      </c>
      <c r="N82" s="94">
        <f>攻击!P82</f>
        <v>336</v>
      </c>
      <c r="O82" s="94">
        <f>攻击!Q82</f>
        <v>420</v>
      </c>
      <c r="P82" s="94">
        <f>攻击!R82</f>
        <v>504</v>
      </c>
      <c r="Q82" s="94">
        <f>攻击!S82</f>
        <v>588</v>
      </c>
      <c r="R82" s="94">
        <f>攻击!T82</f>
        <v>126</v>
      </c>
      <c r="S82" s="94">
        <f>攻击!U82</f>
        <v>50.4</v>
      </c>
      <c r="T82" s="94">
        <f>攻击!V82</f>
        <v>50.4</v>
      </c>
      <c r="U82" s="94">
        <f>攻击!W82</f>
        <v>8.4</v>
      </c>
      <c r="V82" s="93">
        <f>攻击!X82</f>
        <v>0.2</v>
      </c>
      <c r="W82" s="93">
        <f>攻击!Y82</f>
        <v>0.3</v>
      </c>
      <c r="X82" s="93">
        <f>攻击!Z82</f>
        <v>0.5</v>
      </c>
      <c r="Y82" s="93">
        <f>攻击!AA82</f>
        <v>0.8</v>
      </c>
      <c r="Z82" s="93">
        <f>攻击!AB82</f>
        <v>1.2</v>
      </c>
      <c r="AA82" s="94">
        <f>攻击!AL82</f>
        <v>201.6</v>
      </c>
      <c r="AB82" s="93">
        <f>攻击!AM82</f>
        <v>0.2</v>
      </c>
      <c r="AC82" s="93">
        <f>攻击!AN82</f>
        <v>0.3</v>
      </c>
      <c r="AD82" s="93">
        <f>攻击!AO82</f>
        <v>0.5</v>
      </c>
      <c r="AE82" s="93">
        <f>攻击!AP82</f>
        <v>0.8</v>
      </c>
      <c r="AF82" s="93">
        <f>攻击!AQ82</f>
        <v>1.2</v>
      </c>
      <c r="AG82" s="94">
        <f>攻击!AR82</f>
        <v>33.6</v>
      </c>
      <c r="AH82" s="94">
        <f t="shared" si="1"/>
        <v>655.20000000000005</v>
      </c>
    </row>
    <row r="83" spans="1:34">
      <c r="A83" s="46">
        <v>81</v>
      </c>
      <c r="B83" s="94">
        <f>攻击!D83</f>
        <v>170</v>
      </c>
      <c r="C83" s="94">
        <f>攻击!E83</f>
        <v>204</v>
      </c>
      <c r="D83" s="94">
        <f>攻击!F83</f>
        <v>255</v>
      </c>
      <c r="E83" s="94">
        <f>攻击!G83</f>
        <v>340</v>
      </c>
      <c r="F83" s="94">
        <f>攻击!H83</f>
        <v>425</v>
      </c>
      <c r="G83" s="94">
        <f>攻击!I83</f>
        <v>84</v>
      </c>
      <c r="H83" s="94">
        <f>攻击!J83</f>
        <v>51</v>
      </c>
      <c r="I83" s="94">
        <f>攻击!K83</f>
        <v>102</v>
      </c>
      <c r="J83" s="94">
        <f>攻击!L83</f>
        <v>51</v>
      </c>
      <c r="K83" s="94">
        <f>攻击!M83</f>
        <v>136</v>
      </c>
      <c r="L83" s="94">
        <f>攻击!N83</f>
        <v>204</v>
      </c>
      <c r="M83" s="94">
        <f>攻击!O83</f>
        <v>255</v>
      </c>
      <c r="N83" s="94">
        <f>攻击!P83</f>
        <v>340</v>
      </c>
      <c r="O83" s="94">
        <f>攻击!Q83</f>
        <v>425</v>
      </c>
      <c r="P83" s="94">
        <f>攻击!R83</f>
        <v>510</v>
      </c>
      <c r="Q83" s="94">
        <f>攻击!S83</f>
        <v>595</v>
      </c>
      <c r="R83" s="94">
        <f>攻击!T83</f>
        <v>127.5</v>
      </c>
      <c r="S83" s="94">
        <f>攻击!U83</f>
        <v>51</v>
      </c>
      <c r="T83" s="94">
        <f>攻击!V83</f>
        <v>51</v>
      </c>
      <c r="U83" s="94">
        <f>攻击!W83</f>
        <v>8.5</v>
      </c>
      <c r="V83" s="93">
        <f>攻击!X83</f>
        <v>0.2</v>
      </c>
      <c r="W83" s="93">
        <f>攻击!Y83</f>
        <v>0.3</v>
      </c>
      <c r="X83" s="93">
        <f>攻击!Z83</f>
        <v>0.5</v>
      </c>
      <c r="Y83" s="93">
        <f>攻击!AA83</f>
        <v>0.8</v>
      </c>
      <c r="Z83" s="93">
        <f>攻击!AB83</f>
        <v>1.2</v>
      </c>
      <c r="AA83" s="94">
        <f>攻击!AL83</f>
        <v>204</v>
      </c>
      <c r="AB83" s="93">
        <f>攻击!AM83</f>
        <v>0.2</v>
      </c>
      <c r="AC83" s="93">
        <f>攻击!AN83</f>
        <v>0.3</v>
      </c>
      <c r="AD83" s="93">
        <f>攻击!AO83</f>
        <v>0.5</v>
      </c>
      <c r="AE83" s="93">
        <f>攻击!AP83</f>
        <v>0.8</v>
      </c>
      <c r="AF83" s="93">
        <f>攻击!AQ83</f>
        <v>1.2</v>
      </c>
      <c r="AG83" s="94">
        <f>攻击!AR83</f>
        <v>34</v>
      </c>
      <c r="AH83" s="94">
        <f t="shared" si="1"/>
        <v>663</v>
      </c>
    </row>
    <row r="84" spans="1:34">
      <c r="A84" s="46">
        <v>82</v>
      </c>
      <c r="B84" s="94">
        <f>攻击!D84</f>
        <v>172</v>
      </c>
      <c r="C84" s="94">
        <f>攻击!E84</f>
        <v>206.4</v>
      </c>
      <c r="D84" s="94">
        <f>攻击!F84</f>
        <v>258</v>
      </c>
      <c r="E84" s="94">
        <f>攻击!G84</f>
        <v>344</v>
      </c>
      <c r="F84" s="94">
        <f>攻击!H84</f>
        <v>430</v>
      </c>
      <c r="G84" s="94">
        <f>攻击!I84</f>
        <v>84</v>
      </c>
      <c r="H84" s="94">
        <f>攻击!J84</f>
        <v>51.6</v>
      </c>
      <c r="I84" s="94">
        <f>攻击!K84</f>
        <v>103.2</v>
      </c>
      <c r="J84" s="94">
        <f>攻击!L84</f>
        <v>51.6</v>
      </c>
      <c r="K84" s="94">
        <f>攻击!M84</f>
        <v>137.6</v>
      </c>
      <c r="L84" s="94">
        <f>攻击!N84</f>
        <v>206.4</v>
      </c>
      <c r="M84" s="94">
        <f>攻击!O84</f>
        <v>258</v>
      </c>
      <c r="N84" s="94">
        <f>攻击!P84</f>
        <v>344</v>
      </c>
      <c r="O84" s="94">
        <f>攻击!Q84</f>
        <v>430</v>
      </c>
      <c r="P84" s="94">
        <f>攻击!R84</f>
        <v>516</v>
      </c>
      <c r="Q84" s="94">
        <f>攻击!S84</f>
        <v>602</v>
      </c>
      <c r="R84" s="94">
        <f>攻击!T84</f>
        <v>129</v>
      </c>
      <c r="S84" s="94">
        <f>攻击!U84</f>
        <v>51.6</v>
      </c>
      <c r="T84" s="94">
        <f>攻击!V84</f>
        <v>51.6</v>
      </c>
      <c r="U84" s="94">
        <f>攻击!W84</f>
        <v>8.6</v>
      </c>
      <c r="V84" s="93">
        <f>攻击!X84</f>
        <v>0.2</v>
      </c>
      <c r="W84" s="93">
        <f>攻击!Y84</f>
        <v>0.3</v>
      </c>
      <c r="X84" s="93">
        <f>攻击!Z84</f>
        <v>0.5</v>
      </c>
      <c r="Y84" s="93">
        <f>攻击!AA84</f>
        <v>0.8</v>
      </c>
      <c r="Z84" s="93">
        <f>攻击!AB84</f>
        <v>1.2</v>
      </c>
      <c r="AA84" s="94">
        <f>攻击!AL84</f>
        <v>206.4</v>
      </c>
      <c r="AB84" s="93">
        <f>攻击!AM84</f>
        <v>0.2</v>
      </c>
      <c r="AC84" s="93">
        <f>攻击!AN84</f>
        <v>0.3</v>
      </c>
      <c r="AD84" s="93">
        <f>攻击!AO84</f>
        <v>0.5</v>
      </c>
      <c r="AE84" s="93">
        <f>攻击!AP84</f>
        <v>0.8</v>
      </c>
      <c r="AF84" s="93">
        <f>攻击!AQ84</f>
        <v>1.2</v>
      </c>
      <c r="AG84" s="94">
        <f>攻击!AR84</f>
        <v>34.4</v>
      </c>
      <c r="AH84" s="94">
        <f t="shared" si="1"/>
        <v>670.8</v>
      </c>
    </row>
    <row r="85" spans="1:34">
      <c r="A85" s="46">
        <v>83</v>
      </c>
      <c r="B85" s="94">
        <f>攻击!D85</f>
        <v>174</v>
      </c>
      <c r="C85" s="94">
        <f>攻击!E85</f>
        <v>208.79999999999998</v>
      </c>
      <c r="D85" s="94">
        <f>攻击!F85</f>
        <v>261</v>
      </c>
      <c r="E85" s="94">
        <f>攻击!G85</f>
        <v>348</v>
      </c>
      <c r="F85" s="94">
        <f>攻击!H85</f>
        <v>435</v>
      </c>
      <c r="G85" s="94">
        <f>攻击!I85</f>
        <v>84</v>
      </c>
      <c r="H85" s="94">
        <f>攻击!J85</f>
        <v>52.199999999999996</v>
      </c>
      <c r="I85" s="94">
        <f>攻击!K85</f>
        <v>104.39999999999999</v>
      </c>
      <c r="J85" s="94">
        <f>攻击!L85</f>
        <v>52.199999999999996</v>
      </c>
      <c r="K85" s="94">
        <f>攻击!M85</f>
        <v>139.20000000000002</v>
      </c>
      <c r="L85" s="94">
        <f>攻击!N85</f>
        <v>208.79999999999998</v>
      </c>
      <c r="M85" s="94">
        <f>攻击!O85</f>
        <v>261</v>
      </c>
      <c r="N85" s="94">
        <f>攻击!P85</f>
        <v>348</v>
      </c>
      <c r="O85" s="94">
        <f>攻击!Q85</f>
        <v>435</v>
      </c>
      <c r="P85" s="94">
        <f>攻击!R85</f>
        <v>522</v>
      </c>
      <c r="Q85" s="94">
        <f>攻击!S85</f>
        <v>609</v>
      </c>
      <c r="R85" s="94">
        <f>攻击!T85</f>
        <v>130.5</v>
      </c>
      <c r="S85" s="94">
        <f>攻击!U85</f>
        <v>52.199999999999996</v>
      </c>
      <c r="T85" s="94">
        <f>攻击!V85</f>
        <v>52.199999999999996</v>
      </c>
      <c r="U85" s="94">
        <f>攻击!W85</f>
        <v>8.7000000000000011</v>
      </c>
      <c r="V85" s="93">
        <f>攻击!X85</f>
        <v>0.2</v>
      </c>
      <c r="W85" s="93">
        <f>攻击!Y85</f>
        <v>0.3</v>
      </c>
      <c r="X85" s="93">
        <f>攻击!Z85</f>
        <v>0.5</v>
      </c>
      <c r="Y85" s="93">
        <f>攻击!AA85</f>
        <v>0.8</v>
      </c>
      <c r="Z85" s="93">
        <f>攻击!AB85</f>
        <v>1.2</v>
      </c>
      <c r="AA85" s="94">
        <f>攻击!AL85</f>
        <v>208.79999999999998</v>
      </c>
      <c r="AB85" s="93">
        <f>攻击!AM85</f>
        <v>0.2</v>
      </c>
      <c r="AC85" s="93">
        <f>攻击!AN85</f>
        <v>0.3</v>
      </c>
      <c r="AD85" s="93">
        <f>攻击!AO85</f>
        <v>0.5</v>
      </c>
      <c r="AE85" s="93">
        <f>攻击!AP85</f>
        <v>0.8</v>
      </c>
      <c r="AF85" s="93">
        <f>攻击!AQ85</f>
        <v>1.2</v>
      </c>
      <c r="AG85" s="94">
        <f>攻击!AR85</f>
        <v>34.800000000000004</v>
      </c>
      <c r="AH85" s="94">
        <f t="shared" si="1"/>
        <v>678.59999999999991</v>
      </c>
    </row>
    <row r="86" spans="1:34">
      <c r="A86" s="46">
        <v>84</v>
      </c>
      <c r="B86" s="94">
        <f>攻击!D86</f>
        <v>176</v>
      </c>
      <c r="C86" s="94">
        <f>攻击!E86</f>
        <v>211.2</v>
      </c>
      <c r="D86" s="94">
        <f>攻击!F86</f>
        <v>264</v>
      </c>
      <c r="E86" s="94">
        <f>攻击!G86</f>
        <v>352</v>
      </c>
      <c r="F86" s="94">
        <f>攻击!H86</f>
        <v>440</v>
      </c>
      <c r="G86" s="94">
        <f>攻击!I86</f>
        <v>84</v>
      </c>
      <c r="H86" s="94">
        <f>攻击!J86</f>
        <v>52.8</v>
      </c>
      <c r="I86" s="94">
        <f>攻击!K86</f>
        <v>105.6</v>
      </c>
      <c r="J86" s="94">
        <f>攻击!L86</f>
        <v>52.8</v>
      </c>
      <c r="K86" s="94">
        <f>攻击!M86</f>
        <v>140.80000000000001</v>
      </c>
      <c r="L86" s="94">
        <f>攻击!N86</f>
        <v>211.2</v>
      </c>
      <c r="M86" s="94">
        <f>攻击!O86</f>
        <v>264</v>
      </c>
      <c r="N86" s="94">
        <f>攻击!P86</f>
        <v>352</v>
      </c>
      <c r="O86" s="94">
        <f>攻击!Q86</f>
        <v>440</v>
      </c>
      <c r="P86" s="94">
        <f>攻击!R86</f>
        <v>528</v>
      </c>
      <c r="Q86" s="94">
        <f>攻击!S86</f>
        <v>616</v>
      </c>
      <c r="R86" s="94">
        <f>攻击!T86</f>
        <v>132</v>
      </c>
      <c r="S86" s="94">
        <f>攻击!U86</f>
        <v>52.8</v>
      </c>
      <c r="T86" s="94">
        <f>攻击!V86</f>
        <v>52.8</v>
      </c>
      <c r="U86" s="94">
        <f>攻击!W86</f>
        <v>8.8000000000000007</v>
      </c>
      <c r="V86" s="93">
        <f>攻击!X86</f>
        <v>0.2</v>
      </c>
      <c r="W86" s="93">
        <f>攻击!Y86</f>
        <v>0.3</v>
      </c>
      <c r="X86" s="93">
        <f>攻击!Z86</f>
        <v>0.5</v>
      </c>
      <c r="Y86" s="93">
        <f>攻击!AA86</f>
        <v>0.8</v>
      </c>
      <c r="Z86" s="93">
        <f>攻击!AB86</f>
        <v>1.2</v>
      </c>
      <c r="AA86" s="94">
        <f>攻击!AL86</f>
        <v>211.2</v>
      </c>
      <c r="AB86" s="93">
        <f>攻击!AM86</f>
        <v>0.2</v>
      </c>
      <c r="AC86" s="93">
        <f>攻击!AN86</f>
        <v>0.3</v>
      </c>
      <c r="AD86" s="93">
        <f>攻击!AO86</f>
        <v>0.5</v>
      </c>
      <c r="AE86" s="93">
        <f>攻击!AP86</f>
        <v>0.8</v>
      </c>
      <c r="AF86" s="93">
        <f>攻击!AQ86</f>
        <v>1.2</v>
      </c>
      <c r="AG86" s="94">
        <f>攻击!AR86</f>
        <v>35.200000000000003</v>
      </c>
      <c r="AH86" s="94">
        <f t="shared" si="1"/>
        <v>686.40000000000009</v>
      </c>
    </row>
    <row r="87" spans="1:34">
      <c r="A87" s="46">
        <v>85</v>
      </c>
      <c r="B87" s="94">
        <f>攻击!D87</f>
        <v>178</v>
      </c>
      <c r="C87" s="94">
        <f>攻击!E87</f>
        <v>213.6</v>
      </c>
      <c r="D87" s="94">
        <f>攻击!F87</f>
        <v>267</v>
      </c>
      <c r="E87" s="94">
        <f>攻击!G87</f>
        <v>356</v>
      </c>
      <c r="F87" s="94">
        <f>攻击!H87</f>
        <v>445</v>
      </c>
      <c r="G87" s="94">
        <f>攻击!I87</f>
        <v>89</v>
      </c>
      <c r="H87" s="94">
        <f>攻击!J87</f>
        <v>53.4</v>
      </c>
      <c r="I87" s="94">
        <f>攻击!K87</f>
        <v>106.8</v>
      </c>
      <c r="J87" s="94">
        <f>攻击!L87</f>
        <v>53.4</v>
      </c>
      <c r="K87" s="94">
        <f>攻击!M87</f>
        <v>142.4</v>
      </c>
      <c r="L87" s="94">
        <f>攻击!N87</f>
        <v>213.6</v>
      </c>
      <c r="M87" s="94">
        <f>攻击!O87</f>
        <v>267</v>
      </c>
      <c r="N87" s="94">
        <f>攻击!P87</f>
        <v>356</v>
      </c>
      <c r="O87" s="94">
        <f>攻击!Q87</f>
        <v>445</v>
      </c>
      <c r="P87" s="94">
        <f>攻击!R87</f>
        <v>534</v>
      </c>
      <c r="Q87" s="94">
        <f>攻击!S87</f>
        <v>623</v>
      </c>
      <c r="R87" s="94">
        <f>攻击!T87</f>
        <v>133.5</v>
      </c>
      <c r="S87" s="94">
        <f>攻击!U87</f>
        <v>53.4</v>
      </c>
      <c r="T87" s="94">
        <f>攻击!V87</f>
        <v>53.4</v>
      </c>
      <c r="U87" s="94">
        <f>攻击!W87</f>
        <v>8.9</v>
      </c>
      <c r="V87" s="93">
        <f>攻击!X87</f>
        <v>0.2</v>
      </c>
      <c r="W87" s="93">
        <f>攻击!Y87</f>
        <v>0.3</v>
      </c>
      <c r="X87" s="93">
        <f>攻击!Z87</f>
        <v>0.5</v>
      </c>
      <c r="Y87" s="93">
        <f>攻击!AA87</f>
        <v>0.8</v>
      </c>
      <c r="Z87" s="93">
        <f>攻击!AB87</f>
        <v>1.2</v>
      </c>
      <c r="AA87" s="94">
        <f>攻击!AL87</f>
        <v>213.6</v>
      </c>
      <c r="AB87" s="93">
        <f>攻击!AM87</f>
        <v>0.2</v>
      </c>
      <c r="AC87" s="93">
        <f>攻击!AN87</f>
        <v>0.3</v>
      </c>
      <c r="AD87" s="93">
        <f>攻击!AO87</f>
        <v>0.5</v>
      </c>
      <c r="AE87" s="93">
        <f>攻击!AP87</f>
        <v>0.8</v>
      </c>
      <c r="AF87" s="93">
        <f>攻击!AQ87</f>
        <v>1.2</v>
      </c>
      <c r="AG87" s="94">
        <f>攻击!AR87</f>
        <v>35.6</v>
      </c>
      <c r="AH87" s="94">
        <f t="shared" si="1"/>
        <v>694.2</v>
      </c>
    </row>
    <row r="88" spans="1:34">
      <c r="A88" s="46">
        <v>86</v>
      </c>
      <c r="B88" s="94">
        <f>攻击!D88</f>
        <v>180</v>
      </c>
      <c r="C88" s="94">
        <f>攻击!E88</f>
        <v>216</v>
      </c>
      <c r="D88" s="94">
        <f>攻击!F88</f>
        <v>270</v>
      </c>
      <c r="E88" s="94">
        <f>攻击!G88</f>
        <v>360</v>
      </c>
      <c r="F88" s="94">
        <f>攻击!H88</f>
        <v>450</v>
      </c>
      <c r="G88" s="94">
        <f>攻击!I88</f>
        <v>89</v>
      </c>
      <c r="H88" s="94">
        <f>攻击!J88</f>
        <v>54</v>
      </c>
      <c r="I88" s="94">
        <f>攻击!K88</f>
        <v>108</v>
      </c>
      <c r="J88" s="94">
        <f>攻击!L88</f>
        <v>54</v>
      </c>
      <c r="K88" s="94">
        <f>攻击!M88</f>
        <v>144</v>
      </c>
      <c r="L88" s="94">
        <f>攻击!N88</f>
        <v>216</v>
      </c>
      <c r="M88" s="94">
        <f>攻击!O88</f>
        <v>270</v>
      </c>
      <c r="N88" s="94">
        <f>攻击!P88</f>
        <v>360</v>
      </c>
      <c r="O88" s="94">
        <f>攻击!Q88</f>
        <v>450</v>
      </c>
      <c r="P88" s="94">
        <f>攻击!R88</f>
        <v>540</v>
      </c>
      <c r="Q88" s="94">
        <f>攻击!S88</f>
        <v>630</v>
      </c>
      <c r="R88" s="94">
        <f>攻击!T88</f>
        <v>135</v>
      </c>
      <c r="S88" s="94">
        <f>攻击!U88</f>
        <v>54</v>
      </c>
      <c r="T88" s="94">
        <f>攻击!V88</f>
        <v>54</v>
      </c>
      <c r="U88" s="94">
        <f>攻击!W88</f>
        <v>9</v>
      </c>
      <c r="V88" s="93">
        <f>攻击!X88</f>
        <v>0.2</v>
      </c>
      <c r="W88" s="93">
        <f>攻击!Y88</f>
        <v>0.3</v>
      </c>
      <c r="X88" s="93">
        <f>攻击!Z88</f>
        <v>0.5</v>
      </c>
      <c r="Y88" s="93">
        <f>攻击!AA88</f>
        <v>0.8</v>
      </c>
      <c r="Z88" s="93">
        <f>攻击!AB88</f>
        <v>1.2</v>
      </c>
      <c r="AA88" s="94">
        <f>攻击!AL88</f>
        <v>216</v>
      </c>
      <c r="AB88" s="93">
        <f>攻击!AM88</f>
        <v>0.2</v>
      </c>
      <c r="AC88" s="93">
        <f>攻击!AN88</f>
        <v>0.3</v>
      </c>
      <c r="AD88" s="93">
        <f>攻击!AO88</f>
        <v>0.5</v>
      </c>
      <c r="AE88" s="93">
        <f>攻击!AP88</f>
        <v>0.8</v>
      </c>
      <c r="AF88" s="93">
        <f>攻击!AQ88</f>
        <v>1.2</v>
      </c>
      <c r="AG88" s="94">
        <f>攻击!AR88</f>
        <v>36</v>
      </c>
      <c r="AH88" s="94">
        <f t="shared" si="1"/>
        <v>702</v>
      </c>
    </row>
    <row r="89" spans="1:34">
      <c r="A89" s="46">
        <v>87</v>
      </c>
      <c r="B89" s="94">
        <f>攻击!D89</f>
        <v>182</v>
      </c>
      <c r="C89" s="94">
        <f>攻击!E89</f>
        <v>218.4</v>
      </c>
      <c r="D89" s="94">
        <f>攻击!F89</f>
        <v>273</v>
      </c>
      <c r="E89" s="94">
        <f>攻击!G89</f>
        <v>364</v>
      </c>
      <c r="F89" s="94">
        <f>攻击!H89</f>
        <v>455</v>
      </c>
      <c r="G89" s="94">
        <f>攻击!I89</f>
        <v>89</v>
      </c>
      <c r="H89" s="94">
        <f>攻击!J89</f>
        <v>54.6</v>
      </c>
      <c r="I89" s="94">
        <f>攻击!K89</f>
        <v>109.2</v>
      </c>
      <c r="J89" s="94">
        <f>攻击!L89</f>
        <v>54.6</v>
      </c>
      <c r="K89" s="94">
        <f>攻击!M89</f>
        <v>145.6</v>
      </c>
      <c r="L89" s="94">
        <f>攻击!N89</f>
        <v>218.4</v>
      </c>
      <c r="M89" s="94">
        <f>攻击!O89</f>
        <v>273</v>
      </c>
      <c r="N89" s="94">
        <f>攻击!P89</f>
        <v>364</v>
      </c>
      <c r="O89" s="94">
        <f>攻击!Q89</f>
        <v>455</v>
      </c>
      <c r="P89" s="94">
        <f>攻击!R89</f>
        <v>546</v>
      </c>
      <c r="Q89" s="94">
        <f>攻击!S89</f>
        <v>637</v>
      </c>
      <c r="R89" s="94">
        <f>攻击!T89</f>
        <v>136.5</v>
      </c>
      <c r="S89" s="94">
        <f>攻击!U89</f>
        <v>54.6</v>
      </c>
      <c r="T89" s="94">
        <f>攻击!V89</f>
        <v>54.6</v>
      </c>
      <c r="U89" s="94">
        <f>攻击!W89</f>
        <v>9.1</v>
      </c>
      <c r="V89" s="93">
        <f>攻击!X89</f>
        <v>0.2</v>
      </c>
      <c r="W89" s="93">
        <f>攻击!Y89</f>
        <v>0.3</v>
      </c>
      <c r="X89" s="93">
        <f>攻击!Z89</f>
        <v>0.5</v>
      </c>
      <c r="Y89" s="93">
        <f>攻击!AA89</f>
        <v>0.8</v>
      </c>
      <c r="Z89" s="93">
        <f>攻击!AB89</f>
        <v>1.2</v>
      </c>
      <c r="AA89" s="94">
        <f>攻击!AL89</f>
        <v>218.4</v>
      </c>
      <c r="AB89" s="93">
        <f>攻击!AM89</f>
        <v>0.2</v>
      </c>
      <c r="AC89" s="93">
        <f>攻击!AN89</f>
        <v>0.3</v>
      </c>
      <c r="AD89" s="93">
        <f>攻击!AO89</f>
        <v>0.5</v>
      </c>
      <c r="AE89" s="93">
        <f>攻击!AP89</f>
        <v>0.8</v>
      </c>
      <c r="AF89" s="93">
        <f>攻击!AQ89</f>
        <v>1.2</v>
      </c>
      <c r="AG89" s="94">
        <f>攻击!AR89</f>
        <v>36.4</v>
      </c>
      <c r="AH89" s="94">
        <f t="shared" si="1"/>
        <v>709.8</v>
      </c>
    </row>
    <row r="90" spans="1:34">
      <c r="A90" s="46">
        <v>88</v>
      </c>
      <c r="B90" s="94">
        <f>攻击!D90</f>
        <v>184</v>
      </c>
      <c r="C90" s="94">
        <f>攻击!E90</f>
        <v>220.79999999999998</v>
      </c>
      <c r="D90" s="94">
        <f>攻击!F90</f>
        <v>276</v>
      </c>
      <c r="E90" s="94">
        <f>攻击!G90</f>
        <v>368</v>
      </c>
      <c r="F90" s="94">
        <f>攻击!H90</f>
        <v>460</v>
      </c>
      <c r="G90" s="94">
        <f>攻击!I90</f>
        <v>89</v>
      </c>
      <c r="H90" s="94">
        <f>攻击!J90</f>
        <v>55.199999999999996</v>
      </c>
      <c r="I90" s="94">
        <f>攻击!K90</f>
        <v>110.39999999999999</v>
      </c>
      <c r="J90" s="94">
        <f>攻击!L90</f>
        <v>55.199999999999996</v>
      </c>
      <c r="K90" s="94">
        <f>攻击!M90</f>
        <v>147.20000000000002</v>
      </c>
      <c r="L90" s="94">
        <f>攻击!N90</f>
        <v>220.79999999999998</v>
      </c>
      <c r="M90" s="94">
        <f>攻击!O90</f>
        <v>276</v>
      </c>
      <c r="N90" s="94">
        <f>攻击!P90</f>
        <v>368</v>
      </c>
      <c r="O90" s="94">
        <f>攻击!Q90</f>
        <v>460</v>
      </c>
      <c r="P90" s="94">
        <f>攻击!R90</f>
        <v>552</v>
      </c>
      <c r="Q90" s="94">
        <f>攻击!S90</f>
        <v>644</v>
      </c>
      <c r="R90" s="94">
        <f>攻击!T90</f>
        <v>138</v>
      </c>
      <c r="S90" s="94">
        <f>攻击!U90</f>
        <v>55.199999999999996</v>
      </c>
      <c r="T90" s="94">
        <f>攻击!V90</f>
        <v>55.199999999999996</v>
      </c>
      <c r="U90" s="94">
        <f>攻击!W90</f>
        <v>9.2000000000000011</v>
      </c>
      <c r="V90" s="93">
        <f>攻击!X90</f>
        <v>0.2</v>
      </c>
      <c r="W90" s="93">
        <f>攻击!Y90</f>
        <v>0.3</v>
      </c>
      <c r="X90" s="93">
        <f>攻击!Z90</f>
        <v>0.5</v>
      </c>
      <c r="Y90" s="93">
        <f>攻击!AA90</f>
        <v>0.8</v>
      </c>
      <c r="Z90" s="93">
        <f>攻击!AB90</f>
        <v>1.2</v>
      </c>
      <c r="AA90" s="94">
        <f>攻击!AL90</f>
        <v>220.79999999999998</v>
      </c>
      <c r="AB90" s="93">
        <f>攻击!AM90</f>
        <v>0.2</v>
      </c>
      <c r="AC90" s="93">
        <f>攻击!AN90</f>
        <v>0.3</v>
      </c>
      <c r="AD90" s="93">
        <f>攻击!AO90</f>
        <v>0.5</v>
      </c>
      <c r="AE90" s="93">
        <f>攻击!AP90</f>
        <v>0.8</v>
      </c>
      <c r="AF90" s="93">
        <f>攻击!AQ90</f>
        <v>1.2</v>
      </c>
      <c r="AG90" s="94">
        <f>攻击!AR90</f>
        <v>36.800000000000004</v>
      </c>
      <c r="AH90" s="94">
        <f t="shared" si="1"/>
        <v>717.59999999999991</v>
      </c>
    </row>
    <row r="91" spans="1:34">
      <c r="A91" s="46">
        <v>89</v>
      </c>
      <c r="B91" s="94">
        <f>攻击!D91</f>
        <v>186</v>
      </c>
      <c r="C91" s="94">
        <f>攻击!E91</f>
        <v>223.2</v>
      </c>
      <c r="D91" s="94">
        <f>攻击!F91</f>
        <v>279</v>
      </c>
      <c r="E91" s="94">
        <f>攻击!G91</f>
        <v>372</v>
      </c>
      <c r="F91" s="94">
        <f>攻击!H91</f>
        <v>465</v>
      </c>
      <c r="G91" s="94">
        <f>攻击!I91</f>
        <v>89</v>
      </c>
      <c r="H91" s="94">
        <f>攻击!J91</f>
        <v>55.8</v>
      </c>
      <c r="I91" s="94">
        <f>攻击!K91</f>
        <v>111.6</v>
      </c>
      <c r="J91" s="94">
        <f>攻击!L91</f>
        <v>55.8</v>
      </c>
      <c r="K91" s="94">
        <f>攻击!M91</f>
        <v>148.80000000000001</v>
      </c>
      <c r="L91" s="94">
        <f>攻击!N91</f>
        <v>223.2</v>
      </c>
      <c r="M91" s="94">
        <f>攻击!O91</f>
        <v>279</v>
      </c>
      <c r="N91" s="94">
        <f>攻击!P91</f>
        <v>372</v>
      </c>
      <c r="O91" s="94">
        <f>攻击!Q91</f>
        <v>465</v>
      </c>
      <c r="P91" s="94">
        <f>攻击!R91</f>
        <v>558</v>
      </c>
      <c r="Q91" s="94">
        <f>攻击!S91</f>
        <v>651</v>
      </c>
      <c r="R91" s="94">
        <f>攻击!T91</f>
        <v>139.5</v>
      </c>
      <c r="S91" s="94">
        <f>攻击!U91</f>
        <v>55.8</v>
      </c>
      <c r="T91" s="94">
        <f>攻击!V91</f>
        <v>55.8</v>
      </c>
      <c r="U91" s="94">
        <f>攻击!W91</f>
        <v>9.3000000000000007</v>
      </c>
      <c r="V91" s="93">
        <f>攻击!X91</f>
        <v>0.2</v>
      </c>
      <c r="W91" s="93">
        <f>攻击!Y91</f>
        <v>0.3</v>
      </c>
      <c r="X91" s="93">
        <f>攻击!Z91</f>
        <v>0.5</v>
      </c>
      <c r="Y91" s="93">
        <f>攻击!AA91</f>
        <v>0.8</v>
      </c>
      <c r="Z91" s="93">
        <f>攻击!AB91</f>
        <v>1.2</v>
      </c>
      <c r="AA91" s="94">
        <f>攻击!AL91</f>
        <v>223.2</v>
      </c>
      <c r="AB91" s="93">
        <f>攻击!AM91</f>
        <v>0.2</v>
      </c>
      <c r="AC91" s="93">
        <f>攻击!AN91</f>
        <v>0.3</v>
      </c>
      <c r="AD91" s="93">
        <f>攻击!AO91</f>
        <v>0.5</v>
      </c>
      <c r="AE91" s="93">
        <f>攻击!AP91</f>
        <v>0.8</v>
      </c>
      <c r="AF91" s="93">
        <f>攻击!AQ91</f>
        <v>1.2</v>
      </c>
      <c r="AG91" s="94">
        <f>攻击!AR91</f>
        <v>37.200000000000003</v>
      </c>
      <c r="AH91" s="94">
        <f t="shared" si="1"/>
        <v>725.40000000000009</v>
      </c>
    </row>
    <row r="92" spans="1:34">
      <c r="A92" s="46">
        <v>90</v>
      </c>
      <c r="B92" s="94">
        <f>攻击!D92</f>
        <v>188</v>
      </c>
      <c r="C92" s="94">
        <f>攻击!E92</f>
        <v>225.6</v>
      </c>
      <c r="D92" s="94">
        <f>攻击!F92</f>
        <v>282</v>
      </c>
      <c r="E92" s="94">
        <f>攻击!G92</f>
        <v>376</v>
      </c>
      <c r="F92" s="94">
        <f>攻击!H92</f>
        <v>470</v>
      </c>
      <c r="G92" s="94">
        <f>攻击!I92</f>
        <v>94</v>
      </c>
      <c r="H92" s="94">
        <f>攻击!J92</f>
        <v>56.4</v>
      </c>
      <c r="I92" s="94">
        <f>攻击!K92</f>
        <v>112.8</v>
      </c>
      <c r="J92" s="94">
        <f>攻击!L92</f>
        <v>56.4</v>
      </c>
      <c r="K92" s="94">
        <f>攻击!M92</f>
        <v>150.4</v>
      </c>
      <c r="L92" s="94">
        <f>攻击!N92</f>
        <v>225.6</v>
      </c>
      <c r="M92" s="94">
        <f>攻击!O92</f>
        <v>282</v>
      </c>
      <c r="N92" s="94">
        <f>攻击!P92</f>
        <v>376</v>
      </c>
      <c r="O92" s="94">
        <f>攻击!Q92</f>
        <v>470</v>
      </c>
      <c r="P92" s="94">
        <f>攻击!R92</f>
        <v>564</v>
      </c>
      <c r="Q92" s="94">
        <f>攻击!S92</f>
        <v>658</v>
      </c>
      <c r="R92" s="94">
        <f>攻击!T92</f>
        <v>141</v>
      </c>
      <c r="S92" s="94">
        <f>攻击!U92</f>
        <v>56.4</v>
      </c>
      <c r="T92" s="94">
        <f>攻击!V92</f>
        <v>56.4</v>
      </c>
      <c r="U92" s="94">
        <f>攻击!W92</f>
        <v>9.4</v>
      </c>
      <c r="V92" s="93">
        <f>攻击!X92</f>
        <v>0.2</v>
      </c>
      <c r="W92" s="93">
        <f>攻击!Y92</f>
        <v>0.3</v>
      </c>
      <c r="X92" s="93">
        <f>攻击!Z92</f>
        <v>0.5</v>
      </c>
      <c r="Y92" s="93">
        <f>攻击!AA92</f>
        <v>0.8</v>
      </c>
      <c r="Z92" s="93">
        <f>攻击!AB92</f>
        <v>1.2</v>
      </c>
      <c r="AA92" s="94">
        <f>攻击!AL92</f>
        <v>225.6</v>
      </c>
      <c r="AB92" s="93">
        <f>攻击!AM92</f>
        <v>0.2</v>
      </c>
      <c r="AC92" s="93">
        <f>攻击!AN92</f>
        <v>0.3</v>
      </c>
      <c r="AD92" s="93">
        <f>攻击!AO92</f>
        <v>0.5</v>
      </c>
      <c r="AE92" s="93">
        <f>攻击!AP92</f>
        <v>0.8</v>
      </c>
      <c r="AF92" s="93">
        <f>攻击!AQ92</f>
        <v>1.2</v>
      </c>
      <c r="AG92" s="94">
        <f>攻击!AR92</f>
        <v>37.6</v>
      </c>
      <c r="AH92" s="94">
        <f t="shared" si="1"/>
        <v>733.2</v>
      </c>
    </row>
    <row r="93" spans="1:34">
      <c r="A93" s="46">
        <v>91</v>
      </c>
      <c r="B93" s="94">
        <f>攻击!D93</f>
        <v>190</v>
      </c>
      <c r="C93" s="94">
        <f>攻击!E93</f>
        <v>228</v>
      </c>
      <c r="D93" s="94">
        <f>攻击!F93</f>
        <v>285</v>
      </c>
      <c r="E93" s="94">
        <f>攻击!G93</f>
        <v>380</v>
      </c>
      <c r="F93" s="94">
        <f>攻击!H93</f>
        <v>475</v>
      </c>
      <c r="G93" s="94">
        <f>攻击!I93</f>
        <v>94</v>
      </c>
      <c r="H93" s="94">
        <f>攻击!J93</f>
        <v>57</v>
      </c>
      <c r="I93" s="94">
        <f>攻击!K93</f>
        <v>114</v>
      </c>
      <c r="J93" s="94">
        <f>攻击!L93</f>
        <v>57</v>
      </c>
      <c r="K93" s="94">
        <f>攻击!M93</f>
        <v>152</v>
      </c>
      <c r="L93" s="94">
        <f>攻击!N93</f>
        <v>228</v>
      </c>
      <c r="M93" s="94">
        <f>攻击!O93</f>
        <v>285</v>
      </c>
      <c r="N93" s="94">
        <f>攻击!P93</f>
        <v>380</v>
      </c>
      <c r="O93" s="94">
        <f>攻击!Q93</f>
        <v>475</v>
      </c>
      <c r="P93" s="94">
        <f>攻击!R93</f>
        <v>570</v>
      </c>
      <c r="Q93" s="94">
        <f>攻击!S93</f>
        <v>665</v>
      </c>
      <c r="R93" s="94">
        <f>攻击!T93</f>
        <v>142.5</v>
      </c>
      <c r="S93" s="94">
        <f>攻击!U93</f>
        <v>57</v>
      </c>
      <c r="T93" s="94">
        <f>攻击!V93</f>
        <v>57</v>
      </c>
      <c r="U93" s="94">
        <f>攻击!W93</f>
        <v>9.5</v>
      </c>
      <c r="V93" s="93">
        <f>攻击!X93</f>
        <v>0.2</v>
      </c>
      <c r="W93" s="93">
        <f>攻击!Y93</f>
        <v>0.3</v>
      </c>
      <c r="X93" s="93">
        <f>攻击!Z93</f>
        <v>0.5</v>
      </c>
      <c r="Y93" s="93">
        <f>攻击!AA93</f>
        <v>0.8</v>
      </c>
      <c r="Z93" s="93">
        <f>攻击!AB93</f>
        <v>1.2</v>
      </c>
      <c r="AA93" s="94">
        <f>攻击!AL93</f>
        <v>228</v>
      </c>
      <c r="AB93" s="93">
        <f>攻击!AM93</f>
        <v>0.2</v>
      </c>
      <c r="AC93" s="93">
        <f>攻击!AN93</f>
        <v>0.3</v>
      </c>
      <c r="AD93" s="93">
        <f>攻击!AO93</f>
        <v>0.5</v>
      </c>
      <c r="AE93" s="93">
        <f>攻击!AP93</f>
        <v>0.8</v>
      </c>
      <c r="AF93" s="93">
        <f>攻击!AQ93</f>
        <v>1.2</v>
      </c>
      <c r="AG93" s="94">
        <f>攻击!AR93</f>
        <v>38</v>
      </c>
      <c r="AH93" s="94">
        <f t="shared" si="1"/>
        <v>741</v>
      </c>
    </row>
    <row r="94" spans="1:34">
      <c r="A94" s="46">
        <v>92</v>
      </c>
      <c r="B94" s="94">
        <f>攻击!D94</f>
        <v>192</v>
      </c>
      <c r="C94" s="94">
        <f>攻击!E94</f>
        <v>230.39999999999998</v>
      </c>
      <c r="D94" s="94">
        <f>攻击!F94</f>
        <v>288</v>
      </c>
      <c r="E94" s="94">
        <f>攻击!G94</f>
        <v>384</v>
      </c>
      <c r="F94" s="94">
        <f>攻击!H94</f>
        <v>480</v>
      </c>
      <c r="G94" s="94">
        <f>攻击!I94</f>
        <v>94</v>
      </c>
      <c r="H94" s="94">
        <f>攻击!J94</f>
        <v>57.599999999999994</v>
      </c>
      <c r="I94" s="94">
        <f>攻击!K94</f>
        <v>115.19999999999999</v>
      </c>
      <c r="J94" s="94">
        <f>攻击!L94</f>
        <v>57.599999999999994</v>
      </c>
      <c r="K94" s="94">
        <f>攻击!M94</f>
        <v>153.60000000000002</v>
      </c>
      <c r="L94" s="94">
        <f>攻击!N94</f>
        <v>230.39999999999998</v>
      </c>
      <c r="M94" s="94">
        <f>攻击!O94</f>
        <v>288</v>
      </c>
      <c r="N94" s="94">
        <f>攻击!P94</f>
        <v>384</v>
      </c>
      <c r="O94" s="94">
        <f>攻击!Q94</f>
        <v>480</v>
      </c>
      <c r="P94" s="94">
        <f>攻击!R94</f>
        <v>576</v>
      </c>
      <c r="Q94" s="94">
        <f>攻击!S94</f>
        <v>672</v>
      </c>
      <c r="R94" s="94">
        <f>攻击!T94</f>
        <v>144</v>
      </c>
      <c r="S94" s="94">
        <f>攻击!U94</f>
        <v>57.599999999999994</v>
      </c>
      <c r="T94" s="94">
        <f>攻击!V94</f>
        <v>57.599999999999994</v>
      </c>
      <c r="U94" s="94">
        <f>攻击!W94</f>
        <v>9.6000000000000014</v>
      </c>
      <c r="V94" s="93">
        <f>攻击!X94</f>
        <v>0.2</v>
      </c>
      <c r="W94" s="93">
        <f>攻击!Y94</f>
        <v>0.3</v>
      </c>
      <c r="X94" s="93">
        <f>攻击!Z94</f>
        <v>0.5</v>
      </c>
      <c r="Y94" s="93">
        <f>攻击!AA94</f>
        <v>0.8</v>
      </c>
      <c r="Z94" s="93">
        <f>攻击!AB94</f>
        <v>1.2</v>
      </c>
      <c r="AA94" s="94">
        <f>攻击!AL94</f>
        <v>230.39999999999998</v>
      </c>
      <c r="AB94" s="93">
        <f>攻击!AM94</f>
        <v>0.2</v>
      </c>
      <c r="AC94" s="93">
        <f>攻击!AN94</f>
        <v>0.3</v>
      </c>
      <c r="AD94" s="93">
        <f>攻击!AO94</f>
        <v>0.5</v>
      </c>
      <c r="AE94" s="93">
        <f>攻击!AP94</f>
        <v>0.8</v>
      </c>
      <c r="AF94" s="93">
        <f>攻击!AQ94</f>
        <v>1.2</v>
      </c>
      <c r="AG94" s="94">
        <f>攻击!AR94</f>
        <v>38.400000000000006</v>
      </c>
      <c r="AH94" s="94">
        <f t="shared" si="1"/>
        <v>748.8</v>
      </c>
    </row>
    <row r="95" spans="1:34">
      <c r="A95" s="46">
        <v>93</v>
      </c>
      <c r="B95" s="94">
        <f>攻击!D95</f>
        <v>194</v>
      </c>
      <c r="C95" s="94">
        <f>攻击!E95</f>
        <v>232.79999999999998</v>
      </c>
      <c r="D95" s="94">
        <f>攻击!F95</f>
        <v>291</v>
      </c>
      <c r="E95" s="94">
        <f>攻击!G95</f>
        <v>388</v>
      </c>
      <c r="F95" s="94">
        <f>攻击!H95</f>
        <v>485</v>
      </c>
      <c r="G95" s="94">
        <f>攻击!I95</f>
        <v>94</v>
      </c>
      <c r="H95" s="94">
        <f>攻击!J95</f>
        <v>58.199999999999996</v>
      </c>
      <c r="I95" s="94">
        <f>攻击!K95</f>
        <v>116.39999999999999</v>
      </c>
      <c r="J95" s="94">
        <f>攻击!L95</f>
        <v>58.199999999999996</v>
      </c>
      <c r="K95" s="94">
        <f>攻击!M95</f>
        <v>155.20000000000002</v>
      </c>
      <c r="L95" s="94">
        <f>攻击!N95</f>
        <v>232.79999999999998</v>
      </c>
      <c r="M95" s="94">
        <f>攻击!O95</f>
        <v>291</v>
      </c>
      <c r="N95" s="94">
        <f>攻击!P95</f>
        <v>388</v>
      </c>
      <c r="O95" s="94">
        <f>攻击!Q95</f>
        <v>485</v>
      </c>
      <c r="P95" s="94">
        <f>攻击!R95</f>
        <v>582</v>
      </c>
      <c r="Q95" s="94">
        <f>攻击!S95</f>
        <v>679</v>
      </c>
      <c r="R95" s="94">
        <f>攻击!T95</f>
        <v>145.5</v>
      </c>
      <c r="S95" s="94">
        <f>攻击!U95</f>
        <v>58.199999999999996</v>
      </c>
      <c r="T95" s="94">
        <f>攻击!V95</f>
        <v>58.199999999999996</v>
      </c>
      <c r="U95" s="94">
        <f>攻击!W95</f>
        <v>9.7000000000000011</v>
      </c>
      <c r="V95" s="93">
        <f>攻击!X95</f>
        <v>0.2</v>
      </c>
      <c r="W95" s="93">
        <f>攻击!Y95</f>
        <v>0.3</v>
      </c>
      <c r="X95" s="93">
        <f>攻击!Z95</f>
        <v>0.5</v>
      </c>
      <c r="Y95" s="93">
        <f>攻击!AA95</f>
        <v>0.8</v>
      </c>
      <c r="Z95" s="93">
        <f>攻击!AB95</f>
        <v>1.2</v>
      </c>
      <c r="AA95" s="94">
        <f>攻击!AL95</f>
        <v>232.79999999999998</v>
      </c>
      <c r="AB95" s="93">
        <f>攻击!AM95</f>
        <v>0.2</v>
      </c>
      <c r="AC95" s="93">
        <f>攻击!AN95</f>
        <v>0.3</v>
      </c>
      <c r="AD95" s="93">
        <f>攻击!AO95</f>
        <v>0.5</v>
      </c>
      <c r="AE95" s="93">
        <f>攻击!AP95</f>
        <v>0.8</v>
      </c>
      <c r="AF95" s="93">
        <f>攻击!AQ95</f>
        <v>1.2</v>
      </c>
      <c r="AG95" s="94">
        <f>攻击!AR95</f>
        <v>38.800000000000004</v>
      </c>
      <c r="AH95" s="94">
        <f t="shared" si="1"/>
        <v>756.59999999999991</v>
      </c>
    </row>
    <row r="96" spans="1:34">
      <c r="A96" s="46">
        <v>94</v>
      </c>
      <c r="B96" s="94">
        <f>攻击!D96</f>
        <v>196</v>
      </c>
      <c r="C96" s="94">
        <f>攻击!E96</f>
        <v>235.2</v>
      </c>
      <c r="D96" s="94">
        <f>攻击!F96</f>
        <v>294</v>
      </c>
      <c r="E96" s="94">
        <f>攻击!G96</f>
        <v>392</v>
      </c>
      <c r="F96" s="94">
        <f>攻击!H96</f>
        <v>490</v>
      </c>
      <c r="G96" s="94">
        <f>攻击!I96</f>
        <v>94</v>
      </c>
      <c r="H96" s="94">
        <f>攻击!J96</f>
        <v>58.8</v>
      </c>
      <c r="I96" s="94">
        <f>攻击!K96</f>
        <v>117.6</v>
      </c>
      <c r="J96" s="94">
        <f>攻击!L96</f>
        <v>58.8</v>
      </c>
      <c r="K96" s="94">
        <f>攻击!M96</f>
        <v>156.80000000000001</v>
      </c>
      <c r="L96" s="94">
        <f>攻击!N96</f>
        <v>235.2</v>
      </c>
      <c r="M96" s="94">
        <f>攻击!O96</f>
        <v>294</v>
      </c>
      <c r="N96" s="94">
        <f>攻击!P96</f>
        <v>392</v>
      </c>
      <c r="O96" s="94">
        <f>攻击!Q96</f>
        <v>490</v>
      </c>
      <c r="P96" s="94">
        <f>攻击!R96</f>
        <v>588</v>
      </c>
      <c r="Q96" s="94">
        <f>攻击!S96</f>
        <v>686</v>
      </c>
      <c r="R96" s="94">
        <f>攻击!T96</f>
        <v>147</v>
      </c>
      <c r="S96" s="94">
        <f>攻击!U96</f>
        <v>58.8</v>
      </c>
      <c r="T96" s="94">
        <f>攻击!V96</f>
        <v>58.8</v>
      </c>
      <c r="U96" s="94">
        <f>攻击!W96</f>
        <v>9.8000000000000007</v>
      </c>
      <c r="V96" s="93">
        <f>攻击!X96</f>
        <v>0.2</v>
      </c>
      <c r="W96" s="93">
        <f>攻击!Y96</f>
        <v>0.3</v>
      </c>
      <c r="X96" s="93">
        <f>攻击!Z96</f>
        <v>0.5</v>
      </c>
      <c r="Y96" s="93">
        <f>攻击!AA96</f>
        <v>0.8</v>
      </c>
      <c r="Z96" s="93">
        <f>攻击!AB96</f>
        <v>1.2</v>
      </c>
      <c r="AA96" s="94">
        <f>攻击!AL96</f>
        <v>235.2</v>
      </c>
      <c r="AB96" s="93">
        <f>攻击!AM96</f>
        <v>0.2</v>
      </c>
      <c r="AC96" s="93">
        <f>攻击!AN96</f>
        <v>0.3</v>
      </c>
      <c r="AD96" s="93">
        <f>攻击!AO96</f>
        <v>0.5</v>
      </c>
      <c r="AE96" s="93">
        <f>攻击!AP96</f>
        <v>0.8</v>
      </c>
      <c r="AF96" s="93">
        <f>攻击!AQ96</f>
        <v>1.2</v>
      </c>
      <c r="AG96" s="94">
        <f>攻击!AR96</f>
        <v>39.200000000000003</v>
      </c>
      <c r="AH96" s="94">
        <f t="shared" si="1"/>
        <v>764.40000000000009</v>
      </c>
    </row>
    <row r="97" spans="1:34">
      <c r="A97" s="46">
        <v>95</v>
      </c>
      <c r="B97" s="94">
        <f>攻击!D97</f>
        <v>198</v>
      </c>
      <c r="C97" s="94">
        <f>攻击!E97</f>
        <v>237.6</v>
      </c>
      <c r="D97" s="94">
        <f>攻击!F97</f>
        <v>297</v>
      </c>
      <c r="E97" s="94">
        <f>攻击!G97</f>
        <v>396</v>
      </c>
      <c r="F97" s="94">
        <f>攻击!H97</f>
        <v>495</v>
      </c>
      <c r="G97" s="94">
        <f>攻击!I97</f>
        <v>99</v>
      </c>
      <c r="H97" s="94">
        <f>攻击!J97</f>
        <v>59.4</v>
      </c>
      <c r="I97" s="94">
        <f>攻击!K97</f>
        <v>118.8</v>
      </c>
      <c r="J97" s="94">
        <f>攻击!L97</f>
        <v>59.4</v>
      </c>
      <c r="K97" s="94">
        <f>攻击!M97</f>
        <v>158.4</v>
      </c>
      <c r="L97" s="94">
        <f>攻击!N97</f>
        <v>237.6</v>
      </c>
      <c r="M97" s="94">
        <f>攻击!O97</f>
        <v>297</v>
      </c>
      <c r="N97" s="94">
        <f>攻击!P97</f>
        <v>396</v>
      </c>
      <c r="O97" s="94">
        <f>攻击!Q97</f>
        <v>495</v>
      </c>
      <c r="P97" s="94">
        <f>攻击!R97</f>
        <v>594</v>
      </c>
      <c r="Q97" s="94">
        <f>攻击!S97</f>
        <v>693</v>
      </c>
      <c r="R97" s="94">
        <f>攻击!T97</f>
        <v>148.5</v>
      </c>
      <c r="S97" s="94">
        <f>攻击!U97</f>
        <v>59.4</v>
      </c>
      <c r="T97" s="94">
        <f>攻击!V97</f>
        <v>59.4</v>
      </c>
      <c r="U97" s="94">
        <f>攻击!W97</f>
        <v>9.9</v>
      </c>
      <c r="V97" s="93">
        <f>攻击!X97</f>
        <v>0.2</v>
      </c>
      <c r="W97" s="93">
        <f>攻击!Y97</f>
        <v>0.3</v>
      </c>
      <c r="X97" s="93">
        <f>攻击!Z97</f>
        <v>0.5</v>
      </c>
      <c r="Y97" s="93">
        <f>攻击!AA97</f>
        <v>0.8</v>
      </c>
      <c r="Z97" s="93">
        <f>攻击!AB97</f>
        <v>1.2</v>
      </c>
      <c r="AA97" s="94">
        <f>攻击!AL97</f>
        <v>237.6</v>
      </c>
      <c r="AB97" s="93">
        <f>攻击!AM97</f>
        <v>0.2</v>
      </c>
      <c r="AC97" s="93">
        <f>攻击!AN97</f>
        <v>0.3</v>
      </c>
      <c r="AD97" s="93">
        <f>攻击!AO97</f>
        <v>0.5</v>
      </c>
      <c r="AE97" s="93">
        <f>攻击!AP97</f>
        <v>0.8</v>
      </c>
      <c r="AF97" s="93">
        <f>攻击!AQ97</f>
        <v>1.2</v>
      </c>
      <c r="AG97" s="94">
        <f>攻击!AR97</f>
        <v>39.6</v>
      </c>
      <c r="AH97" s="94">
        <f t="shared" si="1"/>
        <v>772.2</v>
      </c>
    </row>
    <row r="98" spans="1:34">
      <c r="A98" s="46">
        <v>96</v>
      </c>
      <c r="B98" s="94">
        <f>攻击!D98</f>
        <v>200</v>
      </c>
      <c r="C98" s="94">
        <f>攻击!E98</f>
        <v>240</v>
      </c>
      <c r="D98" s="94">
        <f>攻击!F98</f>
        <v>300</v>
      </c>
      <c r="E98" s="94">
        <f>攻击!G98</f>
        <v>400</v>
      </c>
      <c r="F98" s="94">
        <f>攻击!H98</f>
        <v>500</v>
      </c>
      <c r="G98" s="94">
        <f>攻击!I98</f>
        <v>99</v>
      </c>
      <c r="H98" s="94">
        <f>攻击!J98</f>
        <v>60</v>
      </c>
      <c r="I98" s="94">
        <f>攻击!K98</f>
        <v>120</v>
      </c>
      <c r="J98" s="94">
        <f>攻击!L98</f>
        <v>60</v>
      </c>
      <c r="K98" s="94">
        <f>攻击!M98</f>
        <v>160</v>
      </c>
      <c r="L98" s="94">
        <f>攻击!N98</f>
        <v>240</v>
      </c>
      <c r="M98" s="94">
        <f>攻击!O98</f>
        <v>300</v>
      </c>
      <c r="N98" s="94">
        <f>攻击!P98</f>
        <v>400</v>
      </c>
      <c r="O98" s="94">
        <f>攻击!Q98</f>
        <v>500</v>
      </c>
      <c r="P98" s="94">
        <f>攻击!R98</f>
        <v>600</v>
      </c>
      <c r="Q98" s="94">
        <f>攻击!S98</f>
        <v>700</v>
      </c>
      <c r="R98" s="94">
        <f>攻击!T98</f>
        <v>150</v>
      </c>
      <c r="S98" s="94">
        <f>攻击!U98</f>
        <v>60</v>
      </c>
      <c r="T98" s="94">
        <f>攻击!V98</f>
        <v>60</v>
      </c>
      <c r="U98" s="94">
        <f>攻击!W98</f>
        <v>10</v>
      </c>
      <c r="V98" s="93">
        <f>攻击!X98</f>
        <v>0.2</v>
      </c>
      <c r="W98" s="93">
        <f>攻击!Y98</f>
        <v>0.3</v>
      </c>
      <c r="X98" s="93">
        <f>攻击!Z98</f>
        <v>0.5</v>
      </c>
      <c r="Y98" s="93">
        <f>攻击!AA98</f>
        <v>0.8</v>
      </c>
      <c r="Z98" s="93">
        <f>攻击!AB98</f>
        <v>1.2</v>
      </c>
      <c r="AA98" s="94">
        <f>攻击!AL98</f>
        <v>240</v>
      </c>
      <c r="AB98" s="93">
        <f>攻击!AM98</f>
        <v>0.2</v>
      </c>
      <c r="AC98" s="93">
        <f>攻击!AN98</f>
        <v>0.3</v>
      </c>
      <c r="AD98" s="93">
        <f>攻击!AO98</f>
        <v>0.5</v>
      </c>
      <c r="AE98" s="93">
        <f>攻击!AP98</f>
        <v>0.8</v>
      </c>
      <c r="AF98" s="93">
        <f>攻击!AQ98</f>
        <v>1.2</v>
      </c>
      <c r="AG98" s="94">
        <f>攻击!AR98</f>
        <v>40</v>
      </c>
      <c r="AH98" s="94">
        <f t="shared" si="1"/>
        <v>780</v>
      </c>
    </row>
    <row r="99" spans="1:34">
      <c r="A99" s="46">
        <v>97</v>
      </c>
      <c r="B99" s="94">
        <f>攻击!D99</f>
        <v>202</v>
      </c>
      <c r="C99" s="94">
        <f>攻击!E99</f>
        <v>242.39999999999998</v>
      </c>
      <c r="D99" s="94">
        <f>攻击!F99</f>
        <v>303</v>
      </c>
      <c r="E99" s="94">
        <f>攻击!G99</f>
        <v>404</v>
      </c>
      <c r="F99" s="94">
        <f>攻击!H99</f>
        <v>505</v>
      </c>
      <c r="G99" s="94">
        <f>攻击!I99</f>
        <v>99</v>
      </c>
      <c r="H99" s="94">
        <f>攻击!J99</f>
        <v>60.599999999999994</v>
      </c>
      <c r="I99" s="94">
        <f>攻击!K99</f>
        <v>121.19999999999999</v>
      </c>
      <c r="J99" s="94">
        <f>攻击!L99</f>
        <v>60.599999999999994</v>
      </c>
      <c r="K99" s="94">
        <f>攻击!M99</f>
        <v>161.60000000000002</v>
      </c>
      <c r="L99" s="94">
        <f>攻击!N99</f>
        <v>242.39999999999998</v>
      </c>
      <c r="M99" s="94">
        <f>攻击!O99</f>
        <v>303</v>
      </c>
      <c r="N99" s="94">
        <f>攻击!P99</f>
        <v>404</v>
      </c>
      <c r="O99" s="94">
        <f>攻击!Q99</f>
        <v>505</v>
      </c>
      <c r="P99" s="94">
        <f>攻击!R99</f>
        <v>606</v>
      </c>
      <c r="Q99" s="94">
        <f>攻击!S99</f>
        <v>707</v>
      </c>
      <c r="R99" s="94">
        <f>攻击!T99</f>
        <v>151.5</v>
      </c>
      <c r="S99" s="94">
        <f>攻击!U99</f>
        <v>60.599999999999994</v>
      </c>
      <c r="T99" s="94">
        <f>攻击!V99</f>
        <v>60.599999999999994</v>
      </c>
      <c r="U99" s="94">
        <f>攻击!W99</f>
        <v>10.100000000000001</v>
      </c>
      <c r="V99" s="93">
        <f>攻击!X99</f>
        <v>0.2</v>
      </c>
      <c r="W99" s="93">
        <f>攻击!Y99</f>
        <v>0.3</v>
      </c>
      <c r="X99" s="93">
        <f>攻击!Z99</f>
        <v>0.5</v>
      </c>
      <c r="Y99" s="93">
        <f>攻击!AA99</f>
        <v>0.8</v>
      </c>
      <c r="Z99" s="93">
        <f>攻击!AB99</f>
        <v>1.2</v>
      </c>
      <c r="AA99" s="94">
        <f>攻击!AL99</f>
        <v>242.39999999999998</v>
      </c>
      <c r="AB99" s="93">
        <f>攻击!AM99</f>
        <v>0.2</v>
      </c>
      <c r="AC99" s="93">
        <f>攻击!AN99</f>
        <v>0.3</v>
      </c>
      <c r="AD99" s="93">
        <f>攻击!AO99</f>
        <v>0.5</v>
      </c>
      <c r="AE99" s="93">
        <f>攻击!AP99</f>
        <v>0.8</v>
      </c>
      <c r="AF99" s="93">
        <f>攻击!AQ99</f>
        <v>1.2</v>
      </c>
      <c r="AG99" s="94">
        <f>攻击!AR99</f>
        <v>40.400000000000006</v>
      </c>
      <c r="AH99" s="94">
        <f t="shared" si="1"/>
        <v>787.8</v>
      </c>
    </row>
    <row r="100" spans="1:34">
      <c r="A100" s="46">
        <v>98</v>
      </c>
      <c r="B100" s="94">
        <f>攻击!D100</f>
        <v>204</v>
      </c>
      <c r="C100" s="94">
        <f>攻击!E100</f>
        <v>244.79999999999998</v>
      </c>
      <c r="D100" s="94">
        <f>攻击!F100</f>
        <v>306</v>
      </c>
      <c r="E100" s="94">
        <f>攻击!G100</f>
        <v>408</v>
      </c>
      <c r="F100" s="94">
        <f>攻击!H100</f>
        <v>510</v>
      </c>
      <c r="G100" s="94">
        <f>攻击!I100</f>
        <v>99</v>
      </c>
      <c r="H100" s="94">
        <f>攻击!J100</f>
        <v>61.199999999999996</v>
      </c>
      <c r="I100" s="94">
        <f>攻击!K100</f>
        <v>122.39999999999999</v>
      </c>
      <c r="J100" s="94">
        <f>攻击!L100</f>
        <v>61.199999999999996</v>
      </c>
      <c r="K100" s="94">
        <f>攻击!M100</f>
        <v>163.20000000000002</v>
      </c>
      <c r="L100" s="94">
        <f>攻击!N100</f>
        <v>244.79999999999998</v>
      </c>
      <c r="M100" s="94">
        <f>攻击!O100</f>
        <v>306</v>
      </c>
      <c r="N100" s="94">
        <f>攻击!P100</f>
        <v>408</v>
      </c>
      <c r="O100" s="94">
        <f>攻击!Q100</f>
        <v>510</v>
      </c>
      <c r="P100" s="94">
        <f>攻击!R100</f>
        <v>612</v>
      </c>
      <c r="Q100" s="94">
        <f>攻击!S100</f>
        <v>714</v>
      </c>
      <c r="R100" s="94">
        <f>攻击!T100</f>
        <v>153</v>
      </c>
      <c r="S100" s="94">
        <f>攻击!U100</f>
        <v>61.199999999999996</v>
      </c>
      <c r="T100" s="94">
        <f>攻击!V100</f>
        <v>61.199999999999996</v>
      </c>
      <c r="U100" s="94">
        <f>攻击!W100</f>
        <v>10.200000000000001</v>
      </c>
      <c r="V100" s="93">
        <f>攻击!X100</f>
        <v>0.2</v>
      </c>
      <c r="W100" s="93">
        <f>攻击!Y100</f>
        <v>0.3</v>
      </c>
      <c r="X100" s="93">
        <f>攻击!Z100</f>
        <v>0.5</v>
      </c>
      <c r="Y100" s="93">
        <f>攻击!AA100</f>
        <v>0.8</v>
      </c>
      <c r="Z100" s="93">
        <f>攻击!AB100</f>
        <v>1.2</v>
      </c>
      <c r="AA100" s="94">
        <f>攻击!AL100</f>
        <v>244.79999999999998</v>
      </c>
      <c r="AB100" s="93">
        <f>攻击!AM100</f>
        <v>0.2</v>
      </c>
      <c r="AC100" s="93">
        <f>攻击!AN100</f>
        <v>0.3</v>
      </c>
      <c r="AD100" s="93">
        <f>攻击!AO100</f>
        <v>0.5</v>
      </c>
      <c r="AE100" s="93">
        <f>攻击!AP100</f>
        <v>0.8</v>
      </c>
      <c r="AF100" s="93">
        <f>攻击!AQ100</f>
        <v>1.2</v>
      </c>
      <c r="AG100" s="94">
        <f>攻击!AR100</f>
        <v>40.800000000000004</v>
      </c>
      <c r="AH100" s="94">
        <f t="shared" si="1"/>
        <v>795.59999999999991</v>
      </c>
    </row>
    <row r="101" spans="1:34">
      <c r="A101" s="46">
        <v>99</v>
      </c>
      <c r="B101" s="94">
        <f>攻击!D101</f>
        <v>206</v>
      </c>
      <c r="C101" s="94">
        <f>攻击!E101</f>
        <v>247.2</v>
      </c>
      <c r="D101" s="94">
        <f>攻击!F101</f>
        <v>309</v>
      </c>
      <c r="E101" s="94">
        <f>攻击!G101</f>
        <v>412</v>
      </c>
      <c r="F101" s="94">
        <f>攻击!H101</f>
        <v>515</v>
      </c>
      <c r="G101" s="94">
        <f>攻击!I101</f>
        <v>99</v>
      </c>
      <c r="H101" s="94">
        <f>攻击!J101</f>
        <v>61.8</v>
      </c>
      <c r="I101" s="94">
        <f>攻击!K101</f>
        <v>123.6</v>
      </c>
      <c r="J101" s="94">
        <f>攻击!L101</f>
        <v>61.8</v>
      </c>
      <c r="K101" s="94">
        <f>攻击!M101</f>
        <v>164.8</v>
      </c>
      <c r="L101" s="94">
        <f>攻击!N101</f>
        <v>247.2</v>
      </c>
      <c r="M101" s="94">
        <f>攻击!O101</f>
        <v>309</v>
      </c>
      <c r="N101" s="94">
        <f>攻击!P101</f>
        <v>412</v>
      </c>
      <c r="O101" s="94">
        <f>攻击!Q101</f>
        <v>515</v>
      </c>
      <c r="P101" s="94">
        <f>攻击!R101</f>
        <v>618</v>
      </c>
      <c r="Q101" s="94">
        <f>攻击!S101</f>
        <v>721</v>
      </c>
      <c r="R101" s="94">
        <f>攻击!T101</f>
        <v>154.5</v>
      </c>
      <c r="S101" s="94">
        <f>攻击!U101</f>
        <v>61.8</v>
      </c>
      <c r="T101" s="94">
        <f>攻击!V101</f>
        <v>61.8</v>
      </c>
      <c r="U101" s="94">
        <f>攻击!W101</f>
        <v>10.3</v>
      </c>
      <c r="V101" s="93">
        <f>攻击!X101</f>
        <v>0.2</v>
      </c>
      <c r="W101" s="93">
        <f>攻击!Y101</f>
        <v>0.3</v>
      </c>
      <c r="X101" s="93">
        <f>攻击!Z101</f>
        <v>0.5</v>
      </c>
      <c r="Y101" s="93">
        <f>攻击!AA101</f>
        <v>0.8</v>
      </c>
      <c r="Z101" s="93">
        <f>攻击!AB101</f>
        <v>1.2</v>
      </c>
      <c r="AA101" s="94">
        <f>攻击!AL101</f>
        <v>247.2</v>
      </c>
      <c r="AB101" s="93">
        <f>攻击!AM101</f>
        <v>0.2</v>
      </c>
      <c r="AC101" s="93">
        <f>攻击!AN101</f>
        <v>0.3</v>
      </c>
      <c r="AD101" s="93">
        <f>攻击!AO101</f>
        <v>0.5</v>
      </c>
      <c r="AE101" s="93">
        <f>攻击!AP101</f>
        <v>0.8</v>
      </c>
      <c r="AF101" s="93">
        <f>攻击!AQ101</f>
        <v>1.2</v>
      </c>
      <c r="AG101" s="94">
        <f>攻击!AR101</f>
        <v>41.2</v>
      </c>
      <c r="AH101" s="94">
        <f t="shared" si="1"/>
        <v>803.40000000000009</v>
      </c>
    </row>
    <row r="102" spans="1:34">
      <c r="A102" s="46">
        <v>100</v>
      </c>
      <c r="B102" s="94">
        <f>攻击!D102</f>
        <v>208</v>
      </c>
      <c r="C102" s="94">
        <f>攻击!E102</f>
        <v>249.6</v>
      </c>
      <c r="D102" s="94">
        <f>攻击!F102</f>
        <v>312</v>
      </c>
      <c r="E102" s="94">
        <f>攻击!G102</f>
        <v>416</v>
      </c>
      <c r="F102" s="94">
        <f>攻击!H102</f>
        <v>520</v>
      </c>
      <c r="G102" s="94">
        <f>攻击!I102</f>
        <v>104</v>
      </c>
      <c r="H102" s="94">
        <f>攻击!J102</f>
        <v>62.4</v>
      </c>
      <c r="I102" s="94">
        <f>攻击!K102</f>
        <v>124.8</v>
      </c>
      <c r="J102" s="94">
        <f>攻击!L102</f>
        <v>62.4</v>
      </c>
      <c r="K102" s="94">
        <f>攻击!M102</f>
        <v>166.4</v>
      </c>
      <c r="L102" s="94">
        <f>攻击!N102</f>
        <v>249.6</v>
      </c>
      <c r="M102" s="94">
        <f>攻击!O102</f>
        <v>312</v>
      </c>
      <c r="N102" s="94">
        <f>攻击!P102</f>
        <v>416</v>
      </c>
      <c r="O102" s="94">
        <f>攻击!Q102</f>
        <v>520</v>
      </c>
      <c r="P102" s="94">
        <f>攻击!R102</f>
        <v>624</v>
      </c>
      <c r="Q102" s="94">
        <f>攻击!S102</f>
        <v>728</v>
      </c>
      <c r="R102" s="94">
        <f>攻击!T102</f>
        <v>156</v>
      </c>
      <c r="S102" s="94">
        <f>攻击!U102</f>
        <v>62.4</v>
      </c>
      <c r="T102" s="94">
        <f>攻击!V102</f>
        <v>62.4</v>
      </c>
      <c r="U102" s="94">
        <f>攻击!W102</f>
        <v>10.4</v>
      </c>
      <c r="V102" s="93">
        <f>攻击!X102</f>
        <v>0.2</v>
      </c>
      <c r="W102" s="93">
        <f>攻击!Y102</f>
        <v>0.3</v>
      </c>
      <c r="X102" s="93">
        <f>攻击!Z102</f>
        <v>0.5</v>
      </c>
      <c r="Y102" s="93">
        <f>攻击!AA102</f>
        <v>0.8</v>
      </c>
      <c r="Z102" s="93">
        <f>攻击!AB102</f>
        <v>1.2</v>
      </c>
      <c r="AA102" s="94">
        <f>攻击!AL102</f>
        <v>249.6</v>
      </c>
      <c r="AB102" s="93">
        <f>攻击!AM102</f>
        <v>0.2</v>
      </c>
      <c r="AC102" s="93">
        <f>攻击!AN102</f>
        <v>0.3</v>
      </c>
      <c r="AD102" s="93">
        <f>攻击!AO102</f>
        <v>0.5</v>
      </c>
      <c r="AE102" s="93">
        <f>攻击!AP102</f>
        <v>0.8</v>
      </c>
      <c r="AF102" s="93">
        <f>攻击!AQ102</f>
        <v>1.2</v>
      </c>
      <c r="AG102" s="94">
        <f>攻击!AR102</f>
        <v>41.6</v>
      </c>
      <c r="AH102" s="94">
        <f t="shared" si="1"/>
        <v>811.2</v>
      </c>
    </row>
    <row r="103" spans="1:34">
      <c r="A103" s="46">
        <v>101</v>
      </c>
      <c r="B103" s="94">
        <f>攻击!D103</f>
        <v>210</v>
      </c>
      <c r="C103" s="94">
        <f>攻击!E103</f>
        <v>252</v>
      </c>
      <c r="D103" s="94">
        <f>攻击!F103</f>
        <v>315</v>
      </c>
      <c r="E103" s="94">
        <f>攻击!G103</f>
        <v>420</v>
      </c>
      <c r="F103" s="94">
        <f>攻击!H103</f>
        <v>525</v>
      </c>
      <c r="G103" s="94">
        <f>攻击!I103</f>
        <v>104</v>
      </c>
      <c r="H103" s="94">
        <f>攻击!J103</f>
        <v>63</v>
      </c>
      <c r="I103" s="94">
        <f>攻击!K103</f>
        <v>126</v>
      </c>
      <c r="J103" s="94">
        <f>攻击!L103</f>
        <v>63</v>
      </c>
      <c r="K103" s="94">
        <f>攻击!M103</f>
        <v>168</v>
      </c>
      <c r="L103" s="94">
        <f>攻击!N103</f>
        <v>252</v>
      </c>
      <c r="M103" s="94">
        <f>攻击!O103</f>
        <v>315</v>
      </c>
      <c r="N103" s="94">
        <f>攻击!P103</f>
        <v>420</v>
      </c>
      <c r="O103" s="94">
        <f>攻击!Q103</f>
        <v>525</v>
      </c>
      <c r="P103" s="94">
        <f>攻击!R103</f>
        <v>630</v>
      </c>
      <c r="Q103" s="94">
        <f>攻击!S103</f>
        <v>735</v>
      </c>
      <c r="R103" s="94">
        <f>攻击!T103</f>
        <v>157.5</v>
      </c>
      <c r="S103" s="94">
        <f>攻击!U103</f>
        <v>63</v>
      </c>
      <c r="T103" s="94">
        <f>攻击!V103</f>
        <v>63</v>
      </c>
      <c r="U103" s="94">
        <f>攻击!W103</f>
        <v>10.5</v>
      </c>
      <c r="V103" s="93">
        <f>攻击!X103</f>
        <v>0.2</v>
      </c>
      <c r="W103" s="93">
        <f>攻击!Y103</f>
        <v>0.3</v>
      </c>
      <c r="X103" s="93">
        <f>攻击!Z103</f>
        <v>0.5</v>
      </c>
      <c r="Y103" s="93">
        <f>攻击!AA103</f>
        <v>0.8</v>
      </c>
      <c r="Z103" s="93">
        <f>攻击!AB103</f>
        <v>1.2</v>
      </c>
      <c r="AA103" s="94">
        <f>攻击!AL103</f>
        <v>252</v>
      </c>
      <c r="AB103" s="93">
        <f>攻击!AM103</f>
        <v>0.2</v>
      </c>
      <c r="AC103" s="93">
        <f>攻击!AN103</f>
        <v>0.3</v>
      </c>
      <c r="AD103" s="93">
        <f>攻击!AO103</f>
        <v>0.5</v>
      </c>
      <c r="AE103" s="93">
        <f>攻击!AP103</f>
        <v>0.8</v>
      </c>
      <c r="AF103" s="93">
        <f>攻击!AQ103</f>
        <v>1.2</v>
      </c>
      <c r="AG103" s="94">
        <f>攻击!AR103</f>
        <v>42</v>
      </c>
      <c r="AH103" s="94">
        <f t="shared" si="1"/>
        <v>819</v>
      </c>
    </row>
    <row r="104" spans="1:34">
      <c r="A104" s="46">
        <v>102</v>
      </c>
      <c r="B104" s="94">
        <f>攻击!D104</f>
        <v>212</v>
      </c>
      <c r="C104" s="94">
        <f>攻击!E104</f>
        <v>254.39999999999998</v>
      </c>
      <c r="D104" s="94">
        <f>攻击!F104</f>
        <v>318</v>
      </c>
      <c r="E104" s="94">
        <f>攻击!G104</f>
        <v>424</v>
      </c>
      <c r="F104" s="94">
        <f>攻击!H104</f>
        <v>530</v>
      </c>
      <c r="G104" s="94">
        <f>攻击!I104</f>
        <v>104</v>
      </c>
      <c r="H104" s="94">
        <f>攻击!J104</f>
        <v>63.599999999999994</v>
      </c>
      <c r="I104" s="94">
        <f>攻击!K104</f>
        <v>127.19999999999999</v>
      </c>
      <c r="J104" s="94">
        <f>攻击!L104</f>
        <v>63.599999999999994</v>
      </c>
      <c r="K104" s="94">
        <f>攻击!M104</f>
        <v>169.60000000000002</v>
      </c>
      <c r="L104" s="94">
        <f>攻击!N104</f>
        <v>254.39999999999998</v>
      </c>
      <c r="M104" s="94">
        <f>攻击!O104</f>
        <v>318</v>
      </c>
      <c r="N104" s="94">
        <f>攻击!P104</f>
        <v>424</v>
      </c>
      <c r="O104" s="94">
        <f>攻击!Q104</f>
        <v>530</v>
      </c>
      <c r="P104" s="94">
        <f>攻击!R104</f>
        <v>636</v>
      </c>
      <c r="Q104" s="94">
        <f>攻击!S104</f>
        <v>742</v>
      </c>
      <c r="R104" s="94">
        <f>攻击!T104</f>
        <v>159</v>
      </c>
      <c r="S104" s="94">
        <f>攻击!U104</f>
        <v>63.599999999999994</v>
      </c>
      <c r="T104" s="94">
        <f>攻击!V104</f>
        <v>63.599999999999994</v>
      </c>
      <c r="U104" s="94">
        <f>攻击!W104</f>
        <v>10.600000000000001</v>
      </c>
      <c r="V104" s="93">
        <f>攻击!X104</f>
        <v>0.2</v>
      </c>
      <c r="W104" s="93">
        <f>攻击!Y104</f>
        <v>0.3</v>
      </c>
      <c r="X104" s="93">
        <f>攻击!Z104</f>
        <v>0.5</v>
      </c>
      <c r="Y104" s="93">
        <f>攻击!AA104</f>
        <v>0.8</v>
      </c>
      <c r="Z104" s="93">
        <f>攻击!AB104</f>
        <v>1.2</v>
      </c>
      <c r="AA104" s="94">
        <f>攻击!AL104</f>
        <v>254.39999999999998</v>
      </c>
      <c r="AB104" s="93">
        <f>攻击!AM104</f>
        <v>0.2</v>
      </c>
      <c r="AC104" s="93">
        <f>攻击!AN104</f>
        <v>0.3</v>
      </c>
      <c r="AD104" s="93">
        <f>攻击!AO104</f>
        <v>0.5</v>
      </c>
      <c r="AE104" s="93">
        <f>攻击!AP104</f>
        <v>0.8</v>
      </c>
      <c r="AF104" s="93">
        <f>攻击!AQ104</f>
        <v>1.2</v>
      </c>
      <c r="AG104" s="94">
        <f>攻击!AR104</f>
        <v>42.400000000000006</v>
      </c>
      <c r="AH104" s="94">
        <f t="shared" si="1"/>
        <v>826.8</v>
      </c>
    </row>
    <row r="105" spans="1:34">
      <c r="A105" s="46">
        <v>103</v>
      </c>
      <c r="B105" s="94">
        <f>攻击!D105</f>
        <v>214</v>
      </c>
      <c r="C105" s="94">
        <f>攻击!E105</f>
        <v>256.8</v>
      </c>
      <c r="D105" s="94">
        <f>攻击!F105</f>
        <v>321</v>
      </c>
      <c r="E105" s="94">
        <f>攻击!G105</f>
        <v>428</v>
      </c>
      <c r="F105" s="94">
        <f>攻击!H105</f>
        <v>535</v>
      </c>
      <c r="G105" s="94">
        <f>攻击!I105</f>
        <v>104</v>
      </c>
      <c r="H105" s="94">
        <f>攻击!J105</f>
        <v>64.2</v>
      </c>
      <c r="I105" s="94">
        <f>攻击!K105</f>
        <v>128.4</v>
      </c>
      <c r="J105" s="94">
        <f>攻击!L105</f>
        <v>64.2</v>
      </c>
      <c r="K105" s="94">
        <f>攻击!M105</f>
        <v>171.20000000000002</v>
      </c>
      <c r="L105" s="94">
        <f>攻击!N105</f>
        <v>256.8</v>
      </c>
      <c r="M105" s="94">
        <f>攻击!O105</f>
        <v>321</v>
      </c>
      <c r="N105" s="94">
        <f>攻击!P105</f>
        <v>428</v>
      </c>
      <c r="O105" s="94">
        <f>攻击!Q105</f>
        <v>535</v>
      </c>
      <c r="P105" s="94">
        <f>攻击!R105</f>
        <v>642</v>
      </c>
      <c r="Q105" s="94">
        <f>攻击!S105</f>
        <v>749</v>
      </c>
      <c r="R105" s="94">
        <f>攻击!T105</f>
        <v>160.5</v>
      </c>
      <c r="S105" s="94">
        <f>攻击!U105</f>
        <v>64.2</v>
      </c>
      <c r="T105" s="94">
        <f>攻击!V105</f>
        <v>64.2</v>
      </c>
      <c r="U105" s="94">
        <f>攻击!W105</f>
        <v>10.700000000000001</v>
      </c>
      <c r="V105" s="93">
        <f>攻击!X105</f>
        <v>0.2</v>
      </c>
      <c r="W105" s="93">
        <f>攻击!Y105</f>
        <v>0.3</v>
      </c>
      <c r="X105" s="93">
        <f>攻击!Z105</f>
        <v>0.5</v>
      </c>
      <c r="Y105" s="93">
        <f>攻击!AA105</f>
        <v>0.8</v>
      </c>
      <c r="Z105" s="93">
        <f>攻击!AB105</f>
        <v>1.2</v>
      </c>
      <c r="AA105" s="94">
        <f>攻击!AL105</f>
        <v>256.8</v>
      </c>
      <c r="AB105" s="93">
        <f>攻击!AM105</f>
        <v>0.2</v>
      </c>
      <c r="AC105" s="93">
        <f>攻击!AN105</f>
        <v>0.3</v>
      </c>
      <c r="AD105" s="93">
        <f>攻击!AO105</f>
        <v>0.5</v>
      </c>
      <c r="AE105" s="93">
        <f>攻击!AP105</f>
        <v>0.8</v>
      </c>
      <c r="AF105" s="93">
        <f>攻击!AQ105</f>
        <v>1.2</v>
      </c>
      <c r="AG105" s="94">
        <f>攻击!AR105</f>
        <v>42.800000000000004</v>
      </c>
      <c r="AH105" s="94">
        <f t="shared" si="1"/>
        <v>834.59999999999991</v>
      </c>
    </row>
    <row r="106" spans="1:34">
      <c r="A106" s="46">
        <v>104</v>
      </c>
      <c r="B106" s="94">
        <f>攻击!D106</f>
        <v>216</v>
      </c>
      <c r="C106" s="94">
        <f>攻击!E106</f>
        <v>259.2</v>
      </c>
      <c r="D106" s="94">
        <f>攻击!F106</f>
        <v>324</v>
      </c>
      <c r="E106" s="94">
        <f>攻击!G106</f>
        <v>432</v>
      </c>
      <c r="F106" s="94">
        <f>攻击!H106</f>
        <v>540</v>
      </c>
      <c r="G106" s="94">
        <f>攻击!I106</f>
        <v>104</v>
      </c>
      <c r="H106" s="94">
        <f>攻击!J106</f>
        <v>64.8</v>
      </c>
      <c r="I106" s="94">
        <f>攻击!K106</f>
        <v>129.6</v>
      </c>
      <c r="J106" s="94">
        <f>攻击!L106</f>
        <v>64.8</v>
      </c>
      <c r="K106" s="94">
        <f>攻击!M106</f>
        <v>172.8</v>
      </c>
      <c r="L106" s="94">
        <f>攻击!N106</f>
        <v>259.2</v>
      </c>
      <c r="M106" s="94">
        <f>攻击!O106</f>
        <v>324</v>
      </c>
      <c r="N106" s="94">
        <f>攻击!P106</f>
        <v>432</v>
      </c>
      <c r="O106" s="94">
        <f>攻击!Q106</f>
        <v>540</v>
      </c>
      <c r="P106" s="94">
        <f>攻击!R106</f>
        <v>648</v>
      </c>
      <c r="Q106" s="94">
        <f>攻击!S106</f>
        <v>756</v>
      </c>
      <c r="R106" s="94">
        <f>攻击!T106</f>
        <v>162</v>
      </c>
      <c r="S106" s="94">
        <f>攻击!U106</f>
        <v>64.8</v>
      </c>
      <c r="T106" s="94">
        <f>攻击!V106</f>
        <v>64.8</v>
      </c>
      <c r="U106" s="94">
        <f>攻击!W106</f>
        <v>10.8</v>
      </c>
      <c r="V106" s="93">
        <f>攻击!X106</f>
        <v>0.2</v>
      </c>
      <c r="W106" s="93">
        <f>攻击!Y106</f>
        <v>0.3</v>
      </c>
      <c r="X106" s="93">
        <f>攻击!Z106</f>
        <v>0.5</v>
      </c>
      <c r="Y106" s="93">
        <f>攻击!AA106</f>
        <v>0.8</v>
      </c>
      <c r="Z106" s="93">
        <f>攻击!AB106</f>
        <v>1.2</v>
      </c>
      <c r="AA106" s="94">
        <f>攻击!AL106</f>
        <v>259.2</v>
      </c>
      <c r="AB106" s="93">
        <f>攻击!AM106</f>
        <v>0.2</v>
      </c>
      <c r="AC106" s="93">
        <f>攻击!AN106</f>
        <v>0.3</v>
      </c>
      <c r="AD106" s="93">
        <f>攻击!AO106</f>
        <v>0.5</v>
      </c>
      <c r="AE106" s="93">
        <f>攻击!AP106</f>
        <v>0.8</v>
      </c>
      <c r="AF106" s="93">
        <f>攻击!AQ106</f>
        <v>1.2</v>
      </c>
      <c r="AG106" s="94">
        <f>攻击!AR106</f>
        <v>43.2</v>
      </c>
      <c r="AH106" s="94">
        <f t="shared" si="1"/>
        <v>842.40000000000009</v>
      </c>
    </row>
    <row r="107" spans="1:34">
      <c r="A107" s="46">
        <v>105</v>
      </c>
      <c r="B107" s="94">
        <f>攻击!D107</f>
        <v>218</v>
      </c>
      <c r="C107" s="94">
        <f>攻击!E107</f>
        <v>261.59999999999997</v>
      </c>
      <c r="D107" s="94">
        <f>攻击!F107</f>
        <v>327</v>
      </c>
      <c r="E107" s="94">
        <f>攻击!G107</f>
        <v>436</v>
      </c>
      <c r="F107" s="94">
        <f>攻击!H107</f>
        <v>545</v>
      </c>
      <c r="G107" s="94">
        <f>攻击!I107</f>
        <v>109</v>
      </c>
      <c r="H107" s="94">
        <f>攻击!J107</f>
        <v>65.399999999999991</v>
      </c>
      <c r="I107" s="94">
        <f>攻击!K107</f>
        <v>130.79999999999998</v>
      </c>
      <c r="J107" s="94">
        <f>攻击!L107</f>
        <v>65.399999999999991</v>
      </c>
      <c r="K107" s="94">
        <f>攻击!M107</f>
        <v>174.4</v>
      </c>
      <c r="L107" s="94">
        <f>攻击!N107</f>
        <v>261.59999999999997</v>
      </c>
      <c r="M107" s="94">
        <f>攻击!O107</f>
        <v>327</v>
      </c>
      <c r="N107" s="94">
        <f>攻击!P107</f>
        <v>436</v>
      </c>
      <c r="O107" s="94">
        <f>攻击!Q107</f>
        <v>545</v>
      </c>
      <c r="P107" s="94">
        <f>攻击!R107</f>
        <v>654</v>
      </c>
      <c r="Q107" s="94">
        <f>攻击!S107</f>
        <v>763</v>
      </c>
      <c r="R107" s="94">
        <f>攻击!T107</f>
        <v>163.5</v>
      </c>
      <c r="S107" s="94">
        <f>攻击!U107</f>
        <v>65.399999999999991</v>
      </c>
      <c r="T107" s="94">
        <f>攻击!V107</f>
        <v>65.399999999999991</v>
      </c>
      <c r="U107" s="94">
        <f>攻击!W107</f>
        <v>10.9</v>
      </c>
      <c r="V107" s="93">
        <f>攻击!X107</f>
        <v>0.2</v>
      </c>
      <c r="W107" s="93">
        <f>攻击!Y107</f>
        <v>0.3</v>
      </c>
      <c r="X107" s="93">
        <f>攻击!Z107</f>
        <v>0.5</v>
      </c>
      <c r="Y107" s="93">
        <f>攻击!AA107</f>
        <v>0.8</v>
      </c>
      <c r="Z107" s="93">
        <f>攻击!AB107</f>
        <v>1.2</v>
      </c>
      <c r="AA107" s="94">
        <f>攻击!AL107</f>
        <v>261.59999999999997</v>
      </c>
      <c r="AB107" s="93">
        <f>攻击!AM107</f>
        <v>0.2</v>
      </c>
      <c r="AC107" s="93">
        <f>攻击!AN107</f>
        <v>0.3</v>
      </c>
      <c r="AD107" s="93">
        <f>攻击!AO107</f>
        <v>0.5</v>
      </c>
      <c r="AE107" s="93">
        <f>攻击!AP107</f>
        <v>0.8</v>
      </c>
      <c r="AF107" s="93">
        <f>攻击!AQ107</f>
        <v>1.2</v>
      </c>
      <c r="AG107" s="94">
        <f>攻击!AR107</f>
        <v>43.6</v>
      </c>
      <c r="AH107" s="94">
        <f t="shared" si="1"/>
        <v>850.19999999999993</v>
      </c>
    </row>
    <row r="108" spans="1:34">
      <c r="A108" s="46">
        <v>106</v>
      </c>
      <c r="B108" s="94">
        <f>攻击!D108</f>
        <v>220</v>
      </c>
      <c r="C108" s="94">
        <f>攻击!E108</f>
        <v>264</v>
      </c>
      <c r="D108" s="94">
        <f>攻击!F108</f>
        <v>330</v>
      </c>
      <c r="E108" s="94">
        <f>攻击!G108</f>
        <v>440</v>
      </c>
      <c r="F108" s="94">
        <f>攻击!H108</f>
        <v>550</v>
      </c>
      <c r="G108" s="94">
        <f>攻击!I108</f>
        <v>109</v>
      </c>
      <c r="H108" s="94">
        <f>攻击!J108</f>
        <v>66</v>
      </c>
      <c r="I108" s="94">
        <f>攻击!K108</f>
        <v>132</v>
      </c>
      <c r="J108" s="94">
        <f>攻击!L108</f>
        <v>66</v>
      </c>
      <c r="K108" s="94">
        <f>攻击!M108</f>
        <v>176</v>
      </c>
      <c r="L108" s="94">
        <f>攻击!N108</f>
        <v>264</v>
      </c>
      <c r="M108" s="94">
        <f>攻击!O108</f>
        <v>330</v>
      </c>
      <c r="N108" s="94">
        <f>攻击!P108</f>
        <v>440</v>
      </c>
      <c r="O108" s="94">
        <f>攻击!Q108</f>
        <v>550</v>
      </c>
      <c r="P108" s="94">
        <f>攻击!R108</f>
        <v>660</v>
      </c>
      <c r="Q108" s="94">
        <f>攻击!S108</f>
        <v>770</v>
      </c>
      <c r="R108" s="94">
        <f>攻击!T108</f>
        <v>165</v>
      </c>
      <c r="S108" s="94">
        <f>攻击!U108</f>
        <v>66</v>
      </c>
      <c r="T108" s="94">
        <f>攻击!V108</f>
        <v>66</v>
      </c>
      <c r="U108" s="94">
        <f>攻击!W108</f>
        <v>11</v>
      </c>
      <c r="V108" s="93">
        <f>攻击!X108</f>
        <v>0.2</v>
      </c>
      <c r="W108" s="93">
        <f>攻击!Y108</f>
        <v>0.3</v>
      </c>
      <c r="X108" s="93">
        <f>攻击!Z108</f>
        <v>0.5</v>
      </c>
      <c r="Y108" s="93">
        <f>攻击!AA108</f>
        <v>0.8</v>
      </c>
      <c r="Z108" s="93">
        <f>攻击!AB108</f>
        <v>1.2</v>
      </c>
      <c r="AA108" s="94">
        <f>攻击!AL108</f>
        <v>264</v>
      </c>
      <c r="AB108" s="93">
        <f>攻击!AM108</f>
        <v>0.2</v>
      </c>
      <c r="AC108" s="93">
        <f>攻击!AN108</f>
        <v>0.3</v>
      </c>
      <c r="AD108" s="93">
        <f>攻击!AO108</f>
        <v>0.5</v>
      </c>
      <c r="AE108" s="93">
        <f>攻击!AP108</f>
        <v>0.8</v>
      </c>
      <c r="AF108" s="93">
        <f>攻击!AQ108</f>
        <v>1.2</v>
      </c>
      <c r="AG108" s="94">
        <f>攻击!AR108</f>
        <v>44</v>
      </c>
      <c r="AH108" s="94">
        <f t="shared" si="1"/>
        <v>858</v>
      </c>
    </row>
    <row r="109" spans="1:34">
      <c r="A109" s="46">
        <v>107</v>
      </c>
      <c r="B109" s="94">
        <f>攻击!D109</f>
        <v>222</v>
      </c>
      <c r="C109" s="94">
        <f>攻击!E109</f>
        <v>266.39999999999998</v>
      </c>
      <c r="D109" s="94">
        <f>攻击!F109</f>
        <v>333</v>
      </c>
      <c r="E109" s="94">
        <f>攻击!G109</f>
        <v>444</v>
      </c>
      <c r="F109" s="94">
        <f>攻击!H109</f>
        <v>555</v>
      </c>
      <c r="G109" s="94">
        <f>攻击!I109</f>
        <v>109</v>
      </c>
      <c r="H109" s="94">
        <f>攻击!J109</f>
        <v>66.599999999999994</v>
      </c>
      <c r="I109" s="94">
        <f>攻击!K109</f>
        <v>133.19999999999999</v>
      </c>
      <c r="J109" s="94">
        <f>攻击!L109</f>
        <v>66.599999999999994</v>
      </c>
      <c r="K109" s="94">
        <f>攻击!M109</f>
        <v>177.60000000000002</v>
      </c>
      <c r="L109" s="94">
        <f>攻击!N109</f>
        <v>266.39999999999998</v>
      </c>
      <c r="M109" s="94">
        <f>攻击!O109</f>
        <v>333</v>
      </c>
      <c r="N109" s="94">
        <f>攻击!P109</f>
        <v>444</v>
      </c>
      <c r="O109" s="94">
        <f>攻击!Q109</f>
        <v>555</v>
      </c>
      <c r="P109" s="94">
        <f>攻击!R109</f>
        <v>666</v>
      </c>
      <c r="Q109" s="94">
        <f>攻击!S109</f>
        <v>777</v>
      </c>
      <c r="R109" s="94">
        <f>攻击!T109</f>
        <v>166.5</v>
      </c>
      <c r="S109" s="94">
        <f>攻击!U109</f>
        <v>66.599999999999994</v>
      </c>
      <c r="T109" s="94">
        <f>攻击!V109</f>
        <v>66.599999999999994</v>
      </c>
      <c r="U109" s="94">
        <f>攻击!W109</f>
        <v>11.100000000000001</v>
      </c>
      <c r="V109" s="93">
        <f>攻击!X109</f>
        <v>0.2</v>
      </c>
      <c r="W109" s="93">
        <f>攻击!Y109</f>
        <v>0.3</v>
      </c>
      <c r="X109" s="93">
        <f>攻击!Z109</f>
        <v>0.5</v>
      </c>
      <c r="Y109" s="93">
        <f>攻击!AA109</f>
        <v>0.8</v>
      </c>
      <c r="Z109" s="93">
        <f>攻击!AB109</f>
        <v>1.2</v>
      </c>
      <c r="AA109" s="94">
        <f>攻击!AL109</f>
        <v>266.39999999999998</v>
      </c>
      <c r="AB109" s="93">
        <f>攻击!AM109</f>
        <v>0.2</v>
      </c>
      <c r="AC109" s="93">
        <f>攻击!AN109</f>
        <v>0.3</v>
      </c>
      <c r="AD109" s="93">
        <f>攻击!AO109</f>
        <v>0.5</v>
      </c>
      <c r="AE109" s="93">
        <f>攻击!AP109</f>
        <v>0.8</v>
      </c>
      <c r="AF109" s="93">
        <f>攻击!AQ109</f>
        <v>1.2</v>
      </c>
      <c r="AG109" s="94">
        <f>攻击!AR109</f>
        <v>44.400000000000006</v>
      </c>
      <c r="AH109" s="94">
        <f t="shared" si="1"/>
        <v>865.8</v>
      </c>
    </row>
    <row r="110" spans="1:34">
      <c r="A110" s="46">
        <v>108</v>
      </c>
      <c r="B110" s="94">
        <f>攻击!D110</f>
        <v>224</v>
      </c>
      <c r="C110" s="94">
        <f>攻击!E110</f>
        <v>268.8</v>
      </c>
      <c r="D110" s="94">
        <f>攻击!F110</f>
        <v>336</v>
      </c>
      <c r="E110" s="94">
        <f>攻击!G110</f>
        <v>448</v>
      </c>
      <c r="F110" s="94">
        <f>攻击!H110</f>
        <v>560</v>
      </c>
      <c r="G110" s="94">
        <f>攻击!I110</f>
        <v>109</v>
      </c>
      <c r="H110" s="94">
        <f>攻击!J110</f>
        <v>67.2</v>
      </c>
      <c r="I110" s="94">
        <f>攻击!K110</f>
        <v>134.4</v>
      </c>
      <c r="J110" s="94">
        <f>攻击!L110</f>
        <v>67.2</v>
      </c>
      <c r="K110" s="94">
        <f>攻击!M110</f>
        <v>179.20000000000002</v>
      </c>
      <c r="L110" s="94">
        <f>攻击!N110</f>
        <v>268.8</v>
      </c>
      <c r="M110" s="94">
        <f>攻击!O110</f>
        <v>336</v>
      </c>
      <c r="N110" s="94">
        <f>攻击!P110</f>
        <v>448</v>
      </c>
      <c r="O110" s="94">
        <f>攻击!Q110</f>
        <v>560</v>
      </c>
      <c r="P110" s="94">
        <f>攻击!R110</f>
        <v>672</v>
      </c>
      <c r="Q110" s="94">
        <f>攻击!S110</f>
        <v>784</v>
      </c>
      <c r="R110" s="94">
        <f>攻击!T110</f>
        <v>168</v>
      </c>
      <c r="S110" s="94">
        <f>攻击!U110</f>
        <v>67.2</v>
      </c>
      <c r="T110" s="94">
        <f>攻击!V110</f>
        <v>67.2</v>
      </c>
      <c r="U110" s="94">
        <f>攻击!W110</f>
        <v>11.200000000000001</v>
      </c>
      <c r="V110" s="93">
        <f>攻击!X110</f>
        <v>0.2</v>
      </c>
      <c r="W110" s="93">
        <f>攻击!Y110</f>
        <v>0.3</v>
      </c>
      <c r="X110" s="93">
        <f>攻击!Z110</f>
        <v>0.5</v>
      </c>
      <c r="Y110" s="93">
        <f>攻击!AA110</f>
        <v>0.8</v>
      </c>
      <c r="Z110" s="93">
        <f>攻击!AB110</f>
        <v>1.2</v>
      </c>
      <c r="AA110" s="94">
        <f>攻击!AL110</f>
        <v>268.8</v>
      </c>
      <c r="AB110" s="93">
        <f>攻击!AM110</f>
        <v>0.2</v>
      </c>
      <c r="AC110" s="93">
        <f>攻击!AN110</f>
        <v>0.3</v>
      </c>
      <c r="AD110" s="93">
        <f>攻击!AO110</f>
        <v>0.5</v>
      </c>
      <c r="AE110" s="93">
        <f>攻击!AP110</f>
        <v>0.8</v>
      </c>
      <c r="AF110" s="93">
        <f>攻击!AQ110</f>
        <v>1.2</v>
      </c>
      <c r="AG110" s="94">
        <f>攻击!AR110</f>
        <v>44.800000000000004</v>
      </c>
      <c r="AH110" s="94">
        <f t="shared" si="1"/>
        <v>873.59999999999991</v>
      </c>
    </row>
    <row r="111" spans="1:34">
      <c r="A111" s="46">
        <v>109</v>
      </c>
      <c r="B111" s="94">
        <f>攻击!D111</f>
        <v>226</v>
      </c>
      <c r="C111" s="94">
        <f>攻击!E111</f>
        <v>271.2</v>
      </c>
      <c r="D111" s="94">
        <f>攻击!F111</f>
        <v>339</v>
      </c>
      <c r="E111" s="94">
        <f>攻击!G111</f>
        <v>452</v>
      </c>
      <c r="F111" s="94">
        <f>攻击!H111</f>
        <v>565</v>
      </c>
      <c r="G111" s="94">
        <f>攻击!I111</f>
        <v>109</v>
      </c>
      <c r="H111" s="94">
        <f>攻击!J111</f>
        <v>67.8</v>
      </c>
      <c r="I111" s="94">
        <f>攻击!K111</f>
        <v>135.6</v>
      </c>
      <c r="J111" s="94">
        <f>攻击!L111</f>
        <v>67.8</v>
      </c>
      <c r="K111" s="94">
        <f>攻击!M111</f>
        <v>180.8</v>
      </c>
      <c r="L111" s="94">
        <f>攻击!N111</f>
        <v>271.2</v>
      </c>
      <c r="M111" s="94">
        <f>攻击!O111</f>
        <v>339</v>
      </c>
      <c r="N111" s="94">
        <f>攻击!P111</f>
        <v>452</v>
      </c>
      <c r="O111" s="94">
        <f>攻击!Q111</f>
        <v>565</v>
      </c>
      <c r="P111" s="94">
        <f>攻击!R111</f>
        <v>678</v>
      </c>
      <c r="Q111" s="94">
        <f>攻击!S111</f>
        <v>791</v>
      </c>
      <c r="R111" s="94">
        <f>攻击!T111</f>
        <v>169.5</v>
      </c>
      <c r="S111" s="94">
        <f>攻击!U111</f>
        <v>67.8</v>
      </c>
      <c r="T111" s="94">
        <f>攻击!V111</f>
        <v>67.8</v>
      </c>
      <c r="U111" s="94">
        <f>攻击!W111</f>
        <v>11.3</v>
      </c>
      <c r="V111" s="93">
        <f>攻击!X111</f>
        <v>0.2</v>
      </c>
      <c r="W111" s="93">
        <f>攻击!Y111</f>
        <v>0.3</v>
      </c>
      <c r="X111" s="93">
        <f>攻击!Z111</f>
        <v>0.5</v>
      </c>
      <c r="Y111" s="93">
        <f>攻击!AA111</f>
        <v>0.8</v>
      </c>
      <c r="Z111" s="93">
        <f>攻击!AB111</f>
        <v>1.2</v>
      </c>
      <c r="AA111" s="94">
        <f>攻击!AL111</f>
        <v>271.2</v>
      </c>
      <c r="AB111" s="93">
        <f>攻击!AM111</f>
        <v>0.2</v>
      </c>
      <c r="AC111" s="93">
        <f>攻击!AN111</f>
        <v>0.3</v>
      </c>
      <c r="AD111" s="93">
        <f>攻击!AO111</f>
        <v>0.5</v>
      </c>
      <c r="AE111" s="93">
        <f>攻击!AP111</f>
        <v>0.8</v>
      </c>
      <c r="AF111" s="93">
        <f>攻击!AQ111</f>
        <v>1.2</v>
      </c>
      <c r="AG111" s="94">
        <f>攻击!AR111</f>
        <v>45.2</v>
      </c>
      <c r="AH111" s="94">
        <f t="shared" si="1"/>
        <v>881.40000000000009</v>
      </c>
    </row>
    <row r="112" spans="1:34">
      <c r="A112" s="46">
        <v>110</v>
      </c>
      <c r="B112" s="94">
        <f>攻击!D112</f>
        <v>228</v>
      </c>
      <c r="C112" s="94">
        <f>攻击!E112</f>
        <v>273.59999999999997</v>
      </c>
      <c r="D112" s="94">
        <f>攻击!F112</f>
        <v>342</v>
      </c>
      <c r="E112" s="94">
        <f>攻击!G112</f>
        <v>456</v>
      </c>
      <c r="F112" s="94">
        <f>攻击!H112</f>
        <v>570</v>
      </c>
      <c r="G112" s="94">
        <f>攻击!I112</f>
        <v>114</v>
      </c>
      <c r="H112" s="94">
        <f>攻击!J112</f>
        <v>68.399999999999991</v>
      </c>
      <c r="I112" s="94">
        <f>攻击!K112</f>
        <v>136.79999999999998</v>
      </c>
      <c r="J112" s="94">
        <f>攻击!L112</f>
        <v>68.399999999999991</v>
      </c>
      <c r="K112" s="94">
        <f>攻击!M112</f>
        <v>182.4</v>
      </c>
      <c r="L112" s="94">
        <f>攻击!N112</f>
        <v>273.59999999999997</v>
      </c>
      <c r="M112" s="94">
        <f>攻击!O112</f>
        <v>342</v>
      </c>
      <c r="N112" s="94">
        <f>攻击!P112</f>
        <v>456</v>
      </c>
      <c r="O112" s="94">
        <f>攻击!Q112</f>
        <v>570</v>
      </c>
      <c r="P112" s="94">
        <f>攻击!R112</f>
        <v>684</v>
      </c>
      <c r="Q112" s="94">
        <f>攻击!S112</f>
        <v>798</v>
      </c>
      <c r="R112" s="94">
        <f>攻击!T112</f>
        <v>171</v>
      </c>
      <c r="S112" s="94">
        <f>攻击!U112</f>
        <v>68.399999999999991</v>
      </c>
      <c r="T112" s="94">
        <f>攻击!V112</f>
        <v>68.399999999999991</v>
      </c>
      <c r="U112" s="94">
        <f>攻击!W112</f>
        <v>11.4</v>
      </c>
      <c r="V112" s="93">
        <f>攻击!X112</f>
        <v>0.2</v>
      </c>
      <c r="W112" s="93">
        <f>攻击!Y112</f>
        <v>0.3</v>
      </c>
      <c r="X112" s="93">
        <f>攻击!Z112</f>
        <v>0.5</v>
      </c>
      <c r="Y112" s="93">
        <f>攻击!AA112</f>
        <v>0.8</v>
      </c>
      <c r="Z112" s="93">
        <f>攻击!AB112</f>
        <v>1.2</v>
      </c>
      <c r="AA112" s="94">
        <f>攻击!AL112</f>
        <v>273.59999999999997</v>
      </c>
      <c r="AB112" s="93">
        <f>攻击!AM112</f>
        <v>0.2</v>
      </c>
      <c r="AC112" s="93">
        <f>攻击!AN112</f>
        <v>0.3</v>
      </c>
      <c r="AD112" s="93">
        <f>攻击!AO112</f>
        <v>0.5</v>
      </c>
      <c r="AE112" s="93">
        <f>攻击!AP112</f>
        <v>0.8</v>
      </c>
      <c r="AF112" s="93">
        <f>攻击!AQ112</f>
        <v>1.2</v>
      </c>
      <c r="AG112" s="94">
        <f>攻击!AR112</f>
        <v>45.6</v>
      </c>
      <c r="AH112" s="94">
        <f t="shared" si="1"/>
        <v>889.19999999999993</v>
      </c>
    </row>
    <row r="113" spans="1:34">
      <c r="A113" s="46">
        <v>111</v>
      </c>
      <c r="B113" s="94">
        <f>攻击!D113</f>
        <v>230</v>
      </c>
      <c r="C113" s="94">
        <f>攻击!E113</f>
        <v>276</v>
      </c>
      <c r="D113" s="94">
        <f>攻击!F113</f>
        <v>345</v>
      </c>
      <c r="E113" s="94">
        <f>攻击!G113</f>
        <v>460</v>
      </c>
      <c r="F113" s="94">
        <f>攻击!H113</f>
        <v>575</v>
      </c>
      <c r="G113" s="94">
        <f>攻击!I113</f>
        <v>114</v>
      </c>
      <c r="H113" s="94">
        <f>攻击!J113</f>
        <v>69</v>
      </c>
      <c r="I113" s="94">
        <f>攻击!K113</f>
        <v>138</v>
      </c>
      <c r="J113" s="94">
        <f>攻击!L113</f>
        <v>69</v>
      </c>
      <c r="K113" s="94">
        <f>攻击!M113</f>
        <v>184</v>
      </c>
      <c r="L113" s="94">
        <f>攻击!N113</f>
        <v>276</v>
      </c>
      <c r="M113" s="94">
        <f>攻击!O113</f>
        <v>345</v>
      </c>
      <c r="N113" s="94">
        <f>攻击!P113</f>
        <v>460</v>
      </c>
      <c r="O113" s="94">
        <f>攻击!Q113</f>
        <v>575</v>
      </c>
      <c r="P113" s="94">
        <f>攻击!R113</f>
        <v>690</v>
      </c>
      <c r="Q113" s="94">
        <f>攻击!S113</f>
        <v>805</v>
      </c>
      <c r="R113" s="94">
        <f>攻击!T113</f>
        <v>172.5</v>
      </c>
      <c r="S113" s="94">
        <f>攻击!U113</f>
        <v>69</v>
      </c>
      <c r="T113" s="94">
        <f>攻击!V113</f>
        <v>69</v>
      </c>
      <c r="U113" s="94">
        <f>攻击!W113</f>
        <v>11.5</v>
      </c>
      <c r="V113" s="93">
        <f>攻击!X113</f>
        <v>0.2</v>
      </c>
      <c r="W113" s="93">
        <f>攻击!Y113</f>
        <v>0.3</v>
      </c>
      <c r="X113" s="93">
        <f>攻击!Z113</f>
        <v>0.5</v>
      </c>
      <c r="Y113" s="93">
        <f>攻击!AA113</f>
        <v>0.8</v>
      </c>
      <c r="Z113" s="93">
        <f>攻击!AB113</f>
        <v>1.2</v>
      </c>
      <c r="AA113" s="94">
        <f>攻击!AL113</f>
        <v>276</v>
      </c>
      <c r="AB113" s="93">
        <f>攻击!AM113</f>
        <v>0.2</v>
      </c>
      <c r="AC113" s="93">
        <f>攻击!AN113</f>
        <v>0.3</v>
      </c>
      <c r="AD113" s="93">
        <f>攻击!AO113</f>
        <v>0.5</v>
      </c>
      <c r="AE113" s="93">
        <f>攻击!AP113</f>
        <v>0.8</v>
      </c>
      <c r="AF113" s="93">
        <f>攻击!AQ113</f>
        <v>1.2</v>
      </c>
      <c r="AG113" s="94">
        <f>攻击!AR113</f>
        <v>46</v>
      </c>
      <c r="AH113" s="94">
        <f t="shared" si="1"/>
        <v>897</v>
      </c>
    </row>
    <row r="114" spans="1:34">
      <c r="A114" s="46">
        <v>112</v>
      </c>
      <c r="B114" s="94">
        <f>攻击!D114</f>
        <v>232</v>
      </c>
      <c r="C114" s="94">
        <f>攻击!E114</f>
        <v>278.39999999999998</v>
      </c>
      <c r="D114" s="94">
        <f>攻击!F114</f>
        <v>348</v>
      </c>
      <c r="E114" s="94">
        <f>攻击!G114</f>
        <v>464</v>
      </c>
      <c r="F114" s="94">
        <f>攻击!H114</f>
        <v>580</v>
      </c>
      <c r="G114" s="94">
        <f>攻击!I114</f>
        <v>114</v>
      </c>
      <c r="H114" s="94">
        <f>攻击!J114</f>
        <v>69.599999999999994</v>
      </c>
      <c r="I114" s="94">
        <f>攻击!K114</f>
        <v>139.19999999999999</v>
      </c>
      <c r="J114" s="94">
        <f>攻击!L114</f>
        <v>69.599999999999994</v>
      </c>
      <c r="K114" s="94">
        <f>攻击!M114</f>
        <v>185.60000000000002</v>
      </c>
      <c r="L114" s="94">
        <f>攻击!N114</f>
        <v>278.39999999999998</v>
      </c>
      <c r="M114" s="94">
        <f>攻击!O114</f>
        <v>348</v>
      </c>
      <c r="N114" s="94">
        <f>攻击!P114</f>
        <v>464</v>
      </c>
      <c r="O114" s="94">
        <f>攻击!Q114</f>
        <v>580</v>
      </c>
      <c r="P114" s="94">
        <f>攻击!R114</f>
        <v>696</v>
      </c>
      <c r="Q114" s="94">
        <f>攻击!S114</f>
        <v>812</v>
      </c>
      <c r="R114" s="94">
        <f>攻击!T114</f>
        <v>174</v>
      </c>
      <c r="S114" s="94">
        <f>攻击!U114</f>
        <v>69.599999999999994</v>
      </c>
      <c r="T114" s="94">
        <f>攻击!V114</f>
        <v>69.599999999999994</v>
      </c>
      <c r="U114" s="94">
        <f>攻击!W114</f>
        <v>11.600000000000001</v>
      </c>
      <c r="V114" s="93">
        <f>攻击!X114</f>
        <v>0.2</v>
      </c>
      <c r="W114" s="93">
        <f>攻击!Y114</f>
        <v>0.3</v>
      </c>
      <c r="X114" s="93">
        <f>攻击!Z114</f>
        <v>0.5</v>
      </c>
      <c r="Y114" s="93">
        <f>攻击!AA114</f>
        <v>0.8</v>
      </c>
      <c r="Z114" s="93">
        <f>攻击!AB114</f>
        <v>1.2</v>
      </c>
      <c r="AA114" s="94">
        <f>攻击!AL114</f>
        <v>278.39999999999998</v>
      </c>
      <c r="AB114" s="93">
        <f>攻击!AM114</f>
        <v>0.2</v>
      </c>
      <c r="AC114" s="93">
        <f>攻击!AN114</f>
        <v>0.3</v>
      </c>
      <c r="AD114" s="93">
        <f>攻击!AO114</f>
        <v>0.5</v>
      </c>
      <c r="AE114" s="93">
        <f>攻击!AP114</f>
        <v>0.8</v>
      </c>
      <c r="AF114" s="93">
        <f>攻击!AQ114</f>
        <v>1.2</v>
      </c>
      <c r="AG114" s="94">
        <f>攻击!AR114</f>
        <v>46.400000000000006</v>
      </c>
      <c r="AH114" s="94">
        <f t="shared" si="1"/>
        <v>904.8</v>
      </c>
    </row>
    <row r="115" spans="1:34">
      <c r="A115" s="46">
        <v>113</v>
      </c>
      <c r="B115" s="94">
        <f>攻击!D115</f>
        <v>234</v>
      </c>
      <c r="C115" s="94">
        <f>攻击!E115</f>
        <v>280.8</v>
      </c>
      <c r="D115" s="94">
        <f>攻击!F115</f>
        <v>351</v>
      </c>
      <c r="E115" s="94">
        <f>攻击!G115</f>
        <v>468</v>
      </c>
      <c r="F115" s="94">
        <f>攻击!H115</f>
        <v>585</v>
      </c>
      <c r="G115" s="94">
        <f>攻击!I115</f>
        <v>114</v>
      </c>
      <c r="H115" s="94">
        <f>攻击!J115</f>
        <v>70.2</v>
      </c>
      <c r="I115" s="94">
        <f>攻击!K115</f>
        <v>140.4</v>
      </c>
      <c r="J115" s="94">
        <f>攻击!L115</f>
        <v>70.2</v>
      </c>
      <c r="K115" s="94">
        <f>攻击!M115</f>
        <v>187.20000000000002</v>
      </c>
      <c r="L115" s="94">
        <f>攻击!N115</f>
        <v>280.8</v>
      </c>
      <c r="M115" s="94">
        <f>攻击!O115</f>
        <v>351</v>
      </c>
      <c r="N115" s="94">
        <f>攻击!P115</f>
        <v>468</v>
      </c>
      <c r="O115" s="94">
        <f>攻击!Q115</f>
        <v>585</v>
      </c>
      <c r="P115" s="94">
        <f>攻击!R115</f>
        <v>702</v>
      </c>
      <c r="Q115" s="94">
        <f>攻击!S115</f>
        <v>819</v>
      </c>
      <c r="R115" s="94">
        <f>攻击!T115</f>
        <v>175.5</v>
      </c>
      <c r="S115" s="94">
        <f>攻击!U115</f>
        <v>70.2</v>
      </c>
      <c r="T115" s="94">
        <f>攻击!V115</f>
        <v>70.2</v>
      </c>
      <c r="U115" s="94">
        <f>攻击!W115</f>
        <v>11.700000000000001</v>
      </c>
      <c r="V115" s="93">
        <f>攻击!X115</f>
        <v>0.2</v>
      </c>
      <c r="W115" s="93">
        <f>攻击!Y115</f>
        <v>0.3</v>
      </c>
      <c r="X115" s="93">
        <f>攻击!Z115</f>
        <v>0.5</v>
      </c>
      <c r="Y115" s="93">
        <f>攻击!AA115</f>
        <v>0.8</v>
      </c>
      <c r="Z115" s="93">
        <f>攻击!AB115</f>
        <v>1.2</v>
      </c>
      <c r="AA115" s="94">
        <f>攻击!AL115</f>
        <v>280.8</v>
      </c>
      <c r="AB115" s="93">
        <f>攻击!AM115</f>
        <v>0.2</v>
      </c>
      <c r="AC115" s="93">
        <f>攻击!AN115</f>
        <v>0.3</v>
      </c>
      <c r="AD115" s="93">
        <f>攻击!AO115</f>
        <v>0.5</v>
      </c>
      <c r="AE115" s="93">
        <f>攻击!AP115</f>
        <v>0.8</v>
      </c>
      <c r="AF115" s="93">
        <f>攻击!AQ115</f>
        <v>1.2</v>
      </c>
      <c r="AG115" s="94">
        <f>攻击!AR115</f>
        <v>46.800000000000004</v>
      </c>
      <c r="AH115" s="94">
        <f t="shared" si="1"/>
        <v>912.59999999999991</v>
      </c>
    </row>
    <row r="116" spans="1:34">
      <c r="A116" s="46">
        <v>114</v>
      </c>
      <c r="B116" s="94">
        <f>攻击!D116</f>
        <v>236</v>
      </c>
      <c r="C116" s="94">
        <f>攻击!E116</f>
        <v>283.2</v>
      </c>
      <c r="D116" s="94">
        <f>攻击!F116</f>
        <v>354</v>
      </c>
      <c r="E116" s="94">
        <f>攻击!G116</f>
        <v>472</v>
      </c>
      <c r="F116" s="94">
        <f>攻击!H116</f>
        <v>590</v>
      </c>
      <c r="G116" s="94">
        <f>攻击!I116</f>
        <v>114</v>
      </c>
      <c r="H116" s="94">
        <f>攻击!J116</f>
        <v>70.8</v>
      </c>
      <c r="I116" s="94">
        <f>攻击!K116</f>
        <v>141.6</v>
      </c>
      <c r="J116" s="94">
        <f>攻击!L116</f>
        <v>70.8</v>
      </c>
      <c r="K116" s="94">
        <f>攻击!M116</f>
        <v>188.8</v>
      </c>
      <c r="L116" s="94">
        <f>攻击!N116</f>
        <v>283.2</v>
      </c>
      <c r="M116" s="94">
        <f>攻击!O116</f>
        <v>354</v>
      </c>
      <c r="N116" s="94">
        <f>攻击!P116</f>
        <v>472</v>
      </c>
      <c r="O116" s="94">
        <f>攻击!Q116</f>
        <v>590</v>
      </c>
      <c r="P116" s="94">
        <f>攻击!R116</f>
        <v>708</v>
      </c>
      <c r="Q116" s="94">
        <f>攻击!S116</f>
        <v>826</v>
      </c>
      <c r="R116" s="94">
        <f>攻击!T116</f>
        <v>177</v>
      </c>
      <c r="S116" s="94">
        <f>攻击!U116</f>
        <v>70.8</v>
      </c>
      <c r="T116" s="94">
        <f>攻击!V116</f>
        <v>70.8</v>
      </c>
      <c r="U116" s="94">
        <f>攻击!W116</f>
        <v>11.8</v>
      </c>
      <c r="V116" s="93">
        <f>攻击!X116</f>
        <v>0.2</v>
      </c>
      <c r="W116" s="93">
        <f>攻击!Y116</f>
        <v>0.3</v>
      </c>
      <c r="X116" s="93">
        <f>攻击!Z116</f>
        <v>0.5</v>
      </c>
      <c r="Y116" s="93">
        <f>攻击!AA116</f>
        <v>0.8</v>
      </c>
      <c r="Z116" s="93">
        <f>攻击!AB116</f>
        <v>1.2</v>
      </c>
      <c r="AA116" s="94">
        <f>攻击!AL116</f>
        <v>283.2</v>
      </c>
      <c r="AB116" s="93">
        <f>攻击!AM116</f>
        <v>0.2</v>
      </c>
      <c r="AC116" s="93">
        <f>攻击!AN116</f>
        <v>0.3</v>
      </c>
      <c r="AD116" s="93">
        <f>攻击!AO116</f>
        <v>0.5</v>
      </c>
      <c r="AE116" s="93">
        <f>攻击!AP116</f>
        <v>0.8</v>
      </c>
      <c r="AF116" s="93">
        <f>攻击!AQ116</f>
        <v>1.2</v>
      </c>
      <c r="AG116" s="94">
        <f>攻击!AR116</f>
        <v>47.2</v>
      </c>
      <c r="AH116" s="94">
        <f t="shared" si="1"/>
        <v>920.40000000000009</v>
      </c>
    </row>
    <row r="117" spans="1:34">
      <c r="A117" s="46">
        <v>115</v>
      </c>
      <c r="B117" s="94">
        <f>攻击!D117</f>
        <v>238</v>
      </c>
      <c r="C117" s="94">
        <f>攻击!E117</f>
        <v>285.59999999999997</v>
      </c>
      <c r="D117" s="94">
        <f>攻击!F117</f>
        <v>357</v>
      </c>
      <c r="E117" s="94">
        <f>攻击!G117</f>
        <v>476</v>
      </c>
      <c r="F117" s="94">
        <f>攻击!H117</f>
        <v>595</v>
      </c>
      <c r="G117" s="94">
        <f>攻击!I117</f>
        <v>119</v>
      </c>
      <c r="H117" s="94">
        <f>攻击!J117</f>
        <v>71.399999999999991</v>
      </c>
      <c r="I117" s="94">
        <f>攻击!K117</f>
        <v>142.79999999999998</v>
      </c>
      <c r="J117" s="94">
        <f>攻击!L117</f>
        <v>71.399999999999991</v>
      </c>
      <c r="K117" s="94">
        <f>攻击!M117</f>
        <v>190.4</v>
      </c>
      <c r="L117" s="94">
        <f>攻击!N117</f>
        <v>285.59999999999997</v>
      </c>
      <c r="M117" s="94">
        <f>攻击!O117</f>
        <v>357</v>
      </c>
      <c r="N117" s="94">
        <f>攻击!P117</f>
        <v>476</v>
      </c>
      <c r="O117" s="94">
        <f>攻击!Q117</f>
        <v>595</v>
      </c>
      <c r="P117" s="94">
        <f>攻击!R117</f>
        <v>714</v>
      </c>
      <c r="Q117" s="94">
        <f>攻击!S117</f>
        <v>833</v>
      </c>
      <c r="R117" s="94">
        <f>攻击!T117</f>
        <v>178.5</v>
      </c>
      <c r="S117" s="94">
        <f>攻击!U117</f>
        <v>71.399999999999991</v>
      </c>
      <c r="T117" s="94">
        <f>攻击!V117</f>
        <v>71.399999999999991</v>
      </c>
      <c r="U117" s="94">
        <f>攻击!W117</f>
        <v>11.9</v>
      </c>
      <c r="V117" s="93">
        <f>攻击!X117</f>
        <v>0.2</v>
      </c>
      <c r="W117" s="93">
        <f>攻击!Y117</f>
        <v>0.3</v>
      </c>
      <c r="X117" s="93">
        <f>攻击!Z117</f>
        <v>0.5</v>
      </c>
      <c r="Y117" s="93">
        <f>攻击!AA117</f>
        <v>0.8</v>
      </c>
      <c r="Z117" s="93">
        <f>攻击!AB117</f>
        <v>1.2</v>
      </c>
      <c r="AA117" s="94">
        <f>攻击!AL117</f>
        <v>285.59999999999997</v>
      </c>
      <c r="AB117" s="93">
        <f>攻击!AM117</f>
        <v>0.2</v>
      </c>
      <c r="AC117" s="93">
        <f>攻击!AN117</f>
        <v>0.3</v>
      </c>
      <c r="AD117" s="93">
        <f>攻击!AO117</f>
        <v>0.5</v>
      </c>
      <c r="AE117" s="93">
        <f>攻击!AP117</f>
        <v>0.8</v>
      </c>
      <c r="AF117" s="93">
        <f>攻击!AQ117</f>
        <v>1.2</v>
      </c>
      <c r="AG117" s="94">
        <f>攻击!AR117</f>
        <v>47.6</v>
      </c>
      <c r="AH117" s="94">
        <f t="shared" si="1"/>
        <v>928.19999999999993</v>
      </c>
    </row>
    <row r="118" spans="1:34">
      <c r="A118" s="46">
        <v>116</v>
      </c>
      <c r="B118" s="94">
        <f>攻击!D118</f>
        <v>240</v>
      </c>
      <c r="C118" s="94">
        <f>攻击!E118</f>
        <v>288</v>
      </c>
      <c r="D118" s="94">
        <f>攻击!F118</f>
        <v>360</v>
      </c>
      <c r="E118" s="94">
        <f>攻击!G118</f>
        <v>480</v>
      </c>
      <c r="F118" s="94">
        <f>攻击!H118</f>
        <v>600</v>
      </c>
      <c r="G118" s="94">
        <f>攻击!I118</f>
        <v>119</v>
      </c>
      <c r="H118" s="94">
        <f>攻击!J118</f>
        <v>72</v>
      </c>
      <c r="I118" s="94">
        <f>攻击!K118</f>
        <v>144</v>
      </c>
      <c r="J118" s="94">
        <f>攻击!L118</f>
        <v>72</v>
      </c>
      <c r="K118" s="94">
        <f>攻击!M118</f>
        <v>192</v>
      </c>
      <c r="L118" s="94">
        <f>攻击!N118</f>
        <v>288</v>
      </c>
      <c r="M118" s="94">
        <f>攻击!O118</f>
        <v>360</v>
      </c>
      <c r="N118" s="94">
        <f>攻击!P118</f>
        <v>480</v>
      </c>
      <c r="O118" s="94">
        <f>攻击!Q118</f>
        <v>600</v>
      </c>
      <c r="P118" s="94">
        <f>攻击!R118</f>
        <v>720</v>
      </c>
      <c r="Q118" s="94">
        <f>攻击!S118</f>
        <v>840</v>
      </c>
      <c r="R118" s="94">
        <f>攻击!T118</f>
        <v>180</v>
      </c>
      <c r="S118" s="94">
        <f>攻击!U118</f>
        <v>72</v>
      </c>
      <c r="T118" s="94">
        <f>攻击!V118</f>
        <v>72</v>
      </c>
      <c r="U118" s="94">
        <f>攻击!W118</f>
        <v>12</v>
      </c>
      <c r="V118" s="93">
        <f>攻击!X118</f>
        <v>0.2</v>
      </c>
      <c r="W118" s="93">
        <f>攻击!Y118</f>
        <v>0.3</v>
      </c>
      <c r="X118" s="93">
        <f>攻击!Z118</f>
        <v>0.5</v>
      </c>
      <c r="Y118" s="93">
        <f>攻击!AA118</f>
        <v>0.8</v>
      </c>
      <c r="Z118" s="93">
        <f>攻击!AB118</f>
        <v>1.2</v>
      </c>
      <c r="AA118" s="94">
        <f>攻击!AL118</f>
        <v>288</v>
      </c>
      <c r="AB118" s="93">
        <f>攻击!AM118</f>
        <v>0.2</v>
      </c>
      <c r="AC118" s="93">
        <f>攻击!AN118</f>
        <v>0.3</v>
      </c>
      <c r="AD118" s="93">
        <f>攻击!AO118</f>
        <v>0.5</v>
      </c>
      <c r="AE118" s="93">
        <f>攻击!AP118</f>
        <v>0.8</v>
      </c>
      <c r="AF118" s="93">
        <f>攻击!AQ118</f>
        <v>1.2</v>
      </c>
      <c r="AG118" s="94">
        <f>攻击!AR118</f>
        <v>48</v>
      </c>
      <c r="AH118" s="94">
        <f t="shared" si="1"/>
        <v>936</v>
      </c>
    </row>
    <row r="119" spans="1:34">
      <c r="A119" s="46">
        <v>117</v>
      </c>
      <c r="B119" s="94">
        <f>攻击!D119</f>
        <v>242</v>
      </c>
      <c r="C119" s="94">
        <f>攻击!E119</f>
        <v>290.39999999999998</v>
      </c>
      <c r="D119" s="94">
        <f>攻击!F119</f>
        <v>363</v>
      </c>
      <c r="E119" s="94">
        <f>攻击!G119</f>
        <v>484</v>
      </c>
      <c r="F119" s="94">
        <f>攻击!H119</f>
        <v>605</v>
      </c>
      <c r="G119" s="94">
        <f>攻击!I119</f>
        <v>119</v>
      </c>
      <c r="H119" s="94">
        <f>攻击!J119</f>
        <v>72.599999999999994</v>
      </c>
      <c r="I119" s="94">
        <f>攻击!K119</f>
        <v>145.19999999999999</v>
      </c>
      <c r="J119" s="94">
        <f>攻击!L119</f>
        <v>72.599999999999994</v>
      </c>
      <c r="K119" s="94">
        <f>攻击!M119</f>
        <v>193.60000000000002</v>
      </c>
      <c r="L119" s="94">
        <f>攻击!N119</f>
        <v>290.39999999999998</v>
      </c>
      <c r="M119" s="94">
        <f>攻击!O119</f>
        <v>363</v>
      </c>
      <c r="N119" s="94">
        <f>攻击!P119</f>
        <v>484</v>
      </c>
      <c r="O119" s="94">
        <f>攻击!Q119</f>
        <v>605</v>
      </c>
      <c r="P119" s="94">
        <f>攻击!R119</f>
        <v>726</v>
      </c>
      <c r="Q119" s="94">
        <f>攻击!S119</f>
        <v>847</v>
      </c>
      <c r="R119" s="94">
        <f>攻击!T119</f>
        <v>181.5</v>
      </c>
      <c r="S119" s="94">
        <f>攻击!U119</f>
        <v>72.599999999999994</v>
      </c>
      <c r="T119" s="94">
        <f>攻击!V119</f>
        <v>72.599999999999994</v>
      </c>
      <c r="U119" s="94">
        <f>攻击!W119</f>
        <v>12.100000000000001</v>
      </c>
      <c r="V119" s="93">
        <f>攻击!X119</f>
        <v>0.2</v>
      </c>
      <c r="W119" s="93">
        <f>攻击!Y119</f>
        <v>0.3</v>
      </c>
      <c r="X119" s="93">
        <f>攻击!Z119</f>
        <v>0.5</v>
      </c>
      <c r="Y119" s="93">
        <f>攻击!AA119</f>
        <v>0.8</v>
      </c>
      <c r="Z119" s="93">
        <f>攻击!AB119</f>
        <v>1.2</v>
      </c>
      <c r="AA119" s="94">
        <f>攻击!AL119</f>
        <v>290.39999999999998</v>
      </c>
      <c r="AB119" s="93">
        <f>攻击!AM119</f>
        <v>0.2</v>
      </c>
      <c r="AC119" s="93">
        <f>攻击!AN119</f>
        <v>0.3</v>
      </c>
      <c r="AD119" s="93">
        <f>攻击!AO119</f>
        <v>0.5</v>
      </c>
      <c r="AE119" s="93">
        <f>攻击!AP119</f>
        <v>0.8</v>
      </c>
      <c r="AF119" s="93">
        <f>攻击!AQ119</f>
        <v>1.2</v>
      </c>
      <c r="AG119" s="94">
        <f>攻击!AR119</f>
        <v>48.400000000000006</v>
      </c>
      <c r="AH119" s="94">
        <f t="shared" si="1"/>
        <v>943.8</v>
      </c>
    </row>
    <row r="120" spans="1:34">
      <c r="A120" s="46">
        <v>118</v>
      </c>
      <c r="B120" s="94">
        <f>攻击!D120</f>
        <v>244</v>
      </c>
      <c r="C120" s="94">
        <f>攻击!E120</f>
        <v>292.8</v>
      </c>
      <c r="D120" s="94">
        <f>攻击!F120</f>
        <v>366</v>
      </c>
      <c r="E120" s="94">
        <f>攻击!G120</f>
        <v>488</v>
      </c>
      <c r="F120" s="94">
        <f>攻击!H120</f>
        <v>610</v>
      </c>
      <c r="G120" s="94">
        <f>攻击!I120</f>
        <v>119</v>
      </c>
      <c r="H120" s="94">
        <f>攻击!J120</f>
        <v>73.2</v>
      </c>
      <c r="I120" s="94">
        <f>攻击!K120</f>
        <v>146.4</v>
      </c>
      <c r="J120" s="94">
        <f>攻击!L120</f>
        <v>73.2</v>
      </c>
      <c r="K120" s="94">
        <f>攻击!M120</f>
        <v>195.20000000000002</v>
      </c>
      <c r="L120" s="94">
        <f>攻击!N120</f>
        <v>292.8</v>
      </c>
      <c r="M120" s="94">
        <f>攻击!O120</f>
        <v>366</v>
      </c>
      <c r="N120" s="94">
        <f>攻击!P120</f>
        <v>488</v>
      </c>
      <c r="O120" s="94">
        <f>攻击!Q120</f>
        <v>610</v>
      </c>
      <c r="P120" s="94">
        <f>攻击!R120</f>
        <v>732</v>
      </c>
      <c r="Q120" s="94">
        <f>攻击!S120</f>
        <v>854</v>
      </c>
      <c r="R120" s="94">
        <f>攻击!T120</f>
        <v>183</v>
      </c>
      <c r="S120" s="94">
        <f>攻击!U120</f>
        <v>73.2</v>
      </c>
      <c r="T120" s="94">
        <f>攻击!V120</f>
        <v>73.2</v>
      </c>
      <c r="U120" s="94">
        <f>攻击!W120</f>
        <v>12.200000000000001</v>
      </c>
      <c r="V120" s="93">
        <f>攻击!X120</f>
        <v>0.2</v>
      </c>
      <c r="W120" s="93">
        <f>攻击!Y120</f>
        <v>0.3</v>
      </c>
      <c r="X120" s="93">
        <f>攻击!Z120</f>
        <v>0.5</v>
      </c>
      <c r="Y120" s="93">
        <f>攻击!AA120</f>
        <v>0.8</v>
      </c>
      <c r="Z120" s="93">
        <f>攻击!AB120</f>
        <v>1.2</v>
      </c>
      <c r="AA120" s="94">
        <f>攻击!AL120</f>
        <v>292.8</v>
      </c>
      <c r="AB120" s="93">
        <f>攻击!AM120</f>
        <v>0.2</v>
      </c>
      <c r="AC120" s="93">
        <f>攻击!AN120</f>
        <v>0.3</v>
      </c>
      <c r="AD120" s="93">
        <f>攻击!AO120</f>
        <v>0.5</v>
      </c>
      <c r="AE120" s="93">
        <f>攻击!AP120</f>
        <v>0.8</v>
      </c>
      <c r="AF120" s="93">
        <f>攻击!AQ120</f>
        <v>1.2</v>
      </c>
      <c r="AG120" s="94">
        <f>攻击!AR120</f>
        <v>48.800000000000004</v>
      </c>
      <c r="AH120" s="94">
        <f t="shared" si="1"/>
        <v>951.59999999999991</v>
      </c>
    </row>
    <row r="121" spans="1:34">
      <c r="A121" s="46">
        <v>119</v>
      </c>
      <c r="B121" s="94">
        <f>攻击!D121</f>
        <v>246</v>
      </c>
      <c r="C121" s="94">
        <f>攻击!E121</f>
        <v>295.2</v>
      </c>
      <c r="D121" s="94">
        <f>攻击!F121</f>
        <v>369</v>
      </c>
      <c r="E121" s="94">
        <f>攻击!G121</f>
        <v>492</v>
      </c>
      <c r="F121" s="94">
        <f>攻击!H121</f>
        <v>615</v>
      </c>
      <c r="G121" s="94">
        <f>攻击!I121</f>
        <v>119</v>
      </c>
      <c r="H121" s="94">
        <f>攻击!J121</f>
        <v>73.8</v>
      </c>
      <c r="I121" s="94">
        <f>攻击!K121</f>
        <v>147.6</v>
      </c>
      <c r="J121" s="94">
        <f>攻击!L121</f>
        <v>73.8</v>
      </c>
      <c r="K121" s="94">
        <f>攻击!M121</f>
        <v>196.8</v>
      </c>
      <c r="L121" s="94">
        <f>攻击!N121</f>
        <v>295.2</v>
      </c>
      <c r="M121" s="94">
        <f>攻击!O121</f>
        <v>369</v>
      </c>
      <c r="N121" s="94">
        <f>攻击!P121</f>
        <v>492</v>
      </c>
      <c r="O121" s="94">
        <f>攻击!Q121</f>
        <v>615</v>
      </c>
      <c r="P121" s="94">
        <f>攻击!R121</f>
        <v>738</v>
      </c>
      <c r="Q121" s="94">
        <f>攻击!S121</f>
        <v>861</v>
      </c>
      <c r="R121" s="94">
        <f>攻击!T121</f>
        <v>184.5</v>
      </c>
      <c r="S121" s="94">
        <f>攻击!U121</f>
        <v>73.8</v>
      </c>
      <c r="T121" s="94">
        <f>攻击!V121</f>
        <v>73.8</v>
      </c>
      <c r="U121" s="94">
        <f>攻击!W121</f>
        <v>12.3</v>
      </c>
      <c r="V121" s="93">
        <f>攻击!X121</f>
        <v>0.2</v>
      </c>
      <c r="W121" s="93">
        <f>攻击!Y121</f>
        <v>0.3</v>
      </c>
      <c r="X121" s="93">
        <f>攻击!Z121</f>
        <v>0.5</v>
      </c>
      <c r="Y121" s="93">
        <f>攻击!AA121</f>
        <v>0.8</v>
      </c>
      <c r="Z121" s="93">
        <f>攻击!AB121</f>
        <v>1.2</v>
      </c>
      <c r="AA121" s="94">
        <f>攻击!AL121</f>
        <v>295.2</v>
      </c>
      <c r="AB121" s="93">
        <f>攻击!AM121</f>
        <v>0.2</v>
      </c>
      <c r="AC121" s="93">
        <f>攻击!AN121</f>
        <v>0.3</v>
      </c>
      <c r="AD121" s="93">
        <f>攻击!AO121</f>
        <v>0.5</v>
      </c>
      <c r="AE121" s="93">
        <f>攻击!AP121</f>
        <v>0.8</v>
      </c>
      <c r="AF121" s="93">
        <f>攻击!AQ121</f>
        <v>1.2</v>
      </c>
      <c r="AG121" s="94">
        <f>攻击!AR121</f>
        <v>49.2</v>
      </c>
      <c r="AH121" s="94">
        <f t="shared" si="1"/>
        <v>959.40000000000009</v>
      </c>
    </row>
    <row r="122" spans="1:34">
      <c r="A122" s="46">
        <v>120</v>
      </c>
      <c r="B122" s="94">
        <f>攻击!D122</f>
        <v>248</v>
      </c>
      <c r="C122" s="94">
        <f>攻击!E122</f>
        <v>297.59999999999997</v>
      </c>
      <c r="D122" s="94">
        <f>攻击!F122</f>
        <v>372</v>
      </c>
      <c r="E122" s="94">
        <f>攻击!G122</f>
        <v>496</v>
      </c>
      <c r="F122" s="94">
        <f>攻击!H122</f>
        <v>620</v>
      </c>
      <c r="G122" s="94">
        <f>攻击!I122</f>
        <v>124</v>
      </c>
      <c r="H122" s="94">
        <f>攻击!J122</f>
        <v>74.399999999999991</v>
      </c>
      <c r="I122" s="94">
        <f>攻击!K122</f>
        <v>148.79999999999998</v>
      </c>
      <c r="J122" s="94">
        <f>攻击!L122</f>
        <v>74.399999999999991</v>
      </c>
      <c r="K122" s="94">
        <f>攻击!M122</f>
        <v>198.4</v>
      </c>
      <c r="L122" s="94">
        <f>攻击!N122</f>
        <v>297.59999999999997</v>
      </c>
      <c r="M122" s="94">
        <f>攻击!O122</f>
        <v>372</v>
      </c>
      <c r="N122" s="94">
        <f>攻击!P122</f>
        <v>496</v>
      </c>
      <c r="O122" s="94">
        <f>攻击!Q122</f>
        <v>620</v>
      </c>
      <c r="P122" s="94">
        <f>攻击!R122</f>
        <v>744</v>
      </c>
      <c r="Q122" s="94">
        <f>攻击!S122</f>
        <v>868</v>
      </c>
      <c r="R122" s="94">
        <f>攻击!T122</f>
        <v>186</v>
      </c>
      <c r="S122" s="94">
        <f>攻击!U122</f>
        <v>74.399999999999991</v>
      </c>
      <c r="T122" s="94">
        <f>攻击!V122</f>
        <v>74.399999999999991</v>
      </c>
      <c r="U122" s="94">
        <f>攻击!W122</f>
        <v>12.4</v>
      </c>
      <c r="V122" s="93">
        <f>攻击!X122</f>
        <v>0.2</v>
      </c>
      <c r="W122" s="93">
        <f>攻击!Y122</f>
        <v>0.3</v>
      </c>
      <c r="X122" s="93">
        <f>攻击!Z122</f>
        <v>0.5</v>
      </c>
      <c r="Y122" s="93">
        <f>攻击!AA122</f>
        <v>0.8</v>
      </c>
      <c r="Z122" s="93">
        <f>攻击!AB122</f>
        <v>1.2</v>
      </c>
      <c r="AA122" s="94">
        <f>攻击!AL122</f>
        <v>297.59999999999997</v>
      </c>
      <c r="AB122" s="93">
        <f>攻击!AM122</f>
        <v>0.2</v>
      </c>
      <c r="AC122" s="93">
        <f>攻击!AN122</f>
        <v>0.3</v>
      </c>
      <c r="AD122" s="93">
        <f>攻击!AO122</f>
        <v>0.5</v>
      </c>
      <c r="AE122" s="93">
        <f>攻击!AP122</f>
        <v>0.8</v>
      </c>
      <c r="AF122" s="93">
        <f>攻击!AQ122</f>
        <v>1.2</v>
      </c>
      <c r="AG122" s="94">
        <f>攻击!AR122</f>
        <v>49.6</v>
      </c>
      <c r="AH122" s="94">
        <f t="shared" si="1"/>
        <v>967.19999999999993</v>
      </c>
    </row>
  </sheetData>
  <mergeCells count="3">
    <mergeCell ref="B1:L1"/>
    <mergeCell ref="M1:Z1"/>
    <mergeCell ref="AA1:AF1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2"/>
  <sheetViews>
    <sheetView zoomScale="115" zoomScaleNormal="115" workbookViewId="0">
      <selection activeCell="R16" sqref="R16"/>
    </sheetView>
  </sheetViews>
  <sheetFormatPr defaultColWidth="6.375" defaultRowHeight="12.75"/>
  <cols>
    <col min="1" max="1" width="4.75" style="23" bestFit="1" customWidth="1"/>
    <col min="2" max="6" width="4.625" style="22" bestFit="1" customWidth="1"/>
    <col min="7" max="12" width="4.75" style="22" bestFit="1" customWidth="1"/>
    <col min="13" max="17" width="4.625" style="22" bestFit="1" customWidth="1"/>
    <col min="18" max="18" width="4.75" style="22" bestFit="1" customWidth="1"/>
    <col min="19" max="20" width="6.375" style="22" bestFit="1" customWidth="1"/>
    <col min="21" max="21" width="4.75" style="22" bestFit="1" customWidth="1"/>
    <col min="22" max="25" width="4.125" style="24" bestFit="1" customWidth="1"/>
    <col min="26" max="26" width="5" style="24" bestFit="1" customWidth="1"/>
    <col min="27" max="27" width="4.75" style="22" bestFit="1" customWidth="1"/>
    <col min="28" max="31" width="4.125" style="24" bestFit="1" customWidth="1"/>
    <col min="32" max="32" width="5" style="24" bestFit="1" customWidth="1"/>
    <col min="33" max="33" width="4.75" style="22" bestFit="1" customWidth="1"/>
    <col min="34" max="34" width="8" style="22" bestFit="1" customWidth="1"/>
    <col min="35" max="16384" width="6.375" style="22"/>
  </cols>
  <sheetData>
    <row r="1" spans="1:34" s="55" customFormat="1" ht="15" customHeight="1" thickBot="1">
      <c r="A1" s="56"/>
      <c r="B1" s="104" t="s">
        <v>68</v>
      </c>
      <c r="C1" s="104"/>
      <c r="D1" s="104"/>
      <c r="E1" s="104"/>
      <c r="F1" s="104"/>
      <c r="G1" s="104"/>
      <c r="H1" s="104"/>
      <c r="I1" s="104"/>
      <c r="J1" s="104"/>
      <c r="K1" s="104"/>
      <c r="L1" s="105"/>
      <c r="M1" s="103" t="s">
        <v>22</v>
      </c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5"/>
      <c r="AA1" s="102" t="s">
        <v>25</v>
      </c>
      <c r="AB1" s="102"/>
      <c r="AC1" s="102"/>
      <c r="AD1" s="102"/>
      <c r="AE1" s="102"/>
      <c r="AF1" s="102"/>
      <c r="AG1" s="55" t="s">
        <v>27</v>
      </c>
    </row>
    <row r="2" spans="1:34" s="43" customFormat="1">
      <c r="A2" s="41" t="s">
        <v>0</v>
      </c>
      <c r="B2" s="43" t="s">
        <v>12</v>
      </c>
      <c r="C2" s="43" t="s">
        <v>13</v>
      </c>
      <c r="D2" s="43" t="s">
        <v>14</v>
      </c>
      <c r="E2" s="43" t="s">
        <v>15</v>
      </c>
      <c r="F2" s="43" t="s">
        <v>16</v>
      </c>
      <c r="G2" s="43" t="s">
        <v>17</v>
      </c>
      <c r="H2" s="43" t="s">
        <v>18</v>
      </c>
      <c r="I2" s="43" t="s">
        <v>19</v>
      </c>
      <c r="J2" s="43" t="s">
        <v>20</v>
      </c>
      <c r="K2" s="43" t="s">
        <v>21</v>
      </c>
      <c r="L2" s="43" t="s">
        <v>41</v>
      </c>
      <c r="M2" s="43" t="s">
        <v>12</v>
      </c>
      <c r="N2" s="43" t="s">
        <v>13</v>
      </c>
      <c r="O2" s="43" t="s">
        <v>14</v>
      </c>
      <c r="P2" s="43" t="s">
        <v>15</v>
      </c>
      <c r="Q2" s="43" t="s">
        <v>16</v>
      </c>
      <c r="R2" s="43" t="s">
        <v>23</v>
      </c>
      <c r="S2" s="43" t="s">
        <v>42</v>
      </c>
      <c r="T2" s="43" t="s">
        <v>43</v>
      </c>
      <c r="U2" s="43" t="s">
        <v>47</v>
      </c>
      <c r="V2" s="44" t="s">
        <v>44</v>
      </c>
      <c r="W2" s="44" t="s">
        <v>30</v>
      </c>
      <c r="X2" s="44" t="s">
        <v>31</v>
      </c>
      <c r="Y2" s="44" t="s">
        <v>32</v>
      </c>
      <c r="Z2" s="44" t="s">
        <v>33</v>
      </c>
      <c r="AA2" s="43" t="s">
        <v>26</v>
      </c>
      <c r="AB2" s="44" t="s">
        <v>44</v>
      </c>
      <c r="AC2" s="44" t="s">
        <v>30</v>
      </c>
      <c r="AD2" s="44" t="s">
        <v>31</v>
      </c>
      <c r="AE2" s="44" t="s">
        <v>32</v>
      </c>
      <c r="AF2" s="44" t="s">
        <v>33</v>
      </c>
      <c r="AG2" s="43" t="s">
        <v>27</v>
      </c>
      <c r="AH2" s="43" t="s">
        <v>96</v>
      </c>
    </row>
    <row r="3" spans="1:34" s="20" customFormat="1">
      <c r="A3" s="46">
        <v>1</v>
      </c>
      <c r="B3" s="47">
        <f>攻击!D3</f>
        <v>10</v>
      </c>
      <c r="C3" s="47">
        <f>攻击!E3</f>
        <v>12</v>
      </c>
      <c r="D3" s="47">
        <f>攻击!F3</f>
        <v>15</v>
      </c>
      <c r="E3" s="47">
        <f>攻击!G3</f>
        <v>20</v>
      </c>
      <c r="F3" s="47">
        <f>攻击!H3</f>
        <v>25</v>
      </c>
      <c r="G3" s="47">
        <f>攻击!I3</f>
        <v>0</v>
      </c>
      <c r="H3" s="47">
        <f>攻击!J3</f>
        <v>0</v>
      </c>
      <c r="I3" s="47">
        <f>攻击!K3</f>
        <v>0</v>
      </c>
      <c r="J3" s="47">
        <f>攻击!L3</f>
        <v>0</v>
      </c>
      <c r="K3" s="47">
        <f>攻击!M3</f>
        <v>0</v>
      </c>
      <c r="L3" s="47">
        <f>攻击!N3</f>
        <v>12</v>
      </c>
      <c r="M3" s="47">
        <f>攻击!O3</f>
        <v>15</v>
      </c>
      <c r="N3" s="47">
        <f>攻击!P3</f>
        <v>20</v>
      </c>
      <c r="O3" s="47">
        <f>攻击!Q3</f>
        <v>25</v>
      </c>
      <c r="P3" s="47">
        <f>攻击!R3</f>
        <v>30</v>
      </c>
      <c r="Q3" s="47">
        <f>攻击!S3</f>
        <v>35</v>
      </c>
      <c r="R3" s="47">
        <f>攻击!T3</f>
        <v>0</v>
      </c>
      <c r="S3" s="47">
        <f>攻击!U3</f>
        <v>3</v>
      </c>
      <c r="T3" s="47">
        <f>攻击!V3</f>
        <v>0</v>
      </c>
      <c r="U3" s="47">
        <f>攻击!W3</f>
        <v>0.5</v>
      </c>
      <c r="V3" s="54">
        <f>攻击!X3</f>
        <v>0</v>
      </c>
      <c r="W3" s="54">
        <f>攻击!Y3</f>
        <v>0</v>
      </c>
      <c r="X3" s="54">
        <f>攻击!Z3</f>
        <v>0</v>
      </c>
      <c r="Y3" s="54">
        <f>攻击!AA3</f>
        <v>0</v>
      </c>
      <c r="Z3" s="54">
        <f>攻击!AB3</f>
        <v>0</v>
      </c>
      <c r="AA3" s="47">
        <f>攻击!AL3</f>
        <v>0</v>
      </c>
      <c r="AB3" s="54">
        <f>攻击!AM3</f>
        <v>0</v>
      </c>
      <c r="AC3" s="54">
        <f>攻击!AN3</f>
        <v>0</v>
      </c>
      <c r="AD3" s="54">
        <f>攻击!AO3</f>
        <v>0</v>
      </c>
      <c r="AE3" s="54">
        <f>攻击!AP3</f>
        <v>0</v>
      </c>
      <c r="AF3" s="54">
        <f>攻击!AQ3</f>
        <v>0</v>
      </c>
      <c r="AG3" s="47">
        <f>攻击!AR3</f>
        <v>2</v>
      </c>
      <c r="AH3" s="20">
        <f>B3+M3+AA3+AG3</f>
        <v>27</v>
      </c>
    </row>
    <row r="4" spans="1:34" s="20" customFormat="1">
      <c r="A4" s="46">
        <v>2</v>
      </c>
      <c r="B4" s="47">
        <f>攻击!D4</f>
        <v>12</v>
      </c>
      <c r="C4" s="47">
        <f>攻击!E4</f>
        <v>14.399999999999999</v>
      </c>
      <c r="D4" s="47">
        <f>攻击!F4</f>
        <v>18</v>
      </c>
      <c r="E4" s="47">
        <f>攻击!G4</f>
        <v>24</v>
      </c>
      <c r="F4" s="47">
        <f>攻击!H4</f>
        <v>30</v>
      </c>
      <c r="G4" s="47">
        <f>攻击!I4</f>
        <v>0</v>
      </c>
      <c r="H4" s="47">
        <f>攻击!J4</f>
        <v>0</v>
      </c>
      <c r="I4" s="47">
        <f>攻击!K4</f>
        <v>0</v>
      </c>
      <c r="J4" s="47">
        <f>攻击!L4</f>
        <v>0</v>
      </c>
      <c r="K4" s="47">
        <f>攻击!M4</f>
        <v>0</v>
      </c>
      <c r="L4" s="47">
        <f>攻击!N4</f>
        <v>14.399999999999999</v>
      </c>
      <c r="M4" s="47">
        <f>攻击!O4</f>
        <v>18</v>
      </c>
      <c r="N4" s="47">
        <f>攻击!P4</f>
        <v>24</v>
      </c>
      <c r="O4" s="47">
        <f>攻击!Q4</f>
        <v>30</v>
      </c>
      <c r="P4" s="47">
        <f>攻击!R4</f>
        <v>36</v>
      </c>
      <c r="Q4" s="47">
        <f>攻击!S4</f>
        <v>42</v>
      </c>
      <c r="R4" s="47">
        <f>攻击!T4</f>
        <v>0</v>
      </c>
      <c r="S4" s="47">
        <f>攻击!U4</f>
        <v>3.5999999999999996</v>
      </c>
      <c r="T4" s="47">
        <f>攻击!V4</f>
        <v>0</v>
      </c>
      <c r="U4" s="47">
        <f>攻击!W4</f>
        <v>0.60000000000000009</v>
      </c>
      <c r="V4" s="54">
        <f>攻击!X4</f>
        <v>0</v>
      </c>
      <c r="W4" s="54">
        <f>攻击!Y4</f>
        <v>0</v>
      </c>
      <c r="X4" s="54">
        <f>攻击!Z4</f>
        <v>0</v>
      </c>
      <c r="Y4" s="54">
        <f>攻击!AA4</f>
        <v>0</v>
      </c>
      <c r="Z4" s="54">
        <f>攻击!AB4</f>
        <v>0</v>
      </c>
      <c r="AA4" s="47">
        <f>攻击!AL4</f>
        <v>0</v>
      </c>
      <c r="AB4" s="54">
        <f>攻击!AM4</f>
        <v>0</v>
      </c>
      <c r="AC4" s="54">
        <f>攻击!AN4</f>
        <v>0</v>
      </c>
      <c r="AD4" s="54">
        <f>攻击!AO4</f>
        <v>0</v>
      </c>
      <c r="AE4" s="54">
        <f>攻击!AP4</f>
        <v>0</v>
      </c>
      <c r="AF4" s="54">
        <f>攻击!AQ4</f>
        <v>0</v>
      </c>
      <c r="AG4" s="47">
        <f>攻击!AR4</f>
        <v>2.4000000000000004</v>
      </c>
      <c r="AH4" s="20">
        <f t="shared" ref="AH4:AH67" si="0">B4+M4+AA4+AG4</f>
        <v>32.4</v>
      </c>
    </row>
    <row r="5" spans="1:34" s="20" customFormat="1">
      <c r="A5" s="46">
        <v>3</v>
      </c>
      <c r="B5" s="47">
        <f>攻击!D5</f>
        <v>14</v>
      </c>
      <c r="C5" s="47">
        <f>攻击!E5</f>
        <v>16.8</v>
      </c>
      <c r="D5" s="47">
        <f>攻击!F5</f>
        <v>21</v>
      </c>
      <c r="E5" s="47">
        <f>攻击!G5</f>
        <v>28</v>
      </c>
      <c r="F5" s="47">
        <f>攻击!H5</f>
        <v>35</v>
      </c>
      <c r="G5" s="47">
        <f>攻击!I5</f>
        <v>0</v>
      </c>
      <c r="H5" s="47">
        <f>攻击!J5</f>
        <v>0</v>
      </c>
      <c r="I5" s="47">
        <f>攻击!K5</f>
        <v>0</v>
      </c>
      <c r="J5" s="47">
        <f>攻击!L5</f>
        <v>0</v>
      </c>
      <c r="K5" s="47">
        <f>攻击!M5</f>
        <v>0</v>
      </c>
      <c r="L5" s="47">
        <f>攻击!N5</f>
        <v>16.8</v>
      </c>
      <c r="M5" s="47">
        <f>攻击!O5</f>
        <v>21</v>
      </c>
      <c r="N5" s="47">
        <f>攻击!P5</f>
        <v>28</v>
      </c>
      <c r="O5" s="47">
        <f>攻击!Q5</f>
        <v>35</v>
      </c>
      <c r="P5" s="47">
        <f>攻击!R5</f>
        <v>42</v>
      </c>
      <c r="Q5" s="47">
        <f>攻击!S5</f>
        <v>49</v>
      </c>
      <c r="R5" s="47">
        <f>攻击!T5</f>
        <v>0</v>
      </c>
      <c r="S5" s="47">
        <f>攻击!U5</f>
        <v>4.2</v>
      </c>
      <c r="T5" s="47">
        <f>攻击!V5</f>
        <v>0</v>
      </c>
      <c r="U5" s="47">
        <f>攻击!W5</f>
        <v>0.70000000000000007</v>
      </c>
      <c r="V5" s="54">
        <f>攻击!X5</f>
        <v>0</v>
      </c>
      <c r="W5" s="54">
        <f>攻击!Y5</f>
        <v>0</v>
      </c>
      <c r="X5" s="54">
        <f>攻击!Z5</f>
        <v>0</v>
      </c>
      <c r="Y5" s="54">
        <f>攻击!AA5</f>
        <v>0</v>
      </c>
      <c r="Z5" s="54">
        <f>攻击!AB5</f>
        <v>0</v>
      </c>
      <c r="AA5" s="47">
        <f>攻击!AL5</f>
        <v>0</v>
      </c>
      <c r="AB5" s="54">
        <f>攻击!AM5</f>
        <v>0</v>
      </c>
      <c r="AC5" s="54">
        <f>攻击!AN5</f>
        <v>0</v>
      </c>
      <c r="AD5" s="54">
        <f>攻击!AO5</f>
        <v>0</v>
      </c>
      <c r="AE5" s="54">
        <f>攻击!AP5</f>
        <v>0</v>
      </c>
      <c r="AF5" s="54">
        <f>攻击!AQ5</f>
        <v>0</v>
      </c>
      <c r="AG5" s="47">
        <f>攻击!AR5</f>
        <v>2.8000000000000003</v>
      </c>
      <c r="AH5" s="20">
        <f t="shared" si="0"/>
        <v>37.799999999999997</v>
      </c>
    </row>
    <row r="6" spans="1:34" s="20" customFormat="1">
      <c r="A6" s="46">
        <v>4</v>
      </c>
      <c r="B6" s="47">
        <f>攻击!D6</f>
        <v>16</v>
      </c>
      <c r="C6" s="47">
        <f>攻击!E6</f>
        <v>19.2</v>
      </c>
      <c r="D6" s="47">
        <f>攻击!F6</f>
        <v>24</v>
      </c>
      <c r="E6" s="47">
        <f>攻击!G6</f>
        <v>32</v>
      </c>
      <c r="F6" s="47">
        <f>攻击!H6</f>
        <v>40</v>
      </c>
      <c r="G6" s="47">
        <f>攻击!I6</f>
        <v>0</v>
      </c>
      <c r="H6" s="47">
        <f>攻击!J6</f>
        <v>0</v>
      </c>
      <c r="I6" s="47">
        <f>攻击!K6</f>
        <v>0</v>
      </c>
      <c r="J6" s="47">
        <f>攻击!L6</f>
        <v>0</v>
      </c>
      <c r="K6" s="47">
        <f>攻击!M6</f>
        <v>0</v>
      </c>
      <c r="L6" s="47">
        <f>攻击!N6</f>
        <v>19.2</v>
      </c>
      <c r="M6" s="47">
        <f>攻击!O6</f>
        <v>24</v>
      </c>
      <c r="N6" s="47">
        <f>攻击!P6</f>
        <v>32</v>
      </c>
      <c r="O6" s="47">
        <f>攻击!Q6</f>
        <v>40</v>
      </c>
      <c r="P6" s="47">
        <f>攻击!R6</f>
        <v>48</v>
      </c>
      <c r="Q6" s="47">
        <f>攻击!S6</f>
        <v>56</v>
      </c>
      <c r="R6" s="47">
        <f>攻击!T6</f>
        <v>0</v>
      </c>
      <c r="S6" s="47">
        <f>攻击!U6</f>
        <v>4.8</v>
      </c>
      <c r="T6" s="47">
        <f>攻击!V6</f>
        <v>0</v>
      </c>
      <c r="U6" s="47">
        <f>攻击!W6</f>
        <v>0.8</v>
      </c>
      <c r="V6" s="54">
        <f>攻击!X6</f>
        <v>0</v>
      </c>
      <c r="W6" s="54">
        <f>攻击!Y6</f>
        <v>0</v>
      </c>
      <c r="X6" s="54">
        <f>攻击!Z6</f>
        <v>0</v>
      </c>
      <c r="Y6" s="54">
        <f>攻击!AA6</f>
        <v>0</v>
      </c>
      <c r="Z6" s="54">
        <f>攻击!AB6</f>
        <v>0</v>
      </c>
      <c r="AA6" s="47">
        <f>攻击!AL6</f>
        <v>0</v>
      </c>
      <c r="AB6" s="54">
        <f>攻击!AM6</f>
        <v>0</v>
      </c>
      <c r="AC6" s="54">
        <f>攻击!AN6</f>
        <v>0</v>
      </c>
      <c r="AD6" s="54">
        <f>攻击!AO6</f>
        <v>0</v>
      </c>
      <c r="AE6" s="54">
        <f>攻击!AP6</f>
        <v>0</v>
      </c>
      <c r="AF6" s="54">
        <f>攻击!AQ6</f>
        <v>0</v>
      </c>
      <c r="AG6" s="47">
        <f>攻击!AR6</f>
        <v>3.2</v>
      </c>
      <c r="AH6" s="20">
        <f t="shared" si="0"/>
        <v>43.2</v>
      </c>
    </row>
    <row r="7" spans="1:34" s="20" customFormat="1">
      <c r="A7" s="46">
        <v>5</v>
      </c>
      <c r="B7" s="47">
        <f>攻击!D7</f>
        <v>18</v>
      </c>
      <c r="C7" s="47">
        <f>攻击!E7</f>
        <v>21.599999999999998</v>
      </c>
      <c r="D7" s="47">
        <f>攻击!F7</f>
        <v>27</v>
      </c>
      <c r="E7" s="47">
        <f>攻击!G7</f>
        <v>36</v>
      </c>
      <c r="F7" s="47">
        <f>攻击!H7</f>
        <v>45</v>
      </c>
      <c r="G7" s="47">
        <f>攻击!I7</f>
        <v>9</v>
      </c>
      <c r="H7" s="47">
        <f>攻击!J7</f>
        <v>0</v>
      </c>
      <c r="I7" s="47">
        <f>攻击!K7</f>
        <v>0</v>
      </c>
      <c r="J7" s="47">
        <f>攻击!L7</f>
        <v>0</v>
      </c>
      <c r="K7" s="47">
        <f>攻击!M7</f>
        <v>0</v>
      </c>
      <c r="L7" s="47">
        <f>攻击!N7</f>
        <v>21.599999999999998</v>
      </c>
      <c r="M7" s="47">
        <f>攻击!O7</f>
        <v>27</v>
      </c>
      <c r="N7" s="47">
        <f>攻击!P7</f>
        <v>36</v>
      </c>
      <c r="O7" s="47">
        <f>攻击!Q7</f>
        <v>45</v>
      </c>
      <c r="P7" s="47">
        <f>攻击!R7</f>
        <v>54</v>
      </c>
      <c r="Q7" s="47">
        <f>攻击!S7</f>
        <v>63</v>
      </c>
      <c r="R7" s="47">
        <f>攻击!T7</f>
        <v>0</v>
      </c>
      <c r="S7" s="47">
        <f>攻击!U7</f>
        <v>5.3999999999999995</v>
      </c>
      <c r="T7" s="47">
        <f>攻击!V7</f>
        <v>0</v>
      </c>
      <c r="U7" s="47">
        <f>攻击!W7</f>
        <v>0.9</v>
      </c>
      <c r="V7" s="54">
        <f>攻击!X7</f>
        <v>0</v>
      </c>
      <c r="W7" s="54">
        <f>攻击!Y7</f>
        <v>0</v>
      </c>
      <c r="X7" s="54">
        <f>攻击!Z7</f>
        <v>0</v>
      </c>
      <c r="Y7" s="54">
        <f>攻击!AA7</f>
        <v>0</v>
      </c>
      <c r="Z7" s="54">
        <f>攻击!AB7</f>
        <v>0</v>
      </c>
      <c r="AA7" s="47">
        <f>攻击!AL7</f>
        <v>0</v>
      </c>
      <c r="AB7" s="54">
        <f>攻击!AM7</f>
        <v>0</v>
      </c>
      <c r="AC7" s="54">
        <f>攻击!AN7</f>
        <v>0</v>
      </c>
      <c r="AD7" s="54">
        <f>攻击!AO7</f>
        <v>0</v>
      </c>
      <c r="AE7" s="54">
        <f>攻击!AP7</f>
        <v>0</v>
      </c>
      <c r="AF7" s="54">
        <f>攻击!AQ7</f>
        <v>0</v>
      </c>
      <c r="AG7" s="47">
        <f>攻击!AR7</f>
        <v>3.6</v>
      </c>
      <c r="AH7" s="20">
        <f t="shared" si="0"/>
        <v>48.6</v>
      </c>
    </row>
    <row r="8" spans="1:34" s="20" customFormat="1">
      <c r="A8" s="46">
        <v>6</v>
      </c>
      <c r="B8" s="47">
        <f>攻击!D8</f>
        <v>20</v>
      </c>
      <c r="C8" s="47">
        <f>攻击!E8</f>
        <v>24</v>
      </c>
      <c r="D8" s="47">
        <f>攻击!F8</f>
        <v>30</v>
      </c>
      <c r="E8" s="47">
        <f>攻击!G8</f>
        <v>40</v>
      </c>
      <c r="F8" s="47">
        <f>攻击!H8</f>
        <v>50</v>
      </c>
      <c r="G8" s="47">
        <f>攻击!I8</f>
        <v>9</v>
      </c>
      <c r="H8" s="47">
        <f>攻击!J8</f>
        <v>0</v>
      </c>
      <c r="I8" s="47">
        <f>攻击!K8</f>
        <v>0</v>
      </c>
      <c r="J8" s="47">
        <f>攻击!L8</f>
        <v>0</v>
      </c>
      <c r="K8" s="47">
        <f>攻击!M8</f>
        <v>0</v>
      </c>
      <c r="L8" s="47">
        <f>攻击!N8</f>
        <v>24</v>
      </c>
      <c r="M8" s="47">
        <f>攻击!O8</f>
        <v>30</v>
      </c>
      <c r="N8" s="47">
        <f>攻击!P8</f>
        <v>40</v>
      </c>
      <c r="O8" s="47">
        <f>攻击!Q8</f>
        <v>50</v>
      </c>
      <c r="P8" s="47">
        <f>攻击!R8</f>
        <v>60</v>
      </c>
      <c r="Q8" s="47">
        <f>攻击!S8</f>
        <v>70</v>
      </c>
      <c r="R8" s="47">
        <f>攻击!T8</f>
        <v>0</v>
      </c>
      <c r="S8" s="47">
        <f>攻击!U8</f>
        <v>6</v>
      </c>
      <c r="T8" s="47">
        <f>攻击!V8</f>
        <v>0</v>
      </c>
      <c r="U8" s="47">
        <f>攻击!W8</f>
        <v>1</v>
      </c>
      <c r="V8" s="54">
        <f>攻击!X8</f>
        <v>0</v>
      </c>
      <c r="W8" s="54">
        <f>攻击!Y8</f>
        <v>0</v>
      </c>
      <c r="X8" s="54">
        <f>攻击!Z8</f>
        <v>0</v>
      </c>
      <c r="Y8" s="54">
        <f>攻击!AA8</f>
        <v>0</v>
      </c>
      <c r="Z8" s="54">
        <f>攻击!AB8</f>
        <v>0</v>
      </c>
      <c r="AA8" s="47">
        <f>攻击!AL8</f>
        <v>0</v>
      </c>
      <c r="AB8" s="54">
        <f>攻击!AM8</f>
        <v>0</v>
      </c>
      <c r="AC8" s="54">
        <f>攻击!AN8</f>
        <v>0</v>
      </c>
      <c r="AD8" s="54">
        <f>攻击!AO8</f>
        <v>0</v>
      </c>
      <c r="AE8" s="54">
        <f>攻击!AP8</f>
        <v>0</v>
      </c>
      <c r="AF8" s="54">
        <f>攻击!AQ8</f>
        <v>0</v>
      </c>
      <c r="AG8" s="47">
        <f>攻击!AR8</f>
        <v>4</v>
      </c>
      <c r="AH8" s="20">
        <f t="shared" si="0"/>
        <v>54</v>
      </c>
    </row>
    <row r="9" spans="1:34" s="20" customFormat="1">
      <c r="A9" s="46">
        <v>7</v>
      </c>
      <c r="B9" s="47">
        <f>攻击!D9</f>
        <v>22</v>
      </c>
      <c r="C9" s="47">
        <f>攻击!E9</f>
        <v>26.4</v>
      </c>
      <c r="D9" s="47">
        <f>攻击!F9</f>
        <v>33</v>
      </c>
      <c r="E9" s="47">
        <f>攻击!G9</f>
        <v>44</v>
      </c>
      <c r="F9" s="47">
        <f>攻击!H9</f>
        <v>55</v>
      </c>
      <c r="G9" s="47">
        <f>攻击!I9</f>
        <v>9</v>
      </c>
      <c r="H9" s="47">
        <f>攻击!J9</f>
        <v>0</v>
      </c>
      <c r="I9" s="47">
        <f>攻击!K9</f>
        <v>0</v>
      </c>
      <c r="J9" s="47">
        <f>攻击!L9</f>
        <v>0</v>
      </c>
      <c r="K9" s="47">
        <f>攻击!M9</f>
        <v>0</v>
      </c>
      <c r="L9" s="47">
        <f>攻击!N9</f>
        <v>26.4</v>
      </c>
      <c r="M9" s="47">
        <f>攻击!O9</f>
        <v>33</v>
      </c>
      <c r="N9" s="47">
        <f>攻击!P9</f>
        <v>44</v>
      </c>
      <c r="O9" s="47">
        <f>攻击!Q9</f>
        <v>55</v>
      </c>
      <c r="P9" s="47">
        <f>攻击!R9</f>
        <v>66</v>
      </c>
      <c r="Q9" s="47">
        <f>攻击!S9</f>
        <v>77</v>
      </c>
      <c r="R9" s="47">
        <f>攻击!T9</f>
        <v>0</v>
      </c>
      <c r="S9" s="47">
        <f>攻击!U9</f>
        <v>6.6</v>
      </c>
      <c r="T9" s="47">
        <f>攻击!V9</f>
        <v>0</v>
      </c>
      <c r="U9" s="47">
        <f>攻击!W9</f>
        <v>1.1000000000000001</v>
      </c>
      <c r="V9" s="54">
        <f>攻击!X9</f>
        <v>0</v>
      </c>
      <c r="W9" s="54">
        <f>攻击!Y9</f>
        <v>0</v>
      </c>
      <c r="X9" s="54">
        <f>攻击!Z9</f>
        <v>0</v>
      </c>
      <c r="Y9" s="54">
        <f>攻击!AA9</f>
        <v>0</v>
      </c>
      <c r="Z9" s="54">
        <f>攻击!AB9</f>
        <v>0</v>
      </c>
      <c r="AA9" s="47">
        <f>攻击!AL9</f>
        <v>0</v>
      </c>
      <c r="AB9" s="54">
        <f>攻击!AM9</f>
        <v>0</v>
      </c>
      <c r="AC9" s="54">
        <f>攻击!AN9</f>
        <v>0</v>
      </c>
      <c r="AD9" s="54">
        <f>攻击!AO9</f>
        <v>0</v>
      </c>
      <c r="AE9" s="54">
        <f>攻击!AP9</f>
        <v>0</v>
      </c>
      <c r="AF9" s="54">
        <f>攻击!AQ9</f>
        <v>0</v>
      </c>
      <c r="AG9" s="47">
        <f>攻击!AR9</f>
        <v>4.4000000000000004</v>
      </c>
      <c r="AH9" s="20">
        <f t="shared" si="0"/>
        <v>59.4</v>
      </c>
    </row>
    <row r="10" spans="1:34" s="20" customFormat="1">
      <c r="A10" s="46">
        <v>8</v>
      </c>
      <c r="B10" s="47">
        <f>攻击!D10</f>
        <v>24</v>
      </c>
      <c r="C10" s="47">
        <f>攻击!E10</f>
        <v>28.799999999999997</v>
      </c>
      <c r="D10" s="47">
        <f>攻击!F10</f>
        <v>36</v>
      </c>
      <c r="E10" s="47">
        <f>攻击!G10</f>
        <v>48</v>
      </c>
      <c r="F10" s="47">
        <f>攻击!H10</f>
        <v>60</v>
      </c>
      <c r="G10" s="47">
        <f>攻击!I10</f>
        <v>9</v>
      </c>
      <c r="H10" s="47">
        <f>攻击!J10</f>
        <v>0</v>
      </c>
      <c r="I10" s="47">
        <f>攻击!K10</f>
        <v>0</v>
      </c>
      <c r="J10" s="47">
        <f>攻击!L10</f>
        <v>0</v>
      </c>
      <c r="K10" s="47">
        <f>攻击!M10</f>
        <v>0</v>
      </c>
      <c r="L10" s="47">
        <f>攻击!N10</f>
        <v>28.799999999999997</v>
      </c>
      <c r="M10" s="47">
        <f>攻击!O10</f>
        <v>36</v>
      </c>
      <c r="N10" s="47">
        <f>攻击!P10</f>
        <v>48</v>
      </c>
      <c r="O10" s="47">
        <f>攻击!Q10</f>
        <v>60</v>
      </c>
      <c r="P10" s="47">
        <f>攻击!R10</f>
        <v>72</v>
      </c>
      <c r="Q10" s="47">
        <f>攻击!S10</f>
        <v>84</v>
      </c>
      <c r="R10" s="47">
        <f>攻击!T10</f>
        <v>0</v>
      </c>
      <c r="S10" s="47">
        <f>攻击!U10</f>
        <v>7.1999999999999993</v>
      </c>
      <c r="T10" s="47">
        <f>攻击!V10</f>
        <v>0</v>
      </c>
      <c r="U10" s="47">
        <f>攻击!W10</f>
        <v>1.2000000000000002</v>
      </c>
      <c r="V10" s="54">
        <f>攻击!X10</f>
        <v>0</v>
      </c>
      <c r="W10" s="54">
        <f>攻击!Y10</f>
        <v>0</v>
      </c>
      <c r="X10" s="54">
        <f>攻击!Z10</f>
        <v>0</v>
      </c>
      <c r="Y10" s="54">
        <f>攻击!AA10</f>
        <v>0</v>
      </c>
      <c r="Z10" s="54">
        <f>攻击!AB10</f>
        <v>0</v>
      </c>
      <c r="AA10" s="47">
        <f>攻击!AL10</f>
        <v>0</v>
      </c>
      <c r="AB10" s="54">
        <f>攻击!AM10</f>
        <v>0</v>
      </c>
      <c r="AC10" s="54">
        <f>攻击!AN10</f>
        <v>0</v>
      </c>
      <c r="AD10" s="54">
        <f>攻击!AO10</f>
        <v>0</v>
      </c>
      <c r="AE10" s="54">
        <f>攻击!AP10</f>
        <v>0</v>
      </c>
      <c r="AF10" s="54">
        <f>攻击!AQ10</f>
        <v>0</v>
      </c>
      <c r="AG10" s="47">
        <f>攻击!AR10</f>
        <v>4.8000000000000007</v>
      </c>
      <c r="AH10" s="20">
        <f t="shared" si="0"/>
        <v>64.8</v>
      </c>
    </row>
    <row r="11" spans="1:34" s="20" customFormat="1">
      <c r="A11" s="46">
        <v>9</v>
      </c>
      <c r="B11" s="47">
        <f>攻击!D11</f>
        <v>26</v>
      </c>
      <c r="C11" s="47">
        <f>攻击!E11</f>
        <v>31.2</v>
      </c>
      <c r="D11" s="47">
        <f>攻击!F11</f>
        <v>39</v>
      </c>
      <c r="E11" s="47">
        <f>攻击!G11</f>
        <v>52</v>
      </c>
      <c r="F11" s="47">
        <f>攻击!H11</f>
        <v>65</v>
      </c>
      <c r="G11" s="47">
        <f>攻击!I11</f>
        <v>9</v>
      </c>
      <c r="H11" s="47">
        <f>攻击!J11</f>
        <v>0</v>
      </c>
      <c r="I11" s="47">
        <f>攻击!K11</f>
        <v>0</v>
      </c>
      <c r="J11" s="47">
        <f>攻击!L11</f>
        <v>0</v>
      </c>
      <c r="K11" s="47">
        <f>攻击!M11</f>
        <v>0</v>
      </c>
      <c r="L11" s="47">
        <f>攻击!N11</f>
        <v>31.2</v>
      </c>
      <c r="M11" s="47">
        <f>攻击!O11</f>
        <v>39</v>
      </c>
      <c r="N11" s="47">
        <f>攻击!P11</f>
        <v>52</v>
      </c>
      <c r="O11" s="47">
        <f>攻击!Q11</f>
        <v>65</v>
      </c>
      <c r="P11" s="47">
        <f>攻击!R11</f>
        <v>78</v>
      </c>
      <c r="Q11" s="47">
        <f>攻击!S11</f>
        <v>91</v>
      </c>
      <c r="R11" s="47">
        <f>攻击!T11</f>
        <v>0</v>
      </c>
      <c r="S11" s="47">
        <f>攻击!U11</f>
        <v>7.8</v>
      </c>
      <c r="T11" s="47">
        <f>攻击!V11</f>
        <v>0</v>
      </c>
      <c r="U11" s="47">
        <f>攻击!W11</f>
        <v>1.3</v>
      </c>
      <c r="V11" s="54">
        <f>攻击!X11</f>
        <v>0</v>
      </c>
      <c r="W11" s="54">
        <f>攻击!Y11</f>
        <v>0</v>
      </c>
      <c r="X11" s="54">
        <f>攻击!Z11</f>
        <v>0</v>
      </c>
      <c r="Y11" s="54">
        <f>攻击!AA11</f>
        <v>0</v>
      </c>
      <c r="Z11" s="54">
        <f>攻击!AB11</f>
        <v>0</v>
      </c>
      <c r="AA11" s="47">
        <f>攻击!AL11</f>
        <v>0</v>
      </c>
      <c r="AB11" s="54">
        <f>攻击!AM11</f>
        <v>0</v>
      </c>
      <c r="AC11" s="54">
        <f>攻击!AN11</f>
        <v>0</v>
      </c>
      <c r="AD11" s="54">
        <f>攻击!AO11</f>
        <v>0</v>
      </c>
      <c r="AE11" s="54">
        <f>攻击!AP11</f>
        <v>0</v>
      </c>
      <c r="AF11" s="54">
        <f>攻击!AQ11</f>
        <v>0</v>
      </c>
      <c r="AG11" s="47">
        <f>攻击!AR11</f>
        <v>5.2</v>
      </c>
      <c r="AH11" s="20">
        <f t="shared" si="0"/>
        <v>70.2</v>
      </c>
    </row>
    <row r="12" spans="1:34" s="20" customFormat="1">
      <c r="A12" s="46">
        <v>10</v>
      </c>
      <c r="B12" s="47">
        <f>攻击!D12</f>
        <v>28</v>
      </c>
      <c r="C12" s="47">
        <f>攻击!E12</f>
        <v>33.6</v>
      </c>
      <c r="D12" s="47">
        <f>攻击!F12</f>
        <v>42</v>
      </c>
      <c r="E12" s="47">
        <f>攻击!G12</f>
        <v>56</v>
      </c>
      <c r="F12" s="47">
        <f>攻击!H12</f>
        <v>70</v>
      </c>
      <c r="G12" s="47">
        <f>攻击!I12</f>
        <v>14</v>
      </c>
      <c r="H12" s="47">
        <f>攻击!J12</f>
        <v>8.4</v>
      </c>
      <c r="I12" s="47">
        <f>攻击!K12</f>
        <v>0</v>
      </c>
      <c r="J12" s="47">
        <f>攻击!L12</f>
        <v>0</v>
      </c>
      <c r="K12" s="47">
        <f>攻击!M12</f>
        <v>0</v>
      </c>
      <c r="L12" s="47">
        <f>攻击!N12</f>
        <v>33.6</v>
      </c>
      <c r="M12" s="47">
        <f>攻击!O12</f>
        <v>42</v>
      </c>
      <c r="N12" s="47">
        <f>攻击!P12</f>
        <v>56</v>
      </c>
      <c r="O12" s="47">
        <f>攻击!Q12</f>
        <v>70</v>
      </c>
      <c r="P12" s="47">
        <f>攻击!R12</f>
        <v>84</v>
      </c>
      <c r="Q12" s="47">
        <f>攻击!S12</f>
        <v>98</v>
      </c>
      <c r="R12" s="47">
        <f>攻击!T12</f>
        <v>0</v>
      </c>
      <c r="S12" s="47">
        <f>攻击!U12</f>
        <v>8.4</v>
      </c>
      <c r="T12" s="47">
        <f>攻击!V12</f>
        <v>0</v>
      </c>
      <c r="U12" s="47">
        <f>攻击!W12</f>
        <v>1.4000000000000001</v>
      </c>
      <c r="V12" s="54">
        <f>攻击!X12</f>
        <v>0</v>
      </c>
      <c r="W12" s="54">
        <f>攻击!Y12</f>
        <v>0</v>
      </c>
      <c r="X12" s="54">
        <f>攻击!Z12</f>
        <v>0</v>
      </c>
      <c r="Y12" s="54">
        <f>攻击!AA12</f>
        <v>0</v>
      </c>
      <c r="Z12" s="54">
        <f>攻击!AB12</f>
        <v>0</v>
      </c>
      <c r="AA12" s="47">
        <f>攻击!AL12</f>
        <v>0</v>
      </c>
      <c r="AB12" s="54">
        <f>攻击!AM12</f>
        <v>0</v>
      </c>
      <c r="AC12" s="54">
        <f>攻击!AN12</f>
        <v>0</v>
      </c>
      <c r="AD12" s="54">
        <f>攻击!AO12</f>
        <v>0</v>
      </c>
      <c r="AE12" s="54">
        <f>攻击!AP12</f>
        <v>0</v>
      </c>
      <c r="AF12" s="54">
        <f>攻击!AQ12</f>
        <v>0</v>
      </c>
      <c r="AG12" s="47">
        <f>攻击!AR12</f>
        <v>5.6000000000000005</v>
      </c>
      <c r="AH12" s="20">
        <f t="shared" si="0"/>
        <v>75.599999999999994</v>
      </c>
    </row>
    <row r="13" spans="1:34" s="20" customFormat="1">
      <c r="A13" s="46">
        <v>11</v>
      </c>
      <c r="B13" s="47">
        <f>攻击!D13</f>
        <v>30</v>
      </c>
      <c r="C13" s="47">
        <f>攻击!E13</f>
        <v>36</v>
      </c>
      <c r="D13" s="47">
        <f>攻击!F13</f>
        <v>45</v>
      </c>
      <c r="E13" s="47">
        <f>攻击!G13</f>
        <v>60</v>
      </c>
      <c r="F13" s="47">
        <f>攻击!H13</f>
        <v>75</v>
      </c>
      <c r="G13" s="47">
        <f>攻击!I13</f>
        <v>14</v>
      </c>
      <c r="H13" s="47">
        <f>攻击!J13</f>
        <v>9</v>
      </c>
      <c r="I13" s="47">
        <f>攻击!K13</f>
        <v>0</v>
      </c>
      <c r="J13" s="47">
        <f>攻击!L13</f>
        <v>0</v>
      </c>
      <c r="K13" s="47">
        <f>攻击!M13</f>
        <v>0</v>
      </c>
      <c r="L13" s="47">
        <f>攻击!N13</f>
        <v>36</v>
      </c>
      <c r="M13" s="47">
        <f>攻击!O13</f>
        <v>45</v>
      </c>
      <c r="N13" s="47">
        <f>攻击!P13</f>
        <v>60</v>
      </c>
      <c r="O13" s="47">
        <f>攻击!Q13</f>
        <v>75</v>
      </c>
      <c r="P13" s="47">
        <f>攻击!R13</f>
        <v>90</v>
      </c>
      <c r="Q13" s="47">
        <f>攻击!S13</f>
        <v>105</v>
      </c>
      <c r="R13" s="47">
        <f>攻击!T13</f>
        <v>0</v>
      </c>
      <c r="S13" s="47">
        <f>攻击!U13</f>
        <v>9</v>
      </c>
      <c r="T13" s="47">
        <f>攻击!V13</f>
        <v>0</v>
      </c>
      <c r="U13" s="47">
        <f>攻击!W13</f>
        <v>1.5</v>
      </c>
      <c r="V13" s="54">
        <f>攻击!X13</f>
        <v>0</v>
      </c>
      <c r="W13" s="54">
        <f>攻击!Y13</f>
        <v>0</v>
      </c>
      <c r="X13" s="54">
        <f>攻击!Z13</f>
        <v>0</v>
      </c>
      <c r="Y13" s="54">
        <f>攻击!AA13</f>
        <v>0</v>
      </c>
      <c r="Z13" s="54">
        <f>攻击!AB13</f>
        <v>0</v>
      </c>
      <c r="AA13" s="47">
        <f>攻击!AL13</f>
        <v>0</v>
      </c>
      <c r="AB13" s="54">
        <f>攻击!AM13</f>
        <v>0</v>
      </c>
      <c r="AC13" s="54">
        <f>攻击!AN13</f>
        <v>0</v>
      </c>
      <c r="AD13" s="54">
        <f>攻击!AO13</f>
        <v>0</v>
      </c>
      <c r="AE13" s="54">
        <f>攻击!AP13</f>
        <v>0</v>
      </c>
      <c r="AF13" s="54">
        <f>攻击!AQ13</f>
        <v>0</v>
      </c>
      <c r="AG13" s="47">
        <f>攻击!AR13</f>
        <v>6</v>
      </c>
      <c r="AH13" s="20">
        <f t="shared" si="0"/>
        <v>81</v>
      </c>
    </row>
    <row r="14" spans="1:34" s="20" customFormat="1">
      <c r="A14" s="46">
        <v>12</v>
      </c>
      <c r="B14" s="47">
        <f>攻击!D14</f>
        <v>32</v>
      </c>
      <c r="C14" s="47">
        <f>攻击!E14</f>
        <v>38.4</v>
      </c>
      <c r="D14" s="47">
        <f>攻击!F14</f>
        <v>48</v>
      </c>
      <c r="E14" s="47">
        <f>攻击!G14</f>
        <v>64</v>
      </c>
      <c r="F14" s="47">
        <f>攻击!H14</f>
        <v>80</v>
      </c>
      <c r="G14" s="47">
        <f>攻击!I14</f>
        <v>14</v>
      </c>
      <c r="H14" s="47">
        <f>攻击!J14</f>
        <v>9.6</v>
      </c>
      <c r="I14" s="47">
        <f>攻击!K14</f>
        <v>0</v>
      </c>
      <c r="J14" s="47">
        <f>攻击!L14</f>
        <v>0</v>
      </c>
      <c r="K14" s="47">
        <f>攻击!M14</f>
        <v>0</v>
      </c>
      <c r="L14" s="47">
        <f>攻击!N14</f>
        <v>38.4</v>
      </c>
      <c r="M14" s="47">
        <f>攻击!O14</f>
        <v>48</v>
      </c>
      <c r="N14" s="47">
        <f>攻击!P14</f>
        <v>64</v>
      </c>
      <c r="O14" s="47">
        <f>攻击!Q14</f>
        <v>80</v>
      </c>
      <c r="P14" s="47">
        <f>攻击!R14</f>
        <v>96</v>
      </c>
      <c r="Q14" s="47">
        <f>攻击!S14</f>
        <v>112</v>
      </c>
      <c r="R14" s="47">
        <f>攻击!T14</f>
        <v>0</v>
      </c>
      <c r="S14" s="47">
        <f>攻击!U14</f>
        <v>9.6</v>
      </c>
      <c r="T14" s="47">
        <f>攻击!V14</f>
        <v>0</v>
      </c>
      <c r="U14" s="47">
        <f>攻击!W14</f>
        <v>1.6</v>
      </c>
      <c r="V14" s="54">
        <f>攻击!X14</f>
        <v>0</v>
      </c>
      <c r="W14" s="54">
        <f>攻击!Y14</f>
        <v>0</v>
      </c>
      <c r="X14" s="54">
        <f>攻击!Z14</f>
        <v>0</v>
      </c>
      <c r="Y14" s="54">
        <f>攻击!AA14</f>
        <v>0</v>
      </c>
      <c r="Z14" s="54">
        <f>攻击!AB14</f>
        <v>0</v>
      </c>
      <c r="AA14" s="47">
        <f>攻击!AL14</f>
        <v>0</v>
      </c>
      <c r="AB14" s="54">
        <f>攻击!AM14</f>
        <v>0</v>
      </c>
      <c r="AC14" s="54">
        <f>攻击!AN14</f>
        <v>0</v>
      </c>
      <c r="AD14" s="54">
        <f>攻击!AO14</f>
        <v>0</v>
      </c>
      <c r="AE14" s="54">
        <f>攻击!AP14</f>
        <v>0</v>
      </c>
      <c r="AF14" s="54">
        <f>攻击!AQ14</f>
        <v>0</v>
      </c>
      <c r="AG14" s="47">
        <f>攻击!AR14</f>
        <v>6.4</v>
      </c>
      <c r="AH14" s="20">
        <f t="shared" si="0"/>
        <v>86.4</v>
      </c>
    </row>
    <row r="15" spans="1:34" s="20" customFormat="1">
      <c r="A15" s="46">
        <v>13</v>
      </c>
      <c r="B15" s="47">
        <f>攻击!D15</f>
        <v>34</v>
      </c>
      <c r="C15" s="47">
        <f>攻击!E15</f>
        <v>40.799999999999997</v>
      </c>
      <c r="D15" s="47">
        <f>攻击!F15</f>
        <v>51</v>
      </c>
      <c r="E15" s="47">
        <f>攻击!G15</f>
        <v>68</v>
      </c>
      <c r="F15" s="47">
        <f>攻击!H15</f>
        <v>85</v>
      </c>
      <c r="G15" s="47">
        <f>攻击!I15</f>
        <v>14</v>
      </c>
      <c r="H15" s="47">
        <f>攻击!J15</f>
        <v>10.199999999999999</v>
      </c>
      <c r="I15" s="47">
        <f>攻击!K15</f>
        <v>0</v>
      </c>
      <c r="J15" s="47">
        <f>攻击!L15</f>
        <v>0</v>
      </c>
      <c r="K15" s="47">
        <f>攻击!M15</f>
        <v>0</v>
      </c>
      <c r="L15" s="47">
        <f>攻击!N15</f>
        <v>40.799999999999997</v>
      </c>
      <c r="M15" s="47">
        <f>攻击!O15</f>
        <v>51</v>
      </c>
      <c r="N15" s="47">
        <f>攻击!P15</f>
        <v>68</v>
      </c>
      <c r="O15" s="47">
        <f>攻击!Q15</f>
        <v>85</v>
      </c>
      <c r="P15" s="47">
        <f>攻击!R15</f>
        <v>102</v>
      </c>
      <c r="Q15" s="47">
        <f>攻击!S15</f>
        <v>119</v>
      </c>
      <c r="R15" s="47">
        <f>攻击!T15</f>
        <v>0</v>
      </c>
      <c r="S15" s="47">
        <f>攻击!U15</f>
        <v>10.199999999999999</v>
      </c>
      <c r="T15" s="47">
        <f>攻击!V15</f>
        <v>0</v>
      </c>
      <c r="U15" s="47">
        <f>攻击!W15</f>
        <v>1.7000000000000002</v>
      </c>
      <c r="V15" s="54">
        <f>攻击!X15</f>
        <v>0</v>
      </c>
      <c r="W15" s="54">
        <f>攻击!Y15</f>
        <v>0</v>
      </c>
      <c r="X15" s="54">
        <f>攻击!Z15</f>
        <v>0</v>
      </c>
      <c r="Y15" s="54">
        <f>攻击!AA15</f>
        <v>0</v>
      </c>
      <c r="Z15" s="54">
        <f>攻击!AB15</f>
        <v>0</v>
      </c>
      <c r="AA15" s="47">
        <f>攻击!AL15</f>
        <v>0</v>
      </c>
      <c r="AB15" s="54">
        <f>攻击!AM15</f>
        <v>0</v>
      </c>
      <c r="AC15" s="54">
        <f>攻击!AN15</f>
        <v>0</v>
      </c>
      <c r="AD15" s="54">
        <f>攻击!AO15</f>
        <v>0</v>
      </c>
      <c r="AE15" s="54">
        <f>攻击!AP15</f>
        <v>0</v>
      </c>
      <c r="AF15" s="54">
        <f>攻击!AQ15</f>
        <v>0</v>
      </c>
      <c r="AG15" s="47">
        <f>攻击!AR15</f>
        <v>6.8000000000000007</v>
      </c>
      <c r="AH15" s="20">
        <f t="shared" si="0"/>
        <v>91.8</v>
      </c>
    </row>
    <row r="16" spans="1:34" s="20" customFormat="1">
      <c r="A16" s="46">
        <v>14</v>
      </c>
      <c r="B16" s="47">
        <f>攻击!D16</f>
        <v>36</v>
      </c>
      <c r="C16" s="47">
        <f>攻击!E16</f>
        <v>43.199999999999996</v>
      </c>
      <c r="D16" s="47">
        <f>攻击!F16</f>
        <v>54</v>
      </c>
      <c r="E16" s="47">
        <f>攻击!G16</f>
        <v>72</v>
      </c>
      <c r="F16" s="47">
        <f>攻击!H16</f>
        <v>90</v>
      </c>
      <c r="G16" s="47">
        <f>攻击!I16</f>
        <v>14</v>
      </c>
      <c r="H16" s="47">
        <f>攻击!J16</f>
        <v>10.799999999999999</v>
      </c>
      <c r="I16" s="47">
        <f>攻击!K16</f>
        <v>0</v>
      </c>
      <c r="J16" s="47">
        <f>攻击!L16</f>
        <v>0</v>
      </c>
      <c r="K16" s="47">
        <f>攻击!M16</f>
        <v>0</v>
      </c>
      <c r="L16" s="47">
        <f>攻击!N16</f>
        <v>43.199999999999996</v>
      </c>
      <c r="M16" s="47">
        <f>攻击!O16</f>
        <v>54</v>
      </c>
      <c r="N16" s="47">
        <f>攻击!P16</f>
        <v>72</v>
      </c>
      <c r="O16" s="47">
        <f>攻击!Q16</f>
        <v>90</v>
      </c>
      <c r="P16" s="47">
        <f>攻击!R16</f>
        <v>108</v>
      </c>
      <c r="Q16" s="47">
        <f>攻击!S16</f>
        <v>126</v>
      </c>
      <c r="R16" s="47">
        <f>攻击!T16</f>
        <v>0</v>
      </c>
      <c r="S16" s="47">
        <f>攻击!U16</f>
        <v>10.799999999999999</v>
      </c>
      <c r="T16" s="47">
        <f>攻击!V16</f>
        <v>0</v>
      </c>
      <c r="U16" s="47">
        <f>攻击!W16</f>
        <v>1.8</v>
      </c>
      <c r="V16" s="54">
        <f>攻击!X16</f>
        <v>0</v>
      </c>
      <c r="W16" s="54">
        <f>攻击!Y16</f>
        <v>0</v>
      </c>
      <c r="X16" s="54">
        <f>攻击!Z16</f>
        <v>0</v>
      </c>
      <c r="Y16" s="54">
        <f>攻击!AA16</f>
        <v>0</v>
      </c>
      <c r="Z16" s="54">
        <f>攻击!AB16</f>
        <v>0</v>
      </c>
      <c r="AA16" s="47">
        <f>攻击!AL16</f>
        <v>0</v>
      </c>
      <c r="AB16" s="54">
        <f>攻击!AM16</f>
        <v>0</v>
      </c>
      <c r="AC16" s="54">
        <f>攻击!AN16</f>
        <v>0</v>
      </c>
      <c r="AD16" s="54">
        <f>攻击!AO16</f>
        <v>0</v>
      </c>
      <c r="AE16" s="54">
        <f>攻击!AP16</f>
        <v>0</v>
      </c>
      <c r="AF16" s="54">
        <f>攻击!AQ16</f>
        <v>0</v>
      </c>
      <c r="AG16" s="47">
        <f>攻击!AR16</f>
        <v>7.2</v>
      </c>
      <c r="AH16" s="20">
        <f t="shared" si="0"/>
        <v>97.2</v>
      </c>
    </row>
    <row r="17" spans="1:34" s="20" customFormat="1">
      <c r="A17" s="46">
        <v>15</v>
      </c>
      <c r="B17" s="47">
        <f>攻击!D17</f>
        <v>38</v>
      </c>
      <c r="C17" s="47">
        <f>攻击!E17</f>
        <v>45.6</v>
      </c>
      <c r="D17" s="47">
        <f>攻击!F17</f>
        <v>57</v>
      </c>
      <c r="E17" s="47">
        <f>攻击!G17</f>
        <v>76</v>
      </c>
      <c r="F17" s="47">
        <f>攻击!H17</f>
        <v>95</v>
      </c>
      <c r="G17" s="47">
        <f>攻击!I17</f>
        <v>19</v>
      </c>
      <c r="H17" s="47">
        <f>攻击!J17</f>
        <v>11.4</v>
      </c>
      <c r="I17" s="47">
        <f>攻击!K17</f>
        <v>22.8</v>
      </c>
      <c r="J17" s="47">
        <f>攻击!L17</f>
        <v>0</v>
      </c>
      <c r="K17" s="47">
        <f>攻击!M17</f>
        <v>0</v>
      </c>
      <c r="L17" s="47">
        <f>攻击!N17</f>
        <v>45.6</v>
      </c>
      <c r="M17" s="47">
        <f>攻击!O17</f>
        <v>57</v>
      </c>
      <c r="N17" s="47">
        <f>攻击!P17</f>
        <v>76</v>
      </c>
      <c r="O17" s="47">
        <f>攻击!Q17</f>
        <v>95</v>
      </c>
      <c r="P17" s="47">
        <f>攻击!R17</f>
        <v>114</v>
      </c>
      <c r="Q17" s="47">
        <f>攻击!S17</f>
        <v>133</v>
      </c>
      <c r="R17" s="47">
        <f>攻击!T17</f>
        <v>0</v>
      </c>
      <c r="S17" s="47">
        <f>攻击!U17</f>
        <v>11.4</v>
      </c>
      <c r="T17" s="47">
        <f>攻击!V17</f>
        <v>0</v>
      </c>
      <c r="U17" s="47">
        <f>攻击!W17</f>
        <v>1.9000000000000001</v>
      </c>
      <c r="V17" s="54">
        <f>攻击!X17</f>
        <v>0</v>
      </c>
      <c r="W17" s="54">
        <f>攻击!Y17</f>
        <v>0</v>
      </c>
      <c r="X17" s="54">
        <f>攻击!Z17</f>
        <v>0</v>
      </c>
      <c r="Y17" s="54">
        <f>攻击!AA17</f>
        <v>0</v>
      </c>
      <c r="Z17" s="54">
        <f>攻击!AB17</f>
        <v>0</v>
      </c>
      <c r="AA17" s="47">
        <f>攻击!AL17</f>
        <v>0</v>
      </c>
      <c r="AB17" s="54">
        <f>攻击!AM17</f>
        <v>0</v>
      </c>
      <c r="AC17" s="54">
        <f>攻击!AN17</f>
        <v>0</v>
      </c>
      <c r="AD17" s="54">
        <f>攻击!AO17</f>
        <v>0</v>
      </c>
      <c r="AE17" s="54">
        <f>攻击!AP17</f>
        <v>0</v>
      </c>
      <c r="AF17" s="54">
        <f>攻击!AQ17</f>
        <v>0</v>
      </c>
      <c r="AG17" s="47">
        <f>攻击!AR17</f>
        <v>7.6000000000000005</v>
      </c>
      <c r="AH17" s="20">
        <f t="shared" si="0"/>
        <v>102.6</v>
      </c>
    </row>
    <row r="18" spans="1:34" s="20" customFormat="1">
      <c r="A18" s="46">
        <v>16</v>
      </c>
      <c r="B18" s="47">
        <f>攻击!D18</f>
        <v>40</v>
      </c>
      <c r="C18" s="47">
        <f>攻击!E18</f>
        <v>48</v>
      </c>
      <c r="D18" s="47">
        <f>攻击!F18</f>
        <v>60</v>
      </c>
      <c r="E18" s="47">
        <f>攻击!G18</f>
        <v>80</v>
      </c>
      <c r="F18" s="47">
        <f>攻击!H18</f>
        <v>100</v>
      </c>
      <c r="G18" s="47">
        <f>攻击!I18</f>
        <v>19</v>
      </c>
      <c r="H18" s="47">
        <f>攻击!J18</f>
        <v>12</v>
      </c>
      <c r="I18" s="47">
        <f>攻击!K18</f>
        <v>24</v>
      </c>
      <c r="J18" s="47">
        <f>攻击!L18</f>
        <v>0</v>
      </c>
      <c r="K18" s="47">
        <f>攻击!M18</f>
        <v>0</v>
      </c>
      <c r="L18" s="47">
        <f>攻击!N18</f>
        <v>48</v>
      </c>
      <c r="M18" s="47">
        <f>攻击!O18</f>
        <v>60</v>
      </c>
      <c r="N18" s="47">
        <f>攻击!P18</f>
        <v>80</v>
      </c>
      <c r="O18" s="47">
        <f>攻击!Q18</f>
        <v>100</v>
      </c>
      <c r="P18" s="47">
        <f>攻击!R18</f>
        <v>120</v>
      </c>
      <c r="Q18" s="47">
        <f>攻击!S18</f>
        <v>140</v>
      </c>
      <c r="R18" s="47">
        <f>攻击!T18</f>
        <v>0</v>
      </c>
      <c r="S18" s="47">
        <f>攻击!U18</f>
        <v>12</v>
      </c>
      <c r="T18" s="47">
        <f>攻击!V18</f>
        <v>0</v>
      </c>
      <c r="U18" s="47">
        <f>攻击!W18</f>
        <v>2</v>
      </c>
      <c r="V18" s="54">
        <f>攻击!X18</f>
        <v>0</v>
      </c>
      <c r="W18" s="54">
        <f>攻击!Y18</f>
        <v>0</v>
      </c>
      <c r="X18" s="54">
        <f>攻击!Z18</f>
        <v>0</v>
      </c>
      <c r="Y18" s="54">
        <f>攻击!AA18</f>
        <v>0</v>
      </c>
      <c r="Z18" s="54">
        <f>攻击!AB18</f>
        <v>0</v>
      </c>
      <c r="AA18" s="47">
        <f>攻击!AL18</f>
        <v>0</v>
      </c>
      <c r="AB18" s="54">
        <f>攻击!AM18</f>
        <v>0</v>
      </c>
      <c r="AC18" s="54">
        <f>攻击!AN18</f>
        <v>0</v>
      </c>
      <c r="AD18" s="54">
        <f>攻击!AO18</f>
        <v>0</v>
      </c>
      <c r="AE18" s="54">
        <f>攻击!AP18</f>
        <v>0</v>
      </c>
      <c r="AF18" s="54">
        <f>攻击!AQ18</f>
        <v>0</v>
      </c>
      <c r="AG18" s="47">
        <f>攻击!AR18</f>
        <v>8</v>
      </c>
      <c r="AH18" s="20">
        <f t="shared" si="0"/>
        <v>108</v>
      </c>
    </row>
    <row r="19" spans="1:34" s="20" customFormat="1">
      <c r="A19" s="46">
        <v>17</v>
      </c>
      <c r="B19" s="47">
        <f>攻击!D19</f>
        <v>42</v>
      </c>
      <c r="C19" s="47">
        <f>攻击!E19</f>
        <v>50.4</v>
      </c>
      <c r="D19" s="47">
        <f>攻击!F19</f>
        <v>63</v>
      </c>
      <c r="E19" s="47">
        <f>攻击!G19</f>
        <v>84</v>
      </c>
      <c r="F19" s="47">
        <f>攻击!H19</f>
        <v>105</v>
      </c>
      <c r="G19" s="47">
        <f>攻击!I19</f>
        <v>19</v>
      </c>
      <c r="H19" s="47">
        <f>攻击!J19</f>
        <v>12.6</v>
      </c>
      <c r="I19" s="47">
        <f>攻击!K19</f>
        <v>25.2</v>
      </c>
      <c r="J19" s="47">
        <f>攻击!L19</f>
        <v>0</v>
      </c>
      <c r="K19" s="47">
        <f>攻击!M19</f>
        <v>0</v>
      </c>
      <c r="L19" s="47">
        <f>攻击!N19</f>
        <v>50.4</v>
      </c>
      <c r="M19" s="47">
        <f>攻击!O19</f>
        <v>63</v>
      </c>
      <c r="N19" s="47">
        <f>攻击!P19</f>
        <v>84</v>
      </c>
      <c r="O19" s="47">
        <f>攻击!Q19</f>
        <v>105</v>
      </c>
      <c r="P19" s="47">
        <f>攻击!R19</f>
        <v>126</v>
      </c>
      <c r="Q19" s="47">
        <f>攻击!S19</f>
        <v>147</v>
      </c>
      <c r="R19" s="47">
        <f>攻击!T19</f>
        <v>0</v>
      </c>
      <c r="S19" s="47">
        <f>攻击!U19</f>
        <v>12.6</v>
      </c>
      <c r="T19" s="47">
        <f>攻击!V19</f>
        <v>0</v>
      </c>
      <c r="U19" s="47">
        <f>攻击!W19</f>
        <v>2.1</v>
      </c>
      <c r="V19" s="54">
        <f>攻击!X19</f>
        <v>0</v>
      </c>
      <c r="W19" s="54">
        <f>攻击!Y19</f>
        <v>0</v>
      </c>
      <c r="X19" s="54">
        <f>攻击!Z19</f>
        <v>0</v>
      </c>
      <c r="Y19" s="54">
        <f>攻击!AA19</f>
        <v>0</v>
      </c>
      <c r="Z19" s="54">
        <f>攻击!AB19</f>
        <v>0</v>
      </c>
      <c r="AA19" s="47">
        <f>攻击!AL19</f>
        <v>0</v>
      </c>
      <c r="AB19" s="54">
        <f>攻击!AM19</f>
        <v>0</v>
      </c>
      <c r="AC19" s="54">
        <f>攻击!AN19</f>
        <v>0</v>
      </c>
      <c r="AD19" s="54">
        <f>攻击!AO19</f>
        <v>0</v>
      </c>
      <c r="AE19" s="54">
        <f>攻击!AP19</f>
        <v>0</v>
      </c>
      <c r="AF19" s="54">
        <f>攻击!AQ19</f>
        <v>0</v>
      </c>
      <c r="AG19" s="47">
        <f>攻击!AR19</f>
        <v>8.4</v>
      </c>
      <c r="AH19" s="20">
        <f t="shared" si="0"/>
        <v>113.4</v>
      </c>
    </row>
    <row r="20" spans="1:34" s="20" customFormat="1">
      <c r="A20" s="46">
        <v>18</v>
      </c>
      <c r="B20" s="47">
        <f>攻击!D20</f>
        <v>44</v>
      </c>
      <c r="C20" s="47">
        <f>攻击!E20</f>
        <v>52.8</v>
      </c>
      <c r="D20" s="47">
        <f>攻击!F20</f>
        <v>66</v>
      </c>
      <c r="E20" s="47">
        <f>攻击!G20</f>
        <v>88</v>
      </c>
      <c r="F20" s="47">
        <f>攻击!H20</f>
        <v>110</v>
      </c>
      <c r="G20" s="47">
        <f>攻击!I20</f>
        <v>19</v>
      </c>
      <c r="H20" s="47">
        <f>攻击!J20</f>
        <v>13.2</v>
      </c>
      <c r="I20" s="47">
        <f>攻击!K20</f>
        <v>26.4</v>
      </c>
      <c r="J20" s="47">
        <f>攻击!L20</f>
        <v>0</v>
      </c>
      <c r="K20" s="47">
        <f>攻击!M20</f>
        <v>0</v>
      </c>
      <c r="L20" s="47">
        <f>攻击!N20</f>
        <v>52.8</v>
      </c>
      <c r="M20" s="47">
        <f>攻击!O20</f>
        <v>66</v>
      </c>
      <c r="N20" s="47">
        <f>攻击!P20</f>
        <v>88</v>
      </c>
      <c r="O20" s="47">
        <f>攻击!Q20</f>
        <v>110</v>
      </c>
      <c r="P20" s="47">
        <f>攻击!R20</f>
        <v>132</v>
      </c>
      <c r="Q20" s="47">
        <f>攻击!S20</f>
        <v>154</v>
      </c>
      <c r="R20" s="47">
        <f>攻击!T20</f>
        <v>0</v>
      </c>
      <c r="S20" s="47">
        <f>攻击!U20</f>
        <v>13.2</v>
      </c>
      <c r="T20" s="47">
        <f>攻击!V20</f>
        <v>0</v>
      </c>
      <c r="U20" s="47">
        <f>攻击!W20</f>
        <v>2.2000000000000002</v>
      </c>
      <c r="V20" s="54">
        <f>攻击!X20</f>
        <v>0</v>
      </c>
      <c r="W20" s="54">
        <f>攻击!Y20</f>
        <v>0</v>
      </c>
      <c r="X20" s="54">
        <f>攻击!Z20</f>
        <v>0</v>
      </c>
      <c r="Y20" s="54">
        <f>攻击!AA20</f>
        <v>0</v>
      </c>
      <c r="Z20" s="54">
        <f>攻击!AB20</f>
        <v>0</v>
      </c>
      <c r="AA20" s="47">
        <f>攻击!AL20</f>
        <v>0</v>
      </c>
      <c r="AB20" s="54">
        <f>攻击!AM20</f>
        <v>0</v>
      </c>
      <c r="AC20" s="54">
        <f>攻击!AN20</f>
        <v>0</v>
      </c>
      <c r="AD20" s="54">
        <f>攻击!AO20</f>
        <v>0</v>
      </c>
      <c r="AE20" s="54">
        <f>攻击!AP20</f>
        <v>0</v>
      </c>
      <c r="AF20" s="54">
        <f>攻击!AQ20</f>
        <v>0</v>
      </c>
      <c r="AG20" s="47">
        <f>攻击!AR20</f>
        <v>8.8000000000000007</v>
      </c>
      <c r="AH20" s="20">
        <f t="shared" si="0"/>
        <v>118.8</v>
      </c>
    </row>
    <row r="21" spans="1:34" s="20" customFormat="1">
      <c r="A21" s="46">
        <v>19</v>
      </c>
      <c r="B21" s="47">
        <f>攻击!D21</f>
        <v>46</v>
      </c>
      <c r="C21" s="47">
        <f>攻击!E21</f>
        <v>55.199999999999996</v>
      </c>
      <c r="D21" s="47">
        <f>攻击!F21</f>
        <v>69</v>
      </c>
      <c r="E21" s="47">
        <f>攻击!G21</f>
        <v>92</v>
      </c>
      <c r="F21" s="47">
        <f>攻击!H21</f>
        <v>115</v>
      </c>
      <c r="G21" s="47">
        <f>攻击!I21</f>
        <v>19</v>
      </c>
      <c r="H21" s="47">
        <f>攻击!J21</f>
        <v>13.799999999999999</v>
      </c>
      <c r="I21" s="47">
        <f>攻击!K21</f>
        <v>27.599999999999998</v>
      </c>
      <c r="J21" s="47">
        <f>攻击!L21</f>
        <v>0</v>
      </c>
      <c r="K21" s="47">
        <f>攻击!M21</f>
        <v>0</v>
      </c>
      <c r="L21" s="47">
        <f>攻击!N21</f>
        <v>55.199999999999996</v>
      </c>
      <c r="M21" s="47">
        <f>攻击!O21</f>
        <v>69</v>
      </c>
      <c r="N21" s="47">
        <f>攻击!P21</f>
        <v>92</v>
      </c>
      <c r="O21" s="47">
        <f>攻击!Q21</f>
        <v>115</v>
      </c>
      <c r="P21" s="47">
        <f>攻击!R21</f>
        <v>138</v>
      </c>
      <c r="Q21" s="47">
        <f>攻击!S21</f>
        <v>161</v>
      </c>
      <c r="R21" s="47">
        <f>攻击!T21</f>
        <v>0</v>
      </c>
      <c r="S21" s="47">
        <f>攻击!U21</f>
        <v>13.799999999999999</v>
      </c>
      <c r="T21" s="47">
        <f>攻击!V21</f>
        <v>0</v>
      </c>
      <c r="U21" s="47">
        <f>攻击!W21</f>
        <v>2.3000000000000003</v>
      </c>
      <c r="V21" s="54">
        <f>攻击!X21</f>
        <v>0</v>
      </c>
      <c r="W21" s="54">
        <f>攻击!Y21</f>
        <v>0</v>
      </c>
      <c r="X21" s="54">
        <f>攻击!Z21</f>
        <v>0</v>
      </c>
      <c r="Y21" s="54">
        <f>攻击!AA21</f>
        <v>0</v>
      </c>
      <c r="Z21" s="54">
        <f>攻击!AB21</f>
        <v>0</v>
      </c>
      <c r="AA21" s="47">
        <f>攻击!AL21</f>
        <v>0</v>
      </c>
      <c r="AB21" s="54">
        <f>攻击!AM21</f>
        <v>0</v>
      </c>
      <c r="AC21" s="54">
        <f>攻击!AN21</f>
        <v>0</v>
      </c>
      <c r="AD21" s="54">
        <f>攻击!AO21</f>
        <v>0</v>
      </c>
      <c r="AE21" s="54">
        <f>攻击!AP21</f>
        <v>0</v>
      </c>
      <c r="AF21" s="54">
        <f>攻击!AQ21</f>
        <v>0</v>
      </c>
      <c r="AG21" s="47">
        <f>攻击!AR21</f>
        <v>9.2000000000000011</v>
      </c>
      <c r="AH21" s="20">
        <f t="shared" si="0"/>
        <v>124.2</v>
      </c>
    </row>
    <row r="22" spans="1:34" s="20" customFormat="1">
      <c r="A22" s="46">
        <v>20</v>
      </c>
      <c r="B22" s="47">
        <f>攻击!D22</f>
        <v>48</v>
      </c>
      <c r="C22" s="47">
        <f>攻击!E22</f>
        <v>57.599999999999994</v>
      </c>
      <c r="D22" s="47">
        <f>攻击!F22</f>
        <v>72</v>
      </c>
      <c r="E22" s="47">
        <f>攻击!G22</f>
        <v>96</v>
      </c>
      <c r="F22" s="47">
        <f>攻击!H22</f>
        <v>120</v>
      </c>
      <c r="G22" s="47">
        <f>攻击!I22</f>
        <v>24</v>
      </c>
      <c r="H22" s="47">
        <f>攻击!J22</f>
        <v>14.399999999999999</v>
      </c>
      <c r="I22" s="47">
        <f>攻击!K22</f>
        <v>28.799999999999997</v>
      </c>
      <c r="J22" s="47">
        <f>攻击!L22</f>
        <v>0</v>
      </c>
      <c r="K22" s="47">
        <f>攻击!M22</f>
        <v>0</v>
      </c>
      <c r="L22" s="47">
        <f>攻击!N22</f>
        <v>57.599999999999994</v>
      </c>
      <c r="M22" s="47">
        <f>攻击!O22</f>
        <v>72</v>
      </c>
      <c r="N22" s="47">
        <f>攻击!P22</f>
        <v>96</v>
      </c>
      <c r="O22" s="47">
        <f>攻击!Q22</f>
        <v>120</v>
      </c>
      <c r="P22" s="47">
        <f>攻击!R22</f>
        <v>144</v>
      </c>
      <c r="Q22" s="47">
        <f>攻击!S22</f>
        <v>168</v>
      </c>
      <c r="R22" s="47">
        <f>攻击!T22</f>
        <v>0</v>
      </c>
      <c r="S22" s="47">
        <f>攻击!U22</f>
        <v>14.399999999999999</v>
      </c>
      <c r="T22" s="47">
        <f>攻击!V22</f>
        <v>0</v>
      </c>
      <c r="U22" s="47">
        <f>攻击!W22</f>
        <v>2.4000000000000004</v>
      </c>
      <c r="V22" s="54">
        <f>攻击!X22</f>
        <v>0</v>
      </c>
      <c r="W22" s="54">
        <f>攻击!Y22</f>
        <v>0</v>
      </c>
      <c r="X22" s="54">
        <f>攻击!Z22</f>
        <v>0</v>
      </c>
      <c r="Y22" s="54">
        <f>攻击!AA22</f>
        <v>0</v>
      </c>
      <c r="Z22" s="54">
        <f>攻击!AB22</f>
        <v>0</v>
      </c>
      <c r="AA22" s="47">
        <f>攻击!AL22</f>
        <v>0</v>
      </c>
      <c r="AB22" s="54">
        <f>攻击!AM22</f>
        <v>0</v>
      </c>
      <c r="AC22" s="54">
        <f>攻击!AN22</f>
        <v>0</v>
      </c>
      <c r="AD22" s="54">
        <f>攻击!AO22</f>
        <v>0</v>
      </c>
      <c r="AE22" s="54">
        <f>攻击!AP22</f>
        <v>0</v>
      </c>
      <c r="AF22" s="54">
        <f>攻击!AQ22</f>
        <v>0</v>
      </c>
      <c r="AG22" s="47">
        <f>攻击!AR22</f>
        <v>9.6000000000000014</v>
      </c>
      <c r="AH22" s="20">
        <f t="shared" si="0"/>
        <v>129.6</v>
      </c>
    </row>
    <row r="23" spans="1:34" s="20" customFormat="1">
      <c r="A23" s="46">
        <v>21</v>
      </c>
      <c r="B23" s="47">
        <f>攻击!D23</f>
        <v>50</v>
      </c>
      <c r="C23" s="47">
        <f>攻击!E23</f>
        <v>60</v>
      </c>
      <c r="D23" s="47">
        <f>攻击!F23</f>
        <v>75</v>
      </c>
      <c r="E23" s="47">
        <f>攻击!G23</f>
        <v>100</v>
      </c>
      <c r="F23" s="47">
        <f>攻击!H23</f>
        <v>125</v>
      </c>
      <c r="G23" s="47">
        <f>攻击!I23</f>
        <v>24</v>
      </c>
      <c r="H23" s="47">
        <f>攻击!J23</f>
        <v>15</v>
      </c>
      <c r="I23" s="47">
        <f>攻击!K23</f>
        <v>30</v>
      </c>
      <c r="J23" s="47">
        <f>攻击!L23</f>
        <v>0</v>
      </c>
      <c r="K23" s="47">
        <f>攻击!M23</f>
        <v>0</v>
      </c>
      <c r="L23" s="47">
        <f>攻击!N23</f>
        <v>60</v>
      </c>
      <c r="M23" s="47">
        <f>攻击!O23</f>
        <v>75</v>
      </c>
      <c r="N23" s="47">
        <f>攻击!P23</f>
        <v>100</v>
      </c>
      <c r="O23" s="47">
        <f>攻击!Q23</f>
        <v>125</v>
      </c>
      <c r="P23" s="47">
        <f>攻击!R23</f>
        <v>150</v>
      </c>
      <c r="Q23" s="47">
        <f>攻击!S23</f>
        <v>175</v>
      </c>
      <c r="R23" s="47">
        <f>攻击!T23</f>
        <v>0</v>
      </c>
      <c r="S23" s="47">
        <f>攻击!U23</f>
        <v>15</v>
      </c>
      <c r="T23" s="47">
        <f>攻击!V23</f>
        <v>0</v>
      </c>
      <c r="U23" s="47">
        <f>攻击!W23</f>
        <v>2.5</v>
      </c>
      <c r="V23" s="54">
        <f>攻击!X23</f>
        <v>0</v>
      </c>
      <c r="W23" s="54">
        <f>攻击!Y23</f>
        <v>0</v>
      </c>
      <c r="X23" s="54">
        <f>攻击!Z23</f>
        <v>0</v>
      </c>
      <c r="Y23" s="54">
        <f>攻击!AA23</f>
        <v>0</v>
      </c>
      <c r="Z23" s="54">
        <f>攻击!AB23</f>
        <v>0</v>
      </c>
      <c r="AA23" s="47">
        <f>攻击!AL23</f>
        <v>0</v>
      </c>
      <c r="AB23" s="54">
        <f>攻击!AM23</f>
        <v>0</v>
      </c>
      <c r="AC23" s="54">
        <f>攻击!AN23</f>
        <v>0</v>
      </c>
      <c r="AD23" s="54">
        <f>攻击!AO23</f>
        <v>0</v>
      </c>
      <c r="AE23" s="54">
        <f>攻击!AP23</f>
        <v>0</v>
      </c>
      <c r="AF23" s="54">
        <f>攻击!AQ23</f>
        <v>0</v>
      </c>
      <c r="AG23" s="47">
        <f>攻击!AR23</f>
        <v>10</v>
      </c>
      <c r="AH23" s="20">
        <f t="shared" si="0"/>
        <v>135</v>
      </c>
    </row>
    <row r="24" spans="1:34" s="20" customFormat="1">
      <c r="A24" s="46">
        <v>22</v>
      </c>
      <c r="B24" s="47">
        <f>攻击!D24</f>
        <v>52</v>
      </c>
      <c r="C24" s="47">
        <f>攻击!E24</f>
        <v>62.4</v>
      </c>
      <c r="D24" s="47">
        <f>攻击!F24</f>
        <v>78</v>
      </c>
      <c r="E24" s="47">
        <f>攻击!G24</f>
        <v>104</v>
      </c>
      <c r="F24" s="47">
        <f>攻击!H24</f>
        <v>130</v>
      </c>
      <c r="G24" s="47">
        <f>攻击!I24</f>
        <v>24</v>
      </c>
      <c r="H24" s="47">
        <f>攻击!J24</f>
        <v>15.6</v>
      </c>
      <c r="I24" s="47">
        <f>攻击!K24</f>
        <v>31.2</v>
      </c>
      <c r="J24" s="47">
        <f>攻击!L24</f>
        <v>0</v>
      </c>
      <c r="K24" s="47">
        <f>攻击!M24</f>
        <v>0</v>
      </c>
      <c r="L24" s="47">
        <f>攻击!N24</f>
        <v>62.4</v>
      </c>
      <c r="M24" s="47">
        <f>攻击!O24</f>
        <v>78</v>
      </c>
      <c r="N24" s="47">
        <f>攻击!P24</f>
        <v>104</v>
      </c>
      <c r="O24" s="47">
        <f>攻击!Q24</f>
        <v>130</v>
      </c>
      <c r="P24" s="47">
        <f>攻击!R24</f>
        <v>156</v>
      </c>
      <c r="Q24" s="47">
        <f>攻击!S24</f>
        <v>182</v>
      </c>
      <c r="R24" s="47">
        <f>攻击!T24</f>
        <v>0</v>
      </c>
      <c r="S24" s="47">
        <f>攻击!U24</f>
        <v>15.6</v>
      </c>
      <c r="T24" s="47">
        <f>攻击!V24</f>
        <v>0</v>
      </c>
      <c r="U24" s="47">
        <f>攻击!W24</f>
        <v>2.6</v>
      </c>
      <c r="V24" s="54">
        <f>攻击!X24</f>
        <v>0</v>
      </c>
      <c r="W24" s="54">
        <f>攻击!Y24</f>
        <v>0</v>
      </c>
      <c r="X24" s="54">
        <f>攻击!Z24</f>
        <v>0</v>
      </c>
      <c r="Y24" s="54">
        <f>攻击!AA24</f>
        <v>0</v>
      </c>
      <c r="Z24" s="54">
        <f>攻击!AB24</f>
        <v>0</v>
      </c>
      <c r="AA24" s="47">
        <f>攻击!AL24</f>
        <v>0</v>
      </c>
      <c r="AB24" s="54">
        <f>攻击!AM24</f>
        <v>0</v>
      </c>
      <c r="AC24" s="54">
        <f>攻击!AN24</f>
        <v>0</v>
      </c>
      <c r="AD24" s="54">
        <f>攻击!AO24</f>
        <v>0</v>
      </c>
      <c r="AE24" s="54">
        <f>攻击!AP24</f>
        <v>0</v>
      </c>
      <c r="AF24" s="54">
        <f>攻击!AQ24</f>
        <v>0</v>
      </c>
      <c r="AG24" s="47">
        <f>攻击!AR24</f>
        <v>10.4</v>
      </c>
      <c r="AH24" s="20">
        <f t="shared" si="0"/>
        <v>140.4</v>
      </c>
    </row>
    <row r="25" spans="1:34" s="20" customFormat="1">
      <c r="A25" s="46">
        <v>23</v>
      </c>
      <c r="B25" s="47">
        <f>攻击!D25</f>
        <v>54</v>
      </c>
      <c r="C25" s="47">
        <f>攻击!E25</f>
        <v>64.8</v>
      </c>
      <c r="D25" s="47">
        <f>攻击!F25</f>
        <v>81</v>
      </c>
      <c r="E25" s="47">
        <f>攻击!G25</f>
        <v>108</v>
      </c>
      <c r="F25" s="47">
        <f>攻击!H25</f>
        <v>135</v>
      </c>
      <c r="G25" s="47">
        <f>攻击!I25</f>
        <v>24</v>
      </c>
      <c r="H25" s="47">
        <f>攻击!J25</f>
        <v>16.2</v>
      </c>
      <c r="I25" s="47">
        <f>攻击!K25</f>
        <v>32.4</v>
      </c>
      <c r="J25" s="47">
        <f>攻击!L25</f>
        <v>0</v>
      </c>
      <c r="K25" s="47">
        <f>攻击!M25</f>
        <v>0</v>
      </c>
      <c r="L25" s="47">
        <f>攻击!N25</f>
        <v>64.8</v>
      </c>
      <c r="M25" s="47">
        <f>攻击!O25</f>
        <v>81</v>
      </c>
      <c r="N25" s="47">
        <f>攻击!P25</f>
        <v>108</v>
      </c>
      <c r="O25" s="47">
        <f>攻击!Q25</f>
        <v>135</v>
      </c>
      <c r="P25" s="47">
        <f>攻击!R25</f>
        <v>162</v>
      </c>
      <c r="Q25" s="47">
        <f>攻击!S25</f>
        <v>189</v>
      </c>
      <c r="R25" s="47">
        <f>攻击!T25</f>
        <v>0</v>
      </c>
      <c r="S25" s="47">
        <f>攻击!U25</f>
        <v>16.2</v>
      </c>
      <c r="T25" s="47">
        <f>攻击!V25</f>
        <v>0</v>
      </c>
      <c r="U25" s="47">
        <f>攻击!W25</f>
        <v>2.7</v>
      </c>
      <c r="V25" s="54">
        <f>攻击!X25</f>
        <v>0</v>
      </c>
      <c r="W25" s="54">
        <f>攻击!Y25</f>
        <v>0</v>
      </c>
      <c r="X25" s="54">
        <f>攻击!Z25</f>
        <v>0</v>
      </c>
      <c r="Y25" s="54">
        <f>攻击!AA25</f>
        <v>0</v>
      </c>
      <c r="Z25" s="54">
        <f>攻击!AB25</f>
        <v>0</v>
      </c>
      <c r="AA25" s="47">
        <f>攻击!AL25</f>
        <v>0</v>
      </c>
      <c r="AB25" s="54">
        <f>攻击!AM25</f>
        <v>0</v>
      </c>
      <c r="AC25" s="54">
        <f>攻击!AN25</f>
        <v>0</v>
      </c>
      <c r="AD25" s="54">
        <f>攻击!AO25</f>
        <v>0</v>
      </c>
      <c r="AE25" s="54">
        <f>攻击!AP25</f>
        <v>0</v>
      </c>
      <c r="AF25" s="54">
        <f>攻击!AQ25</f>
        <v>0</v>
      </c>
      <c r="AG25" s="47">
        <f>攻击!AR25</f>
        <v>10.8</v>
      </c>
      <c r="AH25" s="20">
        <f t="shared" si="0"/>
        <v>145.80000000000001</v>
      </c>
    </row>
    <row r="26" spans="1:34" s="20" customFormat="1">
      <c r="A26" s="46">
        <v>24</v>
      </c>
      <c r="B26" s="47">
        <f>攻击!D26</f>
        <v>56</v>
      </c>
      <c r="C26" s="47">
        <f>攻击!E26</f>
        <v>67.2</v>
      </c>
      <c r="D26" s="47">
        <f>攻击!F26</f>
        <v>84</v>
      </c>
      <c r="E26" s="47">
        <f>攻击!G26</f>
        <v>112</v>
      </c>
      <c r="F26" s="47">
        <f>攻击!H26</f>
        <v>140</v>
      </c>
      <c r="G26" s="47">
        <f>攻击!I26</f>
        <v>24</v>
      </c>
      <c r="H26" s="47">
        <f>攻击!J26</f>
        <v>16.8</v>
      </c>
      <c r="I26" s="47">
        <f>攻击!K26</f>
        <v>33.6</v>
      </c>
      <c r="J26" s="47">
        <f>攻击!L26</f>
        <v>0</v>
      </c>
      <c r="K26" s="47">
        <f>攻击!M26</f>
        <v>0</v>
      </c>
      <c r="L26" s="47">
        <f>攻击!N26</f>
        <v>67.2</v>
      </c>
      <c r="M26" s="47">
        <f>攻击!O26</f>
        <v>84</v>
      </c>
      <c r="N26" s="47">
        <f>攻击!P26</f>
        <v>112</v>
      </c>
      <c r="O26" s="47">
        <f>攻击!Q26</f>
        <v>140</v>
      </c>
      <c r="P26" s="47">
        <f>攻击!R26</f>
        <v>168</v>
      </c>
      <c r="Q26" s="47">
        <f>攻击!S26</f>
        <v>196</v>
      </c>
      <c r="R26" s="47">
        <f>攻击!T26</f>
        <v>0</v>
      </c>
      <c r="S26" s="47">
        <f>攻击!U26</f>
        <v>16.8</v>
      </c>
      <c r="T26" s="47">
        <f>攻击!V26</f>
        <v>0</v>
      </c>
      <c r="U26" s="47">
        <f>攻击!W26</f>
        <v>2.8000000000000003</v>
      </c>
      <c r="V26" s="54">
        <f>攻击!X26</f>
        <v>0</v>
      </c>
      <c r="W26" s="54">
        <f>攻击!Y26</f>
        <v>0</v>
      </c>
      <c r="X26" s="54">
        <f>攻击!Z26</f>
        <v>0</v>
      </c>
      <c r="Y26" s="54">
        <f>攻击!AA26</f>
        <v>0</v>
      </c>
      <c r="Z26" s="54">
        <f>攻击!AB26</f>
        <v>0</v>
      </c>
      <c r="AA26" s="47">
        <f>攻击!AL26</f>
        <v>0</v>
      </c>
      <c r="AB26" s="54">
        <f>攻击!AM26</f>
        <v>0</v>
      </c>
      <c r="AC26" s="54">
        <f>攻击!AN26</f>
        <v>0</v>
      </c>
      <c r="AD26" s="54">
        <f>攻击!AO26</f>
        <v>0</v>
      </c>
      <c r="AE26" s="54">
        <f>攻击!AP26</f>
        <v>0</v>
      </c>
      <c r="AF26" s="54">
        <f>攻击!AQ26</f>
        <v>0</v>
      </c>
      <c r="AG26" s="47">
        <f>攻击!AR26</f>
        <v>11.200000000000001</v>
      </c>
      <c r="AH26" s="20">
        <f t="shared" si="0"/>
        <v>151.19999999999999</v>
      </c>
    </row>
    <row r="27" spans="1:34" s="20" customFormat="1">
      <c r="A27" s="46">
        <v>25</v>
      </c>
      <c r="B27" s="47">
        <f>攻击!D27</f>
        <v>58</v>
      </c>
      <c r="C27" s="47">
        <f>攻击!E27</f>
        <v>69.599999999999994</v>
      </c>
      <c r="D27" s="47">
        <f>攻击!F27</f>
        <v>87</v>
      </c>
      <c r="E27" s="47">
        <f>攻击!G27</f>
        <v>116</v>
      </c>
      <c r="F27" s="47">
        <f>攻击!H27</f>
        <v>145</v>
      </c>
      <c r="G27" s="47">
        <f>攻击!I27</f>
        <v>29</v>
      </c>
      <c r="H27" s="47">
        <f>攻击!J27</f>
        <v>17.399999999999999</v>
      </c>
      <c r="I27" s="47">
        <f>攻击!K27</f>
        <v>34.799999999999997</v>
      </c>
      <c r="J27" s="47">
        <f>攻击!L27</f>
        <v>0</v>
      </c>
      <c r="K27" s="47">
        <f>攻击!M27</f>
        <v>0</v>
      </c>
      <c r="L27" s="47">
        <f>攻击!N27</f>
        <v>69.599999999999994</v>
      </c>
      <c r="M27" s="47">
        <f>攻击!O27</f>
        <v>87</v>
      </c>
      <c r="N27" s="47">
        <f>攻击!P27</f>
        <v>116</v>
      </c>
      <c r="O27" s="47">
        <f>攻击!Q27</f>
        <v>145</v>
      </c>
      <c r="P27" s="47">
        <f>攻击!R27</f>
        <v>174</v>
      </c>
      <c r="Q27" s="47">
        <f>攻击!S27</f>
        <v>203</v>
      </c>
      <c r="R27" s="47">
        <f>攻击!T27</f>
        <v>0</v>
      </c>
      <c r="S27" s="47">
        <f>攻击!U27</f>
        <v>17.399999999999999</v>
      </c>
      <c r="T27" s="47">
        <f>攻击!V27</f>
        <v>0</v>
      </c>
      <c r="U27" s="47">
        <f>攻击!W27</f>
        <v>2.9000000000000004</v>
      </c>
      <c r="V27" s="54">
        <f>攻击!X27</f>
        <v>0</v>
      </c>
      <c r="W27" s="54">
        <f>攻击!Y27</f>
        <v>0</v>
      </c>
      <c r="X27" s="54">
        <f>攻击!Z27</f>
        <v>0</v>
      </c>
      <c r="Y27" s="54">
        <f>攻击!AA27</f>
        <v>0</v>
      </c>
      <c r="Z27" s="54">
        <f>攻击!AB27</f>
        <v>0</v>
      </c>
      <c r="AA27" s="47">
        <f>攻击!AL27</f>
        <v>0</v>
      </c>
      <c r="AB27" s="54">
        <f>攻击!AM27</f>
        <v>0</v>
      </c>
      <c r="AC27" s="54">
        <f>攻击!AN27</f>
        <v>0</v>
      </c>
      <c r="AD27" s="54">
        <f>攻击!AO27</f>
        <v>0</v>
      </c>
      <c r="AE27" s="54">
        <f>攻击!AP27</f>
        <v>0</v>
      </c>
      <c r="AF27" s="54">
        <f>攻击!AQ27</f>
        <v>0</v>
      </c>
      <c r="AG27" s="47">
        <f>攻击!AR27</f>
        <v>11.600000000000001</v>
      </c>
      <c r="AH27" s="20">
        <f t="shared" si="0"/>
        <v>156.6</v>
      </c>
    </row>
    <row r="28" spans="1:34" s="20" customFormat="1">
      <c r="A28" s="46">
        <v>26</v>
      </c>
      <c r="B28" s="47">
        <f>攻击!D28</f>
        <v>60</v>
      </c>
      <c r="C28" s="47">
        <f>攻击!E28</f>
        <v>72</v>
      </c>
      <c r="D28" s="47">
        <f>攻击!F28</f>
        <v>90</v>
      </c>
      <c r="E28" s="47">
        <f>攻击!G28</f>
        <v>120</v>
      </c>
      <c r="F28" s="47">
        <f>攻击!H28</f>
        <v>150</v>
      </c>
      <c r="G28" s="47">
        <f>攻击!I28</f>
        <v>29</v>
      </c>
      <c r="H28" s="47">
        <f>攻击!J28</f>
        <v>18</v>
      </c>
      <c r="I28" s="47">
        <f>攻击!K28</f>
        <v>36</v>
      </c>
      <c r="J28" s="47">
        <f>攻击!L28</f>
        <v>0</v>
      </c>
      <c r="K28" s="47">
        <f>攻击!M28</f>
        <v>0</v>
      </c>
      <c r="L28" s="47">
        <f>攻击!N28</f>
        <v>72</v>
      </c>
      <c r="M28" s="47">
        <f>攻击!O28</f>
        <v>90</v>
      </c>
      <c r="N28" s="47">
        <f>攻击!P28</f>
        <v>120</v>
      </c>
      <c r="O28" s="47">
        <f>攻击!Q28</f>
        <v>150</v>
      </c>
      <c r="P28" s="47">
        <f>攻击!R28</f>
        <v>180</v>
      </c>
      <c r="Q28" s="47">
        <f>攻击!S28</f>
        <v>210</v>
      </c>
      <c r="R28" s="47">
        <f>攻击!T28</f>
        <v>0</v>
      </c>
      <c r="S28" s="47">
        <f>攻击!U28</f>
        <v>18</v>
      </c>
      <c r="T28" s="47">
        <f>攻击!V28</f>
        <v>0</v>
      </c>
      <c r="U28" s="47">
        <f>攻击!W28</f>
        <v>3</v>
      </c>
      <c r="V28" s="54">
        <f>攻击!X28</f>
        <v>0</v>
      </c>
      <c r="W28" s="54">
        <f>攻击!Y28</f>
        <v>0</v>
      </c>
      <c r="X28" s="54">
        <f>攻击!Z28</f>
        <v>0</v>
      </c>
      <c r="Y28" s="54">
        <f>攻击!AA28</f>
        <v>0</v>
      </c>
      <c r="Z28" s="54">
        <f>攻击!AB28</f>
        <v>0</v>
      </c>
      <c r="AA28" s="47">
        <f>攻击!AL28</f>
        <v>0</v>
      </c>
      <c r="AB28" s="54">
        <f>攻击!AM28</f>
        <v>0</v>
      </c>
      <c r="AC28" s="54">
        <f>攻击!AN28</f>
        <v>0</v>
      </c>
      <c r="AD28" s="54">
        <f>攻击!AO28</f>
        <v>0</v>
      </c>
      <c r="AE28" s="54">
        <f>攻击!AP28</f>
        <v>0</v>
      </c>
      <c r="AF28" s="54">
        <f>攻击!AQ28</f>
        <v>0</v>
      </c>
      <c r="AG28" s="47">
        <f>攻击!AR28</f>
        <v>12</v>
      </c>
      <c r="AH28" s="20">
        <f t="shared" si="0"/>
        <v>162</v>
      </c>
    </row>
    <row r="29" spans="1:34" s="20" customFormat="1">
      <c r="A29" s="46">
        <v>27</v>
      </c>
      <c r="B29" s="47">
        <f>攻击!D29</f>
        <v>62</v>
      </c>
      <c r="C29" s="47">
        <f>攻击!E29</f>
        <v>74.399999999999991</v>
      </c>
      <c r="D29" s="47">
        <f>攻击!F29</f>
        <v>93</v>
      </c>
      <c r="E29" s="47">
        <f>攻击!G29</f>
        <v>124</v>
      </c>
      <c r="F29" s="47">
        <f>攻击!H29</f>
        <v>155</v>
      </c>
      <c r="G29" s="47">
        <f>攻击!I29</f>
        <v>29</v>
      </c>
      <c r="H29" s="47">
        <f>攻击!J29</f>
        <v>18.599999999999998</v>
      </c>
      <c r="I29" s="47">
        <f>攻击!K29</f>
        <v>37.199999999999996</v>
      </c>
      <c r="J29" s="47">
        <f>攻击!L29</f>
        <v>0</v>
      </c>
      <c r="K29" s="47">
        <f>攻击!M29</f>
        <v>0</v>
      </c>
      <c r="L29" s="47">
        <f>攻击!N29</f>
        <v>74.399999999999991</v>
      </c>
      <c r="M29" s="47">
        <f>攻击!O29</f>
        <v>93</v>
      </c>
      <c r="N29" s="47">
        <f>攻击!P29</f>
        <v>124</v>
      </c>
      <c r="O29" s="47">
        <f>攻击!Q29</f>
        <v>155</v>
      </c>
      <c r="P29" s="47">
        <f>攻击!R29</f>
        <v>186</v>
      </c>
      <c r="Q29" s="47">
        <f>攻击!S29</f>
        <v>217</v>
      </c>
      <c r="R29" s="47">
        <f>攻击!T29</f>
        <v>0</v>
      </c>
      <c r="S29" s="47">
        <f>攻击!U29</f>
        <v>18.599999999999998</v>
      </c>
      <c r="T29" s="47">
        <f>攻击!V29</f>
        <v>0</v>
      </c>
      <c r="U29" s="47">
        <f>攻击!W29</f>
        <v>3.1</v>
      </c>
      <c r="V29" s="54">
        <f>攻击!X29</f>
        <v>0</v>
      </c>
      <c r="W29" s="54">
        <f>攻击!Y29</f>
        <v>0</v>
      </c>
      <c r="X29" s="54">
        <f>攻击!Z29</f>
        <v>0</v>
      </c>
      <c r="Y29" s="54">
        <f>攻击!AA29</f>
        <v>0</v>
      </c>
      <c r="Z29" s="54">
        <f>攻击!AB29</f>
        <v>0</v>
      </c>
      <c r="AA29" s="47">
        <f>攻击!AL29</f>
        <v>0</v>
      </c>
      <c r="AB29" s="54">
        <f>攻击!AM29</f>
        <v>0</v>
      </c>
      <c r="AC29" s="54">
        <f>攻击!AN29</f>
        <v>0</v>
      </c>
      <c r="AD29" s="54">
        <f>攻击!AO29</f>
        <v>0</v>
      </c>
      <c r="AE29" s="54">
        <f>攻击!AP29</f>
        <v>0</v>
      </c>
      <c r="AF29" s="54">
        <f>攻击!AQ29</f>
        <v>0</v>
      </c>
      <c r="AG29" s="47">
        <f>攻击!AR29</f>
        <v>12.4</v>
      </c>
      <c r="AH29" s="20">
        <f t="shared" si="0"/>
        <v>167.4</v>
      </c>
    </row>
    <row r="30" spans="1:34" s="20" customFormat="1">
      <c r="A30" s="46">
        <v>28</v>
      </c>
      <c r="B30" s="47">
        <f>攻击!D30</f>
        <v>64</v>
      </c>
      <c r="C30" s="47">
        <f>攻击!E30</f>
        <v>76.8</v>
      </c>
      <c r="D30" s="47">
        <f>攻击!F30</f>
        <v>96</v>
      </c>
      <c r="E30" s="47">
        <f>攻击!G30</f>
        <v>128</v>
      </c>
      <c r="F30" s="47">
        <f>攻击!H30</f>
        <v>160</v>
      </c>
      <c r="G30" s="47">
        <f>攻击!I30</f>
        <v>29</v>
      </c>
      <c r="H30" s="47">
        <f>攻击!J30</f>
        <v>19.2</v>
      </c>
      <c r="I30" s="47">
        <f>攻击!K30</f>
        <v>38.4</v>
      </c>
      <c r="J30" s="47">
        <f>攻击!L30</f>
        <v>0</v>
      </c>
      <c r="K30" s="47">
        <f>攻击!M30</f>
        <v>0</v>
      </c>
      <c r="L30" s="47">
        <f>攻击!N30</f>
        <v>76.8</v>
      </c>
      <c r="M30" s="47">
        <f>攻击!O30</f>
        <v>96</v>
      </c>
      <c r="N30" s="47">
        <f>攻击!P30</f>
        <v>128</v>
      </c>
      <c r="O30" s="47">
        <f>攻击!Q30</f>
        <v>160</v>
      </c>
      <c r="P30" s="47">
        <f>攻击!R30</f>
        <v>192</v>
      </c>
      <c r="Q30" s="47">
        <f>攻击!S30</f>
        <v>224</v>
      </c>
      <c r="R30" s="47">
        <f>攻击!T30</f>
        <v>0</v>
      </c>
      <c r="S30" s="47">
        <f>攻击!U30</f>
        <v>19.2</v>
      </c>
      <c r="T30" s="47">
        <f>攻击!V30</f>
        <v>0</v>
      </c>
      <c r="U30" s="47">
        <f>攻击!W30</f>
        <v>3.2</v>
      </c>
      <c r="V30" s="54">
        <f>攻击!X30</f>
        <v>0</v>
      </c>
      <c r="W30" s="54">
        <f>攻击!Y30</f>
        <v>0</v>
      </c>
      <c r="X30" s="54">
        <f>攻击!Z30</f>
        <v>0</v>
      </c>
      <c r="Y30" s="54">
        <f>攻击!AA30</f>
        <v>0</v>
      </c>
      <c r="Z30" s="54">
        <f>攻击!AB30</f>
        <v>0</v>
      </c>
      <c r="AA30" s="47">
        <f>攻击!AL30</f>
        <v>0</v>
      </c>
      <c r="AB30" s="54">
        <f>攻击!AM30</f>
        <v>0</v>
      </c>
      <c r="AC30" s="54">
        <f>攻击!AN30</f>
        <v>0</v>
      </c>
      <c r="AD30" s="54">
        <f>攻击!AO30</f>
        <v>0</v>
      </c>
      <c r="AE30" s="54">
        <f>攻击!AP30</f>
        <v>0</v>
      </c>
      <c r="AF30" s="54">
        <f>攻击!AQ30</f>
        <v>0</v>
      </c>
      <c r="AG30" s="47">
        <f>攻击!AR30</f>
        <v>12.8</v>
      </c>
      <c r="AH30" s="20">
        <f t="shared" si="0"/>
        <v>172.8</v>
      </c>
    </row>
    <row r="31" spans="1:34" s="20" customFormat="1">
      <c r="A31" s="46">
        <v>29</v>
      </c>
      <c r="B31" s="47">
        <f>攻击!D31</f>
        <v>66</v>
      </c>
      <c r="C31" s="47">
        <f>攻击!E31</f>
        <v>79.2</v>
      </c>
      <c r="D31" s="47">
        <f>攻击!F31</f>
        <v>99</v>
      </c>
      <c r="E31" s="47">
        <f>攻击!G31</f>
        <v>132</v>
      </c>
      <c r="F31" s="47">
        <f>攻击!H31</f>
        <v>165</v>
      </c>
      <c r="G31" s="47">
        <f>攻击!I31</f>
        <v>29</v>
      </c>
      <c r="H31" s="47">
        <f>攻击!J31</f>
        <v>19.8</v>
      </c>
      <c r="I31" s="47">
        <f>攻击!K31</f>
        <v>39.6</v>
      </c>
      <c r="J31" s="47">
        <f>攻击!L31</f>
        <v>0</v>
      </c>
      <c r="K31" s="47">
        <f>攻击!M31</f>
        <v>0</v>
      </c>
      <c r="L31" s="47">
        <f>攻击!N31</f>
        <v>79.2</v>
      </c>
      <c r="M31" s="47">
        <f>攻击!O31</f>
        <v>99</v>
      </c>
      <c r="N31" s="47">
        <f>攻击!P31</f>
        <v>132</v>
      </c>
      <c r="O31" s="47">
        <f>攻击!Q31</f>
        <v>165</v>
      </c>
      <c r="P31" s="47">
        <f>攻击!R31</f>
        <v>198</v>
      </c>
      <c r="Q31" s="47">
        <f>攻击!S31</f>
        <v>231</v>
      </c>
      <c r="R31" s="47">
        <f>攻击!T31</f>
        <v>0</v>
      </c>
      <c r="S31" s="47">
        <f>攻击!U31</f>
        <v>19.8</v>
      </c>
      <c r="T31" s="47">
        <f>攻击!V31</f>
        <v>0</v>
      </c>
      <c r="U31" s="47">
        <f>攻击!W31</f>
        <v>3.3000000000000003</v>
      </c>
      <c r="V31" s="54">
        <f>攻击!X31</f>
        <v>0</v>
      </c>
      <c r="W31" s="54">
        <f>攻击!Y31</f>
        <v>0</v>
      </c>
      <c r="X31" s="54">
        <f>攻击!Z31</f>
        <v>0</v>
      </c>
      <c r="Y31" s="54">
        <f>攻击!AA31</f>
        <v>0</v>
      </c>
      <c r="Z31" s="54">
        <f>攻击!AB31</f>
        <v>0</v>
      </c>
      <c r="AA31" s="47">
        <f>攻击!AL31</f>
        <v>0</v>
      </c>
      <c r="AB31" s="54">
        <f>攻击!AM31</f>
        <v>0</v>
      </c>
      <c r="AC31" s="54">
        <f>攻击!AN31</f>
        <v>0</v>
      </c>
      <c r="AD31" s="54">
        <f>攻击!AO31</f>
        <v>0</v>
      </c>
      <c r="AE31" s="54">
        <f>攻击!AP31</f>
        <v>0</v>
      </c>
      <c r="AF31" s="54">
        <f>攻击!AQ31</f>
        <v>0</v>
      </c>
      <c r="AG31" s="47">
        <f>攻击!AR31</f>
        <v>13.200000000000001</v>
      </c>
      <c r="AH31" s="20">
        <f t="shared" si="0"/>
        <v>178.2</v>
      </c>
    </row>
    <row r="32" spans="1:34" s="20" customFormat="1">
      <c r="A32" s="46">
        <v>30</v>
      </c>
      <c r="B32" s="47">
        <f>攻击!D32</f>
        <v>68</v>
      </c>
      <c r="C32" s="47">
        <f>攻击!E32</f>
        <v>81.599999999999994</v>
      </c>
      <c r="D32" s="47">
        <f>攻击!F32</f>
        <v>102</v>
      </c>
      <c r="E32" s="47">
        <f>攻击!G32</f>
        <v>136</v>
      </c>
      <c r="F32" s="47">
        <f>攻击!H32</f>
        <v>170</v>
      </c>
      <c r="G32" s="47">
        <f>攻击!I32</f>
        <v>34</v>
      </c>
      <c r="H32" s="47">
        <f>攻击!J32</f>
        <v>20.399999999999999</v>
      </c>
      <c r="I32" s="47">
        <f>攻击!K32</f>
        <v>40.799999999999997</v>
      </c>
      <c r="J32" s="47">
        <f>攻击!L32</f>
        <v>0</v>
      </c>
      <c r="K32" s="47">
        <f>攻击!M32</f>
        <v>0</v>
      </c>
      <c r="L32" s="47">
        <f>攻击!N32</f>
        <v>81.599999999999994</v>
      </c>
      <c r="M32" s="47">
        <f>攻击!O32</f>
        <v>102</v>
      </c>
      <c r="N32" s="47">
        <f>攻击!P32</f>
        <v>136</v>
      </c>
      <c r="O32" s="47">
        <f>攻击!Q32</f>
        <v>170</v>
      </c>
      <c r="P32" s="47">
        <f>攻击!R32</f>
        <v>204</v>
      </c>
      <c r="Q32" s="47">
        <f>攻击!S32</f>
        <v>238</v>
      </c>
      <c r="R32" s="47">
        <f>攻击!T32</f>
        <v>51</v>
      </c>
      <c r="S32" s="47">
        <f>攻击!U32</f>
        <v>20.399999999999999</v>
      </c>
      <c r="T32" s="47">
        <f>攻击!V32</f>
        <v>20.399999999999999</v>
      </c>
      <c r="U32" s="47">
        <f>攻击!W32</f>
        <v>3.4000000000000004</v>
      </c>
      <c r="V32" s="54">
        <f>攻击!X32</f>
        <v>0</v>
      </c>
      <c r="W32" s="54">
        <f>攻击!Y32</f>
        <v>0</v>
      </c>
      <c r="X32" s="54">
        <f>攻击!Z32</f>
        <v>0</v>
      </c>
      <c r="Y32" s="54">
        <f>攻击!AA32</f>
        <v>0</v>
      </c>
      <c r="Z32" s="54">
        <f>攻击!AB32</f>
        <v>0</v>
      </c>
      <c r="AA32" s="47">
        <f>攻击!AL32</f>
        <v>0</v>
      </c>
      <c r="AB32" s="54">
        <f>攻击!AM32</f>
        <v>0</v>
      </c>
      <c r="AC32" s="54">
        <f>攻击!AN32</f>
        <v>0</v>
      </c>
      <c r="AD32" s="54">
        <f>攻击!AO32</f>
        <v>0</v>
      </c>
      <c r="AE32" s="54">
        <f>攻击!AP32</f>
        <v>0</v>
      </c>
      <c r="AF32" s="54">
        <f>攻击!AQ32</f>
        <v>0</v>
      </c>
      <c r="AG32" s="47">
        <f>攻击!AR32</f>
        <v>13.600000000000001</v>
      </c>
      <c r="AH32" s="20">
        <f t="shared" si="0"/>
        <v>183.6</v>
      </c>
    </row>
    <row r="33" spans="1:34" s="20" customFormat="1">
      <c r="A33" s="46">
        <v>31</v>
      </c>
      <c r="B33" s="47">
        <f>攻击!D33</f>
        <v>70</v>
      </c>
      <c r="C33" s="47">
        <f>攻击!E33</f>
        <v>84</v>
      </c>
      <c r="D33" s="47">
        <f>攻击!F33</f>
        <v>105</v>
      </c>
      <c r="E33" s="47">
        <f>攻击!G33</f>
        <v>140</v>
      </c>
      <c r="F33" s="47">
        <f>攻击!H33</f>
        <v>175</v>
      </c>
      <c r="G33" s="47">
        <f>攻击!I33</f>
        <v>34</v>
      </c>
      <c r="H33" s="47">
        <f>攻击!J33</f>
        <v>21</v>
      </c>
      <c r="I33" s="47">
        <f>攻击!K33</f>
        <v>42</v>
      </c>
      <c r="J33" s="47">
        <f>攻击!L33</f>
        <v>0</v>
      </c>
      <c r="K33" s="47">
        <f>攻击!M33</f>
        <v>0</v>
      </c>
      <c r="L33" s="47">
        <f>攻击!N33</f>
        <v>84</v>
      </c>
      <c r="M33" s="47">
        <f>攻击!O33</f>
        <v>105</v>
      </c>
      <c r="N33" s="47">
        <f>攻击!P33</f>
        <v>140</v>
      </c>
      <c r="O33" s="47">
        <f>攻击!Q33</f>
        <v>175</v>
      </c>
      <c r="P33" s="47">
        <f>攻击!R33</f>
        <v>210</v>
      </c>
      <c r="Q33" s="47">
        <f>攻击!S33</f>
        <v>245</v>
      </c>
      <c r="R33" s="47">
        <f>攻击!T33</f>
        <v>52.5</v>
      </c>
      <c r="S33" s="47">
        <f>攻击!U33</f>
        <v>21</v>
      </c>
      <c r="T33" s="47">
        <f>攻击!V33</f>
        <v>21</v>
      </c>
      <c r="U33" s="47">
        <f>攻击!W33</f>
        <v>3.5</v>
      </c>
      <c r="V33" s="54">
        <f>攻击!X33</f>
        <v>0</v>
      </c>
      <c r="W33" s="54">
        <f>攻击!Y33</f>
        <v>0</v>
      </c>
      <c r="X33" s="54">
        <f>攻击!Z33</f>
        <v>0</v>
      </c>
      <c r="Y33" s="54">
        <f>攻击!AA33</f>
        <v>0</v>
      </c>
      <c r="Z33" s="54">
        <f>攻击!AB33</f>
        <v>0</v>
      </c>
      <c r="AA33" s="47">
        <f>攻击!AL33</f>
        <v>0</v>
      </c>
      <c r="AB33" s="54">
        <f>攻击!AM33</f>
        <v>0</v>
      </c>
      <c r="AC33" s="54">
        <f>攻击!AN33</f>
        <v>0</v>
      </c>
      <c r="AD33" s="54">
        <f>攻击!AO33</f>
        <v>0</v>
      </c>
      <c r="AE33" s="54">
        <f>攻击!AP33</f>
        <v>0</v>
      </c>
      <c r="AF33" s="54">
        <f>攻击!AQ33</f>
        <v>0</v>
      </c>
      <c r="AG33" s="47">
        <f>攻击!AR33</f>
        <v>14</v>
      </c>
      <c r="AH33" s="20">
        <f t="shared" si="0"/>
        <v>189</v>
      </c>
    </row>
    <row r="34" spans="1:34" s="20" customFormat="1">
      <c r="A34" s="46">
        <v>32</v>
      </c>
      <c r="B34" s="47">
        <f>攻击!D34</f>
        <v>72</v>
      </c>
      <c r="C34" s="47">
        <f>攻击!E34</f>
        <v>86.399999999999991</v>
      </c>
      <c r="D34" s="47">
        <f>攻击!F34</f>
        <v>108</v>
      </c>
      <c r="E34" s="47">
        <f>攻击!G34</f>
        <v>144</v>
      </c>
      <c r="F34" s="47">
        <f>攻击!H34</f>
        <v>180</v>
      </c>
      <c r="G34" s="47">
        <f>攻击!I34</f>
        <v>34</v>
      </c>
      <c r="H34" s="47">
        <f>攻击!J34</f>
        <v>21.599999999999998</v>
      </c>
      <c r="I34" s="47">
        <f>攻击!K34</f>
        <v>43.199999999999996</v>
      </c>
      <c r="J34" s="47">
        <f>攻击!L34</f>
        <v>0</v>
      </c>
      <c r="K34" s="47">
        <f>攻击!M34</f>
        <v>0</v>
      </c>
      <c r="L34" s="47">
        <f>攻击!N34</f>
        <v>86.399999999999991</v>
      </c>
      <c r="M34" s="47">
        <f>攻击!O34</f>
        <v>108</v>
      </c>
      <c r="N34" s="47">
        <f>攻击!P34</f>
        <v>144</v>
      </c>
      <c r="O34" s="47">
        <f>攻击!Q34</f>
        <v>180</v>
      </c>
      <c r="P34" s="47">
        <f>攻击!R34</f>
        <v>216</v>
      </c>
      <c r="Q34" s="47">
        <f>攻击!S34</f>
        <v>252</v>
      </c>
      <c r="R34" s="47">
        <f>攻击!T34</f>
        <v>54</v>
      </c>
      <c r="S34" s="47">
        <f>攻击!U34</f>
        <v>21.599999999999998</v>
      </c>
      <c r="T34" s="47">
        <f>攻击!V34</f>
        <v>21.599999999999998</v>
      </c>
      <c r="U34" s="47">
        <f>攻击!W34</f>
        <v>3.6</v>
      </c>
      <c r="V34" s="54">
        <f>攻击!X34</f>
        <v>0</v>
      </c>
      <c r="W34" s="54">
        <f>攻击!Y34</f>
        <v>0</v>
      </c>
      <c r="X34" s="54">
        <f>攻击!Z34</f>
        <v>0</v>
      </c>
      <c r="Y34" s="54">
        <f>攻击!AA34</f>
        <v>0</v>
      </c>
      <c r="Z34" s="54">
        <f>攻击!AB34</f>
        <v>0</v>
      </c>
      <c r="AA34" s="47">
        <f>攻击!AL34</f>
        <v>0</v>
      </c>
      <c r="AB34" s="54">
        <f>攻击!AM34</f>
        <v>0</v>
      </c>
      <c r="AC34" s="54">
        <f>攻击!AN34</f>
        <v>0</v>
      </c>
      <c r="AD34" s="54">
        <f>攻击!AO34</f>
        <v>0</v>
      </c>
      <c r="AE34" s="54">
        <f>攻击!AP34</f>
        <v>0</v>
      </c>
      <c r="AF34" s="54">
        <f>攻击!AQ34</f>
        <v>0</v>
      </c>
      <c r="AG34" s="47">
        <f>攻击!AR34</f>
        <v>14.4</v>
      </c>
      <c r="AH34" s="20">
        <f t="shared" si="0"/>
        <v>194.4</v>
      </c>
    </row>
    <row r="35" spans="1:34" s="20" customFormat="1">
      <c r="A35" s="46">
        <v>33</v>
      </c>
      <c r="B35" s="47">
        <f>攻击!D35</f>
        <v>74</v>
      </c>
      <c r="C35" s="47">
        <f>攻击!E35</f>
        <v>88.8</v>
      </c>
      <c r="D35" s="47">
        <f>攻击!F35</f>
        <v>111</v>
      </c>
      <c r="E35" s="47">
        <f>攻击!G35</f>
        <v>148</v>
      </c>
      <c r="F35" s="47">
        <f>攻击!H35</f>
        <v>185</v>
      </c>
      <c r="G35" s="47">
        <f>攻击!I35</f>
        <v>34</v>
      </c>
      <c r="H35" s="47">
        <f>攻击!J35</f>
        <v>22.2</v>
      </c>
      <c r="I35" s="47">
        <f>攻击!K35</f>
        <v>44.4</v>
      </c>
      <c r="J35" s="47">
        <f>攻击!L35</f>
        <v>0</v>
      </c>
      <c r="K35" s="47">
        <f>攻击!M35</f>
        <v>0</v>
      </c>
      <c r="L35" s="47">
        <f>攻击!N35</f>
        <v>88.8</v>
      </c>
      <c r="M35" s="47">
        <f>攻击!O35</f>
        <v>111</v>
      </c>
      <c r="N35" s="47">
        <f>攻击!P35</f>
        <v>148</v>
      </c>
      <c r="O35" s="47">
        <f>攻击!Q35</f>
        <v>185</v>
      </c>
      <c r="P35" s="47">
        <f>攻击!R35</f>
        <v>222</v>
      </c>
      <c r="Q35" s="47">
        <f>攻击!S35</f>
        <v>259</v>
      </c>
      <c r="R35" s="47">
        <f>攻击!T35</f>
        <v>55.5</v>
      </c>
      <c r="S35" s="47">
        <f>攻击!U35</f>
        <v>22.2</v>
      </c>
      <c r="T35" s="47">
        <f>攻击!V35</f>
        <v>22.2</v>
      </c>
      <c r="U35" s="47">
        <f>攻击!W35</f>
        <v>3.7</v>
      </c>
      <c r="V35" s="54">
        <f>攻击!X35</f>
        <v>0</v>
      </c>
      <c r="W35" s="54">
        <f>攻击!Y35</f>
        <v>0</v>
      </c>
      <c r="X35" s="54">
        <f>攻击!Z35</f>
        <v>0</v>
      </c>
      <c r="Y35" s="54">
        <f>攻击!AA35</f>
        <v>0</v>
      </c>
      <c r="Z35" s="54">
        <f>攻击!AB35</f>
        <v>0</v>
      </c>
      <c r="AA35" s="47">
        <f>攻击!AL35</f>
        <v>0</v>
      </c>
      <c r="AB35" s="54">
        <f>攻击!AM35</f>
        <v>0</v>
      </c>
      <c r="AC35" s="54">
        <f>攻击!AN35</f>
        <v>0</v>
      </c>
      <c r="AD35" s="54">
        <f>攻击!AO35</f>
        <v>0</v>
      </c>
      <c r="AE35" s="54">
        <f>攻击!AP35</f>
        <v>0</v>
      </c>
      <c r="AF35" s="54">
        <f>攻击!AQ35</f>
        <v>0</v>
      </c>
      <c r="AG35" s="47">
        <f>攻击!AR35</f>
        <v>14.8</v>
      </c>
      <c r="AH35" s="20">
        <f t="shared" si="0"/>
        <v>199.8</v>
      </c>
    </row>
    <row r="36" spans="1:34" s="20" customFormat="1">
      <c r="A36" s="46">
        <v>34</v>
      </c>
      <c r="B36" s="47">
        <f>攻击!D36</f>
        <v>76</v>
      </c>
      <c r="C36" s="47">
        <f>攻击!E36</f>
        <v>91.2</v>
      </c>
      <c r="D36" s="47">
        <f>攻击!F36</f>
        <v>114</v>
      </c>
      <c r="E36" s="47">
        <f>攻击!G36</f>
        <v>152</v>
      </c>
      <c r="F36" s="47">
        <f>攻击!H36</f>
        <v>190</v>
      </c>
      <c r="G36" s="47">
        <f>攻击!I36</f>
        <v>34</v>
      </c>
      <c r="H36" s="47">
        <f>攻击!J36</f>
        <v>22.8</v>
      </c>
      <c r="I36" s="47">
        <f>攻击!K36</f>
        <v>45.6</v>
      </c>
      <c r="J36" s="47">
        <f>攻击!L36</f>
        <v>0</v>
      </c>
      <c r="K36" s="47">
        <f>攻击!M36</f>
        <v>0</v>
      </c>
      <c r="L36" s="47">
        <f>攻击!N36</f>
        <v>91.2</v>
      </c>
      <c r="M36" s="47">
        <f>攻击!O36</f>
        <v>114</v>
      </c>
      <c r="N36" s="47">
        <f>攻击!P36</f>
        <v>152</v>
      </c>
      <c r="O36" s="47">
        <f>攻击!Q36</f>
        <v>190</v>
      </c>
      <c r="P36" s="47">
        <f>攻击!R36</f>
        <v>228</v>
      </c>
      <c r="Q36" s="47">
        <f>攻击!S36</f>
        <v>266</v>
      </c>
      <c r="R36" s="47">
        <f>攻击!T36</f>
        <v>57</v>
      </c>
      <c r="S36" s="47">
        <f>攻击!U36</f>
        <v>22.8</v>
      </c>
      <c r="T36" s="47">
        <f>攻击!V36</f>
        <v>22.8</v>
      </c>
      <c r="U36" s="47">
        <f>攻击!W36</f>
        <v>3.8000000000000003</v>
      </c>
      <c r="V36" s="54">
        <f>攻击!X36</f>
        <v>0</v>
      </c>
      <c r="W36" s="54">
        <f>攻击!Y36</f>
        <v>0</v>
      </c>
      <c r="X36" s="54">
        <f>攻击!Z36</f>
        <v>0</v>
      </c>
      <c r="Y36" s="54">
        <f>攻击!AA36</f>
        <v>0</v>
      </c>
      <c r="Z36" s="54">
        <f>攻击!AB36</f>
        <v>0</v>
      </c>
      <c r="AA36" s="47">
        <f>攻击!AL36</f>
        <v>0</v>
      </c>
      <c r="AB36" s="54">
        <f>攻击!AM36</f>
        <v>0</v>
      </c>
      <c r="AC36" s="54">
        <f>攻击!AN36</f>
        <v>0</v>
      </c>
      <c r="AD36" s="54">
        <f>攻击!AO36</f>
        <v>0</v>
      </c>
      <c r="AE36" s="54">
        <f>攻击!AP36</f>
        <v>0</v>
      </c>
      <c r="AF36" s="54">
        <f>攻击!AQ36</f>
        <v>0</v>
      </c>
      <c r="AG36" s="47">
        <f>攻击!AR36</f>
        <v>15.200000000000001</v>
      </c>
      <c r="AH36" s="20">
        <f t="shared" si="0"/>
        <v>205.2</v>
      </c>
    </row>
    <row r="37" spans="1:34" s="20" customFormat="1">
      <c r="A37" s="46">
        <v>35</v>
      </c>
      <c r="B37" s="47">
        <f>攻击!D37</f>
        <v>78</v>
      </c>
      <c r="C37" s="47">
        <f>攻击!E37</f>
        <v>93.6</v>
      </c>
      <c r="D37" s="47">
        <f>攻击!F37</f>
        <v>117</v>
      </c>
      <c r="E37" s="47">
        <f>攻击!G37</f>
        <v>156</v>
      </c>
      <c r="F37" s="47">
        <f>攻击!H37</f>
        <v>195</v>
      </c>
      <c r="G37" s="47">
        <f>攻击!I37</f>
        <v>39</v>
      </c>
      <c r="H37" s="47">
        <f>攻击!J37</f>
        <v>23.4</v>
      </c>
      <c r="I37" s="47">
        <f>攻击!K37</f>
        <v>46.8</v>
      </c>
      <c r="J37" s="47">
        <f>攻击!L37</f>
        <v>0</v>
      </c>
      <c r="K37" s="47">
        <f>攻击!M37</f>
        <v>0</v>
      </c>
      <c r="L37" s="47">
        <f>攻击!N37</f>
        <v>93.6</v>
      </c>
      <c r="M37" s="47">
        <f>攻击!O37</f>
        <v>117</v>
      </c>
      <c r="N37" s="47">
        <f>攻击!P37</f>
        <v>156</v>
      </c>
      <c r="O37" s="47">
        <f>攻击!Q37</f>
        <v>195</v>
      </c>
      <c r="P37" s="47">
        <f>攻击!R37</f>
        <v>234</v>
      </c>
      <c r="Q37" s="47">
        <f>攻击!S37</f>
        <v>273</v>
      </c>
      <c r="R37" s="47">
        <f>攻击!T37</f>
        <v>58.5</v>
      </c>
      <c r="S37" s="47">
        <f>攻击!U37</f>
        <v>23.4</v>
      </c>
      <c r="T37" s="47">
        <f>攻击!V37</f>
        <v>23.4</v>
      </c>
      <c r="U37" s="47">
        <f>攻击!W37</f>
        <v>3.9000000000000004</v>
      </c>
      <c r="V37" s="54">
        <f>攻击!X37</f>
        <v>0</v>
      </c>
      <c r="W37" s="54">
        <f>攻击!Y37</f>
        <v>0</v>
      </c>
      <c r="X37" s="54">
        <f>攻击!Z37</f>
        <v>0</v>
      </c>
      <c r="Y37" s="54">
        <f>攻击!AA37</f>
        <v>0</v>
      </c>
      <c r="Z37" s="54">
        <f>攻击!AB37</f>
        <v>0</v>
      </c>
      <c r="AA37" s="47">
        <f>攻击!AL37</f>
        <v>0</v>
      </c>
      <c r="AB37" s="54">
        <f>攻击!AM37</f>
        <v>0</v>
      </c>
      <c r="AC37" s="54">
        <f>攻击!AN37</f>
        <v>0</v>
      </c>
      <c r="AD37" s="54">
        <f>攻击!AO37</f>
        <v>0</v>
      </c>
      <c r="AE37" s="54">
        <f>攻击!AP37</f>
        <v>0</v>
      </c>
      <c r="AF37" s="54">
        <f>攻击!AQ37</f>
        <v>0</v>
      </c>
      <c r="AG37" s="47">
        <f>攻击!AR37</f>
        <v>15.600000000000001</v>
      </c>
      <c r="AH37" s="20">
        <f t="shared" si="0"/>
        <v>210.6</v>
      </c>
    </row>
    <row r="38" spans="1:34" s="20" customFormat="1">
      <c r="A38" s="46">
        <v>36</v>
      </c>
      <c r="B38" s="47">
        <f>攻击!D38</f>
        <v>80</v>
      </c>
      <c r="C38" s="47">
        <f>攻击!E38</f>
        <v>96</v>
      </c>
      <c r="D38" s="47">
        <f>攻击!F38</f>
        <v>120</v>
      </c>
      <c r="E38" s="47">
        <f>攻击!G38</f>
        <v>160</v>
      </c>
      <c r="F38" s="47">
        <f>攻击!H38</f>
        <v>200</v>
      </c>
      <c r="G38" s="47">
        <f>攻击!I38</f>
        <v>39</v>
      </c>
      <c r="H38" s="47">
        <f>攻击!J38</f>
        <v>24</v>
      </c>
      <c r="I38" s="47">
        <f>攻击!K38</f>
        <v>48</v>
      </c>
      <c r="J38" s="47">
        <f>攻击!L38</f>
        <v>0</v>
      </c>
      <c r="K38" s="47">
        <f>攻击!M38</f>
        <v>0</v>
      </c>
      <c r="L38" s="47">
        <f>攻击!N38</f>
        <v>96</v>
      </c>
      <c r="M38" s="47">
        <f>攻击!O38</f>
        <v>120</v>
      </c>
      <c r="N38" s="47">
        <f>攻击!P38</f>
        <v>160</v>
      </c>
      <c r="O38" s="47">
        <f>攻击!Q38</f>
        <v>200</v>
      </c>
      <c r="P38" s="47">
        <f>攻击!R38</f>
        <v>240</v>
      </c>
      <c r="Q38" s="47">
        <f>攻击!S38</f>
        <v>280</v>
      </c>
      <c r="R38" s="47">
        <f>攻击!T38</f>
        <v>60</v>
      </c>
      <c r="S38" s="47">
        <f>攻击!U38</f>
        <v>24</v>
      </c>
      <c r="T38" s="47">
        <f>攻击!V38</f>
        <v>24</v>
      </c>
      <c r="U38" s="47">
        <f>攻击!W38</f>
        <v>4</v>
      </c>
      <c r="V38" s="54">
        <f>攻击!X38</f>
        <v>0</v>
      </c>
      <c r="W38" s="54">
        <f>攻击!Y38</f>
        <v>0</v>
      </c>
      <c r="X38" s="54">
        <f>攻击!Z38</f>
        <v>0</v>
      </c>
      <c r="Y38" s="54">
        <f>攻击!AA38</f>
        <v>0</v>
      </c>
      <c r="Z38" s="54">
        <f>攻击!AB38</f>
        <v>0</v>
      </c>
      <c r="AA38" s="47">
        <f>攻击!AL38</f>
        <v>0</v>
      </c>
      <c r="AB38" s="54">
        <f>攻击!AM38</f>
        <v>0</v>
      </c>
      <c r="AC38" s="54">
        <f>攻击!AN38</f>
        <v>0</v>
      </c>
      <c r="AD38" s="54">
        <f>攻击!AO38</f>
        <v>0</v>
      </c>
      <c r="AE38" s="54">
        <f>攻击!AP38</f>
        <v>0</v>
      </c>
      <c r="AF38" s="54">
        <f>攻击!AQ38</f>
        <v>0</v>
      </c>
      <c r="AG38" s="47">
        <f>攻击!AR38</f>
        <v>16</v>
      </c>
      <c r="AH38" s="20">
        <f t="shared" si="0"/>
        <v>216</v>
      </c>
    </row>
    <row r="39" spans="1:34" s="20" customFormat="1">
      <c r="A39" s="46">
        <v>37</v>
      </c>
      <c r="B39" s="47">
        <f>攻击!D39</f>
        <v>82</v>
      </c>
      <c r="C39" s="47">
        <f>攻击!E39</f>
        <v>98.399999999999991</v>
      </c>
      <c r="D39" s="47">
        <f>攻击!F39</f>
        <v>123</v>
      </c>
      <c r="E39" s="47">
        <f>攻击!G39</f>
        <v>164</v>
      </c>
      <c r="F39" s="47">
        <f>攻击!H39</f>
        <v>205</v>
      </c>
      <c r="G39" s="47">
        <f>攻击!I39</f>
        <v>39</v>
      </c>
      <c r="H39" s="47">
        <f>攻击!J39</f>
        <v>24.599999999999998</v>
      </c>
      <c r="I39" s="47">
        <f>攻击!K39</f>
        <v>49.199999999999996</v>
      </c>
      <c r="J39" s="47">
        <f>攻击!L39</f>
        <v>0</v>
      </c>
      <c r="K39" s="47">
        <f>攻击!M39</f>
        <v>0</v>
      </c>
      <c r="L39" s="47">
        <f>攻击!N39</f>
        <v>98.399999999999991</v>
      </c>
      <c r="M39" s="47">
        <f>攻击!O39</f>
        <v>123</v>
      </c>
      <c r="N39" s="47">
        <f>攻击!P39</f>
        <v>164</v>
      </c>
      <c r="O39" s="47">
        <f>攻击!Q39</f>
        <v>205</v>
      </c>
      <c r="P39" s="47">
        <f>攻击!R39</f>
        <v>246</v>
      </c>
      <c r="Q39" s="47">
        <f>攻击!S39</f>
        <v>287</v>
      </c>
      <c r="R39" s="47">
        <f>攻击!T39</f>
        <v>61.5</v>
      </c>
      <c r="S39" s="47">
        <f>攻击!U39</f>
        <v>24.599999999999998</v>
      </c>
      <c r="T39" s="47">
        <f>攻击!V39</f>
        <v>24.599999999999998</v>
      </c>
      <c r="U39" s="47">
        <f>攻击!W39</f>
        <v>4.1000000000000005</v>
      </c>
      <c r="V39" s="54">
        <f>攻击!X39</f>
        <v>0</v>
      </c>
      <c r="W39" s="54">
        <f>攻击!Y39</f>
        <v>0</v>
      </c>
      <c r="X39" s="54">
        <f>攻击!Z39</f>
        <v>0</v>
      </c>
      <c r="Y39" s="54">
        <f>攻击!AA39</f>
        <v>0</v>
      </c>
      <c r="Z39" s="54">
        <f>攻击!AB39</f>
        <v>0</v>
      </c>
      <c r="AA39" s="47">
        <f>攻击!AL39</f>
        <v>0</v>
      </c>
      <c r="AB39" s="54">
        <f>攻击!AM39</f>
        <v>0</v>
      </c>
      <c r="AC39" s="54">
        <f>攻击!AN39</f>
        <v>0</v>
      </c>
      <c r="AD39" s="54">
        <f>攻击!AO39</f>
        <v>0</v>
      </c>
      <c r="AE39" s="54">
        <f>攻击!AP39</f>
        <v>0</v>
      </c>
      <c r="AF39" s="54">
        <f>攻击!AQ39</f>
        <v>0</v>
      </c>
      <c r="AG39" s="47">
        <f>攻击!AR39</f>
        <v>16.400000000000002</v>
      </c>
      <c r="AH39" s="20">
        <f t="shared" si="0"/>
        <v>221.4</v>
      </c>
    </row>
    <row r="40" spans="1:34" s="20" customFormat="1">
      <c r="A40" s="46">
        <v>38</v>
      </c>
      <c r="B40" s="47">
        <f>攻击!D40</f>
        <v>84</v>
      </c>
      <c r="C40" s="47">
        <f>攻击!E40</f>
        <v>100.8</v>
      </c>
      <c r="D40" s="47">
        <f>攻击!F40</f>
        <v>126</v>
      </c>
      <c r="E40" s="47">
        <f>攻击!G40</f>
        <v>168</v>
      </c>
      <c r="F40" s="47">
        <f>攻击!H40</f>
        <v>210</v>
      </c>
      <c r="G40" s="47">
        <f>攻击!I40</f>
        <v>39</v>
      </c>
      <c r="H40" s="47">
        <f>攻击!J40</f>
        <v>25.2</v>
      </c>
      <c r="I40" s="47">
        <f>攻击!K40</f>
        <v>50.4</v>
      </c>
      <c r="J40" s="47">
        <f>攻击!L40</f>
        <v>0</v>
      </c>
      <c r="K40" s="47">
        <f>攻击!M40</f>
        <v>0</v>
      </c>
      <c r="L40" s="47">
        <f>攻击!N40</f>
        <v>100.8</v>
      </c>
      <c r="M40" s="47">
        <f>攻击!O40</f>
        <v>126</v>
      </c>
      <c r="N40" s="47">
        <f>攻击!P40</f>
        <v>168</v>
      </c>
      <c r="O40" s="47">
        <f>攻击!Q40</f>
        <v>210</v>
      </c>
      <c r="P40" s="47">
        <f>攻击!R40</f>
        <v>252</v>
      </c>
      <c r="Q40" s="47">
        <f>攻击!S40</f>
        <v>294</v>
      </c>
      <c r="R40" s="47">
        <f>攻击!T40</f>
        <v>63</v>
      </c>
      <c r="S40" s="47">
        <f>攻击!U40</f>
        <v>25.2</v>
      </c>
      <c r="T40" s="47">
        <f>攻击!V40</f>
        <v>25.2</v>
      </c>
      <c r="U40" s="47">
        <f>攻击!W40</f>
        <v>4.2</v>
      </c>
      <c r="V40" s="54">
        <f>攻击!X40</f>
        <v>0</v>
      </c>
      <c r="W40" s="54">
        <f>攻击!Y40</f>
        <v>0</v>
      </c>
      <c r="X40" s="54">
        <f>攻击!Z40</f>
        <v>0</v>
      </c>
      <c r="Y40" s="54">
        <f>攻击!AA40</f>
        <v>0</v>
      </c>
      <c r="Z40" s="54">
        <f>攻击!AB40</f>
        <v>0</v>
      </c>
      <c r="AA40" s="47">
        <f>攻击!AL40</f>
        <v>0</v>
      </c>
      <c r="AB40" s="54">
        <f>攻击!AM40</f>
        <v>0</v>
      </c>
      <c r="AC40" s="54">
        <f>攻击!AN40</f>
        <v>0</v>
      </c>
      <c r="AD40" s="54">
        <f>攻击!AO40</f>
        <v>0</v>
      </c>
      <c r="AE40" s="54">
        <f>攻击!AP40</f>
        <v>0</v>
      </c>
      <c r="AF40" s="54">
        <f>攻击!AQ40</f>
        <v>0</v>
      </c>
      <c r="AG40" s="47">
        <f>攻击!AR40</f>
        <v>16.8</v>
      </c>
      <c r="AH40" s="20">
        <f t="shared" si="0"/>
        <v>226.8</v>
      </c>
    </row>
    <row r="41" spans="1:34" s="20" customFormat="1">
      <c r="A41" s="46">
        <v>39</v>
      </c>
      <c r="B41" s="47">
        <f>攻击!D41</f>
        <v>86</v>
      </c>
      <c r="C41" s="47">
        <f>攻击!E41</f>
        <v>103.2</v>
      </c>
      <c r="D41" s="47">
        <f>攻击!F41</f>
        <v>129</v>
      </c>
      <c r="E41" s="47">
        <f>攻击!G41</f>
        <v>172</v>
      </c>
      <c r="F41" s="47">
        <f>攻击!H41</f>
        <v>215</v>
      </c>
      <c r="G41" s="47">
        <f>攻击!I41</f>
        <v>39</v>
      </c>
      <c r="H41" s="47">
        <f>攻击!J41</f>
        <v>25.8</v>
      </c>
      <c r="I41" s="47">
        <f>攻击!K41</f>
        <v>51.6</v>
      </c>
      <c r="J41" s="47">
        <f>攻击!L41</f>
        <v>0</v>
      </c>
      <c r="K41" s="47">
        <f>攻击!M41</f>
        <v>0</v>
      </c>
      <c r="L41" s="47">
        <f>攻击!N41</f>
        <v>103.2</v>
      </c>
      <c r="M41" s="47">
        <f>攻击!O41</f>
        <v>129</v>
      </c>
      <c r="N41" s="47">
        <f>攻击!P41</f>
        <v>172</v>
      </c>
      <c r="O41" s="47">
        <f>攻击!Q41</f>
        <v>215</v>
      </c>
      <c r="P41" s="47">
        <f>攻击!R41</f>
        <v>258</v>
      </c>
      <c r="Q41" s="47">
        <f>攻击!S41</f>
        <v>301</v>
      </c>
      <c r="R41" s="47">
        <f>攻击!T41</f>
        <v>64.5</v>
      </c>
      <c r="S41" s="47">
        <f>攻击!U41</f>
        <v>25.8</v>
      </c>
      <c r="T41" s="47">
        <f>攻击!V41</f>
        <v>25.8</v>
      </c>
      <c r="U41" s="47">
        <f>攻击!W41</f>
        <v>4.3</v>
      </c>
      <c r="V41" s="54">
        <f>攻击!X41</f>
        <v>0</v>
      </c>
      <c r="W41" s="54">
        <f>攻击!Y41</f>
        <v>0</v>
      </c>
      <c r="X41" s="54">
        <f>攻击!Z41</f>
        <v>0</v>
      </c>
      <c r="Y41" s="54">
        <f>攻击!AA41</f>
        <v>0</v>
      </c>
      <c r="Z41" s="54">
        <f>攻击!AB41</f>
        <v>0</v>
      </c>
      <c r="AA41" s="47">
        <f>攻击!AL41</f>
        <v>0</v>
      </c>
      <c r="AB41" s="54">
        <f>攻击!AM41</f>
        <v>0</v>
      </c>
      <c r="AC41" s="54">
        <f>攻击!AN41</f>
        <v>0</v>
      </c>
      <c r="AD41" s="54">
        <f>攻击!AO41</f>
        <v>0</v>
      </c>
      <c r="AE41" s="54">
        <f>攻击!AP41</f>
        <v>0</v>
      </c>
      <c r="AF41" s="54">
        <f>攻击!AQ41</f>
        <v>0</v>
      </c>
      <c r="AG41" s="47">
        <f>攻击!AR41</f>
        <v>17.2</v>
      </c>
      <c r="AH41" s="20">
        <f t="shared" si="0"/>
        <v>232.2</v>
      </c>
    </row>
    <row r="42" spans="1:34" s="20" customFormat="1">
      <c r="A42" s="46">
        <v>40</v>
      </c>
      <c r="B42" s="47">
        <f>攻击!D42</f>
        <v>88</v>
      </c>
      <c r="C42" s="47">
        <f>攻击!E42</f>
        <v>105.6</v>
      </c>
      <c r="D42" s="47">
        <f>攻击!F42</f>
        <v>132</v>
      </c>
      <c r="E42" s="47">
        <f>攻击!G42</f>
        <v>176</v>
      </c>
      <c r="F42" s="47">
        <f>攻击!H42</f>
        <v>220</v>
      </c>
      <c r="G42" s="47">
        <f>攻击!I42</f>
        <v>44</v>
      </c>
      <c r="H42" s="47">
        <f>攻击!J42</f>
        <v>26.4</v>
      </c>
      <c r="I42" s="47">
        <f>攻击!K42</f>
        <v>52.8</v>
      </c>
      <c r="J42" s="47">
        <f>攻击!L42</f>
        <v>0</v>
      </c>
      <c r="K42" s="47">
        <f>攻击!M42</f>
        <v>0</v>
      </c>
      <c r="L42" s="47">
        <f>攻击!N42</f>
        <v>105.6</v>
      </c>
      <c r="M42" s="47">
        <f>攻击!O42</f>
        <v>132</v>
      </c>
      <c r="N42" s="47">
        <f>攻击!P42</f>
        <v>176</v>
      </c>
      <c r="O42" s="47">
        <f>攻击!Q42</f>
        <v>220</v>
      </c>
      <c r="P42" s="47">
        <f>攻击!R42</f>
        <v>264</v>
      </c>
      <c r="Q42" s="47">
        <f>攻击!S42</f>
        <v>308</v>
      </c>
      <c r="R42" s="47">
        <f>攻击!T42</f>
        <v>66</v>
      </c>
      <c r="S42" s="47">
        <f>攻击!U42</f>
        <v>26.4</v>
      </c>
      <c r="T42" s="47">
        <f>攻击!V42</f>
        <v>26.4</v>
      </c>
      <c r="U42" s="47">
        <f>攻击!W42</f>
        <v>4.4000000000000004</v>
      </c>
      <c r="V42" s="54">
        <f>攻击!X42</f>
        <v>0</v>
      </c>
      <c r="W42" s="54">
        <f>攻击!Y42</f>
        <v>0</v>
      </c>
      <c r="X42" s="54">
        <f>攻击!Z42</f>
        <v>0</v>
      </c>
      <c r="Y42" s="54">
        <f>攻击!AA42</f>
        <v>0</v>
      </c>
      <c r="Z42" s="54">
        <f>攻击!AB42</f>
        <v>0</v>
      </c>
      <c r="AA42" s="47">
        <f>攻击!AL42</f>
        <v>0</v>
      </c>
      <c r="AB42" s="54">
        <f>攻击!AM42</f>
        <v>0</v>
      </c>
      <c r="AC42" s="54">
        <f>攻击!AN42</f>
        <v>0</v>
      </c>
      <c r="AD42" s="54">
        <f>攻击!AO42</f>
        <v>0</v>
      </c>
      <c r="AE42" s="54">
        <f>攻击!AP42</f>
        <v>0</v>
      </c>
      <c r="AF42" s="54">
        <f>攻击!AQ42</f>
        <v>0</v>
      </c>
      <c r="AG42" s="47">
        <f>攻击!AR42</f>
        <v>17.600000000000001</v>
      </c>
      <c r="AH42" s="20">
        <f t="shared" si="0"/>
        <v>237.6</v>
      </c>
    </row>
    <row r="43" spans="1:34" s="20" customFormat="1">
      <c r="A43" s="46">
        <v>41</v>
      </c>
      <c r="B43" s="47">
        <f>攻击!D43</f>
        <v>90</v>
      </c>
      <c r="C43" s="47">
        <f>攻击!E43</f>
        <v>108</v>
      </c>
      <c r="D43" s="47">
        <f>攻击!F43</f>
        <v>135</v>
      </c>
      <c r="E43" s="47">
        <f>攻击!G43</f>
        <v>180</v>
      </c>
      <c r="F43" s="47">
        <f>攻击!H43</f>
        <v>225</v>
      </c>
      <c r="G43" s="47">
        <f>攻击!I43</f>
        <v>44</v>
      </c>
      <c r="H43" s="47">
        <f>攻击!J43</f>
        <v>27</v>
      </c>
      <c r="I43" s="47">
        <f>攻击!K43</f>
        <v>54</v>
      </c>
      <c r="J43" s="47">
        <f>攻击!L43</f>
        <v>0</v>
      </c>
      <c r="K43" s="47">
        <f>攻击!M43</f>
        <v>0</v>
      </c>
      <c r="L43" s="47">
        <f>攻击!N43</f>
        <v>108</v>
      </c>
      <c r="M43" s="47">
        <f>攻击!O43</f>
        <v>135</v>
      </c>
      <c r="N43" s="47">
        <f>攻击!P43</f>
        <v>180</v>
      </c>
      <c r="O43" s="47">
        <f>攻击!Q43</f>
        <v>225</v>
      </c>
      <c r="P43" s="47">
        <f>攻击!R43</f>
        <v>270</v>
      </c>
      <c r="Q43" s="47">
        <f>攻击!S43</f>
        <v>315</v>
      </c>
      <c r="R43" s="47">
        <f>攻击!T43</f>
        <v>67.5</v>
      </c>
      <c r="S43" s="47">
        <f>攻击!U43</f>
        <v>27</v>
      </c>
      <c r="T43" s="47">
        <f>攻击!V43</f>
        <v>27</v>
      </c>
      <c r="U43" s="47">
        <f>攻击!W43</f>
        <v>4.5</v>
      </c>
      <c r="V43" s="54">
        <f>攻击!X43</f>
        <v>0</v>
      </c>
      <c r="W43" s="54">
        <f>攻击!Y43</f>
        <v>0</v>
      </c>
      <c r="X43" s="54">
        <f>攻击!Z43</f>
        <v>0</v>
      </c>
      <c r="Y43" s="54">
        <f>攻击!AA43</f>
        <v>0</v>
      </c>
      <c r="Z43" s="54">
        <f>攻击!AB43</f>
        <v>0</v>
      </c>
      <c r="AA43" s="47">
        <f>攻击!AL43</f>
        <v>0</v>
      </c>
      <c r="AB43" s="54">
        <f>攻击!AM43</f>
        <v>0</v>
      </c>
      <c r="AC43" s="54">
        <f>攻击!AN43</f>
        <v>0</v>
      </c>
      <c r="AD43" s="54">
        <f>攻击!AO43</f>
        <v>0</v>
      </c>
      <c r="AE43" s="54">
        <f>攻击!AP43</f>
        <v>0</v>
      </c>
      <c r="AF43" s="54">
        <f>攻击!AQ43</f>
        <v>0</v>
      </c>
      <c r="AG43" s="47">
        <f>攻击!AR43</f>
        <v>18</v>
      </c>
      <c r="AH43" s="20">
        <f t="shared" si="0"/>
        <v>243</v>
      </c>
    </row>
    <row r="44" spans="1:34" s="20" customFormat="1">
      <c r="A44" s="46">
        <v>42</v>
      </c>
      <c r="B44" s="47">
        <f>攻击!D44</f>
        <v>92</v>
      </c>
      <c r="C44" s="47">
        <f>攻击!E44</f>
        <v>110.39999999999999</v>
      </c>
      <c r="D44" s="47">
        <f>攻击!F44</f>
        <v>138</v>
      </c>
      <c r="E44" s="47">
        <f>攻击!G44</f>
        <v>184</v>
      </c>
      <c r="F44" s="47">
        <f>攻击!H44</f>
        <v>230</v>
      </c>
      <c r="G44" s="47">
        <f>攻击!I44</f>
        <v>44</v>
      </c>
      <c r="H44" s="47">
        <f>攻击!J44</f>
        <v>27.599999999999998</v>
      </c>
      <c r="I44" s="47">
        <f>攻击!K44</f>
        <v>55.199999999999996</v>
      </c>
      <c r="J44" s="47">
        <f>攻击!L44</f>
        <v>0</v>
      </c>
      <c r="K44" s="47">
        <f>攻击!M44</f>
        <v>0</v>
      </c>
      <c r="L44" s="47">
        <f>攻击!N44</f>
        <v>110.39999999999999</v>
      </c>
      <c r="M44" s="47">
        <f>攻击!O44</f>
        <v>138</v>
      </c>
      <c r="N44" s="47">
        <f>攻击!P44</f>
        <v>184</v>
      </c>
      <c r="O44" s="47">
        <f>攻击!Q44</f>
        <v>230</v>
      </c>
      <c r="P44" s="47">
        <f>攻击!R44</f>
        <v>276</v>
      </c>
      <c r="Q44" s="47">
        <f>攻击!S44</f>
        <v>322</v>
      </c>
      <c r="R44" s="47">
        <f>攻击!T44</f>
        <v>69</v>
      </c>
      <c r="S44" s="47">
        <f>攻击!U44</f>
        <v>27.599999999999998</v>
      </c>
      <c r="T44" s="47">
        <f>攻击!V44</f>
        <v>27.599999999999998</v>
      </c>
      <c r="U44" s="47">
        <f>攻击!W44</f>
        <v>4.6000000000000005</v>
      </c>
      <c r="V44" s="54">
        <f>攻击!X44</f>
        <v>0</v>
      </c>
      <c r="W44" s="54">
        <f>攻击!Y44</f>
        <v>0</v>
      </c>
      <c r="X44" s="54">
        <f>攻击!Z44</f>
        <v>0</v>
      </c>
      <c r="Y44" s="54">
        <f>攻击!AA44</f>
        <v>0</v>
      </c>
      <c r="Z44" s="54">
        <f>攻击!AB44</f>
        <v>0</v>
      </c>
      <c r="AA44" s="47">
        <f>攻击!AL44</f>
        <v>0</v>
      </c>
      <c r="AB44" s="54">
        <f>攻击!AM44</f>
        <v>0</v>
      </c>
      <c r="AC44" s="54">
        <f>攻击!AN44</f>
        <v>0</v>
      </c>
      <c r="AD44" s="54">
        <f>攻击!AO44</f>
        <v>0</v>
      </c>
      <c r="AE44" s="54">
        <f>攻击!AP44</f>
        <v>0</v>
      </c>
      <c r="AF44" s="54">
        <f>攻击!AQ44</f>
        <v>0</v>
      </c>
      <c r="AG44" s="47">
        <f>攻击!AR44</f>
        <v>18.400000000000002</v>
      </c>
      <c r="AH44" s="20">
        <f t="shared" si="0"/>
        <v>248.4</v>
      </c>
    </row>
    <row r="45" spans="1:34" s="20" customFormat="1">
      <c r="A45" s="46">
        <v>43</v>
      </c>
      <c r="B45" s="47">
        <f>攻击!D45</f>
        <v>94</v>
      </c>
      <c r="C45" s="47">
        <f>攻击!E45</f>
        <v>112.8</v>
      </c>
      <c r="D45" s="47">
        <f>攻击!F45</f>
        <v>141</v>
      </c>
      <c r="E45" s="47">
        <f>攻击!G45</f>
        <v>188</v>
      </c>
      <c r="F45" s="47">
        <f>攻击!H45</f>
        <v>235</v>
      </c>
      <c r="G45" s="47">
        <f>攻击!I45</f>
        <v>44</v>
      </c>
      <c r="H45" s="47">
        <f>攻击!J45</f>
        <v>28.2</v>
      </c>
      <c r="I45" s="47">
        <f>攻击!K45</f>
        <v>56.4</v>
      </c>
      <c r="J45" s="47">
        <f>攻击!L45</f>
        <v>0</v>
      </c>
      <c r="K45" s="47">
        <f>攻击!M45</f>
        <v>0</v>
      </c>
      <c r="L45" s="47">
        <f>攻击!N45</f>
        <v>112.8</v>
      </c>
      <c r="M45" s="47">
        <f>攻击!O45</f>
        <v>141</v>
      </c>
      <c r="N45" s="47">
        <f>攻击!P45</f>
        <v>188</v>
      </c>
      <c r="O45" s="47">
        <f>攻击!Q45</f>
        <v>235</v>
      </c>
      <c r="P45" s="47">
        <f>攻击!R45</f>
        <v>282</v>
      </c>
      <c r="Q45" s="47">
        <f>攻击!S45</f>
        <v>329</v>
      </c>
      <c r="R45" s="47">
        <f>攻击!T45</f>
        <v>70.5</v>
      </c>
      <c r="S45" s="47">
        <f>攻击!U45</f>
        <v>28.2</v>
      </c>
      <c r="T45" s="47">
        <f>攻击!V45</f>
        <v>28.2</v>
      </c>
      <c r="U45" s="47">
        <f>攻击!W45</f>
        <v>4.7</v>
      </c>
      <c r="V45" s="54">
        <f>攻击!X45</f>
        <v>0</v>
      </c>
      <c r="W45" s="54">
        <f>攻击!Y45</f>
        <v>0</v>
      </c>
      <c r="X45" s="54">
        <f>攻击!Z45</f>
        <v>0</v>
      </c>
      <c r="Y45" s="54">
        <f>攻击!AA45</f>
        <v>0</v>
      </c>
      <c r="Z45" s="54">
        <f>攻击!AB45</f>
        <v>0</v>
      </c>
      <c r="AA45" s="47">
        <f>攻击!AL45</f>
        <v>0</v>
      </c>
      <c r="AB45" s="54">
        <f>攻击!AM45</f>
        <v>0</v>
      </c>
      <c r="AC45" s="54">
        <f>攻击!AN45</f>
        <v>0</v>
      </c>
      <c r="AD45" s="54">
        <f>攻击!AO45</f>
        <v>0</v>
      </c>
      <c r="AE45" s="54">
        <f>攻击!AP45</f>
        <v>0</v>
      </c>
      <c r="AF45" s="54">
        <f>攻击!AQ45</f>
        <v>0</v>
      </c>
      <c r="AG45" s="47">
        <f>攻击!AR45</f>
        <v>18.8</v>
      </c>
      <c r="AH45" s="20">
        <f t="shared" si="0"/>
        <v>253.8</v>
      </c>
    </row>
    <row r="46" spans="1:34" s="20" customFormat="1">
      <c r="A46" s="46">
        <v>44</v>
      </c>
      <c r="B46" s="47">
        <f>攻击!D46</f>
        <v>96</v>
      </c>
      <c r="C46" s="47">
        <f>攻击!E46</f>
        <v>115.19999999999999</v>
      </c>
      <c r="D46" s="47">
        <f>攻击!F46</f>
        <v>144</v>
      </c>
      <c r="E46" s="47">
        <f>攻击!G46</f>
        <v>192</v>
      </c>
      <c r="F46" s="47">
        <f>攻击!H46</f>
        <v>240</v>
      </c>
      <c r="G46" s="47">
        <f>攻击!I46</f>
        <v>44</v>
      </c>
      <c r="H46" s="47">
        <f>攻击!J46</f>
        <v>28.799999999999997</v>
      </c>
      <c r="I46" s="47">
        <f>攻击!K46</f>
        <v>57.599999999999994</v>
      </c>
      <c r="J46" s="47">
        <f>攻击!L46</f>
        <v>0</v>
      </c>
      <c r="K46" s="47">
        <f>攻击!M46</f>
        <v>0</v>
      </c>
      <c r="L46" s="47">
        <f>攻击!N46</f>
        <v>115.19999999999999</v>
      </c>
      <c r="M46" s="47">
        <f>攻击!O46</f>
        <v>144</v>
      </c>
      <c r="N46" s="47">
        <f>攻击!P46</f>
        <v>192</v>
      </c>
      <c r="O46" s="47">
        <f>攻击!Q46</f>
        <v>240</v>
      </c>
      <c r="P46" s="47">
        <f>攻击!R46</f>
        <v>288</v>
      </c>
      <c r="Q46" s="47">
        <f>攻击!S46</f>
        <v>336</v>
      </c>
      <c r="R46" s="47">
        <f>攻击!T46</f>
        <v>72</v>
      </c>
      <c r="S46" s="47">
        <f>攻击!U46</f>
        <v>28.799999999999997</v>
      </c>
      <c r="T46" s="47">
        <f>攻击!V46</f>
        <v>28.799999999999997</v>
      </c>
      <c r="U46" s="47">
        <f>攻击!W46</f>
        <v>4.8000000000000007</v>
      </c>
      <c r="V46" s="54">
        <f>攻击!X46</f>
        <v>0</v>
      </c>
      <c r="W46" s="54">
        <f>攻击!Y46</f>
        <v>0</v>
      </c>
      <c r="X46" s="54">
        <f>攻击!Z46</f>
        <v>0</v>
      </c>
      <c r="Y46" s="54">
        <f>攻击!AA46</f>
        <v>0</v>
      </c>
      <c r="Z46" s="54">
        <f>攻击!AB46</f>
        <v>0</v>
      </c>
      <c r="AA46" s="47">
        <f>攻击!AL46</f>
        <v>0</v>
      </c>
      <c r="AB46" s="54">
        <f>攻击!AM46</f>
        <v>0</v>
      </c>
      <c r="AC46" s="54">
        <f>攻击!AN46</f>
        <v>0</v>
      </c>
      <c r="AD46" s="54">
        <f>攻击!AO46</f>
        <v>0</v>
      </c>
      <c r="AE46" s="54">
        <f>攻击!AP46</f>
        <v>0</v>
      </c>
      <c r="AF46" s="54">
        <f>攻击!AQ46</f>
        <v>0</v>
      </c>
      <c r="AG46" s="47">
        <f>攻击!AR46</f>
        <v>19.200000000000003</v>
      </c>
      <c r="AH46" s="20">
        <f t="shared" si="0"/>
        <v>259.2</v>
      </c>
    </row>
    <row r="47" spans="1:34" s="20" customFormat="1">
      <c r="A47" s="46">
        <v>45</v>
      </c>
      <c r="B47" s="47">
        <f>攻击!D47</f>
        <v>98</v>
      </c>
      <c r="C47" s="47">
        <f>攻击!E47</f>
        <v>117.6</v>
      </c>
      <c r="D47" s="47">
        <f>攻击!F47</f>
        <v>147</v>
      </c>
      <c r="E47" s="47">
        <f>攻击!G47</f>
        <v>196</v>
      </c>
      <c r="F47" s="47">
        <f>攻击!H47</f>
        <v>245</v>
      </c>
      <c r="G47" s="47">
        <f>攻击!I47</f>
        <v>49</v>
      </c>
      <c r="H47" s="47">
        <f>攻击!J47</f>
        <v>29.4</v>
      </c>
      <c r="I47" s="47">
        <f>攻击!K47</f>
        <v>58.8</v>
      </c>
      <c r="J47" s="47">
        <f>攻击!L47</f>
        <v>0</v>
      </c>
      <c r="K47" s="47">
        <f>攻击!M47</f>
        <v>0</v>
      </c>
      <c r="L47" s="47">
        <f>攻击!N47</f>
        <v>117.6</v>
      </c>
      <c r="M47" s="47">
        <f>攻击!O47</f>
        <v>147</v>
      </c>
      <c r="N47" s="47">
        <f>攻击!P47</f>
        <v>196</v>
      </c>
      <c r="O47" s="47">
        <f>攻击!Q47</f>
        <v>245</v>
      </c>
      <c r="P47" s="47">
        <f>攻击!R47</f>
        <v>294</v>
      </c>
      <c r="Q47" s="47">
        <f>攻击!S47</f>
        <v>343</v>
      </c>
      <c r="R47" s="47">
        <f>攻击!T47</f>
        <v>73.5</v>
      </c>
      <c r="S47" s="47">
        <f>攻击!U47</f>
        <v>29.4</v>
      </c>
      <c r="T47" s="47">
        <f>攻击!V47</f>
        <v>29.4</v>
      </c>
      <c r="U47" s="47">
        <f>攻击!W47</f>
        <v>4.9000000000000004</v>
      </c>
      <c r="V47" s="54">
        <f>攻击!X47</f>
        <v>0</v>
      </c>
      <c r="W47" s="54">
        <f>攻击!Y47</f>
        <v>0</v>
      </c>
      <c r="X47" s="54">
        <f>攻击!Z47</f>
        <v>0</v>
      </c>
      <c r="Y47" s="54">
        <f>攻击!AA47</f>
        <v>0</v>
      </c>
      <c r="Z47" s="54">
        <f>攻击!AB47</f>
        <v>0</v>
      </c>
      <c r="AA47" s="47">
        <f>攻击!AL47</f>
        <v>0</v>
      </c>
      <c r="AB47" s="54">
        <f>攻击!AM47</f>
        <v>0</v>
      </c>
      <c r="AC47" s="54">
        <f>攻击!AN47</f>
        <v>0</v>
      </c>
      <c r="AD47" s="54">
        <f>攻击!AO47</f>
        <v>0</v>
      </c>
      <c r="AE47" s="54">
        <f>攻击!AP47</f>
        <v>0</v>
      </c>
      <c r="AF47" s="54">
        <f>攻击!AQ47</f>
        <v>0</v>
      </c>
      <c r="AG47" s="47">
        <f>攻击!AR47</f>
        <v>19.600000000000001</v>
      </c>
      <c r="AH47" s="20">
        <f t="shared" si="0"/>
        <v>264.60000000000002</v>
      </c>
    </row>
    <row r="48" spans="1:34" s="20" customFormat="1">
      <c r="A48" s="46">
        <v>46</v>
      </c>
      <c r="B48" s="47">
        <f>攻击!D48</f>
        <v>100</v>
      </c>
      <c r="C48" s="47">
        <f>攻击!E48</f>
        <v>120</v>
      </c>
      <c r="D48" s="47">
        <f>攻击!F48</f>
        <v>150</v>
      </c>
      <c r="E48" s="47">
        <f>攻击!G48</f>
        <v>200</v>
      </c>
      <c r="F48" s="47">
        <f>攻击!H48</f>
        <v>250</v>
      </c>
      <c r="G48" s="47">
        <f>攻击!I48</f>
        <v>49</v>
      </c>
      <c r="H48" s="47">
        <f>攻击!J48</f>
        <v>30</v>
      </c>
      <c r="I48" s="47">
        <f>攻击!K48</f>
        <v>60</v>
      </c>
      <c r="J48" s="47">
        <f>攻击!L48</f>
        <v>0</v>
      </c>
      <c r="K48" s="47">
        <f>攻击!M48</f>
        <v>0</v>
      </c>
      <c r="L48" s="47">
        <f>攻击!N48</f>
        <v>120</v>
      </c>
      <c r="M48" s="47">
        <f>攻击!O48</f>
        <v>150</v>
      </c>
      <c r="N48" s="47">
        <f>攻击!P48</f>
        <v>200</v>
      </c>
      <c r="O48" s="47">
        <f>攻击!Q48</f>
        <v>250</v>
      </c>
      <c r="P48" s="47">
        <f>攻击!R48</f>
        <v>300</v>
      </c>
      <c r="Q48" s="47">
        <f>攻击!S48</f>
        <v>350</v>
      </c>
      <c r="R48" s="47">
        <f>攻击!T48</f>
        <v>75</v>
      </c>
      <c r="S48" s="47">
        <f>攻击!U48</f>
        <v>30</v>
      </c>
      <c r="T48" s="47">
        <f>攻击!V48</f>
        <v>30</v>
      </c>
      <c r="U48" s="47">
        <f>攻击!W48</f>
        <v>5</v>
      </c>
      <c r="V48" s="54">
        <f>攻击!X48</f>
        <v>0</v>
      </c>
      <c r="W48" s="54">
        <f>攻击!Y48</f>
        <v>0</v>
      </c>
      <c r="X48" s="54">
        <f>攻击!Z48</f>
        <v>0</v>
      </c>
      <c r="Y48" s="54">
        <f>攻击!AA48</f>
        <v>0</v>
      </c>
      <c r="Z48" s="54">
        <f>攻击!AB48</f>
        <v>0</v>
      </c>
      <c r="AA48" s="47">
        <f>攻击!AL48</f>
        <v>0</v>
      </c>
      <c r="AB48" s="54">
        <f>攻击!AM48</f>
        <v>0</v>
      </c>
      <c r="AC48" s="54">
        <f>攻击!AN48</f>
        <v>0</v>
      </c>
      <c r="AD48" s="54">
        <f>攻击!AO48</f>
        <v>0</v>
      </c>
      <c r="AE48" s="54">
        <f>攻击!AP48</f>
        <v>0</v>
      </c>
      <c r="AF48" s="54">
        <f>攻击!AQ48</f>
        <v>0</v>
      </c>
      <c r="AG48" s="47">
        <f>攻击!AR48</f>
        <v>20</v>
      </c>
      <c r="AH48" s="20">
        <f t="shared" si="0"/>
        <v>270</v>
      </c>
    </row>
    <row r="49" spans="1:34" s="20" customFormat="1">
      <c r="A49" s="46">
        <v>47</v>
      </c>
      <c r="B49" s="47">
        <f>攻击!D49</f>
        <v>102</v>
      </c>
      <c r="C49" s="47">
        <f>攻击!E49</f>
        <v>122.39999999999999</v>
      </c>
      <c r="D49" s="47">
        <f>攻击!F49</f>
        <v>153</v>
      </c>
      <c r="E49" s="47">
        <f>攻击!G49</f>
        <v>204</v>
      </c>
      <c r="F49" s="47">
        <f>攻击!H49</f>
        <v>255</v>
      </c>
      <c r="G49" s="47">
        <f>攻击!I49</f>
        <v>49</v>
      </c>
      <c r="H49" s="47">
        <f>攻击!J49</f>
        <v>30.599999999999998</v>
      </c>
      <c r="I49" s="47">
        <f>攻击!K49</f>
        <v>61.199999999999996</v>
      </c>
      <c r="J49" s="47">
        <f>攻击!L49</f>
        <v>0</v>
      </c>
      <c r="K49" s="47">
        <f>攻击!M49</f>
        <v>0</v>
      </c>
      <c r="L49" s="47">
        <f>攻击!N49</f>
        <v>122.39999999999999</v>
      </c>
      <c r="M49" s="47">
        <f>攻击!O49</f>
        <v>153</v>
      </c>
      <c r="N49" s="47">
        <f>攻击!P49</f>
        <v>204</v>
      </c>
      <c r="O49" s="47">
        <f>攻击!Q49</f>
        <v>255</v>
      </c>
      <c r="P49" s="47">
        <f>攻击!R49</f>
        <v>306</v>
      </c>
      <c r="Q49" s="47">
        <f>攻击!S49</f>
        <v>357</v>
      </c>
      <c r="R49" s="47">
        <f>攻击!T49</f>
        <v>76.5</v>
      </c>
      <c r="S49" s="47">
        <f>攻击!U49</f>
        <v>30.599999999999998</v>
      </c>
      <c r="T49" s="47">
        <f>攻击!V49</f>
        <v>30.599999999999998</v>
      </c>
      <c r="U49" s="47">
        <f>攻击!W49</f>
        <v>5.1000000000000005</v>
      </c>
      <c r="V49" s="54">
        <f>攻击!X49</f>
        <v>0</v>
      </c>
      <c r="W49" s="54">
        <f>攻击!Y49</f>
        <v>0</v>
      </c>
      <c r="X49" s="54">
        <f>攻击!Z49</f>
        <v>0</v>
      </c>
      <c r="Y49" s="54">
        <f>攻击!AA49</f>
        <v>0</v>
      </c>
      <c r="Z49" s="54">
        <f>攻击!AB49</f>
        <v>0</v>
      </c>
      <c r="AA49" s="47">
        <f>攻击!AL49</f>
        <v>0</v>
      </c>
      <c r="AB49" s="54">
        <f>攻击!AM49</f>
        <v>0</v>
      </c>
      <c r="AC49" s="54">
        <f>攻击!AN49</f>
        <v>0</v>
      </c>
      <c r="AD49" s="54">
        <f>攻击!AO49</f>
        <v>0</v>
      </c>
      <c r="AE49" s="54">
        <f>攻击!AP49</f>
        <v>0</v>
      </c>
      <c r="AF49" s="54">
        <f>攻击!AQ49</f>
        <v>0</v>
      </c>
      <c r="AG49" s="47">
        <f>攻击!AR49</f>
        <v>20.400000000000002</v>
      </c>
      <c r="AH49" s="20">
        <f t="shared" si="0"/>
        <v>275.39999999999998</v>
      </c>
    </row>
    <row r="50" spans="1:34" s="20" customFormat="1">
      <c r="A50" s="46">
        <v>48</v>
      </c>
      <c r="B50" s="47">
        <f>攻击!D50</f>
        <v>104</v>
      </c>
      <c r="C50" s="47">
        <f>攻击!E50</f>
        <v>124.8</v>
      </c>
      <c r="D50" s="47">
        <f>攻击!F50</f>
        <v>156</v>
      </c>
      <c r="E50" s="47">
        <f>攻击!G50</f>
        <v>208</v>
      </c>
      <c r="F50" s="47">
        <f>攻击!H50</f>
        <v>260</v>
      </c>
      <c r="G50" s="47">
        <f>攻击!I50</f>
        <v>49</v>
      </c>
      <c r="H50" s="47">
        <f>攻击!J50</f>
        <v>31.2</v>
      </c>
      <c r="I50" s="47">
        <f>攻击!K50</f>
        <v>62.4</v>
      </c>
      <c r="J50" s="47">
        <f>攻击!L50</f>
        <v>0</v>
      </c>
      <c r="K50" s="47">
        <f>攻击!M50</f>
        <v>0</v>
      </c>
      <c r="L50" s="47">
        <f>攻击!N50</f>
        <v>124.8</v>
      </c>
      <c r="M50" s="47">
        <f>攻击!O50</f>
        <v>156</v>
      </c>
      <c r="N50" s="47">
        <f>攻击!P50</f>
        <v>208</v>
      </c>
      <c r="O50" s="47">
        <f>攻击!Q50</f>
        <v>260</v>
      </c>
      <c r="P50" s="47">
        <f>攻击!R50</f>
        <v>312</v>
      </c>
      <c r="Q50" s="47">
        <f>攻击!S50</f>
        <v>364</v>
      </c>
      <c r="R50" s="47">
        <f>攻击!T50</f>
        <v>78</v>
      </c>
      <c r="S50" s="47">
        <f>攻击!U50</f>
        <v>31.2</v>
      </c>
      <c r="T50" s="47">
        <f>攻击!V50</f>
        <v>31.2</v>
      </c>
      <c r="U50" s="47">
        <f>攻击!W50</f>
        <v>5.2</v>
      </c>
      <c r="V50" s="54">
        <f>攻击!X50</f>
        <v>0</v>
      </c>
      <c r="W50" s="54">
        <f>攻击!Y50</f>
        <v>0</v>
      </c>
      <c r="X50" s="54">
        <f>攻击!Z50</f>
        <v>0</v>
      </c>
      <c r="Y50" s="54">
        <f>攻击!AA50</f>
        <v>0</v>
      </c>
      <c r="Z50" s="54">
        <f>攻击!AB50</f>
        <v>0</v>
      </c>
      <c r="AA50" s="47">
        <f>攻击!AL50</f>
        <v>0</v>
      </c>
      <c r="AB50" s="54">
        <f>攻击!AM50</f>
        <v>0</v>
      </c>
      <c r="AC50" s="54">
        <f>攻击!AN50</f>
        <v>0</v>
      </c>
      <c r="AD50" s="54">
        <f>攻击!AO50</f>
        <v>0</v>
      </c>
      <c r="AE50" s="54">
        <f>攻击!AP50</f>
        <v>0</v>
      </c>
      <c r="AF50" s="54">
        <f>攻击!AQ50</f>
        <v>0</v>
      </c>
      <c r="AG50" s="47">
        <f>攻击!AR50</f>
        <v>20.8</v>
      </c>
      <c r="AH50" s="20">
        <f t="shared" si="0"/>
        <v>280.8</v>
      </c>
    </row>
    <row r="51" spans="1:34" s="20" customFormat="1">
      <c r="A51" s="46">
        <v>49</v>
      </c>
      <c r="B51" s="47">
        <f>攻击!D51</f>
        <v>106</v>
      </c>
      <c r="C51" s="47">
        <f>攻击!E51</f>
        <v>127.19999999999999</v>
      </c>
      <c r="D51" s="47">
        <f>攻击!F51</f>
        <v>159</v>
      </c>
      <c r="E51" s="47">
        <f>攻击!G51</f>
        <v>212</v>
      </c>
      <c r="F51" s="47">
        <f>攻击!H51</f>
        <v>265</v>
      </c>
      <c r="G51" s="47">
        <f>攻击!I51</f>
        <v>49</v>
      </c>
      <c r="H51" s="47">
        <f>攻击!J51</f>
        <v>31.799999999999997</v>
      </c>
      <c r="I51" s="47">
        <f>攻击!K51</f>
        <v>63.599999999999994</v>
      </c>
      <c r="J51" s="47">
        <f>攻击!L51</f>
        <v>0</v>
      </c>
      <c r="K51" s="47">
        <f>攻击!M51</f>
        <v>0</v>
      </c>
      <c r="L51" s="47">
        <f>攻击!N51</f>
        <v>127.19999999999999</v>
      </c>
      <c r="M51" s="47">
        <f>攻击!O51</f>
        <v>159</v>
      </c>
      <c r="N51" s="47">
        <f>攻击!P51</f>
        <v>212</v>
      </c>
      <c r="O51" s="47">
        <f>攻击!Q51</f>
        <v>265</v>
      </c>
      <c r="P51" s="47">
        <f>攻击!R51</f>
        <v>318</v>
      </c>
      <c r="Q51" s="47">
        <f>攻击!S51</f>
        <v>371</v>
      </c>
      <c r="R51" s="47">
        <f>攻击!T51</f>
        <v>79.5</v>
      </c>
      <c r="S51" s="47">
        <f>攻击!U51</f>
        <v>31.799999999999997</v>
      </c>
      <c r="T51" s="47">
        <f>攻击!V51</f>
        <v>31.799999999999997</v>
      </c>
      <c r="U51" s="47">
        <f>攻击!W51</f>
        <v>5.3000000000000007</v>
      </c>
      <c r="V51" s="54">
        <f>攻击!X51</f>
        <v>0</v>
      </c>
      <c r="W51" s="54">
        <f>攻击!Y51</f>
        <v>0</v>
      </c>
      <c r="X51" s="54">
        <f>攻击!Z51</f>
        <v>0</v>
      </c>
      <c r="Y51" s="54">
        <f>攻击!AA51</f>
        <v>0</v>
      </c>
      <c r="Z51" s="54">
        <f>攻击!AB51</f>
        <v>0</v>
      </c>
      <c r="AA51" s="47">
        <f>攻击!AL51</f>
        <v>0</v>
      </c>
      <c r="AB51" s="54">
        <f>攻击!AM51</f>
        <v>0</v>
      </c>
      <c r="AC51" s="54">
        <f>攻击!AN51</f>
        <v>0</v>
      </c>
      <c r="AD51" s="54">
        <f>攻击!AO51</f>
        <v>0</v>
      </c>
      <c r="AE51" s="54">
        <f>攻击!AP51</f>
        <v>0</v>
      </c>
      <c r="AF51" s="54">
        <f>攻击!AQ51</f>
        <v>0</v>
      </c>
      <c r="AG51" s="47">
        <f>攻击!AR51</f>
        <v>21.200000000000003</v>
      </c>
      <c r="AH51" s="20">
        <f t="shared" si="0"/>
        <v>286.2</v>
      </c>
    </row>
    <row r="52" spans="1:34" s="20" customFormat="1">
      <c r="A52" s="46">
        <v>50</v>
      </c>
      <c r="B52" s="47">
        <f>攻击!D52</f>
        <v>108</v>
      </c>
      <c r="C52" s="47">
        <f>攻击!E52</f>
        <v>129.6</v>
      </c>
      <c r="D52" s="47">
        <f>攻击!F52</f>
        <v>162</v>
      </c>
      <c r="E52" s="47">
        <f>攻击!G52</f>
        <v>216</v>
      </c>
      <c r="F52" s="47">
        <f>攻击!H52</f>
        <v>270</v>
      </c>
      <c r="G52" s="47">
        <f>攻击!I52</f>
        <v>54</v>
      </c>
      <c r="H52" s="47">
        <f>攻击!J52</f>
        <v>32.4</v>
      </c>
      <c r="I52" s="47">
        <f>攻击!K52</f>
        <v>64.8</v>
      </c>
      <c r="J52" s="47">
        <f>攻击!L52</f>
        <v>0</v>
      </c>
      <c r="K52" s="47">
        <f>攻击!M52</f>
        <v>86.4</v>
      </c>
      <c r="L52" s="47">
        <f>攻击!N52</f>
        <v>129.6</v>
      </c>
      <c r="M52" s="47">
        <f>攻击!O52</f>
        <v>162</v>
      </c>
      <c r="N52" s="47">
        <f>攻击!P52</f>
        <v>216</v>
      </c>
      <c r="O52" s="47">
        <f>攻击!Q52</f>
        <v>270</v>
      </c>
      <c r="P52" s="47">
        <f>攻击!R52</f>
        <v>324</v>
      </c>
      <c r="Q52" s="47">
        <f>攻击!S52</f>
        <v>378</v>
      </c>
      <c r="R52" s="47">
        <f>攻击!T52</f>
        <v>81</v>
      </c>
      <c r="S52" s="47">
        <f>攻击!U52</f>
        <v>32.4</v>
      </c>
      <c r="T52" s="47">
        <f>攻击!V52</f>
        <v>32.4</v>
      </c>
      <c r="U52" s="47">
        <f>攻击!W52</f>
        <v>5.4</v>
      </c>
      <c r="V52" s="54">
        <f>攻击!X52</f>
        <v>0</v>
      </c>
      <c r="W52" s="54">
        <f>攻击!Y52</f>
        <v>0</v>
      </c>
      <c r="X52" s="54">
        <f>攻击!Z52</f>
        <v>0</v>
      </c>
      <c r="Y52" s="54">
        <f>攻击!AA52</f>
        <v>0</v>
      </c>
      <c r="Z52" s="54">
        <f>攻击!AB52</f>
        <v>0</v>
      </c>
      <c r="AA52" s="47">
        <f>攻击!AL52</f>
        <v>0</v>
      </c>
      <c r="AB52" s="54">
        <f>攻击!AM52</f>
        <v>0</v>
      </c>
      <c r="AC52" s="54">
        <f>攻击!AN52</f>
        <v>0</v>
      </c>
      <c r="AD52" s="54">
        <f>攻击!AO52</f>
        <v>0</v>
      </c>
      <c r="AE52" s="54">
        <f>攻击!AP52</f>
        <v>0</v>
      </c>
      <c r="AF52" s="54">
        <f>攻击!AQ52</f>
        <v>0</v>
      </c>
      <c r="AG52" s="47">
        <f>攻击!AR52</f>
        <v>21.6</v>
      </c>
      <c r="AH52" s="20">
        <f t="shared" si="0"/>
        <v>291.60000000000002</v>
      </c>
    </row>
    <row r="53" spans="1:34" s="20" customFormat="1">
      <c r="A53" s="46">
        <v>51</v>
      </c>
      <c r="B53" s="47">
        <f>攻击!D53</f>
        <v>110</v>
      </c>
      <c r="C53" s="47">
        <f>攻击!E53</f>
        <v>132</v>
      </c>
      <c r="D53" s="47">
        <f>攻击!F53</f>
        <v>165</v>
      </c>
      <c r="E53" s="47">
        <f>攻击!G53</f>
        <v>220</v>
      </c>
      <c r="F53" s="47">
        <f>攻击!H53</f>
        <v>275</v>
      </c>
      <c r="G53" s="47">
        <f>攻击!I53</f>
        <v>54</v>
      </c>
      <c r="H53" s="47">
        <f>攻击!J53</f>
        <v>33</v>
      </c>
      <c r="I53" s="47">
        <f>攻击!K53</f>
        <v>66</v>
      </c>
      <c r="J53" s="47">
        <f>攻击!L53</f>
        <v>0</v>
      </c>
      <c r="K53" s="47">
        <f>攻击!M53</f>
        <v>88</v>
      </c>
      <c r="L53" s="47">
        <f>攻击!N53</f>
        <v>132</v>
      </c>
      <c r="M53" s="47">
        <f>攻击!O53</f>
        <v>165</v>
      </c>
      <c r="N53" s="47">
        <f>攻击!P53</f>
        <v>220</v>
      </c>
      <c r="O53" s="47">
        <f>攻击!Q53</f>
        <v>275</v>
      </c>
      <c r="P53" s="47">
        <f>攻击!R53</f>
        <v>330</v>
      </c>
      <c r="Q53" s="47">
        <f>攻击!S53</f>
        <v>385</v>
      </c>
      <c r="R53" s="47">
        <f>攻击!T53</f>
        <v>82.5</v>
      </c>
      <c r="S53" s="47">
        <f>攻击!U53</f>
        <v>33</v>
      </c>
      <c r="T53" s="47">
        <f>攻击!V53</f>
        <v>33</v>
      </c>
      <c r="U53" s="47">
        <f>攻击!W53</f>
        <v>5.5</v>
      </c>
      <c r="V53" s="54">
        <f>攻击!X53</f>
        <v>0</v>
      </c>
      <c r="W53" s="54">
        <f>攻击!Y53</f>
        <v>0</v>
      </c>
      <c r="X53" s="54">
        <f>攻击!Z53</f>
        <v>0</v>
      </c>
      <c r="Y53" s="54">
        <f>攻击!AA53</f>
        <v>0</v>
      </c>
      <c r="Z53" s="54">
        <f>攻击!AB53</f>
        <v>0</v>
      </c>
      <c r="AA53" s="47">
        <f>攻击!AL53</f>
        <v>0</v>
      </c>
      <c r="AB53" s="54">
        <f>攻击!AM53</f>
        <v>0</v>
      </c>
      <c r="AC53" s="54">
        <f>攻击!AN53</f>
        <v>0</v>
      </c>
      <c r="AD53" s="54">
        <f>攻击!AO53</f>
        <v>0</v>
      </c>
      <c r="AE53" s="54">
        <f>攻击!AP53</f>
        <v>0</v>
      </c>
      <c r="AF53" s="54">
        <f>攻击!AQ53</f>
        <v>0</v>
      </c>
      <c r="AG53" s="47">
        <f>攻击!AR53</f>
        <v>22</v>
      </c>
      <c r="AH53" s="20">
        <f t="shared" si="0"/>
        <v>297</v>
      </c>
    </row>
    <row r="54" spans="1:34" s="20" customFormat="1">
      <c r="A54" s="46">
        <v>52</v>
      </c>
      <c r="B54" s="47">
        <f>攻击!D54</f>
        <v>112</v>
      </c>
      <c r="C54" s="47">
        <f>攻击!E54</f>
        <v>134.4</v>
      </c>
      <c r="D54" s="47">
        <f>攻击!F54</f>
        <v>168</v>
      </c>
      <c r="E54" s="47">
        <f>攻击!G54</f>
        <v>224</v>
      </c>
      <c r="F54" s="47">
        <f>攻击!H54</f>
        <v>280</v>
      </c>
      <c r="G54" s="47">
        <f>攻击!I54</f>
        <v>54</v>
      </c>
      <c r="H54" s="47">
        <f>攻击!J54</f>
        <v>33.6</v>
      </c>
      <c r="I54" s="47">
        <f>攻击!K54</f>
        <v>67.2</v>
      </c>
      <c r="J54" s="47">
        <f>攻击!L54</f>
        <v>0</v>
      </c>
      <c r="K54" s="47">
        <f>攻击!M54</f>
        <v>89.600000000000009</v>
      </c>
      <c r="L54" s="47">
        <f>攻击!N54</f>
        <v>134.4</v>
      </c>
      <c r="M54" s="47">
        <f>攻击!O54</f>
        <v>168</v>
      </c>
      <c r="N54" s="47">
        <f>攻击!P54</f>
        <v>224</v>
      </c>
      <c r="O54" s="47">
        <f>攻击!Q54</f>
        <v>280</v>
      </c>
      <c r="P54" s="47">
        <f>攻击!R54</f>
        <v>336</v>
      </c>
      <c r="Q54" s="47">
        <f>攻击!S54</f>
        <v>392</v>
      </c>
      <c r="R54" s="47">
        <f>攻击!T54</f>
        <v>84</v>
      </c>
      <c r="S54" s="47">
        <f>攻击!U54</f>
        <v>33.6</v>
      </c>
      <c r="T54" s="47">
        <f>攻击!V54</f>
        <v>33.6</v>
      </c>
      <c r="U54" s="47">
        <f>攻击!W54</f>
        <v>5.6000000000000005</v>
      </c>
      <c r="V54" s="54">
        <f>攻击!X54</f>
        <v>0</v>
      </c>
      <c r="W54" s="54">
        <f>攻击!Y54</f>
        <v>0</v>
      </c>
      <c r="X54" s="54">
        <f>攻击!Z54</f>
        <v>0</v>
      </c>
      <c r="Y54" s="54">
        <f>攻击!AA54</f>
        <v>0</v>
      </c>
      <c r="Z54" s="54">
        <f>攻击!AB54</f>
        <v>0</v>
      </c>
      <c r="AA54" s="47">
        <f>攻击!AL54</f>
        <v>0</v>
      </c>
      <c r="AB54" s="54">
        <f>攻击!AM54</f>
        <v>0</v>
      </c>
      <c r="AC54" s="54">
        <f>攻击!AN54</f>
        <v>0</v>
      </c>
      <c r="AD54" s="54">
        <f>攻击!AO54</f>
        <v>0</v>
      </c>
      <c r="AE54" s="54">
        <f>攻击!AP54</f>
        <v>0</v>
      </c>
      <c r="AF54" s="54">
        <f>攻击!AQ54</f>
        <v>0</v>
      </c>
      <c r="AG54" s="47">
        <f>攻击!AR54</f>
        <v>22.400000000000002</v>
      </c>
      <c r="AH54" s="20">
        <f t="shared" si="0"/>
        <v>302.39999999999998</v>
      </c>
    </row>
    <row r="55" spans="1:34" s="20" customFormat="1">
      <c r="A55" s="46">
        <v>53</v>
      </c>
      <c r="B55" s="47">
        <f>攻击!D55</f>
        <v>114</v>
      </c>
      <c r="C55" s="47">
        <f>攻击!E55</f>
        <v>136.79999999999998</v>
      </c>
      <c r="D55" s="47">
        <f>攻击!F55</f>
        <v>171</v>
      </c>
      <c r="E55" s="47">
        <f>攻击!G55</f>
        <v>228</v>
      </c>
      <c r="F55" s="47">
        <f>攻击!H55</f>
        <v>285</v>
      </c>
      <c r="G55" s="47">
        <f>攻击!I55</f>
        <v>54</v>
      </c>
      <c r="H55" s="47">
        <f>攻击!J55</f>
        <v>34.199999999999996</v>
      </c>
      <c r="I55" s="47">
        <f>攻击!K55</f>
        <v>68.399999999999991</v>
      </c>
      <c r="J55" s="47">
        <f>攻击!L55</f>
        <v>0</v>
      </c>
      <c r="K55" s="47">
        <f>攻击!M55</f>
        <v>91.2</v>
      </c>
      <c r="L55" s="47">
        <f>攻击!N55</f>
        <v>136.79999999999998</v>
      </c>
      <c r="M55" s="47">
        <f>攻击!O55</f>
        <v>171</v>
      </c>
      <c r="N55" s="47">
        <f>攻击!P55</f>
        <v>228</v>
      </c>
      <c r="O55" s="47">
        <f>攻击!Q55</f>
        <v>285</v>
      </c>
      <c r="P55" s="47">
        <f>攻击!R55</f>
        <v>342</v>
      </c>
      <c r="Q55" s="47">
        <f>攻击!S55</f>
        <v>399</v>
      </c>
      <c r="R55" s="47">
        <f>攻击!T55</f>
        <v>85.5</v>
      </c>
      <c r="S55" s="47">
        <f>攻击!U55</f>
        <v>34.199999999999996</v>
      </c>
      <c r="T55" s="47">
        <f>攻击!V55</f>
        <v>34.199999999999996</v>
      </c>
      <c r="U55" s="47">
        <f>攻击!W55</f>
        <v>5.7</v>
      </c>
      <c r="V55" s="54">
        <f>攻击!X55</f>
        <v>0</v>
      </c>
      <c r="W55" s="54">
        <f>攻击!Y55</f>
        <v>0</v>
      </c>
      <c r="X55" s="54">
        <f>攻击!Z55</f>
        <v>0</v>
      </c>
      <c r="Y55" s="54">
        <f>攻击!AA55</f>
        <v>0</v>
      </c>
      <c r="Z55" s="54">
        <f>攻击!AB55</f>
        <v>0</v>
      </c>
      <c r="AA55" s="47">
        <f>攻击!AL55</f>
        <v>0</v>
      </c>
      <c r="AB55" s="54">
        <f>攻击!AM55</f>
        <v>0</v>
      </c>
      <c r="AC55" s="54">
        <f>攻击!AN55</f>
        <v>0</v>
      </c>
      <c r="AD55" s="54">
        <f>攻击!AO55</f>
        <v>0</v>
      </c>
      <c r="AE55" s="54">
        <f>攻击!AP55</f>
        <v>0</v>
      </c>
      <c r="AF55" s="54">
        <f>攻击!AQ55</f>
        <v>0</v>
      </c>
      <c r="AG55" s="47">
        <f>攻击!AR55</f>
        <v>22.8</v>
      </c>
      <c r="AH55" s="20">
        <f t="shared" si="0"/>
        <v>307.8</v>
      </c>
    </row>
    <row r="56" spans="1:34" s="20" customFormat="1">
      <c r="A56" s="46">
        <v>54</v>
      </c>
      <c r="B56" s="47">
        <f>攻击!D56</f>
        <v>116</v>
      </c>
      <c r="C56" s="47">
        <f>攻击!E56</f>
        <v>139.19999999999999</v>
      </c>
      <c r="D56" s="47">
        <f>攻击!F56</f>
        <v>174</v>
      </c>
      <c r="E56" s="47">
        <f>攻击!G56</f>
        <v>232</v>
      </c>
      <c r="F56" s="47">
        <f>攻击!H56</f>
        <v>290</v>
      </c>
      <c r="G56" s="47">
        <f>攻击!I56</f>
        <v>54</v>
      </c>
      <c r="H56" s="47">
        <f>攻击!J56</f>
        <v>34.799999999999997</v>
      </c>
      <c r="I56" s="47">
        <f>攻击!K56</f>
        <v>69.599999999999994</v>
      </c>
      <c r="J56" s="47">
        <f>攻击!L56</f>
        <v>0</v>
      </c>
      <c r="K56" s="47">
        <f>攻击!M56</f>
        <v>92.800000000000011</v>
      </c>
      <c r="L56" s="47">
        <f>攻击!N56</f>
        <v>139.19999999999999</v>
      </c>
      <c r="M56" s="47">
        <f>攻击!O56</f>
        <v>174</v>
      </c>
      <c r="N56" s="47">
        <f>攻击!P56</f>
        <v>232</v>
      </c>
      <c r="O56" s="47">
        <f>攻击!Q56</f>
        <v>290</v>
      </c>
      <c r="P56" s="47">
        <f>攻击!R56</f>
        <v>348</v>
      </c>
      <c r="Q56" s="47">
        <f>攻击!S56</f>
        <v>406</v>
      </c>
      <c r="R56" s="47">
        <f>攻击!T56</f>
        <v>87</v>
      </c>
      <c r="S56" s="47">
        <f>攻击!U56</f>
        <v>34.799999999999997</v>
      </c>
      <c r="T56" s="47">
        <f>攻击!V56</f>
        <v>34.799999999999997</v>
      </c>
      <c r="U56" s="47">
        <f>攻击!W56</f>
        <v>5.8000000000000007</v>
      </c>
      <c r="V56" s="54">
        <f>攻击!X56</f>
        <v>0</v>
      </c>
      <c r="W56" s="54">
        <f>攻击!Y56</f>
        <v>0</v>
      </c>
      <c r="X56" s="54">
        <f>攻击!Z56</f>
        <v>0</v>
      </c>
      <c r="Y56" s="54">
        <f>攻击!AA56</f>
        <v>0</v>
      </c>
      <c r="Z56" s="54">
        <f>攻击!AB56</f>
        <v>0</v>
      </c>
      <c r="AA56" s="47">
        <f>攻击!AL56</f>
        <v>0</v>
      </c>
      <c r="AB56" s="54">
        <f>攻击!AM56</f>
        <v>0</v>
      </c>
      <c r="AC56" s="54">
        <f>攻击!AN56</f>
        <v>0</v>
      </c>
      <c r="AD56" s="54">
        <f>攻击!AO56</f>
        <v>0</v>
      </c>
      <c r="AE56" s="54">
        <f>攻击!AP56</f>
        <v>0</v>
      </c>
      <c r="AF56" s="54">
        <f>攻击!AQ56</f>
        <v>0</v>
      </c>
      <c r="AG56" s="47">
        <f>攻击!AR56</f>
        <v>23.200000000000003</v>
      </c>
      <c r="AH56" s="20">
        <f t="shared" si="0"/>
        <v>313.2</v>
      </c>
    </row>
    <row r="57" spans="1:34" s="20" customFormat="1">
      <c r="A57" s="46">
        <v>55</v>
      </c>
      <c r="B57" s="47">
        <f>攻击!D57</f>
        <v>118</v>
      </c>
      <c r="C57" s="47">
        <f>攻击!E57</f>
        <v>141.6</v>
      </c>
      <c r="D57" s="47">
        <f>攻击!F57</f>
        <v>177</v>
      </c>
      <c r="E57" s="47">
        <f>攻击!G57</f>
        <v>236</v>
      </c>
      <c r="F57" s="47">
        <f>攻击!H57</f>
        <v>295</v>
      </c>
      <c r="G57" s="47">
        <f>攻击!I57</f>
        <v>59</v>
      </c>
      <c r="H57" s="47">
        <f>攻击!J57</f>
        <v>35.4</v>
      </c>
      <c r="I57" s="47">
        <f>攻击!K57</f>
        <v>70.8</v>
      </c>
      <c r="J57" s="47">
        <f>攻击!L57</f>
        <v>0</v>
      </c>
      <c r="K57" s="47">
        <f>攻击!M57</f>
        <v>94.4</v>
      </c>
      <c r="L57" s="47">
        <f>攻击!N57</f>
        <v>141.6</v>
      </c>
      <c r="M57" s="47">
        <f>攻击!O57</f>
        <v>177</v>
      </c>
      <c r="N57" s="47">
        <f>攻击!P57</f>
        <v>236</v>
      </c>
      <c r="O57" s="47">
        <f>攻击!Q57</f>
        <v>295</v>
      </c>
      <c r="P57" s="47">
        <f>攻击!R57</f>
        <v>354</v>
      </c>
      <c r="Q57" s="47">
        <f>攻击!S57</f>
        <v>413</v>
      </c>
      <c r="R57" s="47">
        <f>攻击!T57</f>
        <v>88.5</v>
      </c>
      <c r="S57" s="47">
        <f>攻击!U57</f>
        <v>35.4</v>
      </c>
      <c r="T57" s="47">
        <f>攻击!V57</f>
        <v>35.4</v>
      </c>
      <c r="U57" s="47">
        <f>攻击!W57</f>
        <v>5.9</v>
      </c>
      <c r="V57" s="54">
        <f>攻击!X57</f>
        <v>0</v>
      </c>
      <c r="W57" s="54">
        <f>攻击!Y57</f>
        <v>0</v>
      </c>
      <c r="X57" s="54">
        <f>攻击!Z57</f>
        <v>0</v>
      </c>
      <c r="Y57" s="54">
        <f>攻击!AA57</f>
        <v>0</v>
      </c>
      <c r="Z57" s="54">
        <f>攻击!AB57</f>
        <v>0</v>
      </c>
      <c r="AA57" s="47">
        <f>攻击!AL57</f>
        <v>0</v>
      </c>
      <c r="AB57" s="54">
        <f>攻击!AM57</f>
        <v>0</v>
      </c>
      <c r="AC57" s="54">
        <f>攻击!AN57</f>
        <v>0</v>
      </c>
      <c r="AD57" s="54">
        <f>攻击!AO57</f>
        <v>0</v>
      </c>
      <c r="AE57" s="54">
        <f>攻击!AP57</f>
        <v>0</v>
      </c>
      <c r="AF57" s="54">
        <f>攻击!AQ57</f>
        <v>0</v>
      </c>
      <c r="AG57" s="47">
        <f>攻击!AR57</f>
        <v>23.6</v>
      </c>
      <c r="AH57" s="20">
        <f t="shared" si="0"/>
        <v>318.60000000000002</v>
      </c>
    </row>
    <row r="58" spans="1:34" s="20" customFormat="1">
      <c r="A58" s="46">
        <v>56</v>
      </c>
      <c r="B58" s="47">
        <f>攻击!D58</f>
        <v>120</v>
      </c>
      <c r="C58" s="47">
        <f>攻击!E58</f>
        <v>144</v>
      </c>
      <c r="D58" s="47">
        <f>攻击!F58</f>
        <v>180</v>
      </c>
      <c r="E58" s="47">
        <f>攻击!G58</f>
        <v>240</v>
      </c>
      <c r="F58" s="47">
        <f>攻击!H58</f>
        <v>300</v>
      </c>
      <c r="G58" s="47">
        <f>攻击!I58</f>
        <v>59</v>
      </c>
      <c r="H58" s="47">
        <f>攻击!J58</f>
        <v>36</v>
      </c>
      <c r="I58" s="47">
        <f>攻击!K58</f>
        <v>72</v>
      </c>
      <c r="J58" s="47">
        <f>攻击!L58</f>
        <v>0</v>
      </c>
      <c r="K58" s="47">
        <f>攻击!M58</f>
        <v>96</v>
      </c>
      <c r="L58" s="47">
        <f>攻击!N58</f>
        <v>144</v>
      </c>
      <c r="M58" s="47">
        <f>攻击!O58</f>
        <v>180</v>
      </c>
      <c r="N58" s="47">
        <f>攻击!P58</f>
        <v>240</v>
      </c>
      <c r="O58" s="47">
        <f>攻击!Q58</f>
        <v>300</v>
      </c>
      <c r="P58" s="47">
        <f>攻击!R58</f>
        <v>360</v>
      </c>
      <c r="Q58" s="47">
        <f>攻击!S58</f>
        <v>420</v>
      </c>
      <c r="R58" s="47">
        <f>攻击!T58</f>
        <v>90</v>
      </c>
      <c r="S58" s="47">
        <f>攻击!U58</f>
        <v>36</v>
      </c>
      <c r="T58" s="47">
        <f>攻击!V58</f>
        <v>36</v>
      </c>
      <c r="U58" s="47">
        <f>攻击!W58</f>
        <v>6</v>
      </c>
      <c r="V58" s="54">
        <f>攻击!X58</f>
        <v>0</v>
      </c>
      <c r="W58" s="54">
        <f>攻击!Y58</f>
        <v>0</v>
      </c>
      <c r="X58" s="54">
        <f>攻击!Z58</f>
        <v>0</v>
      </c>
      <c r="Y58" s="54">
        <f>攻击!AA58</f>
        <v>0</v>
      </c>
      <c r="Z58" s="54">
        <f>攻击!AB58</f>
        <v>0</v>
      </c>
      <c r="AA58" s="47">
        <f>攻击!AL58</f>
        <v>0</v>
      </c>
      <c r="AB58" s="54">
        <f>攻击!AM58</f>
        <v>0</v>
      </c>
      <c r="AC58" s="54">
        <f>攻击!AN58</f>
        <v>0</v>
      </c>
      <c r="AD58" s="54">
        <f>攻击!AO58</f>
        <v>0</v>
      </c>
      <c r="AE58" s="54">
        <f>攻击!AP58</f>
        <v>0</v>
      </c>
      <c r="AF58" s="54">
        <f>攻击!AQ58</f>
        <v>0</v>
      </c>
      <c r="AG58" s="47">
        <f>攻击!AR58</f>
        <v>24</v>
      </c>
      <c r="AH58" s="20">
        <f t="shared" si="0"/>
        <v>324</v>
      </c>
    </row>
    <row r="59" spans="1:34" s="20" customFormat="1">
      <c r="A59" s="46">
        <v>57</v>
      </c>
      <c r="B59" s="47">
        <f>攻击!D59</f>
        <v>122</v>
      </c>
      <c r="C59" s="47">
        <f>攻击!E59</f>
        <v>146.4</v>
      </c>
      <c r="D59" s="47">
        <f>攻击!F59</f>
        <v>183</v>
      </c>
      <c r="E59" s="47">
        <f>攻击!G59</f>
        <v>244</v>
      </c>
      <c r="F59" s="47">
        <f>攻击!H59</f>
        <v>305</v>
      </c>
      <c r="G59" s="47">
        <f>攻击!I59</f>
        <v>59</v>
      </c>
      <c r="H59" s="47">
        <f>攻击!J59</f>
        <v>36.6</v>
      </c>
      <c r="I59" s="47">
        <f>攻击!K59</f>
        <v>73.2</v>
      </c>
      <c r="J59" s="47">
        <f>攻击!L59</f>
        <v>0</v>
      </c>
      <c r="K59" s="47">
        <f>攻击!M59</f>
        <v>97.600000000000009</v>
      </c>
      <c r="L59" s="47">
        <f>攻击!N59</f>
        <v>146.4</v>
      </c>
      <c r="M59" s="47">
        <f>攻击!O59</f>
        <v>183</v>
      </c>
      <c r="N59" s="47">
        <f>攻击!P59</f>
        <v>244</v>
      </c>
      <c r="O59" s="47">
        <f>攻击!Q59</f>
        <v>305</v>
      </c>
      <c r="P59" s="47">
        <f>攻击!R59</f>
        <v>366</v>
      </c>
      <c r="Q59" s="47">
        <f>攻击!S59</f>
        <v>427</v>
      </c>
      <c r="R59" s="47">
        <f>攻击!T59</f>
        <v>91.5</v>
      </c>
      <c r="S59" s="47">
        <f>攻击!U59</f>
        <v>36.6</v>
      </c>
      <c r="T59" s="47">
        <f>攻击!V59</f>
        <v>36.6</v>
      </c>
      <c r="U59" s="47">
        <f>攻击!W59</f>
        <v>6.1000000000000005</v>
      </c>
      <c r="V59" s="54">
        <f>攻击!X59</f>
        <v>0</v>
      </c>
      <c r="W59" s="54">
        <f>攻击!Y59</f>
        <v>0</v>
      </c>
      <c r="X59" s="54">
        <f>攻击!Z59</f>
        <v>0</v>
      </c>
      <c r="Y59" s="54">
        <f>攻击!AA59</f>
        <v>0</v>
      </c>
      <c r="Z59" s="54">
        <f>攻击!AB59</f>
        <v>0</v>
      </c>
      <c r="AA59" s="47">
        <f>攻击!AL59</f>
        <v>0</v>
      </c>
      <c r="AB59" s="54">
        <f>攻击!AM59</f>
        <v>0</v>
      </c>
      <c r="AC59" s="54">
        <f>攻击!AN59</f>
        <v>0</v>
      </c>
      <c r="AD59" s="54">
        <f>攻击!AO59</f>
        <v>0</v>
      </c>
      <c r="AE59" s="54">
        <f>攻击!AP59</f>
        <v>0</v>
      </c>
      <c r="AF59" s="54">
        <f>攻击!AQ59</f>
        <v>0</v>
      </c>
      <c r="AG59" s="47">
        <f>攻击!AR59</f>
        <v>24.400000000000002</v>
      </c>
      <c r="AH59" s="20">
        <f t="shared" si="0"/>
        <v>329.4</v>
      </c>
    </row>
    <row r="60" spans="1:34" s="20" customFormat="1">
      <c r="A60" s="46">
        <v>58</v>
      </c>
      <c r="B60" s="47">
        <f>攻击!D60</f>
        <v>124</v>
      </c>
      <c r="C60" s="47">
        <f>攻击!E60</f>
        <v>148.79999999999998</v>
      </c>
      <c r="D60" s="47">
        <f>攻击!F60</f>
        <v>186</v>
      </c>
      <c r="E60" s="47">
        <f>攻击!G60</f>
        <v>248</v>
      </c>
      <c r="F60" s="47">
        <f>攻击!H60</f>
        <v>310</v>
      </c>
      <c r="G60" s="47">
        <f>攻击!I60</f>
        <v>59</v>
      </c>
      <c r="H60" s="47">
        <f>攻击!J60</f>
        <v>37.199999999999996</v>
      </c>
      <c r="I60" s="47">
        <f>攻击!K60</f>
        <v>74.399999999999991</v>
      </c>
      <c r="J60" s="47">
        <f>攻击!L60</f>
        <v>0</v>
      </c>
      <c r="K60" s="47">
        <f>攻击!M60</f>
        <v>99.2</v>
      </c>
      <c r="L60" s="47">
        <f>攻击!N60</f>
        <v>148.79999999999998</v>
      </c>
      <c r="M60" s="47">
        <f>攻击!O60</f>
        <v>186</v>
      </c>
      <c r="N60" s="47">
        <f>攻击!P60</f>
        <v>248</v>
      </c>
      <c r="O60" s="47">
        <f>攻击!Q60</f>
        <v>310</v>
      </c>
      <c r="P60" s="47">
        <f>攻击!R60</f>
        <v>372</v>
      </c>
      <c r="Q60" s="47">
        <f>攻击!S60</f>
        <v>434</v>
      </c>
      <c r="R60" s="47">
        <f>攻击!T60</f>
        <v>93</v>
      </c>
      <c r="S60" s="47">
        <f>攻击!U60</f>
        <v>37.199999999999996</v>
      </c>
      <c r="T60" s="47">
        <f>攻击!V60</f>
        <v>37.199999999999996</v>
      </c>
      <c r="U60" s="47">
        <f>攻击!W60</f>
        <v>6.2</v>
      </c>
      <c r="V60" s="54">
        <f>攻击!X60</f>
        <v>0</v>
      </c>
      <c r="W60" s="54">
        <f>攻击!Y60</f>
        <v>0</v>
      </c>
      <c r="X60" s="54">
        <f>攻击!Z60</f>
        <v>0</v>
      </c>
      <c r="Y60" s="54">
        <f>攻击!AA60</f>
        <v>0</v>
      </c>
      <c r="Z60" s="54">
        <f>攻击!AB60</f>
        <v>0</v>
      </c>
      <c r="AA60" s="47">
        <f>攻击!AL60</f>
        <v>0</v>
      </c>
      <c r="AB60" s="54">
        <f>攻击!AM60</f>
        <v>0</v>
      </c>
      <c r="AC60" s="54">
        <f>攻击!AN60</f>
        <v>0</v>
      </c>
      <c r="AD60" s="54">
        <f>攻击!AO60</f>
        <v>0</v>
      </c>
      <c r="AE60" s="54">
        <f>攻击!AP60</f>
        <v>0</v>
      </c>
      <c r="AF60" s="54">
        <f>攻击!AQ60</f>
        <v>0</v>
      </c>
      <c r="AG60" s="47">
        <f>攻击!AR60</f>
        <v>24.8</v>
      </c>
      <c r="AH60" s="20">
        <f t="shared" si="0"/>
        <v>334.8</v>
      </c>
    </row>
    <row r="61" spans="1:34" s="20" customFormat="1">
      <c r="A61" s="46">
        <v>59</v>
      </c>
      <c r="B61" s="47">
        <f>攻击!D61</f>
        <v>126</v>
      </c>
      <c r="C61" s="47">
        <f>攻击!E61</f>
        <v>151.19999999999999</v>
      </c>
      <c r="D61" s="47">
        <f>攻击!F61</f>
        <v>189</v>
      </c>
      <c r="E61" s="47">
        <f>攻击!G61</f>
        <v>252</v>
      </c>
      <c r="F61" s="47">
        <f>攻击!H61</f>
        <v>315</v>
      </c>
      <c r="G61" s="47">
        <f>攻击!I61</f>
        <v>59</v>
      </c>
      <c r="H61" s="47">
        <f>攻击!J61</f>
        <v>37.799999999999997</v>
      </c>
      <c r="I61" s="47">
        <f>攻击!K61</f>
        <v>75.599999999999994</v>
      </c>
      <c r="J61" s="47">
        <f>攻击!L61</f>
        <v>0</v>
      </c>
      <c r="K61" s="47">
        <f>攻击!M61</f>
        <v>100.80000000000001</v>
      </c>
      <c r="L61" s="47">
        <f>攻击!N61</f>
        <v>151.19999999999999</v>
      </c>
      <c r="M61" s="47">
        <f>攻击!O61</f>
        <v>189</v>
      </c>
      <c r="N61" s="47">
        <f>攻击!P61</f>
        <v>252</v>
      </c>
      <c r="O61" s="47">
        <f>攻击!Q61</f>
        <v>315</v>
      </c>
      <c r="P61" s="47">
        <f>攻击!R61</f>
        <v>378</v>
      </c>
      <c r="Q61" s="47">
        <f>攻击!S61</f>
        <v>441</v>
      </c>
      <c r="R61" s="47">
        <f>攻击!T61</f>
        <v>94.5</v>
      </c>
      <c r="S61" s="47">
        <f>攻击!U61</f>
        <v>37.799999999999997</v>
      </c>
      <c r="T61" s="47">
        <f>攻击!V61</f>
        <v>37.799999999999997</v>
      </c>
      <c r="U61" s="47">
        <f>攻击!W61</f>
        <v>6.3000000000000007</v>
      </c>
      <c r="V61" s="54">
        <f>攻击!X61</f>
        <v>0</v>
      </c>
      <c r="W61" s="54">
        <f>攻击!Y61</f>
        <v>0</v>
      </c>
      <c r="X61" s="54">
        <f>攻击!Z61</f>
        <v>0</v>
      </c>
      <c r="Y61" s="54">
        <f>攻击!AA61</f>
        <v>0</v>
      </c>
      <c r="Z61" s="54">
        <f>攻击!AB61</f>
        <v>0</v>
      </c>
      <c r="AA61" s="47">
        <f>攻击!AL61</f>
        <v>0</v>
      </c>
      <c r="AB61" s="54">
        <f>攻击!AM61</f>
        <v>0</v>
      </c>
      <c r="AC61" s="54">
        <f>攻击!AN61</f>
        <v>0</v>
      </c>
      <c r="AD61" s="54">
        <f>攻击!AO61</f>
        <v>0</v>
      </c>
      <c r="AE61" s="54">
        <f>攻击!AP61</f>
        <v>0</v>
      </c>
      <c r="AF61" s="54">
        <f>攻击!AQ61</f>
        <v>0</v>
      </c>
      <c r="AG61" s="47">
        <f>攻击!AR61</f>
        <v>25.200000000000003</v>
      </c>
      <c r="AH61" s="20">
        <f t="shared" si="0"/>
        <v>340.2</v>
      </c>
    </row>
    <row r="62" spans="1:34" s="20" customFormat="1">
      <c r="A62" s="46">
        <v>60</v>
      </c>
      <c r="B62" s="47">
        <f>攻击!D62</f>
        <v>128</v>
      </c>
      <c r="C62" s="47">
        <f>攻击!E62</f>
        <v>153.6</v>
      </c>
      <c r="D62" s="47">
        <f>攻击!F62</f>
        <v>192</v>
      </c>
      <c r="E62" s="47">
        <f>攻击!G62</f>
        <v>256</v>
      </c>
      <c r="F62" s="47">
        <f>攻击!H62</f>
        <v>320</v>
      </c>
      <c r="G62" s="47">
        <f>攻击!I62</f>
        <v>64</v>
      </c>
      <c r="H62" s="47">
        <f>攻击!J62</f>
        <v>38.4</v>
      </c>
      <c r="I62" s="47">
        <f>攻击!K62</f>
        <v>76.8</v>
      </c>
      <c r="J62" s="47">
        <f>攻击!L62</f>
        <v>0</v>
      </c>
      <c r="K62" s="47">
        <f>攻击!M62</f>
        <v>102.4</v>
      </c>
      <c r="L62" s="47">
        <f>攻击!N62</f>
        <v>153.6</v>
      </c>
      <c r="M62" s="47">
        <f>攻击!O62</f>
        <v>192</v>
      </c>
      <c r="N62" s="47">
        <f>攻击!P62</f>
        <v>256</v>
      </c>
      <c r="O62" s="47">
        <f>攻击!Q62</f>
        <v>320</v>
      </c>
      <c r="P62" s="47">
        <f>攻击!R62</f>
        <v>384</v>
      </c>
      <c r="Q62" s="47">
        <f>攻击!S62</f>
        <v>448</v>
      </c>
      <c r="R62" s="47">
        <f>攻击!T62</f>
        <v>96</v>
      </c>
      <c r="S62" s="47">
        <f>攻击!U62</f>
        <v>38.4</v>
      </c>
      <c r="T62" s="47">
        <f>攻击!V62</f>
        <v>38.4</v>
      </c>
      <c r="U62" s="47">
        <f>攻击!W62</f>
        <v>6.4</v>
      </c>
      <c r="V62" s="54">
        <f>攻击!X62</f>
        <v>0</v>
      </c>
      <c r="W62" s="54">
        <f>攻击!Y62</f>
        <v>0</v>
      </c>
      <c r="X62" s="54">
        <f>攻击!Z62</f>
        <v>0</v>
      </c>
      <c r="Y62" s="54">
        <f>攻击!AA62</f>
        <v>0</v>
      </c>
      <c r="Z62" s="54">
        <f>攻击!AB62</f>
        <v>0</v>
      </c>
      <c r="AA62" s="47">
        <f>攻击!AL62</f>
        <v>0</v>
      </c>
      <c r="AB62" s="54">
        <f>攻击!AM62</f>
        <v>0</v>
      </c>
      <c r="AC62" s="54">
        <f>攻击!AN62</f>
        <v>0</v>
      </c>
      <c r="AD62" s="54">
        <f>攻击!AO62</f>
        <v>0</v>
      </c>
      <c r="AE62" s="54">
        <f>攻击!AP62</f>
        <v>0</v>
      </c>
      <c r="AF62" s="54">
        <f>攻击!AQ62</f>
        <v>0</v>
      </c>
      <c r="AG62" s="47">
        <f>攻击!AR62</f>
        <v>25.6</v>
      </c>
      <c r="AH62" s="20">
        <f t="shared" si="0"/>
        <v>345.6</v>
      </c>
    </row>
    <row r="63" spans="1:34" s="20" customFormat="1">
      <c r="A63" s="46">
        <v>61</v>
      </c>
      <c r="B63" s="47">
        <f>攻击!D63</f>
        <v>130</v>
      </c>
      <c r="C63" s="47">
        <f>攻击!E63</f>
        <v>156</v>
      </c>
      <c r="D63" s="47">
        <f>攻击!F63</f>
        <v>195</v>
      </c>
      <c r="E63" s="47">
        <f>攻击!G63</f>
        <v>260</v>
      </c>
      <c r="F63" s="47">
        <f>攻击!H63</f>
        <v>325</v>
      </c>
      <c r="G63" s="47">
        <f>攻击!I63</f>
        <v>64</v>
      </c>
      <c r="H63" s="47">
        <f>攻击!J63</f>
        <v>39</v>
      </c>
      <c r="I63" s="47">
        <f>攻击!K63</f>
        <v>78</v>
      </c>
      <c r="J63" s="47">
        <f>攻击!L63</f>
        <v>0</v>
      </c>
      <c r="K63" s="47">
        <f>攻击!M63</f>
        <v>104</v>
      </c>
      <c r="L63" s="47">
        <f>攻击!N63</f>
        <v>156</v>
      </c>
      <c r="M63" s="47">
        <f>攻击!O63</f>
        <v>195</v>
      </c>
      <c r="N63" s="47">
        <f>攻击!P63</f>
        <v>260</v>
      </c>
      <c r="O63" s="47">
        <f>攻击!Q63</f>
        <v>325</v>
      </c>
      <c r="P63" s="47">
        <f>攻击!R63</f>
        <v>390</v>
      </c>
      <c r="Q63" s="47">
        <f>攻击!S63</f>
        <v>455</v>
      </c>
      <c r="R63" s="47">
        <f>攻击!T63</f>
        <v>97.5</v>
      </c>
      <c r="S63" s="47">
        <f>攻击!U63</f>
        <v>39</v>
      </c>
      <c r="T63" s="47">
        <f>攻击!V63</f>
        <v>39</v>
      </c>
      <c r="U63" s="47">
        <f>攻击!W63</f>
        <v>6.5</v>
      </c>
      <c r="V63" s="54">
        <f>攻击!X63</f>
        <v>0</v>
      </c>
      <c r="W63" s="54">
        <f>攻击!Y63</f>
        <v>0</v>
      </c>
      <c r="X63" s="54">
        <f>攻击!Z63</f>
        <v>0</v>
      </c>
      <c r="Y63" s="54">
        <f>攻击!AA63</f>
        <v>0</v>
      </c>
      <c r="Z63" s="54">
        <f>攻击!AB63</f>
        <v>0</v>
      </c>
      <c r="AA63" s="47">
        <f>攻击!AL63</f>
        <v>0</v>
      </c>
      <c r="AB63" s="54">
        <f>攻击!AM63</f>
        <v>0</v>
      </c>
      <c r="AC63" s="54">
        <f>攻击!AN63</f>
        <v>0</v>
      </c>
      <c r="AD63" s="54">
        <f>攻击!AO63</f>
        <v>0</v>
      </c>
      <c r="AE63" s="54">
        <f>攻击!AP63</f>
        <v>0</v>
      </c>
      <c r="AF63" s="54">
        <f>攻击!AQ63</f>
        <v>0</v>
      </c>
      <c r="AG63" s="47">
        <f>攻击!AR63</f>
        <v>26</v>
      </c>
      <c r="AH63" s="20">
        <f t="shared" si="0"/>
        <v>351</v>
      </c>
    </row>
    <row r="64" spans="1:34" s="20" customFormat="1">
      <c r="A64" s="46">
        <v>62</v>
      </c>
      <c r="B64" s="47">
        <f>攻击!D64</f>
        <v>132</v>
      </c>
      <c r="C64" s="47">
        <f>攻击!E64</f>
        <v>158.4</v>
      </c>
      <c r="D64" s="47">
        <f>攻击!F64</f>
        <v>198</v>
      </c>
      <c r="E64" s="47">
        <f>攻击!G64</f>
        <v>264</v>
      </c>
      <c r="F64" s="47">
        <f>攻击!H64</f>
        <v>330</v>
      </c>
      <c r="G64" s="47">
        <f>攻击!I64</f>
        <v>64</v>
      </c>
      <c r="H64" s="47">
        <f>攻击!J64</f>
        <v>39.6</v>
      </c>
      <c r="I64" s="47">
        <f>攻击!K64</f>
        <v>79.2</v>
      </c>
      <c r="J64" s="47">
        <f>攻击!L64</f>
        <v>0</v>
      </c>
      <c r="K64" s="47">
        <f>攻击!M64</f>
        <v>105.60000000000001</v>
      </c>
      <c r="L64" s="47">
        <f>攻击!N64</f>
        <v>158.4</v>
      </c>
      <c r="M64" s="47">
        <f>攻击!O64</f>
        <v>198</v>
      </c>
      <c r="N64" s="47">
        <f>攻击!P64</f>
        <v>264</v>
      </c>
      <c r="O64" s="47">
        <f>攻击!Q64</f>
        <v>330</v>
      </c>
      <c r="P64" s="47">
        <f>攻击!R64</f>
        <v>396</v>
      </c>
      <c r="Q64" s="47">
        <f>攻击!S64</f>
        <v>462</v>
      </c>
      <c r="R64" s="47">
        <f>攻击!T64</f>
        <v>99</v>
      </c>
      <c r="S64" s="47">
        <f>攻击!U64</f>
        <v>39.6</v>
      </c>
      <c r="T64" s="47">
        <f>攻击!V64</f>
        <v>39.6</v>
      </c>
      <c r="U64" s="47">
        <f>攻击!W64</f>
        <v>6.6000000000000005</v>
      </c>
      <c r="V64" s="54">
        <f>攻击!X64</f>
        <v>0</v>
      </c>
      <c r="W64" s="54">
        <f>攻击!Y64</f>
        <v>0</v>
      </c>
      <c r="X64" s="54">
        <f>攻击!Z64</f>
        <v>0</v>
      </c>
      <c r="Y64" s="54">
        <f>攻击!AA64</f>
        <v>0</v>
      </c>
      <c r="Z64" s="54">
        <f>攻击!AB64</f>
        <v>0</v>
      </c>
      <c r="AA64" s="47">
        <f>攻击!AL64</f>
        <v>0</v>
      </c>
      <c r="AB64" s="54">
        <f>攻击!AM64</f>
        <v>0</v>
      </c>
      <c r="AC64" s="54">
        <f>攻击!AN64</f>
        <v>0</v>
      </c>
      <c r="AD64" s="54">
        <f>攻击!AO64</f>
        <v>0</v>
      </c>
      <c r="AE64" s="54">
        <f>攻击!AP64</f>
        <v>0</v>
      </c>
      <c r="AF64" s="54">
        <f>攻击!AQ64</f>
        <v>0</v>
      </c>
      <c r="AG64" s="47">
        <f>攻击!AR64</f>
        <v>26.400000000000002</v>
      </c>
      <c r="AH64" s="20">
        <f t="shared" si="0"/>
        <v>356.4</v>
      </c>
    </row>
    <row r="65" spans="1:34" s="20" customFormat="1">
      <c r="A65" s="46">
        <v>63</v>
      </c>
      <c r="B65" s="47">
        <f>攻击!D65</f>
        <v>134</v>
      </c>
      <c r="C65" s="47">
        <f>攻击!E65</f>
        <v>160.79999999999998</v>
      </c>
      <c r="D65" s="47">
        <f>攻击!F65</f>
        <v>201</v>
      </c>
      <c r="E65" s="47">
        <f>攻击!G65</f>
        <v>268</v>
      </c>
      <c r="F65" s="47">
        <f>攻击!H65</f>
        <v>335</v>
      </c>
      <c r="G65" s="47">
        <f>攻击!I65</f>
        <v>64</v>
      </c>
      <c r="H65" s="47">
        <f>攻击!J65</f>
        <v>40.199999999999996</v>
      </c>
      <c r="I65" s="47">
        <f>攻击!K65</f>
        <v>80.399999999999991</v>
      </c>
      <c r="J65" s="47">
        <f>攻击!L65</f>
        <v>0</v>
      </c>
      <c r="K65" s="47">
        <f>攻击!M65</f>
        <v>107.2</v>
      </c>
      <c r="L65" s="47">
        <f>攻击!N65</f>
        <v>160.79999999999998</v>
      </c>
      <c r="M65" s="47">
        <f>攻击!O65</f>
        <v>201</v>
      </c>
      <c r="N65" s="47">
        <f>攻击!P65</f>
        <v>268</v>
      </c>
      <c r="O65" s="47">
        <f>攻击!Q65</f>
        <v>335</v>
      </c>
      <c r="P65" s="47">
        <f>攻击!R65</f>
        <v>402</v>
      </c>
      <c r="Q65" s="47">
        <f>攻击!S65</f>
        <v>469</v>
      </c>
      <c r="R65" s="47">
        <f>攻击!T65</f>
        <v>100.5</v>
      </c>
      <c r="S65" s="47">
        <f>攻击!U65</f>
        <v>40.199999999999996</v>
      </c>
      <c r="T65" s="47">
        <f>攻击!V65</f>
        <v>40.199999999999996</v>
      </c>
      <c r="U65" s="47">
        <f>攻击!W65</f>
        <v>6.7</v>
      </c>
      <c r="V65" s="54">
        <f>攻击!X65</f>
        <v>0</v>
      </c>
      <c r="W65" s="54">
        <f>攻击!Y65</f>
        <v>0</v>
      </c>
      <c r="X65" s="54">
        <f>攻击!Z65</f>
        <v>0</v>
      </c>
      <c r="Y65" s="54">
        <f>攻击!AA65</f>
        <v>0</v>
      </c>
      <c r="Z65" s="54">
        <f>攻击!AB65</f>
        <v>0</v>
      </c>
      <c r="AA65" s="47">
        <f>攻击!AL65</f>
        <v>0</v>
      </c>
      <c r="AB65" s="54">
        <f>攻击!AM65</f>
        <v>0</v>
      </c>
      <c r="AC65" s="54">
        <f>攻击!AN65</f>
        <v>0</v>
      </c>
      <c r="AD65" s="54">
        <f>攻击!AO65</f>
        <v>0</v>
      </c>
      <c r="AE65" s="54">
        <f>攻击!AP65</f>
        <v>0</v>
      </c>
      <c r="AF65" s="54">
        <f>攻击!AQ65</f>
        <v>0</v>
      </c>
      <c r="AG65" s="47">
        <f>攻击!AR65</f>
        <v>26.8</v>
      </c>
      <c r="AH65" s="20">
        <f t="shared" si="0"/>
        <v>361.8</v>
      </c>
    </row>
    <row r="66" spans="1:34" s="20" customFormat="1">
      <c r="A66" s="46">
        <v>64</v>
      </c>
      <c r="B66" s="47">
        <f>攻击!D66</f>
        <v>136</v>
      </c>
      <c r="C66" s="47">
        <f>攻击!E66</f>
        <v>163.19999999999999</v>
      </c>
      <c r="D66" s="47">
        <f>攻击!F66</f>
        <v>204</v>
      </c>
      <c r="E66" s="47">
        <f>攻击!G66</f>
        <v>272</v>
      </c>
      <c r="F66" s="47">
        <f>攻击!H66</f>
        <v>340</v>
      </c>
      <c r="G66" s="47">
        <f>攻击!I66</f>
        <v>64</v>
      </c>
      <c r="H66" s="47">
        <f>攻击!J66</f>
        <v>40.799999999999997</v>
      </c>
      <c r="I66" s="47">
        <f>攻击!K66</f>
        <v>81.599999999999994</v>
      </c>
      <c r="J66" s="47">
        <f>攻击!L66</f>
        <v>0</v>
      </c>
      <c r="K66" s="47">
        <f>攻击!M66</f>
        <v>108.80000000000001</v>
      </c>
      <c r="L66" s="47">
        <f>攻击!N66</f>
        <v>163.19999999999999</v>
      </c>
      <c r="M66" s="47">
        <f>攻击!O66</f>
        <v>204</v>
      </c>
      <c r="N66" s="47">
        <f>攻击!P66</f>
        <v>272</v>
      </c>
      <c r="O66" s="47">
        <f>攻击!Q66</f>
        <v>340</v>
      </c>
      <c r="P66" s="47">
        <f>攻击!R66</f>
        <v>408</v>
      </c>
      <c r="Q66" s="47">
        <f>攻击!S66</f>
        <v>476</v>
      </c>
      <c r="R66" s="47">
        <f>攻击!T66</f>
        <v>102</v>
      </c>
      <c r="S66" s="47">
        <f>攻击!U66</f>
        <v>40.799999999999997</v>
      </c>
      <c r="T66" s="47">
        <f>攻击!V66</f>
        <v>40.799999999999997</v>
      </c>
      <c r="U66" s="47">
        <f>攻击!W66</f>
        <v>6.8000000000000007</v>
      </c>
      <c r="V66" s="54">
        <f>攻击!X66</f>
        <v>0</v>
      </c>
      <c r="W66" s="54">
        <f>攻击!Y66</f>
        <v>0</v>
      </c>
      <c r="X66" s="54">
        <f>攻击!Z66</f>
        <v>0</v>
      </c>
      <c r="Y66" s="54">
        <f>攻击!AA66</f>
        <v>0</v>
      </c>
      <c r="Z66" s="54">
        <f>攻击!AB66</f>
        <v>0</v>
      </c>
      <c r="AA66" s="47">
        <f>攻击!AL66</f>
        <v>0</v>
      </c>
      <c r="AB66" s="54">
        <f>攻击!AM66</f>
        <v>0</v>
      </c>
      <c r="AC66" s="54">
        <f>攻击!AN66</f>
        <v>0</v>
      </c>
      <c r="AD66" s="54">
        <f>攻击!AO66</f>
        <v>0</v>
      </c>
      <c r="AE66" s="54">
        <f>攻击!AP66</f>
        <v>0</v>
      </c>
      <c r="AF66" s="54">
        <f>攻击!AQ66</f>
        <v>0</v>
      </c>
      <c r="AG66" s="47">
        <f>攻击!AR66</f>
        <v>27.200000000000003</v>
      </c>
      <c r="AH66" s="20">
        <f t="shared" si="0"/>
        <v>367.2</v>
      </c>
    </row>
    <row r="67" spans="1:34" s="20" customFormat="1">
      <c r="A67" s="46">
        <v>65</v>
      </c>
      <c r="B67" s="47">
        <f>攻击!D67</f>
        <v>138</v>
      </c>
      <c r="C67" s="47">
        <f>攻击!E67</f>
        <v>165.6</v>
      </c>
      <c r="D67" s="47">
        <f>攻击!F67</f>
        <v>207</v>
      </c>
      <c r="E67" s="47">
        <f>攻击!G67</f>
        <v>276</v>
      </c>
      <c r="F67" s="47">
        <f>攻击!H67</f>
        <v>345</v>
      </c>
      <c r="G67" s="47">
        <f>攻击!I67</f>
        <v>69</v>
      </c>
      <c r="H67" s="47">
        <f>攻击!J67</f>
        <v>41.4</v>
      </c>
      <c r="I67" s="47">
        <f>攻击!K67</f>
        <v>82.8</v>
      </c>
      <c r="J67" s="47">
        <f>攻击!L67</f>
        <v>0</v>
      </c>
      <c r="K67" s="47">
        <f>攻击!M67</f>
        <v>110.4</v>
      </c>
      <c r="L67" s="47">
        <f>攻击!N67</f>
        <v>165.6</v>
      </c>
      <c r="M67" s="47">
        <f>攻击!O67</f>
        <v>207</v>
      </c>
      <c r="N67" s="47">
        <f>攻击!P67</f>
        <v>276</v>
      </c>
      <c r="O67" s="47">
        <f>攻击!Q67</f>
        <v>345</v>
      </c>
      <c r="P67" s="47">
        <f>攻击!R67</f>
        <v>414</v>
      </c>
      <c r="Q67" s="47">
        <f>攻击!S67</f>
        <v>483</v>
      </c>
      <c r="R67" s="47">
        <f>攻击!T67</f>
        <v>103.5</v>
      </c>
      <c r="S67" s="47">
        <f>攻击!U67</f>
        <v>41.4</v>
      </c>
      <c r="T67" s="47">
        <f>攻击!V67</f>
        <v>41.4</v>
      </c>
      <c r="U67" s="47">
        <f>攻击!W67</f>
        <v>6.9</v>
      </c>
      <c r="V67" s="54">
        <f>攻击!X67</f>
        <v>0</v>
      </c>
      <c r="W67" s="54">
        <f>攻击!Y67</f>
        <v>0</v>
      </c>
      <c r="X67" s="54">
        <f>攻击!Z67</f>
        <v>0</v>
      </c>
      <c r="Y67" s="54">
        <f>攻击!AA67</f>
        <v>0</v>
      </c>
      <c r="Z67" s="54">
        <f>攻击!AB67</f>
        <v>0</v>
      </c>
      <c r="AA67" s="47">
        <f>攻击!AL67</f>
        <v>0</v>
      </c>
      <c r="AB67" s="54">
        <f>攻击!AM67</f>
        <v>0</v>
      </c>
      <c r="AC67" s="54">
        <f>攻击!AN67</f>
        <v>0</v>
      </c>
      <c r="AD67" s="54">
        <f>攻击!AO67</f>
        <v>0</v>
      </c>
      <c r="AE67" s="54">
        <f>攻击!AP67</f>
        <v>0</v>
      </c>
      <c r="AF67" s="54">
        <f>攻击!AQ67</f>
        <v>0</v>
      </c>
      <c r="AG67" s="47">
        <f>攻击!AR67</f>
        <v>27.6</v>
      </c>
      <c r="AH67" s="20">
        <f t="shared" si="0"/>
        <v>372.6</v>
      </c>
    </row>
    <row r="68" spans="1:34" s="20" customFormat="1">
      <c r="A68" s="46">
        <v>66</v>
      </c>
      <c r="B68" s="47">
        <f>攻击!D68</f>
        <v>140</v>
      </c>
      <c r="C68" s="47">
        <f>攻击!E68</f>
        <v>168</v>
      </c>
      <c r="D68" s="47">
        <f>攻击!F68</f>
        <v>210</v>
      </c>
      <c r="E68" s="47">
        <f>攻击!G68</f>
        <v>280</v>
      </c>
      <c r="F68" s="47">
        <f>攻击!H68</f>
        <v>350</v>
      </c>
      <c r="G68" s="47">
        <f>攻击!I68</f>
        <v>69</v>
      </c>
      <c r="H68" s="47">
        <f>攻击!J68</f>
        <v>42</v>
      </c>
      <c r="I68" s="47">
        <f>攻击!K68</f>
        <v>84</v>
      </c>
      <c r="J68" s="47">
        <f>攻击!L68</f>
        <v>0</v>
      </c>
      <c r="K68" s="47">
        <f>攻击!M68</f>
        <v>112</v>
      </c>
      <c r="L68" s="47">
        <f>攻击!N68</f>
        <v>168</v>
      </c>
      <c r="M68" s="47">
        <f>攻击!O68</f>
        <v>210</v>
      </c>
      <c r="N68" s="47">
        <f>攻击!P68</f>
        <v>280</v>
      </c>
      <c r="O68" s="47">
        <f>攻击!Q68</f>
        <v>350</v>
      </c>
      <c r="P68" s="47">
        <f>攻击!R68</f>
        <v>420</v>
      </c>
      <c r="Q68" s="47">
        <f>攻击!S68</f>
        <v>490</v>
      </c>
      <c r="R68" s="47">
        <f>攻击!T68</f>
        <v>105</v>
      </c>
      <c r="S68" s="47">
        <f>攻击!U68</f>
        <v>42</v>
      </c>
      <c r="T68" s="47">
        <f>攻击!V68</f>
        <v>42</v>
      </c>
      <c r="U68" s="47">
        <f>攻击!W68</f>
        <v>7</v>
      </c>
      <c r="V68" s="54">
        <f>攻击!X68</f>
        <v>0</v>
      </c>
      <c r="W68" s="54">
        <f>攻击!Y68</f>
        <v>0</v>
      </c>
      <c r="X68" s="54">
        <f>攻击!Z68</f>
        <v>0</v>
      </c>
      <c r="Y68" s="54">
        <f>攻击!AA68</f>
        <v>0</v>
      </c>
      <c r="Z68" s="54">
        <f>攻击!AB68</f>
        <v>0</v>
      </c>
      <c r="AA68" s="47">
        <f>攻击!AL68</f>
        <v>0</v>
      </c>
      <c r="AB68" s="54">
        <f>攻击!AM68</f>
        <v>0</v>
      </c>
      <c r="AC68" s="54">
        <f>攻击!AN68</f>
        <v>0</v>
      </c>
      <c r="AD68" s="54">
        <f>攻击!AO68</f>
        <v>0</v>
      </c>
      <c r="AE68" s="54">
        <f>攻击!AP68</f>
        <v>0</v>
      </c>
      <c r="AF68" s="54">
        <f>攻击!AQ68</f>
        <v>0</v>
      </c>
      <c r="AG68" s="47">
        <f>攻击!AR68</f>
        <v>28</v>
      </c>
      <c r="AH68" s="20">
        <f t="shared" ref="AH68:AH122" si="1">B68+M68+AA68+AG68</f>
        <v>378</v>
      </c>
    </row>
    <row r="69" spans="1:34" s="20" customFormat="1">
      <c r="A69" s="46">
        <v>67</v>
      </c>
      <c r="B69" s="47">
        <f>攻击!D69</f>
        <v>142</v>
      </c>
      <c r="C69" s="47">
        <f>攻击!E69</f>
        <v>170.4</v>
      </c>
      <c r="D69" s="47">
        <f>攻击!F69</f>
        <v>213</v>
      </c>
      <c r="E69" s="47">
        <f>攻击!G69</f>
        <v>284</v>
      </c>
      <c r="F69" s="47">
        <f>攻击!H69</f>
        <v>355</v>
      </c>
      <c r="G69" s="47">
        <f>攻击!I69</f>
        <v>69</v>
      </c>
      <c r="H69" s="47">
        <f>攻击!J69</f>
        <v>42.6</v>
      </c>
      <c r="I69" s="47">
        <f>攻击!K69</f>
        <v>85.2</v>
      </c>
      <c r="J69" s="47">
        <f>攻击!L69</f>
        <v>0</v>
      </c>
      <c r="K69" s="47">
        <f>攻击!M69</f>
        <v>113.60000000000001</v>
      </c>
      <c r="L69" s="47">
        <f>攻击!N69</f>
        <v>170.4</v>
      </c>
      <c r="M69" s="47">
        <f>攻击!O69</f>
        <v>213</v>
      </c>
      <c r="N69" s="47">
        <f>攻击!P69</f>
        <v>284</v>
      </c>
      <c r="O69" s="47">
        <f>攻击!Q69</f>
        <v>355</v>
      </c>
      <c r="P69" s="47">
        <f>攻击!R69</f>
        <v>426</v>
      </c>
      <c r="Q69" s="47">
        <f>攻击!S69</f>
        <v>497</v>
      </c>
      <c r="R69" s="47">
        <f>攻击!T69</f>
        <v>106.5</v>
      </c>
      <c r="S69" s="47">
        <f>攻击!U69</f>
        <v>42.6</v>
      </c>
      <c r="T69" s="47">
        <f>攻击!V69</f>
        <v>42.6</v>
      </c>
      <c r="U69" s="47">
        <f>攻击!W69</f>
        <v>7.1000000000000005</v>
      </c>
      <c r="V69" s="54">
        <f>攻击!X69</f>
        <v>0</v>
      </c>
      <c r="W69" s="54">
        <f>攻击!Y69</f>
        <v>0</v>
      </c>
      <c r="X69" s="54">
        <f>攻击!Z69</f>
        <v>0</v>
      </c>
      <c r="Y69" s="54">
        <f>攻击!AA69</f>
        <v>0</v>
      </c>
      <c r="Z69" s="54">
        <f>攻击!AB69</f>
        <v>0</v>
      </c>
      <c r="AA69" s="47">
        <f>攻击!AL69</f>
        <v>0</v>
      </c>
      <c r="AB69" s="54">
        <f>攻击!AM69</f>
        <v>0</v>
      </c>
      <c r="AC69" s="54">
        <f>攻击!AN69</f>
        <v>0</v>
      </c>
      <c r="AD69" s="54">
        <f>攻击!AO69</f>
        <v>0</v>
      </c>
      <c r="AE69" s="54">
        <f>攻击!AP69</f>
        <v>0</v>
      </c>
      <c r="AF69" s="54">
        <f>攻击!AQ69</f>
        <v>0</v>
      </c>
      <c r="AG69" s="47">
        <f>攻击!AR69</f>
        <v>28.400000000000002</v>
      </c>
      <c r="AH69" s="20">
        <f t="shared" si="1"/>
        <v>383.4</v>
      </c>
    </row>
    <row r="70" spans="1:34" s="20" customFormat="1">
      <c r="A70" s="46">
        <v>68</v>
      </c>
      <c r="B70" s="47">
        <f>攻击!D70</f>
        <v>144</v>
      </c>
      <c r="C70" s="47">
        <f>攻击!E70</f>
        <v>172.79999999999998</v>
      </c>
      <c r="D70" s="47">
        <f>攻击!F70</f>
        <v>216</v>
      </c>
      <c r="E70" s="47">
        <f>攻击!G70</f>
        <v>288</v>
      </c>
      <c r="F70" s="47">
        <f>攻击!H70</f>
        <v>360</v>
      </c>
      <c r="G70" s="47">
        <f>攻击!I70</f>
        <v>69</v>
      </c>
      <c r="H70" s="47">
        <f>攻击!J70</f>
        <v>43.199999999999996</v>
      </c>
      <c r="I70" s="47">
        <f>攻击!K70</f>
        <v>86.399999999999991</v>
      </c>
      <c r="J70" s="47">
        <f>攻击!L70</f>
        <v>0</v>
      </c>
      <c r="K70" s="47">
        <f>攻击!M70</f>
        <v>115.2</v>
      </c>
      <c r="L70" s="47">
        <f>攻击!N70</f>
        <v>172.79999999999998</v>
      </c>
      <c r="M70" s="47">
        <f>攻击!O70</f>
        <v>216</v>
      </c>
      <c r="N70" s="47">
        <f>攻击!P70</f>
        <v>288</v>
      </c>
      <c r="O70" s="47">
        <f>攻击!Q70</f>
        <v>360</v>
      </c>
      <c r="P70" s="47">
        <f>攻击!R70</f>
        <v>432</v>
      </c>
      <c r="Q70" s="47">
        <f>攻击!S70</f>
        <v>504</v>
      </c>
      <c r="R70" s="47">
        <f>攻击!T70</f>
        <v>108</v>
      </c>
      <c r="S70" s="47">
        <f>攻击!U70</f>
        <v>43.199999999999996</v>
      </c>
      <c r="T70" s="47">
        <f>攻击!V70</f>
        <v>43.199999999999996</v>
      </c>
      <c r="U70" s="47">
        <f>攻击!W70</f>
        <v>7.2</v>
      </c>
      <c r="V70" s="54">
        <f>攻击!X70</f>
        <v>0</v>
      </c>
      <c r="W70" s="54">
        <f>攻击!Y70</f>
        <v>0</v>
      </c>
      <c r="X70" s="54">
        <f>攻击!Z70</f>
        <v>0</v>
      </c>
      <c r="Y70" s="54">
        <f>攻击!AA70</f>
        <v>0</v>
      </c>
      <c r="Z70" s="54">
        <f>攻击!AB70</f>
        <v>0</v>
      </c>
      <c r="AA70" s="47">
        <f>攻击!AL70</f>
        <v>0</v>
      </c>
      <c r="AB70" s="54">
        <f>攻击!AM70</f>
        <v>0</v>
      </c>
      <c r="AC70" s="54">
        <f>攻击!AN70</f>
        <v>0</v>
      </c>
      <c r="AD70" s="54">
        <f>攻击!AO70</f>
        <v>0</v>
      </c>
      <c r="AE70" s="54">
        <f>攻击!AP70</f>
        <v>0</v>
      </c>
      <c r="AF70" s="54">
        <f>攻击!AQ70</f>
        <v>0</v>
      </c>
      <c r="AG70" s="47">
        <f>攻击!AR70</f>
        <v>28.8</v>
      </c>
      <c r="AH70" s="20">
        <f t="shared" si="1"/>
        <v>388.8</v>
      </c>
    </row>
    <row r="71" spans="1:34" s="20" customFormat="1">
      <c r="A71" s="46">
        <v>69</v>
      </c>
      <c r="B71" s="47">
        <f>攻击!D71</f>
        <v>146</v>
      </c>
      <c r="C71" s="47">
        <f>攻击!E71</f>
        <v>175.2</v>
      </c>
      <c r="D71" s="47">
        <f>攻击!F71</f>
        <v>219</v>
      </c>
      <c r="E71" s="47">
        <f>攻击!G71</f>
        <v>292</v>
      </c>
      <c r="F71" s="47">
        <f>攻击!H71</f>
        <v>365</v>
      </c>
      <c r="G71" s="47">
        <f>攻击!I71</f>
        <v>69</v>
      </c>
      <c r="H71" s="47">
        <f>攻击!J71</f>
        <v>43.8</v>
      </c>
      <c r="I71" s="47">
        <f>攻击!K71</f>
        <v>87.6</v>
      </c>
      <c r="J71" s="47">
        <f>攻击!L71</f>
        <v>0</v>
      </c>
      <c r="K71" s="47">
        <f>攻击!M71</f>
        <v>116.80000000000001</v>
      </c>
      <c r="L71" s="47">
        <f>攻击!N71</f>
        <v>175.2</v>
      </c>
      <c r="M71" s="47">
        <f>攻击!O71</f>
        <v>219</v>
      </c>
      <c r="N71" s="47">
        <f>攻击!P71</f>
        <v>292</v>
      </c>
      <c r="O71" s="47">
        <f>攻击!Q71</f>
        <v>365</v>
      </c>
      <c r="P71" s="47">
        <f>攻击!R71</f>
        <v>438</v>
      </c>
      <c r="Q71" s="47">
        <f>攻击!S71</f>
        <v>511</v>
      </c>
      <c r="R71" s="47">
        <f>攻击!T71</f>
        <v>109.5</v>
      </c>
      <c r="S71" s="47">
        <f>攻击!U71</f>
        <v>43.8</v>
      </c>
      <c r="T71" s="47">
        <f>攻击!V71</f>
        <v>43.8</v>
      </c>
      <c r="U71" s="47">
        <f>攻击!W71</f>
        <v>7.3000000000000007</v>
      </c>
      <c r="V71" s="54">
        <f>攻击!X71</f>
        <v>0</v>
      </c>
      <c r="W71" s="54">
        <f>攻击!Y71</f>
        <v>0</v>
      </c>
      <c r="X71" s="54">
        <f>攻击!Z71</f>
        <v>0</v>
      </c>
      <c r="Y71" s="54">
        <f>攻击!AA71</f>
        <v>0</v>
      </c>
      <c r="Z71" s="54">
        <f>攻击!AB71</f>
        <v>0</v>
      </c>
      <c r="AA71" s="47">
        <f>攻击!AL71</f>
        <v>0</v>
      </c>
      <c r="AB71" s="54">
        <f>攻击!AM71</f>
        <v>0</v>
      </c>
      <c r="AC71" s="54">
        <f>攻击!AN71</f>
        <v>0</v>
      </c>
      <c r="AD71" s="54">
        <f>攻击!AO71</f>
        <v>0</v>
      </c>
      <c r="AE71" s="54">
        <f>攻击!AP71</f>
        <v>0</v>
      </c>
      <c r="AF71" s="54">
        <f>攻击!AQ71</f>
        <v>0</v>
      </c>
      <c r="AG71" s="47">
        <f>攻击!AR71</f>
        <v>29.200000000000003</v>
      </c>
      <c r="AH71" s="20">
        <f t="shared" si="1"/>
        <v>394.2</v>
      </c>
    </row>
    <row r="72" spans="1:34" s="20" customFormat="1">
      <c r="A72" s="46">
        <v>70</v>
      </c>
      <c r="B72" s="47">
        <f>攻击!D72</f>
        <v>148</v>
      </c>
      <c r="C72" s="47">
        <f>攻击!E72</f>
        <v>177.6</v>
      </c>
      <c r="D72" s="47">
        <f>攻击!F72</f>
        <v>222</v>
      </c>
      <c r="E72" s="47">
        <f>攻击!G72</f>
        <v>296</v>
      </c>
      <c r="F72" s="47">
        <f>攻击!H72</f>
        <v>370</v>
      </c>
      <c r="G72" s="47">
        <f>攻击!I72</f>
        <v>74</v>
      </c>
      <c r="H72" s="47">
        <f>攻击!J72</f>
        <v>44.4</v>
      </c>
      <c r="I72" s="47">
        <f>攻击!K72</f>
        <v>88.8</v>
      </c>
      <c r="J72" s="47">
        <f>攻击!L72</f>
        <v>44.4</v>
      </c>
      <c r="K72" s="47">
        <f>攻击!M72</f>
        <v>118.4</v>
      </c>
      <c r="L72" s="47">
        <f>攻击!N72</f>
        <v>177.6</v>
      </c>
      <c r="M72" s="47">
        <f>攻击!O72</f>
        <v>222</v>
      </c>
      <c r="N72" s="47">
        <f>攻击!P72</f>
        <v>296</v>
      </c>
      <c r="O72" s="47">
        <f>攻击!Q72</f>
        <v>370</v>
      </c>
      <c r="P72" s="47">
        <f>攻击!R72</f>
        <v>444</v>
      </c>
      <c r="Q72" s="47">
        <f>攻击!S72</f>
        <v>518</v>
      </c>
      <c r="R72" s="47">
        <f>攻击!T72</f>
        <v>111</v>
      </c>
      <c r="S72" s="47">
        <f>攻击!U72</f>
        <v>44.4</v>
      </c>
      <c r="T72" s="47">
        <f>攻击!V72</f>
        <v>44.4</v>
      </c>
      <c r="U72" s="47">
        <f>攻击!W72</f>
        <v>7.4</v>
      </c>
      <c r="V72" s="54">
        <f>攻击!X72</f>
        <v>0</v>
      </c>
      <c r="W72" s="54">
        <f>攻击!Y72</f>
        <v>0</v>
      </c>
      <c r="X72" s="54">
        <f>攻击!Z72</f>
        <v>0</v>
      </c>
      <c r="Y72" s="54">
        <f>攻击!AA72</f>
        <v>0</v>
      </c>
      <c r="Z72" s="54">
        <f>攻击!AB72</f>
        <v>0</v>
      </c>
      <c r="AA72" s="47">
        <f>攻击!AL72</f>
        <v>177.6</v>
      </c>
      <c r="AB72" s="54">
        <f>攻击!AM72</f>
        <v>0</v>
      </c>
      <c r="AC72" s="54">
        <f>攻击!AN72</f>
        <v>0</v>
      </c>
      <c r="AD72" s="54">
        <f>攻击!AO72</f>
        <v>0</v>
      </c>
      <c r="AE72" s="54">
        <f>攻击!AP72</f>
        <v>0</v>
      </c>
      <c r="AF72" s="54">
        <f>攻击!AQ72</f>
        <v>0</v>
      </c>
      <c r="AG72" s="47">
        <f>攻击!AR72</f>
        <v>29.6</v>
      </c>
      <c r="AH72" s="20">
        <f t="shared" si="1"/>
        <v>577.20000000000005</v>
      </c>
    </row>
    <row r="73" spans="1:34" s="20" customFormat="1">
      <c r="A73" s="46">
        <v>71</v>
      </c>
      <c r="B73" s="47">
        <f>攻击!D73</f>
        <v>150</v>
      </c>
      <c r="C73" s="47">
        <f>攻击!E73</f>
        <v>180</v>
      </c>
      <c r="D73" s="47">
        <f>攻击!F73</f>
        <v>225</v>
      </c>
      <c r="E73" s="47">
        <f>攻击!G73</f>
        <v>300</v>
      </c>
      <c r="F73" s="47">
        <f>攻击!H73</f>
        <v>375</v>
      </c>
      <c r="G73" s="47">
        <f>攻击!I73</f>
        <v>74</v>
      </c>
      <c r="H73" s="47">
        <f>攻击!J73</f>
        <v>45</v>
      </c>
      <c r="I73" s="47">
        <f>攻击!K73</f>
        <v>90</v>
      </c>
      <c r="J73" s="47">
        <f>攻击!L73</f>
        <v>45</v>
      </c>
      <c r="K73" s="47">
        <f>攻击!M73</f>
        <v>120</v>
      </c>
      <c r="L73" s="47">
        <f>攻击!N73</f>
        <v>180</v>
      </c>
      <c r="M73" s="47">
        <f>攻击!O73</f>
        <v>225</v>
      </c>
      <c r="N73" s="47">
        <f>攻击!P73</f>
        <v>300</v>
      </c>
      <c r="O73" s="47">
        <f>攻击!Q73</f>
        <v>375</v>
      </c>
      <c r="P73" s="47">
        <f>攻击!R73</f>
        <v>450</v>
      </c>
      <c r="Q73" s="47">
        <f>攻击!S73</f>
        <v>525</v>
      </c>
      <c r="R73" s="47">
        <f>攻击!T73</f>
        <v>112.5</v>
      </c>
      <c r="S73" s="47">
        <f>攻击!U73</f>
        <v>45</v>
      </c>
      <c r="T73" s="47">
        <f>攻击!V73</f>
        <v>45</v>
      </c>
      <c r="U73" s="47">
        <f>攻击!W73</f>
        <v>7.5</v>
      </c>
      <c r="V73" s="54">
        <f>攻击!X73</f>
        <v>0</v>
      </c>
      <c r="W73" s="54">
        <f>攻击!Y73</f>
        <v>0</v>
      </c>
      <c r="X73" s="54">
        <f>攻击!Z73</f>
        <v>0</v>
      </c>
      <c r="Y73" s="54">
        <f>攻击!AA73</f>
        <v>0</v>
      </c>
      <c r="Z73" s="54">
        <f>攻击!AB73</f>
        <v>0</v>
      </c>
      <c r="AA73" s="47">
        <f>攻击!AL73</f>
        <v>180</v>
      </c>
      <c r="AB73" s="54">
        <f>攻击!AM73</f>
        <v>0</v>
      </c>
      <c r="AC73" s="54">
        <f>攻击!AN73</f>
        <v>0</v>
      </c>
      <c r="AD73" s="54">
        <f>攻击!AO73</f>
        <v>0</v>
      </c>
      <c r="AE73" s="54">
        <f>攻击!AP73</f>
        <v>0</v>
      </c>
      <c r="AF73" s="54">
        <f>攻击!AQ73</f>
        <v>0</v>
      </c>
      <c r="AG73" s="47">
        <f>攻击!AR73</f>
        <v>30</v>
      </c>
      <c r="AH73" s="20">
        <f t="shared" si="1"/>
        <v>585</v>
      </c>
    </row>
    <row r="74" spans="1:34" s="20" customFormat="1">
      <c r="A74" s="46">
        <v>72</v>
      </c>
      <c r="B74" s="47">
        <f>攻击!D74</f>
        <v>152</v>
      </c>
      <c r="C74" s="47">
        <f>攻击!E74</f>
        <v>182.4</v>
      </c>
      <c r="D74" s="47">
        <f>攻击!F74</f>
        <v>228</v>
      </c>
      <c r="E74" s="47">
        <f>攻击!G74</f>
        <v>304</v>
      </c>
      <c r="F74" s="47">
        <f>攻击!H74</f>
        <v>380</v>
      </c>
      <c r="G74" s="47">
        <f>攻击!I74</f>
        <v>74</v>
      </c>
      <c r="H74" s="47">
        <f>攻击!J74</f>
        <v>45.6</v>
      </c>
      <c r="I74" s="47">
        <f>攻击!K74</f>
        <v>91.2</v>
      </c>
      <c r="J74" s="47">
        <f>攻击!L74</f>
        <v>45.6</v>
      </c>
      <c r="K74" s="47">
        <f>攻击!M74</f>
        <v>121.60000000000001</v>
      </c>
      <c r="L74" s="47">
        <f>攻击!N74</f>
        <v>182.4</v>
      </c>
      <c r="M74" s="47">
        <f>攻击!O74</f>
        <v>228</v>
      </c>
      <c r="N74" s="47">
        <f>攻击!P74</f>
        <v>304</v>
      </c>
      <c r="O74" s="47">
        <f>攻击!Q74</f>
        <v>380</v>
      </c>
      <c r="P74" s="47">
        <f>攻击!R74</f>
        <v>456</v>
      </c>
      <c r="Q74" s="47">
        <f>攻击!S74</f>
        <v>532</v>
      </c>
      <c r="R74" s="47">
        <f>攻击!T74</f>
        <v>114</v>
      </c>
      <c r="S74" s="47">
        <f>攻击!U74</f>
        <v>45.6</v>
      </c>
      <c r="T74" s="47">
        <f>攻击!V74</f>
        <v>45.6</v>
      </c>
      <c r="U74" s="47">
        <f>攻击!W74</f>
        <v>7.6000000000000005</v>
      </c>
      <c r="V74" s="54">
        <f>攻击!X74</f>
        <v>0</v>
      </c>
      <c r="W74" s="54">
        <f>攻击!Y74</f>
        <v>0</v>
      </c>
      <c r="X74" s="54">
        <f>攻击!Z74</f>
        <v>0</v>
      </c>
      <c r="Y74" s="54">
        <f>攻击!AA74</f>
        <v>0</v>
      </c>
      <c r="Z74" s="54">
        <f>攻击!AB74</f>
        <v>0</v>
      </c>
      <c r="AA74" s="47">
        <f>攻击!AL74</f>
        <v>182.4</v>
      </c>
      <c r="AB74" s="54">
        <f>攻击!AM74</f>
        <v>0</v>
      </c>
      <c r="AC74" s="54">
        <f>攻击!AN74</f>
        <v>0</v>
      </c>
      <c r="AD74" s="54">
        <f>攻击!AO74</f>
        <v>0</v>
      </c>
      <c r="AE74" s="54">
        <f>攻击!AP74</f>
        <v>0</v>
      </c>
      <c r="AF74" s="54">
        <f>攻击!AQ74</f>
        <v>0</v>
      </c>
      <c r="AG74" s="47">
        <f>攻击!AR74</f>
        <v>30.400000000000002</v>
      </c>
      <c r="AH74" s="20">
        <f t="shared" si="1"/>
        <v>592.79999999999995</v>
      </c>
    </row>
    <row r="75" spans="1:34" s="20" customFormat="1">
      <c r="A75" s="46">
        <v>73</v>
      </c>
      <c r="B75" s="47">
        <f>攻击!D75</f>
        <v>154</v>
      </c>
      <c r="C75" s="47">
        <f>攻击!E75</f>
        <v>184.79999999999998</v>
      </c>
      <c r="D75" s="47">
        <f>攻击!F75</f>
        <v>231</v>
      </c>
      <c r="E75" s="47">
        <f>攻击!G75</f>
        <v>308</v>
      </c>
      <c r="F75" s="47">
        <f>攻击!H75</f>
        <v>385</v>
      </c>
      <c r="G75" s="47">
        <f>攻击!I75</f>
        <v>74</v>
      </c>
      <c r="H75" s="47">
        <f>攻击!J75</f>
        <v>46.199999999999996</v>
      </c>
      <c r="I75" s="47">
        <f>攻击!K75</f>
        <v>92.399999999999991</v>
      </c>
      <c r="J75" s="47">
        <f>攻击!L75</f>
        <v>46.199999999999996</v>
      </c>
      <c r="K75" s="47">
        <f>攻击!M75</f>
        <v>123.2</v>
      </c>
      <c r="L75" s="47">
        <f>攻击!N75</f>
        <v>184.79999999999998</v>
      </c>
      <c r="M75" s="47">
        <f>攻击!O75</f>
        <v>231</v>
      </c>
      <c r="N75" s="47">
        <f>攻击!P75</f>
        <v>308</v>
      </c>
      <c r="O75" s="47">
        <f>攻击!Q75</f>
        <v>385</v>
      </c>
      <c r="P75" s="47">
        <f>攻击!R75</f>
        <v>462</v>
      </c>
      <c r="Q75" s="47">
        <f>攻击!S75</f>
        <v>539</v>
      </c>
      <c r="R75" s="47">
        <f>攻击!T75</f>
        <v>115.5</v>
      </c>
      <c r="S75" s="47">
        <f>攻击!U75</f>
        <v>46.199999999999996</v>
      </c>
      <c r="T75" s="47">
        <f>攻击!V75</f>
        <v>46.199999999999996</v>
      </c>
      <c r="U75" s="47">
        <f>攻击!W75</f>
        <v>7.7</v>
      </c>
      <c r="V75" s="54">
        <f>攻击!X75</f>
        <v>0</v>
      </c>
      <c r="W75" s="54">
        <f>攻击!Y75</f>
        <v>0</v>
      </c>
      <c r="X75" s="54">
        <f>攻击!Z75</f>
        <v>0</v>
      </c>
      <c r="Y75" s="54">
        <f>攻击!AA75</f>
        <v>0</v>
      </c>
      <c r="Z75" s="54">
        <f>攻击!AB75</f>
        <v>0</v>
      </c>
      <c r="AA75" s="47">
        <f>攻击!AL75</f>
        <v>184.79999999999998</v>
      </c>
      <c r="AB75" s="54">
        <f>攻击!AM75</f>
        <v>0</v>
      </c>
      <c r="AC75" s="54">
        <f>攻击!AN75</f>
        <v>0</v>
      </c>
      <c r="AD75" s="54">
        <f>攻击!AO75</f>
        <v>0</v>
      </c>
      <c r="AE75" s="54">
        <f>攻击!AP75</f>
        <v>0</v>
      </c>
      <c r="AF75" s="54">
        <f>攻击!AQ75</f>
        <v>0</v>
      </c>
      <c r="AG75" s="47">
        <f>攻击!AR75</f>
        <v>30.8</v>
      </c>
      <c r="AH75" s="20">
        <f t="shared" si="1"/>
        <v>600.59999999999991</v>
      </c>
    </row>
    <row r="76" spans="1:34" s="20" customFormat="1">
      <c r="A76" s="46">
        <v>74</v>
      </c>
      <c r="B76" s="47">
        <f>攻击!D76</f>
        <v>156</v>
      </c>
      <c r="C76" s="47">
        <f>攻击!E76</f>
        <v>187.2</v>
      </c>
      <c r="D76" s="47">
        <f>攻击!F76</f>
        <v>234</v>
      </c>
      <c r="E76" s="47">
        <f>攻击!G76</f>
        <v>312</v>
      </c>
      <c r="F76" s="47">
        <f>攻击!H76</f>
        <v>390</v>
      </c>
      <c r="G76" s="47">
        <f>攻击!I76</f>
        <v>74</v>
      </c>
      <c r="H76" s="47">
        <f>攻击!J76</f>
        <v>46.8</v>
      </c>
      <c r="I76" s="47">
        <f>攻击!K76</f>
        <v>93.6</v>
      </c>
      <c r="J76" s="47">
        <f>攻击!L76</f>
        <v>46.8</v>
      </c>
      <c r="K76" s="47">
        <f>攻击!M76</f>
        <v>124.80000000000001</v>
      </c>
      <c r="L76" s="47">
        <f>攻击!N76</f>
        <v>187.2</v>
      </c>
      <c r="M76" s="47">
        <f>攻击!O76</f>
        <v>234</v>
      </c>
      <c r="N76" s="47">
        <f>攻击!P76</f>
        <v>312</v>
      </c>
      <c r="O76" s="47">
        <f>攻击!Q76</f>
        <v>390</v>
      </c>
      <c r="P76" s="47">
        <f>攻击!R76</f>
        <v>468</v>
      </c>
      <c r="Q76" s="47">
        <f>攻击!S76</f>
        <v>546</v>
      </c>
      <c r="R76" s="47">
        <f>攻击!T76</f>
        <v>117</v>
      </c>
      <c r="S76" s="47">
        <f>攻击!U76</f>
        <v>46.8</v>
      </c>
      <c r="T76" s="47">
        <f>攻击!V76</f>
        <v>46.8</v>
      </c>
      <c r="U76" s="47">
        <f>攻击!W76</f>
        <v>7.8000000000000007</v>
      </c>
      <c r="V76" s="54">
        <f>攻击!X76</f>
        <v>0</v>
      </c>
      <c r="W76" s="54">
        <f>攻击!Y76</f>
        <v>0</v>
      </c>
      <c r="X76" s="54">
        <f>攻击!Z76</f>
        <v>0</v>
      </c>
      <c r="Y76" s="54">
        <f>攻击!AA76</f>
        <v>0</v>
      </c>
      <c r="Z76" s="54">
        <f>攻击!AB76</f>
        <v>0</v>
      </c>
      <c r="AA76" s="47">
        <f>攻击!AL76</f>
        <v>187.2</v>
      </c>
      <c r="AB76" s="54">
        <f>攻击!AM76</f>
        <v>0</v>
      </c>
      <c r="AC76" s="54">
        <f>攻击!AN76</f>
        <v>0</v>
      </c>
      <c r="AD76" s="54">
        <f>攻击!AO76</f>
        <v>0</v>
      </c>
      <c r="AE76" s="54">
        <f>攻击!AP76</f>
        <v>0</v>
      </c>
      <c r="AF76" s="54">
        <f>攻击!AQ76</f>
        <v>0</v>
      </c>
      <c r="AG76" s="47">
        <f>攻击!AR76</f>
        <v>31.200000000000003</v>
      </c>
      <c r="AH76" s="20">
        <f t="shared" si="1"/>
        <v>608.40000000000009</v>
      </c>
    </row>
    <row r="77" spans="1:34" s="20" customFormat="1">
      <c r="A77" s="46">
        <v>75</v>
      </c>
      <c r="B77" s="47">
        <f>攻击!D77</f>
        <v>158</v>
      </c>
      <c r="C77" s="47">
        <f>攻击!E77</f>
        <v>189.6</v>
      </c>
      <c r="D77" s="47">
        <f>攻击!F77</f>
        <v>237</v>
      </c>
      <c r="E77" s="47">
        <f>攻击!G77</f>
        <v>316</v>
      </c>
      <c r="F77" s="47">
        <f>攻击!H77</f>
        <v>395</v>
      </c>
      <c r="G77" s="47">
        <f>攻击!I77</f>
        <v>79</v>
      </c>
      <c r="H77" s="47">
        <f>攻击!J77</f>
        <v>47.4</v>
      </c>
      <c r="I77" s="47">
        <f>攻击!K77</f>
        <v>94.8</v>
      </c>
      <c r="J77" s="47">
        <f>攻击!L77</f>
        <v>47.4</v>
      </c>
      <c r="K77" s="47">
        <f>攻击!M77</f>
        <v>126.4</v>
      </c>
      <c r="L77" s="47">
        <f>攻击!N77</f>
        <v>189.6</v>
      </c>
      <c r="M77" s="47">
        <f>攻击!O77</f>
        <v>237</v>
      </c>
      <c r="N77" s="47">
        <f>攻击!P77</f>
        <v>316</v>
      </c>
      <c r="O77" s="47">
        <f>攻击!Q77</f>
        <v>395</v>
      </c>
      <c r="P77" s="47">
        <f>攻击!R77</f>
        <v>474</v>
      </c>
      <c r="Q77" s="47">
        <f>攻击!S77</f>
        <v>553</v>
      </c>
      <c r="R77" s="47">
        <f>攻击!T77</f>
        <v>118.5</v>
      </c>
      <c r="S77" s="47">
        <f>攻击!U77</f>
        <v>47.4</v>
      </c>
      <c r="T77" s="47">
        <f>攻击!V77</f>
        <v>47.4</v>
      </c>
      <c r="U77" s="47">
        <f>攻击!W77</f>
        <v>7.9</v>
      </c>
      <c r="V77" s="54">
        <f>攻击!X77</f>
        <v>0</v>
      </c>
      <c r="W77" s="54">
        <f>攻击!Y77</f>
        <v>0</v>
      </c>
      <c r="X77" s="54">
        <f>攻击!Z77</f>
        <v>0</v>
      </c>
      <c r="Y77" s="54">
        <f>攻击!AA77</f>
        <v>0</v>
      </c>
      <c r="Z77" s="54">
        <f>攻击!AB77</f>
        <v>0</v>
      </c>
      <c r="AA77" s="47">
        <f>攻击!AL77</f>
        <v>189.6</v>
      </c>
      <c r="AB77" s="54">
        <f>攻击!AM77</f>
        <v>0</v>
      </c>
      <c r="AC77" s="54">
        <f>攻击!AN77</f>
        <v>0</v>
      </c>
      <c r="AD77" s="54">
        <f>攻击!AO77</f>
        <v>0</v>
      </c>
      <c r="AE77" s="54">
        <f>攻击!AP77</f>
        <v>0</v>
      </c>
      <c r="AF77" s="54">
        <f>攻击!AQ77</f>
        <v>0</v>
      </c>
      <c r="AG77" s="47">
        <f>攻击!AR77</f>
        <v>31.6</v>
      </c>
      <c r="AH77" s="20">
        <f t="shared" si="1"/>
        <v>616.20000000000005</v>
      </c>
    </row>
    <row r="78" spans="1:34" s="20" customFormat="1">
      <c r="A78" s="46">
        <v>76</v>
      </c>
      <c r="B78" s="47">
        <f>攻击!D78</f>
        <v>160</v>
      </c>
      <c r="C78" s="47">
        <f>攻击!E78</f>
        <v>192</v>
      </c>
      <c r="D78" s="47">
        <f>攻击!F78</f>
        <v>240</v>
      </c>
      <c r="E78" s="47">
        <f>攻击!G78</f>
        <v>320</v>
      </c>
      <c r="F78" s="47">
        <f>攻击!H78</f>
        <v>400</v>
      </c>
      <c r="G78" s="47">
        <f>攻击!I78</f>
        <v>79</v>
      </c>
      <c r="H78" s="47">
        <f>攻击!J78</f>
        <v>48</v>
      </c>
      <c r="I78" s="47">
        <f>攻击!K78</f>
        <v>96</v>
      </c>
      <c r="J78" s="47">
        <f>攻击!L78</f>
        <v>48</v>
      </c>
      <c r="K78" s="47">
        <f>攻击!M78</f>
        <v>128</v>
      </c>
      <c r="L78" s="47">
        <f>攻击!N78</f>
        <v>192</v>
      </c>
      <c r="M78" s="47">
        <f>攻击!O78</f>
        <v>240</v>
      </c>
      <c r="N78" s="47">
        <f>攻击!P78</f>
        <v>320</v>
      </c>
      <c r="O78" s="47">
        <f>攻击!Q78</f>
        <v>400</v>
      </c>
      <c r="P78" s="47">
        <f>攻击!R78</f>
        <v>480</v>
      </c>
      <c r="Q78" s="47">
        <f>攻击!S78</f>
        <v>560</v>
      </c>
      <c r="R78" s="47">
        <f>攻击!T78</f>
        <v>120</v>
      </c>
      <c r="S78" s="47">
        <f>攻击!U78</f>
        <v>48</v>
      </c>
      <c r="T78" s="47">
        <f>攻击!V78</f>
        <v>48</v>
      </c>
      <c r="U78" s="47">
        <f>攻击!W78</f>
        <v>8</v>
      </c>
      <c r="V78" s="54">
        <f>攻击!X78</f>
        <v>0</v>
      </c>
      <c r="W78" s="54">
        <f>攻击!Y78</f>
        <v>0</v>
      </c>
      <c r="X78" s="54">
        <f>攻击!Z78</f>
        <v>0</v>
      </c>
      <c r="Y78" s="54">
        <f>攻击!AA78</f>
        <v>0</v>
      </c>
      <c r="Z78" s="54">
        <f>攻击!AB78</f>
        <v>0</v>
      </c>
      <c r="AA78" s="47">
        <f>攻击!AL78</f>
        <v>192</v>
      </c>
      <c r="AB78" s="54">
        <f>攻击!AM78</f>
        <v>0</v>
      </c>
      <c r="AC78" s="54">
        <f>攻击!AN78</f>
        <v>0</v>
      </c>
      <c r="AD78" s="54">
        <f>攻击!AO78</f>
        <v>0</v>
      </c>
      <c r="AE78" s="54">
        <f>攻击!AP78</f>
        <v>0</v>
      </c>
      <c r="AF78" s="54">
        <f>攻击!AQ78</f>
        <v>0</v>
      </c>
      <c r="AG78" s="47">
        <f>攻击!AR78</f>
        <v>32</v>
      </c>
      <c r="AH78" s="20">
        <f t="shared" si="1"/>
        <v>624</v>
      </c>
    </row>
    <row r="79" spans="1:34" s="20" customFormat="1">
      <c r="A79" s="46">
        <v>77</v>
      </c>
      <c r="B79" s="47">
        <f>攻击!D79</f>
        <v>162</v>
      </c>
      <c r="C79" s="47">
        <f>攻击!E79</f>
        <v>194.4</v>
      </c>
      <c r="D79" s="47">
        <f>攻击!F79</f>
        <v>243</v>
      </c>
      <c r="E79" s="47">
        <f>攻击!G79</f>
        <v>324</v>
      </c>
      <c r="F79" s="47">
        <f>攻击!H79</f>
        <v>405</v>
      </c>
      <c r="G79" s="47">
        <f>攻击!I79</f>
        <v>79</v>
      </c>
      <c r="H79" s="47">
        <f>攻击!J79</f>
        <v>48.6</v>
      </c>
      <c r="I79" s="47">
        <f>攻击!K79</f>
        <v>97.2</v>
      </c>
      <c r="J79" s="47">
        <f>攻击!L79</f>
        <v>48.6</v>
      </c>
      <c r="K79" s="47">
        <f>攻击!M79</f>
        <v>129.6</v>
      </c>
      <c r="L79" s="47">
        <f>攻击!N79</f>
        <v>194.4</v>
      </c>
      <c r="M79" s="47">
        <f>攻击!O79</f>
        <v>243</v>
      </c>
      <c r="N79" s="47">
        <f>攻击!P79</f>
        <v>324</v>
      </c>
      <c r="O79" s="47">
        <f>攻击!Q79</f>
        <v>405</v>
      </c>
      <c r="P79" s="47">
        <f>攻击!R79</f>
        <v>486</v>
      </c>
      <c r="Q79" s="47">
        <f>攻击!S79</f>
        <v>567</v>
      </c>
      <c r="R79" s="47">
        <f>攻击!T79</f>
        <v>121.5</v>
      </c>
      <c r="S79" s="47">
        <f>攻击!U79</f>
        <v>48.6</v>
      </c>
      <c r="T79" s="47">
        <f>攻击!V79</f>
        <v>48.6</v>
      </c>
      <c r="U79" s="47">
        <f>攻击!W79</f>
        <v>8.1</v>
      </c>
      <c r="V79" s="54">
        <f>攻击!X79</f>
        <v>0</v>
      </c>
      <c r="W79" s="54">
        <f>攻击!Y79</f>
        <v>0</v>
      </c>
      <c r="X79" s="54">
        <f>攻击!Z79</f>
        <v>0</v>
      </c>
      <c r="Y79" s="54">
        <f>攻击!AA79</f>
        <v>0</v>
      </c>
      <c r="Z79" s="54">
        <f>攻击!AB79</f>
        <v>0</v>
      </c>
      <c r="AA79" s="47">
        <f>攻击!AL79</f>
        <v>194.4</v>
      </c>
      <c r="AB79" s="54">
        <f>攻击!AM79</f>
        <v>0</v>
      </c>
      <c r="AC79" s="54">
        <f>攻击!AN79</f>
        <v>0</v>
      </c>
      <c r="AD79" s="54">
        <f>攻击!AO79</f>
        <v>0</v>
      </c>
      <c r="AE79" s="54">
        <f>攻击!AP79</f>
        <v>0</v>
      </c>
      <c r="AF79" s="54">
        <f>攻击!AQ79</f>
        <v>0</v>
      </c>
      <c r="AG79" s="47">
        <f>攻击!AR79</f>
        <v>32.4</v>
      </c>
      <c r="AH79" s="20">
        <f t="shared" si="1"/>
        <v>631.79999999999995</v>
      </c>
    </row>
    <row r="80" spans="1:34" s="20" customFormat="1">
      <c r="A80" s="46">
        <v>78</v>
      </c>
      <c r="B80" s="47">
        <f>攻击!D80</f>
        <v>164</v>
      </c>
      <c r="C80" s="47">
        <f>攻击!E80</f>
        <v>196.79999999999998</v>
      </c>
      <c r="D80" s="47">
        <f>攻击!F80</f>
        <v>246</v>
      </c>
      <c r="E80" s="47">
        <f>攻击!G80</f>
        <v>328</v>
      </c>
      <c r="F80" s="47">
        <f>攻击!H80</f>
        <v>410</v>
      </c>
      <c r="G80" s="47">
        <f>攻击!I80</f>
        <v>79</v>
      </c>
      <c r="H80" s="47">
        <f>攻击!J80</f>
        <v>49.199999999999996</v>
      </c>
      <c r="I80" s="47">
        <f>攻击!K80</f>
        <v>98.399999999999991</v>
      </c>
      <c r="J80" s="47">
        <f>攻击!L80</f>
        <v>49.199999999999996</v>
      </c>
      <c r="K80" s="47">
        <f>攻击!M80</f>
        <v>131.20000000000002</v>
      </c>
      <c r="L80" s="47">
        <f>攻击!N80</f>
        <v>196.79999999999998</v>
      </c>
      <c r="M80" s="47">
        <f>攻击!O80</f>
        <v>246</v>
      </c>
      <c r="N80" s="47">
        <f>攻击!P80</f>
        <v>328</v>
      </c>
      <c r="O80" s="47">
        <f>攻击!Q80</f>
        <v>410</v>
      </c>
      <c r="P80" s="47">
        <f>攻击!R80</f>
        <v>492</v>
      </c>
      <c r="Q80" s="47">
        <f>攻击!S80</f>
        <v>574</v>
      </c>
      <c r="R80" s="47">
        <f>攻击!T80</f>
        <v>123</v>
      </c>
      <c r="S80" s="47">
        <f>攻击!U80</f>
        <v>49.199999999999996</v>
      </c>
      <c r="T80" s="47">
        <f>攻击!V80</f>
        <v>49.199999999999996</v>
      </c>
      <c r="U80" s="47">
        <f>攻击!W80</f>
        <v>8.2000000000000011</v>
      </c>
      <c r="V80" s="54">
        <f>攻击!X80</f>
        <v>0</v>
      </c>
      <c r="W80" s="54">
        <f>攻击!Y80</f>
        <v>0</v>
      </c>
      <c r="X80" s="54">
        <f>攻击!Z80</f>
        <v>0</v>
      </c>
      <c r="Y80" s="54">
        <f>攻击!AA80</f>
        <v>0</v>
      </c>
      <c r="Z80" s="54">
        <f>攻击!AB80</f>
        <v>0</v>
      </c>
      <c r="AA80" s="47">
        <f>攻击!AL80</f>
        <v>196.79999999999998</v>
      </c>
      <c r="AB80" s="54">
        <f>攻击!AM80</f>
        <v>0</v>
      </c>
      <c r="AC80" s="54">
        <f>攻击!AN80</f>
        <v>0</v>
      </c>
      <c r="AD80" s="54">
        <f>攻击!AO80</f>
        <v>0</v>
      </c>
      <c r="AE80" s="54">
        <f>攻击!AP80</f>
        <v>0</v>
      </c>
      <c r="AF80" s="54">
        <f>攻击!AQ80</f>
        <v>0</v>
      </c>
      <c r="AG80" s="47">
        <f>攻击!AR80</f>
        <v>32.800000000000004</v>
      </c>
      <c r="AH80" s="20">
        <f t="shared" si="1"/>
        <v>639.59999999999991</v>
      </c>
    </row>
    <row r="81" spans="1:34" s="20" customFormat="1">
      <c r="A81" s="46">
        <v>79</v>
      </c>
      <c r="B81" s="47">
        <f>攻击!D81</f>
        <v>166</v>
      </c>
      <c r="C81" s="47">
        <f>攻击!E81</f>
        <v>199.2</v>
      </c>
      <c r="D81" s="47">
        <f>攻击!F81</f>
        <v>249</v>
      </c>
      <c r="E81" s="47">
        <f>攻击!G81</f>
        <v>332</v>
      </c>
      <c r="F81" s="47">
        <f>攻击!H81</f>
        <v>415</v>
      </c>
      <c r="G81" s="47">
        <f>攻击!I81</f>
        <v>79</v>
      </c>
      <c r="H81" s="47">
        <f>攻击!J81</f>
        <v>49.8</v>
      </c>
      <c r="I81" s="47">
        <f>攻击!K81</f>
        <v>99.6</v>
      </c>
      <c r="J81" s="47">
        <f>攻击!L81</f>
        <v>49.8</v>
      </c>
      <c r="K81" s="47">
        <f>攻击!M81</f>
        <v>132.80000000000001</v>
      </c>
      <c r="L81" s="47">
        <f>攻击!N81</f>
        <v>199.2</v>
      </c>
      <c r="M81" s="47">
        <f>攻击!O81</f>
        <v>249</v>
      </c>
      <c r="N81" s="47">
        <f>攻击!P81</f>
        <v>332</v>
      </c>
      <c r="O81" s="47">
        <f>攻击!Q81</f>
        <v>415</v>
      </c>
      <c r="P81" s="47">
        <f>攻击!R81</f>
        <v>498</v>
      </c>
      <c r="Q81" s="47">
        <f>攻击!S81</f>
        <v>581</v>
      </c>
      <c r="R81" s="47">
        <f>攻击!T81</f>
        <v>124.5</v>
      </c>
      <c r="S81" s="47">
        <f>攻击!U81</f>
        <v>49.8</v>
      </c>
      <c r="T81" s="47">
        <f>攻击!V81</f>
        <v>49.8</v>
      </c>
      <c r="U81" s="47">
        <f>攻击!W81</f>
        <v>8.3000000000000007</v>
      </c>
      <c r="V81" s="54">
        <f>攻击!X81</f>
        <v>0</v>
      </c>
      <c r="W81" s="54">
        <f>攻击!Y81</f>
        <v>0</v>
      </c>
      <c r="X81" s="54">
        <f>攻击!Z81</f>
        <v>0</v>
      </c>
      <c r="Y81" s="54">
        <f>攻击!AA81</f>
        <v>0</v>
      </c>
      <c r="Z81" s="54">
        <f>攻击!AB81</f>
        <v>0</v>
      </c>
      <c r="AA81" s="47">
        <f>攻击!AL81</f>
        <v>199.2</v>
      </c>
      <c r="AB81" s="54">
        <f>攻击!AM81</f>
        <v>0</v>
      </c>
      <c r="AC81" s="54">
        <f>攻击!AN81</f>
        <v>0</v>
      </c>
      <c r="AD81" s="54">
        <f>攻击!AO81</f>
        <v>0</v>
      </c>
      <c r="AE81" s="54">
        <f>攻击!AP81</f>
        <v>0</v>
      </c>
      <c r="AF81" s="54">
        <f>攻击!AQ81</f>
        <v>0</v>
      </c>
      <c r="AG81" s="47">
        <f>攻击!AR81</f>
        <v>33.200000000000003</v>
      </c>
      <c r="AH81" s="20">
        <f t="shared" si="1"/>
        <v>647.40000000000009</v>
      </c>
    </row>
    <row r="82" spans="1:34" s="20" customFormat="1">
      <c r="A82" s="46">
        <v>80</v>
      </c>
      <c r="B82" s="47">
        <f>攻击!D82</f>
        <v>168</v>
      </c>
      <c r="C82" s="47">
        <f>攻击!E82</f>
        <v>201.6</v>
      </c>
      <c r="D82" s="47">
        <f>攻击!F82</f>
        <v>252</v>
      </c>
      <c r="E82" s="47">
        <f>攻击!G82</f>
        <v>336</v>
      </c>
      <c r="F82" s="47">
        <f>攻击!H82</f>
        <v>420</v>
      </c>
      <c r="G82" s="47">
        <f>攻击!I82</f>
        <v>84</v>
      </c>
      <c r="H82" s="47">
        <f>攻击!J82</f>
        <v>50.4</v>
      </c>
      <c r="I82" s="47">
        <f>攻击!K82</f>
        <v>100.8</v>
      </c>
      <c r="J82" s="47">
        <f>攻击!L82</f>
        <v>50.4</v>
      </c>
      <c r="K82" s="47">
        <f>攻击!M82</f>
        <v>134.4</v>
      </c>
      <c r="L82" s="47">
        <f>攻击!N82</f>
        <v>201.6</v>
      </c>
      <c r="M82" s="47">
        <f>攻击!O82</f>
        <v>252</v>
      </c>
      <c r="N82" s="47">
        <f>攻击!P82</f>
        <v>336</v>
      </c>
      <c r="O82" s="47">
        <f>攻击!Q82</f>
        <v>420</v>
      </c>
      <c r="P82" s="47">
        <f>攻击!R82</f>
        <v>504</v>
      </c>
      <c r="Q82" s="47">
        <f>攻击!S82</f>
        <v>588</v>
      </c>
      <c r="R82" s="47">
        <f>攻击!T82</f>
        <v>126</v>
      </c>
      <c r="S82" s="47">
        <f>攻击!U82</f>
        <v>50.4</v>
      </c>
      <c r="T82" s="47">
        <f>攻击!V82</f>
        <v>50.4</v>
      </c>
      <c r="U82" s="47">
        <f>攻击!W82</f>
        <v>8.4</v>
      </c>
      <c r="V82" s="54">
        <f>攻击!X82</f>
        <v>0.2</v>
      </c>
      <c r="W82" s="54">
        <f>攻击!Y82</f>
        <v>0.3</v>
      </c>
      <c r="X82" s="54">
        <f>攻击!Z82</f>
        <v>0.5</v>
      </c>
      <c r="Y82" s="54">
        <f>攻击!AA82</f>
        <v>0.8</v>
      </c>
      <c r="Z82" s="54">
        <f>攻击!AB82</f>
        <v>1.2</v>
      </c>
      <c r="AA82" s="47">
        <f>攻击!AL82</f>
        <v>201.6</v>
      </c>
      <c r="AB82" s="54">
        <f>攻击!AM82</f>
        <v>0.2</v>
      </c>
      <c r="AC82" s="54">
        <f>攻击!AN82</f>
        <v>0.3</v>
      </c>
      <c r="AD82" s="54">
        <f>攻击!AO82</f>
        <v>0.5</v>
      </c>
      <c r="AE82" s="54">
        <f>攻击!AP82</f>
        <v>0.8</v>
      </c>
      <c r="AF82" s="54">
        <f>攻击!AQ82</f>
        <v>1.2</v>
      </c>
      <c r="AG82" s="47">
        <f>攻击!AR82</f>
        <v>33.6</v>
      </c>
      <c r="AH82" s="20">
        <f t="shared" si="1"/>
        <v>655.20000000000005</v>
      </c>
    </row>
    <row r="83" spans="1:34" s="20" customFormat="1">
      <c r="A83" s="46">
        <v>81</v>
      </c>
      <c r="B83" s="47">
        <f>攻击!D83</f>
        <v>170</v>
      </c>
      <c r="C83" s="47">
        <f>攻击!E83</f>
        <v>204</v>
      </c>
      <c r="D83" s="47">
        <f>攻击!F83</f>
        <v>255</v>
      </c>
      <c r="E83" s="47">
        <f>攻击!G83</f>
        <v>340</v>
      </c>
      <c r="F83" s="47">
        <f>攻击!H83</f>
        <v>425</v>
      </c>
      <c r="G83" s="47">
        <f>攻击!I83</f>
        <v>84</v>
      </c>
      <c r="H83" s="47">
        <f>攻击!J83</f>
        <v>51</v>
      </c>
      <c r="I83" s="47">
        <f>攻击!K83</f>
        <v>102</v>
      </c>
      <c r="J83" s="47">
        <f>攻击!L83</f>
        <v>51</v>
      </c>
      <c r="K83" s="47">
        <f>攻击!M83</f>
        <v>136</v>
      </c>
      <c r="L83" s="47">
        <f>攻击!N83</f>
        <v>204</v>
      </c>
      <c r="M83" s="47">
        <f>攻击!O83</f>
        <v>255</v>
      </c>
      <c r="N83" s="47">
        <f>攻击!P83</f>
        <v>340</v>
      </c>
      <c r="O83" s="47">
        <f>攻击!Q83</f>
        <v>425</v>
      </c>
      <c r="P83" s="47">
        <f>攻击!R83</f>
        <v>510</v>
      </c>
      <c r="Q83" s="47">
        <f>攻击!S83</f>
        <v>595</v>
      </c>
      <c r="R83" s="47">
        <f>攻击!T83</f>
        <v>127.5</v>
      </c>
      <c r="S83" s="47">
        <f>攻击!U83</f>
        <v>51</v>
      </c>
      <c r="T83" s="47">
        <f>攻击!V83</f>
        <v>51</v>
      </c>
      <c r="U83" s="47">
        <f>攻击!W83</f>
        <v>8.5</v>
      </c>
      <c r="V83" s="54">
        <f>攻击!X83</f>
        <v>0.2</v>
      </c>
      <c r="W83" s="54">
        <f>攻击!Y83</f>
        <v>0.3</v>
      </c>
      <c r="X83" s="54">
        <f>攻击!Z83</f>
        <v>0.5</v>
      </c>
      <c r="Y83" s="54">
        <f>攻击!AA83</f>
        <v>0.8</v>
      </c>
      <c r="Z83" s="54">
        <f>攻击!AB83</f>
        <v>1.2</v>
      </c>
      <c r="AA83" s="47">
        <f>攻击!AL83</f>
        <v>204</v>
      </c>
      <c r="AB83" s="54">
        <f>攻击!AM83</f>
        <v>0.2</v>
      </c>
      <c r="AC83" s="54">
        <f>攻击!AN83</f>
        <v>0.3</v>
      </c>
      <c r="AD83" s="54">
        <f>攻击!AO83</f>
        <v>0.5</v>
      </c>
      <c r="AE83" s="54">
        <f>攻击!AP83</f>
        <v>0.8</v>
      </c>
      <c r="AF83" s="54">
        <f>攻击!AQ83</f>
        <v>1.2</v>
      </c>
      <c r="AG83" s="47">
        <f>攻击!AR83</f>
        <v>34</v>
      </c>
      <c r="AH83" s="20">
        <f t="shared" si="1"/>
        <v>663</v>
      </c>
    </row>
    <row r="84" spans="1:34" s="20" customFormat="1">
      <c r="A84" s="46">
        <v>82</v>
      </c>
      <c r="B84" s="47">
        <f>攻击!D84</f>
        <v>172</v>
      </c>
      <c r="C84" s="47">
        <f>攻击!E84</f>
        <v>206.4</v>
      </c>
      <c r="D84" s="47">
        <f>攻击!F84</f>
        <v>258</v>
      </c>
      <c r="E84" s="47">
        <f>攻击!G84</f>
        <v>344</v>
      </c>
      <c r="F84" s="47">
        <f>攻击!H84</f>
        <v>430</v>
      </c>
      <c r="G84" s="47">
        <f>攻击!I84</f>
        <v>84</v>
      </c>
      <c r="H84" s="47">
        <f>攻击!J84</f>
        <v>51.6</v>
      </c>
      <c r="I84" s="47">
        <f>攻击!K84</f>
        <v>103.2</v>
      </c>
      <c r="J84" s="47">
        <f>攻击!L84</f>
        <v>51.6</v>
      </c>
      <c r="K84" s="47">
        <f>攻击!M84</f>
        <v>137.6</v>
      </c>
      <c r="L84" s="47">
        <f>攻击!N84</f>
        <v>206.4</v>
      </c>
      <c r="M84" s="47">
        <f>攻击!O84</f>
        <v>258</v>
      </c>
      <c r="N84" s="47">
        <f>攻击!P84</f>
        <v>344</v>
      </c>
      <c r="O84" s="47">
        <f>攻击!Q84</f>
        <v>430</v>
      </c>
      <c r="P84" s="47">
        <f>攻击!R84</f>
        <v>516</v>
      </c>
      <c r="Q84" s="47">
        <f>攻击!S84</f>
        <v>602</v>
      </c>
      <c r="R84" s="47">
        <f>攻击!T84</f>
        <v>129</v>
      </c>
      <c r="S84" s="47">
        <f>攻击!U84</f>
        <v>51.6</v>
      </c>
      <c r="T84" s="47">
        <f>攻击!V84</f>
        <v>51.6</v>
      </c>
      <c r="U84" s="47">
        <f>攻击!W84</f>
        <v>8.6</v>
      </c>
      <c r="V84" s="54">
        <f>攻击!X84</f>
        <v>0.2</v>
      </c>
      <c r="W84" s="54">
        <f>攻击!Y84</f>
        <v>0.3</v>
      </c>
      <c r="X84" s="54">
        <f>攻击!Z84</f>
        <v>0.5</v>
      </c>
      <c r="Y84" s="54">
        <f>攻击!AA84</f>
        <v>0.8</v>
      </c>
      <c r="Z84" s="54">
        <f>攻击!AB84</f>
        <v>1.2</v>
      </c>
      <c r="AA84" s="47">
        <f>攻击!AL84</f>
        <v>206.4</v>
      </c>
      <c r="AB84" s="54">
        <f>攻击!AM84</f>
        <v>0.2</v>
      </c>
      <c r="AC84" s="54">
        <f>攻击!AN84</f>
        <v>0.3</v>
      </c>
      <c r="AD84" s="54">
        <f>攻击!AO84</f>
        <v>0.5</v>
      </c>
      <c r="AE84" s="54">
        <f>攻击!AP84</f>
        <v>0.8</v>
      </c>
      <c r="AF84" s="54">
        <f>攻击!AQ84</f>
        <v>1.2</v>
      </c>
      <c r="AG84" s="47">
        <f>攻击!AR84</f>
        <v>34.4</v>
      </c>
      <c r="AH84" s="20">
        <f t="shared" si="1"/>
        <v>670.8</v>
      </c>
    </row>
    <row r="85" spans="1:34" s="20" customFormat="1">
      <c r="A85" s="46">
        <v>83</v>
      </c>
      <c r="B85" s="47">
        <f>攻击!D85</f>
        <v>174</v>
      </c>
      <c r="C85" s="47">
        <f>攻击!E85</f>
        <v>208.79999999999998</v>
      </c>
      <c r="D85" s="47">
        <f>攻击!F85</f>
        <v>261</v>
      </c>
      <c r="E85" s="47">
        <f>攻击!G85</f>
        <v>348</v>
      </c>
      <c r="F85" s="47">
        <f>攻击!H85</f>
        <v>435</v>
      </c>
      <c r="G85" s="47">
        <f>攻击!I85</f>
        <v>84</v>
      </c>
      <c r="H85" s="47">
        <f>攻击!J85</f>
        <v>52.199999999999996</v>
      </c>
      <c r="I85" s="47">
        <f>攻击!K85</f>
        <v>104.39999999999999</v>
      </c>
      <c r="J85" s="47">
        <f>攻击!L85</f>
        <v>52.199999999999996</v>
      </c>
      <c r="K85" s="47">
        <f>攻击!M85</f>
        <v>139.20000000000002</v>
      </c>
      <c r="L85" s="47">
        <f>攻击!N85</f>
        <v>208.79999999999998</v>
      </c>
      <c r="M85" s="47">
        <f>攻击!O85</f>
        <v>261</v>
      </c>
      <c r="N85" s="47">
        <f>攻击!P85</f>
        <v>348</v>
      </c>
      <c r="O85" s="47">
        <f>攻击!Q85</f>
        <v>435</v>
      </c>
      <c r="P85" s="47">
        <f>攻击!R85</f>
        <v>522</v>
      </c>
      <c r="Q85" s="47">
        <f>攻击!S85</f>
        <v>609</v>
      </c>
      <c r="R85" s="47">
        <f>攻击!T85</f>
        <v>130.5</v>
      </c>
      <c r="S85" s="47">
        <f>攻击!U85</f>
        <v>52.199999999999996</v>
      </c>
      <c r="T85" s="47">
        <f>攻击!V85</f>
        <v>52.199999999999996</v>
      </c>
      <c r="U85" s="47">
        <f>攻击!W85</f>
        <v>8.7000000000000011</v>
      </c>
      <c r="V85" s="54">
        <f>攻击!X85</f>
        <v>0.2</v>
      </c>
      <c r="W85" s="54">
        <f>攻击!Y85</f>
        <v>0.3</v>
      </c>
      <c r="X85" s="54">
        <f>攻击!Z85</f>
        <v>0.5</v>
      </c>
      <c r="Y85" s="54">
        <f>攻击!AA85</f>
        <v>0.8</v>
      </c>
      <c r="Z85" s="54">
        <f>攻击!AB85</f>
        <v>1.2</v>
      </c>
      <c r="AA85" s="47">
        <f>攻击!AL85</f>
        <v>208.79999999999998</v>
      </c>
      <c r="AB85" s="54">
        <f>攻击!AM85</f>
        <v>0.2</v>
      </c>
      <c r="AC85" s="54">
        <f>攻击!AN85</f>
        <v>0.3</v>
      </c>
      <c r="AD85" s="54">
        <f>攻击!AO85</f>
        <v>0.5</v>
      </c>
      <c r="AE85" s="54">
        <f>攻击!AP85</f>
        <v>0.8</v>
      </c>
      <c r="AF85" s="54">
        <f>攻击!AQ85</f>
        <v>1.2</v>
      </c>
      <c r="AG85" s="47">
        <f>攻击!AR85</f>
        <v>34.800000000000004</v>
      </c>
      <c r="AH85" s="20">
        <f t="shared" si="1"/>
        <v>678.59999999999991</v>
      </c>
    </row>
    <row r="86" spans="1:34" s="20" customFormat="1">
      <c r="A86" s="46">
        <v>84</v>
      </c>
      <c r="B86" s="47">
        <f>攻击!D86</f>
        <v>176</v>
      </c>
      <c r="C86" s="47">
        <f>攻击!E86</f>
        <v>211.2</v>
      </c>
      <c r="D86" s="47">
        <f>攻击!F86</f>
        <v>264</v>
      </c>
      <c r="E86" s="47">
        <f>攻击!G86</f>
        <v>352</v>
      </c>
      <c r="F86" s="47">
        <f>攻击!H86</f>
        <v>440</v>
      </c>
      <c r="G86" s="47">
        <f>攻击!I86</f>
        <v>84</v>
      </c>
      <c r="H86" s="47">
        <f>攻击!J86</f>
        <v>52.8</v>
      </c>
      <c r="I86" s="47">
        <f>攻击!K86</f>
        <v>105.6</v>
      </c>
      <c r="J86" s="47">
        <f>攻击!L86</f>
        <v>52.8</v>
      </c>
      <c r="K86" s="47">
        <f>攻击!M86</f>
        <v>140.80000000000001</v>
      </c>
      <c r="L86" s="47">
        <f>攻击!N86</f>
        <v>211.2</v>
      </c>
      <c r="M86" s="47">
        <f>攻击!O86</f>
        <v>264</v>
      </c>
      <c r="N86" s="47">
        <f>攻击!P86</f>
        <v>352</v>
      </c>
      <c r="O86" s="47">
        <f>攻击!Q86</f>
        <v>440</v>
      </c>
      <c r="P86" s="47">
        <f>攻击!R86</f>
        <v>528</v>
      </c>
      <c r="Q86" s="47">
        <f>攻击!S86</f>
        <v>616</v>
      </c>
      <c r="R86" s="47">
        <f>攻击!T86</f>
        <v>132</v>
      </c>
      <c r="S86" s="47">
        <f>攻击!U86</f>
        <v>52.8</v>
      </c>
      <c r="T86" s="47">
        <f>攻击!V86</f>
        <v>52.8</v>
      </c>
      <c r="U86" s="47">
        <f>攻击!W86</f>
        <v>8.8000000000000007</v>
      </c>
      <c r="V86" s="54">
        <f>攻击!X86</f>
        <v>0.2</v>
      </c>
      <c r="W86" s="54">
        <f>攻击!Y86</f>
        <v>0.3</v>
      </c>
      <c r="X86" s="54">
        <f>攻击!Z86</f>
        <v>0.5</v>
      </c>
      <c r="Y86" s="54">
        <f>攻击!AA86</f>
        <v>0.8</v>
      </c>
      <c r="Z86" s="54">
        <f>攻击!AB86</f>
        <v>1.2</v>
      </c>
      <c r="AA86" s="47">
        <f>攻击!AL86</f>
        <v>211.2</v>
      </c>
      <c r="AB86" s="54">
        <f>攻击!AM86</f>
        <v>0.2</v>
      </c>
      <c r="AC86" s="54">
        <f>攻击!AN86</f>
        <v>0.3</v>
      </c>
      <c r="AD86" s="54">
        <f>攻击!AO86</f>
        <v>0.5</v>
      </c>
      <c r="AE86" s="54">
        <f>攻击!AP86</f>
        <v>0.8</v>
      </c>
      <c r="AF86" s="54">
        <f>攻击!AQ86</f>
        <v>1.2</v>
      </c>
      <c r="AG86" s="47">
        <f>攻击!AR86</f>
        <v>35.200000000000003</v>
      </c>
      <c r="AH86" s="20">
        <f t="shared" si="1"/>
        <v>686.40000000000009</v>
      </c>
    </row>
    <row r="87" spans="1:34" s="20" customFormat="1">
      <c r="A87" s="46">
        <v>85</v>
      </c>
      <c r="B87" s="47">
        <f>攻击!D87</f>
        <v>178</v>
      </c>
      <c r="C87" s="47">
        <f>攻击!E87</f>
        <v>213.6</v>
      </c>
      <c r="D87" s="47">
        <f>攻击!F87</f>
        <v>267</v>
      </c>
      <c r="E87" s="47">
        <f>攻击!G87</f>
        <v>356</v>
      </c>
      <c r="F87" s="47">
        <f>攻击!H87</f>
        <v>445</v>
      </c>
      <c r="G87" s="47">
        <f>攻击!I87</f>
        <v>89</v>
      </c>
      <c r="H87" s="47">
        <f>攻击!J87</f>
        <v>53.4</v>
      </c>
      <c r="I87" s="47">
        <f>攻击!K87</f>
        <v>106.8</v>
      </c>
      <c r="J87" s="47">
        <f>攻击!L87</f>
        <v>53.4</v>
      </c>
      <c r="K87" s="47">
        <f>攻击!M87</f>
        <v>142.4</v>
      </c>
      <c r="L87" s="47">
        <f>攻击!N87</f>
        <v>213.6</v>
      </c>
      <c r="M87" s="47">
        <f>攻击!O87</f>
        <v>267</v>
      </c>
      <c r="N87" s="47">
        <f>攻击!P87</f>
        <v>356</v>
      </c>
      <c r="O87" s="47">
        <f>攻击!Q87</f>
        <v>445</v>
      </c>
      <c r="P87" s="47">
        <f>攻击!R87</f>
        <v>534</v>
      </c>
      <c r="Q87" s="47">
        <f>攻击!S87</f>
        <v>623</v>
      </c>
      <c r="R87" s="47">
        <f>攻击!T87</f>
        <v>133.5</v>
      </c>
      <c r="S87" s="47">
        <f>攻击!U87</f>
        <v>53.4</v>
      </c>
      <c r="T87" s="47">
        <f>攻击!V87</f>
        <v>53.4</v>
      </c>
      <c r="U87" s="47">
        <f>攻击!W87</f>
        <v>8.9</v>
      </c>
      <c r="V87" s="54">
        <f>攻击!X87</f>
        <v>0.2</v>
      </c>
      <c r="W87" s="54">
        <f>攻击!Y87</f>
        <v>0.3</v>
      </c>
      <c r="X87" s="54">
        <f>攻击!Z87</f>
        <v>0.5</v>
      </c>
      <c r="Y87" s="54">
        <f>攻击!AA87</f>
        <v>0.8</v>
      </c>
      <c r="Z87" s="54">
        <f>攻击!AB87</f>
        <v>1.2</v>
      </c>
      <c r="AA87" s="47">
        <f>攻击!AL87</f>
        <v>213.6</v>
      </c>
      <c r="AB87" s="54">
        <f>攻击!AM87</f>
        <v>0.2</v>
      </c>
      <c r="AC87" s="54">
        <f>攻击!AN87</f>
        <v>0.3</v>
      </c>
      <c r="AD87" s="54">
        <f>攻击!AO87</f>
        <v>0.5</v>
      </c>
      <c r="AE87" s="54">
        <f>攻击!AP87</f>
        <v>0.8</v>
      </c>
      <c r="AF87" s="54">
        <f>攻击!AQ87</f>
        <v>1.2</v>
      </c>
      <c r="AG87" s="47">
        <f>攻击!AR87</f>
        <v>35.6</v>
      </c>
      <c r="AH87" s="20">
        <f t="shared" si="1"/>
        <v>694.2</v>
      </c>
    </row>
    <row r="88" spans="1:34" s="20" customFormat="1">
      <c r="A88" s="46">
        <v>86</v>
      </c>
      <c r="B88" s="47">
        <f>攻击!D88</f>
        <v>180</v>
      </c>
      <c r="C88" s="47">
        <f>攻击!E88</f>
        <v>216</v>
      </c>
      <c r="D88" s="47">
        <f>攻击!F88</f>
        <v>270</v>
      </c>
      <c r="E88" s="47">
        <f>攻击!G88</f>
        <v>360</v>
      </c>
      <c r="F88" s="47">
        <f>攻击!H88</f>
        <v>450</v>
      </c>
      <c r="G88" s="47">
        <f>攻击!I88</f>
        <v>89</v>
      </c>
      <c r="H88" s="47">
        <f>攻击!J88</f>
        <v>54</v>
      </c>
      <c r="I88" s="47">
        <f>攻击!K88</f>
        <v>108</v>
      </c>
      <c r="J88" s="47">
        <f>攻击!L88</f>
        <v>54</v>
      </c>
      <c r="K88" s="47">
        <f>攻击!M88</f>
        <v>144</v>
      </c>
      <c r="L88" s="47">
        <f>攻击!N88</f>
        <v>216</v>
      </c>
      <c r="M88" s="47">
        <f>攻击!O88</f>
        <v>270</v>
      </c>
      <c r="N88" s="47">
        <f>攻击!P88</f>
        <v>360</v>
      </c>
      <c r="O88" s="47">
        <f>攻击!Q88</f>
        <v>450</v>
      </c>
      <c r="P88" s="47">
        <f>攻击!R88</f>
        <v>540</v>
      </c>
      <c r="Q88" s="47">
        <f>攻击!S88</f>
        <v>630</v>
      </c>
      <c r="R88" s="47">
        <f>攻击!T88</f>
        <v>135</v>
      </c>
      <c r="S88" s="47">
        <f>攻击!U88</f>
        <v>54</v>
      </c>
      <c r="T88" s="47">
        <f>攻击!V88</f>
        <v>54</v>
      </c>
      <c r="U88" s="47">
        <f>攻击!W88</f>
        <v>9</v>
      </c>
      <c r="V88" s="54">
        <f>攻击!X88</f>
        <v>0.2</v>
      </c>
      <c r="W88" s="54">
        <f>攻击!Y88</f>
        <v>0.3</v>
      </c>
      <c r="X88" s="54">
        <f>攻击!Z88</f>
        <v>0.5</v>
      </c>
      <c r="Y88" s="54">
        <f>攻击!AA88</f>
        <v>0.8</v>
      </c>
      <c r="Z88" s="54">
        <f>攻击!AB88</f>
        <v>1.2</v>
      </c>
      <c r="AA88" s="47">
        <f>攻击!AL88</f>
        <v>216</v>
      </c>
      <c r="AB88" s="54">
        <f>攻击!AM88</f>
        <v>0.2</v>
      </c>
      <c r="AC88" s="54">
        <f>攻击!AN88</f>
        <v>0.3</v>
      </c>
      <c r="AD88" s="54">
        <f>攻击!AO88</f>
        <v>0.5</v>
      </c>
      <c r="AE88" s="54">
        <f>攻击!AP88</f>
        <v>0.8</v>
      </c>
      <c r="AF88" s="54">
        <f>攻击!AQ88</f>
        <v>1.2</v>
      </c>
      <c r="AG88" s="47">
        <f>攻击!AR88</f>
        <v>36</v>
      </c>
      <c r="AH88" s="20">
        <f t="shared" si="1"/>
        <v>702</v>
      </c>
    </row>
    <row r="89" spans="1:34" s="20" customFormat="1">
      <c r="A89" s="46">
        <v>87</v>
      </c>
      <c r="B89" s="47">
        <f>攻击!D89</f>
        <v>182</v>
      </c>
      <c r="C89" s="47">
        <f>攻击!E89</f>
        <v>218.4</v>
      </c>
      <c r="D89" s="47">
        <f>攻击!F89</f>
        <v>273</v>
      </c>
      <c r="E89" s="47">
        <f>攻击!G89</f>
        <v>364</v>
      </c>
      <c r="F89" s="47">
        <f>攻击!H89</f>
        <v>455</v>
      </c>
      <c r="G89" s="47">
        <f>攻击!I89</f>
        <v>89</v>
      </c>
      <c r="H89" s="47">
        <f>攻击!J89</f>
        <v>54.6</v>
      </c>
      <c r="I89" s="47">
        <f>攻击!K89</f>
        <v>109.2</v>
      </c>
      <c r="J89" s="47">
        <f>攻击!L89</f>
        <v>54.6</v>
      </c>
      <c r="K89" s="47">
        <f>攻击!M89</f>
        <v>145.6</v>
      </c>
      <c r="L89" s="47">
        <f>攻击!N89</f>
        <v>218.4</v>
      </c>
      <c r="M89" s="47">
        <f>攻击!O89</f>
        <v>273</v>
      </c>
      <c r="N89" s="47">
        <f>攻击!P89</f>
        <v>364</v>
      </c>
      <c r="O89" s="47">
        <f>攻击!Q89</f>
        <v>455</v>
      </c>
      <c r="P89" s="47">
        <f>攻击!R89</f>
        <v>546</v>
      </c>
      <c r="Q89" s="47">
        <f>攻击!S89</f>
        <v>637</v>
      </c>
      <c r="R89" s="47">
        <f>攻击!T89</f>
        <v>136.5</v>
      </c>
      <c r="S89" s="47">
        <f>攻击!U89</f>
        <v>54.6</v>
      </c>
      <c r="T89" s="47">
        <f>攻击!V89</f>
        <v>54.6</v>
      </c>
      <c r="U89" s="47">
        <f>攻击!W89</f>
        <v>9.1</v>
      </c>
      <c r="V89" s="54">
        <f>攻击!X89</f>
        <v>0.2</v>
      </c>
      <c r="W89" s="54">
        <f>攻击!Y89</f>
        <v>0.3</v>
      </c>
      <c r="X89" s="54">
        <f>攻击!Z89</f>
        <v>0.5</v>
      </c>
      <c r="Y89" s="54">
        <f>攻击!AA89</f>
        <v>0.8</v>
      </c>
      <c r="Z89" s="54">
        <f>攻击!AB89</f>
        <v>1.2</v>
      </c>
      <c r="AA89" s="47">
        <f>攻击!AL89</f>
        <v>218.4</v>
      </c>
      <c r="AB89" s="54">
        <f>攻击!AM89</f>
        <v>0.2</v>
      </c>
      <c r="AC89" s="54">
        <f>攻击!AN89</f>
        <v>0.3</v>
      </c>
      <c r="AD89" s="54">
        <f>攻击!AO89</f>
        <v>0.5</v>
      </c>
      <c r="AE89" s="54">
        <f>攻击!AP89</f>
        <v>0.8</v>
      </c>
      <c r="AF89" s="54">
        <f>攻击!AQ89</f>
        <v>1.2</v>
      </c>
      <c r="AG89" s="47">
        <f>攻击!AR89</f>
        <v>36.4</v>
      </c>
      <c r="AH89" s="20">
        <f t="shared" si="1"/>
        <v>709.8</v>
      </c>
    </row>
    <row r="90" spans="1:34" s="20" customFormat="1">
      <c r="A90" s="46">
        <v>88</v>
      </c>
      <c r="B90" s="47">
        <f>攻击!D90</f>
        <v>184</v>
      </c>
      <c r="C90" s="47">
        <f>攻击!E90</f>
        <v>220.79999999999998</v>
      </c>
      <c r="D90" s="47">
        <f>攻击!F90</f>
        <v>276</v>
      </c>
      <c r="E90" s="47">
        <f>攻击!G90</f>
        <v>368</v>
      </c>
      <c r="F90" s="47">
        <f>攻击!H90</f>
        <v>460</v>
      </c>
      <c r="G90" s="47">
        <f>攻击!I90</f>
        <v>89</v>
      </c>
      <c r="H90" s="47">
        <f>攻击!J90</f>
        <v>55.199999999999996</v>
      </c>
      <c r="I90" s="47">
        <f>攻击!K90</f>
        <v>110.39999999999999</v>
      </c>
      <c r="J90" s="47">
        <f>攻击!L90</f>
        <v>55.199999999999996</v>
      </c>
      <c r="K90" s="47">
        <f>攻击!M90</f>
        <v>147.20000000000002</v>
      </c>
      <c r="L90" s="47">
        <f>攻击!N90</f>
        <v>220.79999999999998</v>
      </c>
      <c r="M90" s="47">
        <f>攻击!O90</f>
        <v>276</v>
      </c>
      <c r="N90" s="47">
        <f>攻击!P90</f>
        <v>368</v>
      </c>
      <c r="O90" s="47">
        <f>攻击!Q90</f>
        <v>460</v>
      </c>
      <c r="P90" s="47">
        <f>攻击!R90</f>
        <v>552</v>
      </c>
      <c r="Q90" s="47">
        <f>攻击!S90</f>
        <v>644</v>
      </c>
      <c r="R90" s="47">
        <f>攻击!T90</f>
        <v>138</v>
      </c>
      <c r="S90" s="47">
        <f>攻击!U90</f>
        <v>55.199999999999996</v>
      </c>
      <c r="T90" s="47">
        <f>攻击!V90</f>
        <v>55.199999999999996</v>
      </c>
      <c r="U90" s="47">
        <f>攻击!W90</f>
        <v>9.2000000000000011</v>
      </c>
      <c r="V90" s="54">
        <f>攻击!X90</f>
        <v>0.2</v>
      </c>
      <c r="W90" s="54">
        <f>攻击!Y90</f>
        <v>0.3</v>
      </c>
      <c r="X90" s="54">
        <f>攻击!Z90</f>
        <v>0.5</v>
      </c>
      <c r="Y90" s="54">
        <f>攻击!AA90</f>
        <v>0.8</v>
      </c>
      <c r="Z90" s="54">
        <f>攻击!AB90</f>
        <v>1.2</v>
      </c>
      <c r="AA90" s="47">
        <f>攻击!AL90</f>
        <v>220.79999999999998</v>
      </c>
      <c r="AB90" s="54">
        <f>攻击!AM90</f>
        <v>0.2</v>
      </c>
      <c r="AC90" s="54">
        <f>攻击!AN90</f>
        <v>0.3</v>
      </c>
      <c r="AD90" s="54">
        <f>攻击!AO90</f>
        <v>0.5</v>
      </c>
      <c r="AE90" s="54">
        <f>攻击!AP90</f>
        <v>0.8</v>
      </c>
      <c r="AF90" s="54">
        <f>攻击!AQ90</f>
        <v>1.2</v>
      </c>
      <c r="AG90" s="47">
        <f>攻击!AR90</f>
        <v>36.800000000000004</v>
      </c>
      <c r="AH90" s="20">
        <f t="shared" si="1"/>
        <v>717.59999999999991</v>
      </c>
    </row>
    <row r="91" spans="1:34" s="20" customFormat="1">
      <c r="A91" s="46">
        <v>89</v>
      </c>
      <c r="B91" s="47">
        <f>攻击!D91</f>
        <v>186</v>
      </c>
      <c r="C91" s="47">
        <f>攻击!E91</f>
        <v>223.2</v>
      </c>
      <c r="D91" s="47">
        <f>攻击!F91</f>
        <v>279</v>
      </c>
      <c r="E91" s="47">
        <f>攻击!G91</f>
        <v>372</v>
      </c>
      <c r="F91" s="47">
        <f>攻击!H91</f>
        <v>465</v>
      </c>
      <c r="G91" s="47">
        <f>攻击!I91</f>
        <v>89</v>
      </c>
      <c r="H91" s="47">
        <f>攻击!J91</f>
        <v>55.8</v>
      </c>
      <c r="I91" s="47">
        <f>攻击!K91</f>
        <v>111.6</v>
      </c>
      <c r="J91" s="47">
        <f>攻击!L91</f>
        <v>55.8</v>
      </c>
      <c r="K91" s="47">
        <f>攻击!M91</f>
        <v>148.80000000000001</v>
      </c>
      <c r="L91" s="47">
        <f>攻击!N91</f>
        <v>223.2</v>
      </c>
      <c r="M91" s="47">
        <f>攻击!O91</f>
        <v>279</v>
      </c>
      <c r="N91" s="47">
        <f>攻击!P91</f>
        <v>372</v>
      </c>
      <c r="O91" s="47">
        <f>攻击!Q91</f>
        <v>465</v>
      </c>
      <c r="P91" s="47">
        <f>攻击!R91</f>
        <v>558</v>
      </c>
      <c r="Q91" s="47">
        <f>攻击!S91</f>
        <v>651</v>
      </c>
      <c r="R91" s="47">
        <f>攻击!T91</f>
        <v>139.5</v>
      </c>
      <c r="S91" s="47">
        <f>攻击!U91</f>
        <v>55.8</v>
      </c>
      <c r="T91" s="47">
        <f>攻击!V91</f>
        <v>55.8</v>
      </c>
      <c r="U91" s="47">
        <f>攻击!W91</f>
        <v>9.3000000000000007</v>
      </c>
      <c r="V91" s="54">
        <f>攻击!X91</f>
        <v>0.2</v>
      </c>
      <c r="W91" s="54">
        <f>攻击!Y91</f>
        <v>0.3</v>
      </c>
      <c r="X91" s="54">
        <f>攻击!Z91</f>
        <v>0.5</v>
      </c>
      <c r="Y91" s="54">
        <f>攻击!AA91</f>
        <v>0.8</v>
      </c>
      <c r="Z91" s="54">
        <f>攻击!AB91</f>
        <v>1.2</v>
      </c>
      <c r="AA91" s="47">
        <f>攻击!AL91</f>
        <v>223.2</v>
      </c>
      <c r="AB91" s="54">
        <f>攻击!AM91</f>
        <v>0.2</v>
      </c>
      <c r="AC91" s="54">
        <f>攻击!AN91</f>
        <v>0.3</v>
      </c>
      <c r="AD91" s="54">
        <f>攻击!AO91</f>
        <v>0.5</v>
      </c>
      <c r="AE91" s="54">
        <f>攻击!AP91</f>
        <v>0.8</v>
      </c>
      <c r="AF91" s="54">
        <f>攻击!AQ91</f>
        <v>1.2</v>
      </c>
      <c r="AG91" s="47">
        <f>攻击!AR91</f>
        <v>37.200000000000003</v>
      </c>
      <c r="AH91" s="20">
        <f t="shared" si="1"/>
        <v>725.40000000000009</v>
      </c>
    </row>
    <row r="92" spans="1:34" s="20" customFormat="1">
      <c r="A92" s="46">
        <v>90</v>
      </c>
      <c r="B92" s="47">
        <f>攻击!D92</f>
        <v>188</v>
      </c>
      <c r="C92" s="47">
        <f>攻击!E92</f>
        <v>225.6</v>
      </c>
      <c r="D92" s="47">
        <f>攻击!F92</f>
        <v>282</v>
      </c>
      <c r="E92" s="47">
        <f>攻击!G92</f>
        <v>376</v>
      </c>
      <c r="F92" s="47">
        <f>攻击!H92</f>
        <v>470</v>
      </c>
      <c r="G92" s="47">
        <f>攻击!I92</f>
        <v>94</v>
      </c>
      <c r="H92" s="47">
        <f>攻击!J92</f>
        <v>56.4</v>
      </c>
      <c r="I92" s="47">
        <f>攻击!K92</f>
        <v>112.8</v>
      </c>
      <c r="J92" s="47">
        <f>攻击!L92</f>
        <v>56.4</v>
      </c>
      <c r="K92" s="47">
        <f>攻击!M92</f>
        <v>150.4</v>
      </c>
      <c r="L92" s="47">
        <f>攻击!N92</f>
        <v>225.6</v>
      </c>
      <c r="M92" s="47">
        <f>攻击!O92</f>
        <v>282</v>
      </c>
      <c r="N92" s="47">
        <f>攻击!P92</f>
        <v>376</v>
      </c>
      <c r="O92" s="47">
        <f>攻击!Q92</f>
        <v>470</v>
      </c>
      <c r="P92" s="47">
        <f>攻击!R92</f>
        <v>564</v>
      </c>
      <c r="Q92" s="47">
        <f>攻击!S92</f>
        <v>658</v>
      </c>
      <c r="R92" s="47">
        <f>攻击!T92</f>
        <v>141</v>
      </c>
      <c r="S92" s="47">
        <f>攻击!U92</f>
        <v>56.4</v>
      </c>
      <c r="T92" s="47">
        <f>攻击!V92</f>
        <v>56.4</v>
      </c>
      <c r="U92" s="47">
        <f>攻击!W92</f>
        <v>9.4</v>
      </c>
      <c r="V92" s="54">
        <f>攻击!X92</f>
        <v>0.2</v>
      </c>
      <c r="W92" s="54">
        <f>攻击!Y92</f>
        <v>0.3</v>
      </c>
      <c r="X92" s="54">
        <f>攻击!Z92</f>
        <v>0.5</v>
      </c>
      <c r="Y92" s="54">
        <f>攻击!AA92</f>
        <v>0.8</v>
      </c>
      <c r="Z92" s="54">
        <f>攻击!AB92</f>
        <v>1.2</v>
      </c>
      <c r="AA92" s="47">
        <f>攻击!AL92</f>
        <v>225.6</v>
      </c>
      <c r="AB92" s="54">
        <f>攻击!AM92</f>
        <v>0.2</v>
      </c>
      <c r="AC92" s="54">
        <f>攻击!AN92</f>
        <v>0.3</v>
      </c>
      <c r="AD92" s="54">
        <f>攻击!AO92</f>
        <v>0.5</v>
      </c>
      <c r="AE92" s="54">
        <f>攻击!AP92</f>
        <v>0.8</v>
      </c>
      <c r="AF92" s="54">
        <f>攻击!AQ92</f>
        <v>1.2</v>
      </c>
      <c r="AG92" s="47">
        <f>攻击!AR92</f>
        <v>37.6</v>
      </c>
      <c r="AH92" s="20">
        <f t="shared" si="1"/>
        <v>733.2</v>
      </c>
    </row>
    <row r="93" spans="1:34" s="20" customFormat="1">
      <c r="A93" s="46">
        <v>91</v>
      </c>
      <c r="B93" s="47">
        <f>攻击!D93</f>
        <v>190</v>
      </c>
      <c r="C93" s="47">
        <f>攻击!E93</f>
        <v>228</v>
      </c>
      <c r="D93" s="47">
        <f>攻击!F93</f>
        <v>285</v>
      </c>
      <c r="E93" s="47">
        <f>攻击!G93</f>
        <v>380</v>
      </c>
      <c r="F93" s="47">
        <f>攻击!H93</f>
        <v>475</v>
      </c>
      <c r="G93" s="47">
        <f>攻击!I93</f>
        <v>94</v>
      </c>
      <c r="H93" s="47">
        <f>攻击!J93</f>
        <v>57</v>
      </c>
      <c r="I93" s="47">
        <f>攻击!K93</f>
        <v>114</v>
      </c>
      <c r="J93" s="47">
        <f>攻击!L93</f>
        <v>57</v>
      </c>
      <c r="K93" s="47">
        <f>攻击!M93</f>
        <v>152</v>
      </c>
      <c r="L93" s="47">
        <f>攻击!N93</f>
        <v>228</v>
      </c>
      <c r="M93" s="47">
        <f>攻击!O93</f>
        <v>285</v>
      </c>
      <c r="N93" s="47">
        <f>攻击!P93</f>
        <v>380</v>
      </c>
      <c r="O93" s="47">
        <f>攻击!Q93</f>
        <v>475</v>
      </c>
      <c r="P93" s="47">
        <f>攻击!R93</f>
        <v>570</v>
      </c>
      <c r="Q93" s="47">
        <f>攻击!S93</f>
        <v>665</v>
      </c>
      <c r="R93" s="47">
        <f>攻击!T93</f>
        <v>142.5</v>
      </c>
      <c r="S93" s="47">
        <f>攻击!U93</f>
        <v>57</v>
      </c>
      <c r="T93" s="47">
        <f>攻击!V93</f>
        <v>57</v>
      </c>
      <c r="U93" s="47">
        <f>攻击!W93</f>
        <v>9.5</v>
      </c>
      <c r="V93" s="54">
        <f>攻击!X93</f>
        <v>0.2</v>
      </c>
      <c r="W93" s="54">
        <f>攻击!Y93</f>
        <v>0.3</v>
      </c>
      <c r="X93" s="54">
        <f>攻击!Z93</f>
        <v>0.5</v>
      </c>
      <c r="Y93" s="54">
        <f>攻击!AA93</f>
        <v>0.8</v>
      </c>
      <c r="Z93" s="54">
        <f>攻击!AB93</f>
        <v>1.2</v>
      </c>
      <c r="AA93" s="47">
        <f>攻击!AL93</f>
        <v>228</v>
      </c>
      <c r="AB93" s="54">
        <f>攻击!AM93</f>
        <v>0.2</v>
      </c>
      <c r="AC93" s="54">
        <f>攻击!AN93</f>
        <v>0.3</v>
      </c>
      <c r="AD93" s="54">
        <f>攻击!AO93</f>
        <v>0.5</v>
      </c>
      <c r="AE93" s="54">
        <f>攻击!AP93</f>
        <v>0.8</v>
      </c>
      <c r="AF93" s="54">
        <f>攻击!AQ93</f>
        <v>1.2</v>
      </c>
      <c r="AG93" s="47">
        <f>攻击!AR93</f>
        <v>38</v>
      </c>
      <c r="AH93" s="20">
        <f t="shared" si="1"/>
        <v>741</v>
      </c>
    </row>
    <row r="94" spans="1:34" s="20" customFormat="1">
      <c r="A94" s="46">
        <v>92</v>
      </c>
      <c r="B94" s="47">
        <f>攻击!D94</f>
        <v>192</v>
      </c>
      <c r="C94" s="47">
        <f>攻击!E94</f>
        <v>230.39999999999998</v>
      </c>
      <c r="D94" s="47">
        <f>攻击!F94</f>
        <v>288</v>
      </c>
      <c r="E94" s="47">
        <f>攻击!G94</f>
        <v>384</v>
      </c>
      <c r="F94" s="47">
        <f>攻击!H94</f>
        <v>480</v>
      </c>
      <c r="G94" s="47">
        <f>攻击!I94</f>
        <v>94</v>
      </c>
      <c r="H94" s="47">
        <f>攻击!J94</f>
        <v>57.599999999999994</v>
      </c>
      <c r="I94" s="47">
        <f>攻击!K94</f>
        <v>115.19999999999999</v>
      </c>
      <c r="J94" s="47">
        <f>攻击!L94</f>
        <v>57.599999999999994</v>
      </c>
      <c r="K94" s="47">
        <f>攻击!M94</f>
        <v>153.60000000000002</v>
      </c>
      <c r="L94" s="47">
        <f>攻击!N94</f>
        <v>230.39999999999998</v>
      </c>
      <c r="M94" s="47">
        <f>攻击!O94</f>
        <v>288</v>
      </c>
      <c r="N94" s="47">
        <f>攻击!P94</f>
        <v>384</v>
      </c>
      <c r="O94" s="47">
        <f>攻击!Q94</f>
        <v>480</v>
      </c>
      <c r="P94" s="47">
        <f>攻击!R94</f>
        <v>576</v>
      </c>
      <c r="Q94" s="47">
        <f>攻击!S94</f>
        <v>672</v>
      </c>
      <c r="R94" s="47">
        <f>攻击!T94</f>
        <v>144</v>
      </c>
      <c r="S94" s="47">
        <f>攻击!U94</f>
        <v>57.599999999999994</v>
      </c>
      <c r="T94" s="47">
        <f>攻击!V94</f>
        <v>57.599999999999994</v>
      </c>
      <c r="U94" s="47">
        <f>攻击!W94</f>
        <v>9.6000000000000014</v>
      </c>
      <c r="V94" s="54">
        <f>攻击!X94</f>
        <v>0.2</v>
      </c>
      <c r="W94" s="54">
        <f>攻击!Y94</f>
        <v>0.3</v>
      </c>
      <c r="X94" s="54">
        <f>攻击!Z94</f>
        <v>0.5</v>
      </c>
      <c r="Y94" s="54">
        <f>攻击!AA94</f>
        <v>0.8</v>
      </c>
      <c r="Z94" s="54">
        <f>攻击!AB94</f>
        <v>1.2</v>
      </c>
      <c r="AA94" s="47">
        <f>攻击!AL94</f>
        <v>230.39999999999998</v>
      </c>
      <c r="AB94" s="54">
        <f>攻击!AM94</f>
        <v>0.2</v>
      </c>
      <c r="AC94" s="54">
        <f>攻击!AN94</f>
        <v>0.3</v>
      </c>
      <c r="AD94" s="54">
        <f>攻击!AO94</f>
        <v>0.5</v>
      </c>
      <c r="AE94" s="54">
        <f>攻击!AP94</f>
        <v>0.8</v>
      </c>
      <c r="AF94" s="54">
        <f>攻击!AQ94</f>
        <v>1.2</v>
      </c>
      <c r="AG94" s="47">
        <f>攻击!AR94</f>
        <v>38.400000000000006</v>
      </c>
      <c r="AH94" s="20">
        <f t="shared" si="1"/>
        <v>748.8</v>
      </c>
    </row>
    <row r="95" spans="1:34" s="20" customFormat="1">
      <c r="A95" s="46">
        <v>93</v>
      </c>
      <c r="B95" s="47">
        <f>攻击!D95</f>
        <v>194</v>
      </c>
      <c r="C95" s="47">
        <f>攻击!E95</f>
        <v>232.79999999999998</v>
      </c>
      <c r="D95" s="47">
        <f>攻击!F95</f>
        <v>291</v>
      </c>
      <c r="E95" s="47">
        <f>攻击!G95</f>
        <v>388</v>
      </c>
      <c r="F95" s="47">
        <f>攻击!H95</f>
        <v>485</v>
      </c>
      <c r="G95" s="47">
        <f>攻击!I95</f>
        <v>94</v>
      </c>
      <c r="H95" s="47">
        <f>攻击!J95</f>
        <v>58.199999999999996</v>
      </c>
      <c r="I95" s="47">
        <f>攻击!K95</f>
        <v>116.39999999999999</v>
      </c>
      <c r="J95" s="47">
        <f>攻击!L95</f>
        <v>58.199999999999996</v>
      </c>
      <c r="K95" s="47">
        <f>攻击!M95</f>
        <v>155.20000000000002</v>
      </c>
      <c r="L95" s="47">
        <f>攻击!N95</f>
        <v>232.79999999999998</v>
      </c>
      <c r="M95" s="47">
        <f>攻击!O95</f>
        <v>291</v>
      </c>
      <c r="N95" s="47">
        <f>攻击!P95</f>
        <v>388</v>
      </c>
      <c r="O95" s="47">
        <f>攻击!Q95</f>
        <v>485</v>
      </c>
      <c r="P95" s="47">
        <f>攻击!R95</f>
        <v>582</v>
      </c>
      <c r="Q95" s="47">
        <f>攻击!S95</f>
        <v>679</v>
      </c>
      <c r="R95" s="47">
        <f>攻击!T95</f>
        <v>145.5</v>
      </c>
      <c r="S95" s="47">
        <f>攻击!U95</f>
        <v>58.199999999999996</v>
      </c>
      <c r="T95" s="47">
        <f>攻击!V95</f>
        <v>58.199999999999996</v>
      </c>
      <c r="U95" s="47">
        <f>攻击!W95</f>
        <v>9.7000000000000011</v>
      </c>
      <c r="V95" s="54">
        <f>攻击!X95</f>
        <v>0.2</v>
      </c>
      <c r="W95" s="54">
        <f>攻击!Y95</f>
        <v>0.3</v>
      </c>
      <c r="X95" s="54">
        <f>攻击!Z95</f>
        <v>0.5</v>
      </c>
      <c r="Y95" s="54">
        <f>攻击!AA95</f>
        <v>0.8</v>
      </c>
      <c r="Z95" s="54">
        <f>攻击!AB95</f>
        <v>1.2</v>
      </c>
      <c r="AA95" s="47">
        <f>攻击!AL95</f>
        <v>232.79999999999998</v>
      </c>
      <c r="AB95" s="54">
        <f>攻击!AM95</f>
        <v>0.2</v>
      </c>
      <c r="AC95" s="54">
        <f>攻击!AN95</f>
        <v>0.3</v>
      </c>
      <c r="AD95" s="54">
        <f>攻击!AO95</f>
        <v>0.5</v>
      </c>
      <c r="AE95" s="54">
        <f>攻击!AP95</f>
        <v>0.8</v>
      </c>
      <c r="AF95" s="54">
        <f>攻击!AQ95</f>
        <v>1.2</v>
      </c>
      <c r="AG95" s="47">
        <f>攻击!AR95</f>
        <v>38.800000000000004</v>
      </c>
      <c r="AH95" s="20">
        <f t="shared" si="1"/>
        <v>756.59999999999991</v>
      </c>
    </row>
    <row r="96" spans="1:34" s="20" customFormat="1">
      <c r="A96" s="46">
        <v>94</v>
      </c>
      <c r="B96" s="47">
        <f>攻击!D96</f>
        <v>196</v>
      </c>
      <c r="C96" s="47">
        <f>攻击!E96</f>
        <v>235.2</v>
      </c>
      <c r="D96" s="47">
        <f>攻击!F96</f>
        <v>294</v>
      </c>
      <c r="E96" s="47">
        <f>攻击!G96</f>
        <v>392</v>
      </c>
      <c r="F96" s="47">
        <f>攻击!H96</f>
        <v>490</v>
      </c>
      <c r="G96" s="47">
        <f>攻击!I96</f>
        <v>94</v>
      </c>
      <c r="H96" s="47">
        <f>攻击!J96</f>
        <v>58.8</v>
      </c>
      <c r="I96" s="47">
        <f>攻击!K96</f>
        <v>117.6</v>
      </c>
      <c r="J96" s="47">
        <f>攻击!L96</f>
        <v>58.8</v>
      </c>
      <c r="K96" s="47">
        <f>攻击!M96</f>
        <v>156.80000000000001</v>
      </c>
      <c r="L96" s="47">
        <f>攻击!N96</f>
        <v>235.2</v>
      </c>
      <c r="M96" s="47">
        <f>攻击!O96</f>
        <v>294</v>
      </c>
      <c r="N96" s="47">
        <f>攻击!P96</f>
        <v>392</v>
      </c>
      <c r="O96" s="47">
        <f>攻击!Q96</f>
        <v>490</v>
      </c>
      <c r="P96" s="47">
        <f>攻击!R96</f>
        <v>588</v>
      </c>
      <c r="Q96" s="47">
        <f>攻击!S96</f>
        <v>686</v>
      </c>
      <c r="R96" s="47">
        <f>攻击!T96</f>
        <v>147</v>
      </c>
      <c r="S96" s="47">
        <f>攻击!U96</f>
        <v>58.8</v>
      </c>
      <c r="T96" s="47">
        <f>攻击!V96</f>
        <v>58.8</v>
      </c>
      <c r="U96" s="47">
        <f>攻击!W96</f>
        <v>9.8000000000000007</v>
      </c>
      <c r="V96" s="54">
        <f>攻击!X96</f>
        <v>0.2</v>
      </c>
      <c r="W96" s="54">
        <f>攻击!Y96</f>
        <v>0.3</v>
      </c>
      <c r="X96" s="54">
        <f>攻击!Z96</f>
        <v>0.5</v>
      </c>
      <c r="Y96" s="54">
        <f>攻击!AA96</f>
        <v>0.8</v>
      </c>
      <c r="Z96" s="54">
        <f>攻击!AB96</f>
        <v>1.2</v>
      </c>
      <c r="AA96" s="47">
        <f>攻击!AL96</f>
        <v>235.2</v>
      </c>
      <c r="AB96" s="54">
        <f>攻击!AM96</f>
        <v>0.2</v>
      </c>
      <c r="AC96" s="54">
        <f>攻击!AN96</f>
        <v>0.3</v>
      </c>
      <c r="AD96" s="54">
        <f>攻击!AO96</f>
        <v>0.5</v>
      </c>
      <c r="AE96" s="54">
        <f>攻击!AP96</f>
        <v>0.8</v>
      </c>
      <c r="AF96" s="54">
        <f>攻击!AQ96</f>
        <v>1.2</v>
      </c>
      <c r="AG96" s="47">
        <f>攻击!AR96</f>
        <v>39.200000000000003</v>
      </c>
      <c r="AH96" s="20">
        <f t="shared" si="1"/>
        <v>764.40000000000009</v>
      </c>
    </row>
    <row r="97" spans="1:34" s="20" customFormat="1">
      <c r="A97" s="46">
        <v>95</v>
      </c>
      <c r="B97" s="47">
        <f>攻击!D97</f>
        <v>198</v>
      </c>
      <c r="C97" s="47">
        <f>攻击!E97</f>
        <v>237.6</v>
      </c>
      <c r="D97" s="47">
        <f>攻击!F97</f>
        <v>297</v>
      </c>
      <c r="E97" s="47">
        <f>攻击!G97</f>
        <v>396</v>
      </c>
      <c r="F97" s="47">
        <f>攻击!H97</f>
        <v>495</v>
      </c>
      <c r="G97" s="47">
        <f>攻击!I97</f>
        <v>99</v>
      </c>
      <c r="H97" s="47">
        <f>攻击!J97</f>
        <v>59.4</v>
      </c>
      <c r="I97" s="47">
        <f>攻击!K97</f>
        <v>118.8</v>
      </c>
      <c r="J97" s="47">
        <f>攻击!L97</f>
        <v>59.4</v>
      </c>
      <c r="K97" s="47">
        <f>攻击!M97</f>
        <v>158.4</v>
      </c>
      <c r="L97" s="47">
        <f>攻击!N97</f>
        <v>237.6</v>
      </c>
      <c r="M97" s="47">
        <f>攻击!O97</f>
        <v>297</v>
      </c>
      <c r="N97" s="47">
        <f>攻击!P97</f>
        <v>396</v>
      </c>
      <c r="O97" s="47">
        <f>攻击!Q97</f>
        <v>495</v>
      </c>
      <c r="P97" s="47">
        <f>攻击!R97</f>
        <v>594</v>
      </c>
      <c r="Q97" s="47">
        <f>攻击!S97</f>
        <v>693</v>
      </c>
      <c r="R97" s="47">
        <f>攻击!T97</f>
        <v>148.5</v>
      </c>
      <c r="S97" s="47">
        <f>攻击!U97</f>
        <v>59.4</v>
      </c>
      <c r="T97" s="47">
        <f>攻击!V97</f>
        <v>59.4</v>
      </c>
      <c r="U97" s="47">
        <f>攻击!W97</f>
        <v>9.9</v>
      </c>
      <c r="V97" s="54">
        <f>攻击!X97</f>
        <v>0.2</v>
      </c>
      <c r="W97" s="54">
        <f>攻击!Y97</f>
        <v>0.3</v>
      </c>
      <c r="X97" s="54">
        <f>攻击!Z97</f>
        <v>0.5</v>
      </c>
      <c r="Y97" s="54">
        <f>攻击!AA97</f>
        <v>0.8</v>
      </c>
      <c r="Z97" s="54">
        <f>攻击!AB97</f>
        <v>1.2</v>
      </c>
      <c r="AA97" s="47">
        <f>攻击!AL97</f>
        <v>237.6</v>
      </c>
      <c r="AB97" s="54">
        <f>攻击!AM97</f>
        <v>0.2</v>
      </c>
      <c r="AC97" s="54">
        <f>攻击!AN97</f>
        <v>0.3</v>
      </c>
      <c r="AD97" s="54">
        <f>攻击!AO97</f>
        <v>0.5</v>
      </c>
      <c r="AE97" s="54">
        <f>攻击!AP97</f>
        <v>0.8</v>
      </c>
      <c r="AF97" s="54">
        <f>攻击!AQ97</f>
        <v>1.2</v>
      </c>
      <c r="AG97" s="47">
        <f>攻击!AR97</f>
        <v>39.6</v>
      </c>
      <c r="AH97" s="20">
        <f t="shared" si="1"/>
        <v>772.2</v>
      </c>
    </row>
    <row r="98" spans="1:34" s="20" customFormat="1">
      <c r="A98" s="46">
        <v>96</v>
      </c>
      <c r="B98" s="47">
        <f>攻击!D98</f>
        <v>200</v>
      </c>
      <c r="C98" s="47">
        <f>攻击!E98</f>
        <v>240</v>
      </c>
      <c r="D98" s="47">
        <f>攻击!F98</f>
        <v>300</v>
      </c>
      <c r="E98" s="47">
        <f>攻击!G98</f>
        <v>400</v>
      </c>
      <c r="F98" s="47">
        <f>攻击!H98</f>
        <v>500</v>
      </c>
      <c r="G98" s="47">
        <f>攻击!I98</f>
        <v>99</v>
      </c>
      <c r="H98" s="47">
        <f>攻击!J98</f>
        <v>60</v>
      </c>
      <c r="I98" s="47">
        <f>攻击!K98</f>
        <v>120</v>
      </c>
      <c r="J98" s="47">
        <f>攻击!L98</f>
        <v>60</v>
      </c>
      <c r="K98" s="47">
        <f>攻击!M98</f>
        <v>160</v>
      </c>
      <c r="L98" s="47">
        <f>攻击!N98</f>
        <v>240</v>
      </c>
      <c r="M98" s="47">
        <f>攻击!O98</f>
        <v>300</v>
      </c>
      <c r="N98" s="47">
        <f>攻击!P98</f>
        <v>400</v>
      </c>
      <c r="O98" s="47">
        <f>攻击!Q98</f>
        <v>500</v>
      </c>
      <c r="P98" s="47">
        <f>攻击!R98</f>
        <v>600</v>
      </c>
      <c r="Q98" s="47">
        <f>攻击!S98</f>
        <v>700</v>
      </c>
      <c r="R98" s="47">
        <f>攻击!T98</f>
        <v>150</v>
      </c>
      <c r="S98" s="47">
        <f>攻击!U98</f>
        <v>60</v>
      </c>
      <c r="T98" s="47">
        <f>攻击!V98</f>
        <v>60</v>
      </c>
      <c r="U98" s="47">
        <f>攻击!W98</f>
        <v>10</v>
      </c>
      <c r="V98" s="54">
        <f>攻击!X98</f>
        <v>0.2</v>
      </c>
      <c r="W98" s="54">
        <f>攻击!Y98</f>
        <v>0.3</v>
      </c>
      <c r="X98" s="54">
        <f>攻击!Z98</f>
        <v>0.5</v>
      </c>
      <c r="Y98" s="54">
        <f>攻击!AA98</f>
        <v>0.8</v>
      </c>
      <c r="Z98" s="54">
        <f>攻击!AB98</f>
        <v>1.2</v>
      </c>
      <c r="AA98" s="47">
        <f>攻击!AL98</f>
        <v>240</v>
      </c>
      <c r="AB98" s="54">
        <f>攻击!AM98</f>
        <v>0.2</v>
      </c>
      <c r="AC98" s="54">
        <f>攻击!AN98</f>
        <v>0.3</v>
      </c>
      <c r="AD98" s="54">
        <f>攻击!AO98</f>
        <v>0.5</v>
      </c>
      <c r="AE98" s="54">
        <f>攻击!AP98</f>
        <v>0.8</v>
      </c>
      <c r="AF98" s="54">
        <f>攻击!AQ98</f>
        <v>1.2</v>
      </c>
      <c r="AG98" s="47">
        <f>攻击!AR98</f>
        <v>40</v>
      </c>
      <c r="AH98" s="20">
        <f t="shared" si="1"/>
        <v>780</v>
      </c>
    </row>
    <row r="99" spans="1:34" s="20" customFormat="1">
      <c r="A99" s="46">
        <v>97</v>
      </c>
      <c r="B99" s="47">
        <f>攻击!D99</f>
        <v>202</v>
      </c>
      <c r="C99" s="47">
        <f>攻击!E99</f>
        <v>242.39999999999998</v>
      </c>
      <c r="D99" s="47">
        <f>攻击!F99</f>
        <v>303</v>
      </c>
      <c r="E99" s="47">
        <f>攻击!G99</f>
        <v>404</v>
      </c>
      <c r="F99" s="47">
        <f>攻击!H99</f>
        <v>505</v>
      </c>
      <c r="G99" s="47">
        <f>攻击!I99</f>
        <v>99</v>
      </c>
      <c r="H99" s="47">
        <f>攻击!J99</f>
        <v>60.599999999999994</v>
      </c>
      <c r="I99" s="47">
        <f>攻击!K99</f>
        <v>121.19999999999999</v>
      </c>
      <c r="J99" s="47">
        <f>攻击!L99</f>
        <v>60.599999999999994</v>
      </c>
      <c r="K99" s="47">
        <f>攻击!M99</f>
        <v>161.60000000000002</v>
      </c>
      <c r="L99" s="47">
        <f>攻击!N99</f>
        <v>242.39999999999998</v>
      </c>
      <c r="M99" s="47">
        <f>攻击!O99</f>
        <v>303</v>
      </c>
      <c r="N99" s="47">
        <f>攻击!P99</f>
        <v>404</v>
      </c>
      <c r="O99" s="47">
        <f>攻击!Q99</f>
        <v>505</v>
      </c>
      <c r="P99" s="47">
        <f>攻击!R99</f>
        <v>606</v>
      </c>
      <c r="Q99" s="47">
        <f>攻击!S99</f>
        <v>707</v>
      </c>
      <c r="R99" s="47">
        <f>攻击!T99</f>
        <v>151.5</v>
      </c>
      <c r="S99" s="47">
        <f>攻击!U99</f>
        <v>60.599999999999994</v>
      </c>
      <c r="T99" s="47">
        <f>攻击!V99</f>
        <v>60.599999999999994</v>
      </c>
      <c r="U99" s="47">
        <f>攻击!W99</f>
        <v>10.100000000000001</v>
      </c>
      <c r="V99" s="54">
        <f>攻击!X99</f>
        <v>0.2</v>
      </c>
      <c r="W99" s="54">
        <f>攻击!Y99</f>
        <v>0.3</v>
      </c>
      <c r="X99" s="54">
        <f>攻击!Z99</f>
        <v>0.5</v>
      </c>
      <c r="Y99" s="54">
        <f>攻击!AA99</f>
        <v>0.8</v>
      </c>
      <c r="Z99" s="54">
        <f>攻击!AB99</f>
        <v>1.2</v>
      </c>
      <c r="AA99" s="47">
        <f>攻击!AL99</f>
        <v>242.39999999999998</v>
      </c>
      <c r="AB99" s="54">
        <f>攻击!AM99</f>
        <v>0.2</v>
      </c>
      <c r="AC99" s="54">
        <f>攻击!AN99</f>
        <v>0.3</v>
      </c>
      <c r="AD99" s="54">
        <f>攻击!AO99</f>
        <v>0.5</v>
      </c>
      <c r="AE99" s="54">
        <f>攻击!AP99</f>
        <v>0.8</v>
      </c>
      <c r="AF99" s="54">
        <f>攻击!AQ99</f>
        <v>1.2</v>
      </c>
      <c r="AG99" s="47">
        <f>攻击!AR99</f>
        <v>40.400000000000006</v>
      </c>
      <c r="AH99" s="20">
        <f t="shared" si="1"/>
        <v>787.8</v>
      </c>
    </row>
    <row r="100" spans="1:34" s="20" customFormat="1">
      <c r="A100" s="46">
        <v>98</v>
      </c>
      <c r="B100" s="47">
        <f>攻击!D100</f>
        <v>204</v>
      </c>
      <c r="C100" s="47">
        <f>攻击!E100</f>
        <v>244.79999999999998</v>
      </c>
      <c r="D100" s="47">
        <f>攻击!F100</f>
        <v>306</v>
      </c>
      <c r="E100" s="47">
        <f>攻击!G100</f>
        <v>408</v>
      </c>
      <c r="F100" s="47">
        <f>攻击!H100</f>
        <v>510</v>
      </c>
      <c r="G100" s="47">
        <f>攻击!I100</f>
        <v>99</v>
      </c>
      <c r="H100" s="47">
        <f>攻击!J100</f>
        <v>61.199999999999996</v>
      </c>
      <c r="I100" s="47">
        <f>攻击!K100</f>
        <v>122.39999999999999</v>
      </c>
      <c r="J100" s="47">
        <f>攻击!L100</f>
        <v>61.199999999999996</v>
      </c>
      <c r="K100" s="47">
        <f>攻击!M100</f>
        <v>163.20000000000002</v>
      </c>
      <c r="L100" s="47">
        <f>攻击!N100</f>
        <v>244.79999999999998</v>
      </c>
      <c r="M100" s="47">
        <f>攻击!O100</f>
        <v>306</v>
      </c>
      <c r="N100" s="47">
        <f>攻击!P100</f>
        <v>408</v>
      </c>
      <c r="O100" s="47">
        <f>攻击!Q100</f>
        <v>510</v>
      </c>
      <c r="P100" s="47">
        <f>攻击!R100</f>
        <v>612</v>
      </c>
      <c r="Q100" s="47">
        <f>攻击!S100</f>
        <v>714</v>
      </c>
      <c r="R100" s="47">
        <f>攻击!T100</f>
        <v>153</v>
      </c>
      <c r="S100" s="47">
        <f>攻击!U100</f>
        <v>61.199999999999996</v>
      </c>
      <c r="T100" s="47">
        <f>攻击!V100</f>
        <v>61.199999999999996</v>
      </c>
      <c r="U100" s="47">
        <f>攻击!W100</f>
        <v>10.200000000000001</v>
      </c>
      <c r="V100" s="54">
        <f>攻击!X100</f>
        <v>0.2</v>
      </c>
      <c r="W100" s="54">
        <f>攻击!Y100</f>
        <v>0.3</v>
      </c>
      <c r="X100" s="54">
        <f>攻击!Z100</f>
        <v>0.5</v>
      </c>
      <c r="Y100" s="54">
        <f>攻击!AA100</f>
        <v>0.8</v>
      </c>
      <c r="Z100" s="54">
        <f>攻击!AB100</f>
        <v>1.2</v>
      </c>
      <c r="AA100" s="47">
        <f>攻击!AL100</f>
        <v>244.79999999999998</v>
      </c>
      <c r="AB100" s="54">
        <f>攻击!AM100</f>
        <v>0.2</v>
      </c>
      <c r="AC100" s="54">
        <f>攻击!AN100</f>
        <v>0.3</v>
      </c>
      <c r="AD100" s="54">
        <f>攻击!AO100</f>
        <v>0.5</v>
      </c>
      <c r="AE100" s="54">
        <f>攻击!AP100</f>
        <v>0.8</v>
      </c>
      <c r="AF100" s="54">
        <f>攻击!AQ100</f>
        <v>1.2</v>
      </c>
      <c r="AG100" s="47">
        <f>攻击!AR100</f>
        <v>40.800000000000004</v>
      </c>
      <c r="AH100" s="20">
        <f t="shared" si="1"/>
        <v>795.59999999999991</v>
      </c>
    </row>
    <row r="101" spans="1:34" s="20" customFormat="1">
      <c r="A101" s="46">
        <v>99</v>
      </c>
      <c r="B101" s="47">
        <f>攻击!D101</f>
        <v>206</v>
      </c>
      <c r="C101" s="47">
        <f>攻击!E101</f>
        <v>247.2</v>
      </c>
      <c r="D101" s="47">
        <f>攻击!F101</f>
        <v>309</v>
      </c>
      <c r="E101" s="47">
        <f>攻击!G101</f>
        <v>412</v>
      </c>
      <c r="F101" s="47">
        <f>攻击!H101</f>
        <v>515</v>
      </c>
      <c r="G101" s="47">
        <f>攻击!I101</f>
        <v>99</v>
      </c>
      <c r="H101" s="47">
        <f>攻击!J101</f>
        <v>61.8</v>
      </c>
      <c r="I101" s="47">
        <f>攻击!K101</f>
        <v>123.6</v>
      </c>
      <c r="J101" s="47">
        <f>攻击!L101</f>
        <v>61.8</v>
      </c>
      <c r="K101" s="47">
        <f>攻击!M101</f>
        <v>164.8</v>
      </c>
      <c r="L101" s="47">
        <f>攻击!N101</f>
        <v>247.2</v>
      </c>
      <c r="M101" s="47">
        <f>攻击!O101</f>
        <v>309</v>
      </c>
      <c r="N101" s="47">
        <f>攻击!P101</f>
        <v>412</v>
      </c>
      <c r="O101" s="47">
        <f>攻击!Q101</f>
        <v>515</v>
      </c>
      <c r="P101" s="47">
        <f>攻击!R101</f>
        <v>618</v>
      </c>
      <c r="Q101" s="47">
        <f>攻击!S101</f>
        <v>721</v>
      </c>
      <c r="R101" s="47">
        <f>攻击!T101</f>
        <v>154.5</v>
      </c>
      <c r="S101" s="47">
        <f>攻击!U101</f>
        <v>61.8</v>
      </c>
      <c r="T101" s="47">
        <f>攻击!V101</f>
        <v>61.8</v>
      </c>
      <c r="U101" s="47">
        <f>攻击!W101</f>
        <v>10.3</v>
      </c>
      <c r="V101" s="54">
        <f>攻击!X101</f>
        <v>0.2</v>
      </c>
      <c r="W101" s="54">
        <f>攻击!Y101</f>
        <v>0.3</v>
      </c>
      <c r="X101" s="54">
        <f>攻击!Z101</f>
        <v>0.5</v>
      </c>
      <c r="Y101" s="54">
        <f>攻击!AA101</f>
        <v>0.8</v>
      </c>
      <c r="Z101" s="54">
        <f>攻击!AB101</f>
        <v>1.2</v>
      </c>
      <c r="AA101" s="47">
        <f>攻击!AL101</f>
        <v>247.2</v>
      </c>
      <c r="AB101" s="54">
        <f>攻击!AM101</f>
        <v>0.2</v>
      </c>
      <c r="AC101" s="54">
        <f>攻击!AN101</f>
        <v>0.3</v>
      </c>
      <c r="AD101" s="54">
        <f>攻击!AO101</f>
        <v>0.5</v>
      </c>
      <c r="AE101" s="54">
        <f>攻击!AP101</f>
        <v>0.8</v>
      </c>
      <c r="AF101" s="54">
        <f>攻击!AQ101</f>
        <v>1.2</v>
      </c>
      <c r="AG101" s="47">
        <f>攻击!AR101</f>
        <v>41.2</v>
      </c>
      <c r="AH101" s="20">
        <f t="shared" si="1"/>
        <v>803.40000000000009</v>
      </c>
    </row>
    <row r="102" spans="1:34" s="20" customFormat="1">
      <c r="A102" s="46">
        <v>100</v>
      </c>
      <c r="B102" s="47">
        <f>攻击!D102</f>
        <v>208</v>
      </c>
      <c r="C102" s="47">
        <f>攻击!E102</f>
        <v>249.6</v>
      </c>
      <c r="D102" s="47">
        <f>攻击!F102</f>
        <v>312</v>
      </c>
      <c r="E102" s="47">
        <f>攻击!G102</f>
        <v>416</v>
      </c>
      <c r="F102" s="47">
        <f>攻击!H102</f>
        <v>520</v>
      </c>
      <c r="G102" s="47">
        <f>攻击!I102</f>
        <v>104</v>
      </c>
      <c r="H102" s="47">
        <f>攻击!J102</f>
        <v>62.4</v>
      </c>
      <c r="I102" s="47">
        <f>攻击!K102</f>
        <v>124.8</v>
      </c>
      <c r="J102" s="47">
        <f>攻击!L102</f>
        <v>62.4</v>
      </c>
      <c r="K102" s="47">
        <f>攻击!M102</f>
        <v>166.4</v>
      </c>
      <c r="L102" s="47">
        <f>攻击!N102</f>
        <v>249.6</v>
      </c>
      <c r="M102" s="47">
        <f>攻击!O102</f>
        <v>312</v>
      </c>
      <c r="N102" s="47">
        <f>攻击!P102</f>
        <v>416</v>
      </c>
      <c r="O102" s="47">
        <f>攻击!Q102</f>
        <v>520</v>
      </c>
      <c r="P102" s="47">
        <f>攻击!R102</f>
        <v>624</v>
      </c>
      <c r="Q102" s="47">
        <f>攻击!S102</f>
        <v>728</v>
      </c>
      <c r="R102" s="47">
        <f>攻击!T102</f>
        <v>156</v>
      </c>
      <c r="S102" s="47">
        <f>攻击!U102</f>
        <v>62.4</v>
      </c>
      <c r="T102" s="47">
        <f>攻击!V102</f>
        <v>62.4</v>
      </c>
      <c r="U102" s="47">
        <f>攻击!W102</f>
        <v>10.4</v>
      </c>
      <c r="V102" s="54">
        <f>攻击!X102</f>
        <v>0.2</v>
      </c>
      <c r="W102" s="54">
        <f>攻击!Y102</f>
        <v>0.3</v>
      </c>
      <c r="X102" s="54">
        <f>攻击!Z102</f>
        <v>0.5</v>
      </c>
      <c r="Y102" s="54">
        <f>攻击!AA102</f>
        <v>0.8</v>
      </c>
      <c r="Z102" s="54">
        <f>攻击!AB102</f>
        <v>1.2</v>
      </c>
      <c r="AA102" s="47">
        <f>攻击!AL102</f>
        <v>249.6</v>
      </c>
      <c r="AB102" s="54">
        <f>攻击!AM102</f>
        <v>0.2</v>
      </c>
      <c r="AC102" s="54">
        <f>攻击!AN102</f>
        <v>0.3</v>
      </c>
      <c r="AD102" s="54">
        <f>攻击!AO102</f>
        <v>0.5</v>
      </c>
      <c r="AE102" s="54">
        <f>攻击!AP102</f>
        <v>0.8</v>
      </c>
      <c r="AF102" s="54">
        <f>攻击!AQ102</f>
        <v>1.2</v>
      </c>
      <c r="AG102" s="47">
        <f>攻击!AR102</f>
        <v>41.6</v>
      </c>
      <c r="AH102" s="20">
        <f t="shared" si="1"/>
        <v>811.2</v>
      </c>
    </row>
    <row r="103" spans="1:34" s="20" customFormat="1">
      <c r="A103" s="46">
        <v>101</v>
      </c>
      <c r="B103" s="47">
        <f>攻击!D103</f>
        <v>210</v>
      </c>
      <c r="C103" s="47">
        <f>攻击!E103</f>
        <v>252</v>
      </c>
      <c r="D103" s="47">
        <f>攻击!F103</f>
        <v>315</v>
      </c>
      <c r="E103" s="47">
        <f>攻击!G103</f>
        <v>420</v>
      </c>
      <c r="F103" s="47">
        <f>攻击!H103</f>
        <v>525</v>
      </c>
      <c r="G103" s="47">
        <f>攻击!I103</f>
        <v>104</v>
      </c>
      <c r="H103" s="47">
        <f>攻击!J103</f>
        <v>63</v>
      </c>
      <c r="I103" s="47">
        <f>攻击!K103</f>
        <v>126</v>
      </c>
      <c r="J103" s="47">
        <f>攻击!L103</f>
        <v>63</v>
      </c>
      <c r="K103" s="47">
        <f>攻击!M103</f>
        <v>168</v>
      </c>
      <c r="L103" s="47">
        <f>攻击!N103</f>
        <v>252</v>
      </c>
      <c r="M103" s="47">
        <f>攻击!O103</f>
        <v>315</v>
      </c>
      <c r="N103" s="47">
        <f>攻击!P103</f>
        <v>420</v>
      </c>
      <c r="O103" s="47">
        <f>攻击!Q103</f>
        <v>525</v>
      </c>
      <c r="P103" s="47">
        <f>攻击!R103</f>
        <v>630</v>
      </c>
      <c r="Q103" s="47">
        <f>攻击!S103</f>
        <v>735</v>
      </c>
      <c r="R103" s="47">
        <f>攻击!T103</f>
        <v>157.5</v>
      </c>
      <c r="S103" s="47">
        <f>攻击!U103</f>
        <v>63</v>
      </c>
      <c r="T103" s="47">
        <f>攻击!V103</f>
        <v>63</v>
      </c>
      <c r="U103" s="47">
        <f>攻击!W103</f>
        <v>10.5</v>
      </c>
      <c r="V103" s="54">
        <f>攻击!X103</f>
        <v>0.2</v>
      </c>
      <c r="W103" s="54">
        <f>攻击!Y103</f>
        <v>0.3</v>
      </c>
      <c r="X103" s="54">
        <f>攻击!Z103</f>
        <v>0.5</v>
      </c>
      <c r="Y103" s="54">
        <f>攻击!AA103</f>
        <v>0.8</v>
      </c>
      <c r="Z103" s="54">
        <f>攻击!AB103</f>
        <v>1.2</v>
      </c>
      <c r="AA103" s="47">
        <f>攻击!AL103</f>
        <v>252</v>
      </c>
      <c r="AB103" s="54">
        <f>攻击!AM103</f>
        <v>0.2</v>
      </c>
      <c r="AC103" s="54">
        <f>攻击!AN103</f>
        <v>0.3</v>
      </c>
      <c r="AD103" s="54">
        <f>攻击!AO103</f>
        <v>0.5</v>
      </c>
      <c r="AE103" s="54">
        <f>攻击!AP103</f>
        <v>0.8</v>
      </c>
      <c r="AF103" s="54">
        <f>攻击!AQ103</f>
        <v>1.2</v>
      </c>
      <c r="AG103" s="47">
        <f>攻击!AR103</f>
        <v>42</v>
      </c>
      <c r="AH103" s="20">
        <f t="shared" si="1"/>
        <v>819</v>
      </c>
    </row>
    <row r="104" spans="1:34" s="20" customFormat="1">
      <c r="A104" s="46">
        <v>102</v>
      </c>
      <c r="B104" s="47">
        <f>攻击!D104</f>
        <v>212</v>
      </c>
      <c r="C104" s="47">
        <f>攻击!E104</f>
        <v>254.39999999999998</v>
      </c>
      <c r="D104" s="47">
        <f>攻击!F104</f>
        <v>318</v>
      </c>
      <c r="E104" s="47">
        <f>攻击!G104</f>
        <v>424</v>
      </c>
      <c r="F104" s="47">
        <f>攻击!H104</f>
        <v>530</v>
      </c>
      <c r="G104" s="47">
        <f>攻击!I104</f>
        <v>104</v>
      </c>
      <c r="H104" s="47">
        <f>攻击!J104</f>
        <v>63.599999999999994</v>
      </c>
      <c r="I104" s="47">
        <f>攻击!K104</f>
        <v>127.19999999999999</v>
      </c>
      <c r="J104" s="47">
        <f>攻击!L104</f>
        <v>63.599999999999994</v>
      </c>
      <c r="K104" s="47">
        <f>攻击!M104</f>
        <v>169.60000000000002</v>
      </c>
      <c r="L104" s="47">
        <f>攻击!N104</f>
        <v>254.39999999999998</v>
      </c>
      <c r="M104" s="47">
        <f>攻击!O104</f>
        <v>318</v>
      </c>
      <c r="N104" s="47">
        <f>攻击!P104</f>
        <v>424</v>
      </c>
      <c r="O104" s="47">
        <f>攻击!Q104</f>
        <v>530</v>
      </c>
      <c r="P104" s="47">
        <f>攻击!R104</f>
        <v>636</v>
      </c>
      <c r="Q104" s="47">
        <f>攻击!S104</f>
        <v>742</v>
      </c>
      <c r="R104" s="47">
        <f>攻击!T104</f>
        <v>159</v>
      </c>
      <c r="S104" s="47">
        <f>攻击!U104</f>
        <v>63.599999999999994</v>
      </c>
      <c r="T104" s="47">
        <f>攻击!V104</f>
        <v>63.599999999999994</v>
      </c>
      <c r="U104" s="47">
        <f>攻击!W104</f>
        <v>10.600000000000001</v>
      </c>
      <c r="V104" s="54">
        <f>攻击!X104</f>
        <v>0.2</v>
      </c>
      <c r="W104" s="54">
        <f>攻击!Y104</f>
        <v>0.3</v>
      </c>
      <c r="X104" s="54">
        <f>攻击!Z104</f>
        <v>0.5</v>
      </c>
      <c r="Y104" s="54">
        <f>攻击!AA104</f>
        <v>0.8</v>
      </c>
      <c r="Z104" s="54">
        <f>攻击!AB104</f>
        <v>1.2</v>
      </c>
      <c r="AA104" s="47">
        <f>攻击!AL104</f>
        <v>254.39999999999998</v>
      </c>
      <c r="AB104" s="54">
        <f>攻击!AM104</f>
        <v>0.2</v>
      </c>
      <c r="AC104" s="54">
        <f>攻击!AN104</f>
        <v>0.3</v>
      </c>
      <c r="AD104" s="54">
        <f>攻击!AO104</f>
        <v>0.5</v>
      </c>
      <c r="AE104" s="54">
        <f>攻击!AP104</f>
        <v>0.8</v>
      </c>
      <c r="AF104" s="54">
        <f>攻击!AQ104</f>
        <v>1.2</v>
      </c>
      <c r="AG104" s="47">
        <f>攻击!AR104</f>
        <v>42.400000000000006</v>
      </c>
      <c r="AH104" s="20">
        <f t="shared" si="1"/>
        <v>826.8</v>
      </c>
    </row>
    <row r="105" spans="1:34" s="20" customFormat="1">
      <c r="A105" s="46">
        <v>103</v>
      </c>
      <c r="B105" s="47">
        <f>攻击!D105</f>
        <v>214</v>
      </c>
      <c r="C105" s="47">
        <f>攻击!E105</f>
        <v>256.8</v>
      </c>
      <c r="D105" s="47">
        <f>攻击!F105</f>
        <v>321</v>
      </c>
      <c r="E105" s="47">
        <f>攻击!G105</f>
        <v>428</v>
      </c>
      <c r="F105" s="47">
        <f>攻击!H105</f>
        <v>535</v>
      </c>
      <c r="G105" s="47">
        <f>攻击!I105</f>
        <v>104</v>
      </c>
      <c r="H105" s="47">
        <f>攻击!J105</f>
        <v>64.2</v>
      </c>
      <c r="I105" s="47">
        <f>攻击!K105</f>
        <v>128.4</v>
      </c>
      <c r="J105" s="47">
        <f>攻击!L105</f>
        <v>64.2</v>
      </c>
      <c r="K105" s="47">
        <f>攻击!M105</f>
        <v>171.20000000000002</v>
      </c>
      <c r="L105" s="47">
        <f>攻击!N105</f>
        <v>256.8</v>
      </c>
      <c r="M105" s="47">
        <f>攻击!O105</f>
        <v>321</v>
      </c>
      <c r="N105" s="47">
        <f>攻击!P105</f>
        <v>428</v>
      </c>
      <c r="O105" s="47">
        <f>攻击!Q105</f>
        <v>535</v>
      </c>
      <c r="P105" s="47">
        <f>攻击!R105</f>
        <v>642</v>
      </c>
      <c r="Q105" s="47">
        <f>攻击!S105</f>
        <v>749</v>
      </c>
      <c r="R105" s="47">
        <f>攻击!T105</f>
        <v>160.5</v>
      </c>
      <c r="S105" s="47">
        <f>攻击!U105</f>
        <v>64.2</v>
      </c>
      <c r="T105" s="47">
        <f>攻击!V105</f>
        <v>64.2</v>
      </c>
      <c r="U105" s="47">
        <f>攻击!W105</f>
        <v>10.700000000000001</v>
      </c>
      <c r="V105" s="54">
        <f>攻击!X105</f>
        <v>0.2</v>
      </c>
      <c r="W105" s="54">
        <f>攻击!Y105</f>
        <v>0.3</v>
      </c>
      <c r="X105" s="54">
        <f>攻击!Z105</f>
        <v>0.5</v>
      </c>
      <c r="Y105" s="54">
        <f>攻击!AA105</f>
        <v>0.8</v>
      </c>
      <c r="Z105" s="54">
        <f>攻击!AB105</f>
        <v>1.2</v>
      </c>
      <c r="AA105" s="47">
        <f>攻击!AL105</f>
        <v>256.8</v>
      </c>
      <c r="AB105" s="54">
        <f>攻击!AM105</f>
        <v>0.2</v>
      </c>
      <c r="AC105" s="54">
        <f>攻击!AN105</f>
        <v>0.3</v>
      </c>
      <c r="AD105" s="54">
        <f>攻击!AO105</f>
        <v>0.5</v>
      </c>
      <c r="AE105" s="54">
        <f>攻击!AP105</f>
        <v>0.8</v>
      </c>
      <c r="AF105" s="54">
        <f>攻击!AQ105</f>
        <v>1.2</v>
      </c>
      <c r="AG105" s="47">
        <f>攻击!AR105</f>
        <v>42.800000000000004</v>
      </c>
      <c r="AH105" s="20">
        <f t="shared" si="1"/>
        <v>834.59999999999991</v>
      </c>
    </row>
    <row r="106" spans="1:34" s="20" customFormat="1">
      <c r="A106" s="46">
        <v>104</v>
      </c>
      <c r="B106" s="47">
        <f>攻击!D106</f>
        <v>216</v>
      </c>
      <c r="C106" s="47">
        <f>攻击!E106</f>
        <v>259.2</v>
      </c>
      <c r="D106" s="47">
        <f>攻击!F106</f>
        <v>324</v>
      </c>
      <c r="E106" s="47">
        <f>攻击!G106</f>
        <v>432</v>
      </c>
      <c r="F106" s="47">
        <f>攻击!H106</f>
        <v>540</v>
      </c>
      <c r="G106" s="47">
        <f>攻击!I106</f>
        <v>104</v>
      </c>
      <c r="H106" s="47">
        <f>攻击!J106</f>
        <v>64.8</v>
      </c>
      <c r="I106" s="47">
        <f>攻击!K106</f>
        <v>129.6</v>
      </c>
      <c r="J106" s="47">
        <f>攻击!L106</f>
        <v>64.8</v>
      </c>
      <c r="K106" s="47">
        <f>攻击!M106</f>
        <v>172.8</v>
      </c>
      <c r="L106" s="47">
        <f>攻击!N106</f>
        <v>259.2</v>
      </c>
      <c r="M106" s="47">
        <f>攻击!O106</f>
        <v>324</v>
      </c>
      <c r="N106" s="47">
        <f>攻击!P106</f>
        <v>432</v>
      </c>
      <c r="O106" s="47">
        <f>攻击!Q106</f>
        <v>540</v>
      </c>
      <c r="P106" s="47">
        <f>攻击!R106</f>
        <v>648</v>
      </c>
      <c r="Q106" s="47">
        <f>攻击!S106</f>
        <v>756</v>
      </c>
      <c r="R106" s="47">
        <f>攻击!T106</f>
        <v>162</v>
      </c>
      <c r="S106" s="47">
        <f>攻击!U106</f>
        <v>64.8</v>
      </c>
      <c r="T106" s="47">
        <f>攻击!V106</f>
        <v>64.8</v>
      </c>
      <c r="U106" s="47">
        <f>攻击!W106</f>
        <v>10.8</v>
      </c>
      <c r="V106" s="54">
        <f>攻击!X106</f>
        <v>0.2</v>
      </c>
      <c r="W106" s="54">
        <f>攻击!Y106</f>
        <v>0.3</v>
      </c>
      <c r="X106" s="54">
        <f>攻击!Z106</f>
        <v>0.5</v>
      </c>
      <c r="Y106" s="54">
        <f>攻击!AA106</f>
        <v>0.8</v>
      </c>
      <c r="Z106" s="54">
        <f>攻击!AB106</f>
        <v>1.2</v>
      </c>
      <c r="AA106" s="47">
        <f>攻击!AL106</f>
        <v>259.2</v>
      </c>
      <c r="AB106" s="54">
        <f>攻击!AM106</f>
        <v>0.2</v>
      </c>
      <c r="AC106" s="54">
        <f>攻击!AN106</f>
        <v>0.3</v>
      </c>
      <c r="AD106" s="54">
        <f>攻击!AO106</f>
        <v>0.5</v>
      </c>
      <c r="AE106" s="54">
        <f>攻击!AP106</f>
        <v>0.8</v>
      </c>
      <c r="AF106" s="54">
        <f>攻击!AQ106</f>
        <v>1.2</v>
      </c>
      <c r="AG106" s="47">
        <f>攻击!AR106</f>
        <v>43.2</v>
      </c>
      <c r="AH106" s="20">
        <f t="shared" si="1"/>
        <v>842.40000000000009</v>
      </c>
    </row>
    <row r="107" spans="1:34" s="20" customFormat="1">
      <c r="A107" s="46">
        <v>105</v>
      </c>
      <c r="B107" s="47">
        <f>攻击!D107</f>
        <v>218</v>
      </c>
      <c r="C107" s="47">
        <f>攻击!E107</f>
        <v>261.59999999999997</v>
      </c>
      <c r="D107" s="47">
        <f>攻击!F107</f>
        <v>327</v>
      </c>
      <c r="E107" s="47">
        <f>攻击!G107</f>
        <v>436</v>
      </c>
      <c r="F107" s="47">
        <f>攻击!H107</f>
        <v>545</v>
      </c>
      <c r="G107" s="47">
        <f>攻击!I107</f>
        <v>109</v>
      </c>
      <c r="H107" s="47">
        <f>攻击!J107</f>
        <v>65.399999999999991</v>
      </c>
      <c r="I107" s="47">
        <f>攻击!K107</f>
        <v>130.79999999999998</v>
      </c>
      <c r="J107" s="47">
        <f>攻击!L107</f>
        <v>65.399999999999991</v>
      </c>
      <c r="K107" s="47">
        <f>攻击!M107</f>
        <v>174.4</v>
      </c>
      <c r="L107" s="47">
        <f>攻击!N107</f>
        <v>261.59999999999997</v>
      </c>
      <c r="M107" s="47">
        <f>攻击!O107</f>
        <v>327</v>
      </c>
      <c r="N107" s="47">
        <f>攻击!P107</f>
        <v>436</v>
      </c>
      <c r="O107" s="47">
        <f>攻击!Q107</f>
        <v>545</v>
      </c>
      <c r="P107" s="47">
        <f>攻击!R107</f>
        <v>654</v>
      </c>
      <c r="Q107" s="47">
        <f>攻击!S107</f>
        <v>763</v>
      </c>
      <c r="R107" s="47">
        <f>攻击!T107</f>
        <v>163.5</v>
      </c>
      <c r="S107" s="47">
        <f>攻击!U107</f>
        <v>65.399999999999991</v>
      </c>
      <c r="T107" s="47">
        <f>攻击!V107</f>
        <v>65.399999999999991</v>
      </c>
      <c r="U107" s="47">
        <f>攻击!W107</f>
        <v>10.9</v>
      </c>
      <c r="V107" s="54">
        <f>攻击!X107</f>
        <v>0.2</v>
      </c>
      <c r="W107" s="54">
        <f>攻击!Y107</f>
        <v>0.3</v>
      </c>
      <c r="X107" s="54">
        <f>攻击!Z107</f>
        <v>0.5</v>
      </c>
      <c r="Y107" s="54">
        <f>攻击!AA107</f>
        <v>0.8</v>
      </c>
      <c r="Z107" s="54">
        <f>攻击!AB107</f>
        <v>1.2</v>
      </c>
      <c r="AA107" s="47">
        <f>攻击!AL107</f>
        <v>261.59999999999997</v>
      </c>
      <c r="AB107" s="54">
        <f>攻击!AM107</f>
        <v>0.2</v>
      </c>
      <c r="AC107" s="54">
        <f>攻击!AN107</f>
        <v>0.3</v>
      </c>
      <c r="AD107" s="54">
        <f>攻击!AO107</f>
        <v>0.5</v>
      </c>
      <c r="AE107" s="54">
        <f>攻击!AP107</f>
        <v>0.8</v>
      </c>
      <c r="AF107" s="54">
        <f>攻击!AQ107</f>
        <v>1.2</v>
      </c>
      <c r="AG107" s="47">
        <f>攻击!AR107</f>
        <v>43.6</v>
      </c>
      <c r="AH107" s="20">
        <f t="shared" si="1"/>
        <v>850.19999999999993</v>
      </c>
    </row>
    <row r="108" spans="1:34" s="20" customFormat="1">
      <c r="A108" s="46">
        <v>106</v>
      </c>
      <c r="B108" s="47">
        <f>攻击!D108</f>
        <v>220</v>
      </c>
      <c r="C108" s="47">
        <f>攻击!E108</f>
        <v>264</v>
      </c>
      <c r="D108" s="47">
        <f>攻击!F108</f>
        <v>330</v>
      </c>
      <c r="E108" s="47">
        <f>攻击!G108</f>
        <v>440</v>
      </c>
      <c r="F108" s="47">
        <f>攻击!H108</f>
        <v>550</v>
      </c>
      <c r="G108" s="47">
        <f>攻击!I108</f>
        <v>109</v>
      </c>
      <c r="H108" s="47">
        <f>攻击!J108</f>
        <v>66</v>
      </c>
      <c r="I108" s="47">
        <f>攻击!K108</f>
        <v>132</v>
      </c>
      <c r="J108" s="47">
        <f>攻击!L108</f>
        <v>66</v>
      </c>
      <c r="K108" s="47">
        <f>攻击!M108</f>
        <v>176</v>
      </c>
      <c r="L108" s="47">
        <f>攻击!N108</f>
        <v>264</v>
      </c>
      <c r="M108" s="47">
        <f>攻击!O108</f>
        <v>330</v>
      </c>
      <c r="N108" s="47">
        <f>攻击!P108</f>
        <v>440</v>
      </c>
      <c r="O108" s="47">
        <f>攻击!Q108</f>
        <v>550</v>
      </c>
      <c r="P108" s="47">
        <f>攻击!R108</f>
        <v>660</v>
      </c>
      <c r="Q108" s="47">
        <f>攻击!S108</f>
        <v>770</v>
      </c>
      <c r="R108" s="47">
        <f>攻击!T108</f>
        <v>165</v>
      </c>
      <c r="S108" s="47">
        <f>攻击!U108</f>
        <v>66</v>
      </c>
      <c r="T108" s="47">
        <f>攻击!V108</f>
        <v>66</v>
      </c>
      <c r="U108" s="47">
        <f>攻击!W108</f>
        <v>11</v>
      </c>
      <c r="V108" s="54">
        <f>攻击!X108</f>
        <v>0.2</v>
      </c>
      <c r="W108" s="54">
        <f>攻击!Y108</f>
        <v>0.3</v>
      </c>
      <c r="X108" s="54">
        <f>攻击!Z108</f>
        <v>0.5</v>
      </c>
      <c r="Y108" s="54">
        <f>攻击!AA108</f>
        <v>0.8</v>
      </c>
      <c r="Z108" s="54">
        <f>攻击!AB108</f>
        <v>1.2</v>
      </c>
      <c r="AA108" s="47">
        <f>攻击!AL108</f>
        <v>264</v>
      </c>
      <c r="AB108" s="54">
        <f>攻击!AM108</f>
        <v>0.2</v>
      </c>
      <c r="AC108" s="54">
        <f>攻击!AN108</f>
        <v>0.3</v>
      </c>
      <c r="AD108" s="54">
        <f>攻击!AO108</f>
        <v>0.5</v>
      </c>
      <c r="AE108" s="54">
        <f>攻击!AP108</f>
        <v>0.8</v>
      </c>
      <c r="AF108" s="54">
        <f>攻击!AQ108</f>
        <v>1.2</v>
      </c>
      <c r="AG108" s="47">
        <f>攻击!AR108</f>
        <v>44</v>
      </c>
      <c r="AH108" s="20">
        <f t="shared" si="1"/>
        <v>858</v>
      </c>
    </row>
    <row r="109" spans="1:34" s="20" customFormat="1">
      <c r="A109" s="46">
        <v>107</v>
      </c>
      <c r="B109" s="47">
        <f>攻击!D109</f>
        <v>222</v>
      </c>
      <c r="C109" s="47">
        <f>攻击!E109</f>
        <v>266.39999999999998</v>
      </c>
      <c r="D109" s="47">
        <f>攻击!F109</f>
        <v>333</v>
      </c>
      <c r="E109" s="47">
        <f>攻击!G109</f>
        <v>444</v>
      </c>
      <c r="F109" s="47">
        <f>攻击!H109</f>
        <v>555</v>
      </c>
      <c r="G109" s="47">
        <f>攻击!I109</f>
        <v>109</v>
      </c>
      <c r="H109" s="47">
        <f>攻击!J109</f>
        <v>66.599999999999994</v>
      </c>
      <c r="I109" s="47">
        <f>攻击!K109</f>
        <v>133.19999999999999</v>
      </c>
      <c r="J109" s="47">
        <f>攻击!L109</f>
        <v>66.599999999999994</v>
      </c>
      <c r="K109" s="47">
        <f>攻击!M109</f>
        <v>177.60000000000002</v>
      </c>
      <c r="L109" s="47">
        <f>攻击!N109</f>
        <v>266.39999999999998</v>
      </c>
      <c r="M109" s="47">
        <f>攻击!O109</f>
        <v>333</v>
      </c>
      <c r="N109" s="47">
        <f>攻击!P109</f>
        <v>444</v>
      </c>
      <c r="O109" s="47">
        <f>攻击!Q109</f>
        <v>555</v>
      </c>
      <c r="P109" s="47">
        <f>攻击!R109</f>
        <v>666</v>
      </c>
      <c r="Q109" s="47">
        <f>攻击!S109</f>
        <v>777</v>
      </c>
      <c r="R109" s="47">
        <f>攻击!T109</f>
        <v>166.5</v>
      </c>
      <c r="S109" s="47">
        <f>攻击!U109</f>
        <v>66.599999999999994</v>
      </c>
      <c r="T109" s="47">
        <f>攻击!V109</f>
        <v>66.599999999999994</v>
      </c>
      <c r="U109" s="47">
        <f>攻击!W109</f>
        <v>11.100000000000001</v>
      </c>
      <c r="V109" s="54">
        <f>攻击!X109</f>
        <v>0.2</v>
      </c>
      <c r="W109" s="54">
        <f>攻击!Y109</f>
        <v>0.3</v>
      </c>
      <c r="X109" s="54">
        <f>攻击!Z109</f>
        <v>0.5</v>
      </c>
      <c r="Y109" s="54">
        <f>攻击!AA109</f>
        <v>0.8</v>
      </c>
      <c r="Z109" s="54">
        <f>攻击!AB109</f>
        <v>1.2</v>
      </c>
      <c r="AA109" s="47">
        <f>攻击!AL109</f>
        <v>266.39999999999998</v>
      </c>
      <c r="AB109" s="54">
        <f>攻击!AM109</f>
        <v>0.2</v>
      </c>
      <c r="AC109" s="54">
        <f>攻击!AN109</f>
        <v>0.3</v>
      </c>
      <c r="AD109" s="54">
        <f>攻击!AO109</f>
        <v>0.5</v>
      </c>
      <c r="AE109" s="54">
        <f>攻击!AP109</f>
        <v>0.8</v>
      </c>
      <c r="AF109" s="54">
        <f>攻击!AQ109</f>
        <v>1.2</v>
      </c>
      <c r="AG109" s="47">
        <f>攻击!AR109</f>
        <v>44.400000000000006</v>
      </c>
      <c r="AH109" s="20">
        <f t="shared" si="1"/>
        <v>865.8</v>
      </c>
    </row>
    <row r="110" spans="1:34" s="20" customFormat="1">
      <c r="A110" s="46">
        <v>108</v>
      </c>
      <c r="B110" s="47">
        <f>攻击!D110</f>
        <v>224</v>
      </c>
      <c r="C110" s="47">
        <f>攻击!E110</f>
        <v>268.8</v>
      </c>
      <c r="D110" s="47">
        <f>攻击!F110</f>
        <v>336</v>
      </c>
      <c r="E110" s="47">
        <f>攻击!G110</f>
        <v>448</v>
      </c>
      <c r="F110" s="47">
        <f>攻击!H110</f>
        <v>560</v>
      </c>
      <c r="G110" s="47">
        <f>攻击!I110</f>
        <v>109</v>
      </c>
      <c r="H110" s="47">
        <f>攻击!J110</f>
        <v>67.2</v>
      </c>
      <c r="I110" s="47">
        <f>攻击!K110</f>
        <v>134.4</v>
      </c>
      <c r="J110" s="47">
        <f>攻击!L110</f>
        <v>67.2</v>
      </c>
      <c r="K110" s="47">
        <f>攻击!M110</f>
        <v>179.20000000000002</v>
      </c>
      <c r="L110" s="47">
        <f>攻击!N110</f>
        <v>268.8</v>
      </c>
      <c r="M110" s="47">
        <f>攻击!O110</f>
        <v>336</v>
      </c>
      <c r="N110" s="47">
        <f>攻击!P110</f>
        <v>448</v>
      </c>
      <c r="O110" s="47">
        <f>攻击!Q110</f>
        <v>560</v>
      </c>
      <c r="P110" s="47">
        <f>攻击!R110</f>
        <v>672</v>
      </c>
      <c r="Q110" s="47">
        <f>攻击!S110</f>
        <v>784</v>
      </c>
      <c r="R110" s="47">
        <f>攻击!T110</f>
        <v>168</v>
      </c>
      <c r="S110" s="47">
        <f>攻击!U110</f>
        <v>67.2</v>
      </c>
      <c r="T110" s="47">
        <f>攻击!V110</f>
        <v>67.2</v>
      </c>
      <c r="U110" s="47">
        <f>攻击!W110</f>
        <v>11.200000000000001</v>
      </c>
      <c r="V110" s="54">
        <f>攻击!X110</f>
        <v>0.2</v>
      </c>
      <c r="W110" s="54">
        <f>攻击!Y110</f>
        <v>0.3</v>
      </c>
      <c r="X110" s="54">
        <f>攻击!Z110</f>
        <v>0.5</v>
      </c>
      <c r="Y110" s="54">
        <f>攻击!AA110</f>
        <v>0.8</v>
      </c>
      <c r="Z110" s="54">
        <f>攻击!AB110</f>
        <v>1.2</v>
      </c>
      <c r="AA110" s="47">
        <f>攻击!AL110</f>
        <v>268.8</v>
      </c>
      <c r="AB110" s="54">
        <f>攻击!AM110</f>
        <v>0.2</v>
      </c>
      <c r="AC110" s="54">
        <f>攻击!AN110</f>
        <v>0.3</v>
      </c>
      <c r="AD110" s="54">
        <f>攻击!AO110</f>
        <v>0.5</v>
      </c>
      <c r="AE110" s="54">
        <f>攻击!AP110</f>
        <v>0.8</v>
      </c>
      <c r="AF110" s="54">
        <f>攻击!AQ110</f>
        <v>1.2</v>
      </c>
      <c r="AG110" s="47">
        <f>攻击!AR110</f>
        <v>44.800000000000004</v>
      </c>
      <c r="AH110" s="20">
        <f t="shared" si="1"/>
        <v>873.59999999999991</v>
      </c>
    </row>
    <row r="111" spans="1:34" s="20" customFormat="1">
      <c r="A111" s="46">
        <v>109</v>
      </c>
      <c r="B111" s="47">
        <f>攻击!D111</f>
        <v>226</v>
      </c>
      <c r="C111" s="47">
        <f>攻击!E111</f>
        <v>271.2</v>
      </c>
      <c r="D111" s="47">
        <f>攻击!F111</f>
        <v>339</v>
      </c>
      <c r="E111" s="47">
        <f>攻击!G111</f>
        <v>452</v>
      </c>
      <c r="F111" s="47">
        <f>攻击!H111</f>
        <v>565</v>
      </c>
      <c r="G111" s="47">
        <f>攻击!I111</f>
        <v>109</v>
      </c>
      <c r="H111" s="47">
        <f>攻击!J111</f>
        <v>67.8</v>
      </c>
      <c r="I111" s="47">
        <f>攻击!K111</f>
        <v>135.6</v>
      </c>
      <c r="J111" s="47">
        <f>攻击!L111</f>
        <v>67.8</v>
      </c>
      <c r="K111" s="47">
        <f>攻击!M111</f>
        <v>180.8</v>
      </c>
      <c r="L111" s="47">
        <f>攻击!N111</f>
        <v>271.2</v>
      </c>
      <c r="M111" s="47">
        <f>攻击!O111</f>
        <v>339</v>
      </c>
      <c r="N111" s="47">
        <f>攻击!P111</f>
        <v>452</v>
      </c>
      <c r="O111" s="47">
        <f>攻击!Q111</f>
        <v>565</v>
      </c>
      <c r="P111" s="47">
        <f>攻击!R111</f>
        <v>678</v>
      </c>
      <c r="Q111" s="47">
        <f>攻击!S111</f>
        <v>791</v>
      </c>
      <c r="R111" s="47">
        <f>攻击!T111</f>
        <v>169.5</v>
      </c>
      <c r="S111" s="47">
        <f>攻击!U111</f>
        <v>67.8</v>
      </c>
      <c r="T111" s="47">
        <f>攻击!V111</f>
        <v>67.8</v>
      </c>
      <c r="U111" s="47">
        <f>攻击!W111</f>
        <v>11.3</v>
      </c>
      <c r="V111" s="54">
        <f>攻击!X111</f>
        <v>0.2</v>
      </c>
      <c r="W111" s="54">
        <f>攻击!Y111</f>
        <v>0.3</v>
      </c>
      <c r="X111" s="54">
        <f>攻击!Z111</f>
        <v>0.5</v>
      </c>
      <c r="Y111" s="54">
        <f>攻击!AA111</f>
        <v>0.8</v>
      </c>
      <c r="Z111" s="54">
        <f>攻击!AB111</f>
        <v>1.2</v>
      </c>
      <c r="AA111" s="47">
        <f>攻击!AL111</f>
        <v>271.2</v>
      </c>
      <c r="AB111" s="54">
        <f>攻击!AM111</f>
        <v>0.2</v>
      </c>
      <c r="AC111" s="54">
        <f>攻击!AN111</f>
        <v>0.3</v>
      </c>
      <c r="AD111" s="54">
        <f>攻击!AO111</f>
        <v>0.5</v>
      </c>
      <c r="AE111" s="54">
        <f>攻击!AP111</f>
        <v>0.8</v>
      </c>
      <c r="AF111" s="54">
        <f>攻击!AQ111</f>
        <v>1.2</v>
      </c>
      <c r="AG111" s="47">
        <f>攻击!AR111</f>
        <v>45.2</v>
      </c>
      <c r="AH111" s="20">
        <f t="shared" si="1"/>
        <v>881.40000000000009</v>
      </c>
    </row>
    <row r="112" spans="1:34" s="20" customFormat="1">
      <c r="A112" s="46">
        <v>110</v>
      </c>
      <c r="B112" s="47">
        <f>攻击!D112</f>
        <v>228</v>
      </c>
      <c r="C112" s="47">
        <f>攻击!E112</f>
        <v>273.59999999999997</v>
      </c>
      <c r="D112" s="47">
        <f>攻击!F112</f>
        <v>342</v>
      </c>
      <c r="E112" s="47">
        <f>攻击!G112</f>
        <v>456</v>
      </c>
      <c r="F112" s="47">
        <f>攻击!H112</f>
        <v>570</v>
      </c>
      <c r="G112" s="47">
        <f>攻击!I112</f>
        <v>114</v>
      </c>
      <c r="H112" s="47">
        <f>攻击!J112</f>
        <v>68.399999999999991</v>
      </c>
      <c r="I112" s="47">
        <f>攻击!K112</f>
        <v>136.79999999999998</v>
      </c>
      <c r="J112" s="47">
        <f>攻击!L112</f>
        <v>68.399999999999991</v>
      </c>
      <c r="K112" s="47">
        <f>攻击!M112</f>
        <v>182.4</v>
      </c>
      <c r="L112" s="47">
        <f>攻击!N112</f>
        <v>273.59999999999997</v>
      </c>
      <c r="M112" s="47">
        <f>攻击!O112</f>
        <v>342</v>
      </c>
      <c r="N112" s="47">
        <f>攻击!P112</f>
        <v>456</v>
      </c>
      <c r="O112" s="47">
        <f>攻击!Q112</f>
        <v>570</v>
      </c>
      <c r="P112" s="47">
        <f>攻击!R112</f>
        <v>684</v>
      </c>
      <c r="Q112" s="47">
        <f>攻击!S112</f>
        <v>798</v>
      </c>
      <c r="R112" s="47">
        <f>攻击!T112</f>
        <v>171</v>
      </c>
      <c r="S112" s="47">
        <f>攻击!U112</f>
        <v>68.399999999999991</v>
      </c>
      <c r="T112" s="47">
        <f>攻击!V112</f>
        <v>68.399999999999991</v>
      </c>
      <c r="U112" s="47">
        <f>攻击!W112</f>
        <v>11.4</v>
      </c>
      <c r="V112" s="54">
        <f>攻击!X112</f>
        <v>0.2</v>
      </c>
      <c r="W112" s="54">
        <f>攻击!Y112</f>
        <v>0.3</v>
      </c>
      <c r="X112" s="54">
        <f>攻击!Z112</f>
        <v>0.5</v>
      </c>
      <c r="Y112" s="54">
        <f>攻击!AA112</f>
        <v>0.8</v>
      </c>
      <c r="Z112" s="54">
        <f>攻击!AB112</f>
        <v>1.2</v>
      </c>
      <c r="AA112" s="47">
        <f>攻击!AL112</f>
        <v>273.59999999999997</v>
      </c>
      <c r="AB112" s="54">
        <f>攻击!AM112</f>
        <v>0.2</v>
      </c>
      <c r="AC112" s="54">
        <f>攻击!AN112</f>
        <v>0.3</v>
      </c>
      <c r="AD112" s="54">
        <f>攻击!AO112</f>
        <v>0.5</v>
      </c>
      <c r="AE112" s="54">
        <f>攻击!AP112</f>
        <v>0.8</v>
      </c>
      <c r="AF112" s="54">
        <f>攻击!AQ112</f>
        <v>1.2</v>
      </c>
      <c r="AG112" s="47">
        <f>攻击!AR112</f>
        <v>45.6</v>
      </c>
      <c r="AH112" s="20">
        <f t="shared" si="1"/>
        <v>889.19999999999993</v>
      </c>
    </row>
    <row r="113" spans="1:34" s="20" customFormat="1">
      <c r="A113" s="46">
        <v>111</v>
      </c>
      <c r="B113" s="47">
        <f>攻击!D113</f>
        <v>230</v>
      </c>
      <c r="C113" s="47">
        <f>攻击!E113</f>
        <v>276</v>
      </c>
      <c r="D113" s="47">
        <f>攻击!F113</f>
        <v>345</v>
      </c>
      <c r="E113" s="47">
        <f>攻击!G113</f>
        <v>460</v>
      </c>
      <c r="F113" s="47">
        <f>攻击!H113</f>
        <v>575</v>
      </c>
      <c r="G113" s="47">
        <f>攻击!I113</f>
        <v>114</v>
      </c>
      <c r="H113" s="47">
        <f>攻击!J113</f>
        <v>69</v>
      </c>
      <c r="I113" s="47">
        <f>攻击!K113</f>
        <v>138</v>
      </c>
      <c r="J113" s="47">
        <f>攻击!L113</f>
        <v>69</v>
      </c>
      <c r="K113" s="47">
        <f>攻击!M113</f>
        <v>184</v>
      </c>
      <c r="L113" s="47">
        <f>攻击!N113</f>
        <v>276</v>
      </c>
      <c r="M113" s="47">
        <f>攻击!O113</f>
        <v>345</v>
      </c>
      <c r="N113" s="47">
        <f>攻击!P113</f>
        <v>460</v>
      </c>
      <c r="O113" s="47">
        <f>攻击!Q113</f>
        <v>575</v>
      </c>
      <c r="P113" s="47">
        <f>攻击!R113</f>
        <v>690</v>
      </c>
      <c r="Q113" s="47">
        <f>攻击!S113</f>
        <v>805</v>
      </c>
      <c r="R113" s="47">
        <f>攻击!T113</f>
        <v>172.5</v>
      </c>
      <c r="S113" s="47">
        <f>攻击!U113</f>
        <v>69</v>
      </c>
      <c r="T113" s="47">
        <f>攻击!V113</f>
        <v>69</v>
      </c>
      <c r="U113" s="47">
        <f>攻击!W113</f>
        <v>11.5</v>
      </c>
      <c r="V113" s="54">
        <f>攻击!X113</f>
        <v>0.2</v>
      </c>
      <c r="W113" s="54">
        <f>攻击!Y113</f>
        <v>0.3</v>
      </c>
      <c r="X113" s="54">
        <f>攻击!Z113</f>
        <v>0.5</v>
      </c>
      <c r="Y113" s="54">
        <f>攻击!AA113</f>
        <v>0.8</v>
      </c>
      <c r="Z113" s="54">
        <f>攻击!AB113</f>
        <v>1.2</v>
      </c>
      <c r="AA113" s="47">
        <f>攻击!AL113</f>
        <v>276</v>
      </c>
      <c r="AB113" s="54">
        <f>攻击!AM113</f>
        <v>0.2</v>
      </c>
      <c r="AC113" s="54">
        <f>攻击!AN113</f>
        <v>0.3</v>
      </c>
      <c r="AD113" s="54">
        <f>攻击!AO113</f>
        <v>0.5</v>
      </c>
      <c r="AE113" s="54">
        <f>攻击!AP113</f>
        <v>0.8</v>
      </c>
      <c r="AF113" s="54">
        <f>攻击!AQ113</f>
        <v>1.2</v>
      </c>
      <c r="AG113" s="47">
        <f>攻击!AR113</f>
        <v>46</v>
      </c>
      <c r="AH113" s="20">
        <f t="shared" si="1"/>
        <v>897</v>
      </c>
    </row>
    <row r="114" spans="1:34" s="20" customFormat="1">
      <c r="A114" s="46">
        <v>112</v>
      </c>
      <c r="B114" s="47">
        <f>攻击!D114</f>
        <v>232</v>
      </c>
      <c r="C114" s="47">
        <f>攻击!E114</f>
        <v>278.39999999999998</v>
      </c>
      <c r="D114" s="47">
        <f>攻击!F114</f>
        <v>348</v>
      </c>
      <c r="E114" s="47">
        <f>攻击!G114</f>
        <v>464</v>
      </c>
      <c r="F114" s="47">
        <f>攻击!H114</f>
        <v>580</v>
      </c>
      <c r="G114" s="47">
        <f>攻击!I114</f>
        <v>114</v>
      </c>
      <c r="H114" s="47">
        <f>攻击!J114</f>
        <v>69.599999999999994</v>
      </c>
      <c r="I114" s="47">
        <f>攻击!K114</f>
        <v>139.19999999999999</v>
      </c>
      <c r="J114" s="47">
        <f>攻击!L114</f>
        <v>69.599999999999994</v>
      </c>
      <c r="K114" s="47">
        <f>攻击!M114</f>
        <v>185.60000000000002</v>
      </c>
      <c r="L114" s="47">
        <f>攻击!N114</f>
        <v>278.39999999999998</v>
      </c>
      <c r="M114" s="47">
        <f>攻击!O114</f>
        <v>348</v>
      </c>
      <c r="N114" s="47">
        <f>攻击!P114</f>
        <v>464</v>
      </c>
      <c r="O114" s="47">
        <f>攻击!Q114</f>
        <v>580</v>
      </c>
      <c r="P114" s="47">
        <f>攻击!R114</f>
        <v>696</v>
      </c>
      <c r="Q114" s="47">
        <f>攻击!S114</f>
        <v>812</v>
      </c>
      <c r="R114" s="47">
        <f>攻击!T114</f>
        <v>174</v>
      </c>
      <c r="S114" s="47">
        <f>攻击!U114</f>
        <v>69.599999999999994</v>
      </c>
      <c r="T114" s="47">
        <f>攻击!V114</f>
        <v>69.599999999999994</v>
      </c>
      <c r="U114" s="47">
        <f>攻击!W114</f>
        <v>11.600000000000001</v>
      </c>
      <c r="V114" s="54">
        <f>攻击!X114</f>
        <v>0.2</v>
      </c>
      <c r="W114" s="54">
        <f>攻击!Y114</f>
        <v>0.3</v>
      </c>
      <c r="X114" s="54">
        <f>攻击!Z114</f>
        <v>0.5</v>
      </c>
      <c r="Y114" s="54">
        <f>攻击!AA114</f>
        <v>0.8</v>
      </c>
      <c r="Z114" s="54">
        <f>攻击!AB114</f>
        <v>1.2</v>
      </c>
      <c r="AA114" s="47">
        <f>攻击!AL114</f>
        <v>278.39999999999998</v>
      </c>
      <c r="AB114" s="54">
        <f>攻击!AM114</f>
        <v>0.2</v>
      </c>
      <c r="AC114" s="54">
        <f>攻击!AN114</f>
        <v>0.3</v>
      </c>
      <c r="AD114" s="54">
        <f>攻击!AO114</f>
        <v>0.5</v>
      </c>
      <c r="AE114" s="54">
        <f>攻击!AP114</f>
        <v>0.8</v>
      </c>
      <c r="AF114" s="54">
        <f>攻击!AQ114</f>
        <v>1.2</v>
      </c>
      <c r="AG114" s="47">
        <f>攻击!AR114</f>
        <v>46.400000000000006</v>
      </c>
      <c r="AH114" s="20">
        <f t="shared" si="1"/>
        <v>904.8</v>
      </c>
    </row>
    <row r="115" spans="1:34" s="20" customFormat="1">
      <c r="A115" s="46">
        <v>113</v>
      </c>
      <c r="B115" s="47">
        <f>攻击!D115</f>
        <v>234</v>
      </c>
      <c r="C115" s="47">
        <f>攻击!E115</f>
        <v>280.8</v>
      </c>
      <c r="D115" s="47">
        <f>攻击!F115</f>
        <v>351</v>
      </c>
      <c r="E115" s="47">
        <f>攻击!G115</f>
        <v>468</v>
      </c>
      <c r="F115" s="47">
        <f>攻击!H115</f>
        <v>585</v>
      </c>
      <c r="G115" s="47">
        <f>攻击!I115</f>
        <v>114</v>
      </c>
      <c r="H115" s="47">
        <f>攻击!J115</f>
        <v>70.2</v>
      </c>
      <c r="I115" s="47">
        <f>攻击!K115</f>
        <v>140.4</v>
      </c>
      <c r="J115" s="47">
        <f>攻击!L115</f>
        <v>70.2</v>
      </c>
      <c r="K115" s="47">
        <f>攻击!M115</f>
        <v>187.20000000000002</v>
      </c>
      <c r="L115" s="47">
        <f>攻击!N115</f>
        <v>280.8</v>
      </c>
      <c r="M115" s="47">
        <f>攻击!O115</f>
        <v>351</v>
      </c>
      <c r="N115" s="47">
        <f>攻击!P115</f>
        <v>468</v>
      </c>
      <c r="O115" s="47">
        <f>攻击!Q115</f>
        <v>585</v>
      </c>
      <c r="P115" s="47">
        <f>攻击!R115</f>
        <v>702</v>
      </c>
      <c r="Q115" s="47">
        <f>攻击!S115</f>
        <v>819</v>
      </c>
      <c r="R115" s="47">
        <f>攻击!T115</f>
        <v>175.5</v>
      </c>
      <c r="S115" s="47">
        <f>攻击!U115</f>
        <v>70.2</v>
      </c>
      <c r="T115" s="47">
        <f>攻击!V115</f>
        <v>70.2</v>
      </c>
      <c r="U115" s="47">
        <f>攻击!W115</f>
        <v>11.700000000000001</v>
      </c>
      <c r="V115" s="54">
        <f>攻击!X115</f>
        <v>0.2</v>
      </c>
      <c r="W115" s="54">
        <f>攻击!Y115</f>
        <v>0.3</v>
      </c>
      <c r="X115" s="54">
        <f>攻击!Z115</f>
        <v>0.5</v>
      </c>
      <c r="Y115" s="54">
        <f>攻击!AA115</f>
        <v>0.8</v>
      </c>
      <c r="Z115" s="54">
        <f>攻击!AB115</f>
        <v>1.2</v>
      </c>
      <c r="AA115" s="47">
        <f>攻击!AL115</f>
        <v>280.8</v>
      </c>
      <c r="AB115" s="54">
        <f>攻击!AM115</f>
        <v>0.2</v>
      </c>
      <c r="AC115" s="54">
        <f>攻击!AN115</f>
        <v>0.3</v>
      </c>
      <c r="AD115" s="54">
        <f>攻击!AO115</f>
        <v>0.5</v>
      </c>
      <c r="AE115" s="54">
        <f>攻击!AP115</f>
        <v>0.8</v>
      </c>
      <c r="AF115" s="54">
        <f>攻击!AQ115</f>
        <v>1.2</v>
      </c>
      <c r="AG115" s="47">
        <f>攻击!AR115</f>
        <v>46.800000000000004</v>
      </c>
      <c r="AH115" s="20">
        <f t="shared" si="1"/>
        <v>912.59999999999991</v>
      </c>
    </row>
    <row r="116" spans="1:34" s="20" customFormat="1">
      <c r="A116" s="46">
        <v>114</v>
      </c>
      <c r="B116" s="47">
        <f>攻击!D116</f>
        <v>236</v>
      </c>
      <c r="C116" s="47">
        <f>攻击!E116</f>
        <v>283.2</v>
      </c>
      <c r="D116" s="47">
        <f>攻击!F116</f>
        <v>354</v>
      </c>
      <c r="E116" s="47">
        <f>攻击!G116</f>
        <v>472</v>
      </c>
      <c r="F116" s="47">
        <f>攻击!H116</f>
        <v>590</v>
      </c>
      <c r="G116" s="47">
        <f>攻击!I116</f>
        <v>114</v>
      </c>
      <c r="H116" s="47">
        <f>攻击!J116</f>
        <v>70.8</v>
      </c>
      <c r="I116" s="47">
        <f>攻击!K116</f>
        <v>141.6</v>
      </c>
      <c r="J116" s="47">
        <f>攻击!L116</f>
        <v>70.8</v>
      </c>
      <c r="K116" s="47">
        <f>攻击!M116</f>
        <v>188.8</v>
      </c>
      <c r="L116" s="47">
        <f>攻击!N116</f>
        <v>283.2</v>
      </c>
      <c r="M116" s="47">
        <f>攻击!O116</f>
        <v>354</v>
      </c>
      <c r="N116" s="47">
        <f>攻击!P116</f>
        <v>472</v>
      </c>
      <c r="O116" s="47">
        <f>攻击!Q116</f>
        <v>590</v>
      </c>
      <c r="P116" s="47">
        <f>攻击!R116</f>
        <v>708</v>
      </c>
      <c r="Q116" s="47">
        <f>攻击!S116</f>
        <v>826</v>
      </c>
      <c r="R116" s="47">
        <f>攻击!T116</f>
        <v>177</v>
      </c>
      <c r="S116" s="47">
        <f>攻击!U116</f>
        <v>70.8</v>
      </c>
      <c r="T116" s="47">
        <f>攻击!V116</f>
        <v>70.8</v>
      </c>
      <c r="U116" s="47">
        <f>攻击!W116</f>
        <v>11.8</v>
      </c>
      <c r="V116" s="54">
        <f>攻击!X116</f>
        <v>0.2</v>
      </c>
      <c r="W116" s="54">
        <f>攻击!Y116</f>
        <v>0.3</v>
      </c>
      <c r="X116" s="54">
        <f>攻击!Z116</f>
        <v>0.5</v>
      </c>
      <c r="Y116" s="54">
        <f>攻击!AA116</f>
        <v>0.8</v>
      </c>
      <c r="Z116" s="54">
        <f>攻击!AB116</f>
        <v>1.2</v>
      </c>
      <c r="AA116" s="47">
        <f>攻击!AL116</f>
        <v>283.2</v>
      </c>
      <c r="AB116" s="54">
        <f>攻击!AM116</f>
        <v>0.2</v>
      </c>
      <c r="AC116" s="54">
        <f>攻击!AN116</f>
        <v>0.3</v>
      </c>
      <c r="AD116" s="54">
        <f>攻击!AO116</f>
        <v>0.5</v>
      </c>
      <c r="AE116" s="54">
        <f>攻击!AP116</f>
        <v>0.8</v>
      </c>
      <c r="AF116" s="54">
        <f>攻击!AQ116</f>
        <v>1.2</v>
      </c>
      <c r="AG116" s="47">
        <f>攻击!AR116</f>
        <v>47.2</v>
      </c>
      <c r="AH116" s="20">
        <f t="shared" si="1"/>
        <v>920.40000000000009</v>
      </c>
    </row>
    <row r="117" spans="1:34" s="20" customFormat="1">
      <c r="A117" s="46">
        <v>115</v>
      </c>
      <c r="B117" s="47">
        <f>攻击!D117</f>
        <v>238</v>
      </c>
      <c r="C117" s="47">
        <f>攻击!E117</f>
        <v>285.59999999999997</v>
      </c>
      <c r="D117" s="47">
        <f>攻击!F117</f>
        <v>357</v>
      </c>
      <c r="E117" s="47">
        <f>攻击!G117</f>
        <v>476</v>
      </c>
      <c r="F117" s="47">
        <f>攻击!H117</f>
        <v>595</v>
      </c>
      <c r="G117" s="47">
        <f>攻击!I117</f>
        <v>119</v>
      </c>
      <c r="H117" s="47">
        <f>攻击!J117</f>
        <v>71.399999999999991</v>
      </c>
      <c r="I117" s="47">
        <f>攻击!K117</f>
        <v>142.79999999999998</v>
      </c>
      <c r="J117" s="47">
        <f>攻击!L117</f>
        <v>71.399999999999991</v>
      </c>
      <c r="K117" s="47">
        <f>攻击!M117</f>
        <v>190.4</v>
      </c>
      <c r="L117" s="47">
        <f>攻击!N117</f>
        <v>285.59999999999997</v>
      </c>
      <c r="M117" s="47">
        <f>攻击!O117</f>
        <v>357</v>
      </c>
      <c r="N117" s="47">
        <f>攻击!P117</f>
        <v>476</v>
      </c>
      <c r="O117" s="47">
        <f>攻击!Q117</f>
        <v>595</v>
      </c>
      <c r="P117" s="47">
        <f>攻击!R117</f>
        <v>714</v>
      </c>
      <c r="Q117" s="47">
        <f>攻击!S117</f>
        <v>833</v>
      </c>
      <c r="R117" s="47">
        <f>攻击!T117</f>
        <v>178.5</v>
      </c>
      <c r="S117" s="47">
        <f>攻击!U117</f>
        <v>71.399999999999991</v>
      </c>
      <c r="T117" s="47">
        <f>攻击!V117</f>
        <v>71.399999999999991</v>
      </c>
      <c r="U117" s="47">
        <f>攻击!W117</f>
        <v>11.9</v>
      </c>
      <c r="V117" s="54">
        <f>攻击!X117</f>
        <v>0.2</v>
      </c>
      <c r="W117" s="54">
        <f>攻击!Y117</f>
        <v>0.3</v>
      </c>
      <c r="X117" s="54">
        <f>攻击!Z117</f>
        <v>0.5</v>
      </c>
      <c r="Y117" s="54">
        <f>攻击!AA117</f>
        <v>0.8</v>
      </c>
      <c r="Z117" s="54">
        <f>攻击!AB117</f>
        <v>1.2</v>
      </c>
      <c r="AA117" s="47">
        <f>攻击!AL117</f>
        <v>285.59999999999997</v>
      </c>
      <c r="AB117" s="54">
        <f>攻击!AM117</f>
        <v>0.2</v>
      </c>
      <c r="AC117" s="54">
        <f>攻击!AN117</f>
        <v>0.3</v>
      </c>
      <c r="AD117" s="54">
        <f>攻击!AO117</f>
        <v>0.5</v>
      </c>
      <c r="AE117" s="54">
        <f>攻击!AP117</f>
        <v>0.8</v>
      </c>
      <c r="AF117" s="54">
        <f>攻击!AQ117</f>
        <v>1.2</v>
      </c>
      <c r="AG117" s="47">
        <f>攻击!AR117</f>
        <v>47.6</v>
      </c>
      <c r="AH117" s="20">
        <f t="shared" si="1"/>
        <v>928.19999999999993</v>
      </c>
    </row>
    <row r="118" spans="1:34" s="20" customFormat="1">
      <c r="A118" s="46">
        <v>116</v>
      </c>
      <c r="B118" s="47">
        <f>攻击!D118</f>
        <v>240</v>
      </c>
      <c r="C118" s="47">
        <f>攻击!E118</f>
        <v>288</v>
      </c>
      <c r="D118" s="47">
        <f>攻击!F118</f>
        <v>360</v>
      </c>
      <c r="E118" s="47">
        <f>攻击!G118</f>
        <v>480</v>
      </c>
      <c r="F118" s="47">
        <f>攻击!H118</f>
        <v>600</v>
      </c>
      <c r="G118" s="47">
        <f>攻击!I118</f>
        <v>119</v>
      </c>
      <c r="H118" s="47">
        <f>攻击!J118</f>
        <v>72</v>
      </c>
      <c r="I118" s="47">
        <f>攻击!K118</f>
        <v>144</v>
      </c>
      <c r="J118" s="47">
        <f>攻击!L118</f>
        <v>72</v>
      </c>
      <c r="K118" s="47">
        <f>攻击!M118</f>
        <v>192</v>
      </c>
      <c r="L118" s="47">
        <f>攻击!N118</f>
        <v>288</v>
      </c>
      <c r="M118" s="47">
        <f>攻击!O118</f>
        <v>360</v>
      </c>
      <c r="N118" s="47">
        <f>攻击!P118</f>
        <v>480</v>
      </c>
      <c r="O118" s="47">
        <f>攻击!Q118</f>
        <v>600</v>
      </c>
      <c r="P118" s="47">
        <f>攻击!R118</f>
        <v>720</v>
      </c>
      <c r="Q118" s="47">
        <f>攻击!S118</f>
        <v>840</v>
      </c>
      <c r="R118" s="47">
        <f>攻击!T118</f>
        <v>180</v>
      </c>
      <c r="S118" s="47">
        <f>攻击!U118</f>
        <v>72</v>
      </c>
      <c r="T118" s="47">
        <f>攻击!V118</f>
        <v>72</v>
      </c>
      <c r="U118" s="47">
        <f>攻击!W118</f>
        <v>12</v>
      </c>
      <c r="V118" s="54">
        <f>攻击!X118</f>
        <v>0.2</v>
      </c>
      <c r="W118" s="54">
        <f>攻击!Y118</f>
        <v>0.3</v>
      </c>
      <c r="X118" s="54">
        <f>攻击!Z118</f>
        <v>0.5</v>
      </c>
      <c r="Y118" s="54">
        <f>攻击!AA118</f>
        <v>0.8</v>
      </c>
      <c r="Z118" s="54">
        <f>攻击!AB118</f>
        <v>1.2</v>
      </c>
      <c r="AA118" s="47">
        <f>攻击!AL118</f>
        <v>288</v>
      </c>
      <c r="AB118" s="54">
        <f>攻击!AM118</f>
        <v>0.2</v>
      </c>
      <c r="AC118" s="54">
        <f>攻击!AN118</f>
        <v>0.3</v>
      </c>
      <c r="AD118" s="54">
        <f>攻击!AO118</f>
        <v>0.5</v>
      </c>
      <c r="AE118" s="54">
        <f>攻击!AP118</f>
        <v>0.8</v>
      </c>
      <c r="AF118" s="54">
        <f>攻击!AQ118</f>
        <v>1.2</v>
      </c>
      <c r="AG118" s="47">
        <f>攻击!AR118</f>
        <v>48</v>
      </c>
      <c r="AH118" s="20">
        <f t="shared" si="1"/>
        <v>936</v>
      </c>
    </row>
    <row r="119" spans="1:34" s="20" customFormat="1">
      <c r="A119" s="46">
        <v>117</v>
      </c>
      <c r="B119" s="47">
        <f>攻击!D119</f>
        <v>242</v>
      </c>
      <c r="C119" s="47">
        <f>攻击!E119</f>
        <v>290.39999999999998</v>
      </c>
      <c r="D119" s="47">
        <f>攻击!F119</f>
        <v>363</v>
      </c>
      <c r="E119" s="47">
        <f>攻击!G119</f>
        <v>484</v>
      </c>
      <c r="F119" s="47">
        <f>攻击!H119</f>
        <v>605</v>
      </c>
      <c r="G119" s="47">
        <f>攻击!I119</f>
        <v>119</v>
      </c>
      <c r="H119" s="47">
        <f>攻击!J119</f>
        <v>72.599999999999994</v>
      </c>
      <c r="I119" s="47">
        <f>攻击!K119</f>
        <v>145.19999999999999</v>
      </c>
      <c r="J119" s="47">
        <f>攻击!L119</f>
        <v>72.599999999999994</v>
      </c>
      <c r="K119" s="47">
        <f>攻击!M119</f>
        <v>193.60000000000002</v>
      </c>
      <c r="L119" s="47">
        <f>攻击!N119</f>
        <v>290.39999999999998</v>
      </c>
      <c r="M119" s="47">
        <f>攻击!O119</f>
        <v>363</v>
      </c>
      <c r="N119" s="47">
        <f>攻击!P119</f>
        <v>484</v>
      </c>
      <c r="O119" s="47">
        <f>攻击!Q119</f>
        <v>605</v>
      </c>
      <c r="P119" s="47">
        <f>攻击!R119</f>
        <v>726</v>
      </c>
      <c r="Q119" s="47">
        <f>攻击!S119</f>
        <v>847</v>
      </c>
      <c r="R119" s="47">
        <f>攻击!T119</f>
        <v>181.5</v>
      </c>
      <c r="S119" s="47">
        <f>攻击!U119</f>
        <v>72.599999999999994</v>
      </c>
      <c r="T119" s="47">
        <f>攻击!V119</f>
        <v>72.599999999999994</v>
      </c>
      <c r="U119" s="47">
        <f>攻击!W119</f>
        <v>12.100000000000001</v>
      </c>
      <c r="V119" s="54">
        <f>攻击!X119</f>
        <v>0.2</v>
      </c>
      <c r="W119" s="54">
        <f>攻击!Y119</f>
        <v>0.3</v>
      </c>
      <c r="X119" s="54">
        <f>攻击!Z119</f>
        <v>0.5</v>
      </c>
      <c r="Y119" s="54">
        <f>攻击!AA119</f>
        <v>0.8</v>
      </c>
      <c r="Z119" s="54">
        <f>攻击!AB119</f>
        <v>1.2</v>
      </c>
      <c r="AA119" s="47">
        <f>攻击!AL119</f>
        <v>290.39999999999998</v>
      </c>
      <c r="AB119" s="54">
        <f>攻击!AM119</f>
        <v>0.2</v>
      </c>
      <c r="AC119" s="54">
        <f>攻击!AN119</f>
        <v>0.3</v>
      </c>
      <c r="AD119" s="54">
        <f>攻击!AO119</f>
        <v>0.5</v>
      </c>
      <c r="AE119" s="54">
        <f>攻击!AP119</f>
        <v>0.8</v>
      </c>
      <c r="AF119" s="54">
        <f>攻击!AQ119</f>
        <v>1.2</v>
      </c>
      <c r="AG119" s="47">
        <f>攻击!AR119</f>
        <v>48.400000000000006</v>
      </c>
      <c r="AH119" s="20">
        <f t="shared" si="1"/>
        <v>943.8</v>
      </c>
    </row>
    <row r="120" spans="1:34" s="20" customFormat="1">
      <c r="A120" s="46">
        <v>118</v>
      </c>
      <c r="B120" s="47">
        <f>攻击!D120</f>
        <v>244</v>
      </c>
      <c r="C120" s="47">
        <f>攻击!E120</f>
        <v>292.8</v>
      </c>
      <c r="D120" s="47">
        <f>攻击!F120</f>
        <v>366</v>
      </c>
      <c r="E120" s="47">
        <f>攻击!G120</f>
        <v>488</v>
      </c>
      <c r="F120" s="47">
        <f>攻击!H120</f>
        <v>610</v>
      </c>
      <c r="G120" s="47">
        <f>攻击!I120</f>
        <v>119</v>
      </c>
      <c r="H120" s="47">
        <f>攻击!J120</f>
        <v>73.2</v>
      </c>
      <c r="I120" s="47">
        <f>攻击!K120</f>
        <v>146.4</v>
      </c>
      <c r="J120" s="47">
        <f>攻击!L120</f>
        <v>73.2</v>
      </c>
      <c r="K120" s="47">
        <f>攻击!M120</f>
        <v>195.20000000000002</v>
      </c>
      <c r="L120" s="47">
        <f>攻击!N120</f>
        <v>292.8</v>
      </c>
      <c r="M120" s="47">
        <f>攻击!O120</f>
        <v>366</v>
      </c>
      <c r="N120" s="47">
        <f>攻击!P120</f>
        <v>488</v>
      </c>
      <c r="O120" s="47">
        <f>攻击!Q120</f>
        <v>610</v>
      </c>
      <c r="P120" s="47">
        <f>攻击!R120</f>
        <v>732</v>
      </c>
      <c r="Q120" s="47">
        <f>攻击!S120</f>
        <v>854</v>
      </c>
      <c r="R120" s="47">
        <f>攻击!T120</f>
        <v>183</v>
      </c>
      <c r="S120" s="47">
        <f>攻击!U120</f>
        <v>73.2</v>
      </c>
      <c r="T120" s="47">
        <f>攻击!V120</f>
        <v>73.2</v>
      </c>
      <c r="U120" s="47">
        <f>攻击!W120</f>
        <v>12.200000000000001</v>
      </c>
      <c r="V120" s="54">
        <f>攻击!X120</f>
        <v>0.2</v>
      </c>
      <c r="W120" s="54">
        <f>攻击!Y120</f>
        <v>0.3</v>
      </c>
      <c r="X120" s="54">
        <f>攻击!Z120</f>
        <v>0.5</v>
      </c>
      <c r="Y120" s="54">
        <f>攻击!AA120</f>
        <v>0.8</v>
      </c>
      <c r="Z120" s="54">
        <f>攻击!AB120</f>
        <v>1.2</v>
      </c>
      <c r="AA120" s="47">
        <f>攻击!AL120</f>
        <v>292.8</v>
      </c>
      <c r="AB120" s="54">
        <f>攻击!AM120</f>
        <v>0.2</v>
      </c>
      <c r="AC120" s="54">
        <f>攻击!AN120</f>
        <v>0.3</v>
      </c>
      <c r="AD120" s="54">
        <f>攻击!AO120</f>
        <v>0.5</v>
      </c>
      <c r="AE120" s="54">
        <f>攻击!AP120</f>
        <v>0.8</v>
      </c>
      <c r="AF120" s="54">
        <f>攻击!AQ120</f>
        <v>1.2</v>
      </c>
      <c r="AG120" s="47">
        <f>攻击!AR120</f>
        <v>48.800000000000004</v>
      </c>
      <c r="AH120" s="20">
        <f t="shared" si="1"/>
        <v>951.59999999999991</v>
      </c>
    </row>
    <row r="121" spans="1:34" s="20" customFormat="1">
      <c r="A121" s="46">
        <v>119</v>
      </c>
      <c r="B121" s="47">
        <f>攻击!D121</f>
        <v>246</v>
      </c>
      <c r="C121" s="47">
        <f>攻击!E121</f>
        <v>295.2</v>
      </c>
      <c r="D121" s="47">
        <f>攻击!F121</f>
        <v>369</v>
      </c>
      <c r="E121" s="47">
        <f>攻击!G121</f>
        <v>492</v>
      </c>
      <c r="F121" s="47">
        <f>攻击!H121</f>
        <v>615</v>
      </c>
      <c r="G121" s="47">
        <f>攻击!I121</f>
        <v>119</v>
      </c>
      <c r="H121" s="47">
        <f>攻击!J121</f>
        <v>73.8</v>
      </c>
      <c r="I121" s="47">
        <f>攻击!K121</f>
        <v>147.6</v>
      </c>
      <c r="J121" s="47">
        <f>攻击!L121</f>
        <v>73.8</v>
      </c>
      <c r="K121" s="47">
        <f>攻击!M121</f>
        <v>196.8</v>
      </c>
      <c r="L121" s="47">
        <f>攻击!N121</f>
        <v>295.2</v>
      </c>
      <c r="M121" s="47">
        <f>攻击!O121</f>
        <v>369</v>
      </c>
      <c r="N121" s="47">
        <f>攻击!P121</f>
        <v>492</v>
      </c>
      <c r="O121" s="47">
        <f>攻击!Q121</f>
        <v>615</v>
      </c>
      <c r="P121" s="47">
        <f>攻击!R121</f>
        <v>738</v>
      </c>
      <c r="Q121" s="47">
        <f>攻击!S121</f>
        <v>861</v>
      </c>
      <c r="R121" s="47">
        <f>攻击!T121</f>
        <v>184.5</v>
      </c>
      <c r="S121" s="47">
        <f>攻击!U121</f>
        <v>73.8</v>
      </c>
      <c r="T121" s="47">
        <f>攻击!V121</f>
        <v>73.8</v>
      </c>
      <c r="U121" s="47">
        <f>攻击!W121</f>
        <v>12.3</v>
      </c>
      <c r="V121" s="54">
        <f>攻击!X121</f>
        <v>0.2</v>
      </c>
      <c r="W121" s="54">
        <f>攻击!Y121</f>
        <v>0.3</v>
      </c>
      <c r="X121" s="54">
        <f>攻击!Z121</f>
        <v>0.5</v>
      </c>
      <c r="Y121" s="54">
        <f>攻击!AA121</f>
        <v>0.8</v>
      </c>
      <c r="Z121" s="54">
        <f>攻击!AB121</f>
        <v>1.2</v>
      </c>
      <c r="AA121" s="47">
        <f>攻击!AL121</f>
        <v>295.2</v>
      </c>
      <c r="AB121" s="54">
        <f>攻击!AM121</f>
        <v>0.2</v>
      </c>
      <c r="AC121" s="54">
        <f>攻击!AN121</f>
        <v>0.3</v>
      </c>
      <c r="AD121" s="54">
        <f>攻击!AO121</f>
        <v>0.5</v>
      </c>
      <c r="AE121" s="54">
        <f>攻击!AP121</f>
        <v>0.8</v>
      </c>
      <c r="AF121" s="54">
        <f>攻击!AQ121</f>
        <v>1.2</v>
      </c>
      <c r="AG121" s="47">
        <f>攻击!AR121</f>
        <v>49.2</v>
      </c>
      <c r="AH121" s="20">
        <f t="shared" si="1"/>
        <v>959.40000000000009</v>
      </c>
    </row>
    <row r="122" spans="1:34" s="20" customFormat="1">
      <c r="A122" s="46">
        <v>120</v>
      </c>
      <c r="B122" s="47">
        <f>攻击!D122</f>
        <v>248</v>
      </c>
      <c r="C122" s="47">
        <f>攻击!E122</f>
        <v>297.59999999999997</v>
      </c>
      <c r="D122" s="47">
        <f>攻击!F122</f>
        <v>372</v>
      </c>
      <c r="E122" s="47">
        <f>攻击!G122</f>
        <v>496</v>
      </c>
      <c r="F122" s="47">
        <f>攻击!H122</f>
        <v>620</v>
      </c>
      <c r="G122" s="47">
        <f>攻击!I122</f>
        <v>124</v>
      </c>
      <c r="H122" s="47">
        <f>攻击!J122</f>
        <v>74.399999999999991</v>
      </c>
      <c r="I122" s="47">
        <f>攻击!K122</f>
        <v>148.79999999999998</v>
      </c>
      <c r="J122" s="47">
        <f>攻击!L122</f>
        <v>74.399999999999991</v>
      </c>
      <c r="K122" s="47">
        <f>攻击!M122</f>
        <v>198.4</v>
      </c>
      <c r="L122" s="47">
        <f>攻击!N122</f>
        <v>297.59999999999997</v>
      </c>
      <c r="M122" s="47">
        <f>攻击!O122</f>
        <v>372</v>
      </c>
      <c r="N122" s="47">
        <f>攻击!P122</f>
        <v>496</v>
      </c>
      <c r="O122" s="47">
        <f>攻击!Q122</f>
        <v>620</v>
      </c>
      <c r="P122" s="47">
        <f>攻击!R122</f>
        <v>744</v>
      </c>
      <c r="Q122" s="47">
        <f>攻击!S122</f>
        <v>868</v>
      </c>
      <c r="R122" s="47">
        <f>攻击!T122</f>
        <v>186</v>
      </c>
      <c r="S122" s="47">
        <f>攻击!U122</f>
        <v>74.399999999999991</v>
      </c>
      <c r="T122" s="47">
        <f>攻击!V122</f>
        <v>74.399999999999991</v>
      </c>
      <c r="U122" s="47">
        <f>攻击!W122</f>
        <v>12.4</v>
      </c>
      <c r="V122" s="54">
        <f>攻击!X122</f>
        <v>0.2</v>
      </c>
      <c r="W122" s="54">
        <f>攻击!Y122</f>
        <v>0.3</v>
      </c>
      <c r="X122" s="54">
        <f>攻击!Z122</f>
        <v>0.5</v>
      </c>
      <c r="Y122" s="54">
        <f>攻击!AA122</f>
        <v>0.8</v>
      </c>
      <c r="Z122" s="54">
        <f>攻击!AB122</f>
        <v>1.2</v>
      </c>
      <c r="AA122" s="47">
        <f>攻击!AL122</f>
        <v>297.59999999999997</v>
      </c>
      <c r="AB122" s="54">
        <f>攻击!AM122</f>
        <v>0.2</v>
      </c>
      <c r="AC122" s="54">
        <f>攻击!AN122</f>
        <v>0.3</v>
      </c>
      <c r="AD122" s="54">
        <f>攻击!AO122</f>
        <v>0.5</v>
      </c>
      <c r="AE122" s="54">
        <f>攻击!AP122</f>
        <v>0.8</v>
      </c>
      <c r="AF122" s="54">
        <f>攻击!AQ122</f>
        <v>1.2</v>
      </c>
      <c r="AG122" s="47">
        <f>攻击!AR122</f>
        <v>49.6</v>
      </c>
      <c r="AH122" s="20">
        <f t="shared" si="1"/>
        <v>967.19999999999993</v>
      </c>
    </row>
  </sheetData>
  <mergeCells count="3">
    <mergeCell ref="B1:L1"/>
    <mergeCell ref="M1:Z1"/>
    <mergeCell ref="AA1:AF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2"/>
  <sheetViews>
    <sheetView workbookViewId="0">
      <selection activeCell="B1" sqref="B1:L1"/>
    </sheetView>
  </sheetViews>
  <sheetFormatPr defaultRowHeight="14.25"/>
  <cols>
    <col min="1" max="1" width="4.75" style="23" bestFit="1" customWidth="1"/>
    <col min="2" max="7" width="5" style="94" bestFit="1" customWidth="1"/>
    <col min="8" max="8" width="4.875" style="94" bestFit="1" customWidth="1"/>
    <col min="9" max="9" width="5" style="94" bestFit="1" customWidth="1"/>
    <col min="10" max="10" width="4.875" style="94" bestFit="1" customWidth="1"/>
    <col min="11" max="18" width="5" style="94" bestFit="1" customWidth="1"/>
    <col min="19" max="20" width="6.5" style="94" bestFit="1" customWidth="1"/>
    <col min="21" max="21" width="4.875" style="94" bestFit="1" customWidth="1"/>
    <col min="22" max="25" width="4" style="1" bestFit="1" customWidth="1"/>
    <col min="26" max="26" width="5.5" style="1" bestFit="1" customWidth="1"/>
    <col min="27" max="27" width="5" style="94" bestFit="1" customWidth="1"/>
    <col min="28" max="31" width="4" style="1" bestFit="1" customWidth="1"/>
    <col min="32" max="32" width="5.5" style="1" bestFit="1" customWidth="1"/>
    <col min="33" max="33" width="4.75" style="94" bestFit="1" customWidth="1"/>
    <col min="34" max="34" width="8" style="94" bestFit="1" customWidth="1"/>
  </cols>
  <sheetData>
    <row r="1" spans="1:34" ht="15" thickBot="1">
      <c r="A1" s="85"/>
      <c r="B1" s="104" t="s">
        <v>120</v>
      </c>
      <c r="C1" s="104"/>
      <c r="D1" s="104"/>
      <c r="E1" s="104"/>
      <c r="F1" s="104"/>
      <c r="G1" s="104"/>
      <c r="H1" s="104"/>
      <c r="I1" s="104"/>
      <c r="J1" s="104"/>
      <c r="K1" s="104"/>
      <c r="L1" s="105"/>
      <c r="M1" s="103" t="s">
        <v>22</v>
      </c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5"/>
      <c r="AA1" s="102" t="s">
        <v>25</v>
      </c>
      <c r="AB1" s="102"/>
      <c r="AC1" s="102"/>
      <c r="AD1" s="102"/>
      <c r="AE1" s="102"/>
      <c r="AF1" s="102"/>
      <c r="AG1" s="83" t="s">
        <v>27</v>
      </c>
      <c r="AH1" s="83"/>
    </row>
    <row r="2" spans="1:34">
      <c r="A2" s="41" t="s">
        <v>0</v>
      </c>
      <c r="B2" s="43" t="s">
        <v>12</v>
      </c>
      <c r="C2" s="43" t="s">
        <v>13</v>
      </c>
      <c r="D2" s="43" t="s">
        <v>14</v>
      </c>
      <c r="E2" s="43" t="s">
        <v>15</v>
      </c>
      <c r="F2" s="43" t="s">
        <v>16</v>
      </c>
      <c r="G2" s="43" t="s">
        <v>17</v>
      </c>
      <c r="H2" s="43" t="s">
        <v>18</v>
      </c>
      <c r="I2" s="43" t="s">
        <v>19</v>
      </c>
      <c r="J2" s="43" t="s">
        <v>20</v>
      </c>
      <c r="K2" s="43" t="s">
        <v>21</v>
      </c>
      <c r="L2" s="43" t="s">
        <v>41</v>
      </c>
      <c r="M2" s="43" t="s">
        <v>12</v>
      </c>
      <c r="N2" s="43" t="s">
        <v>13</v>
      </c>
      <c r="O2" s="43" t="s">
        <v>14</v>
      </c>
      <c r="P2" s="43" t="s">
        <v>15</v>
      </c>
      <c r="Q2" s="43" t="s">
        <v>16</v>
      </c>
      <c r="R2" s="43" t="s">
        <v>23</v>
      </c>
      <c r="S2" s="43" t="s">
        <v>42</v>
      </c>
      <c r="T2" s="43" t="s">
        <v>43</v>
      </c>
      <c r="U2" s="43" t="s">
        <v>47</v>
      </c>
      <c r="V2" s="44" t="s">
        <v>44</v>
      </c>
      <c r="W2" s="44" t="s">
        <v>30</v>
      </c>
      <c r="X2" s="44" t="s">
        <v>31</v>
      </c>
      <c r="Y2" s="44" t="s">
        <v>32</v>
      </c>
      <c r="Z2" s="44" t="s">
        <v>33</v>
      </c>
      <c r="AA2" s="43" t="s">
        <v>26</v>
      </c>
      <c r="AB2" s="44" t="s">
        <v>44</v>
      </c>
      <c r="AC2" s="44" t="s">
        <v>30</v>
      </c>
      <c r="AD2" s="44" t="s">
        <v>31</v>
      </c>
      <c r="AE2" s="44" t="s">
        <v>32</v>
      </c>
      <c r="AF2" s="44" t="s">
        <v>33</v>
      </c>
      <c r="AG2" s="43" t="s">
        <v>27</v>
      </c>
      <c r="AH2" s="43" t="s">
        <v>96</v>
      </c>
    </row>
    <row r="3" spans="1:34">
      <c r="A3" s="46">
        <v>1</v>
      </c>
      <c r="B3" s="94">
        <f>攻击!D3</f>
        <v>10</v>
      </c>
      <c r="C3" s="94">
        <f>攻击!E3</f>
        <v>12</v>
      </c>
      <c r="D3" s="94">
        <f>攻击!F3</f>
        <v>15</v>
      </c>
      <c r="E3" s="94">
        <f>攻击!G3</f>
        <v>20</v>
      </c>
      <c r="F3" s="94">
        <f>攻击!H3</f>
        <v>25</v>
      </c>
      <c r="G3" s="94">
        <f>攻击!I3</f>
        <v>0</v>
      </c>
      <c r="H3" s="94">
        <f>攻击!J3</f>
        <v>0</v>
      </c>
      <c r="I3" s="94">
        <f>攻击!K3</f>
        <v>0</v>
      </c>
      <c r="J3" s="94">
        <f>攻击!L3</f>
        <v>0</v>
      </c>
      <c r="K3" s="94">
        <f>攻击!M3</f>
        <v>0</v>
      </c>
      <c r="L3" s="94">
        <f>攻击!N3</f>
        <v>12</v>
      </c>
      <c r="M3" s="94">
        <f>攻击!O3</f>
        <v>15</v>
      </c>
      <c r="N3" s="94">
        <f>攻击!P3</f>
        <v>20</v>
      </c>
      <c r="O3" s="94">
        <f>攻击!Q3</f>
        <v>25</v>
      </c>
      <c r="P3" s="94">
        <f>攻击!R3</f>
        <v>30</v>
      </c>
      <c r="Q3" s="94">
        <f>攻击!S3</f>
        <v>35</v>
      </c>
      <c r="R3" s="94">
        <f>攻击!T3</f>
        <v>0</v>
      </c>
      <c r="S3" s="94">
        <f>攻击!U3</f>
        <v>3</v>
      </c>
      <c r="T3" s="94">
        <f>攻击!V3</f>
        <v>0</v>
      </c>
      <c r="U3" s="94">
        <f>攻击!W3</f>
        <v>0.5</v>
      </c>
      <c r="V3" s="93">
        <f>攻击!X3</f>
        <v>0</v>
      </c>
      <c r="W3" s="93">
        <f>攻击!Y3</f>
        <v>0</v>
      </c>
      <c r="X3" s="93">
        <f>攻击!Z3</f>
        <v>0</v>
      </c>
      <c r="Y3" s="93">
        <f>攻击!AA3</f>
        <v>0</v>
      </c>
      <c r="Z3" s="93">
        <f>攻击!AB3</f>
        <v>0</v>
      </c>
      <c r="AA3" s="94">
        <f>攻击!AL3</f>
        <v>0</v>
      </c>
      <c r="AB3" s="93">
        <f>攻击!AM3</f>
        <v>0</v>
      </c>
      <c r="AC3" s="93">
        <f>攻击!AN3</f>
        <v>0</v>
      </c>
      <c r="AD3" s="93">
        <f>攻击!AO3</f>
        <v>0</v>
      </c>
      <c r="AE3" s="93">
        <f>攻击!AP3</f>
        <v>0</v>
      </c>
      <c r="AF3" s="93">
        <f>攻击!AQ3</f>
        <v>0</v>
      </c>
      <c r="AG3" s="94">
        <f>攻击!AR3</f>
        <v>2</v>
      </c>
      <c r="AH3" s="94">
        <f>B3+M3+AA3+AG3</f>
        <v>27</v>
      </c>
    </row>
    <row r="4" spans="1:34">
      <c r="A4" s="46">
        <v>2</v>
      </c>
      <c r="B4" s="94">
        <f>攻击!D4</f>
        <v>12</v>
      </c>
      <c r="C4" s="94">
        <f>攻击!E4</f>
        <v>14.399999999999999</v>
      </c>
      <c r="D4" s="94">
        <f>攻击!F4</f>
        <v>18</v>
      </c>
      <c r="E4" s="94">
        <f>攻击!G4</f>
        <v>24</v>
      </c>
      <c r="F4" s="94">
        <f>攻击!H4</f>
        <v>30</v>
      </c>
      <c r="G4" s="94">
        <f>攻击!I4</f>
        <v>0</v>
      </c>
      <c r="H4" s="94">
        <f>攻击!J4</f>
        <v>0</v>
      </c>
      <c r="I4" s="94">
        <f>攻击!K4</f>
        <v>0</v>
      </c>
      <c r="J4" s="94">
        <f>攻击!L4</f>
        <v>0</v>
      </c>
      <c r="K4" s="94">
        <f>攻击!M4</f>
        <v>0</v>
      </c>
      <c r="L4" s="94">
        <f>攻击!N4</f>
        <v>14.399999999999999</v>
      </c>
      <c r="M4" s="94">
        <f>攻击!O4</f>
        <v>18</v>
      </c>
      <c r="N4" s="94">
        <f>攻击!P4</f>
        <v>24</v>
      </c>
      <c r="O4" s="94">
        <f>攻击!Q4</f>
        <v>30</v>
      </c>
      <c r="P4" s="94">
        <f>攻击!R4</f>
        <v>36</v>
      </c>
      <c r="Q4" s="94">
        <f>攻击!S4</f>
        <v>42</v>
      </c>
      <c r="R4" s="94">
        <f>攻击!T4</f>
        <v>0</v>
      </c>
      <c r="S4" s="94">
        <f>攻击!U4</f>
        <v>3.5999999999999996</v>
      </c>
      <c r="T4" s="94">
        <f>攻击!V4</f>
        <v>0</v>
      </c>
      <c r="U4" s="94">
        <f>攻击!W4</f>
        <v>0.60000000000000009</v>
      </c>
      <c r="V4" s="93">
        <f>攻击!X4</f>
        <v>0</v>
      </c>
      <c r="W4" s="93">
        <f>攻击!Y4</f>
        <v>0</v>
      </c>
      <c r="X4" s="93">
        <f>攻击!Z4</f>
        <v>0</v>
      </c>
      <c r="Y4" s="93">
        <f>攻击!AA4</f>
        <v>0</v>
      </c>
      <c r="Z4" s="93">
        <f>攻击!AB4</f>
        <v>0</v>
      </c>
      <c r="AA4" s="94">
        <f>攻击!AL4</f>
        <v>0</v>
      </c>
      <c r="AB4" s="93">
        <f>攻击!AM4</f>
        <v>0</v>
      </c>
      <c r="AC4" s="93">
        <f>攻击!AN4</f>
        <v>0</v>
      </c>
      <c r="AD4" s="93">
        <f>攻击!AO4</f>
        <v>0</v>
      </c>
      <c r="AE4" s="93">
        <f>攻击!AP4</f>
        <v>0</v>
      </c>
      <c r="AF4" s="93">
        <f>攻击!AQ4</f>
        <v>0</v>
      </c>
      <c r="AG4" s="94">
        <f>攻击!AR4</f>
        <v>2.4000000000000004</v>
      </c>
      <c r="AH4" s="94">
        <f t="shared" ref="AH4:AH67" si="0">B4+M4+AA4+AG4</f>
        <v>32.4</v>
      </c>
    </row>
    <row r="5" spans="1:34">
      <c r="A5" s="46">
        <v>3</v>
      </c>
      <c r="B5" s="94">
        <f>攻击!D5</f>
        <v>14</v>
      </c>
      <c r="C5" s="94">
        <f>攻击!E5</f>
        <v>16.8</v>
      </c>
      <c r="D5" s="94">
        <f>攻击!F5</f>
        <v>21</v>
      </c>
      <c r="E5" s="94">
        <f>攻击!G5</f>
        <v>28</v>
      </c>
      <c r="F5" s="94">
        <f>攻击!H5</f>
        <v>35</v>
      </c>
      <c r="G5" s="94">
        <f>攻击!I5</f>
        <v>0</v>
      </c>
      <c r="H5" s="94">
        <f>攻击!J5</f>
        <v>0</v>
      </c>
      <c r="I5" s="94">
        <f>攻击!K5</f>
        <v>0</v>
      </c>
      <c r="J5" s="94">
        <f>攻击!L5</f>
        <v>0</v>
      </c>
      <c r="K5" s="94">
        <f>攻击!M5</f>
        <v>0</v>
      </c>
      <c r="L5" s="94">
        <f>攻击!N5</f>
        <v>16.8</v>
      </c>
      <c r="M5" s="94">
        <f>攻击!O5</f>
        <v>21</v>
      </c>
      <c r="N5" s="94">
        <f>攻击!P5</f>
        <v>28</v>
      </c>
      <c r="O5" s="94">
        <f>攻击!Q5</f>
        <v>35</v>
      </c>
      <c r="P5" s="94">
        <f>攻击!R5</f>
        <v>42</v>
      </c>
      <c r="Q5" s="94">
        <f>攻击!S5</f>
        <v>49</v>
      </c>
      <c r="R5" s="94">
        <f>攻击!T5</f>
        <v>0</v>
      </c>
      <c r="S5" s="94">
        <f>攻击!U5</f>
        <v>4.2</v>
      </c>
      <c r="T5" s="94">
        <f>攻击!V5</f>
        <v>0</v>
      </c>
      <c r="U5" s="94">
        <f>攻击!W5</f>
        <v>0.70000000000000007</v>
      </c>
      <c r="V5" s="93">
        <f>攻击!X5</f>
        <v>0</v>
      </c>
      <c r="W5" s="93">
        <f>攻击!Y5</f>
        <v>0</v>
      </c>
      <c r="X5" s="93">
        <f>攻击!Z5</f>
        <v>0</v>
      </c>
      <c r="Y5" s="93">
        <f>攻击!AA5</f>
        <v>0</v>
      </c>
      <c r="Z5" s="93">
        <f>攻击!AB5</f>
        <v>0</v>
      </c>
      <c r="AA5" s="94">
        <f>攻击!AL5</f>
        <v>0</v>
      </c>
      <c r="AB5" s="93">
        <f>攻击!AM5</f>
        <v>0</v>
      </c>
      <c r="AC5" s="93">
        <f>攻击!AN5</f>
        <v>0</v>
      </c>
      <c r="AD5" s="93">
        <f>攻击!AO5</f>
        <v>0</v>
      </c>
      <c r="AE5" s="93">
        <f>攻击!AP5</f>
        <v>0</v>
      </c>
      <c r="AF5" s="93">
        <f>攻击!AQ5</f>
        <v>0</v>
      </c>
      <c r="AG5" s="94">
        <f>攻击!AR5</f>
        <v>2.8000000000000003</v>
      </c>
      <c r="AH5" s="94">
        <f t="shared" si="0"/>
        <v>37.799999999999997</v>
      </c>
    </row>
    <row r="6" spans="1:34">
      <c r="A6" s="46">
        <v>4</v>
      </c>
      <c r="B6" s="94">
        <f>攻击!D6</f>
        <v>16</v>
      </c>
      <c r="C6" s="94">
        <f>攻击!E6</f>
        <v>19.2</v>
      </c>
      <c r="D6" s="94">
        <f>攻击!F6</f>
        <v>24</v>
      </c>
      <c r="E6" s="94">
        <f>攻击!G6</f>
        <v>32</v>
      </c>
      <c r="F6" s="94">
        <f>攻击!H6</f>
        <v>40</v>
      </c>
      <c r="G6" s="94">
        <f>攻击!I6</f>
        <v>0</v>
      </c>
      <c r="H6" s="94">
        <f>攻击!J6</f>
        <v>0</v>
      </c>
      <c r="I6" s="94">
        <f>攻击!K6</f>
        <v>0</v>
      </c>
      <c r="J6" s="94">
        <f>攻击!L6</f>
        <v>0</v>
      </c>
      <c r="K6" s="94">
        <f>攻击!M6</f>
        <v>0</v>
      </c>
      <c r="L6" s="94">
        <f>攻击!N6</f>
        <v>19.2</v>
      </c>
      <c r="M6" s="94">
        <f>攻击!O6</f>
        <v>24</v>
      </c>
      <c r="N6" s="94">
        <f>攻击!P6</f>
        <v>32</v>
      </c>
      <c r="O6" s="94">
        <f>攻击!Q6</f>
        <v>40</v>
      </c>
      <c r="P6" s="94">
        <f>攻击!R6</f>
        <v>48</v>
      </c>
      <c r="Q6" s="94">
        <f>攻击!S6</f>
        <v>56</v>
      </c>
      <c r="R6" s="94">
        <f>攻击!T6</f>
        <v>0</v>
      </c>
      <c r="S6" s="94">
        <f>攻击!U6</f>
        <v>4.8</v>
      </c>
      <c r="T6" s="94">
        <f>攻击!V6</f>
        <v>0</v>
      </c>
      <c r="U6" s="94">
        <f>攻击!W6</f>
        <v>0.8</v>
      </c>
      <c r="V6" s="93">
        <f>攻击!X6</f>
        <v>0</v>
      </c>
      <c r="W6" s="93">
        <f>攻击!Y6</f>
        <v>0</v>
      </c>
      <c r="X6" s="93">
        <f>攻击!Z6</f>
        <v>0</v>
      </c>
      <c r="Y6" s="93">
        <f>攻击!AA6</f>
        <v>0</v>
      </c>
      <c r="Z6" s="93">
        <f>攻击!AB6</f>
        <v>0</v>
      </c>
      <c r="AA6" s="94">
        <f>攻击!AL6</f>
        <v>0</v>
      </c>
      <c r="AB6" s="93">
        <f>攻击!AM6</f>
        <v>0</v>
      </c>
      <c r="AC6" s="93">
        <f>攻击!AN6</f>
        <v>0</v>
      </c>
      <c r="AD6" s="93">
        <f>攻击!AO6</f>
        <v>0</v>
      </c>
      <c r="AE6" s="93">
        <f>攻击!AP6</f>
        <v>0</v>
      </c>
      <c r="AF6" s="93">
        <f>攻击!AQ6</f>
        <v>0</v>
      </c>
      <c r="AG6" s="94">
        <f>攻击!AR6</f>
        <v>3.2</v>
      </c>
      <c r="AH6" s="94">
        <f t="shared" si="0"/>
        <v>43.2</v>
      </c>
    </row>
    <row r="7" spans="1:34">
      <c r="A7" s="46">
        <v>5</v>
      </c>
      <c r="B7" s="94">
        <f>攻击!D7</f>
        <v>18</v>
      </c>
      <c r="C7" s="94">
        <f>攻击!E7</f>
        <v>21.599999999999998</v>
      </c>
      <c r="D7" s="94">
        <f>攻击!F7</f>
        <v>27</v>
      </c>
      <c r="E7" s="94">
        <f>攻击!G7</f>
        <v>36</v>
      </c>
      <c r="F7" s="94">
        <f>攻击!H7</f>
        <v>45</v>
      </c>
      <c r="G7" s="94">
        <f>攻击!I7</f>
        <v>9</v>
      </c>
      <c r="H7" s="94">
        <f>攻击!J7</f>
        <v>0</v>
      </c>
      <c r="I7" s="94">
        <f>攻击!K7</f>
        <v>0</v>
      </c>
      <c r="J7" s="94">
        <f>攻击!L7</f>
        <v>0</v>
      </c>
      <c r="K7" s="94">
        <f>攻击!M7</f>
        <v>0</v>
      </c>
      <c r="L7" s="94">
        <f>攻击!N7</f>
        <v>21.599999999999998</v>
      </c>
      <c r="M7" s="94">
        <f>攻击!O7</f>
        <v>27</v>
      </c>
      <c r="N7" s="94">
        <f>攻击!P7</f>
        <v>36</v>
      </c>
      <c r="O7" s="94">
        <f>攻击!Q7</f>
        <v>45</v>
      </c>
      <c r="P7" s="94">
        <f>攻击!R7</f>
        <v>54</v>
      </c>
      <c r="Q7" s="94">
        <f>攻击!S7</f>
        <v>63</v>
      </c>
      <c r="R7" s="94">
        <f>攻击!T7</f>
        <v>0</v>
      </c>
      <c r="S7" s="94">
        <f>攻击!U7</f>
        <v>5.3999999999999995</v>
      </c>
      <c r="T7" s="94">
        <f>攻击!V7</f>
        <v>0</v>
      </c>
      <c r="U7" s="94">
        <f>攻击!W7</f>
        <v>0.9</v>
      </c>
      <c r="V7" s="93">
        <f>攻击!X7</f>
        <v>0</v>
      </c>
      <c r="W7" s="93">
        <f>攻击!Y7</f>
        <v>0</v>
      </c>
      <c r="X7" s="93">
        <f>攻击!Z7</f>
        <v>0</v>
      </c>
      <c r="Y7" s="93">
        <f>攻击!AA7</f>
        <v>0</v>
      </c>
      <c r="Z7" s="93">
        <f>攻击!AB7</f>
        <v>0</v>
      </c>
      <c r="AA7" s="94">
        <f>攻击!AL7</f>
        <v>0</v>
      </c>
      <c r="AB7" s="93">
        <f>攻击!AM7</f>
        <v>0</v>
      </c>
      <c r="AC7" s="93">
        <f>攻击!AN7</f>
        <v>0</v>
      </c>
      <c r="AD7" s="93">
        <f>攻击!AO7</f>
        <v>0</v>
      </c>
      <c r="AE7" s="93">
        <f>攻击!AP7</f>
        <v>0</v>
      </c>
      <c r="AF7" s="93">
        <f>攻击!AQ7</f>
        <v>0</v>
      </c>
      <c r="AG7" s="94">
        <f>攻击!AR7</f>
        <v>3.6</v>
      </c>
      <c r="AH7" s="94">
        <f t="shared" si="0"/>
        <v>48.6</v>
      </c>
    </row>
    <row r="8" spans="1:34">
      <c r="A8" s="46">
        <v>6</v>
      </c>
      <c r="B8" s="94">
        <f>攻击!D8</f>
        <v>20</v>
      </c>
      <c r="C8" s="94">
        <f>攻击!E8</f>
        <v>24</v>
      </c>
      <c r="D8" s="94">
        <f>攻击!F8</f>
        <v>30</v>
      </c>
      <c r="E8" s="94">
        <f>攻击!G8</f>
        <v>40</v>
      </c>
      <c r="F8" s="94">
        <f>攻击!H8</f>
        <v>50</v>
      </c>
      <c r="G8" s="94">
        <f>攻击!I8</f>
        <v>9</v>
      </c>
      <c r="H8" s="94">
        <f>攻击!J8</f>
        <v>0</v>
      </c>
      <c r="I8" s="94">
        <f>攻击!K8</f>
        <v>0</v>
      </c>
      <c r="J8" s="94">
        <f>攻击!L8</f>
        <v>0</v>
      </c>
      <c r="K8" s="94">
        <f>攻击!M8</f>
        <v>0</v>
      </c>
      <c r="L8" s="94">
        <f>攻击!N8</f>
        <v>24</v>
      </c>
      <c r="M8" s="94">
        <f>攻击!O8</f>
        <v>30</v>
      </c>
      <c r="N8" s="94">
        <f>攻击!P8</f>
        <v>40</v>
      </c>
      <c r="O8" s="94">
        <f>攻击!Q8</f>
        <v>50</v>
      </c>
      <c r="P8" s="94">
        <f>攻击!R8</f>
        <v>60</v>
      </c>
      <c r="Q8" s="94">
        <f>攻击!S8</f>
        <v>70</v>
      </c>
      <c r="R8" s="94">
        <f>攻击!T8</f>
        <v>0</v>
      </c>
      <c r="S8" s="94">
        <f>攻击!U8</f>
        <v>6</v>
      </c>
      <c r="T8" s="94">
        <f>攻击!V8</f>
        <v>0</v>
      </c>
      <c r="U8" s="94">
        <f>攻击!W8</f>
        <v>1</v>
      </c>
      <c r="V8" s="93">
        <f>攻击!X8</f>
        <v>0</v>
      </c>
      <c r="W8" s="93">
        <f>攻击!Y8</f>
        <v>0</v>
      </c>
      <c r="X8" s="93">
        <f>攻击!Z8</f>
        <v>0</v>
      </c>
      <c r="Y8" s="93">
        <f>攻击!AA8</f>
        <v>0</v>
      </c>
      <c r="Z8" s="93">
        <f>攻击!AB8</f>
        <v>0</v>
      </c>
      <c r="AA8" s="94">
        <f>攻击!AL8</f>
        <v>0</v>
      </c>
      <c r="AB8" s="93">
        <f>攻击!AM8</f>
        <v>0</v>
      </c>
      <c r="AC8" s="93">
        <f>攻击!AN8</f>
        <v>0</v>
      </c>
      <c r="AD8" s="93">
        <f>攻击!AO8</f>
        <v>0</v>
      </c>
      <c r="AE8" s="93">
        <f>攻击!AP8</f>
        <v>0</v>
      </c>
      <c r="AF8" s="93">
        <f>攻击!AQ8</f>
        <v>0</v>
      </c>
      <c r="AG8" s="94">
        <f>攻击!AR8</f>
        <v>4</v>
      </c>
      <c r="AH8" s="94">
        <f t="shared" si="0"/>
        <v>54</v>
      </c>
    </row>
    <row r="9" spans="1:34">
      <c r="A9" s="46">
        <v>7</v>
      </c>
      <c r="B9" s="94">
        <f>攻击!D9</f>
        <v>22</v>
      </c>
      <c r="C9" s="94">
        <f>攻击!E9</f>
        <v>26.4</v>
      </c>
      <c r="D9" s="94">
        <f>攻击!F9</f>
        <v>33</v>
      </c>
      <c r="E9" s="94">
        <f>攻击!G9</f>
        <v>44</v>
      </c>
      <c r="F9" s="94">
        <f>攻击!H9</f>
        <v>55</v>
      </c>
      <c r="G9" s="94">
        <f>攻击!I9</f>
        <v>9</v>
      </c>
      <c r="H9" s="94">
        <f>攻击!J9</f>
        <v>0</v>
      </c>
      <c r="I9" s="94">
        <f>攻击!K9</f>
        <v>0</v>
      </c>
      <c r="J9" s="94">
        <f>攻击!L9</f>
        <v>0</v>
      </c>
      <c r="K9" s="94">
        <f>攻击!M9</f>
        <v>0</v>
      </c>
      <c r="L9" s="94">
        <f>攻击!N9</f>
        <v>26.4</v>
      </c>
      <c r="M9" s="94">
        <f>攻击!O9</f>
        <v>33</v>
      </c>
      <c r="N9" s="94">
        <f>攻击!P9</f>
        <v>44</v>
      </c>
      <c r="O9" s="94">
        <f>攻击!Q9</f>
        <v>55</v>
      </c>
      <c r="P9" s="94">
        <f>攻击!R9</f>
        <v>66</v>
      </c>
      <c r="Q9" s="94">
        <f>攻击!S9</f>
        <v>77</v>
      </c>
      <c r="R9" s="94">
        <f>攻击!T9</f>
        <v>0</v>
      </c>
      <c r="S9" s="94">
        <f>攻击!U9</f>
        <v>6.6</v>
      </c>
      <c r="T9" s="94">
        <f>攻击!V9</f>
        <v>0</v>
      </c>
      <c r="U9" s="94">
        <f>攻击!W9</f>
        <v>1.1000000000000001</v>
      </c>
      <c r="V9" s="93">
        <f>攻击!X9</f>
        <v>0</v>
      </c>
      <c r="W9" s="93">
        <f>攻击!Y9</f>
        <v>0</v>
      </c>
      <c r="X9" s="93">
        <f>攻击!Z9</f>
        <v>0</v>
      </c>
      <c r="Y9" s="93">
        <f>攻击!AA9</f>
        <v>0</v>
      </c>
      <c r="Z9" s="93">
        <f>攻击!AB9</f>
        <v>0</v>
      </c>
      <c r="AA9" s="94">
        <f>攻击!AL9</f>
        <v>0</v>
      </c>
      <c r="AB9" s="93">
        <f>攻击!AM9</f>
        <v>0</v>
      </c>
      <c r="AC9" s="93">
        <f>攻击!AN9</f>
        <v>0</v>
      </c>
      <c r="AD9" s="93">
        <f>攻击!AO9</f>
        <v>0</v>
      </c>
      <c r="AE9" s="93">
        <f>攻击!AP9</f>
        <v>0</v>
      </c>
      <c r="AF9" s="93">
        <f>攻击!AQ9</f>
        <v>0</v>
      </c>
      <c r="AG9" s="94">
        <f>攻击!AR9</f>
        <v>4.4000000000000004</v>
      </c>
      <c r="AH9" s="94">
        <f t="shared" si="0"/>
        <v>59.4</v>
      </c>
    </row>
    <row r="10" spans="1:34">
      <c r="A10" s="46">
        <v>8</v>
      </c>
      <c r="B10" s="94">
        <f>攻击!D10</f>
        <v>24</v>
      </c>
      <c r="C10" s="94">
        <f>攻击!E10</f>
        <v>28.799999999999997</v>
      </c>
      <c r="D10" s="94">
        <f>攻击!F10</f>
        <v>36</v>
      </c>
      <c r="E10" s="94">
        <f>攻击!G10</f>
        <v>48</v>
      </c>
      <c r="F10" s="94">
        <f>攻击!H10</f>
        <v>60</v>
      </c>
      <c r="G10" s="94">
        <f>攻击!I10</f>
        <v>9</v>
      </c>
      <c r="H10" s="94">
        <f>攻击!J10</f>
        <v>0</v>
      </c>
      <c r="I10" s="94">
        <f>攻击!K10</f>
        <v>0</v>
      </c>
      <c r="J10" s="94">
        <f>攻击!L10</f>
        <v>0</v>
      </c>
      <c r="K10" s="94">
        <f>攻击!M10</f>
        <v>0</v>
      </c>
      <c r="L10" s="94">
        <f>攻击!N10</f>
        <v>28.799999999999997</v>
      </c>
      <c r="M10" s="94">
        <f>攻击!O10</f>
        <v>36</v>
      </c>
      <c r="N10" s="94">
        <f>攻击!P10</f>
        <v>48</v>
      </c>
      <c r="O10" s="94">
        <f>攻击!Q10</f>
        <v>60</v>
      </c>
      <c r="P10" s="94">
        <f>攻击!R10</f>
        <v>72</v>
      </c>
      <c r="Q10" s="94">
        <f>攻击!S10</f>
        <v>84</v>
      </c>
      <c r="R10" s="94">
        <f>攻击!T10</f>
        <v>0</v>
      </c>
      <c r="S10" s="94">
        <f>攻击!U10</f>
        <v>7.1999999999999993</v>
      </c>
      <c r="T10" s="94">
        <f>攻击!V10</f>
        <v>0</v>
      </c>
      <c r="U10" s="94">
        <f>攻击!W10</f>
        <v>1.2000000000000002</v>
      </c>
      <c r="V10" s="93">
        <f>攻击!X10</f>
        <v>0</v>
      </c>
      <c r="W10" s="93">
        <f>攻击!Y10</f>
        <v>0</v>
      </c>
      <c r="X10" s="93">
        <f>攻击!Z10</f>
        <v>0</v>
      </c>
      <c r="Y10" s="93">
        <f>攻击!AA10</f>
        <v>0</v>
      </c>
      <c r="Z10" s="93">
        <f>攻击!AB10</f>
        <v>0</v>
      </c>
      <c r="AA10" s="94">
        <f>攻击!AL10</f>
        <v>0</v>
      </c>
      <c r="AB10" s="93">
        <f>攻击!AM10</f>
        <v>0</v>
      </c>
      <c r="AC10" s="93">
        <f>攻击!AN10</f>
        <v>0</v>
      </c>
      <c r="AD10" s="93">
        <f>攻击!AO10</f>
        <v>0</v>
      </c>
      <c r="AE10" s="93">
        <f>攻击!AP10</f>
        <v>0</v>
      </c>
      <c r="AF10" s="93">
        <f>攻击!AQ10</f>
        <v>0</v>
      </c>
      <c r="AG10" s="94">
        <f>攻击!AR10</f>
        <v>4.8000000000000007</v>
      </c>
      <c r="AH10" s="94">
        <f t="shared" si="0"/>
        <v>64.8</v>
      </c>
    </row>
    <row r="11" spans="1:34">
      <c r="A11" s="46">
        <v>9</v>
      </c>
      <c r="B11" s="94">
        <f>攻击!D11</f>
        <v>26</v>
      </c>
      <c r="C11" s="94">
        <f>攻击!E11</f>
        <v>31.2</v>
      </c>
      <c r="D11" s="94">
        <f>攻击!F11</f>
        <v>39</v>
      </c>
      <c r="E11" s="94">
        <f>攻击!G11</f>
        <v>52</v>
      </c>
      <c r="F11" s="94">
        <f>攻击!H11</f>
        <v>65</v>
      </c>
      <c r="G11" s="94">
        <f>攻击!I11</f>
        <v>9</v>
      </c>
      <c r="H11" s="94">
        <f>攻击!J11</f>
        <v>0</v>
      </c>
      <c r="I11" s="94">
        <f>攻击!K11</f>
        <v>0</v>
      </c>
      <c r="J11" s="94">
        <f>攻击!L11</f>
        <v>0</v>
      </c>
      <c r="K11" s="94">
        <f>攻击!M11</f>
        <v>0</v>
      </c>
      <c r="L11" s="94">
        <f>攻击!N11</f>
        <v>31.2</v>
      </c>
      <c r="M11" s="94">
        <f>攻击!O11</f>
        <v>39</v>
      </c>
      <c r="N11" s="94">
        <f>攻击!P11</f>
        <v>52</v>
      </c>
      <c r="O11" s="94">
        <f>攻击!Q11</f>
        <v>65</v>
      </c>
      <c r="P11" s="94">
        <f>攻击!R11</f>
        <v>78</v>
      </c>
      <c r="Q11" s="94">
        <f>攻击!S11</f>
        <v>91</v>
      </c>
      <c r="R11" s="94">
        <f>攻击!T11</f>
        <v>0</v>
      </c>
      <c r="S11" s="94">
        <f>攻击!U11</f>
        <v>7.8</v>
      </c>
      <c r="T11" s="94">
        <f>攻击!V11</f>
        <v>0</v>
      </c>
      <c r="U11" s="94">
        <f>攻击!W11</f>
        <v>1.3</v>
      </c>
      <c r="V11" s="93">
        <f>攻击!X11</f>
        <v>0</v>
      </c>
      <c r="W11" s="93">
        <f>攻击!Y11</f>
        <v>0</v>
      </c>
      <c r="X11" s="93">
        <f>攻击!Z11</f>
        <v>0</v>
      </c>
      <c r="Y11" s="93">
        <f>攻击!AA11</f>
        <v>0</v>
      </c>
      <c r="Z11" s="93">
        <f>攻击!AB11</f>
        <v>0</v>
      </c>
      <c r="AA11" s="94">
        <f>攻击!AL11</f>
        <v>0</v>
      </c>
      <c r="AB11" s="93">
        <f>攻击!AM11</f>
        <v>0</v>
      </c>
      <c r="AC11" s="93">
        <f>攻击!AN11</f>
        <v>0</v>
      </c>
      <c r="AD11" s="93">
        <f>攻击!AO11</f>
        <v>0</v>
      </c>
      <c r="AE11" s="93">
        <f>攻击!AP11</f>
        <v>0</v>
      </c>
      <c r="AF11" s="93">
        <f>攻击!AQ11</f>
        <v>0</v>
      </c>
      <c r="AG11" s="94">
        <f>攻击!AR11</f>
        <v>5.2</v>
      </c>
      <c r="AH11" s="94">
        <f t="shared" si="0"/>
        <v>70.2</v>
      </c>
    </row>
    <row r="12" spans="1:34">
      <c r="A12" s="46">
        <v>10</v>
      </c>
      <c r="B12" s="94">
        <f>攻击!D12</f>
        <v>28</v>
      </c>
      <c r="C12" s="94">
        <f>攻击!E12</f>
        <v>33.6</v>
      </c>
      <c r="D12" s="94">
        <f>攻击!F12</f>
        <v>42</v>
      </c>
      <c r="E12" s="94">
        <f>攻击!G12</f>
        <v>56</v>
      </c>
      <c r="F12" s="94">
        <f>攻击!H12</f>
        <v>70</v>
      </c>
      <c r="G12" s="94">
        <f>攻击!I12</f>
        <v>14</v>
      </c>
      <c r="H12" s="94">
        <f>攻击!J12</f>
        <v>8.4</v>
      </c>
      <c r="I12" s="94">
        <f>攻击!K12</f>
        <v>0</v>
      </c>
      <c r="J12" s="94">
        <f>攻击!L12</f>
        <v>0</v>
      </c>
      <c r="K12" s="94">
        <f>攻击!M12</f>
        <v>0</v>
      </c>
      <c r="L12" s="94">
        <f>攻击!N12</f>
        <v>33.6</v>
      </c>
      <c r="M12" s="94">
        <f>攻击!O12</f>
        <v>42</v>
      </c>
      <c r="N12" s="94">
        <f>攻击!P12</f>
        <v>56</v>
      </c>
      <c r="O12" s="94">
        <f>攻击!Q12</f>
        <v>70</v>
      </c>
      <c r="P12" s="94">
        <f>攻击!R12</f>
        <v>84</v>
      </c>
      <c r="Q12" s="94">
        <f>攻击!S12</f>
        <v>98</v>
      </c>
      <c r="R12" s="94">
        <f>攻击!T12</f>
        <v>0</v>
      </c>
      <c r="S12" s="94">
        <f>攻击!U12</f>
        <v>8.4</v>
      </c>
      <c r="T12" s="94">
        <f>攻击!V12</f>
        <v>0</v>
      </c>
      <c r="U12" s="94">
        <f>攻击!W12</f>
        <v>1.4000000000000001</v>
      </c>
      <c r="V12" s="93">
        <f>攻击!X12</f>
        <v>0</v>
      </c>
      <c r="W12" s="93">
        <f>攻击!Y12</f>
        <v>0</v>
      </c>
      <c r="X12" s="93">
        <f>攻击!Z12</f>
        <v>0</v>
      </c>
      <c r="Y12" s="93">
        <f>攻击!AA12</f>
        <v>0</v>
      </c>
      <c r="Z12" s="93">
        <f>攻击!AB12</f>
        <v>0</v>
      </c>
      <c r="AA12" s="94">
        <f>攻击!AL12</f>
        <v>0</v>
      </c>
      <c r="AB12" s="93">
        <f>攻击!AM12</f>
        <v>0</v>
      </c>
      <c r="AC12" s="93">
        <f>攻击!AN12</f>
        <v>0</v>
      </c>
      <c r="AD12" s="93">
        <f>攻击!AO12</f>
        <v>0</v>
      </c>
      <c r="AE12" s="93">
        <f>攻击!AP12</f>
        <v>0</v>
      </c>
      <c r="AF12" s="93">
        <f>攻击!AQ12</f>
        <v>0</v>
      </c>
      <c r="AG12" s="94">
        <f>攻击!AR12</f>
        <v>5.6000000000000005</v>
      </c>
      <c r="AH12" s="94">
        <f t="shared" si="0"/>
        <v>75.599999999999994</v>
      </c>
    </row>
    <row r="13" spans="1:34">
      <c r="A13" s="46">
        <v>11</v>
      </c>
      <c r="B13" s="94">
        <f>攻击!D13</f>
        <v>30</v>
      </c>
      <c r="C13" s="94">
        <f>攻击!E13</f>
        <v>36</v>
      </c>
      <c r="D13" s="94">
        <f>攻击!F13</f>
        <v>45</v>
      </c>
      <c r="E13" s="94">
        <f>攻击!G13</f>
        <v>60</v>
      </c>
      <c r="F13" s="94">
        <f>攻击!H13</f>
        <v>75</v>
      </c>
      <c r="G13" s="94">
        <f>攻击!I13</f>
        <v>14</v>
      </c>
      <c r="H13" s="94">
        <f>攻击!J13</f>
        <v>9</v>
      </c>
      <c r="I13" s="94">
        <f>攻击!K13</f>
        <v>0</v>
      </c>
      <c r="J13" s="94">
        <f>攻击!L13</f>
        <v>0</v>
      </c>
      <c r="K13" s="94">
        <f>攻击!M13</f>
        <v>0</v>
      </c>
      <c r="L13" s="94">
        <f>攻击!N13</f>
        <v>36</v>
      </c>
      <c r="M13" s="94">
        <f>攻击!O13</f>
        <v>45</v>
      </c>
      <c r="N13" s="94">
        <f>攻击!P13</f>
        <v>60</v>
      </c>
      <c r="O13" s="94">
        <f>攻击!Q13</f>
        <v>75</v>
      </c>
      <c r="P13" s="94">
        <f>攻击!R13</f>
        <v>90</v>
      </c>
      <c r="Q13" s="94">
        <f>攻击!S13</f>
        <v>105</v>
      </c>
      <c r="R13" s="94">
        <f>攻击!T13</f>
        <v>0</v>
      </c>
      <c r="S13" s="94">
        <f>攻击!U13</f>
        <v>9</v>
      </c>
      <c r="T13" s="94">
        <f>攻击!V13</f>
        <v>0</v>
      </c>
      <c r="U13" s="94">
        <f>攻击!W13</f>
        <v>1.5</v>
      </c>
      <c r="V13" s="93">
        <f>攻击!X13</f>
        <v>0</v>
      </c>
      <c r="W13" s="93">
        <f>攻击!Y13</f>
        <v>0</v>
      </c>
      <c r="X13" s="93">
        <f>攻击!Z13</f>
        <v>0</v>
      </c>
      <c r="Y13" s="93">
        <f>攻击!AA13</f>
        <v>0</v>
      </c>
      <c r="Z13" s="93">
        <f>攻击!AB13</f>
        <v>0</v>
      </c>
      <c r="AA13" s="94">
        <f>攻击!AL13</f>
        <v>0</v>
      </c>
      <c r="AB13" s="93">
        <f>攻击!AM13</f>
        <v>0</v>
      </c>
      <c r="AC13" s="93">
        <f>攻击!AN13</f>
        <v>0</v>
      </c>
      <c r="AD13" s="93">
        <f>攻击!AO13</f>
        <v>0</v>
      </c>
      <c r="AE13" s="93">
        <f>攻击!AP13</f>
        <v>0</v>
      </c>
      <c r="AF13" s="93">
        <f>攻击!AQ13</f>
        <v>0</v>
      </c>
      <c r="AG13" s="94">
        <f>攻击!AR13</f>
        <v>6</v>
      </c>
      <c r="AH13" s="94">
        <f t="shared" si="0"/>
        <v>81</v>
      </c>
    </row>
    <row r="14" spans="1:34">
      <c r="A14" s="46">
        <v>12</v>
      </c>
      <c r="B14" s="94">
        <f>攻击!D14</f>
        <v>32</v>
      </c>
      <c r="C14" s="94">
        <f>攻击!E14</f>
        <v>38.4</v>
      </c>
      <c r="D14" s="94">
        <f>攻击!F14</f>
        <v>48</v>
      </c>
      <c r="E14" s="94">
        <f>攻击!G14</f>
        <v>64</v>
      </c>
      <c r="F14" s="94">
        <f>攻击!H14</f>
        <v>80</v>
      </c>
      <c r="G14" s="94">
        <f>攻击!I14</f>
        <v>14</v>
      </c>
      <c r="H14" s="94">
        <f>攻击!J14</f>
        <v>9.6</v>
      </c>
      <c r="I14" s="94">
        <f>攻击!K14</f>
        <v>0</v>
      </c>
      <c r="J14" s="94">
        <f>攻击!L14</f>
        <v>0</v>
      </c>
      <c r="K14" s="94">
        <f>攻击!M14</f>
        <v>0</v>
      </c>
      <c r="L14" s="94">
        <f>攻击!N14</f>
        <v>38.4</v>
      </c>
      <c r="M14" s="94">
        <f>攻击!O14</f>
        <v>48</v>
      </c>
      <c r="N14" s="94">
        <f>攻击!P14</f>
        <v>64</v>
      </c>
      <c r="O14" s="94">
        <f>攻击!Q14</f>
        <v>80</v>
      </c>
      <c r="P14" s="94">
        <f>攻击!R14</f>
        <v>96</v>
      </c>
      <c r="Q14" s="94">
        <f>攻击!S14</f>
        <v>112</v>
      </c>
      <c r="R14" s="94">
        <f>攻击!T14</f>
        <v>0</v>
      </c>
      <c r="S14" s="94">
        <f>攻击!U14</f>
        <v>9.6</v>
      </c>
      <c r="T14" s="94">
        <f>攻击!V14</f>
        <v>0</v>
      </c>
      <c r="U14" s="94">
        <f>攻击!W14</f>
        <v>1.6</v>
      </c>
      <c r="V14" s="93">
        <f>攻击!X14</f>
        <v>0</v>
      </c>
      <c r="W14" s="93">
        <f>攻击!Y14</f>
        <v>0</v>
      </c>
      <c r="X14" s="93">
        <f>攻击!Z14</f>
        <v>0</v>
      </c>
      <c r="Y14" s="93">
        <f>攻击!AA14</f>
        <v>0</v>
      </c>
      <c r="Z14" s="93">
        <f>攻击!AB14</f>
        <v>0</v>
      </c>
      <c r="AA14" s="94">
        <f>攻击!AL14</f>
        <v>0</v>
      </c>
      <c r="AB14" s="93">
        <f>攻击!AM14</f>
        <v>0</v>
      </c>
      <c r="AC14" s="93">
        <f>攻击!AN14</f>
        <v>0</v>
      </c>
      <c r="AD14" s="93">
        <f>攻击!AO14</f>
        <v>0</v>
      </c>
      <c r="AE14" s="93">
        <f>攻击!AP14</f>
        <v>0</v>
      </c>
      <c r="AF14" s="93">
        <f>攻击!AQ14</f>
        <v>0</v>
      </c>
      <c r="AG14" s="94">
        <f>攻击!AR14</f>
        <v>6.4</v>
      </c>
      <c r="AH14" s="94">
        <f t="shared" si="0"/>
        <v>86.4</v>
      </c>
    </row>
    <row r="15" spans="1:34">
      <c r="A15" s="46">
        <v>13</v>
      </c>
      <c r="B15" s="94">
        <f>攻击!D15</f>
        <v>34</v>
      </c>
      <c r="C15" s="94">
        <f>攻击!E15</f>
        <v>40.799999999999997</v>
      </c>
      <c r="D15" s="94">
        <f>攻击!F15</f>
        <v>51</v>
      </c>
      <c r="E15" s="94">
        <f>攻击!G15</f>
        <v>68</v>
      </c>
      <c r="F15" s="94">
        <f>攻击!H15</f>
        <v>85</v>
      </c>
      <c r="G15" s="94">
        <f>攻击!I15</f>
        <v>14</v>
      </c>
      <c r="H15" s="94">
        <f>攻击!J15</f>
        <v>10.199999999999999</v>
      </c>
      <c r="I15" s="94">
        <f>攻击!K15</f>
        <v>0</v>
      </c>
      <c r="J15" s="94">
        <f>攻击!L15</f>
        <v>0</v>
      </c>
      <c r="K15" s="94">
        <f>攻击!M15</f>
        <v>0</v>
      </c>
      <c r="L15" s="94">
        <f>攻击!N15</f>
        <v>40.799999999999997</v>
      </c>
      <c r="M15" s="94">
        <f>攻击!O15</f>
        <v>51</v>
      </c>
      <c r="N15" s="94">
        <f>攻击!P15</f>
        <v>68</v>
      </c>
      <c r="O15" s="94">
        <f>攻击!Q15</f>
        <v>85</v>
      </c>
      <c r="P15" s="94">
        <f>攻击!R15</f>
        <v>102</v>
      </c>
      <c r="Q15" s="94">
        <f>攻击!S15</f>
        <v>119</v>
      </c>
      <c r="R15" s="94">
        <f>攻击!T15</f>
        <v>0</v>
      </c>
      <c r="S15" s="94">
        <f>攻击!U15</f>
        <v>10.199999999999999</v>
      </c>
      <c r="T15" s="94">
        <f>攻击!V15</f>
        <v>0</v>
      </c>
      <c r="U15" s="94">
        <f>攻击!W15</f>
        <v>1.7000000000000002</v>
      </c>
      <c r="V15" s="93">
        <f>攻击!X15</f>
        <v>0</v>
      </c>
      <c r="W15" s="93">
        <f>攻击!Y15</f>
        <v>0</v>
      </c>
      <c r="X15" s="93">
        <f>攻击!Z15</f>
        <v>0</v>
      </c>
      <c r="Y15" s="93">
        <f>攻击!AA15</f>
        <v>0</v>
      </c>
      <c r="Z15" s="93">
        <f>攻击!AB15</f>
        <v>0</v>
      </c>
      <c r="AA15" s="94">
        <f>攻击!AL15</f>
        <v>0</v>
      </c>
      <c r="AB15" s="93">
        <f>攻击!AM15</f>
        <v>0</v>
      </c>
      <c r="AC15" s="93">
        <f>攻击!AN15</f>
        <v>0</v>
      </c>
      <c r="AD15" s="93">
        <f>攻击!AO15</f>
        <v>0</v>
      </c>
      <c r="AE15" s="93">
        <f>攻击!AP15</f>
        <v>0</v>
      </c>
      <c r="AF15" s="93">
        <f>攻击!AQ15</f>
        <v>0</v>
      </c>
      <c r="AG15" s="94">
        <f>攻击!AR15</f>
        <v>6.8000000000000007</v>
      </c>
      <c r="AH15" s="94">
        <f t="shared" si="0"/>
        <v>91.8</v>
      </c>
    </row>
    <row r="16" spans="1:34">
      <c r="A16" s="46">
        <v>14</v>
      </c>
      <c r="B16" s="94">
        <f>攻击!D16</f>
        <v>36</v>
      </c>
      <c r="C16" s="94">
        <f>攻击!E16</f>
        <v>43.199999999999996</v>
      </c>
      <c r="D16" s="94">
        <f>攻击!F16</f>
        <v>54</v>
      </c>
      <c r="E16" s="94">
        <f>攻击!G16</f>
        <v>72</v>
      </c>
      <c r="F16" s="94">
        <f>攻击!H16</f>
        <v>90</v>
      </c>
      <c r="G16" s="94">
        <f>攻击!I16</f>
        <v>14</v>
      </c>
      <c r="H16" s="94">
        <f>攻击!J16</f>
        <v>10.799999999999999</v>
      </c>
      <c r="I16" s="94">
        <f>攻击!K16</f>
        <v>0</v>
      </c>
      <c r="J16" s="94">
        <f>攻击!L16</f>
        <v>0</v>
      </c>
      <c r="K16" s="94">
        <f>攻击!M16</f>
        <v>0</v>
      </c>
      <c r="L16" s="94">
        <f>攻击!N16</f>
        <v>43.199999999999996</v>
      </c>
      <c r="M16" s="94">
        <f>攻击!O16</f>
        <v>54</v>
      </c>
      <c r="N16" s="94">
        <f>攻击!P16</f>
        <v>72</v>
      </c>
      <c r="O16" s="94">
        <f>攻击!Q16</f>
        <v>90</v>
      </c>
      <c r="P16" s="94">
        <f>攻击!R16</f>
        <v>108</v>
      </c>
      <c r="Q16" s="94">
        <f>攻击!S16</f>
        <v>126</v>
      </c>
      <c r="R16" s="94">
        <f>攻击!T16</f>
        <v>0</v>
      </c>
      <c r="S16" s="94">
        <f>攻击!U16</f>
        <v>10.799999999999999</v>
      </c>
      <c r="T16" s="94">
        <f>攻击!V16</f>
        <v>0</v>
      </c>
      <c r="U16" s="94">
        <f>攻击!W16</f>
        <v>1.8</v>
      </c>
      <c r="V16" s="93">
        <f>攻击!X16</f>
        <v>0</v>
      </c>
      <c r="W16" s="93">
        <f>攻击!Y16</f>
        <v>0</v>
      </c>
      <c r="X16" s="93">
        <f>攻击!Z16</f>
        <v>0</v>
      </c>
      <c r="Y16" s="93">
        <f>攻击!AA16</f>
        <v>0</v>
      </c>
      <c r="Z16" s="93">
        <f>攻击!AB16</f>
        <v>0</v>
      </c>
      <c r="AA16" s="94">
        <f>攻击!AL16</f>
        <v>0</v>
      </c>
      <c r="AB16" s="93">
        <f>攻击!AM16</f>
        <v>0</v>
      </c>
      <c r="AC16" s="93">
        <f>攻击!AN16</f>
        <v>0</v>
      </c>
      <c r="AD16" s="93">
        <f>攻击!AO16</f>
        <v>0</v>
      </c>
      <c r="AE16" s="93">
        <f>攻击!AP16</f>
        <v>0</v>
      </c>
      <c r="AF16" s="93">
        <f>攻击!AQ16</f>
        <v>0</v>
      </c>
      <c r="AG16" s="94">
        <f>攻击!AR16</f>
        <v>7.2</v>
      </c>
      <c r="AH16" s="94">
        <f t="shared" si="0"/>
        <v>97.2</v>
      </c>
    </row>
    <row r="17" spans="1:34">
      <c r="A17" s="46">
        <v>15</v>
      </c>
      <c r="B17" s="94">
        <f>攻击!D17</f>
        <v>38</v>
      </c>
      <c r="C17" s="94">
        <f>攻击!E17</f>
        <v>45.6</v>
      </c>
      <c r="D17" s="94">
        <f>攻击!F17</f>
        <v>57</v>
      </c>
      <c r="E17" s="94">
        <f>攻击!G17</f>
        <v>76</v>
      </c>
      <c r="F17" s="94">
        <f>攻击!H17</f>
        <v>95</v>
      </c>
      <c r="G17" s="94">
        <f>攻击!I17</f>
        <v>19</v>
      </c>
      <c r="H17" s="94">
        <f>攻击!J17</f>
        <v>11.4</v>
      </c>
      <c r="I17" s="94">
        <f>攻击!K17</f>
        <v>22.8</v>
      </c>
      <c r="J17" s="94">
        <f>攻击!L17</f>
        <v>0</v>
      </c>
      <c r="K17" s="94">
        <f>攻击!M17</f>
        <v>0</v>
      </c>
      <c r="L17" s="94">
        <f>攻击!N17</f>
        <v>45.6</v>
      </c>
      <c r="M17" s="94">
        <f>攻击!O17</f>
        <v>57</v>
      </c>
      <c r="N17" s="94">
        <f>攻击!P17</f>
        <v>76</v>
      </c>
      <c r="O17" s="94">
        <f>攻击!Q17</f>
        <v>95</v>
      </c>
      <c r="P17" s="94">
        <f>攻击!R17</f>
        <v>114</v>
      </c>
      <c r="Q17" s="94">
        <f>攻击!S17</f>
        <v>133</v>
      </c>
      <c r="R17" s="94">
        <f>攻击!T17</f>
        <v>0</v>
      </c>
      <c r="S17" s="94">
        <f>攻击!U17</f>
        <v>11.4</v>
      </c>
      <c r="T17" s="94">
        <f>攻击!V17</f>
        <v>0</v>
      </c>
      <c r="U17" s="94">
        <f>攻击!W17</f>
        <v>1.9000000000000001</v>
      </c>
      <c r="V17" s="93">
        <f>攻击!X17</f>
        <v>0</v>
      </c>
      <c r="W17" s="93">
        <f>攻击!Y17</f>
        <v>0</v>
      </c>
      <c r="X17" s="93">
        <f>攻击!Z17</f>
        <v>0</v>
      </c>
      <c r="Y17" s="93">
        <f>攻击!AA17</f>
        <v>0</v>
      </c>
      <c r="Z17" s="93">
        <f>攻击!AB17</f>
        <v>0</v>
      </c>
      <c r="AA17" s="94">
        <f>攻击!AL17</f>
        <v>0</v>
      </c>
      <c r="AB17" s="93">
        <f>攻击!AM17</f>
        <v>0</v>
      </c>
      <c r="AC17" s="93">
        <f>攻击!AN17</f>
        <v>0</v>
      </c>
      <c r="AD17" s="93">
        <f>攻击!AO17</f>
        <v>0</v>
      </c>
      <c r="AE17" s="93">
        <f>攻击!AP17</f>
        <v>0</v>
      </c>
      <c r="AF17" s="93">
        <f>攻击!AQ17</f>
        <v>0</v>
      </c>
      <c r="AG17" s="94">
        <f>攻击!AR17</f>
        <v>7.6000000000000005</v>
      </c>
      <c r="AH17" s="94">
        <f t="shared" si="0"/>
        <v>102.6</v>
      </c>
    </row>
    <row r="18" spans="1:34">
      <c r="A18" s="46">
        <v>16</v>
      </c>
      <c r="B18" s="94">
        <f>攻击!D18</f>
        <v>40</v>
      </c>
      <c r="C18" s="94">
        <f>攻击!E18</f>
        <v>48</v>
      </c>
      <c r="D18" s="94">
        <f>攻击!F18</f>
        <v>60</v>
      </c>
      <c r="E18" s="94">
        <f>攻击!G18</f>
        <v>80</v>
      </c>
      <c r="F18" s="94">
        <f>攻击!H18</f>
        <v>100</v>
      </c>
      <c r="G18" s="94">
        <f>攻击!I18</f>
        <v>19</v>
      </c>
      <c r="H18" s="94">
        <f>攻击!J18</f>
        <v>12</v>
      </c>
      <c r="I18" s="94">
        <f>攻击!K18</f>
        <v>24</v>
      </c>
      <c r="J18" s="94">
        <f>攻击!L18</f>
        <v>0</v>
      </c>
      <c r="K18" s="94">
        <f>攻击!M18</f>
        <v>0</v>
      </c>
      <c r="L18" s="94">
        <f>攻击!N18</f>
        <v>48</v>
      </c>
      <c r="M18" s="94">
        <f>攻击!O18</f>
        <v>60</v>
      </c>
      <c r="N18" s="94">
        <f>攻击!P18</f>
        <v>80</v>
      </c>
      <c r="O18" s="94">
        <f>攻击!Q18</f>
        <v>100</v>
      </c>
      <c r="P18" s="94">
        <f>攻击!R18</f>
        <v>120</v>
      </c>
      <c r="Q18" s="94">
        <f>攻击!S18</f>
        <v>140</v>
      </c>
      <c r="R18" s="94">
        <f>攻击!T18</f>
        <v>0</v>
      </c>
      <c r="S18" s="94">
        <f>攻击!U18</f>
        <v>12</v>
      </c>
      <c r="T18" s="94">
        <f>攻击!V18</f>
        <v>0</v>
      </c>
      <c r="U18" s="94">
        <f>攻击!W18</f>
        <v>2</v>
      </c>
      <c r="V18" s="93">
        <f>攻击!X18</f>
        <v>0</v>
      </c>
      <c r="W18" s="93">
        <f>攻击!Y18</f>
        <v>0</v>
      </c>
      <c r="X18" s="93">
        <f>攻击!Z18</f>
        <v>0</v>
      </c>
      <c r="Y18" s="93">
        <f>攻击!AA18</f>
        <v>0</v>
      </c>
      <c r="Z18" s="93">
        <f>攻击!AB18</f>
        <v>0</v>
      </c>
      <c r="AA18" s="94">
        <f>攻击!AL18</f>
        <v>0</v>
      </c>
      <c r="AB18" s="93">
        <f>攻击!AM18</f>
        <v>0</v>
      </c>
      <c r="AC18" s="93">
        <f>攻击!AN18</f>
        <v>0</v>
      </c>
      <c r="AD18" s="93">
        <f>攻击!AO18</f>
        <v>0</v>
      </c>
      <c r="AE18" s="93">
        <f>攻击!AP18</f>
        <v>0</v>
      </c>
      <c r="AF18" s="93">
        <f>攻击!AQ18</f>
        <v>0</v>
      </c>
      <c r="AG18" s="94">
        <f>攻击!AR18</f>
        <v>8</v>
      </c>
      <c r="AH18" s="94">
        <f t="shared" si="0"/>
        <v>108</v>
      </c>
    </row>
    <row r="19" spans="1:34">
      <c r="A19" s="46">
        <v>17</v>
      </c>
      <c r="B19" s="94">
        <f>攻击!D19</f>
        <v>42</v>
      </c>
      <c r="C19" s="94">
        <f>攻击!E19</f>
        <v>50.4</v>
      </c>
      <c r="D19" s="94">
        <f>攻击!F19</f>
        <v>63</v>
      </c>
      <c r="E19" s="94">
        <f>攻击!G19</f>
        <v>84</v>
      </c>
      <c r="F19" s="94">
        <f>攻击!H19</f>
        <v>105</v>
      </c>
      <c r="G19" s="94">
        <f>攻击!I19</f>
        <v>19</v>
      </c>
      <c r="H19" s="94">
        <f>攻击!J19</f>
        <v>12.6</v>
      </c>
      <c r="I19" s="94">
        <f>攻击!K19</f>
        <v>25.2</v>
      </c>
      <c r="J19" s="94">
        <f>攻击!L19</f>
        <v>0</v>
      </c>
      <c r="K19" s="94">
        <f>攻击!M19</f>
        <v>0</v>
      </c>
      <c r="L19" s="94">
        <f>攻击!N19</f>
        <v>50.4</v>
      </c>
      <c r="M19" s="94">
        <f>攻击!O19</f>
        <v>63</v>
      </c>
      <c r="N19" s="94">
        <f>攻击!P19</f>
        <v>84</v>
      </c>
      <c r="O19" s="94">
        <f>攻击!Q19</f>
        <v>105</v>
      </c>
      <c r="P19" s="94">
        <f>攻击!R19</f>
        <v>126</v>
      </c>
      <c r="Q19" s="94">
        <f>攻击!S19</f>
        <v>147</v>
      </c>
      <c r="R19" s="94">
        <f>攻击!T19</f>
        <v>0</v>
      </c>
      <c r="S19" s="94">
        <f>攻击!U19</f>
        <v>12.6</v>
      </c>
      <c r="T19" s="94">
        <f>攻击!V19</f>
        <v>0</v>
      </c>
      <c r="U19" s="94">
        <f>攻击!W19</f>
        <v>2.1</v>
      </c>
      <c r="V19" s="93">
        <f>攻击!X19</f>
        <v>0</v>
      </c>
      <c r="W19" s="93">
        <f>攻击!Y19</f>
        <v>0</v>
      </c>
      <c r="X19" s="93">
        <f>攻击!Z19</f>
        <v>0</v>
      </c>
      <c r="Y19" s="93">
        <f>攻击!AA19</f>
        <v>0</v>
      </c>
      <c r="Z19" s="93">
        <f>攻击!AB19</f>
        <v>0</v>
      </c>
      <c r="AA19" s="94">
        <f>攻击!AL19</f>
        <v>0</v>
      </c>
      <c r="AB19" s="93">
        <f>攻击!AM19</f>
        <v>0</v>
      </c>
      <c r="AC19" s="93">
        <f>攻击!AN19</f>
        <v>0</v>
      </c>
      <c r="AD19" s="93">
        <f>攻击!AO19</f>
        <v>0</v>
      </c>
      <c r="AE19" s="93">
        <f>攻击!AP19</f>
        <v>0</v>
      </c>
      <c r="AF19" s="93">
        <f>攻击!AQ19</f>
        <v>0</v>
      </c>
      <c r="AG19" s="94">
        <f>攻击!AR19</f>
        <v>8.4</v>
      </c>
      <c r="AH19" s="94">
        <f t="shared" si="0"/>
        <v>113.4</v>
      </c>
    </row>
    <row r="20" spans="1:34">
      <c r="A20" s="46">
        <v>18</v>
      </c>
      <c r="B20" s="94">
        <f>攻击!D20</f>
        <v>44</v>
      </c>
      <c r="C20" s="94">
        <f>攻击!E20</f>
        <v>52.8</v>
      </c>
      <c r="D20" s="94">
        <f>攻击!F20</f>
        <v>66</v>
      </c>
      <c r="E20" s="94">
        <f>攻击!G20</f>
        <v>88</v>
      </c>
      <c r="F20" s="94">
        <f>攻击!H20</f>
        <v>110</v>
      </c>
      <c r="G20" s="94">
        <f>攻击!I20</f>
        <v>19</v>
      </c>
      <c r="H20" s="94">
        <f>攻击!J20</f>
        <v>13.2</v>
      </c>
      <c r="I20" s="94">
        <f>攻击!K20</f>
        <v>26.4</v>
      </c>
      <c r="J20" s="94">
        <f>攻击!L20</f>
        <v>0</v>
      </c>
      <c r="K20" s="94">
        <f>攻击!M20</f>
        <v>0</v>
      </c>
      <c r="L20" s="94">
        <f>攻击!N20</f>
        <v>52.8</v>
      </c>
      <c r="M20" s="94">
        <f>攻击!O20</f>
        <v>66</v>
      </c>
      <c r="N20" s="94">
        <f>攻击!P20</f>
        <v>88</v>
      </c>
      <c r="O20" s="94">
        <f>攻击!Q20</f>
        <v>110</v>
      </c>
      <c r="P20" s="94">
        <f>攻击!R20</f>
        <v>132</v>
      </c>
      <c r="Q20" s="94">
        <f>攻击!S20</f>
        <v>154</v>
      </c>
      <c r="R20" s="94">
        <f>攻击!T20</f>
        <v>0</v>
      </c>
      <c r="S20" s="94">
        <f>攻击!U20</f>
        <v>13.2</v>
      </c>
      <c r="T20" s="94">
        <f>攻击!V20</f>
        <v>0</v>
      </c>
      <c r="U20" s="94">
        <f>攻击!W20</f>
        <v>2.2000000000000002</v>
      </c>
      <c r="V20" s="93">
        <f>攻击!X20</f>
        <v>0</v>
      </c>
      <c r="W20" s="93">
        <f>攻击!Y20</f>
        <v>0</v>
      </c>
      <c r="X20" s="93">
        <f>攻击!Z20</f>
        <v>0</v>
      </c>
      <c r="Y20" s="93">
        <f>攻击!AA20</f>
        <v>0</v>
      </c>
      <c r="Z20" s="93">
        <f>攻击!AB20</f>
        <v>0</v>
      </c>
      <c r="AA20" s="94">
        <f>攻击!AL20</f>
        <v>0</v>
      </c>
      <c r="AB20" s="93">
        <f>攻击!AM20</f>
        <v>0</v>
      </c>
      <c r="AC20" s="93">
        <f>攻击!AN20</f>
        <v>0</v>
      </c>
      <c r="AD20" s="93">
        <f>攻击!AO20</f>
        <v>0</v>
      </c>
      <c r="AE20" s="93">
        <f>攻击!AP20</f>
        <v>0</v>
      </c>
      <c r="AF20" s="93">
        <f>攻击!AQ20</f>
        <v>0</v>
      </c>
      <c r="AG20" s="94">
        <f>攻击!AR20</f>
        <v>8.8000000000000007</v>
      </c>
      <c r="AH20" s="94">
        <f t="shared" si="0"/>
        <v>118.8</v>
      </c>
    </row>
    <row r="21" spans="1:34">
      <c r="A21" s="46">
        <v>19</v>
      </c>
      <c r="B21" s="94">
        <f>攻击!D21</f>
        <v>46</v>
      </c>
      <c r="C21" s="94">
        <f>攻击!E21</f>
        <v>55.199999999999996</v>
      </c>
      <c r="D21" s="94">
        <f>攻击!F21</f>
        <v>69</v>
      </c>
      <c r="E21" s="94">
        <f>攻击!G21</f>
        <v>92</v>
      </c>
      <c r="F21" s="94">
        <f>攻击!H21</f>
        <v>115</v>
      </c>
      <c r="G21" s="94">
        <f>攻击!I21</f>
        <v>19</v>
      </c>
      <c r="H21" s="94">
        <f>攻击!J21</f>
        <v>13.799999999999999</v>
      </c>
      <c r="I21" s="94">
        <f>攻击!K21</f>
        <v>27.599999999999998</v>
      </c>
      <c r="J21" s="94">
        <f>攻击!L21</f>
        <v>0</v>
      </c>
      <c r="K21" s="94">
        <f>攻击!M21</f>
        <v>0</v>
      </c>
      <c r="L21" s="94">
        <f>攻击!N21</f>
        <v>55.199999999999996</v>
      </c>
      <c r="M21" s="94">
        <f>攻击!O21</f>
        <v>69</v>
      </c>
      <c r="N21" s="94">
        <f>攻击!P21</f>
        <v>92</v>
      </c>
      <c r="O21" s="94">
        <f>攻击!Q21</f>
        <v>115</v>
      </c>
      <c r="P21" s="94">
        <f>攻击!R21</f>
        <v>138</v>
      </c>
      <c r="Q21" s="94">
        <f>攻击!S21</f>
        <v>161</v>
      </c>
      <c r="R21" s="94">
        <f>攻击!T21</f>
        <v>0</v>
      </c>
      <c r="S21" s="94">
        <f>攻击!U21</f>
        <v>13.799999999999999</v>
      </c>
      <c r="T21" s="94">
        <f>攻击!V21</f>
        <v>0</v>
      </c>
      <c r="U21" s="94">
        <f>攻击!W21</f>
        <v>2.3000000000000003</v>
      </c>
      <c r="V21" s="93">
        <f>攻击!X21</f>
        <v>0</v>
      </c>
      <c r="W21" s="93">
        <f>攻击!Y21</f>
        <v>0</v>
      </c>
      <c r="X21" s="93">
        <f>攻击!Z21</f>
        <v>0</v>
      </c>
      <c r="Y21" s="93">
        <f>攻击!AA21</f>
        <v>0</v>
      </c>
      <c r="Z21" s="93">
        <f>攻击!AB21</f>
        <v>0</v>
      </c>
      <c r="AA21" s="94">
        <f>攻击!AL21</f>
        <v>0</v>
      </c>
      <c r="AB21" s="93">
        <f>攻击!AM21</f>
        <v>0</v>
      </c>
      <c r="AC21" s="93">
        <f>攻击!AN21</f>
        <v>0</v>
      </c>
      <c r="AD21" s="93">
        <f>攻击!AO21</f>
        <v>0</v>
      </c>
      <c r="AE21" s="93">
        <f>攻击!AP21</f>
        <v>0</v>
      </c>
      <c r="AF21" s="93">
        <f>攻击!AQ21</f>
        <v>0</v>
      </c>
      <c r="AG21" s="94">
        <f>攻击!AR21</f>
        <v>9.2000000000000011</v>
      </c>
      <c r="AH21" s="94">
        <f t="shared" si="0"/>
        <v>124.2</v>
      </c>
    </row>
    <row r="22" spans="1:34">
      <c r="A22" s="46">
        <v>20</v>
      </c>
      <c r="B22" s="94">
        <f>攻击!D22</f>
        <v>48</v>
      </c>
      <c r="C22" s="94">
        <f>攻击!E22</f>
        <v>57.599999999999994</v>
      </c>
      <c r="D22" s="94">
        <f>攻击!F22</f>
        <v>72</v>
      </c>
      <c r="E22" s="94">
        <f>攻击!G22</f>
        <v>96</v>
      </c>
      <c r="F22" s="94">
        <f>攻击!H22</f>
        <v>120</v>
      </c>
      <c r="G22" s="94">
        <f>攻击!I22</f>
        <v>24</v>
      </c>
      <c r="H22" s="94">
        <f>攻击!J22</f>
        <v>14.399999999999999</v>
      </c>
      <c r="I22" s="94">
        <f>攻击!K22</f>
        <v>28.799999999999997</v>
      </c>
      <c r="J22" s="94">
        <f>攻击!L22</f>
        <v>0</v>
      </c>
      <c r="K22" s="94">
        <f>攻击!M22</f>
        <v>0</v>
      </c>
      <c r="L22" s="94">
        <f>攻击!N22</f>
        <v>57.599999999999994</v>
      </c>
      <c r="M22" s="94">
        <f>攻击!O22</f>
        <v>72</v>
      </c>
      <c r="N22" s="94">
        <f>攻击!P22</f>
        <v>96</v>
      </c>
      <c r="O22" s="94">
        <f>攻击!Q22</f>
        <v>120</v>
      </c>
      <c r="P22" s="94">
        <f>攻击!R22</f>
        <v>144</v>
      </c>
      <c r="Q22" s="94">
        <f>攻击!S22</f>
        <v>168</v>
      </c>
      <c r="R22" s="94">
        <f>攻击!T22</f>
        <v>0</v>
      </c>
      <c r="S22" s="94">
        <f>攻击!U22</f>
        <v>14.399999999999999</v>
      </c>
      <c r="T22" s="94">
        <f>攻击!V22</f>
        <v>0</v>
      </c>
      <c r="U22" s="94">
        <f>攻击!W22</f>
        <v>2.4000000000000004</v>
      </c>
      <c r="V22" s="93">
        <f>攻击!X22</f>
        <v>0</v>
      </c>
      <c r="W22" s="93">
        <f>攻击!Y22</f>
        <v>0</v>
      </c>
      <c r="X22" s="93">
        <f>攻击!Z22</f>
        <v>0</v>
      </c>
      <c r="Y22" s="93">
        <f>攻击!AA22</f>
        <v>0</v>
      </c>
      <c r="Z22" s="93">
        <f>攻击!AB22</f>
        <v>0</v>
      </c>
      <c r="AA22" s="94">
        <f>攻击!AL22</f>
        <v>0</v>
      </c>
      <c r="AB22" s="93">
        <f>攻击!AM22</f>
        <v>0</v>
      </c>
      <c r="AC22" s="93">
        <f>攻击!AN22</f>
        <v>0</v>
      </c>
      <c r="AD22" s="93">
        <f>攻击!AO22</f>
        <v>0</v>
      </c>
      <c r="AE22" s="93">
        <f>攻击!AP22</f>
        <v>0</v>
      </c>
      <c r="AF22" s="93">
        <f>攻击!AQ22</f>
        <v>0</v>
      </c>
      <c r="AG22" s="94">
        <f>攻击!AR22</f>
        <v>9.6000000000000014</v>
      </c>
      <c r="AH22" s="94">
        <f t="shared" si="0"/>
        <v>129.6</v>
      </c>
    </row>
    <row r="23" spans="1:34">
      <c r="A23" s="46">
        <v>21</v>
      </c>
      <c r="B23" s="94">
        <f>攻击!D23</f>
        <v>50</v>
      </c>
      <c r="C23" s="94">
        <f>攻击!E23</f>
        <v>60</v>
      </c>
      <c r="D23" s="94">
        <f>攻击!F23</f>
        <v>75</v>
      </c>
      <c r="E23" s="94">
        <f>攻击!G23</f>
        <v>100</v>
      </c>
      <c r="F23" s="94">
        <f>攻击!H23</f>
        <v>125</v>
      </c>
      <c r="G23" s="94">
        <f>攻击!I23</f>
        <v>24</v>
      </c>
      <c r="H23" s="94">
        <f>攻击!J23</f>
        <v>15</v>
      </c>
      <c r="I23" s="94">
        <f>攻击!K23</f>
        <v>30</v>
      </c>
      <c r="J23" s="94">
        <f>攻击!L23</f>
        <v>0</v>
      </c>
      <c r="K23" s="94">
        <f>攻击!M23</f>
        <v>0</v>
      </c>
      <c r="L23" s="94">
        <f>攻击!N23</f>
        <v>60</v>
      </c>
      <c r="M23" s="94">
        <f>攻击!O23</f>
        <v>75</v>
      </c>
      <c r="N23" s="94">
        <f>攻击!P23</f>
        <v>100</v>
      </c>
      <c r="O23" s="94">
        <f>攻击!Q23</f>
        <v>125</v>
      </c>
      <c r="P23" s="94">
        <f>攻击!R23</f>
        <v>150</v>
      </c>
      <c r="Q23" s="94">
        <f>攻击!S23</f>
        <v>175</v>
      </c>
      <c r="R23" s="94">
        <f>攻击!T23</f>
        <v>0</v>
      </c>
      <c r="S23" s="94">
        <f>攻击!U23</f>
        <v>15</v>
      </c>
      <c r="T23" s="94">
        <f>攻击!V23</f>
        <v>0</v>
      </c>
      <c r="U23" s="94">
        <f>攻击!W23</f>
        <v>2.5</v>
      </c>
      <c r="V23" s="93">
        <f>攻击!X23</f>
        <v>0</v>
      </c>
      <c r="W23" s="93">
        <f>攻击!Y23</f>
        <v>0</v>
      </c>
      <c r="X23" s="93">
        <f>攻击!Z23</f>
        <v>0</v>
      </c>
      <c r="Y23" s="93">
        <f>攻击!AA23</f>
        <v>0</v>
      </c>
      <c r="Z23" s="93">
        <f>攻击!AB23</f>
        <v>0</v>
      </c>
      <c r="AA23" s="94">
        <f>攻击!AL23</f>
        <v>0</v>
      </c>
      <c r="AB23" s="93">
        <f>攻击!AM23</f>
        <v>0</v>
      </c>
      <c r="AC23" s="93">
        <f>攻击!AN23</f>
        <v>0</v>
      </c>
      <c r="AD23" s="93">
        <f>攻击!AO23</f>
        <v>0</v>
      </c>
      <c r="AE23" s="93">
        <f>攻击!AP23</f>
        <v>0</v>
      </c>
      <c r="AF23" s="93">
        <f>攻击!AQ23</f>
        <v>0</v>
      </c>
      <c r="AG23" s="94">
        <f>攻击!AR23</f>
        <v>10</v>
      </c>
      <c r="AH23" s="94">
        <f t="shared" si="0"/>
        <v>135</v>
      </c>
    </row>
    <row r="24" spans="1:34">
      <c r="A24" s="46">
        <v>22</v>
      </c>
      <c r="B24" s="94">
        <f>攻击!D24</f>
        <v>52</v>
      </c>
      <c r="C24" s="94">
        <f>攻击!E24</f>
        <v>62.4</v>
      </c>
      <c r="D24" s="94">
        <f>攻击!F24</f>
        <v>78</v>
      </c>
      <c r="E24" s="94">
        <f>攻击!G24</f>
        <v>104</v>
      </c>
      <c r="F24" s="94">
        <f>攻击!H24</f>
        <v>130</v>
      </c>
      <c r="G24" s="94">
        <f>攻击!I24</f>
        <v>24</v>
      </c>
      <c r="H24" s="94">
        <f>攻击!J24</f>
        <v>15.6</v>
      </c>
      <c r="I24" s="94">
        <f>攻击!K24</f>
        <v>31.2</v>
      </c>
      <c r="J24" s="94">
        <f>攻击!L24</f>
        <v>0</v>
      </c>
      <c r="K24" s="94">
        <f>攻击!M24</f>
        <v>0</v>
      </c>
      <c r="L24" s="94">
        <f>攻击!N24</f>
        <v>62.4</v>
      </c>
      <c r="M24" s="94">
        <f>攻击!O24</f>
        <v>78</v>
      </c>
      <c r="N24" s="94">
        <f>攻击!P24</f>
        <v>104</v>
      </c>
      <c r="O24" s="94">
        <f>攻击!Q24</f>
        <v>130</v>
      </c>
      <c r="P24" s="94">
        <f>攻击!R24</f>
        <v>156</v>
      </c>
      <c r="Q24" s="94">
        <f>攻击!S24</f>
        <v>182</v>
      </c>
      <c r="R24" s="94">
        <f>攻击!T24</f>
        <v>0</v>
      </c>
      <c r="S24" s="94">
        <f>攻击!U24</f>
        <v>15.6</v>
      </c>
      <c r="T24" s="94">
        <f>攻击!V24</f>
        <v>0</v>
      </c>
      <c r="U24" s="94">
        <f>攻击!W24</f>
        <v>2.6</v>
      </c>
      <c r="V24" s="93">
        <f>攻击!X24</f>
        <v>0</v>
      </c>
      <c r="W24" s="93">
        <f>攻击!Y24</f>
        <v>0</v>
      </c>
      <c r="X24" s="93">
        <f>攻击!Z24</f>
        <v>0</v>
      </c>
      <c r="Y24" s="93">
        <f>攻击!AA24</f>
        <v>0</v>
      </c>
      <c r="Z24" s="93">
        <f>攻击!AB24</f>
        <v>0</v>
      </c>
      <c r="AA24" s="94">
        <f>攻击!AL24</f>
        <v>0</v>
      </c>
      <c r="AB24" s="93">
        <f>攻击!AM24</f>
        <v>0</v>
      </c>
      <c r="AC24" s="93">
        <f>攻击!AN24</f>
        <v>0</v>
      </c>
      <c r="AD24" s="93">
        <f>攻击!AO24</f>
        <v>0</v>
      </c>
      <c r="AE24" s="93">
        <f>攻击!AP24</f>
        <v>0</v>
      </c>
      <c r="AF24" s="93">
        <f>攻击!AQ24</f>
        <v>0</v>
      </c>
      <c r="AG24" s="94">
        <f>攻击!AR24</f>
        <v>10.4</v>
      </c>
      <c r="AH24" s="94">
        <f t="shared" si="0"/>
        <v>140.4</v>
      </c>
    </row>
    <row r="25" spans="1:34">
      <c r="A25" s="46">
        <v>23</v>
      </c>
      <c r="B25" s="94">
        <f>攻击!D25</f>
        <v>54</v>
      </c>
      <c r="C25" s="94">
        <f>攻击!E25</f>
        <v>64.8</v>
      </c>
      <c r="D25" s="94">
        <f>攻击!F25</f>
        <v>81</v>
      </c>
      <c r="E25" s="94">
        <f>攻击!G25</f>
        <v>108</v>
      </c>
      <c r="F25" s="94">
        <f>攻击!H25</f>
        <v>135</v>
      </c>
      <c r="G25" s="94">
        <f>攻击!I25</f>
        <v>24</v>
      </c>
      <c r="H25" s="94">
        <f>攻击!J25</f>
        <v>16.2</v>
      </c>
      <c r="I25" s="94">
        <f>攻击!K25</f>
        <v>32.4</v>
      </c>
      <c r="J25" s="94">
        <f>攻击!L25</f>
        <v>0</v>
      </c>
      <c r="K25" s="94">
        <f>攻击!M25</f>
        <v>0</v>
      </c>
      <c r="L25" s="94">
        <f>攻击!N25</f>
        <v>64.8</v>
      </c>
      <c r="M25" s="94">
        <f>攻击!O25</f>
        <v>81</v>
      </c>
      <c r="N25" s="94">
        <f>攻击!P25</f>
        <v>108</v>
      </c>
      <c r="O25" s="94">
        <f>攻击!Q25</f>
        <v>135</v>
      </c>
      <c r="P25" s="94">
        <f>攻击!R25</f>
        <v>162</v>
      </c>
      <c r="Q25" s="94">
        <f>攻击!S25</f>
        <v>189</v>
      </c>
      <c r="R25" s="94">
        <f>攻击!T25</f>
        <v>0</v>
      </c>
      <c r="S25" s="94">
        <f>攻击!U25</f>
        <v>16.2</v>
      </c>
      <c r="T25" s="94">
        <f>攻击!V25</f>
        <v>0</v>
      </c>
      <c r="U25" s="94">
        <f>攻击!W25</f>
        <v>2.7</v>
      </c>
      <c r="V25" s="93">
        <f>攻击!X25</f>
        <v>0</v>
      </c>
      <c r="W25" s="93">
        <f>攻击!Y25</f>
        <v>0</v>
      </c>
      <c r="X25" s="93">
        <f>攻击!Z25</f>
        <v>0</v>
      </c>
      <c r="Y25" s="93">
        <f>攻击!AA25</f>
        <v>0</v>
      </c>
      <c r="Z25" s="93">
        <f>攻击!AB25</f>
        <v>0</v>
      </c>
      <c r="AA25" s="94">
        <f>攻击!AL25</f>
        <v>0</v>
      </c>
      <c r="AB25" s="93">
        <f>攻击!AM25</f>
        <v>0</v>
      </c>
      <c r="AC25" s="93">
        <f>攻击!AN25</f>
        <v>0</v>
      </c>
      <c r="AD25" s="93">
        <f>攻击!AO25</f>
        <v>0</v>
      </c>
      <c r="AE25" s="93">
        <f>攻击!AP25</f>
        <v>0</v>
      </c>
      <c r="AF25" s="93">
        <f>攻击!AQ25</f>
        <v>0</v>
      </c>
      <c r="AG25" s="94">
        <f>攻击!AR25</f>
        <v>10.8</v>
      </c>
      <c r="AH25" s="94">
        <f t="shared" si="0"/>
        <v>145.80000000000001</v>
      </c>
    </row>
    <row r="26" spans="1:34">
      <c r="A26" s="46">
        <v>24</v>
      </c>
      <c r="B26" s="94">
        <f>攻击!D26</f>
        <v>56</v>
      </c>
      <c r="C26" s="94">
        <f>攻击!E26</f>
        <v>67.2</v>
      </c>
      <c r="D26" s="94">
        <f>攻击!F26</f>
        <v>84</v>
      </c>
      <c r="E26" s="94">
        <f>攻击!G26</f>
        <v>112</v>
      </c>
      <c r="F26" s="94">
        <f>攻击!H26</f>
        <v>140</v>
      </c>
      <c r="G26" s="94">
        <f>攻击!I26</f>
        <v>24</v>
      </c>
      <c r="H26" s="94">
        <f>攻击!J26</f>
        <v>16.8</v>
      </c>
      <c r="I26" s="94">
        <f>攻击!K26</f>
        <v>33.6</v>
      </c>
      <c r="J26" s="94">
        <f>攻击!L26</f>
        <v>0</v>
      </c>
      <c r="K26" s="94">
        <f>攻击!M26</f>
        <v>0</v>
      </c>
      <c r="L26" s="94">
        <f>攻击!N26</f>
        <v>67.2</v>
      </c>
      <c r="M26" s="94">
        <f>攻击!O26</f>
        <v>84</v>
      </c>
      <c r="N26" s="94">
        <f>攻击!P26</f>
        <v>112</v>
      </c>
      <c r="O26" s="94">
        <f>攻击!Q26</f>
        <v>140</v>
      </c>
      <c r="P26" s="94">
        <f>攻击!R26</f>
        <v>168</v>
      </c>
      <c r="Q26" s="94">
        <f>攻击!S26</f>
        <v>196</v>
      </c>
      <c r="R26" s="94">
        <f>攻击!T26</f>
        <v>0</v>
      </c>
      <c r="S26" s="94">
        <f>攻击!U26</f>
        <v>16.8</v>
      </c>
      <c r="T26" s="94">
        <f>攻击!V26</f>
        <v>0</v>
      </c>
      <c r="U26" s="94">
        <f>攻击!W26</f>
        <v>2.8000000000000003</v>
      </c>
      <c r="V26" s="93">
        <f>攻击!X26</f>
        <v>0</v>
      </c>
      <c r="W26" s="93">
        <f>攻击!Y26</f>
        <v>0</v>
      </c>
      <c r="X26" s="93">
        <f>攻击!Z26</f>
        <v>0</v>
      </c>
      <c r="Y26" s="93">
        <f>攻击!AA26</f>
        <v>0</v>
      </c>
      <c r="Z26" s="93">
        <f>攻击!AB26</f>
        <v>0</v>
      </c>
      <c r="AA26" s="94">
        <f>攻击!AL26</f>
        <v>0</v>
      </c>
      <c r="AB26" s="93">
        <f>攻击!AM26</f>
        <v>0</v>
      </c>
      <c r="AC26" s="93">
        <f>攻击!AN26</f>
        <v>0</v>
      </c>
      <c r="AD26" s="93">
        <f>攻击!AO26</f>
        <v>0</v>
      </c>
      <c r="AE26" s="93">
        <f>攻击!AP26</f>
        <v>0</v>
      </c>
      <c r="AF26" s="93">
        <f>攻击!AQ26</f>
        <v>0</v>
      </c>
      <c r="AG26" s="94">
        <f>攻击!AR26</f>
        <v>11.200000000000001</v>
      </c>
      <c r="AH26" s="94">
        <f t="shared" si="0"/>
        <v>151.19999999999999</v>
      </c>
    </row>
    <row r="27" spans="1:34">
      <c r="A27" s="46">
        <v>25</v>
      </c>
      <c r="B27" s="94">
        <f>攻击!D27</f>
        <v>58</v>
      </c>
      <c r="C27" s="94">
        <f>攻击!E27</f>
        <v>69.599999999999994</v>
      </c>
      <c r="D27" s="94">
        <f>攻击!F27</f>
        <v>87</v>
      </c>
      <c r="E27" s="94">
        <f>攻击!G27</f>
        <v>116</v>
      </c>
      <c r="F27" s="94">
        <f>攻击!H27</f>
        <v>145</v>
      </c>
      <c r="G27" s="94">
        <f>攻击!I27</f>
        <v>29</v>
      </c>
      <c r="H27" s="94">
        <f>攻击!J27</f>
        <v>17.399999999999999</v>
      </c>
      <c r="I27" s="94">
        <f>攻击!K27</f>
        <v>34.799999999999997</v>
      </c>
      <c r="J27" s="94">
        <f>攻击!L27</f>
        <v>0</v>
      </c>
      <c r="K27" s="94">
        <f>攻击!M27</f>
        <v>0</v>
      </c>
      <c r="L27" s="94">
        <f>攻击!N27</f>
        <v>69.599999999999994</v>
      </c>
      <c r="M27" s="94">
        <f>攻击!O27</f>
        <v>87</v>
      </c>
      <c r="N27" s="94">
        <f>攻击!P27</f>
        <v>116</v>
      </c>
      <c r="O27" s="94">
        <f>攻击!Q27</f>
        <v>145</v>
      </c>
      <c r="P27" s="94">
        <f>攻击!R27</f>
        <v>174</v>
      </c>
      <c r="Q27" s="94">
        <f>攻击!S27</f>
        <v>203</v>
      </c>
      <c r="R27" s="94">
        <f>攻击!T27</f>
        <v>0</v>
      </c>
      <c r="S27" s="94">
        <f>攻击!U27</f>
        <v>17.399999999999999</v>
      </c>
      <c r="T27" s="94">
        <f>攻击!V27</f>
        <v>0</v>
      </c>
      <c r="U27" s="94">
        <f>攻击!W27</f>
        <v>2.9000000000000004</v>
      </c>
      <c r="V27" s="93">
        <f>攻击!X27</f>
        <v>0</v>
      </c>
      <c r="W27" s="93">
        <f>攻击!Y27</f>
        <v>0</v>
      </c>
      <c r="X27" s="93">
        <f>攻击!Z27</f>
        <v>0</v>
      </c>
      <c r="Y27" s="93">
        <f>攻击!AA27</f>
        <v>0</v>
      </c>
      <c r="Z27" s="93">
        <f>攻击!AB27</f>
        <v>0</v>
      </c>
      <c r="AA27" s="94">
        <f>攻击!AL27</f>
        <v>0</v>
      </c>
      <c r="AB27" s="93">
        <f>攻击!AM27</f>
        <v>0</v>
      </c>
      <c r="AC27" s="93">
        <f>攻击!AN27</f>
        <v>0</v>
      </c>
      <c r="AD27" s="93">
        <f>攻击!AO27</f>
        <v>0</v>
      </c>
      <c r="AE27" s="93">
        <f>攻击!AP27</f>
        <v>0</v>
      </c>
      <c r="AF27" s="93">
        <f>攻击!AQ27</f>
        <v>0</v>
      </c>
      <c r="AG27" s="94">
        <f>攻击!AR27</f>
        <v>11.600000000000001</v>
      </c>
      <c r="AH27" s="94">
        <f t="shared" si="0"/>
        <v>156.6</v>
      </c>
    </row>
    <row r="28" spans="1:34">
      <c r="A28" s="46">
        <v>26</v>
      </c>
      <c r="B28" s="94">
        <f>攻击!D28</f>
        <v>60</v>
      </c>
      <c r="C28" s="94">
        <f>攻击!E28</f>
        <v>72</v>
      </c>
      <c r="D28" s="94">
        <f>攻击!F28</f>
        <v>90</v>
      </c>
      <c r="E28" s="94">
        <f>攻击!G28</f>
        <v>120</v>
      </c>
      <c r="F28" s="94">
        <f>攻击!H28</f>
        <v>150</v>
      </c>
      <c r="G28" s="94">
        <f>攻击!I28</f>
        <v>29</v>
      </c>
      <c r="H28" s="94">
        <f>攻击!J28</f>
        <v>18</v>
      </c>
      <c r="I28" s="94">
        <f>攻击!K28</f>
        <v>36</v>
      </c>
      <c r="J28" s="94">
        <f>攻击!L28</f>
        <v>0</v>
      </c>
      <c r="K28" s="94">
        <f>攻击!M28</f>
        <v>0</v>
      </c>
      <c r="L28" s="94">
        <f>攻击!N28</f>
        <v>72</v>
      </c>
      <c r="M28" s="94">
        <f>攻击!O28</f>
        <v>90</v>
      </c>
      <c r="N28" s="94">
        <f>攻击!P28</f>
        <v>120</v>
      </c>
      <c r="O28" s="94">
        <f>攻击!Q28</f>
        <v>150</v>
      </c>
      <c r="P28" s="94">
        <f>攻击!R28</f>
        <v>180</v>
      </c>
      <c r="Q28" s="94">
        <f>攻击!S28</f>
        <v>210</v>
      </c>
      <c r="R28" s="94">
        <f>攻击!T28</f>
        <v>0</v>
      </c>
      <c r="S28" s="94">
        <f>攻击!U28</f>
        <v>18</v>
      </c>
      <c r="T28" s="94">
        <f>攻击!V28</f>
        <v>0</v>
      </c>
      <c r="U28" s="94">
        <f>攻击!W28</f>
        <v>3</v>
      </c>
      <c r="V28" s="93">
        <f>攻击!X28</f>
        <v>0</v>
      </c>
      <c r="W28" s="93">
        <f>攻击!Y28</f>
        <v>0</v>
      </c>
      <c r="X28" s="93">
        <f>攻击!Z28</f>
        <v>0</v>
      </c>
      <c r="Y28" s="93">
        <f>攻击!AA28</f>
        <v>0</v>
      </c>
      <c r="Z28" s="93">
        <f>攻击!AB28</f>
        <v>0</v>
      </c>
      <c r="AA28" s="94">
        <f>攻击!AL28</f>
        <v>0</v>
      </c>
      <c r="AB28" s="93">
        <f>攻击!AM28</f>
        <v>0</v>
      </c>
      <c r="AC28" s="93">
        <f>攻击!AN28</f>
        <v>0</v>
      </c>
      <c r="AD28" s="93">
        <f>攻击!AO28</f>
        <v>0</v>
      </c>
      <c r="AE28" s="93">
        <f>攻击!AP28</f>
        <v>0</v>
      </c>
      <c r="AF28" s="93">
        <f>攻击!AQ28</f>
        <v>0</v>
      </c>
      <c r="AG28" s="94">
        <f>攻击!AR28</f>
        <v>12</v>
      </c>
      <c r="AH28" s="94">
        <f t="shared" si="0"/>
        <v>162</v>
      </c>
    </row>
    <row r="29" spans="1:34">
      <c r="A29" s="46">
        <v>27</v>
      </c>
      <c r="B29" s="94">
        <f>攻击!D29</f>
        <v>62</v>
      </c>
      <c r="C29" s="94">
        <f>攻击!E29</f>
        <v>74.399999999999991</v>
      </c>
      <c r="D29" s="94">
        <f>攻击!F29</f>
        <v>93</v>
      </c>
      <c r="E29" s="94">
        <f>攻击!G29</f>
        <v>124</v>
      </c>
      <c r="F29" s="94">
        <f>攻击!H29</f>
        <v>155</v>
      </c>
      <c r="G29" s="94">
        <f>攻击!I29</f>
        <v>29</v>
      </c>
      <c r="H29" s="94">
        <f>攻击!J29</f>
        <v>18.599999999999998</v>
      </c>
      <c r="I29" s="94">
        <f>攻击!K29</f>
        <v>37.199999999999996</v>
      </c>
      <c r="J29" s="94">
        <f>攻击!L29</f>
        <v>0</v>
      </c>
      <c r="K29" s="94">
        <f>攻击!M29</f>
        <v>0</v>
      </c>
      <c r="L29" s="94">
        <f>攻击!N29</f>
        <v>74.399999999999991</v>
      </c>
      <c r="M29" s="94">
        <f>攻击!O29</f>
        <v>93</v>
      </c>
      <c r="N29" s="94">
        <f>攻击!P29</f>
        <v>124</v>
      </c>
      <c r="O29" s="94">
        <f>攻击!Q29</f>
        <v>155</v>
      </c>
      <c r="P29" s="94">
        <f>攻击!R29</f>
        <v>186</v>
      </c>
      <c r="Q29" s="94">
        <f>攻击!S29</f>
        <v>217</v>
      </c>
      <c r="R29" s="94">
        <f>攻击!T29</f>
        <v>0</v>
      </c>
      <c r="S29" s="94">
        <f>攻击!U29</f>
        <v>18.599999999999998</v>
      </c>
      <c r="T29" s="94">
        <f>攻击!V29</f>
        <v>0</v>
      </c>
      <c r="U29" s="94">
        <f>攻击!W29</f>
        <v>3.1</v>
      </c>
      <c r="V29" s="93">
        <f>攻击!X29</f>
        <v>0</v>
      </c>
      <c r="W29" s="93">
        <f>攻击!Y29</f>
        <v>0</v>
      </c>
      <c r="X29" s="93">
        <f>攻击!Z29</f>
        <v>0</v>
      </c>
      <c r="Y29" s="93">
        <f>攻击!AA29</f>
        <v>0</v>
      </c>
      <c r="Z29" s="93">
        <f>攻击!AB29</f>
        <v>0</v>
      </c>
      <c r="AA29" s="94">
        <f>攻击!AL29</f>
        <v>0</v>
      </c>
      <c r="AB29" s="93">
        <f>攻击!AM29</f>
        <v>0</v>
      </c>
      <c r="AC29" s="93">
        <f>攻击!AN29</f>
        <v>0</v>
      </c>
      <c r="AD29" s="93">
        <f>攻击!AO29</f>
        <v>0</v>
      </c>
      <c r="AE29" s="93">
        <f>攻击!AP29</f>
        <v>0</v>
      </c>
      <c r="AF29" s="93">
        <f>攻击!AQ29</f>
        <v>0</v>
      </c>
      <c r="AG29" s="94">
        <f>攻击!AR29</f>
        <v>12.4</v>
      </c>
      <c r="AH29" s="94">
        <f t="shared" si="0"/>
        <v>167.4</v>
      </c>
    </row>
    <row r="30" spans="1:34">
      <c r="A30" s="46">
        <v>28</v>
      </c>
      <c r="B30" s="94">
        <f>攻击!D30</f>
        <v>64</v>
      </c>
      <c r="C30" s="94">
        <f>攻击!E30</f>
        <v>76.8</v>
      </c>
      <c r="D30" s="94">
        <f>攻击!F30</f>
        <v>96</v>
      </c>
      <c r="E30" s="94">
        <f>攻击!G30</f>
        <v>128</v>
      </c>
      <c r="F30" s="94">
        <f>攻击!H30</f>
        <v>160</v>
      </c>
      <c r="G30" s="94">
        <f>攻击!I30</f>
        <v>29</v>
      </c>
      <c r="H30" s="94">
        <f>攻击!J30</f>
        <v>19.2</v>
      </c>
      <c r="I30" s="94">
        <f>攻击!K30</f>
        <v>38.4</v>
      </c>
      <c r="J30" s="94">
        <f>攻击!L30</f>
        <v>0</v>
      </c>
      <c r="K30" s="94">
        <f>攻击!M30</f>
        <v>0</v>
      </c>
      <c r="L30" s="94">
        <f>攻击!N30</f>
        <v>76.8</v>
      </c>
      <c r="M30" s="94">
        <f>攻击!O30</f>
        <v>96</v>
      </c>
      <c r="N30" s="94">
        <f>攻击!P30</f>
        <v>128</v>
      </c>
      <c r="O30" s="94">
        <f>攻击!Q30</f>
        <v>160</v>
      </c>
      <c r="P30" s="94">
        <f>攻击!R30</f>
        <v>192</v>
      </c>
      <c r="Q30" s="94">
        <f>攻击!S30</f>
        <v>224</v>
      </c>
      <c r="R30" s="94">
        <f>攻击!T30</f>
        <v>0</v>
      </c>
      <c r="S30" s="94">
        <f>攻击!U30</f>
        <v>19.2</v>
      </c>
      <c r="T30" s="94">
        <f>攻击!V30</f>
        <v>0</v>
      </c>
      <c r="U30" s="94">
        <f>攻击!W30</f>
        <v>3.2</v>
      </c>
      <c r="V30" s="93">
        <f>攻击!X30</f>
        <v>0</v>
      </c>
      <c r="W30" s="93">
        <f>攻击!Y30</f>
        <v>0</v>
      </c>
      <c r="X30" s="93">
        <f>攻击!Z30</f>
        <v>0</v>
      </c>
      <c r="Y30" s="93">
        <f>攻击!AA30</f>
        <v>0</v>
      </c>
      <c r="Z30" s="93">
        <f>攻击!AB30</f>
        <v>0</v>
      </c>
      <c r="AA30" s="94">
        <f>攻击!AL30</f>
        <v>0</v>
      </c>
      <c r="AB30" s="93">
        <f>攻击!AM30</f>
        <v>0</v>
      </c>
      <c r="AC30" s="93">
        <f>攻击!AN30</f>
        <v>0</v>
      </c>
      <c r="AD30" s="93">
        <f>攻击!AO30</f>
        <v>0</v>
      </c>
      <c r="AE30" s="93">
        <f>攻击!AP30</f>
        <v>0</v>
      </c>
      <c r="AF30" s="93">
        <f>攻击!AQ30</f>
        <v>0</v>
      </c>
      <c r="AG30" s="94">
        <f>攻击!AR30</f>
        <v>12.8</v>
      </c>
      <c r="AH30" s="94">
        <f t="shared" si="0"/>
        <v>172.8</v>
      </c>
    </row>
    <row r="31" spans="1:34">
      <c r="A31" s="46">
        <v>29</v>
      </c>
      <c r="B31" s="94">
        <f>攻击!D31</f>
        <v>66</v>
      </c>
      <c r="C31" s="94">
        <f>攻击!E31</f>
        <v>79.2</v>
      </c>
      <c r="D31" s="94">
        <f>攻击!F31</f>
        <v>99</v>
      </c>
      <c r="E31" s="94">
        <f>攻击!G31</f>
        <v>132</v>
      </c>
      <c r="F31" s="94">
        <f>攻击!H31</f>
        <v>165</v>
      </c>
      <c r="G31" s="94">
        <f>攻击!I31</f>
        <v>29</v>
      </c>
      <c r="H31" s="94">
        <f>攻击!J31</f>
        <v>19.8</v>
      </c>
      <c r="I31" s="94">
        <f>攻击!K31</f>
        <v>39.6</v>
      </c>
      <c r="J31" s="94">
        <f>攻击!L31</f>
        <v>0</v>
      </c>
      <c r="K31" s="94">
        <f>攻击!M31</f>
        <v>0</v>
      </c>
      <c r="L31" s="94">
        <f>攻击!N31</f>
        <v>79.2</v>
      </c>
      <c r="M31" s="94">
        <f>攻击!O31</f>
        <v>99</v>
      </c>
      <c r="N31" s="94">
        <f>攻击!P31</f>
        <v>132</v>
      </c>
      <c r="O31" s="94">
        <f>攻击!Q31</f>
        <v>165</v>
      </c>
      <c r="P31" s="94">
        <f>攻击!R31</f>
        <v>198</v>
      </c>
      <c r="Q31" s="94">
        <f>攻击!S31</f>
        <v>231</v>
      </c>
      <c r="R31" s="94">
        <f>攻击!T31</f>
        <v>0</v>
      </c>
      <c r="S31" s="94">
        <f>攻击!U31</f>
        <v>19.8</v>
      </c>
      <c r="T31" s="94">
        <f>攻击!V31</f>
        <v>0</v>
      </c>
      <c r="U31" s="94">
        <f>攻击!W31</f>
        <v>3.3000000000000003</v>
      </c>
      <c r="V31" s="93">
        <f>攻击!X31</f>
        <v>0</v>
      </c>
      <c r="W31" s="93">
        <f>攻击!Y31</f>
        <v>0</v>
      </c>
      <c r="X31" s="93">
        <f>攻击!Z31</f>
        <v>0</v>
      </c>
      <c r="Y31" s="93">
        <f>攻击!AA31</f>
        <v>0</v>
      </c>
      <c r="Z31" s="93">
        <f>攻击!AB31</f>
        <v>0</v>
      </c>
      <c r="AA31" s="94">
        <f>攻击!AL31</f>
        <v>0</v>
      </c>
      <c r="AB31" s="93">
        <f>攻击!AM31</f>
        <v>0</v>
      </c>
      <c r="AC31" s="93">
        <f>攻击!AN31</f>
        <v>0</v>
      </c>
      <c r="AD31" s="93">
        <f>攻击!AO31</f>
        <v>0</v>
      </c>
      <c r="AE31" s="93">
        <f>攻击!AP31</f>
        <v>0</v>
      </c>
      <c r="AF31" s="93">
        <f>攻击!AQ31</f>
        <v>0</v>
      </c>
      <c r="AG31" s="94">
        <f>攻击!AR31</f>
        <v>13.200000000000001</v>
      </c>
      <c r="AH31" s="94">
        <f t="shared" si="0"/>
        <v>178.2</v>
      </c>
    </row>
    <row r="32" spans="1:34">
      <c r="A32" s="46">
        <v>30</v>
      </c>
      <c r="B32" s="94">
        <f>攻击!D32</f>
        <v>68</v>
      </c>
      <c r="C32" s="94">
        <f>攻击!E32</f>
        <v>81.599999999999994</v>
      </c>
      <c r="D32" s="94">
        <f>攻击!F32</f>
        <v>102</v>
      </c>
      <c r="E32" s="94">
        <f>攻击!G32</f>
        <v>136</v>
      </c>
      <c r="F32" s="94">
        <f>攻击!H32</f>
        <v>170</v>
      </c>
      <c r="G32" s="94">
        <f>攻击!I32</f>
        <v>34</v>
      </c>
      <c r="H32" s="94">
        <f>攻击!J32</f>
        <v>20.399999999999999</v>
      </c>
      <c r="I32" s="94">
        <f>攻击!K32</f>
        <v>40.799999999999997</v>
      </c>
      <c r="J32" s="94">
        <f>攻击!L32</f>
        <v>0</v>
      </c>
      <c r="K32" s="94">
        <f>攻击!M32</f>
        <v>0</v>
      </c>
      <c r="L32" s="94">
        <f>攻击!N32</f>
        <v>81.599999999999994</v>
      </c>
      <c r="M32" s="94">
        <f>攻击!O32</f>
        <v>102</v>
      </c>
      <c r="N32" s="94">
        <f>攻击!P32</f>
        <v>136</v>
      </c>
      <c r="O32" s="94">
        <f>攻击!Q32</f>
        <v>170</v>
      </c>
      <c r="P32" s="94">
        <f>攻击!R32</f>
        <v>204</v>
      </c>
      <c r="Q32" s="94">
        <f>攻击!S32</f>
        <v>238</v>
      </c>
      <c r="R32" s="94">
        <f>攻击!T32</f>
        <v>51</v>
      </c>
      <c r="S32" s="94">
        <f>攻击!U32</f>
        <v>20.399999999999999</v>
      </c>
      <c r="T32" s="94">
        <f>攻击!V32</f>
        <v>20.399999999999999</v>
      </c>
      <c r="U32" s="94">
        <f>攻击!W32</f>
        <v>3.4000000000000004</v>
      </c>
      <c r="V32" s="93">
        <f>攻击!X32</f>
        <v>0</v>
      </c>
      <c r="W32" s="93">
        <f>攻击!Y32</f>
        <v>0</v>
      </c>
      <c r="X32" s="93">
        <f>攻击!Z32</f>
        <v>0</v>
      </c>
      <c r="Y32" s="93">
        <f>攻击!AA32</f>
        <v>0</v>
      </c>
      <c r="Z32" s="93">
        <f>攻击!AB32</f>
        <v>0</v>
      </c>
      <c r="AA32" s="94">
        <f>攻击!AL32</f>
        <v>0</v>
      </c>
      <c r="AB32" s="93">
        <f>攻击!AM32</f>
        <v>0</v>
      </c>
      <c r="AC32" s="93">
        <f>攻击!AN32</f>
        <v>0</v>
      </c>
      <c r="AD32" s="93">
        <f>攻击!AO32</f>
        <v>0</v>
      </c>
      <c r="AE32" s="93">
        <f>攻击!AP32</f>
        <v>0</v>
      </c>
      <c r="AF32" s="93">
        <f>攻击!AQ32</f>
        <v>0</v>
      </c>
      <c r="AG32" s="94">
        <f>攻击!AR32</f>
        <v>13.600000000000001</v>
      </c>
      <c r="AH32" s="94">
        <f t="shared" si="0"/>
        <v>183.6</v>
      </c>
    </row>
    <row r="33" spans="1:34">
      <c r="A33" s="46">
        <v>31</v>
      </c>
      <c r="B33" s="94">
        <f>攻击!D33</f>
        <v>70</v>
      </c>
      <c r="C33" s="94">
        <f>攻击!E33</f>
        <v>84</v>
      </c>
      <c r="D33" s="94">
        <f>攻击!F33</f>
        <v>105</v>
      </c>
      <c r="E33" s="94">
        <f>攻击!G33</f>
        <v>140</v>
      </c>
      <c r="F33" s="94">
        <f>攻击!H33</f>
        <v>175</v>
      </c>
      <c r="G33" s="94">
        <f>攻击!I33</f>
        <v>34</v>
      </c>
      <c r="H33" s="94">
        <f>攻击!J33</f>
        <v>21</v>
      </c>
      <c r="I33" s="94">
        <f>攻击!K33</f>
        <v>42</v>
      </c>
      <c r="J33" s="94">
        <f>攻击!L33</f>
        <v>0</v>
      </c>
      <c r="K33" s="94">
        <f>攻击!M33</f>
        <v>0</v>
      </c>
      <c r="L33" s="94">
        <f>攻击!N33</f>
        <v>84</v>
      </c>
      <c r="M33" s="94">
        <f>攻击!O33</f>
        <v>105</v>
      </c>
      <c r="N33" s="94">
        <f>攻击!P33</f>
        <v>140</v>
      </c>
      <c r="O33" s="94">
        <f>攻击!Q33</f>
        <v>175</v>
      </c>
      <c r="P33" s="94">
        <f>攻击!R33</f>
        <v>210</v>
      </c>
      <c r="Q33" s="94">
        <f>攻击!S33</f>
        <v>245</v>
      </c>
      <c r="R33" s="94">
        <f>攻击!T33</f>
        <v>52.5</v>
      </c>
      <c r="S33" s="94">
        <f>攻击!U33</f>
        <v>21</v>
      </c>
      <c r="T33" s="94">
        <f>攻击!V33</f>
        <v>21</v>
      </c>
      <c r="U33" s="94">
        <f>攻击!W33</f>
        <v>3.5</v>
      </c>
      <c r="V33" s="93">
        <f>攻击!X33</f>
        <v>0</v>
      </c>
      <c r="W33" s="93">
        <f>攻击!Y33</f>
        <v>0</v>
      </c>
      <c r="X33" s="93">
        <f>攻击!Z33</f>
        <v>0</v>
      </c>
      <c r="Y33" s="93">
        <f>攻击!AA33</f>
        <v>0</v>
      </c>
      <c r="Z33" s="93">
        <f>攻击!AB33</f>
        <v>0</v>
      </c>
      <c r="AA33" s="94">
        <f>攻击!AL33</f>
        <v>0</v>
      </c>
      <c r="AB33" s="93">
        <f>攻击!AM33</f>
        <v>0</v>
      </c>
      <c r="AC33" s="93">
        <f>攻击!AN33</f>
        <v>0</v>
      </c>
      <c r="AD33" s="93">
        <f>攻击!AO33</f>
        <v>0</v>
      </c>
      <c r="AE33" s="93">
        <f>攻击!AP33</f>
        <v>0</v>
      </c>
      <c r="AF33" s="93">
        <f>攻击!AQ33</f>
        <v>0</v>
      </c>
      <c r="AG33" s="94">
        <f>攻击!AR33</f>
        <v>14</v>
      </c>
      <c r="AH33" s="94">
        <f t="shared" si="0"/>
        <v>189</v>
      </c>
    </row>
    <row r="34" spans="1:34">
      <c r="A34" s="46">
        <v>32</v>
      </c>
      <c r="B34" s="94">
        <f>攻击!D34</f>
        <v>72</v>
      </c>
      <c r="C34" s="94">
        <f>攻击!E34</f>
        <v>86.399999999999991</v>
      </c>
      <c r="D34" s="94">
        <f>攻击!F34</f>
        <v>108</v>
      </c>
      <c r="E34" s="94">
        <f>攻击!G34</f>
        <v>144</v>
      </c>
      <c r="F34" s="94">
        <f>攻击!H34</f>
        <v>180</v>
      </c>
      <c r="G34" s="94">
        <f>攻击!I34</f>
        <v>34</v>
      </c>
      <c r="H34" s="94">
        <f>攻击!J34</f>
        <v>21.599999999999998</v>
      </c>
      <c r="I34" s="94">
        <f>攻击!K34</f>
        <v>43.199999999999996</v>
      </c>
      <c r="J34" s="94">
        <f>攻击!L34</f>
        <v>0</v>
      </c>
      <c r="K34" s="94">
        <f>攻击!M34</f>
        <v>0</v>
      </c>
      <c r="L34" s="94">
        <f>攻击!N34</f>
        <v>86.399999999999991</v>
      </c>
      <c r="M34" s="94">
        <f>攻击!O34</f>
        <v>108</v>
      </c>
      <c r="N34" s="94">
        <f>攻击!P34</f>
        <v>144</v>
      </c>
      <c r="O34" s="94">
        <f>攻击!Q34</f>
        <v>180</v>
      </c>
      <c r="P34" s="94">
        <f>攻击!R34</f>
        <v>216</v>
      </c>
      <c r="Q34" s="94">
        <f>攻击!S34</f>
        <v>252</v>
      </c>
      <c r="R34" s="94">
        <f>攻击!T34</f>
        <v>54</v>
      </c>
      <c r="S34" s="94">
        <f>攻击!U34</f>
        <v>21.599999999999998</v>
      </c>
      <c r="T34" s="94">
        <f>攻击!V34</f>
        <v>21.599999999999998</v>
      </c>
      <c r="U34" s="94">
        <f>攻击!W34</f>
        <v>3.6</v>
      </c>
      <c r="V34" s="93">
        <f>攻击!X34</f>
        <v>0</v>
      </c>
      <c r="W34" s="93">
        <f>攻击!Y34</f>
        <v>0</v>
      </c>
      <c r="X34" s="93">
        <f>攻击!Z34</f>
        <v>0</v>
      </c>
      <c r="Y34" s="93">
        <f>攻击!AA34</f>
        <v>0</v>
      </c>
      <c r="Z34" s="93">
        <f>攻击!AB34</f>
        <v>0</v>
      </c>
      <c r="AA34" s="94">
        <f>攻击!AL34</f>
        <v>0</v>
      </c>
      <c r="AB34" s="93">
        <f>攻击!AM34</f>
        <v>0</v>
      </c>
      <c r="AC34" s="93">
        <f>攻击!AN34</f>
        <v>0</v>
      </c>
      <c r="AD34" s="93">
        <f>攻击!AO34</f>
        <v>0</v>
      </c>
      <c r="AE34" s="93">
        <f>攻击!AP34</f>
        <v>0</v>
      </c>
      <c r="AF34" s="93">
        <f>攻击!AQ34</f>
        <v>0</v>
      </c>
      <c r="AG34" s="94">
        <f>攻击!AR34</f>
        <v>14.4</v>
      </c>
      <c r="AH34" s="94">
        <f t="shared" si="0"/>
        <v>194.4</v>
      </c>
    </row>
    <row r="35" spans="1:34">
      <c r="A35" s="46">
        <v>33</v>
      </c>
      <c r="B35" s="94">
        <f>攻击!D35</f>
        <v>74</v>
      </c>
      <c r="C35" s="94">
        <f>攻击!E35</f>
        <v>88.8</v>
      </c>
      <c r="D35" s="94">
        <f>攻击!F35</f>
        <v>111</v>
      </c>
      <c r="E35" s="94">
        <f>攻击!G35</f>
        <v>148</v>
      </c>
      <c r="F35" s="94">
        <f>攻击!H35</f>
        <v>185</v>
      </c>
      <c r="G35" s="94">
        <f>攻击!I35</f>
        <v>34</v>
      </c>
      <c r="H35" s="94">
        <f>攻击!J35</f>
        <v>22.2</v>
      </c>
      <c r="I35" s="94">
        <f>攻击!K35</f>
        <v>44.4</v>
      </c>
      <c r="J35" s="94">
        <f>攻击!L35</f>
        <v>0</v>
      </c>
      <c r="K35" s="94">
        <f>攻击!M35</f>
        <v>0</v>
      </c>
      <c r="L35" s="94">
        <f>攻击!N35</f>
        <v>88.8</v>
      </c>
      <c r="M35" s="94">
        <f>攻击!O35</f>
        <v>111</v>
      </c>
      <c r="N35" s="94">
        <f>攻击!P35</f>
        <v>148</v>
      </c>
      <c r="O35" s="94">
        <f>攻击!Q35</f>
        <v>185</v>
      </c>
      <c r="P35" s="94">
        <f>攻击!R35</f>
        <v>222</v>
      </c>
      <c r="Q35" s="94">
        <f>攻击!S35</f>
        <v>259</v>
      </c>
      <c r="R35" s="94">
        <f>攻击!T35</f>
        <v>55.5</v>
      </c>
      <c r="S35" s="94">
        <f>攻击!U35</f>
        <v>22.2</v>
      </c>
      <c r="T35" s="94">
        <f>攻击!V35</f>
        <v>22.2</v>
      </c>
      <c r="U35" s="94">
        <f>攻击!W35</f>
        <v>3.7</v>
      </c>
      <c r="V35" s="93">
        <f>攻击!X35</f>
        <v>0</v>
      </c>
      <c r="W35" s="93">
        <f>攻击!Y35</f>
        <v>0</v>
      </c>
      <c r="X35" s="93">
        <f>攻击!Z35</f>
        <v>0</v>
      </c>
      <c r="Y35" s="93">
        <f>攻击!AA35</f>
        <v>0</v>
      </c>
      <c r="Z35" s="93">
        <f>攻击!AB35</f>
        <v>0</v>
      </c>
      <c r="AA35" s="94">
        <f>攻击!AL35</f>
        <v>0</v>
      </c>
      <c r="AB35" s="93">
        <f>攻击!AM35</f>
        <v>0</v>
      </c>
      <c r="AC35" s="93">
        <f>攻击!AN35</f>
        <v>0</v>
      </c>
      <c r="AD35" s="93">
        <f>攻击!AO35</f>
        <v>0</v>
      </c>
      <c r="AE35" s="93">
        <f>攻击!AP35</f>
        <v>0</v>
      </c>
      <c r="AF35" s="93">
        <f>攻击!AQ35</f>
        <v>0</v>
      </c>
      <c r="AG35" s="94">
        <f>攻击!AR35</f>
        <v>14.8</v>
      </c>
      <c r="AH35" s="94">
        <f t="shared" si="0"/>
        <v>199.8</v>
      </c>
    </row>
    <row r="36" spans="1:34">
      <c r="A36" s="46">
        <v>34</v>
      </c>
      <c r="B36" s="94">
        <f>攻击!D36</f>
        <v>76</v>
      </c>
      <c r="C36" s="94">
        <f>攻击!E36</f>
        <v>91.2</v>
      </c>
      <c r="D36" s="94">
        <f>攻击!F36</f>
        <v>114</v>
      </c>
      <c r="E36" s="94">
        <f>攻击!G36</f>
        <v>152</v>
      </c>
      <c r="F36" s="94">
        <f>攻击!H36</f>
        <v>190</v>
      </c>
      <c r="G36" s="94">
        <f>攻击!I36</f>
        <v>34</v>
      </c>
      <c r="H36" s="94">
        <f>攻击!J36</f>
        <v>22.8</v>
      </c>
      <c r="I36" s="94">
        <f>攻击!K36</f>
        <v>45.6</v>
      </c>
      <c r="J36" s="94">
        <f>攻击!L36</f>
        <v>0</v>
      </c>
      <c r="K36" s="94">
        <f>攻击!M36</f>
        <v>0</v>
      </c>
      <c r="L36" s="94">
        <f>攻击!N36</f>
        <v>91.2</v>
      </c>
      <c r="M36" s="94">
        <f>攻击!O36</f>
        <v>114</v>
      </c>
      <c r="N36" s="94">
        <f>攻击!P36</f>
        <v>152</v>
      </c>
      <c r="O36" s="94">
        <f>攻击!Q36</f>
        <v>190</v>
      </c>
      <c r="P36" s="94">
        <f>攻击!R36</f>
        <v>228</v>
      </c>
      <c r="Q36" s="94">
        <f>攻击!S36</f>
        <v>266</v>
      </c>
      <c r="R36" s="94">
        <f>攻击!T36</f>
        <v>57</v>
      </c>
      <c r="S36" s="94">
        <f>攻击!U36</f>
        <v>22.8</v>
      </c>
      <c r="T36" s="94">
        <f>攻击!V36</f>
        <v>22.8</v>
      </c>
      <c r="U36" s="94">
        <f>攻击!W36</f>
        <v>3.8000000000000003</v>
      </c>
      <c r="V36" s="93">
        <f>攻击!X36</f>
        <v>0</v>
      </c>
      <c r="W36" s="93">
        <f>攻击!Y36</f>
        <v>0</v>
      </c>
      <c r="X36" s="93">
        <f>攻击!Z36</f>
        <v>0</v>
      </c>
      <c r="Y36" s="93">
        <f>攻击!AA36</f>
        <v>0</v>
      </c>
      <c r="Z36" s="93">
        <f>攻击!AB36</f>
        <v>0</v>
      </c>
      <c r="AA36" s="94">
        <f>攻击!AL36</f>
        <v>0</v>
      </c>
      <c r="AB36" s="93">
        <f>攻击!AM36</f>
        <v>0</v>
      </c>
      <c r="AC36" s="93">
        <f>攻击!AN36</f>
        <v>0</v>
      </c>
      <c r="AD36" s="93">
        <f>攻击!AO36</f>
        <v>0</v>
      </c>
      <c r="AE36" s="93">
        <f>攻击!AP36</f>
        <v>0</v>
      </c>
      <c r="AF36" s="93">
        <f>攻击!AQ36</f>
        <v>0</v>
      </c>
      <c r="AG36" s="94">
        <f>攻击!AR36</f>
        <v>15.200000000000001</v>
      </c>
      <c r="AH36" s="94">
        <f t="shared" si="0"/>
        <v>205.2</v>
      </c>
    </row>
    <row r="37" spans="1:34">
      <c r="A37" s="46">
        <v>35</v>
      </c>
      <c r="B37" s="94">
        <f>攻击!D37</f>
        <v>78</v>
      </c>
      <c r="C37" s="94">
        <f>攻击!E37</f>
        <v>93.6</v>
      </c>
      <c r="D37" s="94">
        <f>攻击!F37</f>
        <v>117</v>
      </c>
      <c r="E37" s="94">
        <f>攻击!G37</f>
        <v>156</v>
      </c>
      <c r="F37" s="94">
        <f>攻击!H37</f>
        <v>195</v>
      </c>
      <c r="G37" s="94">
        <f>攻击!I37</f>
        <v>39</v>
      </c>
      <c r="H37" s="94">
        <f>攻击!J37</f>
        <v>23.4</v>
      </c>
      <c r="I37" s="94">
        <f>攻击!K37</f>
        <v>46.8</v>
      </c>
      <c r="J37" s="94">
        <f>攻击!L37</f>
        <v>0</v>
      </c>
      <c r="K37" s="94">
        <f>攻击!M37</f>
        <v>0</v>
      </c>
      <c r="L37" s="94">
        <f>攻击!N37</f>
        <v>93.6</v>
      </c>
      <c r="M37" s="94">
        <f>攻击!O37</f>
        <v>117</v>
      </c>
      <c r="N37" s="94">
        <f>攻击!P37</f>
        <v>156</v>
      </c>
      <c r="O37" s="94">
        <f>攻击!Q37</f>
        <v>195</v>
      </c>
      <c r="P37" s="94">
        <f>攻击!R37</f>
        <v>234</v>
      </c>
      <c r="Q37" s="94">
        <f>攻击!S37</f>
        <v>273</v>
      </c>
      <c r="R37" s="94">
        <f>攻击!T37</f>
        <v>58.5</v>
      </c>
      <c r="S37" s="94">
        <f>攻击!U37</f>
        <v>23.4</v>
      </c>
      <c r="T37" s="94">
        <f>攻击!V37</f>
        <v>23.4</v>
      </c>
      <c r="U37" s="94">
        <f>攻击!W37</f>
        <v>3.9000000000000004</v>
      </c>
      <c r="V37" s="93">
        <f>攻击!X37</f>
        <v>0</v>
      </c>
      <c r="W37" s="93">
        <f>攻击!Y37</f>
        <v>0</v>
      </c>
      <c r="X37" s="93">
        <f>攻击!Z37</f>
        <v>0</v>
      </c>
      <c r="Y37" s="93">
        <f>攻击!AA37</f>
        <v>0</v>
      </c>
      <c r="Z37" s="93">
        <f>攻击!AB37</f>
        <v>0</v>
      </c>
      <c r="AA37" s="94">
        <f>攻击!AL37</f>
        <v>0</v>
      </c>
      <c r="AB37" s="93">
        <f>攻击!AM37</f>
        <v>0</v>
      </c>
      <c r="AC37" s="93">
        <f>攻击!AN37</f>
        <v>0</v>
      </c>
      <c r="AD37" s="93">
        <f>攻击!AO37</f>
        <v>0</v>
      </c>
      <c r="AE37" s="93">
        <f>攻击!AP37</f>
        <v>0</v>
      </c>
      <c r="AF37" s="93">
        <f>攻击!AQ37</f>
        <v>0</v>
      </c>
      <c r="AG37" s="94">
        <f>攻击!AR37</f>
        <v>15.600000000000001</v>
      </c>
      <c r="AH37" s="94">
        <f t="shared" si="0"/>
        <v>210.6</v>
      </c>
    </row>
    <row r="38" spans="1:34">
      <c r="A38" s="46">
        <v>36</v>
      </c>
      <c r="B38" s="94">
        <f>攻击!D38</f>
        <v>80</v>
      </c>
      <c r="C38" s="94">
        <f>攻击!E38</f>
        <v>96</v>
      </c>
      <c r="D38" s="94">
        <f>攻击!F38</f>
        <v>120</v>
      </c>
      <c r="E38" s="94">
        <f>攻击!G38</f>
        <v>160</v>
      </c>
      <c r="F38" s="94">
        <f>攻击!H38</f>
        <v>200</v>
      </c>
      <c r="G38" s="94">
        <f>攻击!I38</f>
        <v>39</v>
      </c>
      <c r="H38" s="94">
        <f>攻击!J38</f>
        <v>24</v>
      </c>
      <c r="I38" s="94">
        <f>攻击!K38</f>
        <v>48</v>
      </c>
      <c r="J38" s="94">
        <f>攻击!L38</f>
        <v>0</v>
      </c>
      <c r="K38" s="94">
        <f>攻击!M38</f>
        <v>0</v>
      </c>
      <c r="L38" s="94">
        <f>攻击!N38</f>
        <v>96</v>
      </c>
      <c r="M38" s="94">
        <f>攻击!O38</f>
        <v>120</v>
      </c>
      <c r="N38" s="94">
        <f>攻击!P38</f>
        <v>160</v>
      </c>
      <c r="O38" s="94">
        <f>攻击!Q38</f>
        <v>200</v>
      </c>
      <c r="P38" s="94">
        <f>攻击!R38</f>
        <v>240</v>
      </c>
      <c r="Q38" s="94">
        <f>攻击!S38</f>
        <v>280</v>
      </c>
      <c r="R38" s="94">
        <f>攻击!T38</f>
        <v>60</v>
      </c>
      <c r="S38" s="94">
        <f>攻击!U38</f>
        <v>24</v>
      </c>
      <c r="T38" s="94">
        <f>攻击!V38</f>
        <v>24</v>
      </c>
      <c r="U38" s="94">
        <f>攻击!W38</f>
        <v>4</v>
      </c>
      <c r="V38" s="93">
        <f>攻击!X38</f>
        <v>0</v>
      </c>
      <c r="W38" s="93">
        <f>攻击!Y38</f>
        <v>0</v>
      </c>
      <c r="X38" s="93">
        <f>攻击!Z38</f>
        <v>0</v>
      </c>
      <c r="Y38" s="93">
        <f>攻击!AA38</f>
        <v>0</v>
      </c>
      <c r="Z38" s="93">
        <f>攻击!AB38</f>
        <v>0</v>
      </c>
      <c r="AA38" s="94">
        <f>攻击!AL38</f>
        <v>0</v>
      </c>
      <c r="AB38" s="93">
        <f>攻击!AM38</f>
        <v>0</v>
      </c>
      <c r="AC38" s="93">
        <f>攻击!AN38</f>
        <v>0</v>
      </c>
      <c r="AD38" s="93">
        <f>攻击!AO38</f>
        <v>0</v>
      </c>
      <c r="AE38" s="93">
        <f>攻击!AP38</f>
        <v>0</v>
      </c>
      <c r="AF38" s="93">
        <f>攻击!AQ38</f>
        <v>0</v>
      </c>
      <c r="AG38" s="94">
        <f>攻击!AR38</f>
        <v>16</v>
      </c>
      <c r="AH38" s="94">
        <f t="shared" si="0"/>
        <v>216</v>
      </c>
    </row>
    <row r="39" spans="1:34">
      <c r="A39" s="46">
        <v>37</v>
      </c>
      <c r="B39" s="94">
        <f>攻击!D39</f>
        <v>82</v>
      </c>
      <c r="C39" s="94">
        <f>攻击!E39</f>
        <v>98.399999999999991</v>
      </c>
      <c r="D39" s="94">
        <f>攻击!F39</f>
        <v>123</v>
      </c>
      <c r="E39" s="94">
        <f>攻击!G39</f>
        <v>164</v>
      </c>
      <c r="F39" s="94">
        <f>攻击!H39</f>
        <v>205</v>
      </c>
      <c r="G39" s="94">
        <f>攻击!I39</f>
        <v>39</v>
      </c>
      <c r="H39" s="94">
        <f>攻击!J39</f>
        <v>24.599999999999998</v>
      </c>
      <c r="I39" s="94">
        <f>攻击!K39</f>
        <v>49.199999999999996</v>
      </c>
      <c r="J39" s="94">
        <f>攻击!L39</f>
        <v>0</v>
      </c>
      <c r="K39" s="94">
        <f>攻击!M39</f>
        <v>0</v>
      </c>
      <c r="L39" s="94">
        <f>攻击!N39</f>
        <v>98.399999999999991</v>
      </c>
      <c r="M39" s="94">
        <f>攻击!O39</f>
        <v>123</v>
      </c>
      <c r="N39" s="94">
        <f>攻击!P39</f>
        <v>164</v>
      </c>
      <c r="O39" s="94">
        <f>攻击!Q39</f>
        <v>205</v>
      </c>
      <c r="P39" s="94">
        <f>攻击!R39</f>
        <v>246</v>
      </c>
      <c r="Q39" s="94">
        <f>攻击!S39</f>
        <v>287</v>
      </c>
      <c r="R39" s="94">
        <f>攻击!T39</f>
        <v>61.5</v>
      </c>
      <c r="S39" s="94">
        <f>攻击!U39</f>
        <v>24.599999999999998</v>
      </c>
      <c r="T39" s="94">
        <f>攻击!V39</f>
        <v>24.599999999999998</v>
      </c>
      <c r="U39" s="94">
        <f>攻击!W39</f>
        <v>4.1000000000000005</v>
      </c>
      <c r="V39" s="93">
        <f>攻击!X39</f>
        <v>0</v>
      </c>
      <c r="W39" s="93">
        <f>攻击!Y39</f>
        <v>0</v>
      </c>
      <c r="X39" s="93">
        <f>攻击!Z39</f>
        <v>0</v>
      </c>
      <c r="Y39" s="93">
        <f>攻击!AA39</f>
        <v>0</v>
      </c>
      <c r="Z39" s="93">
        <f>攻击!AB39</f>
        <v>0</v>
      </c>
      <c r="AA39" s="94">
        <f>攻击!AL39</f>
        <v>0</v>
      </c>
      <c r="AB39" s="93">
        <f>攻击!AM39</f>
        <v>0</v>
      </c>
      <c r="AC39" s="93">
        <f>攻击!AN39</f>
        <v>0</v>
      </c>
      <c r="AD39" s="93">
        <f>攻击!AO39</f>
        <v>0</v>
      </c>
      <c r="AE39" s="93">
        <f>攻击!AP39</f>
        <v>0</v>
      </c>
      <c r="AF39" s="93">
        <f>攻击!AQ39</f>
        <v>0</v>
      </c>
      <c r="AG39" s="94">
        <f>攻击!AR39</f>
        <v>16.400000000000002</v>
      </c>
      <c r="AH39" s="94">
        <f t="shared" si="0"/>
        <v>221.4</v>
      </c>
    </row>
    <row r="40" spans="1:34">
      <c r="A40" s="46">
        <v>38</v>
      </c>
      <c r="B40" s="94">
        <f>攻击!D40</f>
        <v>84</v>
      </c>
      <c r="C40" s="94">
        <f>攻击!E40</f>
        <v>100.8</v>
      </c>
      <c r="D40" s="94">
        <f>攻击!F40</f>
        <v>126</v>
      </c>
      <c r="E40" s="94">
        <f>攻击!G40</f>
        <v>168</v>
      </c>
      <c r="F40" s="94">
        <f>攻击!H40</f>
        <v>210</v>
      </c>
      <c r="G40" s="94">
        <f>攻击!I40</f>
        <v>39</v>
      </c>
      <c r="H40" s="94">
        <f>攻击!J40</f>
        <v>25.2</v>
      </c>
      <c r="I40" s="94">
        <f>攻击!K40</f>
        <v>50.4</v>
      </c>
      <c r="J40" s="94">
        <f>攻击!L40</f>
        <v>0</v>
      </c>
      <c r="K40" s="94">
        <f>攻击!M40</f>
        <v>0</v>
      </c>
      <c r="L40" s="94">
        <f>攻击!N40</f>
        <v>100.8</v>
      </c>
      <c r="M40" s="94">
        <f>攻击!O40</f>
        <v>126</v>
      </c>
      <c r="N40" s="94">
        <f>攻击!P40</f>
        <v>168</v>
      </c>
      <c r="O40" s="94">
        <f>攻击!Q40</f>
        <v>210</v>
      </c>
      <c r="P40" s="94">
        <f>攻击!R40</f>
        <v>252</v>
      </c>
      <c r="Q40" s="94">
        <f>攻击!S40</f>
        <v>294</v>
      </c>
      <c r="R40" s="94">
        <f>攻击!T40</f>
        <v>63</v>
      </c>
      <c r="S40" s="94">
        <f>攻击!U40</f>
        <v>25.2</v>
      </c>
      <c r="T40" s="94">
        <f>攻击!V40</f>
        <v>25.2</v>
      </c>
      <c r="U40" s="94">
        <f>攻击!W40</f>
        <v>4.2</v>
      </c>
      <c r="V40" s="93">
        <f>攻击!X40</f>
        <v>0</v>
      </c>
      <c r="W40" s="93">
        <f>攻击!Y40</f>
        <v>0</v>
      </c>
      <c r="X40" s="93">
        <f>攻击!Z40</f>
        <v>0</v>
      </c>
      <c r="Y40" s="93">
        <f>攻击!AA40</f>
        <v>0</v>
      </c>
      <c r="Z40" s="93">
        <f>攻击!AB40</f>
        <v>0</v>
      </c>
      <c r="AA40" s="94">
        <f>攻击!AL40</f>
        <v>0</v>
      </c>
      <c r="AB40" s="93">
        <f>攻击!AM40</f>
        <v>0</v>
      </c>
      <c r="AC40" s="93">
        <f>攻击!AN40</f>
        <v>0</v>
      </c>
      <c r="AD40" s="93">
        <f>攻击!AO40</f>
        <v>0</v>
      </c>
      <c r="AE40" s="93">
        <f>攻击!AP40</f>
        <v>0</v>
      </c>
      <c r="AF40" s="93">
        <f>攻击!AQ40</f>
        <v>0</v>
      </c>
      <c r="AG40" s="94">
        <f>攻击!AR40</f>
        <v>16.8</v>
      </c>
      <c r="AH40" s="94">
        <f t="shared" si="0"/>
        <v>226.8</v>
      </c>
    </row>
    <row r="41" spans="1:34">
      <c r="A41" s="46">
        <v>39</v>
      </c>
      <c r="B41" s="94">
        <f>攻击!D41</f>
        <v>86</v>
      </c>
      <c r="C41" s="94">
        <f>攻击!E41</f>
        <v>103.2</v>
      </c>
      <c r="D41" s="94">
        <f>攻击!F41</f>
        <v>129</v>
      </c>
      <c r="E41" s="94">
        <f>攻击!G41</f>
        <v>172</v>
      </c>
      <c r="F41" s="94">
        <f>攻击!H41</f>
        <v>215</v>
      </c>
      <c r="G41" s="94">
        <f>攻击!I41</f>
        <v>39</v>
      </c>
      <c r="H41" s="94">
        <f>攻击!J41</f>
        <v>25.8</v>
      </c>
      <c r="I41" s="94">
        <f>攻击!K41</f>
        <v>51.6</v>
      </c>
      <c r="J41" s="94">
        <f>攻击!L41</f>
        <v>0</v>
      </c>
      <c r="K41" s="94">
        <f>攻击!M41</f>
        <v>0</v>
      </c>
      <c r="L41" s="94">
        <f>攻击!N41</f>
        <v>103.2</v>
      </c>
      <c r="M41" s="94">
        <f>攻击!O41</f>
        <v>129</v>
      </c>
      <c r="N41" s="94">
        <f>攻击!P41</f>
        <v>172</v>
      </c>
      <c r="O41" s="94">
        <f>攻击!Q41</f>
        <v>215</v>
      </c>
      <c r="P41" s="94">
        <f>攻击!R41</f>
        <v>258</v>
      </c>
      <c r="Q41" s="94">
        <f>攻击!S41</f>
        <v>301</v>
      </c>
      <c r="R41" s="94">
        <f>攻击!T41</f>
        <v>64.5</v>
      </c>
      <c r="S41" s="94">
        <f>攻击!U41</f>
        <v>25.8</v>
      </c>
      <c r="T41" s="94">
        <f>攻击!V41</f>
        <v>25.8</v>
      </c>
      <c r="U41" s="94">
        <f>攻击!W41</f>
        <v>4.3</v>
      </c>
      <c r="V41" s="93">
        <f>攻击!X41</f>
        <v>0</v>
      </c>
      <c r="W41" s="93">
        <f>攻击!Y41</f>
        <v>0</v>
      </c>
      <c r="X41" s="93">
        <f>攻击!Z41</f>
        <v>0</v>
      </c>
      <c r="Y41" s="93">
        <f>攻击!AA41</f>
        <v>0</v>
      </c>
      <c r="Z41" s="93">
        <f>攻击!AB41</f>
        <v>0</v>
      </c>
      <c r="AA41" s="94">
        <f>攻击!AL41</f>
        <v>0</v>
      </c>
      <c r="AB41" s="93">
        <f>攻击!AM41</f>
        <v>0</v>
      </c>
      <c r="AC41" s="93">
        <f>攻击!AN41</f>
        <v>0</v>
      </c>
      <c r="AD41" s="93">
        <f>攻击!AO41</f>
        <v>0</v>
      </c>
      <c r="AE41" s="93">
        <f>攻击!AP41</f>
        <v>0</v>
      </c>
      <c r="AF41" s="93">
        <f>攻击!AQ41</f>
        <v>0</v>
      </c>
      <c r="AG41" s="94">
        <f>攻击!AR41</f>
        <v>17.2</v>
      </c>
      <c r="AH41" s="94">
        <f t="shared" si="0"/>
        <v>232.2</v>
      </c>
    </row>
    <row r="42" spans="1:34">
      <c r="A42" s="46">
        <v>40</v>
      </c>
      <c r="B42" s="94">
        <f>攻击!D42</f>
        <v>88</v>
      </c>
      <c r="C42" s="94">
        <f>攻击!E42</f>
        <v>105.6</v>
      </c>
      <c r="D42" s="94">
        <f>攻击!F42</f>
        <v>132</v>
      </c>
      <c r="E42" s="94">
        <f>攻击!G42</f>
        <v>176</v>
      </c>
      <c r="F42" s="94">
        <f>攻击!H42</f>
        <v>220</v>
      </c>
      <c r="G42" s="94">
        <f>攻击!I42</f>
        <v>44</v>
      </c>
      <c r="H42" s="94">
        <f>攻击!J42</f>
        <v>26.4</v>
      </c>
      <c r="I42" s="94">
        <f>攻击!K42</f>
        <v>52.8</v>
      </c>
      <c r="J42" s="94">
        <f>攻击!L42</f>
        <v>0</v>
      </c>
      <c r="K42" s="94">
        <f>攻击!M42</f>
        <v>0</v>
      </c>
      <c r="L42" s="94">
        <f>攻击!N42</f>
        <v>105.6</v>
      </c>
      <c r="M42" s="94">
        <f>攻击!O42</f>
        <v>132</v>
      </c>
      <c r="N42" s="94">
        <f>攻击!P42</f>
        <v>176</v>
      </c>
      <c r="O42" s="94">
        <f>攻击!Q42</f>
        <v>220</v>
      </c>
      <c r="P42" s="94">
        <f>攻击!R42</f>
        <v>264</v>
      </c>
      <c r="Q42" s="94">
        <f>攻击!S42</f>
        <v>308</v>
      </c>
      <c r="R42" s="94">
        <f>攻击!T42</f>
        <v>66</v>
      </c>
      <c r="S42" s="94">
        <f>攻击!U42</f>
        <v>26.4</v>
      </c>
      <c r="T42" s="94">
        <f>攻击!V42</f>
        <v>26.4</v>
      </c>
      <c r="U42" s="94">
        <f>攻击!W42</f>
        <v>4.4000000000000004</v>
      </c>
      <c r="V42" s="93">
        <f>攻击!X42</f>
        <v>0</v>
      </c>
      <c r="W42" s="93">
        <f>攻击!Y42</f>
        <v>0</v>
      </c>
      <c r="X42" s="93">
        <f>攻击!Z42</f>
        <v>0</v>
      </c>
      <c r="Y42" s="93">
        <f>攻击!AA42</f>
        <v>0</v>
      </c>
      <c r="Z42" s="93">
        <f>攻击!AB42</f>
        <v>0</v>
      </c>
      <c r="AA42" s="94">
        <f>攻击!AL42</f>
        <v>0</v>
      </c>
      <c r="AB42" s="93">
        <f>攻击!AM42</f>
        <v>0</v>
      </c>
      <c r="AC42" s="93">
        <f>攻击!AN42</f>
        <v>0</v>
      </c>
      <c r="AD42" s="93">
        <f>攻击!AO42</f>
        <v>0</v>
      </c>
      <c r="AE42" s="93">
        <f>攻击!AP42</f>
        <v>0</v>
      </c>
      <c r="AF42" s="93">
        <f>攻击!AQ42</f>
        <v>0</v>
      </c>
      <c r="AG42" s="94">
        <f>攻击!AR42</f>
        <v>17.600000000000001</v>
      </c>
      <c r="AH42" s="94">
        <f t="shared" si="0"/>
        <v>237.6</v>
      </c>
    </row>
    <row r="43" spans="1:34">
      <c r="A43" s="46">
        <v>41</v>
      </c>
      <c r="B43" s="94">
        <f>攻击!D43</f>
        <v>90</v>
      </c>
      <c r="C43" s="94">
        <f>攻击!E43</f>
        <v>108</v>
      </c>
      <c r="D43" s="94">
        <f>攻击!F43</f>
        <v>135</v>
      </c>
      <c r="E43" s="94">
        <f>攻击!G43</f>
        <v>180</v>
      </c>
      <c r="F43" s="94">
        <f>攻击!H43</f>
        <v>225</v>
      </c>
      <c r="G43" s="94">
        <f>攻击!I43</f>
        <v>44</v>
      </c>
      <c r="H43" s="94">
        <f>攻击!J43</f>
        <v>27</v>
      </c>
      <c r="I43" s="94">
        <f>攻击!K43</f>
        <v>54</v>
      </c>
      <c r="J43" s="94">
        <f>攻击!L43</f>
        <v>0</v>
      </c>
      <c r="K43" s="94">
        <f>攻击!M43</f>
        <v>0</v>
      </c>
      <c r="L43" s="94">
        <f>攻击!N43</f>
        <v>108</v>
      </c>
      <c r="M43" s="94">
        <f>攻击!O43</f>
        <v>135</v>
      </c>
      <c r="N43" s="94">
        <f>攻击!P43</f>
        <v>180</v>
      </c>
      <c r="O43" s="94">
        <f>攻击!Q43</f>
        <v>225</v>
      </c>
      <c r="P43" s="94">
        <f>攻击!R43</f>
        <v>270</v>
      </c>
      <c r="Q43" s="94">
        <f>攻击!S43</f>
        <v>315</v>
      </c>
      <c r="R43" s="94">
        <f>攻击!T43</f>
        <v>67.5</v>
      </c>
      <c r="S43" s="94">
        <f>攻击!U43</f>
        <v>27</v>
      </c>
      <c r="T43" s="94">
        <f>攻击!V43</f>
        <v>27</v>
      </c>
      <c r="U43" s="94">
        <f>攻击!W43</f>
        <v>4.5</v>
      </c>
      <c r="V43" s="93">
        <f>攻击!X43</f>
        <v>0</v>
      </c>
      <c r="W43" s="93">
        <f>攻击!Y43</f>
        <v>0</v>
      </c>
      <c r="X43" s="93">
        <f>攻击!Z43</f>
        <v>0</v>
      </c>
      <c r="Y43" s="93">
        <f>攻击!AA43</f>
        <v>0</v>
      </c>
      <c r="Z43" s="93">
        <f>攻击!AB43</f>
        <v>0</v>
      </c>
      <c r="AA43" s="94">
        <f>攻击!AL43</f>
        <v>0</v>
      </c>
      <c r="AB43" s="93">
        <f>攻击!AM43</f>
        <v>0</v>
      </c>
      <c r="AC43" s="93">
        <f>攻击!AN43</f>
        <v>0</v>
      </c>
      <c r="AD43" s="93">
        <f>攻击!AO43</f>
        <v>0</v>
      </c>
      <c r="AE43" s="93">
        <f>攻击!AP43</f>
        <v>0</v>
      </c>
      <c r="AF43" s="93">
        <f>攻击!AQ43</f>
        <v>0</v>
      </c>
      <c r="AG43" s="94">
        <f>攻击!AR43</f>
        <v>18</v>
      </c>
      <c r="AH43" s="94">
        <f t="shared" si="0"/>
        <v>243</v>
      </c>
    </row>
    <row r="44" spans="1:34">
      <c r="A44" s="46">
        <v>42</v>
      </c>
      <c r="B44" s="94">
        <f>攻击!D44</f>
        <v>92</v>
      </c>
      <c r="C44" s="94">
        <f>攻击!E44</f>
        <v>110.39999999999999</v>
      </c>
      <c r="D44" s="94">
        <f>攻击!F44</f>
        <v>138</v>
      </c>
      <c r="E44" s="94">
        <f>攻击!G44</f>
        <v>184</v>
      </c>
      <c r="F44" s="94">
        <f>攻击!H44</f>
        <v>230</v>
      </c>
      <c r="G44" s="94">
        <f>攻击!I44</f>
        <v>44</v>
      </c>
      <c r="H44" s="94">
        <f>攻击!J44</f>
        <v>27.599999999999998</v>
      </c>
      <c r="I44" s="94">
        <f>攻击!K44</f>
        <v>55.199999999999996</v>
      </c>
      <c r="J44" s="94">
        <f>攻击!L44</f>
        <v>0</v>
      </c>
      <c r="K44" s="94">
        <f>攻击!M44</f>
        <v>0</v>
      </c>
      <c r="L44" s="94">
        <f>攻击!N44</f>
        <v>110.39999999999999</v>
      </c>
      <c r="M44" s="94">
        <f>攻击!O44</f>
        <v>138</v>
      </c>
      <c r="N44" s="94">
        <f>攻击!P44</f>
        <v>184</v>
      </c>
      <c r="O44" s="94">
        <f>攻击!Q44</f>
        <v>230</v>
      </c>
      <c r="P44" s="94">
        <f>攻击!R44</f>
        <v>276</v>
      </c>
      <c r="Q44" s="94">
        <f>攻击!S44</f>
        <v>322</v>
      </c>
      <c r="R44" s="94">
        <f>攻击!T44</f>
        <v>69</v>
      </c>
      <c r="S44" s="94">
        <f>攻击!U44</f>
        <v>27.599999999999998</v>
      </c>
      <c r="T44" s="94">
        <f>攻击!V44</f>
        <v>27.599999999999998</v>
      </c>
      <c r="U44" s="94">
        <f>攻击!W44</f>
        <v>4.6000000000000005</v>
      </c>
      <c r="V44" s="93">
        <f>攻击!X44</f>
        <v>0</v>
      </c>
      <c r="W44" s="93">
        <f>攻击!Y44</f>
        <v>0</v>
      </c>
      <c r="X44" s="93">
        <f>攻击!Z44</f>
        <v>0</v>
      </c>
      <c r="Y44" s="93">
        <f>攻击!AA44</f>
        <v>0</v>
      </c>
      <c r="Z44" s="93">
        <f>攻击!AB44</f>
        <v>0</v>
      </c>
      <c r="AA44" s="94">
        <f>攻击!AL44</f>
        <v>0</v>
      </c>
      <c r="AB44" s="93">
        <f>攻击!AM44</f>
        <v>0</v>
      </c>
      <c r="AC44" s="93">
        <f>攻击!AN44</f>
        <v>0</v>
      </c>
      <c r="AD44" s="93">
        <f>攻击!AO44</f>
        <v>0</v>
      </c>
      <c r="AE44" s="93">
        <f>攻击!AP44</f>
        <v>0</v>
      </c>
      <c r="AF44" s="93">
        <f>攻击!AQ44</f>
        <v>0</v>
      </c>
      <c r="AG44" s="94">
        <f>攻击!AR44</f>
        <v>18.400000000000002</v>
      </c>
      <c r="AH44" s="94">
        <f t="shared" si="0"/>
        <v>248.4</v>
      </c>
    </row>
    <row r="45" spans="1:34">
      <c r="A45" s="46">
        <v>43</v>
      </c>
      <c r="B45" s="94">
        <f>攻击!D45</f>
        <v>94</v>
      </c>
      <c r="C45" s="94">
        <f>攻击!E45</f>
        <v>112.8</v>
      </c>
      <c r="D45" s="94">
        <f>攻击!F45</f>
        <v>141</v>
      </c>
      <c r="E45" s="94">
        <f>攻击!G45</f>
        <v>188</v>
      </c>
      <c r="F45" s="94">
        <f>攻击!H45</f>
        <v>235</v>
      </c>
      <c r="G45" s="94">
        <f>攻击!I45</f>
        <v>44</v>
      </c>
      <c r="H45" s="94">
        <f>攻击!J45</f>
        <v>28.2</v>
      </c>
      <c r="I45" s="94">
        <f>攻击!K45</f>
        <v>56.4</v>
      </c>
      <c r="J45" s="94">
        <f>攻击!L45</f>
        <v>0</v>
      </c>
      <c r="K45" s="94">
        <f>攻击!M45</f>
        <v>0</v>
      </c>
      <c r="L45" s="94">
        <f>攻击!N45</f>
        <v>112.8</v>
      </c>
      <c r="M45" s="94">
        <f>攻击!O45</f>
        <v>141</v>
      </c>
      <c r="N45" s="94">
        <f>攻击!P45</f>
        <v>188</v>
      </c>
      <c r="O45" s="94">
        <f>攻击!Q45</f>
        <v>235</v>
      </c>
      <c r="P45" s="94">
        <f>攻击!R45</f>
        <v>282</v>
      </c>
      <c r="Q45" s="94">
        <f>攻击!S45</f>
        <v>329</v>
      </c>
      <c r="R45" s="94">
        <f>攻击!T45</f>
        <v>70.5</v>
      </c>
      <c r="S45" s="94">
        <f>攻击!U45</f>
        <v>28.2</v>
      </c>
      <c r="T45" s="94">
        <f>攻击!V45</f>
        <v>28.2</v>
      </c>
      <c r="U45" s="94">
        <f>攻击!W45</f>
        <v>4.7</v>
      </c>
      <c r="V45" s="93">
        <f>攻击!X45</f>
        <v>0</v>
      </c>
      <c r="W45" s="93">
        <f>攻击!Y45</f>
        <v>0</v>
      </c>
      <c r="X45" s="93">
        <f>攻击!Z45</f>
        <v>0</v>
      </c>
      <c r="Y45" s="93">
        <f>攻击!AA45</f>
        <v>0</v>
      </c>
      <c r="Z45" s="93">
        <f>攻击!AB45</f>
        <v>0</v>
      </c>
      <c r="AA45" s="94">
        <f>攻击!AL45</f>
        <v>0</v>
      </c>
      <c r="AB45" s="93">
        <f>攻击!AM45</f>
        <v>0</v>
      </c>
      <c r="AC45" s="93">
        <f>攻击!AN45</f>
        <v>0</v>
      </c>
      <c r="AD45" s="93">
        <f>攻击!AO45</f>
        <v>0</v>
      </c>
      <c r="AE45" s="93">
        <f>攻击!AP45</f>
        <v>0</v>
      </c>
      <c r="AF45" s="93">
        <f>攻击!AQ45</f>
        <v>0</v>
      </c>
      <c r="AG45" s="94">
        <f>攻击!AR45</f>
        <v>18.8</v>
      </c>
      <c r="AH45" s="94">
        <f t="shared" si="0"/>
        <v>253.8</v>
      </c>
    </row>
    <row r="46" spans="1:34">
      <c r="A46" s="46">
        <v>44</v>
      </c>
      <c r="B46" s="94">
        <f>攻击!D46</f>
        <v>96</v>
      </c>
      <c r="C46" s="94">
        <f>攻击!E46</f>
        <v>115.19999999999999</v>
      </c>
      <c r="D46" s="94">
        <f>攻击!F46</f>
        <v>144</v>
      </c>
      <c r="E46" s="94">
        <f>攻击!G46</f>
        <v>192</v>
      </c>
      <c r="F46" s="94">
        <f>攻击!H46</f>
        <v>240</v>
      </c>
      <c r="G46" s="94">
        <f>攻击!I46</f>
        <v>44</v>
      </c>
      <c r="H46" s="94">
        <f>攻击!J46</f>
        <v>28.799999999999997</v>
      </c>
      <c r="I46" s="94">
        <f>攻击!K46</f>
        <v>57.599999999999994</v>
      </c>
      <c r="J46" s="94">
        <f>攻击!L46</f>
        <v>0</v>
      </c>
      <c r="K46" s="94">
        <f>攻击!M46</f>
        <v>0</v>
      </c>
      <c r="L46" s="94">
        <f>攻击!N46</f>
        <v>115.19999999999999</v>
      </c>
      <c r="M46" s="94">
        <f>攻击!O46</f>
        <v>144</v>
      </c>
      <c r="N46" s="94">
        <f>攻击!P46</f>
        <v>192</v>
      </c>
      <c r="O46" s="94">
        <f>攻击!Q46</f>
        <v>240</v>
      </c>
      <c r="P46" s="94">
        <f>攻击!R46</f>
        <v>288</v>
      </c>
      <c r="Q46" s="94">
        <f>攻击!S46</f>
        <v>336</v>
      </c>
      <c r="R46" s="94">
        <f>攻击!T46</f>
        <v>72</v>
      </c>
      <c r="S46" s="94">
        <f>攻击!U46</f>
        <v>28.799999999999997</v>
      </c>
      <c r="T46" s="94">
        <f>攻击!V46</f>
        <v>28.799999999999997</v>
      </c>
      <c r="U46" s="94">
        <f>攻击!W46</f>
        <v>4.8000000000000007</v>
      </c>
      <c r="V46" s="93">
        <f>攻击!X46</f>
        <v>0</v>
      </c>
      <c r="W46" s="93">
        <f>攻击!Y46</f>
        <v>0</v>
      </c>
      <c r="X46" s="93">
        <f>攻击!Z46</f>
        <v>0</v>
      </c>
      <c r="Y46" s="93">
        <f>攻击!AA46</f>
        <v>0</v>
      </c>
      <c r="Z46" s="93">
        <f>攻击!AB46</f>
        <v>0</v>
      </c>
      <c r="AA46" s="94">
        <f>攻击!AL46</f>
        <v>0</v>
      </c>
      <c r="AB46" s="93">
        <f>攻击!AM46</f>
        <v>0</v>
      </c>
      <c r="AC46" s="93">
        <f>攻击!AN46</f>
        <v>0</v>
      </c>
      <c r="AD46" s="93">
        <f>攻击!AO46</f>
        <v>0</v>
      </c>
      <c r="AE46" s="93">
        <f>攻击!AP46</f>
        <v>0</v>
      </c>
      <c r="AF46" s="93">
        <f>攻击!AQ46</f>
        <v>0</v>
      </c>
      <c r="AG46" s="94">
        <f>攻击!AR46</f>
        <v>19.200000000000003</v>
      </c>
      <c r="AH46" s="94">
        <f t="shared" si="0"/>
        <v>259.2</v>
      </c>
    </row>
    <row r="47" spans="1:34">
      <c r="A47" s="46">
        <v>45</v>
      </c>
      <c r="B47" s="94">
        <f>攻击!D47</f>
        <v>98</v>
      </c>
      <c r="C47" s="94">
        <f>攻击!E47</f>
        <v>117.6</v>
      </c>
      <c r="D47" s="94">
        <f>攻击!F47</f>
        <v>147</v>
      </c>
      <c r="E47" s="94">
        <f>攻击!G47</f>
        <v>196</v>
      </c>
      <c r="F47" s="94">
        <f>攻击!H47</f>
        <v>245</v>
      </c>
      <c r="G47" s="94">
        <f>攻击!I47</f>
        <v>49</v>
      </c>
      <c r="H47" s="94">
        <f>攻击!J47</f>
        <v>29.4</v>
      </c>
      <c r="I47" s="94">
        <f>攻击!K47</f>
        <v>58.8</v>
      </c>
      <c r="J47" s="94">
        <f>攻击!L47</f>
        <v>0</v>
      </c>
      <c r="K47" s="94">
        <f>攻击!M47</f>
        <v>0</v>
      </c>
      <c r="L47" s="94">
        <f>攻击!N47</f>
        <v>117.6</v>
      </c>
      <c r="M47" s="94">
        <f>攻击!O47</f>
        <v>147</v>
      </c>
      <c r="N47" s="94">
        <f>攻击!P47</f>
        <v>196</v>
      </c>
      <c r="O47" s="94">
        <f>攻击!Q47</f>
        <v>245</v>
      </c>
      <c r="P47" s="94">
        <f>攻击!R47</f>
        <v>294</v>
      </c>
      <c r="Q47" s="94">
        <f>攻击!S47</f>
        <v>343</v>
      </c>
      <c r="R47" s="94">
        <f>攻击!T47</f>
        <v>73.5</v>
      </c>
      <c r="S47" s="94">
        <f>攻击!U47</f>
        <v>29.4</v>
      </c>
      <c r="T47" s="94">
        <f>攻击!V47</f>
        <v>29.4</v>
      </c>
      <c r="U47" s="94">
        <f>攻击!W47</f>
        <v>4.9000000000000004</v>
      </c>
      <c r="V47" s="93">
        <f>攻击!X47</f>
        <v>0</v>
      </c>
      <c r="W47" s="93">
        <f>攻击!Y47</f>
        <v>0</v>
      </c>
      <c r="X47" s="93">
        <f>攻击!Z47</f>
        <v>0</v>
      </c>
      <c r="Y47" s="93">
        <f>攻击!AA47</f>
        <v>0</v>
      </c>
      <c r="Z47" s="93">
        <f>攻击!AB47</f>
        <v>0</v>
      </c>
      <c r="AA47" s="94">
        <f>攻击!AL47</f>
        <v>0</v>
      </c>
      <c r="AB47" s="93">
        <f>攻击!AM47</f>
        <v>0</v>
      </c>
      <c r="AC47" s="93">
        <f>攻击!AN47</f>
        <v>0</v>
      </c>
      <c r="AD47" s="93">
        <f>攻击!AO47</f>
        <v>0</v>
      </c>
      <c r="AE47" s="93">
        <f>攻击!AP47</f>
        <v>0</v>
      </c>
      <c r="AF47" s="93">
        <f>攻击!AQ47</f>
        <v>0</v>
      </c>
      <c r="AG47" s="94">
        <f>攻击!AR47</f>
        <v>19.600000000000001</v>
      </c>
      <c r="AH47" s="94">
        <f t="shared" si="0"/>
        <v>264.60000000000002</v>
      </c>
    </row>
    <row r="48" spans="1:34">
      <c r="A48" s="46">
        <v>46</v>
      </c>
      <c r="B48" s="94">
        <f>攻击!D48</f>
        <v>100</v>
      </c>
      <c r="C48" s="94">
        <f>攻击!E48</f>
        <v>120</v>
      </c>
      <c r="D48" s="94">
        <f>攻击!F48</f>
        <v>150</v>
      </c>
      <c r="E48" s="94">
        <f>攻击!G48</f>
        <v>200</v>
      </c>
      <c r="F48" s="94">
        <f>攻击!H48</f>
        <v>250</v>
      </c>
      <c r="G48" s="94">
        <f>攻击!I48</f>
        <v>49</v>
      </c>
      <c r="H48" s="94">
        <f>攻击!J48</f>
        <v>30</v>
      </c>
      <c r="I48" s="94">
        <f>攻击!K48</f>
        <v>60</v>
      </c>
      <c r="J48" s="94">
        <f>攻击!L48</f>
        <v>0</v>
      </c>
      <c r="K48" s="94">
        <f>攻击!M48</f>
        <v>0</v>
      </c>
      <c r="L48" s="94">
        <f>攻击!N48</f>
        <v>120</v>
      </c>
      <c r="M48" s="94">
        <f>攻击!O48</f>
        <v>150</v>
      </c>
      <c r="N48" s="94">
        <f>攻击!P48</f>
        <v>200</v>
      </c>
      <c r="O48" s="94">
        <f>攻击!Q48</f>
        <v>250</v>
      </c>
      <c r="P48" s="94">
        <f>攻击!R48</f>
        <v>300</v>
      </c>
      <c r="Q48" s="94">
        <f>攻击!S48</f>
        <v>350</v>
      </c>
      <c r="R48" s="94">
        <f>攻击!T48</f>
        <v>75</v>
      </c>
      <c r="S48" s="94">
        <f>攻击!U48</f>
        <v>30</v>
      </c>
      <c r="T48" s="94">
        <f>攻击!V48</f>
        <v>30</v>
      </c>
      <c r="U48" s="94">
        <f>攻击!W48</f>
        <v>5</v>
      </c>
      <c r="V48" s="93">
        <f>攻击!X48</f>
        <v>0</v>
      </c>
      <c r="W48" s="93">
        <f>攻击!Y48</f>
        <v>0</v>
      </c>
      <c r="X48" s="93">
        <f>攻击!Z48</f>
        <v>0</v>
      </c>
      <c r="Y48" s="93">
        <f>攻击!AA48</f>
        <v>0</v>
      </c>
      <c r="Z48" s="93">
        <f>攻击!AB48</f>
        <v>0</v>
      </c>
      <c r="AA48" s="94">
        <f>攻击!AL48</f>
        <v>0</v>
      </c>
      <c r="AB48" s="93">
        <f>攻击!AM48</f>
        <v>0</v>
      </c>
      <c r="AC48" s="93">
        <f>攻击!AN48</f>
        <v>0</v>
      </c>
      <c r="AD48" s="93">
        <f>攻击!AO48</f>
        <v>0</v>
      </c>
      <c r="AE48" s="93">
        <f>攻击!AP48</f>
        <v>0</v>
      </c>
      <c r="AF48" s="93">
        <f>攻击!AQ48</f>
        <v>0</v>
      </c>
      <c r="AG48" s="94">
        <f>攻击!AR48</f>
        <v>20</v>
      </c>
      <c r="AH48" s="94">
        <f t="shared" si="0"/>
        <v>270</v>
      </c>
    </row>
    <row r="49" spans="1:34">
      <c r="A49" s="46">
        <v>47</v>
      </c>
      <c r="B49" s="94">
        <f>攻击!D49</f>
        <v>102</v>
      </c>
      <c r="C49" s="94">
        <f>攻击!E49</f>
        <v>122.39999999999999</v>
      </c>
      <c r="D49" s="94">
        <f>攻击!F49</f>
        <v>153</v>
      </c>
      <c r="E49" s="94">
        <f>攻击!G49</f>
        <v>204</v>
      </c>
      <c r="F49" s="94">
        <f>攻击!H49</f>
        <v>255</v>
      </c>
      <c r="G49" s="94">
        <f>攻击!I49</f>
        <v>49</v>
      </c>
      <c r="H49" s="94">
        <f>攻击!J49</f>
        <v>30.599999999999998</v>
      </c>
      <c r="I49" s="94">
        <f>攻击!K49</f>
        <v>61.199999999999996</v>
      </c>
      <c r="J49" s="94">
        <f>攻击!L49</f>
        <v>0</v>
      </c>
      <c r="K49" s="94">
        <f>攻击!M49</f>
        <v>0</v>
      </c>
      <c r="L49" s="94">
        <f>攻击!N49</f>
        <v>122.39999999999999</v>
      </c>
      <c r="M49" s="94">
        <f>攻击!O49</f>
        <v>153</v>
      </c>
      <c r="N49" s="94">
        <f>攻击!P49</f>
        <v>204</v>
      </c>
      <c r="O49" s="94">
        <f>攻击!Q49</f>
        <v>255</v>
      </c>
      <c r="P49" s="94">
        <f>攻击!R49</f>
        <v>306</v>
      </c>
      <c r="Q49" s="94">
        <f>攻击!S49</f>
        <v>357</v>
      </c>
      <c r="R49" s="94">
        <f>攻击!T49</f>
        <v>76.5</v>
      </c>
      <c r="S49" s="94">
        <f>攻击!U49</f>
        <v>30.599999999999998</v>
      </c>
      <c r="T49" s="94">
        <f>攻击!V49</f>
        <v>30.599999999999998</v>
      </c>
      <c r="U49" s="94">
        <f>攻击!W49</f>
        <v>5.1000000000000005</v>
      </c>
      <c r="V49" s="93">
        <f>攻击!X49</f>
        <v>0</v>
      </c>
      <c r="W49" s="93">
        <f>攻击!Y49</f>
        <v>0</v>
      </c>
      <c r="X49" s="93">
        <f>攻击!Z49</f>
        <v>0</v>
      </c>
      <c r="Y49" s="93">
        <f>攻击!AA49</f>
        <v>0</v>
      </c>
      <c r="Z49" s="93">
        <f>攻击!AB49</f>
        <v>0</v>
      </c>
      <c r="AA49" s="94">
        <f>攻击!AL49</f>
        <v>0</v>
      </c>
      <c r="AB49" s="93">
        <f>攻击!AM49</f>
        <v>0</v>
      </c>
      <c r="AC49" s="93">
        <f>攻击!AN49</f>
        <v>0</v>
      </c>
      <c r="AD49" s="93">
        <f>攻击!AO49</f>
        <v>0</v>
      </c>
      <c r="AE49" s="93">
        <f>攻击!AP49</f>
        <v>0</v>
      </c>
      <c r="AF49" s="93">
        <f>攻击!AQ49</f>
        <v>0</v>
      </c>
      <c r="AG49" s="94">
        <f>攻击!AR49</f>
        <v>20.400000000000002</v>
      </c>
      <c r="AH49" s="94">
        <f t="shared" si="0"/>
        <v>275.39999999999998</v>
      </c>
    </row>
    <row r="50" spans="1:34">
      <c r="A50" s="46">
        <v>48</v>
      </c>
      <c r="B50" s="94">
        <f>攻击!D50</f>
        <v>104</v>
      </c>
      <c r="C50" s="94">
        <f>攻击!E50</f>
        <v>124.8</v>
      </c>
      <c r="D50" s="94">
        <f>攻击!F50</f>
        <v>156</v>
      </c>
      <c r="E50" s="94">
        <f>攻击!G50</f>
        <v>208</v>
      </c>
      <c r="F50" s="94">
        <f>攻击!H50</f>
        <v>260</v>
      </c>
      <c r="G50" s="94">
        <f>攻击!I50</f>
        <v>49</v>
      </c>
      <c r="H50" s="94">
        <f>攻击!J50</f>
        <v>31.2</v>
      </c>
      <c r="I50" s="94">
        <f>攻击!K50</f>
        <v>62.4</v>
      </c>
      <c r="J50" s="94">
        <f>攻击!L50</f>
        <v>0</v>
      </c>
      <c r="K50" s="94">
        <f>攻击!M50</f>
        <v>0</v>
      </c>
      <c r="L50" s="94">
        <f>攻击!N50</f>
        <v>124.8</v>
      </c>
      <c r="M50" s="94">
        <f>攻击!O50</f>
        <v>156</v>
      </c>
      <c r="N50" s="94">
        <f>攻击!P50</f>
        <v>208</v>
      </c>
      <c r="O50" s="94">
        <f>攻击!Q50</f>
        <v>260</v>
      </c>
      <c r="P50" s="94">
        <f>攻击!R50</f>
        <v>312</v>
      </c>
      <c r="Q50" s="94">
        <f>攻击!S50</f>
        <v>364</v>
      </c>
      <c r="R50" s="94">
        <f>攻击!T50</f>
        <v>78</v>
      </c>
      <c r="S50" s="94">
        <f>攻击!U50</f>
        <v>31.2</v>
      </c>
      <c r="T50" s="94">
        <f>攻击!V50</f>
        <v>31.2</v>
      </c>
      <c r="U50" s="94">
        <f>攻击!W50</f>
        <v>5.2</v>
      </c>
      <c r="V50" s="93">
        <f>攻击!X50</f>
        <v>0</v>
      </c>
      <c r="W50" s="93">
        <f>攻击!Y50</f>
        <v>0</v>
      </c>
      <c r="X50" s="93">
        <f>攻击!Z50</f>
        <v>0</v>
      </c>
      <c r="Y50" s="93">
        <f>攻击!AA50</f>
        <v>0</v>
      </c>
      <c r="Z50" s="93">
        <f>攻击!AB50</f>
        <v>0</v>
      </c>
      <c r="AA50" s="94">
        <f>攻击!AL50</f>
        <v>0</v>
      </c>
      <c r="AB50" s="93">
        <f>攻击!AM50</f>
        <v>0</v>
      </c>
      <c r="AC50" s="93">
        <f>攻击!AN50</f>
        <v>0</v>
      </c>
      <c r="AD50" s="93">
        <f>攻击!AO50</f>
        <v>0</v>
      </c>
      <c r="AE50" s="93">
        <f>攻击!AP50</f>
        <v>0</v>
      </c>
      <c r="AF50" s="93">
        <f>攻击!AQ50</f>
        <v>0</v>
      </c>
      <c r="AG50" s="94">
        <f>攻击!AR50</f>
        <v>20.8</v>
      </c>
      <c r="AH50" s="94">
        <f t="shared" si="0"/>
        <v>280.8</v>
      </c>
    </row>
    <row r="51" spans="1:34">
      <c r="A51" s="46">
        <v>49</v>
      </c>
      <c r="B51" s="94">
        <f>攻击!D51</f>
        <v>106</v>
      </c>
      <c r="C51" s="94">
        <f>攻击!E51</f>
        <v>127.19999999999999</v>
      </c>
      <c r="D51" s="94">
        <f>攻击!F51</f>
        <v>159</v>
      </c>
      <c r="E51" s="94">
        <f>攻击!G51</f>
        <v>212</v>
      </c>
      <c r="F51" s="94">
        <f>攻击!H51</f>
        <v>265</v>
      </c>
      <c r="G51" s="94">
        <f>攻击!I51</f>
        <v>49</v>
      </c>
      <c r="H51" s="94">
        <f>攻击!J51</f>
        <v>31.799999999999997</v>
      </c>
      <c r="I51" s="94">
        <f>攻击!K51</f>
        <v>63.599999999999994</v>
      </c>
      <c r="J51" s="94">
        <f>攻击!L51</f>
        <v>0</v>
      </c>
      <c r="K51" s="94">
        <f>攻击!M51</f>
        <v>0</v>
      </c>
      <c r="L51" s="94">
        <f>攻击!N51</f>
        <v>127.19999999999999</v>
      </c>
      <c r="M51" s="94">
        <f>攻击!O51</f>
        <v>159</v>
      </c>
      <c r="N51" s="94">
        <f>攻击!P51</f>
        <v>212</v>
      </c>
      <c r="O51" s="94">
        <f>攻击!Q51</f>
        <v>265</v>
      </c>
      <c r="P51" s="94">
        <f>攻击!R51</f>
        <v>318</v>
      </c>
      <c r="Q51" s="94">
        <f>攻击!S51</f>
        <v>371</v>
      </c>
      <c r="R51" s="94">
        <f>攻击!T51</f>
        <v>79.5</v>
      </c>
      <c r="S51" s="94">
        <f>攻击!U51</f>
        <v>31.799999999999997</v>
      </c>
      <c r="T51" s="94">
        <f>攻击!V51</f>
        <v>31.799999999999997</v>
      </c>
      <c r="U51" s="94">
        <f>攻击!W51</f>
        <v>5.3000000000000007</v>
      </c>
      <c r="V51" s="93">
        <f>攻击!X51</f>
        <v>0</v>
      </c>
      <c r="W51" s="93">
        <f>攻击!Y51</f>
        <v>0</v>
      </c>
      <c r="X51" s="93">
        <f>攻击!Z51</f>
        <v>0</v>
      </c>
      <c r="Y51" s="93">
        <f>攻击!AA51</f>
        <v>0</v>
      </c>
      <c r="Z51" s="93">
        <f>攻击!AB51</f>
        <v>0</v>
      </c>
      <c r="AA51" s="94">
        <f>攻击!AL51</f>
        <v>0</v>
      </c>
      <c r="AB51" s="93">
        <f>攻击!AM51</f>
        <v>0</v>
      </c>
      <c r="AC51" s="93">
        <f>攻击!AN51</f>
        <v>0</v>
      </c>
      <c r="AD51" s="93">
        <f>攻击!AO51</f>
        <v>0</v>
      </c>
      <c r="AE51" s="93">
        <f>攻击!AP51</f>
        <v>0</v>
      </c>
      <c r="AF51" s="93">
        <f>攻击!AQ51</f>
        <v>0</v>
      </c>
      <c r="AG51" s="94">
        <f>攻击!AR51</f>
        <v>21.200000000000003</v>
      </c>
      <c r="AH51" s="94">
        <f t="shared" si="0"/>
        <v>286.2</v>
      </c>
    </row>
    <row r="52" spans="1:34">
      <c r="A52" s="46">
        <v>50</v>
      </c>
      <c r="B52" s="94">
        <f>攻击!D52</f>
        <v>108</v>
      </c>
      <c r="C52" s="94">
        <f>攻击!E52</f>
        <v>129.6</v>
      </c>
      <c r="D52" s="94">
        <f>攻击!F52</f>
        <v>162</v>
      </c>
      <c r="E52" s="94">
        <f>攻击!G52</f>
        <v>216</v>
      </c>
      <c r="F52" s="94">
        <f>攻击!H52</f>
        <v>270</v>
      </c>
      <c r="G52" s="94">
        <f>攻击!I52</f>
        <v>54</v>
      </c>
      <c r="H52" s="94">
        <f>攻击!J52</f>
        <v>32.4</v>
      </c>
      <c r="I52" s="94">
        <f>攻击!K52</f>
        <v>64.8</v>
      </c>
      <c r="J52" s="94">
        <f>攻击!L52</f>
        <v>0</v>
      </c>
      <c r="K52" s="94">
        <f>攻击!M52</f>
        <v>86.4</v>
      </c>
      <c r="L52" s="94">
        <f>攻击!N52</f>
        <v>129.6</v>
      </c>
      <c r="M52" s="94">
        <f>攻击!O52</f>
        <v>162</v>
      </c>
      <c r="N52" s="94">
        <f>攻击!P52</f>
        <v>216</v>
      </c>
      <c r="O52" s="94">
        <f>攻击!Q52</f>
        <v>270</v>
      </c>
      <c r="P52" s="94">
        <f>攻击!R52</f>
        <v>324</v>
      </c>
      <c r="Q52" s="94">
        <f>攻击!S52</f>
        <v>378</v>
      </c>
      <c r="R52" s="94">
        <f>攻击!T52</f>
        <v>81</v>
      </c>
      <c r="S52" s="94">
        <f>攻击!U52</f>
        <v>32.4</v>
      </c>
      <c r="T52" s="94">
        <f>攻击!V52</f>
        <v>32.4</v>
      </c>
      <c r="U52" s="94">
        <f>攻击!W52</f>
        <v>5.4</v>
      </c>
      <c r="V52" s="93">
        <f>攻击!X52</f>
        <v>0</v>
      </c>
      <c r="W52" s="93">
        <f>攻击!Y52</f>
        <v>0</v>
      </c>
      <c r="X52" s="93">
        <f>攻击!Z52</f>
        <v>0</v>
      </c>
      <c r="Y52" s="93">
        <f>攻击!AA52</f>
        <v>0</v>
      </c>
      <c r="Z52" s="93">
        <f>攻击!AB52</f>
        <v>0</v>
      </c>
      <c r="AA52" s="94">
        <f>攻击!AL52</f>
        <v>0</v>
      </c>
      <c r="AB52" s="93">
        <f>攻击!AM52</f>
        <v>0</v>
      </c>
      <c r="AC52" s="93">
        <f>攻击!AN52</f>
        <v>0</v>
      </c>
      <c r="AD52" s="93">
        <f>攻击!AO52</f>
        <v>0</v>
      </c>
      <c r="AE52" s="93">
        <f>攻击!AP52</f>
        <v>0</v>
      </c>
      <c r="AF52" s="93">
        <f>攻击!AQ52</f>
        <v>0</v>
      </c>
      <c r="AG52" s="94">
        <f>攻击!AR52</f>
        <v>21.6</v>
      </c>
      <c r="AH52" s="94">
        <f t="shared" si="0"/>
        <v>291.60000000000002</v>
      </c>
    </row>
    <row r="53" spans="1:34">
      <c r="A53" s="46">
        <v>51</v>
      </c>
      <c r="B53" s="94">
        <f>攻击!D53</f>
        <v>110</v>
      </c>
      <c r="C53" s="94">
        <f>攻击!E53</f>
        <v>132</v>
      </c>
      <c r="D53" s="94">
        <f>攻击!F53</f>
        <v>165</v>
      </c>
      <c r="E53" s="94">
        <f>攻击!G53</f>
        <v>220</v>
      </c>
      <c r="F53" s="94">
        <f>攻击!H53</f>
        <v>275</v>
      </c>
      <c r="G53" s="94">
        <f>攻击!I53</f>
        <v>54</v>
      </c>
      <c r="H53" s="94">
        <f>攻击!J53</f>
        <v>33</v>
      </c>
      <c r="I53" s="94">
        <f>攻击!K53</f>
        <v>66</v>
      </c>
      <c r="J53" s="94">
        <f>攻击!L53</f>
        <v>0</v>
      </c>
      <c r="K53" s="94">
        <f>攻击!M53</f>
        <v>88</v>
      </c>
      <c r="L53" s="94">
        <f>攻击!N53</f>
        <v>132</v>
      </c>
      <c r="M53" s="94">
        <f>攻击!O53</f>
        <v>165</v>
      </c>
      <c r="N53" s="94">
        <f>攻击!P53</f>
        <v>220</v>
      </c>
      <c r="O53" s="94">
        <f>攻击!Q53</f>
        <v>275</v>
      </c>
      <c r="P53" s="94">
        <f>攻击!R53</f>
        <v>330</v>
      </c>
      <c r="Q53" s="94">
        <f>攻击!S53</f>
        <v>385</v>
      </c>
      <c r="R53" s="94">
        <f>攻击!T53</f>
        <v>82.5</v>
      </c>
      <c r="S53" s="94">
        <f>攻击!U53</f>
        <v>33</v>
      </c>
      <c r="T53" s="94">
        <f>攻击!V53</f>
        <v>33</v>
      </c>
      <c r="U53" s="94">
        <f>攻击!W53</f>
        <v>5.5</v>
      </c>
      <c r="V53" s="93">
        <f>攻击!X53</f>
        <v>0</v>
      </c>
      <c r="W53" s="93">
        <f>攻击!Y53</f>
        <v>0</v>
      </c>
      <c r="X53" s="93">
        <f>攻击!Z53</f>
        <v>0</v>
      </c>
      <c r="Y53" s="93">
        <f>攻击!AA53</f>
        <v>0</v>
      </c>
      <c r="Z53" s="93">
        <f>攻击!AB53</f>
        <v>0</v>
      </c>
      <c r="AA53" s="94">
        <f>攻击!AL53</f>
        <v>0</v>
      </c>
      <c r="AB53" s="93">
        <f>攻击!AM53</f>
        <v>0</v>
      </c>
      <c r="AC53" s="93">
        <f>攻击!AN53</f>
        <v>0</v>
      </c>
      <c r="AD53" s="93">
        <f>攻击!AO53</f>
        <v>0</v>
      </c>
      <c r="AE53" s="93">
        <f>攻击!AP53</f>
        <v>0</v>
      </c>
      <c r="AF53" s="93">
        <f>攻击!AQ53</f>
        <v>0</v>
      </c>
      <c r="AG53" s="94">
        <f>攻击!AR53</f>
        <v>22</v>
      </c>
      <c r="AH53" s="94">
        <f t="shared" si="0"/>
        <v>297</v>
      </c>
    </row>
    <row r="54" spans="1:34">
      <c r="A54" s="46">
        <v>52</v>
      </c>
      <c r="B54" s="94">
        <f>攻击!D54</f>
        <v>112</v>
      </c>
      <c r="C54" s="94">
        <f>攻击!E54</f>
        <v>134.4</v>
      </c>
      <c r="D54" s="94">
        <f>攻击!F54</f>
        <v>168</v>
      </c>
      <c r="E54" s="94">
        <f>攻击!G54</f>
        <v>224</v>
      </c>
      <c r="F54" s="94">
        <f>攻击!H54</f>
        <v>280</v>
      </c>
      <c r="G54" s="94">
        <f>攻击!I54</f>
        <v>54</v>
      </c>
      <c r="H54" s="94">
        <f>攻击!J54</f>
        <v>33.6</v>
      </c>
      <c r="I54" s="94">
        <f>攻击!K54</f>
        <v>67.2</v>
      </c>
      <c r="J54" s="94">
        <f>攻击!L54</f>
        <v>0</v>
      </c>
      <c r="K54" s="94">
        <f>攻击!M54</f>
        <v>89.600000000000009</v>
      </c>
      <c r="L54" s="94">
        <f>攻击!N54</f>
        <v>134.4</v>
      </c>
      <c r="M54" s="94">
        <f>攻击!O54</f>
        <v>168</v>
      </c>
      <c r="N54" s="94">
        <f>攻击!P54</f>
        <v>224</v>
      </c>
      <c r="O54" s="94">
        <f>攻击!Q54</f>
        <v>280</v>
      </c>
      <c r="P54" s="94">
        <f>攻击!R54</f>
        <v>336</v>
      </c>
      <c r="Q54" s="94">
        <f>攻击!S54</f>
        <v>392</v>
      </c>
      <c r="R54" s="94">
        <f>攻击!T54</f>
        <v>84</v>
      </c>
      <c r="S54" s="94">
        <f>攻击!U54</f>
        <v>33.6</v>
      </c>
      <c r="T54" s="94">
        <f>攻击!V54</f>
        <v>33.6</v>
      </c>
      <c r="U54" s="94">
        <f>攻击!W54</f>
        <v>5.6000000000000005</v>
      </c>
      <c r="V54" s="93">
        <f>攻击!X54</f>
        <v>0</v>
      </c>
      <c r="W54" s="93">
        <f>攻击!Y54</f>
        <v>0</v>
      </c>
      <c r="X54" s="93">
        <f>攻击!Z54</f>
        <v>0</v>
      </c>
      <c r="Y54" s="93">
        <f>攻击!AA54</f>
        <v>0</v>
      </c>
      <c r="Z54" s="93">
        <f>攻击!AB54</f>
        <v>0</v>
      </c>
      <c r="AA54" s="94">
        <f>攻击!AL54</f>
        <v>0</v>
      </c>
      <c r="AB54" s="93">
        <f>攻击!AM54</f>
        <v>0</v>
      </c>
      <c r="AC54" s="93">
        <f>攻击!AN54</f>
        <v>0</v>
      </c>
      <c r="AD54" s="93">
        <f>攻击!AO54</f>
        <v>0</v>
      </c>
      <c r="AE54" s="93">
        <f>攻击!AP54</f>
        <v>0</v>
      </c>
      <c r="AF54" s="93">
        <f>攻击!AQ54</f>
        <v>0</v>
      </c>
      <c r="AG54" s="94">
        <f>攻击!AR54</f>
        <v>22.400000000000002</v>
      </c>
      <c r="AH54" s="94">
        <f t="shared" si="0"/>
        <v>302.39999999999998</v>
      </c>
    </row>
    <row r="55" spans="1:34">
      <c r="A55" s="46">
        <v>53</v>
      </c>
      <c r="B55" s="94">
        <f>攻击!D55</f>
        <v>114</v>
      </c>
      <c r="C55" s="94">
        <f>攻击!E55</f>
        <v>136.79999999999998</v>
      </c>
      <c r="D55" s="94">
        <f>攻击!F55</f>
        <v>171</v>
      </c>
      <c r="E55" s="94">
        <f>攻击!G55</f>
        <v>228</v>
      </c>
      <c r="F55" s="94">
        <f>攻击!H55</f>
        <v>285</v>
      </c>
      <c r="G55" s="94">
        <f>攻击!I55</f>
        <v>54</v>
      </c>
      <c r="H55" s="94">
        <f>攻击!J55</f>
        <v>34.199999999999996</v>
      </c>
      <c r="I55" s="94">
        <f>攻击!K55</f>
        <v>68.399999999999991</v>
      </c>
      <c r="J55" s="94">
        <f>攻击!L55</f>
        <v>0</v>
      </c>
      <c r="K55" s="94">
        <f>攻击!M55</f>
        <v>91.2</v>
      </c>
      <c r="L55" s="94">
        <f>攻击!N55</f>
        <v>136.79999999999998</v>
      </c>
      <c r="M55" s="94">
        <f>攻击!O55</f>
        <v>171</v>
      </c>
      <c r="N55" s="94">
        <f>攻击!P55</f>
        <v>228</v>
      </c>
      <c r="O55" s="94">
        <f>攻击!Q55</f>
        <v>285</v>
      </c>
      <c r="P55" s="94">
        <f>攻击!R55</f>
        <v>342</v>
      </c>
      <c r="Q55" s="94">
        <f>攻击!S55</f>
        <v>399</v>
      </c>
      <c r="R55" s="94">
        <f>攻击!T55</f>
        <v>85.5</v>
      </c>
      <c r="S55" s="94">
        <f>攻击!U55</f>
        <v>34.199999999999996</v>
      </c>
      <c r="T55" s="94">
        <f>攻击!V55</f>
        <v>34.199999999999996</v>
      </c>
      <c r="U55" s="94">
        <f>攻击!W55</f>
        <v>5.7</v>
      </c>
      <c r="V55" s="93">
        <f>攻击!X55</f>
        <v>0</v>
      </c>
      <c r="W55" s="93">
        <f>攻击!Y55</f>
        <v>0</v>
      </c>
      <c r="X55" s="93">
        <f>攻击!Z55</f>
        <v>0</v>
      </c>
      <c r="Y55" s="93">
        <f>攻击!AA55</f>
        <v>0</v>
      </c>
      <c r="Z55" s="93">
        <f>攻击!AB55</f>
        <v>0</v>
      </c>
      <c r="AA55" s="94">
        <f>攻击!AL55</f>
        <v>0</v>
      </c>
      <c r="AB55" s="93">
        <f>攻击!AM55</f>
        <v>0</v>
      </c>
      <c r="AC55" s="93">
        <f>攻击!AN55</f>
        <v>0</v>
      </c>
      <c r="AD55" s="93">
        <f>攻击!AO55</f>
        <v>0</v>
      </c>
      <c r="AE55" s="93">
        <f>攻击!AP55</f>
        <v>0</v>
      </c>
      <c r="AF55" s="93">
        <f>攻击!AQ55</f>
        <v>0</v>
      </c>
      <c r="AG55" s="94">
        <f>攻击!AR55</f>
        <v>22.8</v>
      </c>
      <c r="AH55" s="94">
        <f t="shared" si="0"/>
        <v>307.8</v>
      </c>
    </row>
    <row r="56" spans="1:34">
      <c r="A56" s="46">
        <v>54</v>
      </c>
      <c r="B56" s="94">
        <f>攻击!D56</f>
        <v>116</v>
      </c>
      <c r="C56" s="94">
        <f>攻击!E56</f>
        <v>139.19999999999999</v>
      </c>
      <c r="D56" s="94">
        <f>攻击!F56</f>
        <v>174</v>
      </c>
      <c r="E56" s="94">
        <f>攻击!G56</f>
        <v>232</v>
      </c>
      <c r="F56" s="94">
        <f>攻击!H56</f>
        <v>290</v>
      </c>
      <c r="G56" s="94">
        <f>攻击!I56</f>
        <v>54</v>
      </c>
      <c r="H56" s="94">
        <f>攻击!J56</f>
        <v>34.799999999999997</v>
      </c>
      <c r="I56" s="94">
        <f>攻击!K56</f>
        <v>69.599999999999994</v>
      </c>
      <c r="J56" s="94">
        <f>攻击!L56</f>
        <v>0</v>
      </c>
      <c r="K56" s="94">
        <f>攻击!M56</f>
        <v>92.800000000000011</v>
      </c>
      <c r="L56" s="94">
        <f>攻击!N56</f>
        <v>139.19999999999999</v>
      </c>
      <c r="M56" s="94">
        <f>攻击!O56</f>
        <v>174</v>
      </c>
      <c r="N56" s="94">
        <f>攻击!P56</f>
        <v>232</v>
      </c>
      <c r="O56" s="94">
        <f>攻击!Q56</f>
        <v>290</v>
      </c>
      <c r="P56" s="94">
        <f>攻击!R56</f>
        <v>348</v>
      </c>
      <c r="Q56" s="94">
        <f>攻击!S56</f>
        <v>406</v>
      </c>
      <c r="R56" s="94">
        <f>攻击!T56</f>
        <v>87</v>
      </c>
      <c r="S56" s="94">
        <f>攻击!U56</f>
        <v>34.799999999999997</v>
      </c>
      <c r="T56" s="94">
        <f>攻击!V56</f>
        <v>34.799999999999997</v>
      </c>
      <c r="U56" s="94">
        <f>攻击!W56</f>
        <v>5.8000000000000007</v>
      </c>
      <c r="V56" s="93">
        <f>攻击!X56</f>
        <v>0</v>
      </c>
      <c r="W56" s="93">
        <f>攻击!Y56</f>
        <v>0</v>
      </c>
      <c r="X56" s="93">
        <f>攻击!Z56</f>
        <v>0</v>
      </c>
      <c r="Y56" s="93">
        <f>攻击!AA56</f>
        <v>0</v>
      </c>
      <c r="Z56" s="93">
        <f>攻击!AB56</f>
        <v>0</v>
      </c>
      <c r="AA56" s="94">
        <f>攻击!AL56</f>
        <v>0</v>
      </c>
      <c r="AB56" s="93">
        <f>攻击!AM56</f>
        <v>0</v>
      </c>
      <c r="AC56" s="93">
        <f>攻击!AN56</f>
        <v>0</v>
      </c>
      <c r="AD56" s="93">
        <f>攻击!AO56</f>
        <v>0</v>
      </c>
      <c r="AE56" s="93">
        <f>攻击!AP56</f>
        <v>0</v>
      </c>
      <c r="AF56" s="93">
        <f>攻击!AQ56</f>
        <v>0</v>
      </c>
      <c r="AG56" s="94">
        <f>攻击!AR56</f>
        <v>23.200000000000003</v>
      </c>
      <c r="AH56" s="94">
        <f t="shared" si="0"/>
        <v>313.2</v>
      </c>
    </row>
    <row r="57" spans="1:34">
      <c r="A57" s="46">
        <v>55</v>
      </c>
      <c r="B57" s="94">
        <f>攻击!D57</f>
        <v>118</v>
      </c>
      <c r="C57" s="94">
        <f>攻击!E57</f>
        <v>141.6</v>
      </c>
      <c r="D57" s="94">
        <f>攻击!F57</f>
        <v>177</v>
      </c>
      <c r="E57" s="94">
        <f>攻击!G57</f>
        <v>236</v>
      </c>
      <c r="F57" s="94">
        <f>攻击!H57</f>
        <v>295</v>
      </c>
      <c r="G57" s="94">
        <f>攻击!I57</f>
        <v>59</v>
      </c>
      <c r="H57" s="94">
        <f>攻击!J57</f>
        <v>35.4</v>
      </c>
      <c r="I57" s="94">
        <f>攻击!K57</f>
        <v>70.8</v>
      </c>
      <c r="J57" s="94">
        <f>攻击!L57</f>
        <v>0</v>
      </c>
      <c r="K57" s="94">
        <f>攻击!M57</f>
        <v>94.4</v>
      </c>
      <c r="L57" s="94">
        <f>攻击!N57</f>
        <v>141.6</v>
      </c>
      <c r="M57" s="94">
        <f>攻击!O57</f>
        <v>177</v>
      </c>
      <c r="N57" s="94">
        <f>攻击!P57</f>
        <v>236</v>
      </c>
      <c r="O57" s="94">
        <f>攻击!Q57</f>
        <v>295</v>
      </c>
      <c r="P57" s="94">
        <f>攻击!R57</f>
        <v>354</v>
      </c>
      <c r="Q57" s="94">
        <f>攻击!S57</f>
        <v>413</v>
      </c>
      <c r="R57" s="94">
        <f>攻击!T57</f>
        <v>88.5</v>
      </c>
      <c r="S57" s="94">
        <f>攻击!U57</f>
        <v>35.4</v>
      </c>
      <c r="T57" s="94">
        <f>攻击!V57</f>
        <v>35.4</v>
      </c>
      <c r="U57" s="94">
        <f>攻击!W57</f>
        <v>5.9</v>
      </c>
      <c r="V57" s="93">
        <f>攻击!X57</f>
        <v>0</v>
      </c>
      <c r="W57" s="93">
        <f>攻击!Y57</f>
        <v>0</v>
      </c>
      <c r="X57" s="93">
        <f>攻击!Z57</f>
        <v>0</v>
      </c>
      <c r="Y57" s="93">
        <f>攻击!AA57</f>
        <v>0</v>
      </c>
      <c r="Z57" s="93">
        <f>攻击!AB57</f>
        <v>0</v>
      </c>
      <c r="AA57" s="94">
        <f>攻击!AL57</f>
        <v>0</v>
      </c>
      <c r="AB57" s="93">
        <f>攻击!AM57</f>
        <v>0</v>
      </c>
      <c r="AC57" s="93">
        <f>攻击!AN57</f>
        <v>0</v>
      </c>
      <c r="AD57" s="93">
        <f>攻击!AO57</f>
        <v>0</v>
      </c>
      <c r="AE57" s="93">
        <f>攻击!AP57</f>
        <v>0</v>
      </c>
      <c r="AF57" s="93">
        <f>攻击!AQ57</f>
        <v>0</v>
      </c>
      <c r="AG57" s="94">
        <f>攻击!AR57</f>
        <v>23.6</v>
      </c>
      <c r="AH57" s="94">
        <f t="shared" si="0"/>
        <v>318.60000000000002</v>
      </c>
    </row>
    <row r="58" spans="1:34">
      <c r="A58" s="46">
        <v>56</v>
      </c>
      <c r="B58" s="94">
        <f>攻击!D58</f>
        <v>120</v>
      </c>
      <c r="C58" s="94">
        <f>攻击!E58</f>
        <v>144</v>
      </c>
      <c r="D58" s="94">
        <f>攻击!F58</f>
        <v>180</v>
      </c>
      <c r="E58" s="94">
        <f>攻击!G58</f>
        <v>240</v>
      </c>
      <c r="F58" s="94">
        <f>攻击!H58</f>
        <v>300</v>
      </c>
      <c r="G58" s="94">
        <f>攻击!I58</f>
        <v>59</v>
      </c>
      <c r="H58" s="94">
        <f>攻击!J58</f>
        <v>36</v>
      </c>
      <c r="I58" s="94">
        <f>攻击!K58</f>
        <v>72</v>
      </c>
      <c r="J58" s="94">
        <f>攻击!L58</f>
        <v>0</v>
      </c>
      <c r="K58" s="94">
        <f>攻击!M58</f>
        <v>96</v>
      </c>
      <c r="L58" s="94">
        <f>攻击!N58</f>
        <v>144</v>
      </c>
      <c r="M58" s="94">
        <f>攻击!O58</f>
        <v>180</v>
      </c>
      <c r="N58" s="94">
        <f>攻击!P58</f>
        <v>240</v>
      </c>
      <c r="O58" s="94">
        <f>攻击!Q58</f>
        <v>300</v>
      </c>
      <c r="P58" s="94">
        <f>攻击!R58</f>
        <v>360</v>
      </c>
      <c r="Q58" s="94">
        <f>攻击!S58</f>
        <v>420</v>
      </c>
      <c r="R58" s="94">
        <f>攻击!T58</f>
        <v>90</v>
      </c>
      <c r="S58" s="94">
        <f>攻击!U58</f>
        <v>36</v>
      </c>
      <c r="T58" s="94">
        <f>攻击!V58</f>
        <v>36</v>
      </c>
      <c r="U58" s="94">
        <f>攻击!W58</f>
        <v>6</v>
      </c>
      <c r="V58" s="93">
        <f>攻击!X58</f>
        <v>0</v>
      </c>
      <c r="W58" s="93">
        <f>攻击!Y58</f>
        <v>0</v>
      </c>
      <c r="X58" s="93">
        <f>攻击!Z58</f>
        <v>0</v>
      </c>
      <c r="Y58" s="93">
        <f>攻击!AA58</f>
        <v>0</v>
      </c>
      <c r="Z58" s="93">
        <f>攻击!AB58</f>
        <v>0</v>
      </c>
      <c r="AA58" s="94">
        <f>攻击!AL58</f>
        <v>0</v>
      </c>
      <c r="AB58" s="93">
        <f>攻击!AM58</f>
        <v>0</v>
      </c>
      <c r="AC58" s="93">
        <f>攻击!AN58</f>
        <v>0</v>
      </c>
      <c r="AD58" s="93">
        <f>攻击!AO58</f>
        <v>0</v>
      </c>
      <c r="AE58" s="93">
        <f>攻击!AP58</f>
        <v>0</v>
      </c>
      <c r="AF58" s="93">
        <f>攻击!AQ58</f>
        <v>0</v>
      </c>
      <c r="AG58" s="94">
        <f>攻击!AR58</f>
        <v>24</v>
      </c>
      <c r="AH58" s="94">
        <f t="shared" si="0"/>
        <v>324</v>
      </c>
    </row>
    <row r="59" spans="1:34">
      <c r="A59" s="46">
        <v>57</v>
      </c>
      <c r="B59" s="94">
        <f>攻击!D59</f>
        <v>122</v>
      </c>
      <c r="C59" s="94">
        <f>攻击!E59</f>
        <v>146.4</v>
      </c>
      <c r="D59" s="94">
        <f>攻击!F59</f>
        <v>183</v>
      </c>
      <c r="E59" s="94">
        <f>攻击!G59</f>
        <v>244</v>
      </c>
      <c r="F59" s="94">
        <f>攻击!H59</f>
        <v>305</v>
      </c>
      <c r="G59" s="94">
        <f>攻击!I59</f>
        <v>59</v>
      </c>
      <c r="H59" s="94">
        <f>攻击!J59</f>
        <v>36.6</v>
      </c>
      <c r="I59" s="94">
        <f>攻击!K59</f>
        <v>73.2</v>
      </c>
      <c r="J59" s="94">
        <f>攻击!L59</f>
        <v>0</v>
      </c>
      <c r="K59" s="94">
        <f>攻击!M59</f>
        <v>97.600000000000009</v>
      </c>
      <c r="L59" s="94">
        <f>攻击!N59</f>
        <v>146.4</v>
      </c>
      <c r="M59" s="94">
        <f>攻击!O59</f>
        <v>183</v>
      </c>
      <c r="N59" s="94">
        <f>攻击!P59</f>
        <v>244</v>
      </c>
      <c r="O59" s="94">
        <f>攻击!Q59</f>
        <v>305</v>
      </c>
      <c r="P59" s="94">
        <f>攻击!R59</f>
        <v>366</v>
      </c>
      <c r="Q59" s="94">
        <f>攻击!S59</f>
        <v>427</v>
      </c>
      <c r="R59" s="94">
        <f>攻击!T59</f>
        <v>91.5</v>
      </c>
      <c r="S59" s="94">
        <f>攻击!U59</f>
        <v>36.6</v>
      </c>
      <c r="T59" s="94">
        <f>攻击!V59</f>
        <v>36.6</v>
      </c>
      <c r="U59" s="94">
        <f>攻击!W59</f>
        <v>6.1000000000000005</v>
      </c>
      <c r="V59" s="93">
        <f>攻击!X59</f>
        <v>0</v>
      </c>
      <c r="W59" s="93">
        <f>攻击!Y59</f>
        <v>0</v>
      </c>
      <c r="X59" s="93">
        <f>攻击!Z59</f>
        <v>0</v>
      </c>
      <c r="Y59" s="93">
        <f>攻击!AA59</f>
        <v>0</v>
      </c>
      <c r="Z59" s="93">
        <f>攻击!AB59</f>
        <v>0</v>
      </c>
      <c r="AA59" s="94">
        <f>攻击!AL59</f>
        <v>0</v>
      </c>
      <c r="AB59" s="93">
        <f>攻击!AM59</f>
        <v>0</v>
      </c>
      <c r="AC59" s="93">
        <f>攻击!AN59</f>
        <v>0</v>
      </c>
      <c r="AD59" s="93">
        <f>攻击!AO59</f>
        <v>0</v>
      </c>
      <c r="AE59" s="93">
        <f>攻击!AP59</f>
        <v>0</v>
      </c>
      <c r="AF59" s="93">
        <f>攻击!AQ59</f>
        <v>0</v>
      </c>
      <c r="AG59" s="94">
        <f>攻击!AR59</f>
        <v>24.400000000000002</v>
      </c>
      <c r="AH59" s="94">
        <f t="shared" si="0"/>
        <v>329.4</v>
      </c>
    </row>
    <row r="60" spans="1:34">
      <c r="A60" s="46">
        <v>58</v>
      </c>
      <c r="B60" s="94">
        <f>攻击!D60</f>
        <v>124</v>
      </c>
      <c r="C60" s="94">
        <f>攻击!E60</f>
        <v>148.79999999999998</v>
      </c>
      <c r="D60" s="94">
        <f>攻击!F60</f>
        <v>186</v>
      </c>
      <c r="E60" s="94">
        <f>攻击!G60</f>
        <v>248</v>
      </c>
      <c r="F60" s="94">
        <f>攻击!H60</f>
        <v>310</v>
      </c>
      <c r="G60" s="94">
        <f>攻击!I60</f>
        <v>59</v>
      </c>
      <c r="H60" s="94">
        <f>攻击!J60</f>
        <v>37.199999999999996</v>
      </c>
      <c r="I60" s="94">
        <f>攻击!K60</f>
        <v>74.399999999999991</v>
      </c>
      <c r="J60" s="94">
        <f>攻击!L60</f>
        <v>0</v>
      </c>
      <c r="K60" s="94">
        <f>攻击!M60</f>
        <v>99.2</v>
      </c>
      <c r="L60" s="94">
        <f>攻击!N60</f>
        <v>148.79999999999998</v>
      </c>
      <c r="M60" s="94">
        <f>攻击!O60</f>
        <v>186</v>
      </c>
      <c r="N60" s="94">
        <f>攻击!P60</f>
        <v>248</v>
      </c>
      <c r="O60" s="94">
        <f>攻击!Q60</f>
        <v>310</v>
      </c>
      <c r="P60" s="94">
        <f>攻击!R60</f>
        <v>372</v>
      </c>
      <c r="Q60" s="94">
        <f>攻击!S60</f>
        <v>434</v>
      </c>
      <c r="R60" s="94">
        <f>攻击!T60</f>
        <v>93</v>
      </c>
      <c r="S60" s="94">
        <f>攻击!U60</f>
        <v>37.199999999999996</v>
      </c>
      <c r="T60" s="94">
        <f>攻击!V60</f>
        <v>37.199999999999996</v>
      </c>
      <c r="U60" s="94">
        <f>攻击!W60</f>
        <v>6.2</v>
      </c>
      <c r="V60" s="93">
        <f>攻击!X60</f>
        <v>0</v>
      </c>
      <c r="W60" s="93">
        <f>攻击!Y60</f>
        <v>0</v>
      </c>
      <c r="X60" s="93">
        <f>攻击!Z60</f>
        <v>0</v>
      </c>
      <c r="Y60" s="93">
        <f>攻击!AA60</f>
        <v>0</v>
      </c>
      <c r="Z60" s="93">
        <f>攻击!AB60</f>
        <v>0</v>
      </c>
      <c r="AA60" s="94">
        <f>攻击!AL60</f>
        <v>0</v>
      </c>
      <c r="AB60" s="93">
        <f>攻击!AM60</f>
        <v>0</v>
      </c>
      <c r="AC60" s="93">
        <f>攻击!AN60</f>
        <v>0</v>
      </c>
      <c r="AD60" s="93">
        <f>攻击!AO60</f>
        <v>0</v>
      </c>
      <c r="AE60" s="93">
        <f>攻击!AP60</f>
        <v>0</v>
      </c>
      <c r="AF60" s="93">
        <f>攻击!AQ60</f>
        <v>0</v>
      </c>
      <c r="AG60" s="94">
        <f>攻击!AR60</f>
        <v>24.8</v>
      </c>
      <c r="AH60" s="94">
        <f t="shared" si="0"/>
        <v>334.8</v>
      </c>
    </row>
    <row r="61" spans="1:34">
      <c r="A61" s="46">
        <v>59</v>
      </c>
      <c r="B61" s="94">
        <f>攻击!D61</f>
        <v>126</v>
      </c>
      <c r="C61" s="94">
        <f>攻击!E61</f>
        <v>151.19999999999999</v>
      </c>
      <c r="D61" s="94">
        <f>攻击!F61</f>
        <v>189</v>
      </c>
      <c r="E61" s="94">
        <f>攻击!G61</f>
        <v>252</v>
      </c>
      <c r="F61" s="94">
        <f>攻击!H61</f>
        <v>315</v>
      </c>
      <c r="G61" s="94">
        <f>攻击!I61</f>
        <v>59</v>
      </c>
      <c r="H61" s="94">
        <f>攻击!J61</f>
        <v>37.799999999999997</v>
      </c>
      <c r="I61" s="94">
        <f>攻击!K61</f>
        <v>75.599999999999994</v>
      </c>
      <c r="J61" s="94">
        <f>攻击!L61</f>
        <v>0</v>
      </c>
      <c r="K61" s="94">
        <f>攻击!M61</f>
        <v>100.80000000000001</v>
      </c>
      <c r="L61" s="94">
        <f>攻击!N61</f>
        <v>151.19999999999999</v>
      </c>
      <c r="M61" s="94">
        <f>攻击!O61</f>
        <v>189</v>
      </c>
      <c r="N61" s="94">
        <f>攻击!P61</f>
        <v>252</v>
      </c>
      <c r="O61" s="94">
        <f>攻击!Q61</f>
        <v>315</v>
      </c>
      <c r="P61" s="94">
        <f>攻击!R61</f>
        <v>378</v>
      </c>
      <c r="Q61" s="94">
        <f>攻击!S61</f>
        <v>441</v>
      </c>
      <c r="R61" s="94">
        <f>攻击!T61</f>
        <v>94.5</v>
      </c>
      <c r="S61" s="94">
        <f>攻击!U61</f>
        <v>37.799999999999997</v>
      </c>
      <c r="T61" s="94">
        <f>攻击!V61</f>
        <v>37.799999999999997</v>
      </c>
      <c r="U61" s="94">
        <f>攻击!W61</f>
        <v>6.3000000000000007</v>
      </c>
      <c r="V61" s="93">
        <f>攻击!X61</f>
        <v>0</v>
      </c>
      <c r="W61" s="93">
        <f>攻击!Y61</f>
        <v>0</v>
      </c>
      <c r="X61" s="93">
        <f>攻击!Z61</f>
        <v>0</v>
      </c>
      <c r="Y61" s="93">
        <f>攻击!AA61</f>
        <v>0</v>
      </c>
      <c r="Z61" s="93">
        <f>攻击!AB61</f>
        <v>0</v>
      </c>
      <c r="AA61" s="94">
        <f>攻击!AL61</f>
        <v>0</v>
      </c>
      <c r="AB61" s="93">
        <f>攻击!AM61</f>
        <v>0</v>
      </c>
      <c r="AC61" s="93">
        <f>攻击!AN61</f>
        <v>0</v>
      </c>
      <c r="AD61" s="93">
        <f>攻击!AO61</f>
        <v>0</v>
      </c>
      <c r="AE61" s="93">
        <f>攻击!AP61</f>
        <v>0</v>
      </c>
      <c r="AF61" s="93">
        <f>攻击!AQ61</f>
        <v>0</v>
      </c>
      <c r="AG61" s="94">
        <f>攻击!AR61</f>
        <v>25.200000000000003</v>
      </c>
      <c r="AH61" s="94">
        <f t="shared" si="0"/>
        <v>340.2</v>
      </c>
    </row>
    <row r="62" spans="1:34">
      <c r="A62" s="46">
        <v>60</v>
      </c>
      <c r="B62" s="94">
        <f>攻击!D62</f>
        <v>128</v>
      </c>
      <c r="C62" s="94">
        <f>攻击!E62</f>
        <v>153.6</v>
      </c>
      <c r="D62" s="94">
        <f>攻击!F62</f>
        <v>192</v>
      </c>
      <c r="E62" s="94">
        <f>攻击!G62</f>
        <v>256</v>
      </c>
      <c r="F62" s="94">
        <f>攻击!H62</f>
        <v>320</v>
      </c>
      <c r="G62" s="94">
        <f>攻击!I62</f>
        <v>64</v>
      </c>
      <c r="H62" s="94">
        <f>攻击!J62</f>
        <v>38.4</v>
      </c>
      <c r="I62" s="94">
        <f>攻击!K62</f>
        <v>76.8</v>
      </c>
      <c r="J62" s="94">
        <f>攻击!L62</f>
        <v>0</v>
      </c>
      <c r="K62" s="94">
        <f>攻击!M62</f>
        <v>102.4</v>
      </c>
      <c r="L62" s="94">
        <f>攻击!N62</f>
        <v>153.6</v>
      </c>
      <c r="M62" s="94">
        <f>攻击!O62</f>
        <v>192</v>
      </c>
      <c r="N62" s="94">
        <f>攻击!P62</f>
        <v>256</v>
      </c>
      <c r="O62" s="94">
        <f>攻击!Q62</f>
        <v>320</v>
      </c>
      <c r="P62" s="94">
        <f>攻击!R62</f>
        <v>384</v>
      </c>
      <c r="Q62" s="94">
        <f>攻击!S62</f>
        <v>448</v>
      </c>
      <c r="R62" s="94">
        <f>攻击!T62</f>
        <v>96</v>
      </c>
      <c r="S62" s="94">
        <f>攻击!U62</f>
        <v>38.4</v>
      </c>
      <c r="T62" s="94">
        <f>攻击!V62</f>
        <v>38.4</v>
      </c>
      <c r="U62" s="94">
        <f>攻击!W62</f>
        <v>6.4</v>
      </c>
      <c r="V62" s="93">
        <f>攻击!X62</f>
        <v>0</v>
      </c>
      <c r="W62" s="93">
        <f>攻击!Y62</f>
        <v>0</v>
      </c>
      <c r="X62" s="93">
        <f>攻击!Z62</f>
        <v>0</v>
      </c>
      <c r="Y62" s="93">
        <f>攻击!AA62</f>
        <v>0</v>
      </c>
      <c r="Z62" s="93">
        <f>攻击!AB62</f>
        <v>0</v>
      </c>
      <c r="AA62" s="94">
        <f>攻击!AL62</f>
        <v>0</v>
      </c>
      <c r="AB62" s="93">
        <f>攻击!AM62</f>
        <v>0</v>
      </c>
      <c r="AC62" s="93">
        <f>攻击!AN62</f>
        <v>0</v>
      </c>
      <c r="AD62" s="93">
        <f>攻击!AO62</f>
        <v>0</v>
      </c>
      <c r="AE62" s="93">
        <f>攻击!AP62</f>
        <v>0</v>
      </c>
      <c r="AF62" s="93">
        <f>攻击!AQ62</f>
        <v>0</v>
      </c>
      <c r="AG62" s="94">
        <f>攻击!AR62</f>
        <v>25.6</v>
      </c>
      <c r="AH62" s="94">
        <f t="shared" si="0"/>
        <v>345.6</v>
      </c>
    </row>
    <row r="63" spans="1:34">
      <c r="A63" s="46">
        <v>61</v>
      </c>
      <c r="B63" s="94">
        <f>攻击!D63</f>
        <v>130</v>
      </c>
      <c r="C63" s="94">
        <f>攻击!E63</f>
        <v>156</v>
      </c>
      <c r="D63" s="94">
        <f>攻击!F63</f>
        <v>195</v>
      </c>
      <c r="E63" s="94">
        <f>攻击!G63</f>
        <v>260</v>
      </c>
      <c r="F63" s="94">
        <f>攻击!H63</f>
        <v>325</v>
      </c>
      <c r="G63" s="94">
        <f>攻击!I63</f>
        <v>64</v>
      </c>
      <c r="H63" s="94">
        <f>攻击!J63</f>
        <v>39</v>
      </c>
      <c r="I63" s="94">
        <f>攻击!K63</f>
        <v>78</v>
      </c>
      <c r="J63" s="94">
        <f>攻击!L63</f>
        <v>0</v>
      </c>
      <c r="K63" s="94">
        <f>攻击!M63</f>
        <v>104</v>
      </c>
      <c r="L63" s="94">
        <f>攻击!N63</f>
        <v>156</v>
      </c>
      <c r="M63" s="94">
        <f>攻击!O63</f>
        <v>195</v>
      </c>
      <c r="N63" s="94">
        <f>攻击!P63</f>
        <v>260</v>
      </c>
      <c r="O63" s="94">
        <f>攻击!Q63</f>
        <v>325</v>
      </c>
      <c r="P63" s="94">
        <f>攻击!R63</f>
        <v>390</v>
      </c>
      <c r="Q63" s="94">
        <f>攻击!S63</f>
        <v>455</v>
      </c>
      <c r="R63" s="94">
        <f>攻击!T63</f>
        <v>97.5</v>
      </c>
      <c r="S63" s="94">
        <f>攻击!U63</f>
        <v>39</v>
      </c>
      <c r="T63" s="94">
        <f>攻击!V63</f>
        <v>39</v>
      </c>
      <c r="U63" s="94">
        <f>攻击!W63</f>
        <v>6.5</v>
      </c>
      <c r="V63" s="93">
        <f>攻击!X63</f>
        <v>0</v>
      </c>
      <c r="W63" s="93">
        <f>攻击!Y63</f>
        <v>0</v>
      </c>
      <c r="X63" s="93">
        <f>攻击!Z63</f>
        <v>0</v>
      </c>
      <c r="Y63" s="93">
        <f>攻击!AA63</f>
        <v>0</v>
      </c>
      <c r="Z63" s="93">
        <f>攻击!AB63</f>
        <v>0</v>
      </c>
      <c r="AA63" s="94">
        <f>攻击!AL63</f>
        <v>0</v>
      </c>
      <c r="AB63" s="93">
        <f>攻击!AM63</f>
        <v>0</v>
      </c>
      <c r="AC63" s="93">
        <f>攻击!AN63</f>
        <v>0</v>
      </c>
      <c r="AD63" s="93">
        <f>攻击!AO63</f>
        <v>0</v>
      </c>
      <c r="AE63" s="93">
        <f>攻击!AP63</f>
        <v>0</v>
      </c>
      <c r="AF63" s="93">
        <f>攻击!AQ63</f>
        <v>0</v>
      </c>
      <c r="AG63" s="94">
        <f>攻击!AR63</f>
        <v>26</v>
      </c>
      <c r="AH63" s="94">
        <f t="shared" si="0"/>
        <v>351</v>
      </c>
    </row>
    <row r="64" spans="1:34">
      <c r="A64" s="46">
        <v>62</v>
      </c>
      <c r="B64" s="94">
        <f>攻击!D64</f>
        <v>132</v>
      </c>
      <c r="C64" s="94">
        <f>攻击!E64</f>
        <v>158.4</v>
      </c>
      <c r="D64" s="94">
        <f>攻击!F64</f>
        <v>198</v>
      </c>
      <c r="E64" s="94">
        <f>攻击!G64</f>
        <v>264</v>
      </c>
      <c r="F64" s="94">
        <f>攻击!H64</f>
        <v>330</v>
      </c>
      <c r="G64" s="94">
        <f>攻击!I64</f>
        <v>64</v>
      </c>
      <c r="H64" s="94">
        <f>攻击!J64</f>
        <v>39.6</v>
      </c>
      <c r="I64" s="94">
        <f>攻击!K64</f>
        <v>79.2</v>
      </c>
      <c r="J64" s="94">
        <f>攻击!L64</f>
        <v>0</v>
      </c>
      <c r="K64" s="94">
        <f>攻击!M64</f>
        <v>105.60000000000001</v>
      </c>
      <c r="L64" s="94">
        <f>攻击!N64</f>
        <v>158.4</v>
      </c>
      <c r="M64" s="94">
        <f>攻击!O64</f>
        <v>198</v>
      </c>
      <c r="N64" s="94">
        <f>攻击!P64</f>
        <v>264</v>
      </c>
      <c r="O64" s="94">
        <f>攻击!Q64</f>
        <v>330</v>
      </c>
      <c r="P64" s="94">
        <f>攻击!R64</f>
        <v>396</v>
      </c>
      <c r="Q64" s="94">
        <f>攻击!S64</f>
        <v>462</v>
      </c>
      <c r="R64" s="94">
        <f>攻击!T64</f>
        <v>99</v>
      </c>
      <c r="S64" s="94">
        <f>攻击!U64</f>
        <v>39.6</v>
      </c>
      <c r="T64" s="94">
        <f>攻击!V64</f>
        <v>39.6</v>
      </c>
      <c r="U64" s="94">
        <f>攻击!W64</f>
        <v>6.6000000000000005</v>
      </c>
      <c r="V64" s="93">
        <f>攻击!X64</f>
        <v>0</v>
      </c>
      <c r="W64" s="93">
        <f>攻击!Y64</f>
        <v>0</v>
      </c>
      <c r="X64" s="93">
        <f>攻击!Z64</f>
        <v>0</v>
      </c>
      <c r="Y64" s="93">
        <f>攻击!AA64</f>
        <v>0</v>
      </c>
      <c r="Z64" s="93">
        <f>攻击!AB64</f>
        <v>0</v>
      </c>
      <c r="AA64" s="94">
        <f>攻击!AL64</f>
        <v>0</v>
      </c>
      <c r="AB64" s="93">
        <f>攻击!AM64</f>
        <v>0</v>
      </c>
      <c r="AC64" s="93">
        <f>攻击!AN64</f>
        <v>0</v>
      </c>
      <c r="AD64" s="93">
        <f>攻击!AO64</f>
        <v>0</v>
      </c>
      <c r="AE64" s="93">
        <f>攻击!AP64</f>
        <v>0</v>
      </c>
      <c r="AF64" s="93">
        <f>攻击!AQ64</f>
        <v>0</v>
      </c>
      <c r="AG64" s="94">
        <f>攻击!AR64</f>
        <v>26.400000000000002</v>
      </c>
      <c r="AH64" s="94">
        <f t="shared" si="0"/>
        <v>356.4</v>
      </c>
    </row>
    <row r="65" spans="1:34">
      <c r="A65" s="46">
        <v>63</v>
      </c>
      <c r="B65" s="94">
        <f>攻击!D65</f>
        <v>134</v>
      </c>
      <c r="C65" s="94">
        <f>攻击!E65</f>
        <v>160.79999999999998</v>
      </c>
      <c r="D65" s="94">
        <f>攻击!F65</f>
        <v>201</v>
      </c>
      <c r="E65" s="94">
        <f>攻击!G65</f>
        <v>268</v>
      </c>
      <c r="F65" s="94">
        <f>攻击!H65</f>
        <v>335</v>
      </c>
      <c r="G65" s="94">
        <f>攻击!I65</f>
        <v>64</v>
      </c>
      <c r="H65" s="94">
        <f>攻击!J65</f>
        <v>40.199999999999996</v>
      </c>
      <c r="I65" s="94">
        <f>攻击!K65</f>
        <v>80.399999999999991</v>
      </c>
      <c r="J65" s="94">
        <f>攻击!L65</f>
        <v>0</v>
      </c>
      <c r="K65" s="94">
        <f>攻击!M65</f>
        <v>107.2</v>
      </c>
      <c r="L65" s="94">
        <f>攻击!N65</f>
        <v>160.79999999999998</v>
      </c>
      <c r="M65" s="94">
        <f>攻击!O65</f>
        <v>201</v>
      </c>
      <c r="N65" s="94">
        <f>攻击!P65</f>
        <v>268</v>
      </c>
      <c r="O65" s="94">
        <f>攻击!Q65</f>
        <v>335</v>
      </c>
      <c r="P65" s="94">
        <f>攻击!R65</f>
        <v>402</v>
      </c>
      <c r="Q65" s="94">
        <f>攻击!S65</f>
        <v>469</v>
      </c>
      <c r="R65" s="94">
        <f>攻击!T65</f>
        <v>100.5</v>
      </c>
      <c r="S65" s="94">
        <f>攻击!U65</f>
        <v>40.199999999999996</v>
      </c>
      <c r="T65" s="94">
        <f>攻击!V65</f>
        <v>40.199999999999996</v>
      </c>
      <c r="U65" s="94">
        <f>攻击!W65</f>
        <v>6.7</v>
      </c>
      <c r="V65" s="93">
        <f>攻击!X65</f>
        <v>0</v>
      </c>
      <c r="W65" s="93">
        <f>攻击!Y65</f>
        <v>0</v>
      </c>
      <c r="X65" s="93">
        <f>攻击!Z65</f>
        <v>0</v>
      </c>
      <c r="Y65" s="93">
        <f>攻击!AA65</f>
        <v>0</v>
      </c>
      <c r="Z65" s="93">
        <f>攻击!AB65</f>
        <v>0</v>
      </c>
      <c r="AA65" s="94">
        <f>攻击!AL65</f>
        <v>0</v>
      </c>
      <c r="AB65" s="93">
        <f>攻击!AM65</f>
        <v>0</v>
      </c>
      <c r="AC65" s="93">
        <f>攻击!AN65</f>
        <v>0</v>
      </c>
      <c r="AD65" s="93">
        <f>攻击!AO65</f>
        <v>0</v>
      </c>
      <c r="AE65" s="93">
        <f>攻击!AP65</f>
        <v>0</v>
      </c>
      <c r="AF65" s="93">
        <f>攻击!AQ65</f>
        <v>0</v>
      </c>
      <c r="AG65" s="94">
        <f>攻击!AR65</f>
        <v>26.8</v>
      </c>
      <c r="AH65" s="94">
        <f t="shared" si="0"/>
        <v>361.8</v>
      </c>
    </row>
    <row r="66" spans="1:34">
      <c r="A66" s="46">
        <v>64</v>
      </c>
      <c r="B66" s="94">
        <f>攻击!D66</f>
        <v>136</v>
      </c>
      <c r="C66" s="94">
        <f>攻击!E66</f>
        <v>163.19999999999999</v>
      </c>
      <c r="D66" s="94">
        <f>攻击!F66</f>
        <v>204</v>
      </c>
      <c r="E66" s="94">
        <f>攻击!G66</f>
        <v>272</v>
      </c>
      <c r="F66" s="94">
        <f>攻击!H66</f>
        <v>340</v>
      </c>
      <c r="G66" s="94">
        <f>攻击!I66</f>
        <v>64</v>
      </c>
      <c r="H66" s="94">
        <f>攻击!J66</f>
        <v>40.799999999999997</v>
      </c>
      <c r="I66" s="94">
        <f>攻击!K66</f>
        <v>81.599999999999994</v>
      </c>
      <c r="J66" s="94">
        <f>攻击!L66</f>
        <v>0</v>
      </c>
      <c r="K66" s="94">
        <f>攻击!M66</f>
        <v>108.80000000000001</v>
      </c>
      <c r="L66" s="94">
        <f>攻击!N66</f>
        <v>163.19999999999999</v>
      </c>
      <c r="M66" s="94">
        <f>攻击!O66</f>
        <v>204</v>
      </c>
      <c r="N66" s="94">
        <f>攻击!P66</f>
        <v>272</v>
      </c>
      <c r="O66" s="94">
        <f>攻击!Q66</f>
        <v>340</v>
      </c>
      <c r="P66" s="94">
        <f>攻击!R66</f>
        <v>408</v>
      </c>
      <c r="Q66" s="94">
        <f>攻击!S66</f>
        <v>476</v>
      </c>
      <c r="R66" s="94">
        <f>攻击!T66</f>
        <v>102</v>
      </c>
      <c r="S66" s="94">
        <f>攻击!U66</f>
        <v>40.799999999999997</v>
      </c>
      <c r="T66" s="94">
        <f>攻击!V66</f>
        <v>40.799999999999997</v>
      </c>
      <c r="U66" s="94">
        <f>攻击!W66</f>
        <v>6.8000000000000007</v>
      </c>
      <c r="V66" s="93">
        <f>攻击!X66</f>
        <v>0</v>
      </c>
      <c r="W66" s="93">
        <f>攻击!Y66</f>
        <v>0</v>
      </c>
      <c r="X66" s="93">
        <f>攻击!Z66</f>
        <v>0</v>
      </c>
      <c r="Y66" s="93">
        <f>攻击!AA66</f>
        <v>0</v>
      </c>
      <c r="Z66" s="93">
        <f>攻击!AB66</f>
        <v>0</v>
      </c>
      <c r="AA66" s="94">
        <f>攻击!AL66</f>
        <v>0</v>
      </c>
      <c r="AB66" s="93">
        <f>攻击!AM66</f>
        <v>0</v>
      </c>
      <c r="AC66" s="93">
        <f>攻击!AN66</f>
        <v>0</v>
      </c>
      <c r="AD66" s="93">
        <f>攻击!AO66</f>
        <v>0</v>
      </c>
      <c r="AE66" s="93">
        <f>攻击!AP66</f>
        <v>0</v>
      </c>
      <c r="AF66" s="93">
        <f>攻击!AQ66</f>
        <v>0</v>
      </c>
      <c r="AG66" s="94">
        <f>攻击!AR66</f>
        <v>27.200000000000003</v>
      </c>
      <c r="AH66" s="94">
        <f t="shared" si="0"/>
        <v>367.2</v>
      </c>
    </row>
    <row r="67" spans="1:34">
      <c r="A67" s="46">
        <v>65</v>
      </c>
      <c r="B67" s="94">
        <f>攻击!D67</f>
        <v>138</v>
      </c>
      <c r="C67" s="94">
        <f>攻击!E67</f>
        <v>165.6</v>
      </c>
      <c r="D67" s="94">
        <f>攻击!F67</f>
        <v>207</v>
      </c>
      <c r="E67" s="94">
        <f>攻击!G67</f>
        <v>276</v>
      </c>
      <c r="F67" s="94">
        <f>攻击!H67</f>
        <v>345</v>
      </c>
      <c r="G67" s="94">
        <f>攻击!I67</f>
        <v>69</v>
      </c>
      <c r="H67" s="94">
        <f>攻击!J67</f>
        <v>41.4</v>
      </c>
      <c r="I67" s="94">
        <f>攻击!K67</f>
        <v>82.8</v>
      </c>
      <c r="J67" s="94">
        <f>攻击!L67</f>
        <v>0</v>
      </c>
      <c r="K67" s="94">
        <f>攻击!M67</f>
        <v>110.4</v>
      </c>
      <c r="L67" s="94">
        <f>攻击!N67</f>
        <v>165.6</v>
      </c>
      <c r="M67" s="94">
        <f>攻击!O67</f>
        <v>207</v>
      </c>
      <c r="N67" s="94">
        <f>攻击!P67</f>
        <v>276</v>
      </c>
      <c r="O67" s="94">
        <f>攻击!Q67</f>
        <v>345</v>
      </c>
      <c r="P67" s="94">
        <f>攻击!R67</f>
        <v>414</v>
      </c>
      <c r="Q67" s="94">
        <f>攻击!S67</f>
        <v>483</v>
      </c>
      <c r="R67" s="94">
        <f>攻击!T67</f>
        <v>103.5</v>
      </c>
      <c r="S67" s="94">
        <f>攻击!U67</f>
        <v>41.4</v>
      </c>
      <c r="T67" s="94">
        <f>攻击!V67</f>
        <v>41.4</v>
      </c>
      <c r="U67" s="94">
        <f>攻击!W67</f>
        <v>6.9</v>
      </c>
      <c r="V67" s="93">
        <f>攻击!X67</f>
        <v>0</v>
      </c>
      <c r="W67" s="93">
        <f>攻击!Y67</f>
        <v>0</v>
      </c>
      <c r="X67" s="93">
        <f>攻击!Z67</f>
        <v>0</v>
      </c>
      <c r="Y67" s="93">
        <f>攻击!AA67</f>
        <v>0</v>
      </c>
      <c r="Z67" s="93">
        <f>攻击!AB67</f>
        <v>0</v>
      </c>
      <c r="AA67" s="94">
        <f>攻击!AL67</f>
        <v>0</v>
      </c>
      <c r="AB67" s="93">
        <f>攻击!AM67</f>
        <v>0</v>
      </c>
      <c r="AC67" s="93">
        <f>攻击!AN67</f>
        <v>0</v>
      </c>
      <c r="AD67" s="93">
        <f>攻击!AO67</f>
        <v>0</v>
      </c>
      <c r="AE67" s="93">
        <f>攻击!AP67</f>
        <v>0</v>
      </c>
      <c r="AF67" s="93">
        <f>攻击!AQ67</f>
        <v>0</v>
      </c>
      <c r="AG67" s="94">
        <f>攻击!AR67</f>
        <v>27.6</v>
      </c>
      <c r="AH67" s="94">
        <f t="shared" si="0"/>
        <v>372.6</v>
      </c>
    </row>
    <row r="68" spans="1:34">
      <c r="A68" s="46">
        <v>66</v>
      </c>
      <c r="B68" s="94">
        <f>攻击!D68</f>
        <v>140</v>
      </c>
      <c r="C68" s="94">
        <f>攻击!E68</f>
        <v>168</v>
      </c>
      <c r="D68" s="94">
        <f>攻击!F68</f>
        <v>210</v>
      </c>
      <c r="E68" s="94">
        <f>攻击!G68</f>
        <v>280</v>
      </c>
      <c r="F68" s="94">
        <f>攻击!H68</f>
        <v>350</v>
      </c>
      <c r="G68" s="94">
        <f>攻击!I68</f>
        <v>69</v>
      </c>
      <c r="H68" s="94">
        <f>攻击!J68</f>
        <v>42</v>
      </c>
      <c r="I68" s="94">
        <f>攻击!K68</f>
        <v>84</v>
      </c>
      <c r="J68" s="94">
        <f>攻击!L68</f>
        <v>0</v>
      </c>
      <c r="K68" s="94">
        <f>攻击!M68</f>
        <v>112</v>
      </c>
      <c r="L68" s="94">
        <f>攻击!N68</f>
        <v>168</v>
      </c>
      <c r="M68" s="94">
        <f>攻击!O68</f>
        <v>210</v>
      </c>
      <c r="N68" s="94">
        <f>攻击!P68</f>
        <v>280</v>
      </c>
      <c r="O68" s="94">
        <f>攻击!Q68</f>
        <v>350</v>
      </c>
      <c r="P68" s="94">
        <f>攻击!R68</f>
        <v>420</v>
      </c>
      <c r="Q68" s="94">
        <f>攻击!S68</f>
        <v>490</v>
      </c>
      <c r="R68" s="94">
        <f>攻击!T68</f>
        <v>105</v>
      </c>
      <c r="S68" s="94">
        <f>攻击!U68</f>
        <v>42</v>
      </c>
      <c r="T68" s="94">
        <f>攻击!V68</f>
        <v>42</v>
      </c>
      <c r="U68" s="94">
        <f>攻击!W68</f>
        <v>7</v>
      </c>
      <c r="V68" s="93">
        <f>攻击!X68</f>
        <v>0</v>
      </c>
      <c r="W68" s="93">
        <f>攻击!Y68</f>
        <v>0</v>
      </c>
      <c r="X68" s="93">
        <f>攻击!Z68</f>
        <v>0</v>
      </c>
      <c r="Y68" s="93">
        <f>攻击!AA68</f>
        <v>0</v>
      </c>
      <c r="Z68" s="93">
        <f>攻击!AB68</f>
        <v>0</v>
      </c>
      <c r="AA68" s="94">
        <f>攻击!AL68</f>
        <v>0</v>
      </c>
      <c r="AB68" s="93">
        <f>攻击!AM68</f>
        <v>0</v>
      </c>
      <c r="AC68" s="93">
        <f>攻击!AN68</f>
        <v>0</v>
      </c>
      <c r="AD68" s="93">
        <f>攻击!AO68</f>
        <v>0</v>
      </c>
      <c r="AE68" s="93">
        <f>攻击!AP68</f>
        <v>0</v>
      </c>
      <c r="AF68" s="93">
        <f>攻击!AQ68</f>
        <v>0</v>
      </c>
      <c r="AG68" s="94">
        <f>攻击!AR68</f>
        <v>28</v>
      </c>
      <c r="AH68" s="94">
        <f t="shared" ref="AH68:AH122" si="1">B68+M68+AA68+AG68</f>
        <v>378</v>
      </c>
    </row>
    <row r="69" spans="1:34">
      <c r="A69" s="46">
        <v>67</v>
      </c>
      <c r="B69" s="94">
        <f>攻击!D69</f>
        <v>142</v>
      </c>
      <c r="C69" s="94">
        <f>攻击!E69</f>
        <v>170.4</v>
      </c>
      <c r="D69" s="94">
        <f>攻击!F69</f>
        <v>213</v>
      </c>
      <c r="E69" s="94">
        <f>攻击!G69</f>
        <v>284</v>
      </c>
      <c r="F69" s="94">
        <f>攻击!H69</f>
        <v>355</v>
      </c>
      <c r="G69" s="94">
        <f>攻击!I69</f>
        <v>69</v>
      </c>
      <c r="H69" s="94">
        <f>攻击!J69</f>
        <v>42.6</v>
      </c>
      <c r="I69" s="94">
        <f>攻击!K69</f>
        <v>85.2</v>
      </c>
      <c r="J69" s="94">
        <f>攻击!L69</f>
        <v>0</v>
      </c>
      <c r="K69" s="94">
        <f>攻击!M69</f>
        <v>113.60000000000001</v>
      </c>
      <c r="L69" s="94">
        <f>攻击!N69</f>
        <v>170.4</v>
      </c>
      <c r="M69" s="94">
        <f>攻击!O69</f>
        <v>213</v>
      </c>
      <c r="N69" s="94">
        <f>攻击!P69</f>
        <v>284</v>
      </c>
      <c r="O69" s="94">
        <f>攻击!Q69</f>
        <v>355</v>
      </c>
      <c r="P69" s="94">
        <f>攻击!R69</f>
        <v>426</v>
      </c>
      <c r="Q69" s="94">
        <f>攻击!S69</f>
        <v>497</v>
      </c>
      <c r="R69" s="94">
        <f>攻击!T69</f>
        <v>106.5</v>
      </c>
      <c r="S69" s="94">
        <f>攻击!U69</f>
        <v>42.6</v>
      </c>
      <c r="T69" s="94">
        <f>攻击!V69</f>
        <v>42.6</v>
      </c>
      <c r="U69" s="94">
        <f>攻击!W69</f>
        <v>7.1000000000000005</v>
      </c>
      <c r="V69" s="93">
        <f>攻击!X69</f>
        <v>0</v>
      </c>
      <c r="W69" s="93">
        <f>攻击!Y69</f>
        <v>0</v>
      </c>
      <c r="X69" s="93">
        <f>攻击!Z69</f>
        <v>0</v>
      </c>
      <c r="Y69" s="93">
        <f>攻击!AA69</f>
        <v>0</v>
      </c>
      <c r="Z69" s="93">
        <f>攻击!AB69</f>
        <v>0</v>
      </c>
      <c r="AA69" s="94">
        <f>攻击!AL69</f>
        <v>0</v>
      </c>
      <c r="AB69" s="93">
        <f>攻击!AM69</f>
        <v>0</v>
      </c>
      <c r="AC69" s="93">
        <f>攻击!AN69</f>
        <v>0</v>
      </c>
      <c r="AD69" s="93">
        <f>攻击!AO69</f>
        <v>0</v>
      </c>
      <c r="AE69" s="93">
        <f>攻击!AP69</f>
        <v>0</v>
      </c>
      <c r="AF69" s="93">
        <f>攻击!AQ69</f>
        <v>0</v>
      </c>
      <c r="AG69" s="94">
        <f>攻击!AR69</f>
        <v>28.400000000000002</v>
      </c>
      <c r="AH69" s="94">
        <f t="shared" si="1"/>
        <v>383.4</v>
      </c>
    </row>
    <row r="70" spans="1:34">
      <c r="A70" s="46">
        <v>68</v>
      </c>
      <c r="B70" s="94">
        <f>攻击!D70</f>
        <v>144</v>
      </c>
      <c r="C70" s="94">
        <f>攻击!E70</f>
        <v>172.79999999999998</v>
      </c>
      <c r="D70" s="94">
        <f>攻击!F70</f>
        <v>216</v>
      </c>
      <c r="E70" s="94">
        <f>攻击!G70</f>
        <v>288</v>
      </c>
      <c r="F70" s="94">
        <f>攻击!H70</f>
        <v>360</v>
      </c>
      <c r="G70" s="94">
        <f>攻击!I70</f>
        <v>69</v>
      </c>
      <c r="H70" s="94">
        <f>攻击!J70</f>
        <v>43.199999999999996</v>
      </c>
      <c r="I70" s="94">
        <f>攻击!K70</f>
        <v>86.399999999999991</v>
      </c>
      <c r="J70" s="94">
        <f>攻击!L70</f>
        <v>0</v>
      </c>
      <c r="K70" s="94">
        <f>攻击!M70</f>
        <v>115.2</v>
      </c>
      <c r="L70" s="94">
        <f>攻击!N70</f>
        <v>172.79999999999998</v>
      </c>
      <c r="M70" s="94">
        <f>攻击!O70</f>
        <v>216</v>
      </c>
      <c r="N70" s="94">
        <f>攻击!P70</f>
        <v>288</v>
      </c>
      <c r="O70" s="94">
        <f>攻击!Q70</f>
        <v>360</v>
      </c>
      <c r="P70" s="94">
        <f>攻击!R70</f>
        <v>432</v>
      </c>
      <c r="Q70" s="94">
        <f>攻击!S70</f>
        <v>504</v>
      </c>
      <c r="R70" s="94">
        <f>攻击!T70</f>
        <v>108</v>
      </c>
      <c r="S70" s="94">
        <f>攻击!U70</f>
        <v>43.199999999999996</v>
      </c>
      <c r="T70" s="94">
        <f>攻击!V70</f>
        <v>43.199999999999996</v>
      </c>
      <c r="U70" s="94">
        <f>攻击!W70</f>
        <v>7.2</v>
      </c>
      <c r="V70" s="93">
        <f>攻击!X70</f>
        <v>0</v>
      </c>
      <c r="W70" s="93">
        <f>攻击!Y70</f>
        <v>0</v>
      </c>
      <c r="X70" s="93">
        <f>攻击!Z70</f>
        <v>0</v>
      </c>
      <c r="Y70" s="93">
        <f>攻击!AA70</f>
        <v>0</v>
      </c>
      <c r="Z70" s="93">
        <f>攻击!AB70</f>
        <v>0</v>
      </c>
      <c r="AA70" s="94">
        <f>攻击!AL70</f>
        <v>0</v>
      </c>
      <c r="AB70" s="93">
        <f>攻击!AM70</f>
        <v>0</v>
      </c>
      <c r="AC70" s="93">
        <f>攻击!AN70</f>
        <v>0</v>
      </c>
      <c r="AD70" s="93">
        <f>攻击!AO70</f>
        <v>0</v>
      </c>
      <c r="AE70" s="93">
        <f>攻击!AP70</f>
        <v>0</v>
      </c>
      <c r="AF70" s="93">
        <f>攻击!AQ70</f>
        <v>0</v>
      </c>
      <c r="AG70" s="94">
        <f>攻击!AR70</f>
        <v>28.8</v>
      </c>
      <c r="AH70" s="94">
        <f t="shared" si="1"/>
        <v>388.8</v>
      </c>
    </row>
    <row r="71" spans="1:34">
      <c r="A71" s="46">
        <v>69</v>
      </c>
      <c r="B71" s="94">
        <f>攻击!D71</f>
        <v>146</v>
      </c>
      <c r="C71" s="94">
        <f>攻击!E71</f>
        <v>175.2</v>
      </c>
      <c r="D71" s="94">
        <f>攻击!F71</f>
        <v>219</v>
      </c>
      <c r="E71" s="94">
        <f>攻击!G71</f>
        <v>292</v>
      </c>
      <c r="F71" s="94">
        <f>攻击!H71</f>
        <v>365</v>
      </c>
      <c r="G71" s="94">
        <f>攻击!I71</f>
        <v>69</v>
      </c>
      <c r="H71" s="94">
        <f>攻击!J71</f>
        <v>43.8</v>
      </c>
      <c r="I71" s="94">
        <f>攻击!K71</f>
        <v>87.6</v>
      </c>
      <c r="J71" s="94">
        <f>攻击!L71</f>
        <v>0</v>
      </c>
      <c r="K71" s="94">
        <f>攻击!M71</f>
        <v>116.80000000000001</v>
      </c>
      <c r="L71" s="94">
        <f>攻击!N71</f>
        <v>175.2</v>
      </c>
      <c r="M71" s="94">
        <f>攻击!O71</f>
        <v>219</v>
      </c>
      <c r="N71" s="94">
        <f>攻击!P71</f>
        <v>292</v>
      </c>
      <c r="O71" s="94">
        <f>攻击!Q71</f>
        <v>365</v>
      </c>
      <c r="P71" s="94">
        <f>攻击!R71</f>
        <v>438</v>
      </c>
      <c r="Q71" s="94">
        <f>攻击!S71</f>
        <v>511</v>
      </c>
      <c r="R71" s="94">
        <f>攻击!T71</f>
        <v>109.5</v>
      </c>
      <c r="S71" s="94">
        <f>攻击!U71</f>
        <v>43.8</v>
      </c>
      <c r="T71" s="94">
        <f>攻击!V71</f>
        <v>43.8</v>
      </c>
      <c r="U71" s="94">
        <f>攻击!W71</f>
        <v>7.3000000000000007</v>
      </c>
      <c r="V71" s="93">
        <f>攻击!X71</f>
        <v>0</v>
      </c>
      <c r="W71" s="93">
        <f>攻击!Y71</f>
        <v>0</v>
      </c>
      <c r="X71" s="93">
        <f>攻击!Z71</f>
        <v>0</v>
      </c>
      <c r="Y71" s="93">
        <f>攻击!AA71</f>
        <v>0</v>
      </c>
      <c r="Z71" s="93">
        <f>攻击!AB71</f>
        <v>0</v>
      </c>
      <c r="AA71" s="94">
        <f>攻击!AL71</f>
        <v>0</v>
      </c>
      <c r="AB71" s="93">
        <f>攻击!AM71</f>
        <v>0</v>
      </c>
      <c r="AC71" s="93">
        <f>攻击!AN71</f>
        <v>0</v>
      </c>
      <c r="AD71" s="93">
        <f>攻击!AO71</f>
        <v>0</v>
      </c>
      <c r="AE71" s="93">
        <f>攻击!AP71</f>
        <v>0</v>
      </c>
      <c r="AF71" s="93">
        <f>攻击!AQ71</f>
        <v>0</v>
      </c>
      <c r="AG71" s="94">
        <f>攻击!AR71</f>
        <v>29.200000000000003</v>
      </c>
      <c r="AH71" s="94">
        <f t="shared" si="1"/>
        <v>394.2</v>
      </c>
    </row>
    <row r="72" spans="1:34">
      <c r="A72" s="46">
        <v>70</v>
      </c>
      <c r="B72" s="94">
        <f>攻击!D72</f>
        <v>148</v>
      </c>
      <c r="C72" s="94">
        <f>攻击!E72</f>
        <v>177.6</v>
      </c>
      <c r="D72" s="94">
        <f>攻击!F72</f>
        <v>222</v>
      </c>
      <c r="E72" s="94">
        <f>攻击!G72</f>
        <v>296</v>
      </c>
      <c r="F72" s="94">
        <f>攻击!H72</f>
        <v>370</v>
      </c>
      <c r="G72" s="94">
        <f>攻击!I72</f>
        <v>74</v>
      </c>
      <c r="H72" s="94">
        <f>攻击!J72</f>
        <v>44.4</v>
      </c>
      <c r="I72" s="94">
        <f>攻击!K72</f>
        <v>88.8</v>
      </c>
      <c r="J72" s="94">
        <f>攻击!L72</f>
        <v>44.4</v>
      </c>
      <c r="K72" s="94">
        <f>攻击!M72</f>
        <v>118.4</v>
      </c>
      <c r="L72" s="94">
        <f>攻击!N72</f>
        <v>177.6</v>
      </c>
      <c r="M72" s="94">
        <f>攻击!O72</f>
        <v>222</v>
      </c>
      <c r="N72" s="94">
        <f>攻击!P72</f>
        <v>296</v>
      </c>
      <c r="O72" s="94">
        <f>攻击!Q72</f>
        <v>370</v>
      </c>
      <c r="P72" s="94">
        <f>攻击!R72</f>
        <v>444</v>
      </c>
      <c r="Q72" s="94">
        <f>攻击!S72</f>
        <v>518</v>
      </c>
      <c r="R72" s="94">
        <f>攻击!T72</f>
        <v>111</v>
      </c>
      <c r="S72" s="94">
        <f>攻击!U72</f>
        <v>44.4</v>
      </c>
      <c r="T72" s="94">
        <f>攻击!V72</f>
        <v>44.4</v>
      </c>
      <c r="U72" s="94">
        <f>攻击!W72</f>
        <v>7.4</v>
      </c>
      <c r="V72" s="93">
        <f>攻击!X72</f>
        <v>0</v>
      </c>
      <c r="W72" s="93">
        <f>攻击!Y72</f>
        <v>0</v>
      </c>
      <c r="X72" s="93">
        <f>攻击!Z72</f>
        <v>0</v>
      </c>
      <c r="Y72" s="93">
        <f>攻击!AA72</f>
        <v>0</v>
      </c>
      <c r="Z72" s="93">
        <f>攻击!AB72</f>
        <v>0</v>
      </c>
      <c r="AA72" s="94">
        <f>攻击!AL72</f>
        <v>177.6</v>
      </c>
      <c r="AB72" s="93">
        <f>攻击!AM72</f>
        <v>0</v>
      </c>
      <c r="AC72" s="93">
        <f>攻击!AN72</f>
        <v>0</v>
      </c>
      <c r="AD72" s="93">
        <f>攻击!AO72</f>
        <v>0</v>
      </c>
      <c r="AE72" s="93">
        <f>攻击!AP72</f>
        <v>0</v>
      </c>
      <c r="AF72" s="93">
        <f>攻击!AQ72</f>
        <v>0</v>
      </c>
      <c r="AG72" s="94">
        <f>攻击!AR72</f>
        <v>29.6</v>
      </c>
      <c r="AH72" s="94">
        <f t="shared" si="1"/>
        <v>577.20000000000005</v>
      </c>
    </row>
    <row r="73" spans="1:34">
      <c r="A73" s="46">
        <v>71</v>
      </c>
      <c r="B73" s="94">
        <f>攻击!D73</f>
        <v>150</v>
      </c>
      <c r="C73" s="94">
        <f>攻击!E73</f>
        <v>180</v>
      </c>
      <c r="D73" s="94">
        <f>攻击!F73</f>
        <v>225</v>
      </c>
      <c r="E73" s="94">
        <f>攻击!G73</f>
        <v>300</v>
      </c>
      <c r="F73" s="94">
        <f>攻击!H73</f>
        <v>375</v>
      </c>
      <c r="G73" s="94">
        <f>攻击!I73</f>
        <v>74</v>
      </c>
      <c r="H73" s="94">
        <f>攻击!J73</f>
        <v>45</v>
      </c>
      <c r="I73" s="94">
        <f>攻击!K73</f>
        <v>90</v>
      </c>
      <c r="J73" s="94">
        <f>攻击!L73</f>
        <v>45</v>
      </c>
      <c r="K73" s="94">
        <f>攻击!M73</f>
        <v>120</v>
      </c>
      <c r="L73" s="94">
        <f>攻击!N73</f>
        <v>180</v>
      </c>
      <c r="M73" s="94">
        <f>攻击!O73</f>
        <v>225</v>
      </c>
      <c r="N73" s="94">
        <f>攻击!P73</f>
        <v>300</v>
      </c>
      <c r="O73" s="94">
        <f>攻击!Q73</f>
        <v>375</v>
      </c>
      <c r="P73" s="94">
        <f>攻击!R73</f>
        <v>450</v>
      </c>
      <c r="Q73" s="94">
        <f>攻击!S73</f>
        <v>525</v>
      </c>
      <c r="R73" s="94">
        <f>攻击!T73</f>
        <v>112.5</v>
      </c>
      <c r="S73" s="94">
        <f>攻击!U73</f>
        <v>45</v>
      </c>
      <c r="T73" s="94">
        <f>攻击!V73</f>
        <v>45</v>
      </c>
      <c r="U73" s="94">
        <f>攻击!W73</f>
        <v>7.5</v>
      </c>
      <c r="V73" s="93">
        <f>攻击!X73</f>
        <v>0</v>
      </c>
      <c r="W73" s="93">
        <f>攻击!Y73</f>
        <v>0</v>
      </c>
      <c r="X73" s="93">
        <f>攻击!Z73</f>
        <v>0</v>
      </c>
      <c r="Y73" s="93">
        <f>攻击!AA73</f>
        <v>0</v>
      </c>
      <c r="Z73" s="93">
        <f>攻击!AB73</f>
        <v>0</v>
      </c>
      <c r="AA73" s="94">
        <f>攻击!AL73</f>
        <v>180</v>
      </c>
      <c r="AB73" s="93">
        <f>攻击!AM73</f>
        <v>0</v>
      </c>
      <c r="AC73" s="93">
        <f>攻击!AN73</f>
        <v>0</v>
      </c>
      <c r="AD73" s="93">
        <f>攻击!AO73</f>
        <v>0</v>
      </c>
      <c r="AE73" s="93">
        <f>攻击!AP73</f>
        <v>0</v>
      </c>
      <c r="AF73" s="93">
        <f>攻击!AQ73</f>
        <v>0</v>
      </c>
      <c r="AG73" s="94">
        <f>攻击!AR73</f>
        <v>30</v>
      </c>
      <c r="AH73" s="94">
        <f t="shared" si="1"/>
        <v>585</v>
      </c>
    </row>
    <row r="74" spans="1:34">
      <c r="A74" s="46">
        <v>72</v>
      </c>
      <c r="B74" s="94">
        <f>攻击!D74</f>
        <v>152</v>
      </c>
      <c r="C74" s="94">
        <f>攻击!E74</f>
        <v>182.4</v>
      </c>
      <c r="D74" s="94">
        <f>攻击!F74</f>
        <v>228</v>
      </c>
      <c r="E74" s="94">
        <f>攻击!G74</f>
        <v>304</v>
      </c>
      <c r="F74" s="94">
        <f>攻击!H74</f>
        <v>380</v>
      </c>
      <c r="G74" s="94">
        <f>攻击!I74</f>
        <v>74</v>
      </c>
      <c r="H74" s="94">
        <f>攻击!J74</f>
        <v>45.6</v>
      </c>
      <c r="I74" s="94">
        <f>攻击!K74</f>
        <v>91.2</v>
      </c>
      <c r="J74" s="94">
        <f>攻击!L74</f>
        <v>45.6</v>
      </c>
      <c r="K74" s="94">
        <f>攻击!M74</f>
        <v>121.60000000000001</v>
      </c>
      <c r="L74" s="94">
        <f>攻击!N74</f>
        <v>182.4</v>
      </c>
      <c r="M74" s="94">
        <f>攻击!O74</f>
        <v>228</v>
      </c>
      <c r="N74" s="94">
        <f>攻击!P74</f>
        <v>304</v>
      </c>
      <c r="O74" s="94">
        <f>攻击!Q74</f>
        <v>380</v>
      </c>
      <c r="P74" s="94">
        <f>攻击!R74</f>
        <v>456</v>
      </c>
      <c r="Q74" s="94">
        <f>攻击!S74</f>
        <v>532</v>
      </c>
      <c r="R74" s="94">
        <f>攻击!T74</f>
        <v>114</v>
      </c>
      <c r="S74" s="94">
        <f>攻击!U74</f>
        <v>45.6</v>
      </c>
      <c r="T74" s="94">
        <f>攻击!V74</f>
        <v>45.6</v>
      </c>
      <c r="U74" s="94">
        <f>攻击!W74</f>
        <v>7.6000000000000005</v>
      </c>
      <c r="V74" s="93">
        <f>攻击!X74</f>
        <v>0</v>
      </c>
      <c r="W74" s="93">
        <f>攻击!Y74</f>
        <v>0</v>
      </c>
      <c r="X74" s="93">
        <f>攻击!Z74</f>
        <v>0</v>
      </c>
      <c r="Y74" s="93">
        <f>攻击!AA74</f>
        <v>0</v>
      </c>
      <c r="Z74" s="93">
        <f>攻击!AB74</f>
        <v>0</v>
      </c>
      <c r="AA74" s="94">
        <f>攻击!AL74</f>
        <v>182.4</v>
      </c>
      <c r="AB74" s="93">
        <f>攻击!AM74</f>
        <v>0</v>
      </c>
      <c r="AC74" s="93">
        <f>攻击!AN74</f>
        <v>0</v>
      </c>
      <c r="AD74" s="93">
        <f>攻击!AO74</f>
        <v>0</v>
      </c>
      <c r="AE74" s="93">
        <f>攻击!AP74</f>
        <v>0</v>
      </c>
      <c r="AF74" s="93">
        <f>攻击!AQ74</f>
        <v>0</v>
      </c>
      <c r="AG74" s="94">
        <f>攻击!AR74</f>
        <v>30.400000000000002</v>
      </c>
      <c r="AH74" s="94">
        <f t="shared" si="1"/>
        <v>592.79999999999995</v>
      </c>
    </row>
    <row r="75" spans="1:34">
      <c r="A75" s="46">
        <v>73</v>
      </c>
      <c r="B75" s="94">
        <f>攻击!D75</f>
        <v>154</v>
      </c>
      <c r="C75" s="94">
        <f>攻击!E75</f>
        <v>184.79999999999998</v>
      </c>
      <c r="D75" s="94">
        <f>攻击!F75</f>
        <v>231</v>
      </c>
      <c r="E75" s="94">
        <f>攻击!G75</f>
        <v>308</v>
      </c>
      <c r="F75" s="94">
        <f>攻击!H75</f>
        <v>385</v>
      </c>
      <c r="G75" s="94">
        <f>攻击!I75</f>
        <v>74</v>
      </c>
      <c r="H75" s="94">
        <f>攻击!J75</f>
        <v>46.199999999999996</v>
      </c>
      <c r="I75" s="94">
        <f>攻击!K75</f>
        <v>92.399999999999991</v>
      </c>
      <c r="J75" s="94">
        <f>攻击!L75</f>
        <v>46.199999999999996</v>
      </c>
      <c r="K75" s="94">
        <f>攻击!M75</f>
        <v>123.2</v>
      </c>
      <c r="L75" s="94">
        <f>攻击!N75</f>
        <v>184.79999999999998</v>
      </c>
      <c r="M75" s="94">
        <f>攻击!O75</f>
        <v>231</v>
      </c>
      <c r="N75" s="94">
        <f>攻击!P75</f>
        <v>308</v>
      </c>
      <c r="O75" s="94">
        <f>攻击!Q75</f>
        <v>385</v>
      </c>
      <c r="P75" s="94">
        <f>攻击!R75</f>
        <v>462</v>
      </c>
      <c r="Q75" s="94">
        <f>攻击!S75</f>
        <v>539</v>
      </c>
      <c r="R75" s="94">
        <f>攻击!T75</f>
        <v>115.5</v>
      </c>
      <c r="S75" s="94">
        <f>攻击!U75</f>
        <v>46.199999999999996</v>
      </c>
      <c r="T75" s="94">
        <f>攻击!V75</f>
        <v>46.199999999999996</v>
      </c>
      <c r="U75" s="94">
        <f>攻击!W75</f>
        <v>7.7</v>
      </c>
      <c r="V75" s="93">
        <f>攻击!X75</f>
        <v>0</v>
      </c>
      <c r="W75" s="93">
        <f>攻击!Y75</f>
        <v>0</v>
      </c>
      <c r="X75" s="93">
        <f>攻击!Z75</f>
        <v>0</v>
      </c>
      <c r="Y75" s="93">
        <f>攻击!AA75</f>
        <v>0</v>
      </c>
      <c r="Z75" s="93">
        <f>攻击!AB75</f>
        <v>0</v>
      </c>
      <c r="AA75" s="94">
        <f>攻击!AL75</f>
        <v>184.79999999999998</v>
      </c>
      <c r="AB75" s="93">
        <f>攻击!AM75</f>
        <v>0</v>
      </c>
      <c r="AC75" s="93">
        <f>攻击!AN75</f>
        <v>0</v>
      </c>
      <c r="AD75" s="93">
        <f>攻击!AO75</f>
        <v>0</v>
      </c>
      <c r="AE75" s="93">
        <f>攻击!AP75</f>
        <v>0</v>
      </c>
      <c r="AF75" s="93">
        <f>攻击!AQ75</f>
        <v>0</v>
      </c>
      <c r="AG75" s="94">
        <f>攻击!AR75</f>
        <v>30.8</v>
      </c>
      <c r="AH75" s="94">
        <f t="shared" si="1"/>
        <v>600.59999999999991</v>
      </c>
    </row>
    <row r="76" spans="1:34">
      <c r="A76" s="46">
        <v>74</v>
      </c>
      <c r="B76" s="94">
        <f>攻击!D76</f>
        <v>156</v>
      </c>
      <c r="C76" s="94">
        <f>攻击!E76</f>
        <v>187.2</v>
      </c>
      <c r="D76" s="94">
        <f>攻击!F76</f>
        <v>234</v>
      </c>
      <c r="E76" s="94">
        <f>攻击!G76</f>
        <v>312</v>
      </c>
      <c r="F76" s="94">
        <f>攻击!H76</f>
        <v>390</v>
      </c>
      <c r="G76" s="94">
        <f>攻击!I76</f>
        <v>74</v>
      </c>
      <c r="H76" s="94">
        <f>攻击!J76</f>
        <v>46.8</v>
      </c>
      <c r="I76" s="94">
        <f>攻击!K76</f>
        <v>93.6</v>
      </c>
      <c r="J76" s="94">
        <f>攻击!L76</f>
        <v>46.8</v>
      </c>
      <c r="K76" s="94">
        <f>攻击!M76</f>
        <v>124.80000000000001</v>
      </c>
      <c r="L76" s="94">
        <f>攻击!N76</f>
        <v>187.2</v>
      </c>
      <c r="M76" s="94">
        <f>攻击!O76</f>
        <v>234</v>
      </c>
      <c r="N76" s="94">
        <f>攻击!P76</f>
        <v>312</v>
      </c>
      <c r="O76" s="94">
        <f>攻击!Q76</f>
        <v>390</v>
      </c>
      <c r="P76" s="94">
        <f>攻击!R76</f>
        <v>468</v>
      </c>
      <c r="Q76" s="94">
        <f>攻击!S76</f>
        <v>546</v>
      </c>
      <c r="R76" s="94">
        <f>攻击!T76</f>
        <v>117</v>
      </c>
      <c r="S76" s="94">
        <f>攻击!U76</f>
        <v>46.8</v>
      </c>
      <c r="T76" s="94">
        <f>攻击!V76</f>
        <v>46.8</v>
      </c>
      <c r="U76" s="94">
        <f>攻击!W76</f>
        <v>7.8000000000000007</v>
      </c>
      <c r="V76" s="93">
        <f>攻击!X76</f>
        <v>0</v>
      </c>
      <c r="W76" s="93">
        <f>攻击!Y76</f>
        <v>0</v>
      </c>
      <c r="X76" s="93">
        <f>攻击!Z76</f>
        <v>0</v>
      </c>
      <c r="Y76" s="93">
        <f>攻击!AA76</f>
        <v>0</v>
      </c>
      <c r="Z76" s="93">
        <f>攻击!AB76</f>
        <v>0</v>
      </c>
      <c r="AA76" s="94">
        <f>攻击!AL76</f>
        <v>187.2</v>
      </c>
      <c r="AB76" s="93">
        <f>攻击!AM76</f>
        <v>0</v>
      </c>
      <c r="AC76" s="93">
        <f>攻击!AN76</f>
        <v>0</v>
      </c>
      <c r="AD76" s="93">
        <f>攻击!AO76</f>
        <v>0</v>
      </c>
      <c r="AE76" s="93">
        <f>攻击!AP76</f>
        <v>0</v>
      </c>
      <c r="AF76" s="93">
        <f>攻击!AQ76</f>
        <v>0</v>
      </c>
      <c r="AG76" s="94">
        <f>攻击!AR76</f>
        <v>31.200000000000003</v>
      </c>
      <c r="AH76" s="94">
        <f t="shared" si="1"/>
        <v>608.40000000000009</v>
      </c>
    </row>
    <row r="77" spans="1:34">
      <c r="A77" s="46">
        <v>75</v>
      </c>
      <c r="B77" s="94">
        <f>攻击!D77</f>
        <v>158</v>
      </c>
      <c r="C77" s="94">
        <f>攻击!E77</f>
        <v>189.6</v>
      </c>
      <c r="D77" s="94">
        <f>攻击!F77</f>
        <v>237</v>
      </c>
      <c r="E77" s="94">
        <f>攻击!G77</f>
        <v>316</v>
      </c>
      <c r="F77" s="94">
        <f>攻击!H77</f>
        <v>395</v>
      </c>
      <c r="G77" s="94">
        <f>攻击!I77</f>
        <v>79</v>
      </c>
      <c r="H77" s="94">
        <f>攻击!J77</f>
        <v>47.4</v>
      </c>
      <c r="I77" s="94">
        <f>攻击!K77</f>
        <v>94.8</v>
      </c>
      <c r="J77" s="94">
        <f>攻击!L77</f>
        <v>47.4</v>
      </c>
      <c r="K77" s="94">
        <f>攻击!M77</f>
        <v>126.4</v>
      </c>
      <c r="L77" s="94">
        <f>攻击!N77</f>
        <v>189.6</v>
      </c>
      <c r="M77" s="94">
        <f>攻击!O77</f>
        <v>237</v>
      </c>
      <c r="N77" s="94">
        <f>攻击!P77</f>
        <v>316</v>
      </c>
      <c r="O77" s="94">
        <f>攻击!Q77</f>
        <v>395</v>
      </c>
      <c r="P77" s="94">
        <f>攻击!R77</f>
        <v>474</v>
      </c>
      <c r="Q77" s="94">
        <f>攻击!S77</f>
        <v>553</v>
      </c>
      <c r="R77" s="94">
        <f>攻击!T77</f>
        <v>118.5</v>
      </c>
      <c r="S77" s="94">
        <f>攻击!U77</f>
        <v>47.4</v>
      </c>
      <c r="T77" s="94">
        <f>攻击!V77</f>
        <v>47.4</v>
      </c>
      <c r="U77" s="94">
        <f>攻击!W77</f>
        <v>7.9</v>
      </c>
      <c r="V77" s="93">
        <f>攻击!X77</f>
        <v>0</v>
      </c>
      <c r="W77" s="93">
        <f>攻击!Y77</f>
        <v>0</v>
      </c>
      <c r="X77" s="93">
        <f>攻击!Z77</f>
        <v>0</v>
      </c>
      <c r="Y77" s="93">
        <f>攻击!AA77</f>
        <v>0</v>
      </c>
      <c r="Z77" s="93">
        <f>攻击!AB77</f>
        <v>0</v>
      </c>
      <c r="AA77" s="94">
        <f>攻击!AL77</f>
        <v>189.6</v>
      </c>
      <c r="AB77" s="93">
        <f>攻击!AM77</f>
        <v>0</v>
      </c>
      <c r="AC77" s="93">
        <f>攻击!AN77</f>
        <v>0</v>
      </c>
      <c r="AD77" s="93">
        <f>攻击!AO77</f>
        <v>0</v>
      </c>
      <c r="AE77" s="93">
        <f>攻击!AP77</f>
        <v>0</v>
      </c>
      <c r="AF77" s="93">
        <f>攻击!AQ77</f>
        <v>0</v>
      </c>
      <c r="AG77" s="94">
        <f>攻击!AR77</f>
        <v>31.6</v>
      </c>
      <c r="AH77" s="94">
        <f t="shared" si="1"/>
        <v>616.20000000000005</v>
      </c>
    </row>
    <row r="78" spans="1:34">
      <c r="A78" s="46">
        <v>76</v>
      </c>
      <c r="B78" s="94">
        <f>攻击!D78</f>
        <v>160</v>
      </c>
      <c r="C78" s="94">
        <f>攻击!E78</f>
        <v>192</v>
      </c>
      <c r="D78" s="94">
        <f>攻击!F78</f>
        <v>240</v>
      </c>
      <c r="E78" s="94">
        <f>攻击!G78</f>
        <v>320</v>
      </c>
      <c r="F78" s="94">
        <f>攻击!H78</f>
        <v>400</v>
      </c>
      <c r="G78" s="94">
        <f>攻击!I78</f>
        <v>79</v>
      </c>
      <c r="H78" s="94">
        <f>攻击!J78</f>
        <v>48</v>
      </c>
      <c r="I78" s="94">
        <f>攻击!K78</f>
        <v>96</v>
      </c>
      <c r="J78" s="94">
        <f>攻击!L78</f>
        <v>48</v>
      </c>
      <c r="K78" s="94">
        <f>攻击!M78</f>
        <v>128</v>
      </c>
      <c r="L78" s="94">
        <f>攻击!N78</f>
        <v>192</v>
      </c>
      <c r="M78" s="94">
        <f>攻击!O78</f>
        <v>240</v>
      </c>
      <c r="N78" s="94">
        <f>攻击!P78</f>
        <v>320</v>
      </c>
      <c r="O78" s="94">
        <f>攻击!Q78</f>
        <v>400</v>
      </c>
      <c r="P78" s="94">
        <f>攻击!R78</f>
        <v>480</v>
      </c>
      <c r="Q78" s="94">
        <f>攻击!S78</f>
        <v>560</v>
      </c>
      <c r="R78" s="94">
        <f>攻击!T78</f>
        <v>120</v>
      </c>
      <c r="S78" s="94">
        <f>攻击!U78</f>
        <v>48</v>
      </c>
      <c r="T78" s="94">
        <f>攻击!V78</f>
        <v>48</v>
      </c>
      <c r="U78" s="94">
        <f>攻击!W78</f>
        <v>8</v>
      </c>
      <c r="V78" s="93">
        <f>攻击!X78</f>
        <v>0</v>
      </c>
      <c r="W78" s="93">
        <f>攻击!Y78</f>
        <v>0</v>
      </c>
      <c r="X78" s="93">
        <f>攻击!Z78</f>
        <v>0</v>
      </c>
      <c r="Y78" s="93">
        <f>攻击!AA78</f>
        <v>0</v>
      </c>
      <c r="Z78" s="93">
        <f>攻击!AB78</f>
        <v>0</v>
      </c>
      <c r="AA78" s="94">
        <f>攻击!AL78</f>
        <v>192</v>
      </c>
      <c r="AB78" s="93">
        <f>攻击!AM78</f>
        <v>0</v>
      </c>
      <c r="AC78" s="93">
        <f>攻击!AN78</f>
        <v>0</v>
      </c>
      <c r="AD78" s="93">
        <f>攻击!AO78</f>
        <v>0</v>
      </c>
      <c r="AE78" s="93">
        <f>攻击!AP78</f>
        <v>0</v>
      </c>
      <c r="AF78" s="93">
        <f>攻击!AQ78</f>
        <v>0</v>
      </c>
      <c r="AG78" s="94">
        <f>攻击!AR78</f>
        <v>32</v>
      </c>
      <c r="AH78" s="94">
        <f t="shared" si="1"/>
        <v>624</v>
      </c>
    </row>
    <row r="79" spans="1:34">
      <c r="A79" s="46">
        <v>77</v>
      </c>
      <c r="B79" s="94">
        <f>攻击!D79</f>
        <v>162</v>
      </c>
      <c r="C79" s="94">
        <f>攻击!E79</f>
        <v>194.4</v>
      </c>
      <c r="D79" s="94">
        <f>攻击!F79</f>
        <v>243</v>
      </c>
      <c r="E79" s="94">
        <f>攻击!G79</f>
        <v>324</v>
      </c>
      <c r="F79" s="94">
        <f>攻击!H79</f>
        <v>405</v>
      </c>
      <c r="G79" s="94">
        <f>攻击!I79</f>
        <v>79</v>
      </c>
      <c r="H79" s="94">
        <f>攻击!J79</f>
        <v>48.6</v>
      </c>
      <c r="I79" s="94">
        <f>攻击!K79</f>
        <v>97.2</v>
      </c>
      <c r="J79" s="94">
        <f>攻击!L79</f>
        <v>48.6</v>
      </c>
      <c r="K79" s="94">
        <f>攻击!M79</f>
        <v>129.6</v>
      </c>
      <c r="L79" s="94">
        <f>攻击!N79</f>
        <v>194.4</v>
      </c>
      <c r="M79" s="94">
        <f>攻击!O79</f>
        <v>243</v>
      </c>
      <c r="N79" s="94">
        <f>攻击!P79</f>
        <v>324</v>
      </c>
      <c r="O79" s="94">
        <f>攻击!Q79</f>
        <v>405</v>
      </c>
      <c r="P79" s="94">
        <f>攻击!R79</f>
        <v>486</v>
      </c>
      <c r="Q79" s="94">
        <f>攻击!S79</f>
        <v>567</v>
      </c>
      <c r="R79" s="94">
        <f>攻击!T79</f>
        <v>121.5</v>
      </c>
      <c r="S79" s="94">
        <f>攻击!U79</f>
        <v>48.6</v>
      </c>
      <c r="T79" s="94">
        <f>攻击!V79</f>
        <v>48.6</v>
      </c>
      <c r="U79" s="94">
        <f>攻击!W79</f>
        <v>8.1</v>
      </c>
      <c r="V79" s="93">
        <f>攻击!X79</f>
        <v>0</v>
      </c>
      <c r="W79" s="93">
        <f>攻击!Y79</f>
        <v>0</v>
      </c>
      <c r="X79" s="93">
        <f>攻击!Z79</f>
        <v>0</v>
      </c>
      <c r="Y79" s="93">
        <f>攻击!AA79</f>
        <v>0</v>
      </c>
      <c r="Z79" s="93">
        <f>攻击!AB79</f>
        <v>0</v>
      </c>
      <c r="AA79" s="94">
        <f>攻击!AL79</f>
        <v>194.4</v>
      </c>
      <c r="AB79" s="93">
        <f>攻击!AM79</f>
        <v>0</v>
      </c>
      <c r="AC79" s="93">
        <f>攻击!AN79</f>
        <v>0</v>
      </c>
      <c r="AD79" s="93">
        <f>攻击!AO79</f>
        <v>0</v>
      </c>
      <c r="AE79" s="93">
        <f>攻击!AP79</f>
        <v>0</v>
      </c>
      <c r="AF79" s="93">
        <f>攻击!AQ79</f>
        <v>0</v>
      </c>
      <c r="AG79" s="94">
        <f>攻击!AR79</f>
        <v>32.4</v>
      </c>
      <c r="AH79" s="94">
        <f t="shared" si="1"/>
        <v>631.79999999999995</v>
      </c>
    </row>
    <row r="80" spans="1:34">
      <c r="A80" s="46">
        <v>78</v>
      </c>
      <c r="B80" s="94">
        <f>攻击!D80</f>
        <v>164</v>
      </c>
      <c r="C80" s="94">
        <f>攻击!E80</f>
        <v>196.79999999999998</v>
      </c>
      <c r="D80" s="94">
        <f>攻击!F80</f>
        <v>246</v>
      </c>
      <c r="E80" s="94">
        <f>攻击!G80</f>
        <v>328</v>
      </c>
      <c r="F80" s="94">
        <f>攻击!H80</f>
        <v>410</v>
      </c>
      <c r="G80" s="94">
        <f>攻击!I80</f>
        <v>79</v>
      </c>
      <c r="H80" s="94">
        <f>攻击!J80</f>
        <v>49.199999999999996</v>
      </c>
      <c r="I80" s="94">
        <f>攻击!K80</f>
        <v>98.399999999999991</v>
      </c>
      <c r="J80" s="94">
        <f>攻击!L80</f>
        <v>49.199999999999996</v>
      </c>
      <c r="K80" s="94">
        <f>攻击!M80</f>
        <v>131.20000000000002</v>
      </c>
      <c r="L80" s="94">
        <f>攻击!N80</f>
        <v>196.79999999999998</v>
      </c>
      <c r="M80" s="94">
        <f>攻击!O80</f>
        <v>246</v>
      </c>
      <c r="N80" s="94">
        <f>攻击!P80</f>
        <v>328</v>
      </c>
      <c r="O80" s="94">
        <f>攻击!Q80</f>
        <v>410</v>
      </c>
      <c r="P80" s="94">
        <f>攻击!R80</f>
        <v>492</v>
      </c>
      <c r="Q80" s="94">
        <f>攻击!S80</f>
        <v>574</v>
      </c>
      <c r="R80" s="94">
        <f>攻击!T80</f>
        <v>123</v>
      </c>
      <c r="S80" s="94">
        <f>攻击!U80</f>
        <v>49.199999999999996</v>
      </c>
      <c r="T80" s="94">
        <f>攻击!V80</f>
        <v>49.199999999999996</v>
      </c>
      <c r="U80" s="94">
        <f>攻击!W80</f>
        <v>8.2000000000000011</v>
      </c>
      <c r="V80" s="93">
        <f>攻击!X80</f>
        <v>0</v>
      </c>
      <c r="W80" s="93">
        <f>攻击!Y80</f>
        <v>0</v>
      </c>
      <c r="X80" s="93">
        <f>攻击!Z80</f>
        <v>0</v>
      </c>
      <c r="Y80" s="93">
        <f>攻击!AA80</f>
        <v>0</v>
      </c>
      <c r="Z80" s="93">
        <f>攻击!AB80</f>
        <v>0</v>
      </c>
      <c r="AA80" s="94">
        <f>攻击!AL80</f>
        <v>196.79999999999998</v>
      </c>
      <c r="AB80" s="93">
        <f>攻击!AM80</f>
        <v>0</v>
      </c>
      <c r="AC80" s="93">
        <f>攻击!AN80</f>
        <v>0</v>
      </c>
      <c r="AD80" s="93">
        <f>攻击!AO80</f>
        <v>0</v>
      </c>
      <c r="AE80" s="93">
        <f>攻击!AP80</f>
        <v>0</v>
      </c>
      <c r="AF80" s="93">
        <f>攻击!AQ80</f>
        <v>0</v>
      </c>
      <c r="AG80" s="94">
        <f>攻击!AR80</f>
        <v>32.800000000000004</v>
      </c>
      <c r="AH80" s="94">
        <f t="shared" si="1"/>
        <v>639.59999999999991</v>
      </c>
    </row>
    <row r="81" spans="1:34">
      <c r="A81" s="46">
        <v>79</v>
      </c>
      <c r="B81" s="94">
        <f>攻击!D81</f>
        <v>166</v>
      </c>
      <c r="C81" s="94">
        <f>攻击!E81</f>
        <v>199.2</v>
      </c>
      <c r="D81" s="94">
        <f>攻击!F81</f>
        <v>249</v>
      </c>
      <c r="E81" s="94">
        <f>攻击!G81</f>
        <v>332</v>
      </c>
      <c r="F81" s="94">
        <f>攻击!H81</f>
        <v>415</v>
      </c>
      <c r="G81" s="94">
        <f>攻击!I81</f>
        <v>79</v>
      </c>
      <c r="H81" s="94">
        <f>攻击!J81</f>
        <v>49.8</v>
      </c>
      <c r="I81" s="94">
        <f>攻击!K81</f>
        <v>99.6</v>
      </c>
      <c r="J81" s="94">
        <f>攻击!L81</f>
        <v>49.8</v>
      </c>
      <c r="K81" s="94">
        <f>攻击!M81</f>
        <v>132.80000000000001</v>
      </c>
      <c r="L81" s="94">
        <f>攻击!N81</f>
        <v>199.2</v>
      </c>
      <c r="M81" s="94">
        <f>攻击!O81</f>
        <v>249</v>
      </c>
      <c r="N81" s="94">
        <f>攻击!P81</f>
        <v>332</v>
      </c>
      <c r="O81" s="94">
        <f>攻击!Q81</f>
        <v>415</v>
      </c>
      <c r="P81" s="94">
        <f>攻击!R81</f>
        <v>498</v>
      </c>
      <c r="Q81" s="94">
        <f>攻击!S81</f>
        <v>581</v>
      </c>
      <c r="R81" s="94">
        <f>攻击!T81</f>
        <v>124.5</v>
      </c>
      <c r="S81" s="94">
        <f>攻击!U81</f>
        <v>49.8</v>
      </c>
      <c r="T81" s="94">
        <f>攻击!V81</f>
        <v>49.8</v>
      </c>
      <c r="U81" s="94">
        <f>攻击!W81</f>
        <v>8.3000000000000007</v>
      </c>
      <c r="V81" s="93">
        <f>攻击!X81</f>
        <v>0</v>
      </c>
      <c r="W81" s="93">
        <f>攻击!Y81</f>
        <v>0</v>
      </c>
      <c r="X81" s="93">
        <f>攻击!Z81</f>
        <v>0</v>
      </c>
      <c r="Y81" s="93">
        <f>攻击!AA81</f>
        <v>0</v>
      </c>
      <c r="Z81" s="93">
        <f>攻击!AB81</f>
        <v>0</v>
      </c>
      <c r="AA81" s="94">
        <f>攻击!AL81</f>
        <v>199.2</v>
      </c>
      <c r="AB81" s="93">
        <f>攻击!AM81</f>
        <v>0</v>
      </c>
      <c r="AC81" s="93">
        <f>攻击!AN81</f>
        <v>0</v>
      </c>
      <c r="AD81" s="93">
        <f>攻击!AO81</f>
        <v>0</v>
      </c>
      <c r="AE81" s="93">
        <f>攻击!AP81</f>
        <v>0</v>
      </c>
      <c r="AF81" s="93">
        <f>攻击!AQ81</f>
        <v>0</v>
      </c>
      <c r="AG81" s="94">
        <f>攻击!AR81</f>
        <v>33.200000000000003</v>
      </c>
      <c r="AH81" s="94">
        <f t="shared" si="1"/>
        <v>647.40000000000009</v>
      </c>
    </row>
    <row r="82" spans="1:34">
      <c r="A82" s="46">
        <v>80</v>
      </c>
      <c r="B82" s="94">
        <f>攻击!D82</f>
        <v>168</v>
      </c>
      <c r="C82" s="94">
        <f>攻击!E82</f>
        <v>201.6</v>
      </c>
      <c r="D82" s="94">
        <f>攻击!F82</f>
        <v>252</v>
      </c>
      <c r="E82" s="94">
        <f>攻击!G82</f>
        <v>336</v>
      </c>
      <c r="F82" s="94">
        <f>攻击!H82</f>
        <v>420</v>
      </c>
      <c r="G82" s="94">
        <f>攻击!I82</f>
        <v>84</v>
      </c>
      <c r="H82" s="94">
        <f>攻击!J82</f>
        <v>50.4</v>
      </c>
      <c r="I82" s="94">
        <f>攻击!K82</f>
        <v>100.8</v>
      </c>
      <c r="J82" s="94">
        <f>攻击!L82</f>
        <v>50.4</v>
      </c>
      <c r="K82" s="94">
        <f>攻击!M82</f>
        <v>134.4</v>
      </c>
      <c r="L82" s="94">
        <f>攻击!N82</f>
        <v>201.6</v>
      </c>
      <c r="M82" s="94">
        <f>攻击!O82</f>
        <v>252</v>
      </c>
      <c r="N82" s="94">
        <f>攻击!P82</f>
        <v>336</v>
      </c>
      <c r="O82" s="94">
        <f>攻击!Q82</f>
        <v>420</v>
      </c>
      <c r="P82" s="94">
        <f>攻击!R82</f>
        <v>504</v>
      </c>
      <c r="Q82" s="94">
        <f>攻击!S82</f>
        <v>588</v>
      </c>
      <c r="R82" s="94">
        <f>攻击!T82</f>
        <v>126</v>
      </c>
      <c r="S82" s="94">
        <f>攻击!U82</f>
        <v>50.4</v>
      </c>
      <c r="T82" s="94">
        <f>攻击!V82</f>
        <v>50.4</v>
      </c>
      <c r="U82" s="94">
        <f>攻击!W82</f>
        <v>8.4</v>
      </c>
      <c r="V82" s="93">
        <f>攻击!X82</f>
        <v>0.2</v>
      </c>
      <c r="W82" s="93">
        <f>攻击!Y82</f>
        <v>0.3</v>
      </c>
      <c r="X82" s="93">
        <f>攻击!Z82</f>
        <v>0.5</v>
      </c>
      <c r="Y82" s="93">
        <f>攻击!AA82</f>
        <v>0.8</v>
      </c>
      <c r="Z82" s="93">
        <f>攻击!AB82</f>
        <v>1.2</v>
      </c>
      <c r="AA82" s="94">
        <f>攻击!AL82</f>
        <v>201.6</v>
      </c>
      <c r="AB82" s="93">
        <f>攻击!AM82</f>
        <v>0.2</v>
      </c>
      <c r="AC82" s="93">
        <f>攻击!AN82</f>
        <v>0.3</v>
      </c>
      <c r="AD82" s="93">
        <f>攻击!AO82</f>
        <v>0.5</v>
      </c>
      <c r="AE82" s="93">
        <f>攻击!AP82</f>
        <v>0.8</v>
      </c>
      <c r="AF82" s="93">
        <f>攻击!AQ82</f>
        <v>1.2</v>
      </c>
      <c r="AG82" s="94">
        <f>攻击!AR82</f>
        <v>33.6</v>
      </c>
      <c r="AH82" s="94">
        <f t="shared" si="1"/>
        <v>655.20000000000005</v>
      </c>
    </row>
    <row r="83" spans="1:34">
      <c r="A83" s="46">
        <v>81</v>
      </c>
      <c r="B83" s="94">
        <f>攻击!D83</f>
        <v>170</v>
      </c>
      <c r="C83" s="94">
        <f>攻击!E83</f>
        <v>204</v>
      </c>
      <c r="D83" s="94">
        <f>攻击!F83</f>
        <v>255</v>
      </c>
      <c r="E83" s="94">
        <f>攻击!G83</f>
        <v>340</v>
      </c>
      <c r="F83" s="94">
        <f>攻击!H83</f>
        <v>425</v>
      </c>
      <c r="G83" s="94">
        <f>攻击!I83</f>
        <v>84</v>
      </c>
      <c r="H83" s="94">
        <f>攻击!J83</f>
        <v>51</v>
      </c>
      <c r="I83" s="94">
        <f>攻击!K83</f>
        <v>102</v>
      </c>
      <c r="J83" s="94">
        <f>攻击!L83</f>
        <v>51</v>
      </c>
      <c r="K83" s="94">
        <f>攻击!M83</f>
        <v>136</v>
      </c>
      <c r="L83" s="94">
        <f>攻击!N83</f>
        <v>204</v>
      </c>
      <c r="M83" s="94">
        <f>攻击!O83</f>
        <v>255</v>
      </c>
      <c r="N83" s="94">
        <f>攻击!P83</f>
        <v>340</v>
      </c>
      <c r="O83" s="94">
        <f>攻击!Q83</f>
        <v>425</v>
      </c>
      <c r="P83" s="94">
        <f>攻击!R83</f>
        <v>510</v>
      </c>
      <c r="Q83" s="94">
        <f>攻击!S83</f>
        <v>595</v>
      </c>
      <c r="R83" s="94">
        <f>攻击!T83</f>
        <v>127.5</v>
      </c>
      <c r="S83" s="94">
        <f>攻击!U83</f>
        <v>51</v>
      </c>
      <c r="T83" s="94">
        <f>攻击!V83</f>
        <v>51</v>
      </c>
      <c r="U83" s="94">
        <f>攻击!W83</f>
        <v>8.5</v>
      </c>
      <c r="V83" s="93">
        <f>攻击!X83</f>
        <v>0.2</v>
      </c>
      <c r="W83" s="93">
        <f>攻击!Y83</f>
        <v>0.3</v>
      </c>
      <c r="X83" s="93">
        <f>攻击!Z83</f>
        <v>0.5</v>
      </c>
      <c r="Y83" s="93">
        <f>攻击!AA83</f>
        <v>0.8</v>
      </c>
      <c r="Z83" s="93">
        <f>攻击!AB83</f>
        <v>1.2</v>
      </c>
      <c r="AA83" s="94">
        <f>攻击!AL83</f>
        <v>204</v>
      </c>
      <c r="AB83" s="93">
        <f>攻击!AM83</f>
        <v>0.2</v>
      </c>
      <c r="AC83" s="93">
        <f>攻击!AN83</f>
        <v>0.3</v>
      </c>
      <c r="AD83" s="93">
        <f>攻击!AO83</f>
        <v>0.5</v>
      </c>
      <c r="AE83" s="93">
        <f>攻击!AP83</f>
        <v>0.8</v>
      </c>
      <c r="AF83" s="93">
        <f>攻击!AQ83</f>
        <v>1.2</v>
      </c>
      <c r="AG83" s="94">
        <f>攻击!AR83</f>
        <v>34</v>
      </c>
      <c r="AH83" s="94">
        <f t="shared" si="1"/>
        <v>663</v>
      </c>
    </row>
    <row r="84" spans="1:34">
      <c r="A84" s="46">
        <v>82</v>
      </c>
      <c r="B84" s="94">
        <f>攻击!D84</f>
        <v>172</v>
      </c>
      <c r="C84" s="94">
        <f>攻击!E84</f>
        <v>206.4</v>
      </c>
      <c r="D84" s="94">
        <f>攻击!F84</f>
        <v>258</v>
      </c>
      <c r="E84" s="94">
        <f>攻击!G84</f>
        <v>344</v>
      </c>
      <c r="F84" s="94">
        <f>攻击!H84</f>
        <v>430</v>
      </c>
      <c r="G84" s="94">
        <f>攻击!I84</f>
        <v>84</v>
      </c>
      <c r="H84" s="94">
        <f>攻击!J84</f>
        <v>51.6</v>
      </c>
      <c r="I84" s="94">
        <f>攻击!K84</f>
        <v>103.2</v>
      </c>
      <c r="J84" s="94">
        <f>攻击!L84</f>
        <v>51.6</v>
      </c>
      <c r="K84" s="94">
        <f>攻击!M84</f>
        <v>137.6</v>
      </c>
      <c r="L84" s="94">
        <f>攻击!N84</f>
        <v>206.4</v>
      </c>
      <c r="M84" s="94">
        <f>攻击!O84</f>
        <v>258</v>
      </c>
      <c r="N84" s="94">
        <f>攻击!P84</f>
        <v>344</v>
      </c>
      <c r="O84" s="94">
        <f>攻击!Q84</f>
        <v>430</v>
      </c>
      <c r="P84" s="94">
        <f>攻击!R84</f>
        <v>516</v>
      </c>
      <c r="Q84" s="94">
        <f>攻击!S84</f>
        <v>602</v>
      </c>
      <c r="R84" s="94">
        <f>攻击!T84</f>
        <v>129</v>
      </c>
      <c r="S84" s="94">
        <f>攻击!U84</f>
        <v>51.6</v>
      </c>
      <c r="T84" s="94">
        <f>攻击!V84</f>
        <v>51.6</v>
      </c>
      <c r="U84" s="94">
        <f>攻击!W84</f>
        <v>8.6</v>
      </c>
      <c r="V84" s="93">
        <f>攻击!X84</f>
        <v>0.2</v>
      </c>
      <c r="W84" s="93">
        <f>攻击!Y84</f>
        <v>0.3</v>
      </c>
      <c r="X84" s="93">
        <f>攻击!Z84</f>
        <v>0.5</v>
      </c>
      <c r="Y84" s="93">
        <f>攻击!AA84</f>
        <v>0.8</v>
      </c>
      <c r="Z84" s="93">
        <f>攻击!AB84</f>
        <v>1.2</v>
      </c>
      <c r="AA84" s="94">
        <f>攻击!AL84</f>
        <v>206.4</v>
      </c>
      <c r="AB84" s="93">
        <f>攻击!AM84</f>
        <v>0.2</v>
      </c>
      <c r="AC84" s="93">
        <f>攻击!AN84</f>
        <v>0.3</v>
      </c>
      <c r="AD84" s="93">
        <f>攻击!AO84</f>
        <v>0.5</v>
      </c>
      <c r="AE84" s="93">
        <f>攻击!AP84</f>
        <v>0.8</v>
      </c>
      <c r="AF84" s="93">
        <f>攻击!AQ84</f>
        <v>1.2</v>
      </c>
      <c r="AG84" s="94">
        <f>攻击!AR84</f>
        <v>34.4</v>
      </c>
      <c r="AH84" s="94">
        <f t="shared" si="1"/>
        <v>670.8</v>
      </c>
    </row>
    <row r="85" spans="1:34">
      <c r="A85" s="46">
        <v>83</v>
      </c>
      <c r="B85" s="94">
        <f>攻击!D85</f>
        <v>174</v>
      </c>
      <c r="C85" s="94">
        <f>攻击!E85</f>
        <v>208.79999999999998</v>
      </c>
      <c r="D85" s="94">
        <f>攻击!F85</f>
        <v>261</v>
      </c>
      <c r="E85" s="94">
        <f>攻击!G85</f>
        <v>348</v>
      </c>
      <c r="F85" s="94">
        <f>攻击!H85</f>
        <v>435</v>
      </c>
      <c r="G85" s="94">
        <f>攻击!I85</f>
        <v>84</v>
      </c>
      <c r="H85" s="94">
        <f>攻击!J85</f>
        <v>52.199999999999996</v>
      </c>
      <c r="I85" s="94">
        <f>攻击!K85</f>
        <v>104.39999999999999</v>
      </c>
      <c r="J85" s="94">
        <f>攻击!L85</f>
        <v>52.199999999999996</v>
      </c>
      <c r="K85" s="94">
        <f>攻击!M85</f>
        <v>139.20000000000002</v>
      </c>
      <c r="L85" s="94">
        <f>攻击!N85</f>
        <v>208.79999999999998</v>
      </c>
      <c r="M85" s="94">
        <f>攻击!O85</f>
        <v>261</v>
      </c>
      <c r="N85" s="94">
        <f>攻击!P85</f>
        <v>348</v>
      </c>
      <c r="O85" s="94">
        <f>攻击!Q85</f>
        <v>435</v>
      </c>
      <c r="P85" s="94">
        <f>攻击!R85</f>
        <v>522</v>
      </c>
      <c r="Q85" s="94">
        <f>攻击!S85</f>
        <v>609</v>
      </c>
      <c r="R85" s="94">
        <f>攻击!T85</f>
        <v>130.5</v>
      </c>
      <c r="S85" s="94">
        <f>攻击!U85</f>
        <v>52.199999999999996</v>
      </c>
      <c r="T85" s="94">
        <f>攻击!V85</f>
        <v>52.199999999999996</v>
      </c>
      <c r="U85" s="94">
        <f>攻击!W85</f>
        <v>8.7000000000000011</v>
      </c>
      <c r="V85" s="93">
        <f>攻击!X85</f>
        <v>0.2</v>
      </c>
      <c r="W85" s="93">
        <f>攻击!Y85</f>
        <v>0.3</v>
      </c>
      <c r="X85" s="93">
        <f>攻击!Z85</f>
        <v>0.5</v>
      </c>
      <c r="Y85" s="93">
        <f>攻击!AA85</f>
        <v>0.8</v>
      </c>
      <c r="Z85" s="93">
        <f>攻击!AB85</f>
        <v>1.2</v>
      </c>
      <c r="AA85" s="94">
        <f>攻击!AL85</f>
        <v>208.79999999999998</v>
      </c>
      <c r="AB85" s="93">
        <f>攻击!AM85</f>
        <v>0.2</v>
      </c>
      <c r="AC85" s="93">
        <f>攻击!AN85</f>
        <v>0.3</v>
      </c>
      <c r="AD85" s="93">
        <f>攻击!AO85</f>
        <v>0.5</v>
      </c>
      <c r="AE85" s="93">
        <f>攻击!AP85</f>
        <v>0.8</v>
      </c>
      <c r="AF85" s="93">
        <f>攻击!AQ85</f>
        <v>1.2</v>
      </c>
      <c r="AG85" s="94">
        <f>攻击!AR85</f>
        <v>34.800000000000004</v>
      </c>
      <c r="AH85" s="94">
        <f t="shared" si="1"/>
        <v>678.59999999999991</v>
      </c>
    </row>
    <row r="86" spans="1:34">
      <c r="A86" s="46">
        <v>84</v>
      </c>
      <c r="B86" s="94">
        <f>攻击!D86</f>
        <v>176</v>
      </c>
      <c r="C86" s="94">
        <f>攻击!E86</f>
        <v>211.2</v>
      </c>
      <c r="D86" s="94">
        <f>攻击!F86</f>
        <v>264</v>
      </c>
      <c r="E86" s="94">
        <f>攻击!G86</f>
        <v>352</v>
      </c>
      <c r="F86" s="94">
        <f>攻击!H86</f>
        <v>440</v>
      </c>
      <c r="G86" s="94">
        <f>攻击!I86</f>
        <v>84</v>
      </c>
      <c r="H86" s="94">
        <f>攻击!J86</f>
        <v>52.8</v>
      </c>
      <c r="I86" s="94">
        <f>攻击!K86</f>
        <v>105.6</v>
      </c>
      <c r="J86" s="94">
        <f>攻击!L86</f>
        <v>52.8</v>
      </c>
      <c r="K86" s="94">
        <f>攻击!M86</f>
        <v>140.80000000000001</v>
      </c>
      <c r="L86" s="94">
        <f>攻击!N86</f>
        <v>211.2</v>
      </c>
      <c r="M86" s="94">
        <f>攻击!O86</f>
        <v>264</v>
      </c>
      <c r="N86" s="94">
        <f>攻击!P86</f>
        <v>352</v>
      </c>
      <c r="O86" s="94">
        <f>攻击!Q86</f>
        <v>440</v>
      </c>
      <c r="P86" s="94">
        <f>攻击!R86</f>
        <v>528</v>
      </c>
      <c r="Q86" s="94">
        <f>攻击!S86</f>
        <v>616</v>
      </c>
      <c r="R86" s="94">
        <f>攻击!T86</f>
        <v>132</v>
      </c>
      <c r="S86" s="94">
        <f>攻击!U86</f>
        <v>52.8</v>
      </c>
      <c r="T86" s="94">
        <f>攻击!V86</f>
        <v>52.8</v>
      </c>
      <c r="U86" s="94">
        <f>攻击!W86</f>
        <v>8.8000000000000007</v>
      </c>
      <c r="V86" s="93">
        <f>攻击!X86</f>
        <v>0.2</v>
      </c>
      <c r="W86" s="93">
        <f>攻击!Y86</f>
        <v>0.3</v>
      </c>
      <c r="X86" s="93">
        <f>攻击!Z86</f>
        <v>0.5</v>
      </c>
      <c r="Y86" s="93">
        <f>攻击!AA86</f>
        <v>0.8</v>
      </c>
      <c r="Z86" s="93">
        <f>攻击!AB86</f>
        <v>1.2</v>
      </c>
      <c r="AA86" s="94">
        <f>攻击!AL86</f>
        <v>211.2</v>
      </c>
      <c r="AB86" s="93">
        <f>攻击!AM86</f>
        <v>0.2</v>
      </c>
      <c r="AC86" s="93">
        <f>攻击!AN86</f>
        <v>0.3</v>
      </c>
      <c r="AD86" s="93">
        <f>攻击!AO86</f>
        <v>0.5</v>
      </c>
      <c r="AE86" s="93">
        <f>攻击!AP86</f>
        <v>0.8</v>
      </c>
      <c r="AF86" s="93">
        <f>攻击!AQ86</f>
        <v>1.2</v>
      </c>
      <c r="AG86" s="94">
        <f>攻击!AR86</f>
        <v>35.200000000000003</v>
      </c>
      <c r="AH86" s="94">
        <f t="shared" si="1"/>
        <v>686.40000000000009</v>
      </c>
    </row>
    <row r="87" spans="1:34">
      <c r="A87" s="46">
        <v>85</v>
      </c>
      <c r="B87" s="94">
        <f>攻击!D87</f>
        <v>178</v>
      </c>
      <c r="C87" s="94">
        <f>攻击!E87</f>
        <v>213.6</v>
      </c>
      <c r="D87" s="94">
        <f>攻击!F87</f>
        <v>267</v>
      </c>
      <c r="E87" s="94">
        <f>攻击!G87</f>
        <v>356</v>
      </c>
      <c r="F87" s="94">
        <f>攻击!H87</f>
        <v>445</v>
      </c>
      <c r="G87" s="94">
        <f>攻击!I87</f>
        <v>89</v>
      </c>
      <c r="H87" s="94">
        <f>攻击!J87</f>
        <v>53.4</v>
      </c>
      <c r="I87" s="94">
        <f>攻击!K87</f>
        <v>106.8</v>
      </c>
      <c r="J87" s="94">
        <f>攻击!L87</f>
        <v>53.4</v>
      </c>
      <c r="K87" s="94">
        <f>攻击!M87</f>
        <v>142.4</v>
      </c>
      <c r="L87" s="94">
        <f>攻击!N87</f>
        <v>213.6</v>
      </c>
      <c r="M87" s="94">
        <f>攻击!O87</f>
        <v>267</v>
      </c>
      <c r="N87" s="94">
        <f>攻击!P87</f>
        <v>356</v>
      </c>
      <c r="O87" s="94">
        <f>攻击!Q87</f>
        <v>445</v>
      </c>
      <c r="P87" s="94">
        <f>攻击!R87</f>
        <v>534</v>
      </c>
      <c r="Q87" s="94">
        <f>攻击!S87</f>
        <v>623</v>
      </c>
      <c r="R87" s="94">
        <f>攻击!T87</f>
        <v>133.5</v>
      </c>
      <c r="S87" s="94">
        <f>攻击!U87</f>
        <v>53.4</v>
      </c>
      <c r="T87" s="94">
        <f>攻击!V87</f>
        <v>53.4</v>
      </c>
      <c r="U87" s="94">
        <f>攻击!W87</f>
        <v>8.9</v>
      </c>
      <c r="V87" s="93">
        <f>攻击!X87</f>
        <v>0.2</v>
      </c>
      <c r="W87" s="93">
        <f>攻击!Y87</f>
        <v>0.3</v>
      </c>
      <c r="X87" s="93">
        <f>攻击!Z87</f>
        <v>0.5</v>
      </c>
      <c r="Y87" s="93">
        <f>攻击!AA87</f>
        <v>0.8</v>
      </c>
      <c r="Z87" s="93">
        <f>攻击!AB87</f>
        <v>1.2</v>
      </c>
      <c r="AA87" s="94">
        <f>攻击!AL87</f>
        <v>213.6</v>
      </c>
      <c r="AB87" s="93">
        <f>攻击!AM87</f>
        <v>0.2</v>
      </c>
      <c r="AC87" s="93">
        <f>攻击!AN87</f>
        <v>0.3</v>
      </c>
      <c r="AD87" s="93">
        <f>攻击!AO87</f>
        <v>0.5</v>
      </c>
      <c r="AE87" s="93">
        <f>攻击!AP87</f>
        <v>0.8</v>
      </c>
      <c r="AF87" s="93">
        <f>攻击!AQ87</f>
        <v>1.2</v>
      </c>
      <c r="AG87" s="94">
        <f>攻击!AR87</f>
        <v>35.6</v>
      </c>
      <c r="AH87" s="94">
        <f t="shared" si="1"/>
        <v>694.2</v>
      </c>
    </row>
    <row r="88" spans="1:34">
      <c r="A88" s="46">
        <v>86</v>
      </c>
      <c r="B88" s="94">
        <f>攻击!D88</f>
        <v>180</v>
      </c>
      <c r="C88" s="94">
        <f>攻击!E88</f>
        <v>216</v>
      </c>
      <c r="D88" s="94">
        <f>攻击!F88</f>
        <v>270</v>
      </c>
      <c r="E88" s="94">
        <f>攻击!G88</f>
        <v>360</v>
      </c>
      <c r="F88" s="94">
        <f>攻击!H88</f>
        <v>450</v>
      </c>
      <c r="G88" s="94">
        <f>攻击!I88</f>
        <v>89</v>
      </c>
      <c r="H88" s="94">
        <f>攻击!J88</f>
        <v>54</v>
      </c>
      <c r="I88" s="94">
        <f>攻击!K88</f>
        <v>108</v>
      </c>
      <c r="J88" s="94">
        <f>攻击!L88</f>
        <v>54</v>
      </c>
      <c r="K88" s="94">
        <f>攻击!M88</f>
        <v>144</v>
      </c>
      <c r="L88" s="94">
        <f>攻击!N88</f>
        <v>216</v>
      </c>
      <c r="M88" s="94">
        <f>攻击!O88</f>
        <v>270</v>
      </c>
      <c r="N88" s="94">
        <f>攻击!P88</f>
        <v>360</v>
      </c>
      <c r="O88" s="94">
        <f>攻击!Q88</f>
        <v>450</v>
      </c>
      <c r="P88" s="94">
        <f>攻击!R88</f>
        <v>540</v>
      </c>
      <c r="Q88" s="94">
        <f>攻击!S88</f>
        <v>630</v>
      </c>
      <c r="R88" s="94">
        <f>攻击!T88</f>
        <v>135</v>
      </c>
      <c r="S88" s="94">
        <f>攻击!U88</f>
        <v>54</v>
      </c>
      <c r="T88" s="94">
        <f>攻击!V88</f>
        <v>54</v>
      </c>
      <c r="U88" s="94">
        <f>攻击!W88</f>
        <v>9</v>
      </c>
      <c r="V88" s="93">
        <f>攻击!X88</f>
        <v>0.2</v>
      </c>
      <c r="W88" s="93">
        <f>攻击!Y88</f>
        <v>0.3</v>
      </c>
      <c r="X88" s="93">
        <f>攻击!Z88</f>
        <v>0.5</v>
      </c>
      <c r="Y88" s="93">
        <f>攻击!AA88</f>
        <v>0.8</v>
      </c>
      <c r="Z88" s="93">
        <f>攻击!AB88</f>
        <v>1.2</v>
      </c>
      <c r="AA88" s="94">
        <f>攻击!AL88</f>
        <v>216</v>
      </c>
      <c r="AB88" s="93">
        <f>攻击!AM88</f>
        <v>0.2</v>
      </c>
      <c r="AC88" s="93">
        <f>攻击!AN88</f>
        <v>0.3</v>
      </c>
      <c r="AD88" s="93">
        <f>攻击!AO88</f>
        <v>0.5</v>
      </c>
      <c r="AE88" s="93">
        <f>攻击!AP88</f>
        <v>0.8</v>
      </c>
      <c r="AF88" s="93">
        <f>攻击!AQ88</f>
        <v>1.2</v>
      </c>
      <c r="AG88" s="94">
        <f>攻击!AR88</f>
        <v>36</v>
      </c>
      <c r="AH88" s="94">
        <f t="shared" si="1"/>
        <v>702</v>
      </c>
    </row>
    <row r="89" spans="1:34">
      <c r="A89" s="46">
        <v>87</v>
      </c>
      <c r="B89" s="94">
        <f>攻击!D89</f>
        <v>182</v>
      </c>
      <c r="C89" s="94">
        <f>攻击!E89</f>
        <v>218.4</v>
      </c>
      <c r="D89" s="94">
        <f>攻击!F89</f>
        <v>273</v>
      </c>
      <c r="E89" s="94">
        <f>攻击!G89</f>
        <v>364</v>
      </c>
      <c r="F89" s="94">
        <f>攻击!H89</f>
        <v>455</v>
      </c>
      <c r="G89" s="94">
        <f>攻击!I89</f>
        <v>89</v>
      </c>
      <c r="H89" s="94">
        <f>攻击!J89</f>
        <v>54.6</v>
      </c>
      <c r="I89" s="94">
        <f>攻击!K89</f>
        <v>109.2</v>
      </c>
      <c r="J89" s="94">
        <f>攻击!L89</f>
        <v>54.6</v>
      </c>
      <c r="K89" s="94">
        <f>攻击!M89</f>
        <v>145.6</v>
      </c>
      <c r="L89" s="94">
        <f>攻击!N89</f>
        <v>218.4</v>
      </c>
      <c r="M89" s="94">
        <f>攻击!O89</f>
        <v>273</v>
      </c>
      <c r="N89" s="94">
        <f>攻击!P89</f>
        <v>364</v>
      </c>
      <c r="O89" s="94">
        <f>攻击!Q89</f>
        <v>455</v>
      </c>
      <c r="P89" s="94">
        <f>攻击!R89</f>
        <v>546</v>
      </c>
      <c r="Q89" s="94">
        <f>攻击!S89</f>
        <v>637</v>
      </c>
      <c r="R89" s="94">
        <f>攻击!T89</f>
        <v>136.5</v>
      </c>
      <c r="S89" s="94">
        <f>攻击!U89</f>
        <v>54.6</v>
      </c>
      <c r="T89" s="94">
        <f>攻击!V89</f>
        <v>54.6</v>
      </c>
      <c r="U89" s="94">
        <f>攻击!W89</f>
        <v>9.1</v>
      </c>
      <c r="V89" s="93">
        <f>攻击!X89</f>
        <v>0.2</v>
      </c>
      <c r="W89" s="93">
        <f>攻击!Y89</f>
        <v>0.3</v>
      </c>
      <c r="X89" s="93">
        <f>攻击!Z89</f>
        <v>0.5</v>
      </c>
      <c r="Y89" s="93">
        <f>攻击!AA89</f>
        <v>0.8</v>
      </c>
      <c r="Z89" s="93">
        <f>攻击!AB89</f>
        <v>1.2</v>
      </c>
      <c r="AA89" s="94">
        <f>攻击!AL89</f>
        <v>218.4</v>
      </c>
      <c r="AB89" s="93">
        <f>攻击!AM89</f>
        <v>0.2</v>
      </c>
      <c r="AC89" s="93">
        <f>攻击!AN89</f>
        <v>0.3</v>
      </c>
      <c r="AD89" s="93">
        <f>攻击!AO89</f>
        <v>0.5</v>
      </c>
      <c r="AE89" s="93">
        <f>攻击!AP89</f>
        <v>0.8</v>
      </c>
      <c r="AF89" s="93">
        <f>攻击!AQ89</f>
        <v>1.2</v>
      </c>
      <c r="AG89" s="94">
        <f>攻击!AR89</f>
        <v>36.4</v>
      </c>
      <c r="AH89" s="94">
        <f t="shared" si="1"/>
        <v>709.8</v>
      </c>
    </row>
    <row r="90" spans="1:34">
      <c r="A90" s="46">
        <v>88</v>
      </c>
      <c r="B90" s="94">
        <f>攻击!D90</f>
        <v>184</v>
      </c>
      <c r="C90" s="94">
        <f>攻击!E90</f>
        <v>220.79999999999998</v>
      </c>
      <c r="D90" s="94">
        <f>攻击!F90</f>
        <v>276</v>
      </c>
      <c r="E90" s="94">
        <f>攻击!G90</f>
        <v>368</v>
      </c>
      <c r="F90" s="94">
        <f>攻击!H90</f>
        <v>460</v>
      </c>
      <c r="G90" s="94">
        <f>攻击!I90</f>
        <v>89</v>
      </c>
      <c r="H90" s="94">
        <f>攻击!J90</f>
        <v>55.199999999999996</v>
      </c>
      <c r="I90" s="94">
        <f>攻击!K90</f>
        <v>110.39999999999999</v>
      </c>
      <c r="J90" s="94">
        <f>攻击!L90</f>
        <v>55.199999999999996</v>
      </c>
      <c r="K90" s="94">
        <f>攻击!M90</f>
        <v>147.20000000000002</v>
      </c>
      <c r="L90" s="94">
        <f>攻击!N90</f>
        <v>220.79999999999998</v>
      </c>
      <c r="M90" s="94">
        <f>攻击!O90</f>
        <v>276</v>
      </c>
      <c r="N90" s="94">
        <f>攻击!P90</f>
        <v>368</v>
      </c>
      <c r="O90" s="94">
        <f>攻击!Q90</f>
        <v>460</v>
      </c>
      <c r="P90" s="94">
        <f>攻击!R90</f>
        <v>552</v>
      </c>
      <c r="Q90" s="94">
        <f>攻击!S90</f>
        <v>644</v>
      </c>
      <c r="R90" s="94">
        <f>攻击!T90</f>
        <v>138</v>
      </c>
      <c r="S90" s="94">
        <f>攻击!U90</f>
        <v>55.199999999999996</v>
      </c>
      <c r="T90" s="94">
        <f>攻击!V90</f>
        <v>55.199999999999996</v>
      </c>
      <c r="U90" s="94">
        <f>攻击!W90</f>
        <v>9.2000000000000011</v>
      </c>
      <c r="V90" s="93">
        <f>攻击!X90</f>
        <v>0.2</v>
      </c>
      <c r="W90" s="93">
        <f>攻击!Y90</f>
        <v>0.3</v>
      </c>
      <c r="X90" s="93">
        <f>攻击!Z90</f>
        <v>0.5</v>
      </c>
      <c r="Y90" s="93">
        <f>攻击!AA90</f>
        <v>0.8</v>
      </c>
      <c r="Z90" s="93">
        <f>攻击!AB90</f>
        <v>1.2</v>
      </c>
      <c r="AA90" s="94">
        <f>攻击!AL90</f>
        <v>220.79999999999998</v>
      </c>
      <c r="AB90" s="93">
        <f>攻击!AM90</f>
        <v>0.2</v>
      </c>
      <c r="AC90" s="93">
        <f>攻击!AN90</f>
        <v>0.3</v>
      </c>
      <c r="AD90" s="93">
        <f>攻击!AO90</f>
        <v>0.5</v>
      </c>
      <c r="AE90" s="93">
        <f>攻击!AP90</f>
        <v>0.8</v>
      </c>
      <c r="AF90" s="93">
        <f>攻击!AQ90</f>
        <v>1.2</v>
      </c>
      <c r="AG90" s="94">
        <f>攻击!AR90</f>
        <v>36.800000000000004</v>
      </c>
      <c r="AH90" s="94">
        <f t="shared" si="1"/>
        <v>717.59999999999991</v>
      </c>
    </row>
    <row r="91" spans="1:34">
      <c r="A91" s="46">
        <v>89</v>
      </c>
      <c r="B91" s="94">
        <f>攻击!D91</f>
        <v>186</v>
      </c>
      <c r="C91" s="94">
        <f>攻击!E91</f>
        <v>223.2</v>
      </c>
      <c r="D91" s="94">
        <f>攻击!F91</f>
        <v>279</v>
      </c>
      <c r="E91" s="94">
        <f>攻击!G91</f>
        <v>372</v>
      </c>
      <c r="F91" s="94">
        <f>攻击!H91</f>
        <v>465</v>
      </c>
      <c r="G91" s="94">
        <f>攻击!I91</f>
        <v>89</v>
      </c>
      <c r="H91" s="94">
        <f>攻击!J91</f>
        <v>55.8</v>
      </c>
      <c r="I91" s="94">
        <f>攻击!K91</f>
        <v>111.6</v>
      </c>
      <c r="J91" s="94">
        <f>攻击!L91</f>
        <v>55.8</v>
      </c>
      <c r="K91" s="94">
        <f>攻击!M91</f>
        <v>148.80000000000001</v>
      </c>
      <c r="L91" s="94">
        <f>攻击!N91</f>
        <v>223.2</v>
      </c>
      <c r="M91" s="94">
        <f>攻击!O91</f>
        <v>279</v>
      </c>
      <c r="N91" s="94">
        <f>攻击!P91</f>
        <v>372</v>
      </c>
      <c r="O91" s="94">
        <f>攻击!Q91</f>
        <v>465</v>
      </c>
      <c r="P91" s="94">
        <f>攻击!R91</f>
        <v>558</v>
      </c>
      <c r="Q91" s="94">
        <f>攻击!S91</f>
        <v>651</v>
      </c>
      <c r="R91" s="94">
        <f>攻击!T91</f>
        <v>139.5</v>
      </c>
      <c r="S91" s="94">
        <f>攻击!U91</f>
        <v>55.8</v>
      </c>
      <c r="T91" s="94">
        <f>攻击!V91</f>
        <v>55.8</v>
      </c>
      <c r="U91" s="94">
        <f>攻击!W91</f>
        <v>9.3000000000000007</v>
      </c>
      <c r="V91" s="93">
        <f>攻击!X91</f>
        <v>0.2</v>
      </c>
      <c r="W91" s="93">
        <f>攻击!Y91</f>
        <v>0.3</v>
      </c>
      <c r="X91" s="93">
        <f>攻击!Z91</f>
        <v>0.5</v>
      </c>
      <c r="Y91" s="93">
        <f>攻击!AA91</f>
        <v>0.8</v>
      </c>
      <c r="Z91" s="93">
        <f>攻击!AB91</f>
        <v>1.2</v>
      </c>
      <c r="AA91" s="94">
        <f>攻击!AL91</f>
        <v>223.2</v>
      </c>
      <c r="AB91" s="93">
        <f>攻击!AM91</f>
        <v>0.2</v>
      </c>
      <c r="AC91" s="93">
        <f>攻击!AN91</f>
        <v>0.3</v>
      </c>
      <c r="AD91" s="93">
        <f>攻击!AO91</f>
        <v>0.5</v>
      </c>
      <c r="AE91" s="93">
        <f>攻击!AP91</f>
        <v>0.8</v>
      </c>
      <c r="AF91" s="93">
        <f>攻击!AQ91</f>
        <v>1.2</v>
      </c>
      <c r="AG91" s="94">
        <f>攻击!AR91</f>
        <v>37.200000000000003</v>
      </c>
      <c r="AH91" s="94">
        <f t="shared" si="1"/>
        <v>725.40000000000009</v>
      </c>
    </row>
    <row r="92" spans="1:34">
      <c r="A92" s="46">
        <v>90</v>
      </c>
      <c r="B92" s="94">
        <f>攻击!D92</f>
        <v>188</v>
      </c>
      <c r="C92" s="94">
        <f>攻击!E92</f>
        <v>225.6</v>
      </c>
      <c r="D92" s="94">
        <f>攻击!F92</f>
        <v>282</v>
      </c>
      <c r="E92" s="94">
        <f>攻击!G92</f>
        <v>376</v>
      </c>
      <c r="F92" s="94">
        <f>攻击!H92</f>
        <v>470</v>
      </c>
      <c r="G92" s="94">
        <f>攻击!I92</f>
        <v>94</v>
      </c>
      <c r="H92" s="94">
        <f>攻击!J92</f>
        <v>56.4</v>
      </c>
      <c r="I92" s="94">
        <f>攻击!K92</f>
        <v>112.8</v>
      </c>
      <c r="J92" s="94">
        <f>攻击!L92</f>
        <v>56.4</v>
      </c>
      <c r="K92" s="94">
        <f>攻击!M92</f>
        <v>150.4</v>
      </c>
      <c r="L92" s="94">
        <f>攻击!N92</f>
        <v>225.6</v>
      </c>
      <c r="M92" s="94">
        <f>攻击!O92</f>
        <v>282</v>
      </c>
      <c r="N92" s="94">
        <f>攻击!P92</f>
        <v>376</v>
      </c>
      <c r="O92" s="94">
        <f>攻击!Q92</f>
        <v>470</v>
      </c>
      <c r="P92" s="94">
        <f>攻击!R92</f>
        <v>564</v>
      </c>
      <c r="Q92" s="94">
        <f>攻击!S92</f>
        <v>658</v>
      </c>
      <c r="R92" s="94">
        <f>攻击!T92</f>
        <v>141</v>
      </c>
      <c r="S92" s="94">
        <f>攻击!U92</f>
        <v>56.4</v>
      </c>
      <c r="T92" s="94">
        <f>攻击!V92</f>
        <v>56.4</v>
      </c>
      <c r="U92" s="94">
        <f>攻击!W92</f>
        <v>9.4</v>
      </c>
      <c r="V92" s="93">
        <f>攻击!X92</f>
        <v>0.2</v>
      </c>
      <c r="W92" s="93">
        <f>攻击!Y92</f>
        <v>0.3</v>
      </c>
      <c r="X92" s="93">
        <f>攻击!Z92</f>
        <v>0.5</v>
      </c>
      <c r="Y92" s="93">
        <f>攻击!AA92</f>
        <v>0.8</v>
      </c>
      <c r="Z92" s="93">
        <f>攻击!AB92</f>
        <v>1.2</v>
      </c>
      <c r="AA92" s="94">
        <f>攻击!AL92</f>
        <v>225.6</v>
      </c>
      <c r="AB92" s="93">
        <f>攻击!AM92</f>
        <v>0.2</v>
      </c>
      <c r="AC92" s="93">
        <f>攻击!AN92</f>
        <v>0.3</v>
      </c>
      <c r="AD92" s="93">
        <f>攻击!AO92</f>
        <v>0.5</v>
      </c>
      <c r="AE92" s="93">
        <f>攻击!AP92</f>
        <v>0.8</v>
      </c>
      <c r="AF92" s="93">
        <f>攻击!AQ92</f>
        <v>1.2</v>
      </c>
      <c r="AG92" s="94">
        <f>攻击!AR92</f>
        <v>37.6</v>
      </c>
      <c r="AH92" s="94">
        <f t="shared" si="1"/>
        <v>733.2</v>
      </c>
    </row>
    <row r="93" spans="1:34">
      <c r="A93" s="46">
        <v>91</v>
      </c>
      <c r="B93" s="94">
        <f>攻击!D93</f>
        <v>190</v>
      </c>
      <c r="C93" s="94">
        <f>攻击!E93</f>
        <v>228</v>
      </c>
      <c r="D93" s="94">
        <f>攻击!F93</f>
        <v>285</v>
      </c>
      <c r="E93" s="94">
        <f>攻击!G93</f>
        <v>380</v>
      </c>
      <c r="F93" s="94">
        <f>攻击!H93</f>
        <v>475</v>
      </c>
      <c r="G93" s="94">
        <f>攻击!I93</f>
        <v>94</v>
      </c>
      <c r="H93" s="94">
        <f>攻击!J93</f>
        <v>57</v>
      </c>
      <c r="I93" s="94">
        <f>攻击!K93</f>
        <v>114</v>
      </c>
      <c r="J93" s="94">
        <f>攻击!L93</f>
        <v>57</v>
      </c>
      <c r="K93" s="94">
        <f>攻击!M93</f>
        <v>152</v>
      </c>
      <c r="L93" s="94">
        <f>攻击!N93</f>
        <v>228</v>
      </c>
      <c r="M93" s="94">
        <f>攻击!O93</f>
        <v>285</v>
      </c>
      <c r="N93" s="94">
        <f>攻击!P93</f>
        <v>380</v>
      </c>
      <c r="O93" s="94">
        <f>攻击!Q93</f>
        <v>475</v>
      </c>
      <c r="P93" s="94">
        <f>攻击!R93</f>
        <v>570</v>
      </c>
      <c r="Q93" s="94">
        <f>攻击!S93</f>
        <v>665</v>
      </c>
      <c r="R93" s="94">
        <f>攻击!T93</f>
        <v>142.5</v>
      </c>
      <c r="S93" s="94">
        <f>攻击!U93</f>
        <v>57</v>
      </c>
      <c r="T93" s="94">
        <f>攻击!V93</f>
        <v>57</v>
      </c>
      <c r="U93" s="94">
        <f>攻击!W93</f>
        <v>9.5</v>
      </c>
      <c r="V93" s="93">
        <f>攻击!X93</f>
        <v>0.2</v>
      </c>
      <c r="W93" s="93">
        <f>攻击!Y93</f>
        <v>0.3</v>
      </c>
      <c r="X93" s="93">
        <f>攻击!Z93</f>
        <v>0.5</v>
      </c>
      <c r="Y93" s="93">
        <f>攻击!AA93</f>
        <v>0.8</v>
      </c>
      <c r="Z93" s="93">
        <f>攻击!AB93</f>
        <v>1.2</v>
      </c>
      <c r="AA93" s="94">
        <f>攻击!AL93</f>
        <v>228</v>
      </c>
      <c r="AB93" s="93">
        <f>攻击!AM93</f>
        <v>0.2</v>
      </c>
      <c r="AC93" s="93">
        <f>攻击!AN93</f>
        <v>0.3</v>
      </c>
      <c r="AD93" s="93">
        <f>攻击!AO93</f>
        <v>0.5</v>
      </c>
      <c r="AE93" s="93">
        <f>攻击!AP93</f>
        <v>0.8</v>
      </c>
      <c r="AF93" s="93">
        <f>攻击!AQ93</f>
        <v>1.2</v>
      </c>
      <c r="AG93" s="94">
        <f>攻击!AR93</f>
        <v>38</v>
      </c>
      <c r="AH93" s="94">
        <f t="shared" si="1"/>
        <v>741</v>
      </c>
    </row>
    <row r="94" spans="1:34">
      <c r="A94" s="46">
        <v>92</v>
      </c>
      <c r="B94" s="94">
        <f>攻击!D94</f>
        <v>192</v>
      </c>
      <c r="C94" s="94">
        <f>攻击!E94</f>
        <v>230.39999999999998</v>
      </c>
      <c r="D94" s="94">
        <f>攻击!F94</f>
        <v>288</v>
      </c>
      <c r="E94" s="94">
        <f>攻击!G94</f>
        <v>384</v>
      </c>
      <c r="F94" s="94">
        <f>攻击!H94</f>
        <v>480</v>
      </c>
      <c r="G94" s="94">
        <f>攻击!I94</f>
        <v>94</v>
      </c>
      <c r="H94" s="94">
        <f>攻击!J94</f>
        <v>57.599999999999994</v>
      </c>
      <c r="I94" s="94">
        <f>攻击!K94</f>
        <v>115.19999999999999</v>
      </c>
      <c r="J94" s="94">
        <f>攻击!L94</f>
        <v>57.599999999999994</v>
      </c>
      <c r="K94" s="94">
        <f>攻击!M94</f>
        <v>153.60000000000002</v>
      </c>
      <c r="L94" s="94">
        <f>攻击!N94</f>
        <v>230.39999999999998</v>
      </c>
      <c r="M94" s="94">
        <f>攻击!O94</f>
        <v>288</v>
      </c>
      <c r="N94" s="94">
        <f>攻击!P94</f>
        <v>384</v>
      </c>
      <c r="O94" s="94">
        <f>攻击!Q94</f>
        <v>480</v>
      </c>
      <c r="P94" s="94">
        <f>攻击!R94</f>
        <v>576</v>
      </c>
      <c r="Q94" s="94">
        <f>攻击!S94</f>
        <v>672</v>
      </c>
      <c r="R94" s="94">
        <f>攻击!T94</f>
        <v>144</v>
      </c>
      <c r="S94" s="94">
        <f>攻击!U94</f>
        <v>57.599999999999994</v>
      </c>
      <c r="T94" s="94">
        <f>攻击!V94</f>
        <v>57.599999999999994</v>
      </c>
      <c r="U94" s="94">
        <f>攻击!W94</f>
        <v>9.6000000000000014</v>
      </c>
      <c r="V94" s="93">
        <f>攻击!X94</f>
        <v>0.2</v>
      </c>
      <c r="W94" s="93">
        <f>攻击!Y94</f>
        <v>0.3</v>
      </c>
      <c r="X94" s="93">
        <f>攻击!Z94</f>
        <v>0.5</v>
      </c>
      <c r="Y94" s="93">
        <f>攻击!AA94</f>
        <v>0.8</v>
      </c>
      <c r="Z94" s="93">
        <f>攻击!AB94</f>
        <v>1.2</v>
      </c>
      <c r="AA94" s="94">
        <f>攻击!AL94</f>
        <v>230.39999999999998</v>
      </c>
      <c r="AB94" s="93">
        <f>攻击!AM94</f>
        <v>0.2</v>
      </c>
      <c r="AC94" s="93">
        <f>攻击!AN94</f>
        <v>0.3</v>
      </c>
      <c r="AD94" s="93">
        <f>攻击!AO94</f>
        <v>0.5</v>
      </c>
      <c r="AE94" s="93">
        <f>攻击!AP94</f>
        <v>0.8</v>
      </c>
      <c r="AF94" s="93">
        <f>攻击!AQ94</f>
        <v>1.2</v>
      </c>
      <c r="AG94" s="94">
        <f>攻击!AR94</f>
        <v>38.400000000000006</v>
      </c>
      <c r="AH94" s="94">
        <f t="shared" si="1"/>
        <v>748.8</v>
      </c>
    </row>
    <row r="95" spans="1:34">
      <c r="A95" s="46">
        <v>93</v>
      </c>
      <c r="B95" s="94">
        <f>攻击!D95</f>
        <v>194</v>
      </c>
      <c r="C95" s="94">
        <f>攻击!E95</f>
        <v>232.79999999999998</v>
      </c>
      <c r="D95" s="94">
        <f>攻击!F95</f>
        <v>291</v>
      </c>
      <c r="E95" s="94">
        <f>攻击!G95</f>
        <v>388</v>
      </c>
      <c r="F95" s="94">
        <f>攻击!H95</f>
        <v>485</v>
      </c>
      <c r="G95" s="94">
        <f>攻击!I95</f>
        <v>94</v>
      </c>
      <c r="H95" s="94">
        <f>攻击!J95</f>
        <v>58.199999999999996</v>
      </c>
      <c r="I95" s="94">
        <f>攻击!K95</f>
        <v>116.39999999999999</v>
      </c>
      <c r="J95" s="94">
        <f>攻击!L95</f>
        <v>58.199999999999996</v>
      </c>
      <c r="K95" s="94">
        <f>攻击!M95</f>
        <v>155.20000000000002</v>
      </c>
      <c r="L95" s="94">
        <f>攻击!N95</f>
        <v>232.79999999999998</v>
      </c>
      <c r="M95" s="94">
        <f>攻击!O95</f>
        <v>291</v>
      </c>
      <c r="N95" s="94">
        <f>攻击!P95</f>
        <v>388</v>
      </c>
      <c r="O95" s="94">
        <f>攻击!Q95</f>
        <v>485</v>
      </c>
      <c r="P95" s="94">
        <f>攻击!R95</f>
        <v>582</v>
      </c>
      <c r="Q95" s="94">
        <f>攻击!S95</f>
        <v>679</v>
      </c>
      <c r="R95" s="94">
        <f>攻击!T95</f>
        <v>145.5</v>
      </c>
      <c r="S95" s="94">
        <f>攻击!U95</f>
        <v>58.199999999999996</v>
      </c>
      <c r="T95" s="94">
        <f>攻击!V95</f>
        <v>58.199999999999996</v>
      </c>
      <c r="U95" s="94">
        <f>攻击!W95</f>
        <v>9.7000000000000011</v>
      </c>
      <c r="V95" s="93">
        <f>攻击!X95</f>
        <v>0.2</v>
      </c>
      <c r="W95" s="93">
        <f>攻击!Y95</f>
        <v>0.3</v>
      </c>
      <c r="X95" s="93">
        <f>攻击!Z95</f>
        <v>0.5</v>
      </c>
      <c r="Y95" s="93">
        <f>攻击!AA95</f>
        <v>0.8</v>
      </c>
      <c r="Z95" s="93">
        <f>攻击!AB95</f>
        <v>1.2</v>
      </c>
      <c r="AA95" s="94">
        <f>攻击!AL95</f>
        <v>232.79999999999998</v>
      </c>
      <c r="AB95" s="93">
        <f>攻击!AM95</f>
        <v>0.2</v>
      </c>
      <c r="AC95" s="93">
        <f>攻击!AN95</f>
        <v>0.3</v>
      </c>
      <c r="AD95" s="93">
        <f>攻击!AO95</f>
        <v>0.5</v>
      </c>
      <c r="AE95" s="93">
        <f>攻击!AP95</f>
        <v>0.8</v>
      </c>
      <c r="AF95" s="93">
        <f>攻击!AQ95</f>
        <v>1.2</v>
      </c>
      <c r="AG95" s="94">
        <f>攻击!AR95</f>
        <v>38.800000000000004</v>
      </c>
      <c r="AH95" s="94">
        <f t="shared" si="1"/>
        <v>756.59999999999991</v>
      </c>
    </row>
    <row r="96" spans="1:34">
      <c r="A96" s="46">
        <v>94</v>
      </c>
      <c r="B96" s="94">
        <f>攻击!D96</f>
        <v>196</v>
      </c>
      <c r="C96" s="94">
        <f>攻击!E96</f>
        <v>235.2</v>
      </c>
      <c r="D96" s="94">
        <f>攻击!F96</f>
        <v>294</v>
      </c>
      <c r="E96" s="94">
        <f>攻击!G96</f>
        <v>392</v>
      </c>
      <c r="F96" s="94">
        <f>攻击!H96</f>
        <v>490</v>
      </c>
      <c r="G96" s="94">
        <f>攻击!I96</f>
        <v>94</v>
      </c>
      <c r="H96" s="94">
        <f>攻击!J96</f>
        <v>58.8</v>
      </c>
      <c r="I96" s="94">
        <f>攻击!K96</f>
        <v>117.6</v>
      </c>
      <c r="J96" s="94">
        <f>攻击!L96</f>
        <v>58.8</v>
      </c>
      <c r="K96" s="94">
        <f>攻击!M96</f>
        <v>156.80000000000001</v>
      </c>
      <c r="L96" s="94">
        <f>攻击!N96</f>
        <v>235.2</v>
      </c>
      <c r="M96" s="94">
        <f>攻击!O96</f>
        <v>294</v>
      </c>
      <c r="N96" s="94">
        <f>攻击!P96</f>
        <v>392</v>
      </c>
      <c r="O96" s="94">
        <f>攻击!Q96</f>
        <v>490</v>
      </c>
      <c r="P96" s="94">
        <f>攻击!R96</f>
        <v>588</v>
      </c>
      <c r="Q96" s="94">
        <f>攻击!S96</f>
        <v>686</v>
      </c>
      <c r="R96" s="94">
        <f>攻击!T96</f>
        <v>147</v>
      </c>
      <c r="S96" s="94">
        <f>攻击!U96</f>
        <v>58.8</v>
      </c>
      <c r="T96" s="94">
        <f>攻击!V96</f>
        <v>58.8</v>
      </c>
      <c r="U96" s="94">
        <f>攻击!W96</f>
        <v>9.8000000000000007</v>
      </c>
      <c r="V96" s="93">
        <f>攻击!X96</f>
        <v>0.2</v>
      </c>
      <c r="W96" s="93">
        <f>攻击!Y96</f>
        <v>0.3</v>
      </c>
      <c r="X96" s="93">
        <f>攻击!Z96</f>
        <v>0.5</v>
      </c>
      <c r="Y96" s="93">
        <f>攻击!AA96</f>
        <v>0.8</v>
      </c>
      <c r="Z96" s="93">
        <f>攻击!AB96</f>
        <v>1.2</v>
      </c>
      <c r="AA96" s="94">
        <f>攻击!AL96</f>
        <v>235.2</v>
      </c>
      <c r="AB96" s="93">
        <f>攻击!AM96</f>
        <v>0.2</v>
      </c>
      <c r="AC96" s="93">
        <f>攻击!AN96</f>
        <v>0.3</v>
      </c>
      <c r="AD96" s="93">
        <f>攻击!AO96</f>
        <v>0.5</v>
      </c>
      <c r="AE96" s="93">
        <f>攻击!AP96</f>
        <v>0.8</v>
      </c>
      <c r="AF96" s="93">
        <f>攻击!AQ96</f>
        <v>1.2</v>
      </c>
      <c r="AG96" s="94">
        <f>攻击!AR96</f>
        <v>39.200000000000003</v>
      </c>
      <c r="AH96" s="94">
        <f t="shared" si="1"/>
        <v>764.40000000000009</v>
      </c>
    </row>
    <row r="97" spans="1:34">
      <c r="A97" s="46">
        <v>95</v>
      </c>
      <c r="B97" s="94">
        <f>攻击!D97</f>
        <v>198</v>
      </c>
      <c r="C97" s="94">
        <f>攻击!E97</f>
        <v>237.6</v>
      </c>
      <c r="D97" s="94">
        <f>攻击!F97</f>
        <v>297</v>
      </c>
      <c r="E97" s="94">
        <f>攻击!G97</f>
        <v>396</v>
      </c>
      <c r="F97" s="94">
        <f>攻击!H97</f>
        <v>495</v>
      </c>
      <c r="G97" s="94">
        <f>攻击!I97</f>
        <v>99</v>
      </c>
      <c r="H97" s="94">
        <f>攻击!J97</f>
        <v>59.4</v>
      </c>
      <c r="I97" s="94">
        <f>攻击!K97</f>
        <v>118.8</v>
      </c>
      <c r="J97" s="94">
        <f>攻击!L97</f>
        <v>59.4</v>
      </c>
      <c r="K97" s="94">
        <f>攻击!M97</f>
        <v>158.4</v>
      </c>
      <c r="L97" s="94">
        <f>攻击!N97</f>
        <v>237.6</v>
      </c>
      <c r="M97" s="94">
        <f>攻击!O97</f>
        <v>297</v>
      </c>
      <c r="N97" s="94">
        <f>攻击!P97</f>
        <v>396</v>
      </c>
      <c r="O97" s="94">
        <f>攻击!Q97</f>
        <v>495</v>
      </c>
      <c r="P97" s="94">
        <f>攻击!R97</f>
        <v>594</v>
      </c>
      <c r="Q97" s="94">
        <f>攻击!S97</f>
        <v>693</v>
      </c>
      <c r="R97" s="94">
        <f>攻击!T97</f>
        <v>148.5</v>
      </c>
      <c r="S97" s="94">
        <f>攻击!U97</f>
        <v>59.4</v>
      </c>
      <c r="T97" s="94">
        <f>攻击!V97</f>
        <v>59.4</v>
      </c>
      <c r="U97" s="94">
        <f>攻击!W97</f>
        <v>9.9</v>
      </c>
      <c r="V97" s="93">
        <f>攻击!X97</f>
        <v>0.2</v>
      </c>
      <c r="W97" s="93">
        <f>攻击!Y97</f>
        <v>0.3</v>
      </c>
      <c r="X97" s="93">
        <f>攻击!Z97</f>
        <v>0.5</v>
      </c>
      <c r="Y97" s="93">
        <f>攻击!AA97</f>
        <v>0.8</v>
      </c>
      <c r="Z97" s="93">
        <f>攻击!AB97</f>
        <v>1.2</v>
      </c>
      <c r="AA97" s="94">
        <f>攻击!AL97</f>
        <v>237.6</v>
      </c>
      <c r="AB97" s="93">
        <f>攻击!AM97</f>
        <v>0.2</v>
      </c>
      <c r="AC97" s="93">
        <f>攻击!AN97</f>
        <v>0.3</v>
      </c>
      <c r="AD97" s="93">
        <f>攻击!AO97</f>
        <v>0.5</v>
      </c>
      <c r="AE97" s="93">
        <f>攻击!AP97</f>
        <v>0.8</v>
      </c>
      <c r="AF97" s="93">
        <f>攻击!AQ97</f>
        <v>1.2</v>
      </c>
      <c r="AG97" s="94">
        <f>攻击!AR97</f>
        <v>39.6</v>
      </c>
      <c r="AH97" s="94">
        <f t="shared" si="1"/>
        <v>772.2</v>
      </c>
    </row>
    <row r="98" spans="1:34">
      <c r="A98" s="46">
        <v>96</v>
      </c>
      <c r="B98" s="94">
        <f>攻击!D98</f>
        <v>200</v>
      </c>
      <c r="C98" s="94">
        <f>攻击!E98</f>
        <v>240</v>
      </c>
      <c r="D98" s="94">
        <f>攻击!F98</f>
        <v>300</v>
      </c>
      <c r="E98" s="94">
        <f>攻击!G98</f>
        <v>400</v>
      </c>
      <c r="F98" s="94">
        <f>攻击!H98</f>
        <v>500</v>
      </c>
      <c r="G98" s="94">
        <f>攻击!I98</f>
        <v>99</v>
      </c>
      <c r="H98" s="94">
        <f>攻击!J98</f>
        <v>60</v>
      </c>
      <c r="I98" s="94">
        <f>攻击!K98</f>
        <v>120</v>
      </c>
      <c r="J98" s="94">
        <f>攻击!L98</f>
        <v>60</v>
      </c>
      <c r="K98" s="94">
        <f>攻击!M98</f>
        <v>160</v>
      </c>
      <c r="L98" s="94">
        <f>攻击!N98</f>
        <v>240</v>
      </c>
      <c r="M98" s="94">
        <f>攻击!O98</f>
        <v>300</v>
      </c>
      <c r="N98" s="94">
        <f>攻击!P98</f>
        <v>400</v>
      </c>
      <c r="O98" s="94">
        <f>攻击!Q98</f>
        <v>500</v>
      </c>
      <c r="P98" s="94">
        <f>攻击!R98</f>
        <v>600</v>
      </c>
      <c r="Q98" s="94">
        <f>攻击!S98</f>
        <v>700</v>
      </c>
      <c r="R98" s="94">
        <f>攻击!T98</f>
        <v>150</v>
      </c>
      <c r="S98" s="94">
        <f>攻击!U98</f>
        <v>60</v>
      </c>
      <c r="T98" s="94">
        <f>攻击!V98</f>
        <v>60</v>
      </c>
      <c r="U98" s="94">
        <f>攻击!W98</f>
        <v>10</v>
      </c>
      <c r="V98" s="93">
        <f>攻击!X98</f>
        <v>0.2</v>
      </c>
      <c r="W98" s="93">
        <f>攻击!Y98</f>
        <v>0.3</v>
      </c>
      <c r="X98" s="93">
        <f>攻击!Z98</f>
        <v>0.5</v>
      </c>
      <c r="Y98" s="93">
        <f>攻击!AA98</f>
        <v>0.8</v>
      </c>
      <c r="Z98" s="93">
        <f>攻击!AB98</f>
        <v>1.2</v>
      </c>
      <c r="AA98" s="94">
        <f>攻击!AL98</f>
        <v>240</v>
      </c>
      <c r="AB98" s="93">
        <f>攻击!AM98</f>
        <v>0.2</v>
      </c>
      <c r="AC98" s="93">
        <f>攻击!AN98</f>
        <v>0.3</v>
      </c>
      <c r="AD98" s="93">
        <f>攻击!AO98</f>
        <v>0.5</v>
      </c>
      <c r="AE98" s="93">
        <f>攻击!AP98</f>
        <v>0.8</v>
      </c>
      <c r="AF98" s="93">
        <f>攻击!AQ98</f>
        <v>1.2</v>
      </c>
      <c r="AG98" s="94">
        <f>攻击!AR98</f>
        <v>40</v>
      </c>
      <c r="AH98" s="94">
        <f t="shared" si="1"/>
        <v>780</v>
      </c>
    </row>
    <row r="99" spans="1:34">
      <c r="A99" s="46">
        <v>97</v>
      </c>
      <c r="B99" s="94">
        <f>攻击!D99</f>
        <v>202</v>
      </c>
      <c r="C99" s="94">
        <f>攻击!E99</f>
        <v>242.39999999999998</v>
      </c>
      <c r="D99" s="94">
        <f>攻击!F99</f>
        <v>303</v>
      </c>
      <c r="E99" s="94">
        <f>攻击!G99</f>
        <v>404</v>
      </c>
      <c r="F99" s="94">
        <f>攻击!H99</f>
        <v>505</v>
      </c>
      <c r="G99" s="94">
        <f>攻击!I99</f>
        <v>99</v>
      </c>
      <c r="H99" s="94">
        <f>攻击!J99</f>
        <v>60.599999999999994</v>
      </c>
      <c r="I99" s="94">
        <f>攻击!K99</f>
        <v>121.19999999999999</v>
      </c>
      <c r="J99" s="94">
        <f>攻击!L99</f>
        <v>60.599999999999994</v>
      </c>
      <c r="K99" s="94">
        <f>攻击!M99</f>
        <v>161.60000000000002</v>
      </c>
      <c r="L99" s="94">
        <f>攻击!N99</f>
        <v>242.39999999999998</v>
      </c>
      <c r="M99" s="94">
        <f>攻击!O99</f>
        <v>303</v>
      </c>
      <c r="N99" s="94">
        <f>攻击!P99</f>
        <v>404</v>
      </c>
      <c r="O99" s="94">
        <f>攻击!Q99</f>
        <v>505</v>
      </c>
      <c r="P99" s="94">
        <f>攻击!R99</f>
        <v>606</v>
      </c>
      <c r="Q99" s="94">
        <f>攻击!S99</f>
        <v>707</v>
      </c>
      <c r="R99" s="94">
        <f>攻击!T99</f>
        <v>151.5</v>
      </c>
      <c r="S99" s="94">
        <f>攻击!U99</f>
        <v>60.599999999999994</v>
      </c>
      <c r="T99" s="94">
        <f>攻击!V99</f>
        <v>60.599999999999994</v>
      </c>
      <c r="U99" s="94">
        <f>攻击!W99</f>
        <v>10.100000000000001</v>
      </c>
      <c r="V99" s="93">
        <f>攻击!X99</f>
        <v>0.2</v>
      </c>
      <c r="W99" s="93">
        <f>攻击!Y99</f>
        <v>0.3</v>
      </c>
      <c r="X99" s="93">
        <f>攻击!Z99</f>
        <v>0.5</v>
      </c>
      <c r="Y99" s="93">
        <f>攻击!AA99</f>
        <v>0.8</v>
      </c>
      <c r="Z99" s="93">
        <f>攻击!AB99</f>
        <v>1.2</v>
      </c>
      <c r="AA99" s="94">
        <f>攻击!AL99</f>
        <v>242.39999999999998</v>
      </c>
      <c r="AB99" s="93">
        <f>攻击!AM99</f>
        <v>0.2</v>
      </c>
      <c r="AC99" s="93">
        <f>攻击!AN99</f>
        <v>0.3</v>
      </c>
      <c r="AD99" s="93">
        <f>攻击!AO99</f>
        <v>0.5</v>
      </c>
      <c r="AE99" s="93">
        <f>攻击!AP99</f>
        <v>0.8</v>
      </c>
      <c r="AF99" s="93">
        <f>攻击!AQ99</f>
        <v>1.2</v>
      </c>
      <c r="AG99" s="94">
        <f>攻击!AR99</f>
        <v>40.400000000000006</v>
      </c>
      <c r="AH99" s="94">
        <f t="shared" si="1"/>
        <v>787.8</v>
      </c>
    </row>
    <row r="100" spans="1:34">
      <c r="A100" s="46">
        <v>98</v>
      </c>
      <c r="B100" s="94">
        <f>攻击!D100</f>
        <v>204</v>
      </c>
      <c r="C100" s="94">
        <f>攻击!E100</f>
        <v>244.79999999999998</v>
      </c>
      <c r="D100" s="94">
        <f>攻击!F100</f>
        <v>306</v>
      </c>
      <c r="E100" s="94">
        <f>攻击!G100</f>
        <v>408</v>
      </c>
      <c r="F100" s="94">
        <f>攻击!H100</f>
        <v>510</v>
      </c>
      <c r="G100" s="94">
        <f>攻击!I100</f>
        <v>99</v>
      </c>
      <c r="H100" s="94">
        <f>攻击!J100</f>
        <v>61.199999999999996</v>
      </c>
      <c r="I100" s="94">
        <f>攻击!K100</f>
        <v>122.39999999999999</v>
      </c>
      <c r="J100" s="94">
        <f>攻击!L100</f>
        <v>61.199999999999996</v>
      </c>
      <c r="K100" s="94">
        <f>攻击!M100</f>
        <v>163.20000000000002</v>
      </c>
      <c r="L100" s="94">
        <f>攻击!N100</f>
        <v>244.79999999999998</v>
      </c>
      <c r="M100" s="94">
        <f>攻击!O100</f>
        <v>306</v>
      </c>
      <c r="N100" s="94">
        <f>攻击!P100</f>
        <v>408</v>
      </c>
      <c r="O100" s="94">
        <f>攻击!Q100</f>
        <v>510</v>
      </c>
      <c r="P100" s="94">
        <f>攻击!R100</f>
        <v>612</v>
      </c>
      <c r="Q100" s="94">
        <f>攻击!S100</f>
        <v>714</v>
      </c>
      <c r="R100" s="94">
        <f>攻击!T100</f>
        <v>153</v>
      </c>
      <c r="S100" s="94">
        <f>攻击!U100</f>
        <v>61.199999999999996</v>
      </c>
      <c r="T100" s="94">
        <f>攻击!V100</f>
        <v>61.199999999999996</v>
      </c>
      <c r="U100" s="94">
        <f>攻击!W100</f>
        <v>10.200000000000001</v>
      </c>
      <c r="V100" s="93">
        <f>攻击!X100</f>
        <v>0.2</v>
      </c>
      <c r="W100" s="93">
        <f>攻击!Y100</f>
        <v>0.3</v>
      </c>
      <c r="X100" s="93">
        <f>攻击!Z100</f>
        <v>0.5</v>
      </c>
      <c r="Y100" s="93">
        <f>攻击!AA100</f>
        <v>0.8</v>
      </c>
      <c r="Z100" s="93">
        <f>攻击!AB100</f>
        <v>1.2</v>
      </c>
      <c r="AA100" s="94">
        <f>攻击!AL100</f>
        <v>244.79999999999998</v>
      </c>
      <c r="AB100" s="93">
        <f>攻击!AM100</f>
        <v>0.2</v>
      </c>
      <c r="AC100" s="93">
        <f>攻击!AN100</f>
        <v>0.3</v>
      </c>
      <c r="AD100" s="93">
        <f>攻击!AO100</f>
        <v>0.5</v>
      </c>
      <c r="AE100" s="93">
        <f>攻击!AP100</f>
        <v>0.8</v>
      </c>
      <c r="AF100" s="93">
        <f>攻击!AQ100</f>
        <v>1.2</v>
      </c>
      <c r="AG100" s="94">
        <f>攻击!AR100</f>
        <v>40.800000000000004</v>
      </c>
      <c r="AH100" s="94">
        <f t="shared" si="1"/>
        <v>795.59999999999991</v>
      </c>
    </row>
    <row r="101" spans="1:34">
      <c r="A101" s="46">
        <v>99</v>
      </c>
      <c r="B101" s="94">
        <f>攻击!D101</f>
        <v>206</v>
      </c>
      <c r="C101" s="94">
        <f>攻击!E101</f>
        <v>247.2</v>
      </c>
      <c r="D101" s="94">
        <f>攻击!F101</f>
        <v>309</v>
      </c>
      <c r="E101" s="94">
        <f>攻击!G101</f>
        <v>412</v>
      </c>
      <c r="F101" s="94">
        <f>攻击!H101</f>
        <v>515</v>
      </c>
      <c r="G101" s="94">
        <f>攻击!I101</f>
        <v>99</v>
      </c>
      <c r="H101" s="94">
        <f>攻击!J101</f>
        <v>61.8</v>
      </c>
      <c r="I101" s="94">
        <f>攻击!K101</f>
        <v>123.6</v>
      </c>
      <c r="J101" s="94">
        <f>攻击!L101</f>
        <v>61.8</v>
      </c>
      <c r="K101" s="94">
        <f>攻击!M101</f>
        <v>164.8</v>
      </c>
      <c r="L101" s="94">
        <f>攻击!N101</f>
        <v>247.2</v>
      </c>
      <c r="M101" s="94">
        <f>攻击!O101</f>
        <v>309</v>
      </c>
      <c r="N101" s="94">
        <f>攻击!P101</f>
        <v>412</v>
      </c>
      <c r="O101" s="94">
        <f>攻击!Q101</f>
        <v>515</v>
      </c>
      <c r="P101" s="94">
        <f>攻击!R101</f>
        <v>618</v>
      </c>
      <c r="Q101" s="94">
        <f>攻击!S101</f>
        <v>721</v>
      </c>
      <c r="R101" s="94">
        <f>攻击!T101</f>
        <v>154.5</v>
      </c>
      <c r="S101" s="94">
        <f>攻击!U101</f>
        <v>61.8</v>
      </c>
      <c r="T101" s="94">
        <f>攻击!V101</f>
        <v>61.8</v>
      </c>
      <c r="U101" s="94">
        <f>攻击!W101</f>
        <v>10.3</v>
      </c>
      <c r="V101" s="93">
        <f>攻击!X101</f>
        <v>0.2</v>
      </c>
      <c r="W101" s="93">
        <f>攻击!Y101</f>
        <v>0.3</v>
      </c>
      <c r="X101" s="93">
        <f>攻击!Z101</f>
        <v>0.5</v>
      </c>
      <c r="Y101" s="93">
        <f>攻击!AA101</f>
        <v>0.8</v>
      </c>
      <c r="Z101" s="93">
        <f>攻击!AB101</f>
        <v>1.2</v>
      </c>
      <c r="AA101" s="94">
        <f>攻击!AL101</f>
        <v>247.2</v>
      </c>
      <c r="AB101" s="93">
        <f>攻击!AM101</f>
        <v>0.2</v>
      </c>
      <c r="AC101" s="93">
        <f>攻击!AN101</f>
        <v>0.3</v>
      </c>
      <c r="AD101" s="93">
        <f>攻击!AO101</f>
        <v>0.5</v>
      </c>
      <c r="AE101" s="93">
        <f>攻击!AP101</f>
        <v>0.8</v>
      </c>
      <c r="AF101" s="93">
        <f>攻击!AQ101</f>
        <v>1.2</v>
      </c>
      <c r="AG101" s="94">
        <f>攻击!AR101</f>
        <v>41.2</v>
      </c>
      <c r="AH101" s="94">
        <f t="shared" si="1"/>
        <v>803.40000000000009</v>
      </c>
    </row>
    <row r="102" spans="1:34">
      <c r="A102" s="46">
        <v>100</v>
      </c>
      <c r="B102" s="94">
        <f>攻击!D102</f>
        <v>208</v>
      </c>
      <c r="C102" s="94">
        <f>攻击!E102</f>
        <v>249.6</v>
      </c>
      <c r="D102" s="94">
        <f>攻击!F102</f>
        <v>312</v>
      </c>
      <c r="E102" s="94">
        <f>攻击!G102</f>
        <v>416</v>
      </c>
      <c r="F102" s="94">
        <f>攻击!H102</f>
        <v>520</v>
      </c>
      <c r="G102" s="94">
        <f>攻击!I102</f>
        <v>104</v>
      </c>
      <c r="H102" s="94">
        <f>攻击!J102</f>
        <v>62.4</v>
      </c>
      <c r="I102" s="94">
        <f>攻击!K102</f>
        <v>124.8</v>
      </c>
      <c r="J102" s="94">
        <f>攻击!L102</f>
        <v>62.4</v>
      </c>
      <c r="K102" s="94">
        <f>攻击!M102</f>
        <v>166.4</v>
      </c>
      <c r="L102" s="94">
        <f>攻击!N102</f>
        <v>249.6</v>
      </c>
      <c r="M102" s="94">
        <f>攻击!O102</f>
        <v>312</v>
      </c>
      <c r="N102" s="94">
        <f>攻击!P102</f>
        <v>416</v>
      </c>
      <c r="O102" s="94">
        <f>攻击!Q102</f>
        <v>520</v>
      </c>
      <c r="P102" s="94">
        <f>攻击!R102</f>
        <v>624</v>
      </c>
      <c r="Q102" s="94">
        <f>攻击!S102</f>
        <v>728</v>
      </c>
      <c r="R102" s="94">
        <f>攻击!T102</f>
        <v>156</v>
      </c>
      <c r="S102" s="94">
        <f>攻击!U102</f>
        <v>62.4</v>
      </c>
      <c r="T102" s="94">
        <f>攻击!V102</f>
        <v>62.4</v>
      </c>
      <c r="U102" s="94">
        <f>攻击!W102</f>
        <v>10.4</v>
      </c>
      <c r="V102" s="93">
        <f>攻击!X102</f>
        <v>0.2</v>
      </c>
      <c r="W102" s="93">
        <f>攻击!Y102</f>
        <v>0.3</v>
      </c>
      <c r="X102" s="93">
        <f>攻击!Z102</f>
        <v>0.5</v>
      </c>
      <c r="Y102" s="93">
        <f>攻击!AA102</f>
        <v>0.8</v>
      </c>
      <c r="Z102" s="93">
        <f>攻击!AB102</f>
        <v>1.2</v>
      </c>
      <c r="AA102" s="94">
        <f>攻击!AL102</f>
        <v>249.6</v>
      </c>
      <c r="AB102" s="93">
        <f>攻击!AM102</f>
        <v>0.2</v>
      </c>
      <c r="AC102" s="93">
        <f>攻击!AN102</f>
        <v>0.3</v>
      </c>
      <c r="AD102" s="93">
        <f>攻击!AO102</f>
        <v>0.5</v>
      </c>
      <c r="AE102" s="93">
        <f>攻击!AP102</f>
        <v>0.8</v>
      </c>
      <c r="AF102" s="93">
        <f>攻击!AQ102</f>
        <v>1.2</v>
      </c>
      <c r="AG102" s="94">
        <f>攻击!AR102</f>
        <v>41.6</v>
      </c>
      <c r="AH102" s="94">
        <f t="shared" si="1"/>
        <v>811.2</v>
      </c>
    </row>
    <row r="103" spans="1:34">
      <c r="A103" s="46">
        <v>101</v>
      </c>
      <c r="B103" s="94">
        <f>攻击!D103</f>
        <v>210</v>
      </c>
      <c r="C103" s="94">
        <f>攻击!E103</f>
        <v>252</v>
      </c>
      <c r="D103" s="94">
        <f>攻击!F103</f>
        <v>315</v>
      </c>
      <c r="E103" s="94">
        <f>攻击!G103</f>
        <v>420</v>
      </c>
      <c r="F103" s="94">
        <f>攻击!H103</f>
        <v>525</v>
      </c>
      <c r="G103" s="94">
        <f>攻击!I103</f>
        <v>104</v>
      </c>
      <c r="H103" s="94">
        <f>攻击!J103</f>
        <v>63</v>
      </c>
      <c r="I103" s="94">
        <f>攻击!K103</f>
        <v>126</v>
      </c>
      <c r="J103" s="94">
        <f>攻击!L103</f>
        <v>63</v>
      </c>
      <c r="K103" s="94">
        <f>攻击!M103</f>
        <v>168</v>
      </c>
      <c r="L103" s="94">
        <f>攻击!N103</f>
        <v>252</v>
      </c>
      <c r="M103" s="94">
        <f>攻击!O103</f>
        <v>315</v>
      </c>
      <c r="N103" s="94">
        <f>攻击!P103</f>
        <v>420</v>
      </c>
      <c r="O103" s="94">
        <f>攻击!Q103</f>
        <v>525</v>
      </c>
      <c r="P103" s="94">
        <f>攻击!R103</f>
        <v>630</v>
      </c>
      <c r="Q103" s="94">
        <f>攻击!S103</f>
        <v>735</v>
      </c>
      <c r="R103" s="94">
        <f>攻击!T103</f>
        <v>157.5</v>
      </c>
      <c r="S103" s="94">
        <f>攻击!U103</f>
        <v>63</v>
      </c>
      <c r="T103" s="94">
        <f>攻击!V103</f>
        <v>63</v>
      </c>
      <c r="U103" s="94">
        <f>攻击!W103</f>
        <v>10.5</v>
      </c>
      <c r="V103" s="93">
        <f>攻击!X103</f>
        <v>0.2</v>
      </c>
      <c r="W103" s="93">
        <f>攻击!Y103</f>
        <v>0.3</v>
      </c>
      <c r="X103" s="93">
        <f>攻击!Z103</f>
        <v>0.5</v>
      </c>
      <c r="Y103" s="93">
        <f>攻击!AA103</f>
        <v>0.8</v>
      </c>
      <c r="Z103" s="93">
        <f>攻击!AB103</f>
        <v>1.2</v>
      </c>
      <c r="AA103" s="94">
        <f>攻击!AL103</f>
        <v>252</v>
      </c>
      <c r="AB103" s="93">
        <f>攻击!AM103</f>
        <v>0.2</v>
      </c>
      <c r="AC103" s="93">
        <f>攻击!AN103</f>
        <v>0.3</v>
      </c>
      <c r="AD103" s="93">
        <f>攻击!AO103</f>
        <v>0.5</v>
      </c>
      <c r="AE103" s="93">
        <f>攻击!AP103</f>
        <v>0.8</v>
      </c>
      <c r="AF103" s="93">
        <f>攻击!AQ103</f>
        <v>1.2</v>
      </c>
      <c r="AG103" s="94">
        <f>攻击!AR103</f>
        <v>42</v>
      </c>
      <c r="AH103" s="94">
        <f t="shared" si="1"/>
        <v>819</v>
      </c>
    </row>
    <row r="104" spans="1:34">
      <c r="A104" s="46">
        <v>102</v>
      </c>
      <c r="B104" s="94">
        <f>攻击!D104</f>
        <v>212</v>
      </c>
      <c r="C104" s="94">
        <f>攻击!E104</f>
        <v>254.39999999999998</v>
      </c>
      <c r="D104" s="94">
        <f>攻击!F104</f>
        <v>318</v>
      </c>
      <c r="E104" s="94">
        <f>攻击!G104</f>
        <v>424</v>
      </c>
      <c r="F104" s="94">
        <f>攻击!H104</f>
        <v>530</v>
      </c>
      <c r="G104" s="94">
        <f>攻击!I104</f>
        <v>104</v>
      </c>
      <c r="H104" s="94">
        <f>攻击!J104</f>
        <v>63.599999999999994</v>
      </c>
      <c r="I104" s="94">
        <f>攻击!K104</f>
        <v>127.19999999999999</v>
      </c>
      <c r="J104" s="94">
        <f>攻击!L104</f>
        <v>63.599999999999994</v>
      </c>
      <c r="K104" s="94">
        <f>攻击!M104</f>
        <v>169.60000000000002</v>
      </c>
      <c r="L104" s="94">
        <f>攻击!N104</f>
        <v>254.39999999999998</v>
      </c>
      <c r="M104" s="94">
        <f>攻击!O104</f>
        <v>318</v>
      </c>
      <c r="N104" s="94">
        <f>攻击!P104</f>
        <v>424</v>
      </c>
      <c r="O104" s="94">
        <f>攻击!Q104</f>
        <v>530</v>
      </c>
      <c r="P104" s="94">
        <f>攻击!R104</f>
        <v>636</v>
      </c>
      <c r="Q104" s="94">
        <f>攻击!S104</f>
        <v>742</v>
      </c>
      <c r="R104" s="94">
        <f>攻击!T104</f>
        <v>159</v>
      </c>
      <c r="S104" s="94">
        <f>攻击!U104</f>
        <v>63.599999999999994</v>
      </c>
      <c r="T104" s="94">
        <f>攻击!V104</f>
        <v>63.599999999999994</v>
      </c>
      <c r="U104" s="94">
        <f>攻击!W104</f>
        <v>10.600000000000001</v>
      </c>
      <c r="V104" s="93">
        <f>攻击!X104</f>
        <v>0.2</v>
      </c>
      <c r="W104" s="93">
        <f>攻击!Y104</f>
        <v>0.3</v>
      </c>
      <c r="X104" s="93">
        <f>攻击!Z104</f>
        <v>0.5</v>
      </c>
      <c r="Y104" s="93">
        <f>攻击!AA104</f>
        <v>0.8</v>
      </c>
      <c r="Z104" s="93">
        <f>攻击!AB104</f>
        <v>1.2</v>
      </c>
      <c r="AA104" s="94">
        <f>攻击!AL104</f>
        <v>254.39999999999998</v>
      </c>
      <c r="AB104" s="93">
        <f>攻击!AM104</f>
        <v>0.2</v>
      </c>
      <c r="AC104" s="93">
        <f>攻击!AN104</f>
        <v>0.3</v>
      </c>
      <c r="AD104" s="93">
        <f>攻击!AO104</f>
        <v>0.5</v>
      </c>
      <c r="AE104" s="93">
        <f>攻击!AP104</f>
        <v>0.8</v>
      </c>
      <c r="AF104" s="93">
        <f>攻击!AQ104</f>
        <v>1.2</v>
      </c>
      <c r="AG104" s="94">
        <f>攻击!AR104</f>
        <v>42.400000000000006</v>
      </c>
      <c r="AH104" s="94">
        <f t="shared" si="1"/>
        <v>826.8</v>
      </c>
    </row>
    <row r="105" spans="1:34">
      <c r="A105" s="46">
        <v>103</v>
      </c>
      <c r="B105" s="94">
        <f>攻击!D105</f>
        <v>214</v>
      </c>
      <c r="C105" s="94">
        <f>攻击!E105</f>
        <v>256.8</v>
      </c>
      <c r="D105" s="94">
        <f>攻击!F105</f>
        <v>321</v>
      </c>
      <c r="E105" s="94">
        <f>攻击!G105</f>
        <v>428</v>
      </c>
      <c r="F105" s="94">
        <f>攻击!H105</f>
        <v>535</v>
      </c>
      <c r="G105" s="94">
        <f>攻击!I105</f>
        <v>104</v>
      </c>
      <c r="H105" s="94">
        <f>攻击!J105</f>
        <v>64.2</v>
      </c>
      <c r="I105" s="94">
        <f>攻击!K105</f>
        <v>128.4</v>
      </c>
      <c r="J105" s="94">
        <f>攻击!L105</f>
        <v>64.2</v>
      </c>
      <c r="K105" s="94">
        <f>攻击!M105</f>
        <v>171.20000000000002</v>
      </c>
      <c r="L105" s="94">
        <f>攻击!N105</f>
        <v>256.8</v>
      </c>
      <c r="M105" s="94">
        <f>攻击!O105</f>
        <v>321</v>
      </c>
      <c r="N105" s="94">
        <f>攻击!P105</f>
        <v>428</v>
      </c>
      <c r="O105" s="94">
        <f>攻击!Q105</f>
        <v>535</v>
      </c>
      <c r="P105" s="94">
        <f>攻击!R105</f>
        <v>642</v>
      </c>
      <c r="Q105" s="94">
        <f>攻击!S105</f>
        <v>749</v>
      </c>
      <c r="R105" s="94">
        <f>攻击!T105</f>
        <v>160.5</v>
      </c>
      <c r="S105" s="94">
        <f>攻击!U105</f>
        <v>64.2</v>
      </c>
      <c r="T105" s="94">
        <f>攻击!V105</f>
        <v>64.2</v>
      </c>
      <c r="U105" s="94">
        <f>攻击!W105</f>
        <v>10.700000000000001</v>
      </c>
      <c r="V105" s="93">
        <f>攻击!X105</f>
        <v>0.2</v>
      </c>
      <c r="W105" s="93">
        <f>攻击!Y105</f>
        <v>0.3</v>
      </c>
      <c r="X105" s="93">
        <f>攻击!Z105</f>
        <v>0.5</v>
      </c>
      <c r="Y105" s="93">
        <f>攻击!AA105</f>
        <v>0.8</v>
      </c>
      <c r="Z105" s="93">
        <f>攻击!AB105</f>
        <v>1.2</v>
      </c>
      <c r="AA105" s="94">
        <f>攻击!AL105</f>
        <v>256.8</v>
      </c>
      <c r="AB105" s="93">
        <f>攻击!AM105</f>
        <v>0.2</v>
      </c>
      <c r="AC105" s="93">
        <f>攻击!AN105</f>
        <v>0.3</v>
      </c>
      <c r="AD105" s="93">
        <f>攻击!AO105</f>
        <v>0.5</v>
      </c>
      <c r="AE105" s="93">
        <f>攻击!AP105</f>
        <v>0.8</v>
      </c>
      <c r="AF105" s="93">
        <f>攻击!AQ105</f>
        <v>1.2</v>
      </c>
      <c r="AG105" s="94">
        <f>攻击!AR105</f>
        <v>42.800000000000004</v>
      </c>
      <c r="AH105" s="94">
        <f t="shared" si="1"/>
        <v>834.59999999999991</v>
      </c>
    </row>
    <row r="106" spans="1:34">
      <c r="A106" s="46">
        <v>104</v>
      </c>
      <c r="B106" s="94">
        <f>攻击!D106</f>
        <v>216</v>
      </c>
      <c r="C106" s="94">
        <f>攻击!E106</f>
        <v>259.2</v>
      </c>
      <c r="D106" s="94">
        <f>攻击!F106</f>
        <v>324</v>
      </c>
      <c r="E106" s="94">
        <f>攻击!G106</f>
        <v>432</v>
      </c>
      <c r="F106" s="94">
        <f>攻击!H106</f>
        <v>540</v>
      </c>
      <c r="G106" s="94">
        <f>攻击!I106</f>
        <v>104</v>
      </c>
      <c r="H106" s="94">
        <f>攻击!J106</f>
        <v>64.8</v>
      </c>
      <c r="I106" s="94">
        <f>攻击!K106</f>
        <v>129.6</v>
      </c>
      <c r="J106" s="94">
        <f>攻击!L106</f>
        <v>64.8</v>
      </c>
      <c r="K106" s="94">
        <f>攻击!M106</f>
        <v>172.8</v>
      </c>
      <c r="L106" s="94">
        <f>攻击!N106</f>
        <v>259.2</v>
      </c>
      <c r="M106" s="94">
        <f>攻击!O106</f>
        <v>324</v>
      </c>
      <c r="N106" s="94">
        <f>攻击!P106</f>
        <v>432</v>
      </c>
      <c r="O106" s="94">
        <f>攻击!Q106</f>
        <v>540</v>
      </c>
      <c r="P106" s="94">
        <f>攻击!R106</f>
        <v>648</v>
      </c>
      <c r="Q106" s="94">
        <f>攻击!S106</f>
        <v>756</v>
      </c>
      <c r="R106" s="94">
        <f>攻击!T106</f>
        <v>162</v>
      </c>
      <c r="S106" s="94">
        <f>攻击!U106</f>
        <v>64.8</v>
      </c>
      <c r="T106" s="94">
        <f>攻击!V106</f>
        <v>64.8</v>
      </c>
      <c r="U106" s="94">
        <f>攻击!W106</f>
        <v>10.8</v>
      </c>
      <c r="V106" s="93">
        <f>攻击!X106</f>
        <v>0.2</v>
      </c>
      <c r="W106" s="93">
        <f>攻击!Y106</f>
        <v>0.3</v>
      </c>
      <c r="X106" s="93">
        <f>攻击!Z106</f>
        <v>0.5</v>
      </c>
      <c r="Y106" s="93">
        <f>攻击!AA106</f>
        <v>0.8</v>
      </c>
      <c r="Z106" s="93">
        <f>攻击!AB106</f>
        <v>1.2</v>
      </c>
      <c r="AA106" s="94">
        <f>攻击!AL106</f>
        <v>259.2</v>
      </c>
      <c r="AB106" s="93">
        <f>攻击!AM106</f>
        <v>0.2</v>
      </c>
      <c r="AC106" s="93">
        <f>攻击!AN106</f>
        <v>0.3</v>
      </c>
      <c r="AD106" s="93">
        <f>攻击!AO106</f>
        <v>0.5</v>
      </c>
      <c r="AE106" s="93">
        <f>攻击!AP106</f>
        <v>0.8</v>
      </c>
      <c r="AF106" s="93">
        <f>攻击!AQ106</f>
        <v>1.2</v>
      </c>
      <c r="AG106" s="94">
        <f>攻击!AR106</f>
        <v>43.2</v>
      </c>
      <c r="AH106" s="94">
        <f t="shared" si="1"/>
        <v>842.40000000000009</v>
      </c>
    </row>
    <row r="107" spans="1:34">
      <c r="A107" s="46">
        <v>105</v>
      </c>
      <c r="B107" s="94">
        <f>攻击!D107</f>
        <v>218</v>
      </c>
      <c r="C107" s="94">
        <f>攻击!E107</f>
        <v>261.59999999999997</v>
      </c>
      <c r="D107" s="94">
        <f>攻击!F107</f>
        <v>327</v>
      </c>
      <c r="E107" s="94">
        <f>攻击!G107</f>
        <v>436</v>
      </c>
      <c r="F107" s="94">
        <f>攻击!H107</f>
        <v>545</v>
      </c>
      <c r="G107" s="94">
        <f>攻击!I107</f>
        <v>109</v>
      </c>
      <c r="H107" s="94">
        <f>攻击!J107</f>
        <v>65.399999999999991</v>
      </c>
      <c r="I107" s="94">
        <f>攻击!K107</f>
        <v>130.79999999999998</v>
      </c>
      <c r="J107" s="94">
        <f>攻击!L107</f>
        <v>65.399999999999991</v>
      </c>
      <c r="K107" s="94">
        <f>攻击!M107</f>
        <v>174.4</v>
      </c>
      <c r="L107" s="94">
        <f>攻击!N107</f>
        <v>261.59999999999997</v>
      </c>
      <c r="M107" s="94">
        <f>攻击!O107</f>
        <v>327</v>
      </c>
      <c r="N107" s="94">
        <f>攻击!P107</f>
        <v>436</v>
      </c>
      <c r="O107" s="94">
        <f>攻击!Q107</f>
        <v>545</v>
      </c>
      <c r="P107" s="94">
        <f>攻击!R107</f>
        <v>654</v>
      </c>
      <c r="Q107" s="94">
        <f>攻击!S107</f>
        <v>763</v>
      </c>
      <c r="R107" s="94">
        <f>攻击!T107</f>
        <v>163.5</v>
      </c>
      <c r="S107" s="94">
        <f>攻击!U107</f>
        <v>65.399999999999991</v>
      </c>
      <c r="T107" s="94">
        <f>攻击!V107</f>
        <v>65.399999999999991</v>
      </c>
      <c r="U107" s="94">
        <f>攻击!W107</f>
        <v>10.9</v>
      </c>
      <c r="V107" s="93">
        <f>攻击!X107</f>
        <v>0.2</v>
      </c>
      <c r="W107" s="93">
        <f>攻击!Y107</f>
        <v>0.3</v>
      </c>
      <c r="X107" s="93">
        <f>攻击!Z107</f>
        <v>0.5</v>
      </c>
      <c r="Y107" s="93">
        <f>攻击!AA107</f>
        <v>0.8</v>
      </c>
      <c r="Z107" s="93">
        <f>攻击!AB107</f>
        <v>1.2</v>
      </c>
      <c r="AA107" s="94">
        <f>攻击!AL107</f>
        <v>261.59999999999997</v>
      </c>
      <c r="AB107" s="93">
        <f>攻击!AM107</f>
        <v>0.2</v>
      </c>
      <c r="AC107" s="93">
        <f>攻击!AN107</f>
        <v>0.3</v>
      </c>
      <c r="AD107" s="93">
        <f>攻击!AO107</f>
        <v>0.5</v>
      </c>
      <c r="AE107" s="93">
        <f>攻击!AP107</f>
        <v>0.8</v>
      </c>
      <c r="AF107" s="93">
        <f>攻击!AQ107</f>
        <v>1.2</v>
      </c>
      <c r="AG107" s="94">
        <f>攻击!AR107</f>
        <v>43.6</v>
      </c>
      <c r="AH107" s="94">
        <f t="shared" si="1"/>
        <v>850.19999999999993</v>
      </c>
    </row>
    <row r="108" spans="1:34">
      <c r="A108" s="46">
        <v>106</v>
      </c>
      <c r="B108" s="94">
        <f>攻击!D108</f>
        <v>220</v>
      </c>
      <c r="C108" s="94">
        <f>攻击!E108</f>
        <v>264</v>
      </c>
      <c r="D108" s="94">
        <f>攻击!F108</f>
        <v>330</v>
      </c>
      <c r="E108" s="94">
        <f>攻击!G108</f>
        <v>440</v>
      </c>
      <c r="F108" s="94">
        <f>攻击!H108</f>
        <v>550</v>
      </c>
      <c r="G108" s="94">
        <f>攻击!I108</f>
        <v>109</v>
      </c>
      <c r="H108" s="94">
        <f>攻击!J108</f>
        <v>66</v>
      </c>
      <c r="I108" s="94">
        <f>攻击!K108</f>
        <v>132</v>
      </c>
      <c r="J108" s="94">
        <f>攻击!L108</f>
        <v>66</v>
      </c>
      <c r="K108" s="94">
        <f>攻击!M108</f>
        <v>176</v>
      </c>
      <c r="L108" s="94">
        <f>攻击!N108</f>
        <v>264</v>
      </c>
      <c r="M108" s="94">
        <f>攻击!O108</f>
        <v>330</v>
      </c>
      <c r="N108" s="94">
        <f>攻击!P108</f>
        <v>440</v>
      </c>
      <c r="O108" s="94">
        <f>攻击!Q108</f>
        <v>550</v>
      </c>
      <c r="P108" s="94">
        <f>攻击!R108</f>
        <v>660</v>
      </c>
      <c r="Q108" s="94">
        <f>攻击!S108</f>
        <v>770</v>
      </c>
      <c r="R108" s="94">
        <f>攻击!T108</f>
        <v>165</v>
      </c>
      <c r="S108" s="94">
        <f>攻击!U108</f>
        <v>66</v>
      </c>
      <c r="T108" s="94">
        <f>攻击!V108</f>
        <v>66</v>
      </c>
      <c r="U108" s="94">
        <f>攻击!W108</f>
        <v>11</v>
      </c>
      <c r="V108" s="93">
        <f>攻击!X108</f>
        <v>0.2</v>
      </c>
      <c r="W108" s="93">
        <f>攻击!Y108</f>
        <v>0.3</v>
      </c>
      <c r="X108" s="93">
        <f>攻击!Z108</f>
        <v>0.5</v>
      </c>
      <c r="Y108" s="93">
        <f>攻击!AA108</f>
        <v>0.8</v>
      </c>
      <c r="Z108" s="93">
        <f>攻击!AB108</f>
        <v>1.2</v>
      </c>
      <c r="AA108" s="94">
        <f>攻击!AL108</f>
        <v>264</v>
      </c>
      <c r="AB108" s="93">
        <f>攻击!AM108</f>
        <v>0.2</v>
      </c>
      <c r="AC108" s="93">
        <f>攻击!AN108</f>
        <v>0.3</v>
      </c>
      <c r="AD108" s="93">
        <f>攻击!AO108</f>
        <v>0.5</v>
      </c>
      <c r="AE108" s="93">
        <f>攻击!AP108</f>
        <v>0.8</v>
      </c>
      <c r="AF108" s="93">
        <f>攻击!AQ108</f>
        <v>1.2</v>
      </c>
      <c r="AG108" s="94">
        <f>攻击!AR108</f>
        <v>44</v>
      </c>
      <c r="AH108" s="94">
        <f t="shared" si="1"/>
        <v>858</v>
      </c>
    </row>
    <row r="109" spans="1:34">
      <c r="A109" s="46">
        <v>107</v>
      </c>
      <c r="B109" s="94">
        <f>攻击!D109</f>
        <v>222</v>
      </c>
      <c r="C109" s="94">
        <f>攻击!E109</f>
        <v>266.39999999999998</v>
      </c>
      <c r="D109" s="94">
        <f>攻击!F109</f>
        <v>333</v>
      </c>
      <c r="E109" s="94">
        <f>攻击!G109</f>
        <v>444</v>
      </c>
      <c r="F109" s="94">
        <f>攻击!H109</f>
        <v>555</v>
      </c>
      <c r="G109" s="94">
        <f>攻击!I109</f>
        <v>109</v>
      </c>
      <c r="H109" s="94">
        <f>攻击!J109</f>
        <v>66.599999999999994</v>
      </c>
      <c r="I109" s="94">
        <f>攻击!K109</f>
        <v>133.19999999999999</v>
      </c>
      <c r="J109" s="94">
        <f>攻击!L109</f>
        <v>66.599999999999994</v>
      </c>
      <c r="K109" s="94">
        <f>攻击!M109</f>
        <v>177.60000000000002</v>
      </c>
      <c r="L109" s="94">
        <f>攻击!N109</f>
        <v>266.39999999999998</v>
      </c>
      <c r="M109" s="94">
        <f>攻击!O109</f>
        <v>333</v>
      </c>
      <c r="N109" s="94">
        <f>攻击!P109</f>
        <v>444</v>
      </c>
      <c r="O109" s="94">
        <f>攻击!Q109</f>
        <v>555</v>
      </c>
      <c r="P109" s="94">
        <f>攻击!R109</f>
        <v>666</v>
      </c>
      <c r="Q109" s="94">
        <f>攻击!S109</f>
        <v>777</v>
      </c>
      <c r="R109" s="94">
        <f>攻击!T109</f>
        <v>166.5</v>
      </c>
      <c r="S109" s="94">
        <f>攻击!U109</f>
        <v>66.599999999999994</v>
      </c>
      <c r="T109" s="94">
        <f>攻击!V109</f>
        <v>66.599999999999994</v>
      </c>
      <c r="U109" s="94">
        <f>攻击!W109</f>
        <v>11.100000000000001</v>
      </c>
      <c r="V109" s="93">
        <f>攻击!X109</f>
        <v>0.2</v>
      </c>
      <c r="W109" s="93">
        <f>攻击!Y109</f>
        <v>0.3</v>
      </c>
      <c r="X109" s="93">
        <f>攻击!Z109</f>
        <v>0.5</v>
      </c>
      <c r="Y109" s="93">
        <f>攻击!AA109</f>
        <v>0.8</v>
      </c>
      <c r="Z109" s="93">
        <f>攻击!AB109</f>
        <v>1.2</v>
      </c>
      <c r="AA109" s="94">
        <f>攻击!AL109</f>
        <v>266.39999999999998</v>
      </c>
      <c r="AB109" s="93">
        <f>攻击!AM109</f>
        <v>0.2</v>
      </c>
      <c r="AC109" s="93">
        <f>攻击!AN109</f>
        <v>0.3</v>
      </c>
      <c r="AD109" s="93">
        <f>攻击!AO109</f>
        <v>0.5</v>
      </c>
      <c r="AE109" s="93">
        <f>攻击!AP109</f>
        <v>0.8</v>
      </c>
      <c r="AF109" s="93">
        <f>攻击!AQ109</f>
        <v>1.2</v>
      </c>
      <c r="AG109" s="94">
        <f>攻击!AR109</f>
        <v>44.400000000000006</v>
      </c>
      <c r="AH109" s="94">
        <f t="shared" si="1"/>
        <v>865.8</v>
      </c>
    </row>
    <row r="110" spans="1:34">
      <c r="A110" s="46">
        <v>108</v>
      </c>
      <c r="B110" s="94">
        <f>攻击!D110</f>
        <v>224</v>
      </c>
      <c r="C110" s="94">
        <f>攻击!E110</f>
        <v>268.8</v>
      </c>
      <c r="D110" s="94">
        <f>攻击!F110</f>
        <v>336</v>
      </c>
      <c r="E110" s="94">
        <f>攻击!G110</f>
        <v>448</v>
      </c>
      <c r="F110" s="94">
        <f>攻击!H110</f>
        <v>560</v>
      </c>
      <c r="G110" s="94">
        <f>攻击!I110</f>
        <v>109</v>
      </c>
      <c r="H110" s="94">
        <f>攻击!J110</f>
        <v>67.2</v>
      </c>
      <c r="I110" s="94">
        <f>攻击!K110</f>
        <v>134.4</v>
      </c>
      <c r="J110" s="94">
        <f>攻击!L110</f>
        <v>67.2</v>
      </c>
      <c r="K110" s="94">
        <f>攻击!M110</f>
        <v>179.20000000000002</v>
      </c>
      <c r="L110" s="94">
        <f>攻击!N110</f>
        <v>268.8</v>
      </c>
      <c r="M110" s="94">
        <f>攻击!O110</f>
        <v>336</v>
      </c>
      <c r="N110" s="94">
        <f>攻击!P110</f>
        <v>448</v>
      </c>
      <c r="O110" s="94">
        <f>攻击!Q110</f>
        <v>560</v>
      </c>
      <c r="P110" s="94">
        <f>攻击!R110</f>
        <v>672</v>
      </c>
      <c r="Q110" s="94">
        <f>攻击!S110</f>
        <v>784</v>
      </c>
      <c r="R110" s="94">
        <f>攻击!T110</f>
        <v>168</v>
      </c>
      <c r="S110" s="94">
        <f>攻击!U110</f>
        <v>67.2</v>
      </c>
      <c r="T110" s="94">
        <f>攻击!V110</f>
        <v>67.2</v>
      </c>
      <c r="U110" s="94">
        <f>攻击!W110</f>
        <v>11.200000000000001</v>
      </c>
      <c r="V110" s="93">
        <f>攻击!X110</f>
        <v>0.2</v>
      </c>
      <c r="W110" s="93">
        <f>攻击!Y110</f>
        <v>0.3</v>
      </c>
      <c r="X110" s="93">
        <f>攻击!Z110</f>
        <v>0.5</v>
      </c>
      <c r="Y110" s="93">
        <f>攻击!AA110</f>
        <v>0.8</v>
      </c>
      <c r="Z110" s="93">
        <f>攻击!AB110</f>
        <v>1.2</v>
      </c>
      <c r="AA110" s="94">
        <f>攻击!AL110</f>
        <v>268.8</v>
      </c>
      <c r="AB110" s="93">
        <f>攻击!AM110</f>
        <v>0.2</v>
      </c>
      <c r="AC110" s="93">
        <f>攻击!AN110</f>
        <v>0.3</v>
      </c>
      <c r="AD110" s="93">
        <f>攻击!AO110</f>
        <v>0.5</v>
      </c>
      <c r="AE110" s="93">
        <f>攻击!AP110</f>
        <v>0.8</v>
      </c>
      <c r="AF110" s="93">
        <f>攻击!AQ110</f>
        <v>1.2</v>
      </c>
      <c r="AG110" s="94">
        <f>攻击!AR110</f>
        <v>44.800000000000004</v>
      </c>
      <c r="AH110" s="94">
        <f t="shared" si="1"/>
        <v>873.59999999999991</v>
      </c>
    </row>
    <row r="111" spans="1:34">
      <c r="A111" s="46">
        <v>109</v>
      </c>
      <c r="B111" s="94">
        <f>攻击!D111</f>
        <v>226</v>
      </c>
      <c r="C111" s="94">
        <f>攻击!E111</f>
        <v>271.2</v>
      </c>
      <c r="D111" s="94">
        <f>攻击!F111</f>
        <v>339</v>
      </c>
      <c r="E111" s="94">
        <f>攻击!G111</f>
        <v>452</v>
      </c>
      <c r="F111" s="94">
        <f>攻击!H111</f>
        <v>565</v>
      </c>
      <c r="G111" s="94">
        <f>攻击!I111</f>
        <v>109</v>
      </c>
      <c r="H111" s="94">
        <f>攻击!J111</f>
        <v>67.8</v>
      </c>
      <c r="I111" s="94">
        <f>攻击!K111</f>
        <v>135.6</v>
      </c>
      <c r="J111" s="94">
        <f>攻击!L111</f>
        <v>67.8</v>
      </c>
      <c r="K111" s="94">
        <f>攻击!M111</f>
        <v>180.8</v>
      </c>
      <c r="L111" s="94">
        <f>攻击!N111</f>
        <v>271.2</v>
      </c>
      <c r="M111" s="94">
        <f>攻击!O111</f>
        <v>339</v>
      </c>
      <c r="N111" s="94">
        <f>攻击!P111</f>
        <v>452</v>
      </c>
      <c r="O111" s="94">
        <f>攻击!Q111</f>
        <v>565</v>
      </c>
      <c r="P111" s="94">
        <f>攻击!R111</f>
        <v>678</v>
      </c>
      <c r="Q111" s="94">
        <f>攻击!S111</f>
        <v>791</v>
      </c>
      <c r="R111" s="94">
        <f>攻击!T111</f>
        <v>169.5</v>
      </c>
      <c r="S111" s="94">
        <f>攻击!U111</f>
        <v>67.8</v>
      </c>
      <c r="T111" s="94">
        <f>攻击!V111</f>
        <v>67.8</v>
      </c>
      <c r="U111" s="94">
        <f>攻击!W111</f>
        <v>11.3</v>
      </c>
      <c r="V111" s="93">
        <f>攻击!X111</f>
        <v>0.2</v>
      </c>
      <c r="W111" s="93">
        <f>攻击!Y111</f>
        <v>0.3</v>
      </c>
      <c r="X111" s="93">
        <f>攻击!Z111</f>
        <v>0.5</v>
      </c>
      <c r="Y111" s="93">
        <f>攻击!AA111</f>
        <v>0.8</v>
      </c>
      <c r="Z111" s="93">
        <f>攻击!AB111</f>
        <v>1.2</v>
      </c>
      <c r="AA111" s="94">
        <f>攻击!AL111</f>
        <v>271.2</v>
      </c>
      <c r="AB111" s="93">
        <f>攻击!AM111</f>
        <v>0.2</v>
      </c>
      <c r="AC111" s="93">
        <f>攻击!AN111</f>
        <v>0.3</v>
      </c>
      <c r="AD111" s="93">
        <f>攻击!AO111</f>
        <v>0.5</v>
      </c>
      <c r="AE111" s="93">
        <f>攻击!AP111</f>
        <v>0.8</v>
      </c>
      <c r="AF111" s="93">
        <f>攻击!AQ111</f>
        <v>1.2</v>
      </c>
      <c r="AG111" s="94">
        <f>攻击!AR111</f>
        <v>45.2</v>
      </c>
      <c r="AH111" s="94">
        <f t="shared" si="1"/>
        <v>881.40000000000009</v>
      </c>
    </row>
    <row r="112" spans="1:34">
      <c r="A112" s="46">
        <v>110</v>
      </c>
      <c r="B112" s="94">
        <f>攻击!D112</f>
        <v>228</v>
      </c>
      <c r="C112" s="94">
        <f>攻击!E112</f>
        <v>273.59999999999997</v>
      </c>
      <c r="D112" s="94">
        <f>攻击!F112</f>
        <v>342</v>
      </c>
      <c r="E112" s="94">
        <f>攻击!G112</f>
        <v>456</v>
      </c>
      <c r="F112" s="94">
        <f>攻击!H112</f>
        <v>570</v>
      </c>
      <c r="G112" s="94">
        <f>攻击!I112</f>
        <v>114</v>
      </c>
      <c r="H112" s="94">
        <f>攻击!J112</f>
        <v>68.399999999999991</v>
      </c>
      <c r="I112" s="94">
        <f>攻击!K112</f>
        <v>136.79999999999998</v>
      </c>
      <c r="J112" s="94">
        <f>攻击!L112</f>
        <v>68.399999999999991</v>
      </c>
      <c r="K112" s="94">
        <f>攻击!M112</f>
        <v>182.4</v>
      </c>
      <c r="L112" s="94">
        <f>攻击!N112</f>
        <v>273.59999999999997</v>
      </c>
      <c r="M112" s="94">
        <f>攻击!O112</f>
        <v>342</v>
      </c>
      <c r="N112" s="94">
        <f>攻击!P112</f>
        <v>456</v>
      </c>
      <c r="O112" s="94">
        <f>攻击!Q112</f>
        <v>570</v>
      </c>
      <c r="P112" s="94">
        <f>攻击!R112</f>
        <v>684</v>
      </c>
      <c r="Q112" s="94">
        <f>攻击!S112</f>
        <v>798</v>
      </c>
      <c r="R112" s="94">
        <f>攻击!T112</f>
        <v>171</v>
      </c>
      <c r="S112" s="94">
        <f>攻击!U112</f>
        <v>68.399999999999991</v>
      </c>
      <c r="T112" s="94">
        <f>攻击!V112</f>
        <v>68.399999999999991</v>
      </c>
      <c r="U112" s="94">
        <f>攻击!W112</f>
        <v>11.4</v>
      </c>
      <c r="V112" s="93">
        <f>攻击!X112</f>
        <v>0.2</v>
      </c>
      <c r="W112" s="93">
        <f>攻击!Y112</f>
        <v>0.3</v>
      </c>
      <c r="X112" s="93">
        <f>攻击!Z112</f>
        <v>0.5</v>
      </c>
      <c r="Y112" s="93">
        <f>攻击!AA112</f>
        <v>0.8</v>
      </c>
      <c r="Z112" s="93">
        <f>攻击!AB112</f>
        <v>1.2</v>
      </c>
      <c r="AA112" s="94">
        <f>攻击!AL112</f>
        <v>273.59999999999997</v>
      </c>
      <c r="AB112" s="93">
        <f>攻击!AM112</f>
        <v>0.2</v>
      </c>
      <c r="AC112" s="93">
        <f>攻击!AN112</f>
        <v>0.3</v>
      </c>
      <c r="AD112" s="93">
        <f>攻击!AO112</f>
        <v>0.5</v>
      </c>
      <c r="AE112" s="93">
        <f>攻击!AP112</f>
        <v>0.8</v>
      </c>
      <c r="AF112" s="93">
        <f>攻击!AQ112</f>
        <v>1.2</v>
      </c>
      <c r="AG112" s="94">
        <f>攻击!AR112</f>
        <v>45.6</v>
      </c>
      <c r="AH112" s="94">
        <f t="shared" si="1"/>
        <v>889.19999999999993</v>
      </c>
    </row>
    <row r="113" spans="1:34">
      <c r="A113" s="46">
        <v>111</v>
      </c>
      <c r="B113" s="94">
        <f>攻击!D113</f>
        <v>230</v>
      </c>
      <c r="C113" s="94">
        <f>攻击!E113</f>
        <v>276</v>
      </c>
      <c r="D113" s="94">
        <f>攻击!F113</f>
        <v>345</v>
      </c>
      <c r="E113" s="94">
        <f>攻击!G113</f>
        <v>460</v>
      </c>
      <c r="F113" s="94">
        <f>攻击!H113</f>
        <v>575</v>
      </c>
      <c r="G113" s="94">
        <f>攻击!I113</f>
        <v>114</v>
      </c>
      <c r="H113" s="94">
        <f>攻击!J113</f>
        <v>69</v>
      </c>
      <c r="I113" s="94">
        <f>攻击!K113</f>
        <v>138</v>
      </c>
      <c r="J113" s="94">
        <f>攻击!L113</f>
        <v>69</v>
      </c>
      <c r="K113" s="94">
        <f>攻击!M113</f>
        <v>184</v>
      </c>
      <c r="L113" s="94">
        <f>攻击!N113</f>
        <v>276</v>
      </c>
      <c r="M113" s="94">
        <f>攻击!O113</f>
        <v>345</v>
      </c>
      <c r="N113" s="94">
        <f>攻击!P113</f>
        <v>460</v>
      </c>
      <c r="O113" s="94">
        <f>攻击!Q113</f>
        <v>575</v>
      </c>
      <c r="P113" s="94">
        <f>攻击!R113</f>
        <v>690</v>
      </c>
      <c r="Q113" s="94">
        <f>攻击!S113</f>
        <v>805</v>
      </c>
      <c r="R113" s="94">
        <f>攻击!T113</f>
        <v>172.5</v>
      </c>
      <c r="S113" s="94">
        <f>攻击!U113</f>
        <v>69</v>
      </c>
      <c r="T113" s="94">
        <f>攻击!V113</f>
        <v>69</v>
      </c>
      <c r="U113" s="94">
        <f>攻击!W113</f>
        <v>11.5</v>
      </c>
      <c r="V113" s="93">
        <f>攻击!X113</f>
        <v>0.2</v>
      </c>
      <c r="W113" s="93">
        <f>攻击!Y113</f>
        <v>0.3</v>
      </c>
      <c r="X113" s="93">
        <f>攻击!Z113</f>
        <v>0.5</v>
      </c>
      <c r="Y113" s="93">
        <f>攻击!AA113</f>
        <v>0.8</v>
      </c>
      <c r="Z113" s="93">
        <f>攻击!AB113</f>
        <v>1.2</v>
      </c>
      <c r="AA113" s="94">
        <f>攻击!AL113</f>
        <v>276</v>
      </c>
      <c r="AB113" s="93">
        <f>攻击!AM113</f>
        <v>0.2</v>
      </c>
      <c r="AC113" s="93">
        <f>攻击!AN113</f>
        <v>0.3</v>
      </c>
      <c r="AD113" s="93">
        <f>攻击!AO113</f>
        <v>0.5</v>
      </c>
      <c r="AE113" s="93">
        <f>攻击!AP113</f>
        <v>0.8</v>
      </c>
      <c r="AF113" s="93">
        <f>攻击!AQ113</f>
        <v>1.2</v>
      </c>
      <c r="AG113" s="94">
        <f>攻击!AR113</f>
        <v>46</v>
      </c>
      <c r="AH113" s="94">
        <f t="shared" si="1"/>
        <v>897</v>
      </c>
    </row>
    <row r="114" spans="1:34">
      <c r="A114" s="46">
        <v>112</v>
      </c>
      <c r="B114" s="94">
        <f>攻击!D114</f>
        <v>232</v>
      </c>
      <c r="C114" s="94">
        <f>攻击!E114</f>
        <v>278.39999999999998</v>
      </c>
      <c r="D114" s="94">
        <f>攻击!F114</f>
        <v>348</v>
      </c>
      <c r="E114" s="94">
        <f>攻击!G114</f>
        <v>464</v>
      </c>
      <c r="F114" s="94">
        <f>攻击!H114</f>
        <v>580</v>
      </c>
      <c r="G114" s="94">
        <f>攻击!I114</f>
        <v>114</v>
      </c>
      <c r="H114" s="94">
        <f>攻击!J114</f>
        <v>69.599999999999994</v>
      </c>
      <c r="I114" s="94">
        <f>攻击!K114</f>
        <v>139.19999999999999</v>
      </c>
      <c r="J114" s="94">
        <f>攻击!L114</f>
        <v>69.599999999999994</v>
      </c>
      <c r="K114" s="94">
        <f>攻击!M114</f>
        <v>185.60000000000002</v>
      </c>
      <c r="L114" s="94">
        <f>攻击!N114</f>
        <v>278.39999999999998</v>
      </c>
      <c r="M114" s="94">
        <f>攻击!O114</f>
        <v>348</v>
      </c>
      <c r="N114" s="94">
        <f>攻击!P114</f>
        <v>464</v>
      </c>
      <c r="O114" s="94">
        <f>攻击!Q114</f>
        <v>580</v>
      </c>
      <c r="P114" s="94">
        <f>攻击!R114</f>
        <v>696</v>
      </c>
      <c r="Q114" s="94">
        <f>攻击!S114</f>
        <v>812</v>
      </c>
      <c r="R114" s="94">
        <f>攻击!T114</f>
        <v>174</v>
      </c>
      <c r="S114" s="94">
        <f>攻击!U114</f>
        <v>69.599999999999994</v>
      </c>
      <c r="T114" s="94">
        <f>攻击!V114</f>
        <v>69.599999999999994</v>
      </c>
      <c r="U114" s="94">
        <f>攻击!W114</f>
        <v>11.600000000000001</v>
      </c>
      <c r="V114" s="93">
        <f>攻击!X114</f>
        <v>0.2</v>
      </c>
      <c r="W114" s="93">
        <f>攻击!Y114</f>
        <v>0.3</v>
      </c>
      <c r="X114" s="93">
        <f>攻击!Z114</f>
        <v>0.5</v>
      </c>
      <c r="Y114" s="93">
        <f>攻击!AA114</f>
        <v>0.8</v>
      </c>
      <c r="Z114" s="93">
        <f>攻击!AB114</f>
        <v>1.2</v>
      </c>
      <c r="AA114" s="94">
        <f>攻击!AL114</f>
        <v>278.39999999999998</v>
      </c>
      <c r="AB114" s="93">
        <f>攻击!AM114</f>
        <v>0.2</v>
      </c>
      <c r="AC114" s="93">
        <f>攻击!AN114</f>
        <v>0.3</v>
      </c>
      <c r="AD114" s="93">
        <f>攻击!AO114</f>
        <v>0.5</v>
      </c>
      <c r="AE114" s="93">
        <f>攻击!AP114</f>
        <v>0.8</v>
      </c>
      <c r="AF114" s="93">
        <f>攻击!AQ114</f>
        <v>1.2</v>
      </c>
      <c r="AG114" s="94">
        <f>攻击!AR114</f>
        <v>46.400000000000006</v>
      </c>
      <c r="AH114" s="94">
        <f t="shared" si="1"/>
        <v>904.8</v>
      </c>
    </row>
    <row r="115" spans="1:34">
      <c r="A115" s="46">
        <v>113</v>
      </c>
      <c r="B115" s="94">
        <f>攻击!D115</f>
        <v>234</v>
      </c>
      <c r="C115" s="94">
        <f>攻击!E115</f>
        <v>280.8</v>
      </c>
      <c r="D115" s="94">
        <f>攻击!F115</f>
        <v>351</v>
      </c>
      <c r="E115" s="94">
        <f>攻击!G115</f>
        <v>468</v>
      </c>
      <c r="F115" s="94">
        <f>攻击!H115</f>
        <v>585</v>
      </c>
      <c r="G115" s="94">
        <f>攻击!I115</f>
        <v>114</v>
      </c>
      <c r="H115" s="94">
        <f>攻击!J115</f>
        <v>70.2</v>
      </c>
      <c r="I115" s="94">
        <f>攻击!K115</f>
        <v>140.4</v>
      </c>
      <c r="J115" s="94">
        <f>攻击!L115</f>
        <v>70.2</v>
      </c>
      <c r="K115" s="94">
        <f>攻击!M115</f>
        <v>187.20000000000002</v>
      </c>
      <c r="L115" s="94">
        <f>攻击!N115</f>
        <v>280.8</v>
      </c>
      <c r="M115" s="94">
        <f>攻击!O115</f>
        <v>351</v>
      </c>
      <c r="N115" s="94">
        <f>攻击!P115</f>
        <v>468</v>
      </c>
      <c r="O115" s="94">
        <f>攻击!Q115</f>
        <v>585</v>
      </c>
      <c r="P115" s="94">
        <f>攻击!R115</f>
        <v>702</v>
      </c>
      <c r="Q115" s="94">
        <f>攻击!S115</f>
        <v>819</v>
      </c>
      <c r="R115" s="94">
        <f>攻击!T115</f>
        <v>175.5</v>
      </c>
      <c r="S115" s="94">
        <f>攻击!U115</f>
        <v>70.2</v>
      </c>
      <c r="T115" s="94">
        <f>攻击!V115</f>
        <v>70.2</v>
      </c>
      <c r="U115" s="94">
        <f>攻击!W115</f>
        <v>11.700000000000001</v>
      </c>
      <c r="V115" s="93">
        <f>攻击!X115</f>
        <v>0.2</v>
      </c>
      <c r="W115" s="93">
        <f>攻击!Y115</f>
        <v>0.3</v>
      </c>
      <c r="X115" s="93">
        <f>攻击!Z115</f>
        <v>0.5</v>
      </c>
      <c r="Y115" s="93">
        <f>攻击!AA115</f>
        <v>0.8</v>
      </c>
      <c r="Z115" s="93">
        <f>攻击!AB115</f>
        <v>1.2</v>
      </c>
      <c r="AA115" s="94">
        <f>攻击!AL115</f>
        <v>280.8</v>
      </c>
      <c r="AB115" s="93">
        <f>攻击!AM115</f>
        <v>0.2</v>
      </c>
      <c r="AC115" s="93">
        <f>攻击!AN115</f>
        <v>0.3</v>
      </c>
      <c r="AD115" s="93">
        <f>攻击!AO115</f>
        <v>0.5</v>
      </c>
      <c r="AE115" s="93">
        <f>攻击!AP115</f>
        <v>0.8</v>
      </c>
      <c r="AF115" s="93">
        <f>攻击!AQ115</f>
        <v>1.2</v>
      </c>
      <c r="AG115" s="94">
        <f>攻击!AR115</f>
        <v>46.800000000000004</v>
      </c>
      <c r="AH115" s="94">
        <f t="shared" si="1"/>
        <v>912.59999999999991</v>
      </c>
    </row>
    <row r="116" spans="1:34">
      <c r="A116" s="46">
        <v>114</v>
      </c>
      <c r="B116" s="94">
        <f>攻击!D116</f>
        <v>236</v>
      </c>
      <c r="C116" s="94">
        <f>攻击!E116</f>
        <v>283.2</v>
      </c>
      <c r="D116" s="94">
        <f>攻击!F116</f>
        <v>354</v>
      </c>
      <c r="E116" s="94">
        <f>攻击!G116</f>
        <v>472</v>
      </c>
      <c r="F116" s="94">
        <f>攻击!H116</f>
        <v>590</v>
      </c>
      <c r="G116" s="94">
        <f>攻击!I116</f>
        <v>114</v>
      </c>
      <c r="H116" s="94">
        <f>攻击!J116</f>
        <v>70.8</v>
      </c>
      <c r="I116" s="94">
        <f>攻击!K116</f>
        <v>141.6</v>
      </c>
      <c r="J116" s="94">
        <f>攻击!L116</f>
        <v>70.8</v>
      </c>
      <c r="K116" s="94">
        <f>攻击!M116</f>
        <v>188.8</v>
      </c>
      <c r="L116" s="94">
        <f>攻击!N116</f>
        <v>283.2</v>
      </c>
      <c r="M116" s="94">
        <f>攻击!O116</f>
        <v>354</v>
      </c>
      <c r="N116" s="94">
        <f>攻击!P116</f>
        <v>472</v>
      </c>
      <c r="O116" s="94">
        <f>攻击!Q116</f>
        <v>590</v>
      </c>
      <c r="P116" s="94">
        <f>攻击!R116</f>
        <v>708</v>
      </c>
      <c r="Q116" s="94">
        <f>攻击!S116</f>
        <v>826</v>
      </c>
      <c r="R116" s="94">
        <f>攻击!T116</f>
        <v>177</v>
      </c>
      <c r="S116" s="94">
        <f>攻击!U116</f>
        <v>70.8</v>
      </c>
      <c r="T116" s="94">
        <f>攻击!V116</f>
        <v>70.8</v>
      </c>
      <c r="U116" s="94">
        <f>攻击!W116</f>
        <v>11.8</v>
      </c>
      <c r="V116" s="93">
        <f>攻击!X116</f>
        <v>0.2</v>
      </c>
      <c r="W116" s="93">
        <f>攻击!Y116</f>
        <v>0.3</v>
      </c>
      <c r="X116" s="93">
        <f>攻击!Z116</f>
        <v>0.5</v>
      </c>
      <c r="Y116" s="93">
        <f>攻击!AA116</f>
        <v>0.8</v>
      </c>
      <c r="Z116" s="93">
        <f>攻击!AB116</f>
        <v>1.2</v>
      </c>
      <c r="AA116" s="94">
        <f>攻击!AL116</f>
        <v>283.2</v>
      </c>
      <c r="AB116" s="93">
        <f>攻击!AM116</f>
        <v>0.2</v>
      </c>
      <c r="AC116" s="93">
        <f>攻击!AN116</f>
        <v>0.3</v>
      </c>
      <c r="AD116" s="93">
        <f>攻击!AO116</f>
        <v>0.5</v>
      </c>
      <c r="AE116" s="93">
        <f>攻击!AP116</f>
        <v>0.8</v>
      </c>
      <c r="AF116" s="93">
        <f>攻击!AQ116</f>
        <v>1.2</v>
      </c>
      <c r="AG116" s="94">
        <f>攻击!AR116</f>
        <v>47.2</v>
      </c>
      <c r="AH116" s="94">
        <f t="shared" si="1"/>
        <v>920.40000000000009</v>
      </c>
    </row>
    <row r="117" spans="1:34">
      <c r="A117" s="46">
        <v>115</v>
      </c>
      <c r="B117" s="94">
        <f>攻击!D117</f>
        <v>238</v>
      </c>
      <c r="C117" s="94">
        <f>攻击!E117</f>
        <v>285.59999999999997</v>
      </c>
      <c r="D117" s="94">
        <f>攻击!F117</f>
        <v>357</v>
      </c>
      <c r="E117" s="94">
        <f>攻击!G117</f>
        <v>476</v>
      </c>
      <c r="F117" s="94">
        <f>攻击!H117</f>
        <v>595</v>
      </c>
      <c r="G117" s="94">
        <f>攻击!I117</f>
        <v>119</v>
      </c>
      <c r="H117" s="94">
        <f>攻击!J117</f>
        <v>71.399999999999991</v>
      </c>
      <c r="I117" s="94">
        <f>攻击!K117</f>
        <v>142.79999999999998</v>
      </c>
      <c r="J117" s="94">
        <f>攻击!L117</f>
        <v>71.399999999999991</v>
      </c>
      <c r="K117" s="94">
        <f>攻击!M117</f>
        <v>190.4</v>
      </c>
      <c r="L117" s="94">
        <f>攻击!N117</f>
        <v>285.59999999999997</v>
      </c>
      <c r="M117" s="94">
        <f>攻击!O117</f>
        <v>357</v>
      </c>
      <c r="N117" s="94">
        <f>攻击!P117</f>
        <v>476</v>
      </c>
      <c r="O117" s="94">
        <f>攻击!Q117</f>
        <v>595</v>
      </c>
      <c r="P117" s="94">
        <f>攻击!R117</f>
        <v>714</v>
      </c>
      <c r="Q117" s="94">
        <f>攻击!S117</f>
        <v>833</v>
      </c>
      <c r="R117" s="94">
        <f>攻击!T117</f>
        <v>178.5</v>
      </c>
      <c r="S117" s="94">
        <f>攻击!U117</f>
        <v>71.399999999999991</v>
      </c>
      <c r="T117" s="94">
        <f>攻击!V117</f>
        <v>71.399999999999991</v>
      </c>
      <c r="U117" s="94">
        <f>攻击!W117</f>
        <v>11.9</v>
      </c>
      <c r="V117" s="93">
        <f>攻击!X117</f>
        <v>0.2</v>
      </c>
      <c r="W117" s="93">
        <f>攻击!Y117</f>
        <v>0.3</v>
      </c>
      <c r="X117" s="93">
        <f>攻击!Z117</f>
        <v>0.5</v>
      </c>
      <c r="Y117" s="93">
        <f>攻击!AA117</f>
        <v>0.8</v>
      </c>
      <c r="Z117" s="93">
        <f>攻击!AB117</f>
        <v>1.2</v>
      </c>
      <c r="AA117" s="94">
        <f>攻击!AL117</f>
        <v>285.59999999999997</v>
      </c>
      <c r="AB117" s="93">
        <f>攻击!AM117</f>
        <v>0.2</v>
      </c>
      <c r="AC117" s="93">
        <f>攻击!AN117</f>
        <v>0.3</v>
      </c>
      <c r="AD117" s="93">
        <f>攻击!AO117</f>
        <v>0.5</v>
      </c>
      <c r="AE117" s="93">
        <f>攻击!AP117</f>
        <v>0.8</v>
      </c>
      <c r="AF117" s="93">
        <f>攻击!AQ117</f>
        <v>1.2</v>
      </c>
      <c r="AG117" s="94">
        <f>攻击!AR117</f>
        <v>47.6</v>
      </c>
      <c r="AH117" s="94">
        <f t="shared" si="1"/>
        <v>928.19999999999993</v>
      </c>
    </row>
    <row r="118" spans="1:34">
      <c r="A118" s="46">
        <v>116</v>
      </c>
      <c r="B118" s="94">
        <f>攻击!D118</f>
        <v>240</v>
      </c>
      <c r="C118" s="94">
        <f>攻击!E118</f>
        <v>288</v>
      </c>
      <c r="D118" s="94">
        <f>攻击!F118</f>
        <v>360</v>
      </c>
      <c r="E118" s="94">
        <f>攻击!G118</f>
        <v>480</v>
      </c>
      <c r="F118" s="94">
        <f>攻击!H118</f>
        <v>600</v>
      </c>
      <c r="G118" s="94">
        <f>攻击!I118</f>
        <v>119</v>
      </c>
      <c r="H118" s="94">
        <f>攻击!J118</f>
        <v>72</v>
      </c>
      <c r="I118" s="94">
        <f>攻击!K118</f>
        <v>144</v>
      </c>
      <c r="J118" s="94">
        <f>攻击!L118</f>
        <v>72</v>
      </c>
      <c r="K118" s="94">
        <f>攻击!M118</f>
        <v>192</v>
      </c>
      <c r="L118" s="94">
        <f>攻击!N118</f>
        <v>288</v>
      </c>
      <c r="M118" s="94">
        <f>攻击!O118</f>
        <v>360</v>
      </c>
      <c r="N118" s="94">
        <f>攻击!P118</f>
        <v>480</v>
      </c>
      <c r="O118" s="94">
        <f>攻击!Q118</f>
        <v>600</v>
      </c>
      <c r="P118" s="94">
        <f>攻击!R118</f>
        <v>720</v>
      </c>
      <c r="Q118" s="94">
        <f>攻击!S118</f>
        <v>840</v>
      </c>
      <c r="R118" s="94">
        <f>攻击!T118</f>
        <v>180</v>
      </c>
      <c r="S118" s="94">
        <f>攻击!U118</f>
        <v>72</v>
      </c>
      <c r="T118" s="94">
        <f>攻击!V118</f>
        <v>72</v>
      </c>
      <c r="U118" s="94">
        <f>攻击!W118</f>
        <v>12</v>
      </c>
      <c r="V118" s="93">
        <f>攻击!X118</f>
        <v>0.2</v>
      </c>
      <c r="W118" s="93">
        <f>攻击!Y118</f>
        <v>0.3</v>
      </c>
      <c r="X118" s="93">
        <f>攻击!Z118</f>
        <v>0.5</v>
      </c>
      <c r="Y118" s="93">
        <f>攻击!AA118</f>
        <v>0.8</v>
      </c>
      <c r="Z118" s="93">
        <f>攻击!AB118</f>
        <v>1.2</v>
      </c>
      <c r="AA118" s="94">
        <f>攻击!AL118</f>
        <v>288</v>
      </c>
      <c r="AB118" s="93">
        <f>攻击!AM118</f>
        <v>0.2</v>
      </c>
      <c r="AC118" s="93">
        <f>攻击!AN118</f>
        <v>0.3</v>
      </c>
      <c r="AD118" s="93">
        <f>攻击!AO118</f>
        <v>0.5</v>
      </c>
      <c r="AE118" s="93">
        <f>攻击!AP118</f>
        <v>0.8</v>
      </c>
      <c r="AF118" s="93">
        <f>攻击!AQ118</f>
        <v>1.2</v>
      </c>
      <c r="AG118" s="94">
        <f>攻击!AR118</f>
        <v>48</v>
      </c>
      <c r="AH118" s="94">
        <f t="shared" si="1"/>
        <v>936</v>
      </c>
    </row>
    <row r="119" spans="1:34">
      <c r="A119" s="46">
        <v>117</v>
      </c>
      <c r="B119" s="94">
        <f>攻击!D119</f>
        <v>242</v>
      </c>
      <c r="C119" s="94">
        <f>攻击!E119</f>
        <v>290.39999999999998</v>
      </c>
      <c r="D119" s="94">
        <f>攻击!F119</f>
        <v>363</v>
      </c>
      <c r="E119" s="94">
        <f>攻击!G119</f>
        <v>484</v>
      </c>
      <c r="F119" s="94">
        <f>攻击!H119</f>
        <v>605</v>
      </c>
      <c r="G119" s="94">
        <f>攻击!I119</f>
        <v>119</v>
      </c>
      <c r="H119" s="94">
        <f>攻击!J119</f>
        <v>72.599999999999994</v>
      </c>
      <c r="I119" s="94">
        <f>攻击!K119</f>
        <v>145.19999999999999</v>
      </c>
      <c r="J119" s="94">
        <f>攻击!L119</f>
        <v>72.599999999999994</v>
      </c>
      <c r="K119" s="94">
        <f>攻击!M119</f>
        <v>193.60000000000002</v>
      </c>
      <c r="L119" s="94">
        <f>攻击!N119</f>
        <v>290.39999999999998</v>
      </c>
      <c r="M119" s="94">
        <f>攻击!O119</f>
        <v>363</v>
      </c>
      <c r="N119" s="94">
        <f>攻击!P119</f>
        <v>484</v>
      </c>
      <c r="O119" s="94">
        <f>攻击!Q119</f>
        <v>605</v>
      </c>
      <c r="P119" s="94">
        <f>攻击!R119</f>
        <v>726</v>
      </c>
      <c r="Q119" s="94">
        <f>攻击!S119</f>
        <v>847</v>
      </c>
      <c r="R119" s="94">
        <f>攻击!T119</f>
        <v>181.5</v>
      </c>
      <c r="S119" s="94">
        <f>攻击!U119</f>
        <v>72.599999999999994</v>
      </c>
      <c r="T119" s="94">
        <f>攻击!V119</f>
        <v>72.599999999999994</v>
      </c>
      <c r="U119" s="94">
        <f>攻击!W119</f>
        <v>12.100000000000001</v>
      </c>
      <c r="V119" s="93">
        <f>攻击!X119</f>
        <v>0.2</v>
      </c>
      <c r="W119" s="93">
        <f>攻击!Y119</f>
        <v>0.3</v>
      </c>
      <c r="X119" s="93">
        <f>攻击!Z119</f>
        <v>0.5</v>
      </c>
      <c r="Y119" s="93">
        <f>攻击!AA119</f>
        <v>0.8</v>
      </c>
      <c r="Z119" s="93">
        <f>攻击!AB119</f>
        <v>1.2</v>
      </c>
      <c r="AA119" s="94">
        <f>攻击!AL119</f>
        <v>290.39999999999998</v>
      </c>
      <c r="AB119" s="93">
        <f>攻击!AM119</f>
        <v>0.2</v>
      </c>
      <c r="AC119" s="93">
        <f>攻击!AN119</f>
        <v>0.3</v>
      </c>
      <c r="AD119" s="93">
        <f>攻击!AO119</f>
        <v>0.5</v>
      </c>
      <c r="AE119" s="93">
        <f>攻击!AP119</f>
        <v>0.8</v>
      </c>
      <c r="AF119" s="93">
        <f>攻击!AQ119</f>
        <v>1.2</v>
      </c>
      <c r="AG119" s="94">
        <f>攻击!AR119</f>
        <v>48.400000000000006</v>
      </c>
      <c r="AH119" s="94">
        <f t="shared" si="1"/>
        <v>943.8</v>
      </c>
    </row>
    <row r="120" spans="1:34">
      <c r="A120" s="46">
        <v>118</v>
      </c>
      <c r="B120" s="94">
        <f>攻击!D120</f>
        <v>244</v>
      </c>
      <c r="C120" s="94">
        <f>攻击!E120</f>
        <v>292.8</v>
      </c>
      <c r="D120" s="94">
        <f>攻击!F120</f>
        <v>366</v>
      </c>
      <c r="E120" s="94">
        <f>攻击!G120</f>
        <v>488</v>
      </c>
      <c r="F120" s="94">
        <f>攻击!H120</f>
        <v>610</v>
      </c>
      <c r="G120" s="94">
        <f>攻击!I120</f>
        <v>119</v>
      </c>
      <c r="H120" s="94">
        <f>攻击!J120</f>
        <v>73.2</v>
      </c>
      <c r="I120" s="94">
        <f>攻击!K120</f>
        <v>146.4</v>
      </c>
      <c r="J120" s="94">
        <f>攻击!L120</f>
        <v>73.2</v>
      </c>
      <c r="K120" s="94">
        <f>攻击!M120</f>
        <v>195.20000000000002</v>
      </c>
      <c r="L120" s="94">
        <f>攻击!N120</f>
        <v>292.8</v>
      </c>
      <c r="M120" s="94">
        <f>攻击!O120</f>
        <v>366</v>
      </c>
      <c r="N120" s="94">
        <f>攻击!P120</f>
        <v>488</v>
      </c>
      <c r="O120" s="94">
        <f>攻击!Q120</f>
        <v>610</v>
      </c>
      <c r="P120" s="94">
        <f>攻击!R120</f>
        <v>732</v>
      </c>
      <c r="Q120" s="94">
        <f>攻击!S120</f>
        <v>854</v>
      </c>
      <c r="R120" s="94">
        <f>攻击!T120</f>
        <v>183</v>
      </c>
      <c r="S120" s="94">
        <f>攻击!U120</f>
        <v>73.2</v>
      </c>
      <c r="T120" s="94">
        <f>攻击!V120</f>
        <v>73.2</v>
      </c>
      <c r="U120" s="94">
        <f>攻击!W120</f>
        <v>12.200000000000001</v>
      </c>
      <c r="V120" s="93">
        <f>攻击!X120</f>
        <v>0.2</v>
      </c>
      <c r="W120" s="93">
        <f>攻击!Y120</f>
        <v>0.3</v>
      </c>
      <c r="X120" s="93">
        <f>攻击!Z120</f>
        <v>0.5</v>
      </c>
      <c r="Y120" s="93">
        <f>攻击!AA120</f>
        <v>0.8</v>
      </c>
      <c r="Z120" s="93">
        <f>攻击!AB120</f>
        <v>1.2</v>
      </c>
      <c r="AA120" s="94">
        <f>攻击!AL120</f>
        <v>292.8</v>
      </c>
      <c r="AB120" s="93">
        <f>攻击!AM120</f>
        <v>0.2</v>
      </c>
      <c r="AC120" s="93">
        <f>攻击!AN120</f>
        <v>0.3</v>
      </c>
      <c r="AD120" s="93">
        <f>攻击!AO120</f>
        <v>0.5</v>
      </c>
      <c r="AE120" s="93">
        <f>攻击!AP120</f>
        <v>0.8</v>
      </c>
      <c r="AF120" s="93">
        <f>攻击!AQ120</f>
        <v>1.2</v>
      </c>
      <c r="AG120" s="94">
        <f>攻击!AR120</f>
        <v>48.800000000000004</v>
      </c>
      <c r="AH120" s="94">
        <f t="shared" si="1"/>
        <v>951.59999999999991</v>
      </c>
    </row>
    <row r="121" spans="1:34">
      <c r="A121" s="46">
        <v>119</v>
      </c>
      <c r="B121" s="94">
        <f>攻击!D121</f>
        <v>246</v>
      </c>
      <c r="C121" s="94">
        <f>攻击!E121</f>
        <v>295.2</v>
      </c>
      <c r="D121" s="94">
        <f>攻击!F121</f>
        <v>369</v>
      </c>
      <c r="E121" s="94">
        <f>攻击!G121</f>
        <v>492</v>
      </c>
      <c r="F121" s="94">
        <f>攻击!H121</f>
        <v>615</v>
      </c>
      <c r="G121" s="94">
        <f>攻击!I121</f>
        <v>119</v>
      </c>
      <c r="H121" s="94">
        <f>攻击!J121</f>
        <v>73.8</v>
      </c>
      <c r="I121" s="94">
        <f>攻击!K121</f>
        <v>147.6</v>
      </c>
      <c r="J121" s="94">
        <f>攻击!L121</f>
        <v>73.8</v>
      </c>
      <c r="K121" s="94">
        <f>攻击!M121</f>
        <v>196.8</v>
      </c>
      <c r="L121" s="94">
        <f>攻击!N121</f>
        <v>295.2</v>
      </c>
      <c r="M121" s="94">
        <f>攻击!O121</f>
        <v>369</v>
      </c>
      <c r="N121" s="94">
        <f>攻击!P121</f>
        <v>492</v>
      </c>
      <c r="O121" s="94">
        <f>攻击!Q121</f>
        <v>615</v>
      </c>
      <c r="P121" s="94">
        <f>攻击!R121</f>
        <v>738</v>
      </c>
      <c r="Q121" s="94">
        <f>攻击!S121</f>
        <v>861</v>
      </c>
      <c r="R121" s="94">
        <f>攻击!T121</f>
        <v>184.5</v>
      </c>
      <c r="S121" s="94">
        <f>攻击!U121</f>
        <v>73.8</v>
      </c>
      <c r="T121" s="94">
        <f>攻击!V121</f>
        <v>73.8</v>
      </c>
      <c r="U121" s="94">
        <f>攻击!W121</f>
        <v>12.3</v>
      </c>
      <c r="V121" s="93">
        <f>攻击!X121</f>
        <v>0.2</v>
      </c>
      <c r="W121" s="93">
        <f>攻击!Y121</f>
        <v>0.3</v>
      </c>
      <c r="X121" s="93">
        <f>攻击!Z121</f>
        <v>0.5</v>
      </c>
      <c r="Y121" s="93">
        <f>攻击!AA121</f>
        <v>0.8</v>
      </c>
      <c r="Z121" s="93">
        <f>攻击!AB121</f>
        <v>1.2</v>
      </c>
      <c r="AA121" s="94">
        <f>攻击!AL121</f>
        <v>295.2</v>
      </c>
      <c r="AB121" s="93">
        <f>攻击!AM121</f>
        <v>0.2</v>
      </c>
      <c r="AC121" s="93">
        <f>攻击!AN121</f>
        <v>0.3</v>
      </c>
      <c r="AD121" s="93">
        <f>攻击!AO121</f>
        <v>0.5</v>
      </c>
      <c r="AE121" s="93">
        <f>攻击!AP121</f>
        <v>0.8</v>
      </c>
      <c r="AF121" s="93">
        <f>攻击!AQ121</f>
        <v>1.2</v>
      </c>
      <c r="AG121" s="94">
        <f>攻击!AR121</f>
        <v>49.2</v>
      </c>
      <c r="AH121" s="94">
        <f t="shared" si="1"/>
        <v>959.40000000000009</v>
      </c>
    </row>
    <row r="122" spans="1:34">
      <c r="A122" s="46">
        <v>120</v>
      </c>
      <c r="B122" s="94">
        <f>攻击!D122</f>
        <v>248</v>
      </c>
      <c r="C122" s="94">
        <f>攻击!E122</f>
        <v>297.59999999999997</v>
      </c>
      <c r="D122" s="94">
        <f>攻击!F122</f>
        <v>372</v>
      </c>
      <c r="E122" s="94">
        <f>攻击!G122</f>
        <v>496</v>
      </c>
      <c r="F122" s="94">
        <f>攻击!H122</f>
        <v>620</v>
      </c>
      <c r="G122" s="94">
        <f>攻击!I122</f>
        <v>124</v>
      </c>
      <c r="H122" s="94">
        <f>攻击!J122</f>
        <v>74.399999999999991</v>
      </c>
      <c r="I122" s="94">
        <f>攻击!K122</f>
        <v>148.79999999999998</v>
      </c>
      <c r="J122" s="94">
        <f>攻击!L122</f>
        <v>74.399999999999991</v>
      </c>
      <c r="K122" s="94">
        <f>攻击!M122</f>
        <v>198.4</v>
      </c>
      <c r="L122" s="94">
        <f>攻击!N122</f>
        <v>297.59999999999997</v>
      </c>
      <c r="M122" s="94">
        <f>攻击!O122</f>
        <v>372</v>
      </c>
      <c r="N122" s="94">
        <f>攻击!P122</f>
        <v>496</v>
      </c>
      <c r="O122" s="94">
        <f>攻击!Q122</f>
        <v>620</v>
      </c>
      <c r="P122" s="94">
        <f>攻击!R122</f>
        <v>744</v>
      </c>
      <c r="Q122" s="94">
        <f>攻击!S122</f>
        <v>868</v>
      </c>
      <c r="R122" s="94">
        <f>攻击!T122</f>
        <v>186</v>
      </c>
      <c r="S122" s="94">
        <f>攻击!U122</f>
        <v>74.399999999999991</v>
      </c>
      <c r="T122" s="94">
        <f>攻击!V122</f>
        <v>74.399999999999991</v>
      </c>
      <c r="U122" s="94">
        <f>攻击!W122</f>
        <v>12.4</v>
      </c>
      <c r="V122" s="93">
        <f>攻击!X122</f>
        <v>0.2</v>
      </c>
      <c r="W122" s="93">
        <f>攻击!Y122</f>
        <v>0.3</v>
      </c>
      <c r="X122" s="93">
        <f>攻击!Z122</f>
        <v>0.5</v>
      </c>
      <c r="Y122" s="93">
        <f>攻击!AA122</f>
        <v>0.8</v>
      </c>
      <c r="Z122" s="93">
        <f>攻击!AB122</f>
        <v>1.2</v>
      </c>
      <c r="AA122" s="94">
        <f>攻击!AL122</f>
        <v>297.59999999999997</v>
      </c>
      <c r="AB122" s="93">
        <f>攻击!AM122</f>
        <v>0.2</v>
      </c>
      <c r="AC122" s="93">
        <f>攻击!AN122</f>
        <v>0.3</v>
      </c>
      <c r="AD122" s="93">
        <f>攻击!AO122</f>
        <v>0.5</v>
      </c>
      <c r="AE122" s="93">
        <f>攻击!AP122</f>
        <v>0.8</v>
      </c>
      <c r="AF122" s="93">
        <f>攻击!AQ122</f>
        <v>1.2</v>
      </c>
      <c r="AG122" s="94">
        <f>攻击!AR122</f>
        <v>49.6</v>
      </c>
      <c r="AH122" s="94">
        <f t="shared" si="1"/>
        <v>967.19999999999993</v>
      </c>
    </row>
  </sheetData>
  <mergeCells count="3">
    <mergeCell ref="B1:L1"/>
    <mergeCell ref="M1:Z1"/>
    <mergeCell ref="AA1:AF1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2"/>
  <sheetViews>
    <sheetView zoomScale="160" zoomScaleNormal="160" workbookViewId="0">
      <selection activeCell="G3" sqref="G3"/>
    </sheetView>
  </sheetViews>
  <sheetFormatPr defaultColWidth="6.375" defaultRowHeight="12.75"/>
  <cols>
    <col min="1" max="1" width="4.75" style="23" bestFit="1" customWidth="1"/>
    <col min="2" max="2" width="6.375" style="22"/>
    <col min="3" max="3" width="8" style="22" bestFit="1" customWidth="1"/>
    <col min="4" max="4" width="4.75" style="22" bestFit="1" customWidth="1"/>
    <col min="5" max="5" width="4.25" style="59" customWidth="1"/>
    <col min="6" max="6" width="9.625" style="22" bestFit="1" customWidth="1"/>
    <col min="7" max="7" width="6.375" style="22"/>
    <col min="8" max="8" width="4.75" style="22" bestFit="1" customWidth="1"/>
    <col min="9" max="9" width="4.25" style="59" customWidth="1"/>
    <col min="10" max="10" width="11.375" style="24" bestFit="1" customWidth="1"/>
    <col min="11" max="12" width="7.25" style="24" bestFit="1" customWidth="1"/>
    <col min="13" max="14" width="8.125" style="24" bestFit="1" customWidth="1"/>
    <col min="15" max="16384" width="6.375" style="22"/>
  </cols>
  <sheetData>
    <row r="1" spans="1:14" s="66" customFormat="1" ht="15" customHeight="1">
      <c r="A1" s="110" t="s">
        <v>0</v>
      </c>
      <c r="B1" s="112" t="s">
        <v>74</v>
      </c>
      <c r="C1" s="112"/>
      <c r="D1" s="112"/>
      <c r="E1" s="65"/>
      <c r="F1" s="112" t="s">
        <v>72</v>
      </c>
      <c r="G1" s="112"/>
      <c r="H1" s="112"/>
      <c r="I1" s="65"/>
      <c r="J1" s="113" t="s">
        <v>75</v>
      </c>
      <c r="K1" s="113"/>
      <c r="L1" s="113"/>
      <c r="M1" s="113"/>
      <c r="N1" s="113"/>
    </row>
    <row r="2" spans="1:14" s="67" customFormat="1">
      <c r="A2" s="111"/>
      <c r="B2" s="67" t="s">
        <v>71</v>
      </c>
      <c r="C2" s="67" t="s">
        <v>70</v>
      </c>
      <c r="D2" s="67" t="s">
        <v>69</v>
      </c>
      <c r="E2" s="68"/>
      <c r="F2" s="67" t="s">
        <v>73</v>
      </c>
      <c r="G2" s="67" t="s">
        <v>71</v>
      </c>
      <c r="H2" s="67" t="s">
        <v>69</v>
      </c>
      <c r="I2" s="68"/>
      <c r="J2" s="69" t="s">
        <v>76</v>
      </c>
      <c r="K2" s="69" t="s">
        <v>77</v>
      </c>
      <c r="L2" s="69" t="s">
        <v>78</v>
      </c>
      <c r="M2" s="69" t="s">
        <v>79</v>
      </c>
      <c r="N2" s="69" t="s">
        <v>80</v>
      </c>
    </row>
    <row r="3" spans="1:14" s="38" customFormat="1" ht="14.25">
      <c r="A3" s="61">
        <v>1</v>
      </c>
      <c r="B3" s="38">
        <f>攻击!D3</f>
        <v>10</v>
      </c>
      <c r="C3" s="62">
        <v>0.3</v>
      </c>
      <c r="D3" s="38">
        <f t="shared" ref="D3:D66" si="0">B3*C3</f>
        <v>3</v>
      </c>
      <c r="E3" s="63"/>
      <c r="F3" s="62">
        <v>1</v>
      </c>
      <c r="G3" s="38">
        <f t="shared" ref="G3:G34" si="1">B3*F3</f>
        <v>10</v>
      </c>
      <c r="H3" s="38">
        <f t="shared" ref="H3:H34" si="2">G3*C3</f>
        <v>3</v>
      </c>
      <c r="I3" s="63"/>
      <c r="J3" s="64">
        <f>(G3+H3)/B3-1</f>
        <v>0.30000000000000004</v>
      </c>
      <c r="K3" s="64"/>
      <c r="L3" s="64"/>
      <c r="M3" s="64"/>
      <c r="N3" s="64"/>
    </row>
    <row r="4" spans="1:14" s="20" customFormat="1" ht="14.25">
      <c r="A4" s="46">
        <v>2</v>
      </c>
      <c r="B4" s="38">
        <f>攻击!D4</f>
        <v>12</v>
      </c>
      <c r="C4" s="8">
        <f>C3</f>
        <v>0.3</v>
      </c>
      <c r="D4" s="38">
        <f t="shared" si="0"/>
        <v>3.5999999999999996</v>
      </c>
      <c r="E4" s="58"/>
      <c r="F4" s="8">
        <f>F3</f>
        <v>1</v>
      </c>
      <c r="G4" s="20">
        <f t="shared" si="1"/>
        <v>12</v>
      </c>
      <c r="H4" s="20">
        <f t="shared" si="2"/>
        <v>3.5999999999999996</v>
      </c>
      <c r="I4" s="58"/>
      <c r="J4" s="64">
        <f t="shared" ref="J4:J67" si="3">(G4+H4)/B4-1</f>
        <v>0.30000000000000004</v>
      </c>
      <c r="K4" s="21"/>
      <c r="L4" s="21"/>
      <c r="M4" s="21"/>
      <c r="N4" s="21"/>
    </row>
    <row r="5" spans="1:14" s="20" customFormat="1" ht="14.25">
      <c r="A5" s="46">
        <v>3</v>
      </c>
      <c r="B5" s="38">
        <f>攻击!D5</f>
        <v>14</v>
      </c>
      <c r="C5" s="8">
        <f t="shared" ref="C5:C68" si="4">C4</f>
        <v>0.3</v>
      </c>
      <c r="D5" s="38">
        <f t="shared" si="0"/>
        <v>4.2</v>
      </c>
      <c r="E5" s="58"/>
      <c r="F5" s="8">
        <f t="shared" ref="F5:F68" si="5">F4</f>
        <v>1</v>
      </c>
      <c r="G5" s="20">
        <f t="shared" si="1"/>
        <v>14</v>
      </c>
      <c r="H5" s="20">
        <f t="shared" si="2"/>
        <v>4.2</v>
      </c>
      <c r="I5" s="58"/>
      <c r="J5" s="64">
        <f t="shared" si="3"/>
        <v>0.30000000000000004</v>
      </c>
      <c r="K5" s="21"/>
      <c r="L5" s="21"/>
      <c r="M5" s="21"/>
      <c r="N5" s="21"/>
    </row>
    <row r="6" spans="1:14" s="20" customFormat="1" ht="14.25">
      <c r="A6" s="46">
        <v>4</v>
      </c>
      <c r="B6" s="38">
        <f>攻击!D6</f>
        <v>16</v>
      </c>
      <c r="C6" s="8">
        <f t="shared" si="4"/>
        <v>0.3</v>
      </c>
      <c r="D6" s="38">
        <f t="shared" si="0"/>
        <v>4.8</v>
      </c>
      <c r="E6" s="58"/>
      <c r="F6" s="8">
        <f t="shared" si="5"/>
        <v>1</v>
      </c>
      <c r="G6" s="20">
        <f t="shared" si="1"/>
        <v>16</v>
      </c>
      <c r="H6" s="20">
        <f t="shared" si="2"/>
        <v>4.8</v>
      </c>
      <c r="I6" s="58"/>
      <c r="J6" s="64">
        <f t="shared" si="3"/>
        <v>0.30000000000000004</v>
      </c>
      <c r="K6" s="21"/>
      <c r="L6" s="21"/>
      <c r="M6" s="21"/>
      <c r="N6" s="21"/>
    </row>
    <row r="7" spans="1:14" s="20" customFormat="1" ht="14.25">
      <c r="A7" s="46">
        <v>5</v>
      </c>
      <c r="B7" s="38">
        <f>攻击!D7</f>
        <v>18</v>
      </c>
      <c r="C7" s="8">
        <f t="shared" si="4"/>
        <v>0.3</v>
      </c>
      <c r="D7" s="38">
        <f t="shared" si="0"/>
        <v>5.3999999999999995</v>
      </c>
      <c r="E7" s="58"/>
      <c r="F7" s="8">
        <f t="shared" si="5"/>
        <v>1</v>
      </c>
      <c r="G7" s="20">
        <f t="shared" si="1"/>
        <v>18</v>
      </c>
      <c r="H7" s="20">
        <f t="shared" si="2"/>
        <v>5.3999999999999995</v>
      </c>
      <c r="I7" s="58"/>
      <c r="J7" s="64">
        <f t="shared" si="3"/>
        <v>0.29999999999999982</v>
      </c>
      <c r="K7" s="21">
        <f>(G7+H7)/(B3+D3)-1</f>
        <v>0.79999999999999982</v>
      </c>
      <c r="L7" s="21">
        <f>(G7+H7)/B3-1</f>
        <v>1.3399999999999999</v>
      </c>
      <c r="M7" s="21"/>
      <c r="N7" s="21"/>
    </row>
    <row r="8" spans="1:14" s="20" customFormat="1" ht="14.25">
      <c r="A8" s="46">
        <v>6</v>
      </c>
      <c r="B8" s="38">
        <f>攻击!D8</f>
        <v>20</v>
      </c>
      <c r="C8" s="8">
        <f t="shared" si="4"/>
        <v>0.3</v>
      </c>
      <c r="D8" s="38">
        <f t="shared" si="0"/>
        <v>6</v>
      </c>
      <c r="E8" s="58"/>
      <c r="F8" s="8">
        <f t="shared" si="5"/>
        <v>1</v>
      </c>
      <c r="G8" s="20">
        <f t="shared" si="1"/>
        <v>20</v>
      </c>
      <c r="H8" s="20">
        <f t="shared" si="2"/>
        <v>6</v>
      </c>
      <c r="I8" s="58"/>
      <c r="J8" s="64">
        <f t="shared" si="3"/>
        <v>0.30000000000000004</v>
      </c>
      <c r="K8" s="21"/>
      <c r="L8" s="64"/>
      <c r="M8" s="21"/>
      <c r="N8" s="21"/>
    </row>
    <row r="9" spans="1:14" s="20" customFormat="1" ht="14.25">
      <c r="A9" s="46">
        <v>7</v>
      </c>
      <c r="B9" s="38">
        <f>攻击!D9</f>
        <v>22</v>
      </c>
      <c r="C9" s="8">
        <f t="shared" si="4"/>
        <v>0.3</v>
      </c>
      <c r="D9" s="38">
        <f t="shared" si="0"/>
        <v>6.6</v>
      </c>
      <c r="E9" s="58"/>
      <c r="F9" s="8">
        <f t="shared" si="5"/>
        <v>1</v>
      </c>
      <c r="G9" s="20">
        <f t="shared" si="1"/>
        <v>22</v>
      </c>
      <c r="H9" s="20">
        <f t="shared" si="2"/>
        <v>6.6</v>
      </c>
      <c r="I9" s="58"/>
      <c r="J9" s="64">
        <f t="shared" si="3"/>
        <v>0.30000000000000004</v>
      </c>
      <c r="K9" s="21"/>
      <c r="L9" s="21"/>
      <c r="M9" s="21"/>
      <c r="N9" s="21"/>
    </row>
    <row r="10" spans="1:14" s="20" customFormat="1" ht="14.25">
      <c r="A10" s="46">
        <v>8</v>
      </c>
      <c r="B10" s="38">
        <f>攻击!D10</f>
        <v>24</v>
      </c>
      <c r="C10" s="8">
        <f t="shared" si="4"/>
        <v>0.3</v>
      </c>
      <c r="D10" s="38">
        <f t="shared" si="0"/>
        <v>7.1999999999999993</v>
      </c>
      <c r="E10" s="58"/>
      <c r="F10" s="8">
        <f t="shared" si="5"/>
        <v>1</v>
      </c>
      <c r="G10" s="20">
        <f t="shared" si="1"/>
        <v>24</v>
      </c>
      <c r="H10" s="20">
        <f t="shared" si="2"/>
        <v>7.1999999999999993</v>
      </c>
      <c r="I10" s="58"/>
      <c r="J10" s="64">
        <f t="shared" si="3"/>
        <v>0.30000000000000004</v>
      </c>
      <c r="K10" s="21"/>
      <c r="L10" s="21"/>
      <c r="M10" s="21"/>
      <c r="N10" s="21"/>
    </row>
    <row r="11" spans="1:14" s="20" customFormat="1" ht="14.25">
      <c r="A11" s="46">
        <v>9</v>
      </c>
      <c r="B11" s="38">
        <f>攻击!D11</f>
        <v>26</v>
      </c>
      <c r="C11" s="8">
        <f t="shared" si="4"/>
        <v>0.3</v>
      </c>
      <c r="D11" s="38">
        <f t="shared" si="0"/>
        <v>7.8</v>
      </c>
      <c r="E11" s="58"/>
      <c r="F11" s="8">
        <f t="shared" si="5"/>
        <v>1</v>
      </c>
      <c r="G11" s="20">
        <f t="shared" si="1"/>
        <v>26</v>
      </c>
      <c r="H11" s="20">
        <f t="shared" si="2"/>
        <v>7.8</v>
      </c>
      <c r="I11" s="58"/>
      <c r="J11" s="64">
        <f t="shared" si="3"/>
        <v>0.29999999999999982</v>
      </c>
      <c r="K11" s="21"/>
      <c r="L11" s="21"/>
      <c r="M11" s="21"/>
      <c r="N11" s="21"/>
    </row>
    <row r="12" spans="1:14" s="20" customFormat="1" ht="14.25">
      <c r="A12" s="46">
        <v>10</v>
      </c>
      <c r="B12" s="38">
        <f>攻击!D12</f>
        <v>28</v>
      </c>
      <c r="C12" s="8">
        <f t="shared" si="4"/>
        <v>0.3</v>
      </c>
      <c r="D12" s="38">
        <f t="shared" si="0"/>
        <v>8.4</v>
      </c>
      <c r="E12" s="58"/>
      <c r="F12" s="8">
        <f t="shared" si="5"/>
        <v>1</v>
      </c>
      <c r="G12" s="20">
        <f t="shared" si="1"/>
        <v>28</v>
      </c>
      <c r="H12" s="20">
        <f t="shared" si="2"/>
        <v>8.4</v>
      </c>
      <c r="I12" s="58"/>
      <c r="J12" s="64">
        <f t="shared" si="3"/>
        <v>0.30000000000000004</v>
      </c>
      <c r="K12" s="21">
        <f>(G12+H12)/(B8+D8)-1</f>
        <v>0.39999999999999991</v>
      </c>
      <c r="L12" s="21">
        <f t="shared" ref="L12" si="6">(G12+H12)/B8-1</f>
        <v>0.81999999999999984</v>
      </c>
      <c r="M12" s="21">
        <f>(G12+H12)/(B3+D3)-1</f>
        <v>1.7999999999999998</v>
      </c>
      <c r="N12" s="21">
        <f>(H12+G12)/B3-1</f>
        <v>2.6399999999999997</v>
      </c>
    </row>
    <row r="13" spans="1:14" s="20" customFormat="1" ht="14.25">
      <c r="A13" s="46">
        <v>11</v>
      </c>
      <c r="B13" s="38">
        <f>攻击!D13</f>
        <v>30</v>
      </c>
      <c r="C13" s="8">
        <f t="shared" si="4"/>
        <v>0.3</v>
      </c>
      <c r="D13" s="38">
        <f t="shared" si="0"/>
        <v>9</v>
      </c>
      <c r="E13" s="58"/>
      <c r="F13" s="8">
        <f t="shared" si="5"/>
        <v>1</v>
      </c>
      <c r="G13" s="20">
        <f t="shared" si="1"/>
        <v>30</v>
      </c>
      <c r="H13" s="20">
        <f t="shared" si="2"/>
        <v>9</v>
      </c>
      <c r="I13" s="58"/>
      <c r="J13" s="64">
        <f t="shared" si="3"/>
        <v>0.30000000000000004</v>
      </c>
      <c r="K13" s="21"/>
      <c r="L13" s="64"/>
      <c r="M13" s="64"/>
      <c r="N13" s="64"/>
    </row>
    <row r="14" spans="1:14" s="20" customFormat="1" ht="14.25">
      <c r="A14" s="46">
        <v>12</v>
      </c>
      <c r="B14" s="38">
        <f>攻击!D14</f>
        <v>32</v>
      </c>
      <c r="C14" s="8">
        <f t="shared" si="4"/>
        <v>0.3</v>
      </c>
      <c r="D14" s="38">
        <f t="shared" si="0"/>
        <v>9.6</v>
      </c>
      <c r="E14" s="58"/>
      <c r="F14" s="8">
        <f t="shared" si="5"/>
        <v>1</v>
      </c>
      <c r="G14" s="20">
        <f t="shared" si="1"/>
        <v>32</v>
      </c>
      <c r="H14" s="20">
        <f t="shared" si="2"/>
        <v>9.6</v>
      </c>
      <c r="I14" s="58"/>
      <c r="J14" s="64">
        <f t="shared" si="3"/>
        <v>0.30000000000000004</v>
      </c>
      <c r="K14" s="21"/>
      <c r="L14" s="21"/>
      <c r="M14" s="21"/>
      <c r="N14" s="21"/>
    </row>
    <row r="15" spans="1:14" s="20" customFormat="1" ht="14.25">
      <c r="A15" s="46">
        <v>13</v>
      </c>
      <c r="B15" s="38">
        <f>攻击!D15</f>
        <v>34</v>
      </c>
      <c r="C15" s="8">
        <f t="shared" si="4"/>
        <v>0.3</v>
      </c>
      <c r="D15" s="38">
        <f t="shared" si="0"/>
        <v>10.199999999999999</v>
      </c>
      <c r="E15" s="58"/>
      <c r="F15" s="8">
        <f t="shared" si="5"/>
        <v>1</v>
      </c>
      <c r="G15" s="20">
        <f t="shared" si="1"/>
        <v>34</v>
      </c>
      <c r="H15" s="20">
        <f t="shared" si="2"/>
        <v>10.199999999999999</v>
      </c>
      <c r="I15" s="58"/>
      <c r="J15" s="64">
        <f t="shared" si="3"/>
        <v>0.30000000000000004</v>
      </c>
      <c r="K15" s="21"/>
      <c r="L15" s="21"/>
      <c r="M15" s="21"/>
      <c r="N15" s="21"/>
    </row>
    <row r="16" spans="1:14" s="20" customFormat="1" ht="14.25">
      <c r="A16" s="46">
        <v>14</v>
      </c>
      <c r="B16" s="38">
        <f>攻击!D16</f>
        <v>36</v>
      </c>
      <c r="C16" s="8">
        <f t="shared" si="4"/>
        <v>0.3</v>
      </c>
      <c r="D16" s="38">
        <f t="shared" si="0"/>
        <v>10.799999999999999</v>
      </c>
      <c r="E16" s="58"/>
      <c r="F16" s="8">
        <f t="shared" si="5"/>
        <v>1</v>
      </c>
      <c r="G16" s="20">
        <f t="shared" si="1"/>
        <v>36</v>
      </c>
      <c r="H16" s="20">
        <f t="shared" si="2"/>
        <v>10.799999999999999</v>
      </c>
      <c r="I16" s="58"/>
      <c r="J16" s="64">
        <f t="shared" si="3"/>
        <v>0.29999999999999982</v>
      </c>
      <c r="K16" s="21"/>
      <c r="L16" s="21"/>
      <c r="M16" s="21"/>
      <c r="N16" s="21"/>
    </row>
    <row r="17" spans="1:14" s="20" customFormat="1" ht="14.25">
      <c r="A17" s="46">
        <v>15</v>
      </c>
      <c r="B17" s="38">
        <f>攻击!D17</f>
        <v>38</v>
      </c>
      <c r="C17" s="8">
        <f t="shared" si="4"/>
        <v>0.3</v>
      </c>
      <c r="D17" s="38">
        <f t="shared" si="0"/>
        <v>11.4</v>
      </c>
      <c r="E17" s="58"/>
      <c r="F17" s="8">
        <f t="shared" si="5"/>
        <v>1</v>
      </c>
      <c r="G17" s="20">
        <f t="shared" si="1"/>
        <v>38</v>
      </c>
      <c r="H17" s="20">
        <f t="shared" si="2"/>
        <v>11.4</v>
      </c>
      <c r="I17" s="58"/>
      <c r="J17" s="64">
        <f t="shared" si="3"/>
        <v>0.30000000000000004</v>
      </c>
      <c r="K17" s="21">
        <f t="shared" ref="K17" si="7">(G17+H17)/(B13+D13)-1</f>
        <v>0.26666666666666661</v>
      </c>
      <c r="L17" s="21">
        <f t="shared" ref="L17" si="8">(G17+H17)/B13-1</f>
        <v>0.64666666666666672</v>
      </c>
      <c r="M17" s="21"/>
      <c r="N17" s="21"/>
    </row>
    <row r="18" spans="1:14" s="20" customFormat="1" ht="14.25">
      <c r="A18" s="46">
        <v>16</v>
      </c>
      <c r="B18" s="38">
        <f>攻击!D18</f>
        <v>40</v>
      </c>
      <c r="C18" s="8">
        <f t="shared" si="4"/>
        <v>0.3</v>
      </c>
      <c r="D18" s="38">
        <f t="shared" si="0"/>
        <v>12</v>
      </c>
      <c r="E18" s="58"/>
      <c r="F18" s="8">
        <f t="shared" si="5"/>
        <v>1</v>
      </c>
      <c r="G18" s="20">
        <f t="shared" si="1"/>
        <v>40</v>
      </c>
      <c r="H18" s="20">
        <f t="shared" si="2"/>
        <v>12</v>
      </c>
      <c r="I18" s="58"/>
      <c r="J18" s="64">
        <f t="shared" si="3"/>
        <v>0.30000000000000004</v>
      </c>
      <c r="K18" s="21"/>
      <c r="L18" s="64"/>
      <c r="M18" s="21"/>
      <c r="N18" s="21"/>
    </row>
    <row r="19" spans="1:14" s="20" customFormat="1" ht="14.25">
      <c r="A19" s="46">
        <v>17</v>
      </c>
      <c r="B19" s="38">
        <f>攻击!D19</f>
        <v>42</v>
      </c>
      <c r="C19" s="8">
        <f t="shared" si="4"/>
        <v>0.3</v>
      </c>
      <c r="D19" s="38">
        <f t="shared" si="0"/>
        <v>12.6</v>
      </c>
      <c r="E19" s="58"/>
      <c r="F19" s="8">
        <f t="shared" si="5"/>
        <v>1</v>
      </c>
      <c r="G19" s="20">
        <f t="shared" si="1"/>
        <v>42</v>
      </c>
      <c r="H19" s="20">
        <f t="shared" si="2"/>
        <v>12.6</v>
      </c>
      <c r="I19" s="58"/>
      <c r="J19" s="64">
        <f t="shared" si="3"/>
        <v>0.30000000000000004</v>
      </c>
      <c r="K19" s="21"/>
      <c r="L19" s="21"/>
      <c r="M19" s="21"/>
      <c r="N19" s="21"/>
    </row>
    <row r="20" spans="1:14" s="20" customFormat="1" ht="14.25">
      <c r="A20" s="46">
        <v>18</v>
      </c>
      <c r="B20" s="38">
        <f>攻击!D20</f>
        <v>44</v>
      </c>
      <c r="C20" s="8">
        <f t="shared" si="4"/>
        <v>0.3</v>
      </c>
      <c r="D20" s="38">
        <f t="shared" si="0"/>
        <v>13.2</v>
      </c>
      <c r="E20" s="58"/>
      <c r="F20" s="8">
        <f t="shared" si="5"/>
        <v>1</v>
      </c>
      <c r="G20" s="20">
        <f t="shared" si="1"/>
        <v>44</v>
      </c>
      <c r="H20" s="20">
        <f t="shared" si="2"/>
        <v>13.2</v>
      </c>
      <c r="I20" s="58"/>
      <c r="J20" s="64">
        <f t="shared" si="3"/>
        <v>0.30000000000000004</v>
      </c>
      <c r="K20" s="21"/>
      <c r="L20" s="21"/>
      <c r="M20" s="21"/>
      <c r="N20" s="21"/>
    </row>
    <row r="21" spans="1:14" s="20" customFormat="1" ht="14.25">
      <c r="A21" s="46">
        <v>19</v>
      </c>
      <c r="B21" s="38">
        <f>攻击!D21</f>
        <v>46</v>
      </c>
      <c r="C21" s="8">
        <f t="shared" si="4"/>
        <v>0.3</v>
      </c>
      <c r="D21" s="38">
        <f t="shared" si="0"/>
        <v>13.799999999999999</v>
      </c>
      <c r="E21" s="58"/>
      <c r="F21" s="8">
        <f t="shared" si="5"/>
        <v>1</v>
      </c>
      <c r="G21" s="20">
        <f t="shared" si="1"/>
        <v>46</v>
      </c>
      <c r="H21" s="20">
        <f t="shared" si="2"/>
        <v>13.799999999999999</v>
      </c>
      <c r="I21" s="58"/>
      <c r="J21" s="64">
        <f t="shared" si="3"/>
        <v>0.30000000000000004</v>
      </c>
      <c r="K21" s="21"/>
      <c r="L21" s="21"/>
      <c r="M21" s="21"/>
      <c r="N21" s="21"/>
    </row>
    <row r="22" spans="1:14" s="20" customFormat="1" ht="14.25">
      <c r="A22" s="46">
        <v>20</v>
      </c>
      <c r="B22" s="38">
        <f>攻击!D22</f>
        <v>48</v>
      </c>
      <c r="C22" s="8">
        <f t="shared" si="4"/>
        <v>0.3</v>
      </c>
      <c r="D22" s="38">
        <f t="shared" si="0"/>
        <v>14.399999999999999</v>
      </c>
      <c r="E22" s="58"/>
      <c r="F22" s="8">
        <f t="shared" si="5"/>
        <v>1</v>
      </c>
      <c r="G22" s="20">
        <f t="shared" si="1"/>
        <v>48</v>
      </c>
      <c r="H22" s="20">
        <f t="shared" si="2"/>
        <v>14.399999999999999</v>
      </c>
      <c r="I22" s="58"/>
      <c r="J22" s="64">
        <f t="shared" si="3"/>
        <v>0.30000000000000004</v>
      </c>
      <c r="K22" s="21">
        <f t="shared" ref="K22" si="9">(G22+H22)/(B18+D18)-1</f>
        <v>0.19999999999999996</v>
      </c>
      <c r="L22" s="21">
        <f t="shared" ref="L22" si="10">(G22+H22)/B18-1</f>
        <v>0.56000000000000005</v>
      </c>
      <c r="M22" s="21">
        <f t="shared" ref="M22" si="11">(G22+H22)/(B13+D13)-1</f>
        <v>0.59999999999999987</v>
      </c>
      <c r="N22" s="21">
        <f t="shared" ref="N22" si="12">(H22+G22)/B13-1</f>
        <v>1.08</v>
      </c>
    </row>
    <row r="23" spans="1:14" s="20" customFormat="1" ht="14.25">
      <c r="A23" s="46">
        <v>21</v>
      </c>
      <c r="B23" s="38">
        <f>攻击!D23</f>
        <v>50</v>
      </c>
      <c r="C23" s="8">
        <f t="shared" si="4"/>
        <v>0.3</v>
      </c>
      <c r="D23" s="38">
        <f t="shared" si="0"/>
        <v>15</v>
      </c>
      <c r="E23" s="58"/>
      <c r="F23" s="8">
        <f t="shared" si="5"/>
        <v>1</v>
      </c>
      <c r="G23" s="20">
        <f t="shared" si="1"/>
        <v>50</v>
      </c>
      <c r="H23" s="20">
        <f t="shared" si="2"/>
        <v>15</v>
      </c>
      <c r="I23" s="58"/>
      <c r="J23" s="64">
        <f t="shared" si="3"/>
        <v>0.30000000000000004</v>
      </c>
      <c r="K23" s="21"/>
      <c r="L23" s="64"/>
      <c r="M23" s="64"/>
      <c r="N23" s="64"/>
    </row>
    <row r="24" spans="1:14" s="20" customFormat="1" ht="14.25">
      <c r="A24" s="46">
        <v>22</v>
      </c>
      <c r="B24" s="38">
        <f>攻击!D24</f>
        <v>52</v>
      </c>
      <c r="C24" s="8">
        <f t="shared" si="4"/>
        <v>0.3</v>
      </c>
      <c r="D24" s="38">
        <f t="shared" si="0"/>
        <v>15.6</v>
      </c>
      <c r="E24" s="58"/>
      <c r="F24" s="8">
        <f t="shared" si="5"/>
        <v>1</v>
      </c>
      <c r="G24" s="20">
        <f t="shared" si="1"/>
        <v>52</v>
      </c>
      <c r="H24" s="20">
        <f t="shared" si="2"/>
        <v>15.6</v>
      </c>
      <c r="I24" s="58"/>
      <c r="J24" s="64">
        <f t="shared" si="3"/>
        <v>0.29999999999999982</v>
      </c>
      <c r="K24" s="21"/>
      <c r="L24" s="21"/>
      <c r="M24" s="21"/>
      <c r="N24" s="21"/>
    </row>
    <row r="25" spans="1:14" s="20" customFormat="1" ht="14.25">
      <c r="A25" s="46">
        <v>23</v>
      </c>
      <c r="B25" s="38">
        <f>攻击!D25</f>
        <v>54</v>
      </c>
      <c r="C25" s="8">
        <f t="shared" si="4"/>
        <v>0.3</v>
      </c>
      <c r="D25" s="38">
        <f t="shared" si="0"/>
        <v>16.2</v>
      </c>
      <c r="E25" s="58"/>
      <c r="F25" s="8">
        <f t="shared" si="5"/>
        <v>1</v>
      </c>
      <c r="G25" s="20">
        <f t="shared" si="1"/>
        <v>54</v>
      </c>
      <c r="H25" s="20">
        <f t="shared" si="2"/>
        <v>16.2</v>
      </c>
      <c r="I25" s="58"/>
      <c r="J25" s="64">
        <f t="shared" si="3"/>
        <v>0.30000000000000004</v>
      </c>
      <c r="K25" s="21"/>
      <c r="L25" s="21"/>
      <c r="M25" s="21"/>
      <c r="N25" s="21"/>
    </row>
    <row r="26" spans="1:14" s="20" customFormat="1" ht="14.25">
      <c r="A26" s="46">
        <v>24</v>
      </c>
      <c r="B26" s="38">
        <f>攻击!D26</f>
        <v>56</v>
      </c>
      <c r="C26" s="8">
        <f t="shared" si="4"/>
        <v>0.3</v>
      </c>
      <c r="D26" s="38">
        <f t="shared" si="0"/>
        <v>16.8</v>
      </c>
      <c r="E26" s="58"/>
      <c r="F26" s="8">
        <f t="shared" si="5"/>
        <v>1</v>
      </c>
      <c r="G26" s="20">
        <f t="shared" si="1"/>
        <v>56</v>
      </c>
      <c r="H26" s="20">
        <f t="shared" si="2"/>
        <v>16.8</v>
      </c>
      <c r="I26" s="58"/>
      <c r="J26" s="64">
        <f t="shared" si="3"/>
        <v>0.30000000000000004</v>
      </c>
      <c r="K26" s="21"/>
      <c r="L26" s="21"/>
      <c r="M26" s="21"/>
      <c r="N26" s="21"/>
    </row>
    <row r="27" spans="1:14" s="20" customFormat="1" ht="14.25">
      <c r="A27" s="46">
        <v>25</v>
      </c>
      <c r="B27" s="38">
        <f>攻击!D27</f>
        <v>58</v>
      </c>
      <c r="C27" s="8">
        <f t="shared" si="4"/>
        <v>0.3</v>
      </c>
      <c r="D27" s="38">
        <f t="shared" si="0"/>
        <v>17.399999999999999</v>
      </c>
      <c r="E27" s="58"/>
      <c r="F27" s="8">
        <f t="shared" si="5"/>
        <v>1</v>
      </c>
      <c r="G27" s="20">
        <f t="shared" si="1"/>
        <v>58</v>
      </c>
      <c r="H27" s="20">
        <f t="shared" si="2"/>
        <v>17.399999999999999</v>
      </c>
      <c r="I27" s="58"/>
      <c r="J27" s="64">
        <f t="shared" si="3"/>
        <v>0.30000000000000004</v>
      </c>
      <c r="K27" s="21">
        <f t="shared" ref="K27" si="13">(G27+H27)/(B23+D23)-1</f>
        <v>0.16000000000000014</v>
      </c>
      <c r="L27" s="21">
        <f t="shared" ref="L27" si="14">(G27+H27)/B23-1</f>
        <v>0.50800000000000001</v>
      </c>
      <c r="M27" s="21"/>
      <c r="N27" s="21"/>
    </row>
    <row r="28" spans="1:14" s="20" customFormat="1" ht="14.25">
      <c r="A28" s="46">
        <v>26</v>
      </c>
      <c r="B28" s="38">
        <f>攻击!D28</f>
        <v>60</v>
      </c>
      <c r="C28" s="8">
        <f t="shared" si="4"/>
        <v>0.3</v>
      </c>
      <c r="D28" s="38">
        <f t="shared" si="0"/>
        <v>18</v>
      </c>
      <c r="E28" s="58"/>
      <c r="F28" s="8">
        <f t="shared" si="5"/>
        <v>1</v>
      </c>
      <c r="G28" s="20">
        <f t="shared" si="1"/>
        <v>60</v>
      </c>
      <c r="H28" s="20">
        <f t="shared" si="2"/>
        <v>18</v>
      </c>
      <c r="I28" s="58"/>
      <c r="J28" s="64">
        <f t="shared" si="3"/>
        <v>0.30000000000000004</v>
      </c>
      <c r="K28" s="21"/>
      <c r="L28" s="64"/>
      <c r="M28" s="21"/>
      <c r="N28" s="21"/>
    </row>
    <row r="29" spans="1:14" s="20" customFormat="1" ht="14.25">
      <c r="A29" s="46">
        <v>27</v>
      </c>
      <c r="B29" s="38">
        <f>攻击!D29</f>
        <v>62</v>
      </c>
      <c r="C29" s="8">
        <f t="shared" si="4"/>
        <v>0.3</v>
      </c>
      <c r="D29" s="38">
        <f t="shared" si="0"/>
        <v>18.599999999999998</v>
      </c>
      <c r="E29" s="58"/>
      <c r="F29" s="8">
        <f t="shared" si="5"/>
        <v>1</v>
      </c>
      <c r="G29" s="20">
        <f t="shared" si="1"/>
        <v>62</v>
      </c>
      <c r="H29" s="20">
        <f t="shared" si="2"/>
        <v>18.599999999999998</v>
      </c>
      <c r="I29" s="58"/>
      <c r="J29" s="64">
        <f t="shared" si="3"/>
        <v>0.29999999999999982</v>
      </c>
      <c r="K29" s="21"/>
      <c r="L29" s="21"/>
      <c r="M29" s="21"/>
      <c r="N29" s="21"/>
    </row>
    <row r="30" spans="1:14" s="20" customFormat="1" ht="14.25">
      <c r="A30" s="46">
        <v>28</v>
      </c>
      <c r="B30" s="38">
        <f>攻击!D30</f>
        <v>64</v>
      </c>
      <c r="C30" s="8">
        <f t="shared" si="4"/>
        <v>0.3</v>
      </c>
      <c r="D30" s="38">
        <f t="shared" si="0"/>
        <v>19.2</v>
      </c>
      <c r="E30" s="58"/>
      <c r="F30" s="8">
        <f t="shared" si="5"/>
        <v>1</v>
      </c>
      <c r="G30" s="20">
        <f t="shared" si="1"/>
        <v>64</v>
      </c>
      <c r="H30" s="20">
        <f t="shared" si="2"/>
        <v>19.2</v>
      </c>
      <c r="I30" s="58"/>
      <c r="J30" s="64">
        <f t="shared" si="3"/>
        <v>0.30000000000000004</v>
      </c>
      <c r="K30" s="21"/>
      <c r="L30" s="21"/>
      <c r="M30" s="21"/>
      <c r="N30" s="21"/>
    </row>
    <row r="31" spans="1:14" s="20" customFormat="1" ht="14.25">
      <c r="A31" s="46">
        <v>29</v>
      </c>
      <c r="B31" s="38">
        <f>攻击!D31</f>
        <v>66</v>
      </c>
      <c r="C31" s="8">
        <f t="shared" si="4"/>
        <v>0.3</v>
      </c>
      <c r="D31" s="38">
        <f t="shared" si="0"/>
        <v>19.8</v>
      </c>
      <c r="E31" s="58"/>
      <c r="F31" s="8">
        <f t="shared" si="5"/>
        <v>1</v>
      </c>
      <c r="G31" s="20">
        <f t="shared" si="1"/>
        <v>66</v>
      </c>
      <c r="H31" s="20">
        <f t="shared" si="2"/>
        <v>19.8</v>
      </c>
      <c r="I31" s="58"/>
      <c r="J31" s="64">
        <f t="shared" si="3"/>
        <v>0.30000000000000004</v>
      </c>
      <c r="K31" s="21"/>
      <c r="L31" s="21"/>
      <c r="M31" s="21"/>
      <c r="N31" s="21"/>
    </row>
    <row r="32" spans="1:14" s="20" customFormat="1" ht="14.25">
      <c r="A32" s="46">
        <v>30</v>
      </c>
      <c r="B32" s="38">
        <f>攻击!D32</f>
        <v>68</v>
      </c>
      <c r="C32" s="8">
        <f t="shared" si="4"/>
        <v>0.3</v>
      </c>
      <c r="D32" s="38">
        <f t="shared" si="0"/>
        <v>20.399999999999999</v>
      </c>
      <c r="E32" s="58"/>
      <c r="F32" s="8">
        <f t="shared" si="5"/>
        <v>1</v>
      </c>
      <c r="G32" s="20">
        <f t="shared" si="1"/>
        <v>68</v>
      </c>
      <c r="H32" s="20">
        <f t="shared" si="2"/>
        <v>20.399999999999999</v>
      </c>
      <c r="I32" s="58"/>
      <c r="J32" s="64">
        <f t="shared" si="3"/>
        <v>0.30000000000000004</v>
      </c>
      <c r="K32" s="21">
        <f t="shared" ref="K32" si="15">(G32+H32)/(B28+D28)-1</f>
        <v>0.1333333333333333</v>
      </c>
      <c r="L32" s="21">
        <f t="shared" ref="L32" si="16">(G32+H32)/B28-1</f>
        <v>0.47333333333333338</v>
      </c>
      <c r="M32" s="21">
        <f t="shared" ref="M32" si="17">(G32+H32)/(B23+D23)-1</f>
        <v>0.3600000000000001</v>
      </c>
      <c r="N32" s="21">
        <f t="shared" ref="N32" si="18">(H32+G32)/B23-1</f>
        <v>0.76800000000000002</v>
      </c>
    </row>
    <row r="33" spans="1:14" s="20" customFormat="1" ht="14.25">
      <c r="A33" s="46">
        <v>31</v>
      </c>
      <c r="B33" s="38">
        <f>攻击!D33</f>
        <v>70</v>
      </c>
      <c r="C33" s="8">
        <f t="shared" si="4"/>
        <v>0.3</v>
      </c>
      <c r="D33" s="38">
        <f t="shared" si="0"/>
        <v>21</v>
      </c>
      <c r="E33" s="58"/>
      <c r="F33" s="8">
        <f t="shared" si="5"/>
        <v>1</v>
      </c>
      <c r="G33" s="20">
        <f t="shared" si="1"/>
        <v>70</v>
      </c>
      <c r="H33" s="20">
        <f t="shared" si="2"/>
        <v>21</v>
      </c>
      <c r="I33" s="58"/>
      <c r="J33" s="64">
        <f t="shared" si="3"/>
        <v>0.30000000000000004</v>
      </c>
      <c r="K33" s="21"/>
      <c r="L33" s="64"/>
      <c r="M33" s="64"/>
      <c r="N33" s="64"/>
    </row>
    <row r="34" spans="1:14" s="20" customFormat="1" ht="14.25">
      <c r="A34" s="46">
        <v>32</v>
      </c>
      <c r="B34" s="38">
        <f>攻击!D34</f>
        <v>72</v>
      </c>
      <c r="C34" s="8">
        <f t="shared" si="4"/>
        <v>0.3</v>
      </c>
      <c r="D34" s="38">
        <f t="shared" si="0"/>
        <v>21.599999999999998</v>
      </c>
      <c r="E34" s="58"/>
      <c r="F34" s="8">
        <f t="shared" si="5"/>
        <v>1</v>
      </c>
      <c r="G34" s="20">
        <f t="shared" si="1"/>
        <v>72</v>
      </c>
      <c r="H34" s="20">
        <f t="shared" si="2"/>
        <v>21.599999999999998</v>
      </c>
      <c r="I34" s="58"/>
      <c r="J34" s="64">
        <f t="shared" si="3"/>
        <v>0.29999999999999982</v>
      </c>
      <c r="K34" s="21"/>
      <c r="L34" s="21"/>
      <c r="M34" s="21"/>
      <c r="N34" s="21"/>
    </row>
    <row r="35" spans="1:14" s="20" customFormat="1" ht="14.25">
      <c r="A35" s="46">
        <v>33</v>
      </c>
      <c r="B35" s="38">
        <f>攻击!D35</f>
        <v>74</v>
      </c>
      <c r="C35" s="8">
        <f t="shared" si="4"/>
        <v>0.3</v>
      </c>
      <c r="D35" s="38">
        <f t="shared" si="0"/>
        <v>22.2</v>
      </c>
      <c r="E35" s="58"/>
      <c r="F35" s="8">
        <f t="shared" si="5"/>
        <v>1</v>
      </c>
      <c r="G35" s="20">
        <f t="shared" ref="G35:G66" si="19">B35*F35</f>
        <v>74</v>
      </c>
      <c r="H35" s="20">
        <f t="shared" ref="H35:H66" si="20">G35*C35</f>
        <v>22.2</v>
      </c>
      <c r="I35" s="58"/>
      <c r="J35" s="64">
        <f t="shared" si="3"/>
        <v>0.30000000000000004</v>
      </c>
      <c r="K35" s="21"/>
      <c r="L35" s="21"/>
      <c r="M35" s="21"/>
      <c r="N35" s="21"/>
    </row>
    <row r="36" spans="1:14" s="20" customFormat="1" ht="14.25">
      <c r="A36" s="46">
        <v>34</v>
      </c>
      <c r="B36" s="38">
        <f>攻击!D36</f>
        <v>76</v>
      </c>
      <c r="C36" s="8">
        <f t="shared" si="4"/>
        <v>0.3</v>
      </c>
      <c r="D36" s="38">
        <f t="shared" si="0"/>
        <v>22.8</v>
      </c>
      <c r="E36" s="58"/>
      <c r="F36" s="8">
        <f t="shared" si="5"/>
        <v>1</v>
      </c>
      <c r="G36" s="20">
        <f t="shared" si="19"/>
        <v>76</v>
      </c>
      <c r="H36" s="20">
        <f t="shared" si="20"/>
        <v>22.8</v>
      </c>
      <c r="I36" s="58"/>
      <c r="J36" s="64">
        <f t="shared" si="3"/>
        <v>0.30000000000000004</v>
      </c>
      <c r="K36" s="21"/>
      <c r="L36" s="21"/>
      <c r="M36" s="21"/>
      <c r="N36" s="21"/>
    </row>
    <row r="37" spans="1:14" s="20" customFormat="1" ht="14.25">
      <c r="A37" s="46">
        <v>35</v>
      </c>
      <c r="B37" s="38">
        <f>攻击!D37</f>
        <v>78</v>
      </c>
      <c r="C37" s="8">
        <f t="shared" si="4"/>
        <v>0.3</v>
      </c>
      <c r="D37" s="38">
        <f t="shared" si="0"/>
        <v>23.4</v>
      </c>
      <c r="E37" s="58"/>
      <c r="F37" s="8">
        <f t="shared" si="5"/>
        <v>1</v>
      </c>
      <c r="G37" s="20">
        <f t="shared" si="19"/>
        <v>78</v>
      </c>
      <c r="H37" s="20">
        <f t="shared" si="20"/>
        <v>23.4</v>
      </c>
      <c r="I37" s="58"/>
      <c r="J37" s="64">
        <f t="shared" si="3"/>
        <v>0.30000000000000004</v>
      </c>
      <c r="K37" s="21">
        <f t="shared" ref="K37" si="21">(G37+H37)/(B33+D33)-1</f>
        <v>0.11428571428571432</v>
      </c>
      <c r="L37" s="21">
        <f t="shared" ref="L37" si="22">(G37+H37)/B33-1</f>
        <v>0.44857142857142862</v>
      </c>
      <c r="M37" s="21"/>
      <c r="N37" s="21"/>
    </row>
    <row r="38" spans="1:14" s="20" customFormat="1" ht="14.25">
      <c r="A38" s="46">
        <v>36</v>
      </c>
      <c r="B38" s="38">
        <f>攻击!D38</f>
        <v>80</v>
      </c>
      <c r="C38" s="8">
        <f t="shared" si="4"/>
        <v>0.3</v>
      </c>
      <c r="D38" s="38">
        <f t="shared" si="0"/>
        <v>24</v>
      </c>
      <c r="E38" s="58"/>
      <c r="F38" s="8">
        <f t="shared" si="5"/>
        <v>1</v>
      </c>
      <c r="G38" s="20">
        <f t="shared" si="19"/>
        <v>80</v>
      </c>
      <c r="H38" s="20">
        <f t="shared" si="20"/>
        <v>24</v>
      </c>
      <c r="I38" s="58"/>
      <c r="J38" s="64">
        <f t="shared" si="3"/>
        <v>0.30000000000000004</v>
      </c>
      <c r="K38" s="21"/>
      <c r="L38" s="64"/>
      <c r="M38" s="21"/>
      <c r="N38" s="21"/>
    </row>
    <row r="39" spans="1:14" s="20" customFormat="1" ht="14.25">
      <c r="A39" s="46">
        <v>37</v>
      </c>
      <c r="B39" s="38">
        <f>攻击!D39</f>
        <v>82</v>
      </c>
      <c r="C39" s="8">
        <f t="shared" si="4"/>
        <v>0.3</v>
      </c>
      <c r="D39" s="38">
        <f t="shared" si="0"/>
        <v>24.599999999999998</v>
      </c>
      <c r="E39" s="58"/>
      <c r="F39" s="8">
        <f t="shared" si="5"/>
        <v>1</v>
      </c>
      <c r="G39" s="20">
        <f t="shared" si="19"/>
        <v>82</v>
      </c>
      <c r="H39" s="20">
        <f t="shared" si="20"/>
        <v>24.599999999999998</v>
      </c>
      <c r="I39" s="58"/>
      <c r="J39" s="64">
        <f t="shared" si="3"/>
        <v>0.29999999999999982</v>
      </c>
      <c r="K39" s="21"/>
      <c r="L39" s="21"/>
      <c r="M39" s="21"/>
      <c r="N39" s="21"/>
    </row>
    <row r="40" spans="1:14" s="20" customFormat="1" ht="14.25">
      <c r="A40" s="46">
        <v>38</v>
      </c>
      <c r="B40" s="38">
        <f>攻击!D40</f>
        <v>84</v>
      </c>
      <c r="C40" s="8">
        <f t="shared" si="4"/>
        <v>0.3</v>
      </c>
      <c r="D40" s="38">
        <f t="shared" si="0"/>
        <v>25.2</v>
      </c>
      <c r="E40" s="58"/>
      <c r="F40" s="8">
        <f t="shared" si="5"/>
        <v>1</v>
      </c>
      <c r="G40" s="20">
        <f t="shared" si="19"/>
        <v>84</v>
      </c>
      <c r="H40" s="20">
        <f t="shared" si="20"/>
        <v>25.2</v>
      </c>
      <c r="I40" s="58"/>
      <c r="J40" s="64">
        <f t="shared" si="3"/>
        <v>0.30000000000000004</v>
      </c>
      <c r="K40" s="21"/>
      <c r="L40" s="21"/>
      <c r="M40" s="21"/>
      <c r="N40" s="21"/>
    </row>
    <row r="41" spans="1:14" s="20" customFormat="1" ht="14.25">
      <c r="A41" s="46">
        <v>39</v>
      </c>
      <c r="B41" s="38">
        <f>攻击!D41</f>
        <v>86</v>
      </c>
      <c r="C41" s="8">
        <f t="shared" si="4"/>
        <v>0.3</v>
      </c>
      <c r="D41" s="38">
        <f t="shared" si="0"/>
        <v>25.8</v>
      </c>
      <c r="E41" s="58"/>
      <c r="F41" s="8">
        <f t="shared" si="5"/>
        <v>1</v>
      </c>
      <c r="G41" s="20">
        <f t="shared" si="19"/>
        <v>86</v>
      </c>
      <c r="H41" s="20">
        <f t="shared" si="20"/>
        <v>25.8</v>
      </c>
      <c r="I41" s="58"/>
      <c r="J41" s="64">
        <f t="shared" si="3"/>
        <v>0.30000000000000004</v>
      </c>
      <c r="K41" s="21"/>
      <c r="L41" s="21"/>
      <c r="M41" s="21"/>
      <c r="N41" s="21"/>
    </row>
    <row r="42" spans="1:14" s="20" customFormat="1" ht="14.25">
      <c r="A42" s="46">
        <v>40</v>
      </c>
      <c r="B42" s="38">
        <f>攻击!D42</f>
        <v>88</v>
      </c>
      <c r="C42" s="8">
        <f t="shared" si="4"/>
        <v>0.3</v>
      </c>
      <c r="D42" s="38">
        <f t="shared" si="0"/>
        <v>26.4</v>
      </c>
      <c r="E42" s="58"/>
      <c r="F42" s="8">
        <f t="shared" si="5"/>
        <v>1</v>
      </c>
      <c r="G42" s="20">
        <f t="shared" si="19"/>
        <v>88</v>
      </c>
      <c r="H42" s="20">
        <f t="shared" si="20"/>
        <v>26.4</v>
      </c>
      <c r="I42" s="58"/>
      <c r="J42" s="64">
        <f t="shared" si="3"/>
        <v>0.30000000000000004</v>
      </c>
      <c r="K42" s="21">
        <f t="shared" ref="K42" si="23">(G42+H42)/(B38+D38)-1</f>
        <v>0.10000000000000009</v>
      </c>
      <c r="L42" s="21">
        <f t="shared" ref="L42" si="24">(G42+H42)/B38-1</f>
        <v>0.43000000000000016</v>
      </c>
      <c r="M42" s="21">
        <f t="shared" ref="M42" si="25">(G42+H42)/(B33+D33)-1</f>
        <v>0.25714285714285712</v>
      </c>
      <c r="N42" s="21">
        <f t="shared" ref="N42" si="26">(H42+G42)/B33-1</f>
        <v>0.63428571428571434</v>
      </c>
    </row>
    <row r="43" spans="1:14" s="20" customFormat="1" ht="14.25">
      <c r="A43" s="46">
        <v>41</v>
      </c>
      <c r="B43" s="38">
        <f>攻击!D43</f>
        <v>90</v>
      </c>
      <c r="C43" s="8">
        <f t="shared" si="4"/>
        <v>0.3</v>
      </c>
      <c r="D43" s="38">
        <f t="shared" si="0"/>
        <v>27</v>
      </c>
      <c r="E43" s="58"/>
      <c r="F43" s="8">
        <f t="shared" si="5"/>
        <v>1</v>
      </c>
      <c r="G43" s="20">
        <f t="shared" si="19"/>
        <v>90</v>
      </c>
      <c r="H43" s="20">
        <f t="shared" si="20"/>
        <v>27</v>
      </c>
      <c r="I43" s="58"/>
      <c r="J43" s="64">
        <f t="shared" si="3"/>
        <v>0.30000000000000004</v>
      </c>
      <c r="K43" s="21"/>
      <c r="L43" s="64"/>
      <c r="M43" s="64"/>
      <c r="N43" s="64"/>
    </row>
    <row r="44" spans="1:14" s="20" customFormat="1" ht="14.25">
      <c r="A44" s="46">
        <v>42</v>
      </c>
      <c r="B44" s="38">
        <f>攻击!D44</f>
        <v>92</v>
      </c>
      <c r="C44" s="8">
        <f t="shared" si="4"/>
        <v>0.3</v>
      </c>
      <c r="D44" s="38">
        <f t="shared" si="0"/>
        <v>27.599999999999998</v>
      </c>
      <c r="E44" s="58"/>
      <c r="F44" s="8">
        <f t="shared" si="5"/>
        <v>1</v>
      </c>
      <c r="G44" s="20">
        <f t="shared" si="19"/>
        <v>92</v>
      </c>
      <c r="H44" s="20">
        <f t="shared" si="20"/>
        <v>27.599999999999998</v>
      </c>
      <c r="I44" s="58"/>
      <c r="J44" s="64">
        <f t="shared" si="3"/>
        <v>0.30000000000000004</v>
      </c>
      <c r="K44" s="21"/>
      <c r="L44" s="21"/>
      <c r="M44" s="21"/>
      <c r="N44" s="21"/>
    </row>
    <row r="45" spans="1:14" s="20" customFormat="1" ht="14.25">
      <c r="A45" s="46">
        <v>43</v>
      </c>
      <c r="B45" s="38">
        <f>攻击!D45</f>
        <v>94</v>
      </c>
      <c r="C45" s="8">
        <f t="shared" si="4"/>
        <v>0.3</v>
      </c>
      <c r="D45" s="38">
        <f t="shared" si="0"/>
        <v>28.2</v>
      </c>
      <c r="E45" s="58"/>
      <c r="F45" s="8">
        <f t="shared" si="5"/>
        <v>1</v>
      </c>
      <c r="G45" s="20">
        <f t="shared" si="19"/>
        <v>94</v>
      </c>
      <c r="H45" s="20">
        <f t="shared" si="20"/>
        <v>28.2</v>
      </c>
      <c r="I45" s="58"/>
      <c r="J45" s="64">
        <f t="shared" si="3"/>
        <v>0.30000000000000004</v>
      </c>
      <c r="K45" s="21"/>
      <c r="L45" s="21"/>
      <c r="M45" s="21"/>
      <c r="N45" s="21"/>
    </row>
    <row r="46" spans="1:14" s="20" customFormat="1" ht="14.25">
      <c r="A46" s="46">
        <v>44</v>
      </c>
      <c r="B46" s="38">
        <f>攻击!D46</f>
        <v>96</v>
      </c>
      <c r="C46" s="8">
        <f t="shared" si="4"/>
        <v>0.3</v>
      </c>
      <c r="D46" s="38">
        <f t="shared" si="0"/>
        <v>28.799999999999997</v>
      </c>
      <c r="E46" s="58"/>
      <c r="F46" s="8">
        <f t="shared" si="5"/>
        <v>1</v>
      </c>
      <c r="G46" s="20">
        <f t="shared" si="19"/>
        <v>96</v>
      </c>
      <c r="H46" s="20">
        <f t="shared" si="20"/>
        <v>28.799999999999997</v>
      </c>
      <c r="I46" s="58"/>
      <c r="J46" s="64">
        <f t="shared" si="3"/>
        <v>0.30000000000000004</v>
      </c>
      <c r="K46" s="21"/>
      <c r="L46" s="21"/>
      <c r="M46" s="21"/>
      <c r="N46" s="21"/>
    </row>
    <row r="47" spans="1:14" s="20" customFormat="1" ht="14.25">
      <c r="A47" s="46">
        <v>45</v>
      </c>
      <c r="B47" s="38">
        <f>攻击!D47</f>
        <v>98</v>
      </c>
      <c r="C47" s="8">
        <f t="shared" si="4"/>
        <v>0.3</v>
      </c>
      <c r="D47" s="38">
        <f t="shared" si="0"/>
        <v>29.4</v>
      </c>
      <c r="E47" s="58"/>
      <c r="F47" s="8">
        <f t="shared" si="5"/>
        <v>1</v>
      </c>
      <c r="G47" s="20">
        <f t="shared" si="19"/>
        <v>98</v>
      </c>
      <c r="H47" s="20">
        <f t="shared" si="20"/>
        <v>29.4</v>
      </c>
      <c r="I47" s="58"/>
      <c r="J47" s="64">
        <f t="shared" si="3"/>
        <v>0.30000000000000004</v>
      </c>
      <c r="K47" s="21">
        <f t="shared" ref="K47" si="27">(G47+H47)/(B43+D43)-1</f>
        <v>8.8888888888889017E-2</v>
      </c>
      <c r="L47" s="21">
        <f t="shared" ref="L47" si="28">(G47+H47)/B43-1</f>
        <v>0.41555555555555568</v>
      </c>
      <c r="M47" s="21"/>
      <c r="N47" s="21"/>
    </row>
    <row r="48" spans="1:14" s="20" customFormat="1" ht="14.25">
      <c r="A48" s="46">
        <v>46</v>
      </c>
      <c r="B48" s="38">
        <f>攻击!D48</f>
        <v>100</v>
      </c>
      <c r="C48" s="8">
        <f t="shared" si="4"/>
        <v>0.3</v>
      </c>
      <c r="D48" s="38">
        <f t="shared" si="0"/>
        <v>30</v>
      </c>
      <c r="E48" s="58"/>
      <c r="F48" s="8">
        <f t="shared" si="5"/>
        <v>1</v>
      </c>
      <c r="G48" s="20">
        <f t="shared" si="19"/>
        <v>100</v>
      </c>
      <c r="H48" s="20">
        <f t="shared" si="20"/>
        <v>30</v>
      </c>
      <c r="I48" s="58"/>
      <c r="J48" s="64">
        <f t="shared" si="3"/>
        <v>0.30000000000000004</v>
      </c>
      <c r="K48" s="21"/>
      <c r="L48" s="64"/>
      <c r="M48" s="21"/>
      <c r="N48" s="21"/>
    </row>
    <row r="49" spans="1:14" s="20" customFormat="1" ht="14.25">
      <c r="A49" s="46">
        <v>47</v>
      </c>
      <c r="B49" s="38">
        <f>攻击!D49</f>
        <v>102</v>
      </c>
      <c r="C49" s="8">
        <f t="shared" si="4"/>
        <v>0.3</v>
      </c>
      <c r="D49" s="38">
        <f t="shared" si="0"/>
        <v>30.599999999999998</v>
      </c>
      <c r="E49" s="58"/>
      <c r="F49" s="8">
        <f t="shared" si="5"/>
        <v>1</v>
      </c>
      <c r="G49" s="20">
        <f t="shared" si="19"/>
        <v>102</v>
      </c>
      <c r="H49" s="20">
        <f t="shared" si="20"/>
        <v>30.599999999999998</v>
      </c>
      <c r="I49" s="58"/>
      <c r="J49" s="64">
        <f t="shared" si="3"/>
        <v>0.30000000000000004</v>
      </c>
      <c r="K49" s="21"/>
      <c r="L49" s="21"/>
      <c r="M49" s="21"/>
      <c r="N49" s="21"/>
    </row>
    <row r="50" spans="1:14" s="20" customFormat="1" ht="14.25">
      <c r="A50" s="46">
        <v>48</v>
      </c>
      <c r="B50" s="38">
        <f>攻击!D50</f>
        <v>104</v>
      </c>
      <c r="C50" s="8">
        <f t="shared" si="4"/>
        <v>0.3</v>
      </c>
      <c r="D50" s="38">
        <f t="shared" si="0"/>
        <v>31.2</v>
      </c>
      <c r="E50" s="58"/>
      <c r="F50" s="8">
        <f t="shared" si="5"/>
        <v>1</v>
      </c>
      <c r="G50" s="20">
        <f t="shared" si="19"/>
        <v>104</v>
      </c>
      <c r="H50" s="20">
        <f t="shared" si="20"/>
        <v>31.2</v>
      </c>
      <c r="I50" s="58"/>
      <c r="J50" s="64">
        <f t="shared" si="3"/>
        <v>0.29999999999999982</v>
      </c>
      <c r="K50" s="21"/>
      <c r="L50" s="21"/>
      <c r="M50" s="21"/>
      <c r="N50" s="21"/>
    </row>
    <row r="51" spans="1:14" s="20" customFormat="1" ht="14.25">
      <c r="A51" s="46">
        <v>49</v>
      </c>
      <c r="B51" s="38">
        <f>攻击!D51</f>
        <v>106</v>
      </c>
      <c r="C51" s="8">
        <f t="shared" si="4"/>
        <v>0.3</v>
      </c>
      <c r="D51" s="38">
        <f t="shared" si="0"/>
        <v>31.799999999999997</v>
      </c>
      <c r="E51" s="58"/>
      <c r="F51" s="8">
        <f t="shared" si="5"/>
        <v>1</v>
      </c>
      <c r="G51" s="20">
        <f t="shared" si="19"/>
        <v>106</v>
      </c>
      <c r="H51" s="20">
        <f t="shared" si="20"/>
        <v>31.799999999999997</v>
      </c>
      <c r="I51" s="58"/>
      <c r="J51" s="64">
        <f t="shared" si="3"/>
        <v>0.30000000000000004</v>
      </c>
      <c r="K51" s="21"/>
      <c r="L51" s="21"/>
      <c r="M51" s="21"/>
      <c r="N51" s="21"/>
    </row>
    <row r="52" spans="1:14" s="20" customFormat="1" ht="14.25">
      <c r="A52" s="46">
        <v>50</v>
      </c>
      <c r="B52" s="38">
        <f>攻击!D52</f>
        <v>108</v>
      </c>
      <c r="C52" s="8">
        <f t="shared" si="4"/>
        <v>0.3</v>
      </c>
      <c r="D52" s="38">
        <f t="shared" si="0"/>
        <v>32.4</v>
      </c>
      <c r="E52" s="58"/>
      <c r="F52" s="8">
        <f t="shared" si="5"/>
        <v>1</v>
      </c>
      <c r="G52" s="20">
        <f t="shared" si="19"/>
        <v>108</v>
      </c>
      <c r="H52" s="20">
        <f t="shared" si="20"/>
        <v>32.4</v>
      </c>
      <c r="I52" s="58"/>
      <c r="J52" s="64">
        <f t="shared" si="3"/>
        <v>0.30000000000000004</v>
      </c>
      <c r="K52" s="21">
        <f t="shared" ref="K52" si="29">(G52+H52)/(B48+D48)-1</f>
        <v>8.0000000000000071E-2</v>
      </c>
      <c r="L52" s="21">
        <f t="shared" ref="L52" si="30">(G52+H52)/B48-1</f>
        <v>0.40400000000000014</v>
      </c>
      <c r="M52" s="21">
        <f t="shared" ref="M52" si="31">(G52+H52)/(B43+D43)-1</f>
        <v>0.19999999999999996</v>
      </c>
      <c r="N52" s="21">
        <f t="shared" ref="N52" si="32">(H52+G52)/B43-1</f>
        <v>0.56000000000000005</v>
      </c>
    </row>
    <row r="53" spans="1:14" s="20" customFormat="1" ht="14.25">
      <c r="A53" s="46">
        <v>51</v>
      </c>
      <c r="B53" s="38">
        <f>攻击!D53</f>
        <v>110</v>
      </c>
      <c r="C53" s="8">
        <f t="shared" si="4"/>
        <v>0.3</v>
      </c>
      <c r="D53" s="38">
        <f t="shared" si="0"/>
        <v>33</v>
      </c>
      <c r="E53" s="58"/>
      <c r="F53" s="8">
        <f t="shared" si="5"/>
        <v>1</v>
      </c>
      <c r="G53" s="20">
        <f t="shared" si="19"/>
        <v>110</v>
      </c>
      <c r="H53" s="20">
        <f t="shared" si="20"/>
        <v>33</v>
      </c>
      <c r="I53" s="58"/>
      <c r="J53" s="64">
        <f t="shared" si="3"/>
        <v>0.30000000000000004</v>
      </c>
      <c r="K53" s="21"/>
      <c r="L53" s="64"/>
      <c r="M53" s="64"/>
      <c r="N53" s="64"/>
    </row>
    <row r="54" spans="1:14" s="20" customFormat="1" ht="14.25">
      <c r="A54" s="46">
        <v>52</v>
      </c>
      <c r="B54" s="38">
        <f>攻击!D54</f>
        <v>112</v>
      </c>
      <c r="C54" s="8">
        <f t="shared" si="4"/>
        <v>0.3</v>
      </c>
      <c r="D54" s="38">
        <f t="shared" si="0"/>
        <v>33.6</v>
      </c>
      <c r="E54" s="58"/>
      <c r="F54" s="8">
        <f t="shared" si="5"/>
        <v>1</v>
      </c>
      <c r="G54" s="20">
        <f t="shared" si="19"/>
        <v>112</v>
      </c>
      <c r="H54" s="20">
        <f t="shared" si="20"/>
        <v>33.6</v>
      </c>
      <c r="I54" s="58"/>
      <c r="J54" s="64">
        <f t="shared" si="3"/>
        <v>0.30000000000000004</v>
      </c>
      <c r="K54" s="21"/>
      <c r="L54" s="21"/>
      <c r="M54" s="21"/>
      <c r="N54" s="21"/>
    </row>
    <row r="55" spans="1:14" s="20" customFormat="1" ht="14.25">
      <c r="A55" s="46">
        <v>53</v>
      </c>
      <c r="B55" s="38">
        <f>攻击!D55</f>
        <v>114</v>
      </c>
      <c r="C55" s="8">
        <f t="shared" si="4"/>
        <v>0.3</v>
      </c>
      <c r="D55" s="38">
        <f t="shared" si="0"/>
        <v>34.199999999999996</v>
      </c>
      <c r="E55" s="58"/>
      <c r="F55" s="8">
        <f t="shared" si="5"/>
        <v>1</v>
      </c>
      <c r="G55" s="20">
        <f t="shared" si="19"/>
        <v>114</v>
      </c>
      <c r="H55" s="20">
        <f t="shared" si="20"/>
        <v>34.199999999999996</v>
      </c>
      <c r="I55" s="58"/>
      <c r="J55" s="64">
        <f t="shared" si="3"/>
        <v>0.29999999999999982</v>
      </c>
      <c r="K55" s="21"/>
      <c r="L55" s="21"/>
      <c r="M55" s="21"/>
      <c r="N55" s="21"/>
    </row>
    <row r="56" spans="1:14" s="20" customFormat="1" ht="14.25">
      <c r="A56" s="46">
        <v>54</v>
      </c>
      <c r="B56" s="38">
        <f>攻击!D56</f>
        <v>116</v>
      </c>
      <c r="C56" s="8">
        <f t="shared" si="4"/>
        <v>0.3</v>
      </c>
      <c r="D56" s="38">
        <f t="shared" si="0"/>
        <v>34.799999999999997</v>
      </c>
      <c r="E56" s="58"/>
      <c r="F56" s="8">
        <f t="shared" si="5"/>
        <v>1</v>
      </c>
      <c r="G56" s="20">
        <f t="shared" si="19"/>
        <v>116</v>
      </c>
      <c r="H56" s="20">
        <f t="shared" si="20"/>
        <v>34.799999999999997</v>
      </c>
      <c r="I56" s="58"/>
      <c r="J56" s="64">
        <f t="shared" si="3"/>
        <v>0.30000000000000004</v>
      </c>
      <c r="K56" s="21"/>
      <c r="L56" s="21"/>
      <c r="M56" s="21"/>
      <c r="N56" s="21"/>
    </row>
    <row r="57" spans="1:14" s="20" customFormat="1" ht="14.25">
      <c r="A57" s="46">
        <v>55</v>
      </c>
      <c r="B57" s="38">
        <f>攻击!D57</f>
        <v>118</v>
      </c>
      <c r="C57" s="8">
        <f t="shared" si="4"/>
        <v>0.3</v>
      </c>
      <c r="D57" s="38">
        <f t="shared" si="0"/>
        <v>35.4</v>
      </c>
      <c r="E57" s="58"/>
      <c r="F57" s="8">
        <f t="shared" si="5"/>
        <v>1</v>
      </c>
      <c r="G57" s="20">
        <f t="shared" si="19"/>
        <v>118</v>
      </c>
      <c r="H57" s="20">
        <f t="shared" si="20"/>
        <v>35.4</v>
      </c>
      <c r="I57" s="58"/>
      <c r="J57" s="64">
        <f t="shared" si="3"/>
        <v>0.30000000000000004</v>
      </c>
      <c r="K57" s="21">
        <f t="shared" ref="K57" si="33">(G57+H57)/(B53+D53)-1</f>
        <v>7.2727272727272751E-2</v>
      </c>
      <c r="L57" s="21">
        <f t="shared" ref="L57" si="34">(G57+H57)/B53-1</f>
        <v>0.39454545454545453</v>
      </c>
      <c r="M57" s="21"/>
      <c r="N57" s="21"/>
    </row>
    <row r="58" spans="1:14" s="20" customFormat="1" ht="14.25">
      <c r="A58" s="46">
        <v>56</v>
      </c>
      <c r="B58" s="38">
        <f>攻击!D58</f>
        <v>120</v>
      </c>
      <c r="C58" s="8">
        <f t="shared" si="4"/>
        <v>0.3</v>
      </c>
      <c r="D58" s="38">
        <f t="shared" si="0"/>
        <v>36</v>
      </c>
      <c r="E58" s="58"/>
      <c r="F58" s="8">
        <f t="shared" si="5"/>
        <v>1</v>
      </c>
      <c r="G58" s="20">
        <f t="shared" si="19"/>
        <v>120</v>
      </c>
      <c r="H58" s="20">
        <f t="shared" si="20"/>
        <v>36</v>
      </c>
      <c r="I58" s="58"/>
      <c r="J58" s="64">
        <f t="shared" si="3"/>
        <v>0.30000000000000004</v>
      </c>
      <c r="K58" s="21"/>
      <c r="L58" s="64"/>
      <c r="M58" s="21"/>
      <c r="N58" s="21"/>
    </row>
    <row r="59" spans="1:14" s="20" customFormat="1" ht="14.25">
      <c r="A59" s="46">
        <v>57</v>
      </c>
      <c r="B59" s="38">
        <f>攻击!D59</f>
        <v>122</v>
      </c>
      <c r="C59" s="8">
        <f t="shared" si="4"/>
        <v>0.3</v>
      </c>
      <c r="D59" s="38">
        <f t="shared" si="0"/>
        <v>36.6</v>
      </c>
      <c r="E59" s="58"/>
      <c r="F59" s="8">
        <f t="shared" si="5"/>
        <v>1</v>
      </c>
      <c r="G59" s="20">
        <f t="shared" si="19"/>
        <v>122</v>
      </c>
      <c r="H59" s="20">
        <f t="shared" si="20"/>
        <v>36.6</v>
      </c>
      <c r="I59" s="58"/>
      <c r="J59" s="64">
        <f t="shared" si="3"/>
        <v>0.30000000000000004</v>
      </c>
      <c r="K59" s="21"/>
      <c r="L59" s="21"/>
      <c r="M59" s="21"/>
      <c r="N59" s="21"/>
    </row>
    <row r="60" spans="1:14" s="20" customFormat="1" ht="14.25">
      <c r="A60" s="46">
        <v>58</v>
      </c>
      <c r="B60" s="38">
        <f>攻击!D60</f>
        <v>124</v>
      </c>
      <c r="C60" s="8">
        <f t="shared" si="4"/>
        <v>0.3</v>
      </c>
      <c r="D60" s="38">
        <f t="shared" si="0"/>
        <v>37.199999999999996</v>
      </c>
      <c r="E60" s="58"/>
      <c r="F60" s="8">
        <f t="shared" si="5"/>
        <v>1</v>
      </c>
      <c r="G60" s="20">
        <f t="shared" si="19"/>
        <v>124</v>
      </c>
      <c r="H60" s="20">
        <f t="shared" si="20"/>
        <v>37.199999999999996</v>
      </c>
      <c r="I60" s="58"/>
      <c r="J60" s="64">
        <f t="shared" si="3"/>
        <v>0.29999999999999982</v>
      </c>
      <c r="K60" s="21"/>
      <c r="L60" s="21"/>
      <c r="M60" s="21"/>
      <c r="N60" s="21"/>
    </row>
    <row r="61" spans="1:14" s="20" customFormat="1" ht="14.25">
      <c r="A61" s="46">
        <v>59</v>
      </c>
      <c r="B61" s="38">
        <f>攻击!D61</f>
        <v>126</v>
      </c>
      <c r="C61" s="8">
        <f t="shared" si="4"/>
        <v>0.3</v>
      </c>
      <c r="D61" s="38">
        <f t="shared" si="0"/>
        <v>37.799999999999997</v>
      </c>
      <c r="E61" s="58"/>
      <c r="F61" s="8">
        <f t="shared" si="5"/>
        <v>1</v>
      </c>
      <c r="G61" s="20">
        <f t="shared" si="19"/>
        <v>126</v>
      </c>
      <c r="H61" s="20">
        <f t="shared" si="20"/>
        <v>37.799999999999997</v>
      </c>
      <c r="I61" s="58"/>
      <c r="J61" s="64">
        <f t="shared" si="3"/>
        <v>0.30000000000000004</v>
      </c>
      <c r="K61" s="21"/>
      <c r="L61" s="21"/>
      <c r="M61" s="21"/>
      <c r="N61" s="21"/>
    </row>
    <row r="62" spans="1:14" s="20" customFormat="1" ht="14.25">
      <c r="A62" s="46">
        <v>60</v>
      </c>
      <c r="B62" s="38">
        <f>攻击!D62</f>
        <v>128</v>
      </c>
      <c r="C62" s="8">
        <f t="shared" si="4"/>
        <v>0.3</v>
      </c>
      <c r="D62" s="38">
        <f t="shared" si="0"/>
        <v>38.4</v>
      </c>
      <c r="E62" s="58"/>
      <c r="F62" s="8">
        <f t="shared" si="5"/>
        <v>1</v>
      </c>
      <c r="G62" s="20">
        <f t="shared" si="19"/>
        <v>128</v>
      </c>
      <c r="H62" s="20">
        <f t="shared" si="20"/>
        <v>38.4</v>
      </c>
      <c r="I62" s="58"/>
      <c r="J62" s="64">
        <f t="shared" si="3"/>
        <v>0.30000000000000004</v>
      </c>
      <c r="K62" s="21">
        <f t="shared" ref="K62" si="35">(G62+H62)/(B58+D58)-1</f>
        <v>6.6666666666666652E-2</v>
      </c>
      <c r="L62" s="21">
        <f t="shared" ref="L62" si="36">(G62+H62)/B58-1</f>
        <v>0.38666666666666671</v>
      </c>
      <c r="M62" s="21">
        <f t="shared" ref="M62" si="37">(G62+H62)/(B53+D53)-1</f>
        <v>0.16363636363636358</v>
      </c>
      <c r="N62" s="21">
        <f t="shared" ref="N62" si="38">(H62+G62)/B53-1</f>
        <v>0.5127272727272727</v>
      </c>
    </row>
    <row r="63" spans="1:14" s="20" customFormat="1" ht="14.25">
      <c r="A63" s="46">
        <v>61</v>
      </c>
      <c r="B63" s="38">
        <f>攻击!D63</f>
        <v>130</v>
      </c>
      <c r="C63" s="8">
        <f t="shared" si="4"/>
        <v>0.3</v>
      </c>
      <c r="D63" s="38">
        <f t="shared" si="0"/>
        <v>39</v>
      </c>
      <c r="E63" s="58"/>
      <c r="F63" s="8">
        <f t="shared" si="5"/>
        <v>1</v>
      </c>
      <c r="G63" s="20">
        <f t="shared" si="19"/>
        <v>130</v>
      </c>
      <c r="H63" s="20">
        <f t="shared" si="20"/>
        <v>39</v>
      </c>
      <c r="I63" s="58"/>
      <c r="J63" s="64">
        <f t="shared" si="3"/>
        <v>0.30000000000000004</v>
      </c>
      <c r="K63" s="21"/>
      <c r="L63" s="64"/>
      <c r="M63" s="64"/>
      <c r="N63" s="64"/>
    </row>
    <row r="64" spans="1:14" s="20" customFormat="1" ht="14.25">
      <c r="A64" s="46">
        <v>62</v>
      </c>
      <c r="B64" s="38">
        <f>攻击!D64</f>
        <v>132</v>
      </c>
      <c r="C64" s="8">
        <f t="shared" si="4"/>
        <v>0.3</v>
      </c>
      <c r="D64" s="38">
        <f t="shared" si="0"/>
        <v>39.6</v>
      </c>
      <c r="E64" s="58"/>
      <c r="F64" s="8">
        <f t="shared" si="5"/>
        <v>1</v>
      </c>
      <c r="G64" s="20">
        <f t="shared" si="19"/>
        <v>132</v>
      </c>
      <c r="H64" s="20">
        <f t="shared" si="20"/>
        <v>39.6</v>
      </c>
      <c r="I64" s="58"/>
      <c r="J64" s="64">
        <f t="shared" si="3"/>
        <v>0.30000000000000004</v>
      </c>
      <c r="K64" s="21"/>
      <c r="L64" s="21"/>
      <c r="M64" s="21"/>
      <c r="N64" s="21"/>
    </row>
    <row r="65" spans="1:14" s="20" customFormat="1" ht="14.25">
      <c r="A65" s="46">
        <v>63</v>
      </c>
      <c r="B65" s="38">
        <f>攻击!D65</f>
        <v>134</v>
      </c>
      <c r="C65" s="8">
        <f t="shared" si="4"/>
        <v>0.3</v>
      </c>
      <c r="D65" s="38">
        <f t="shared" si="0"/>
        <v>40.199999999999996</v>
      </c>
      <c r="E65" s="58"/>
      <c r="F65" s="8">
        <f t="shared" si="5"/>
        <v>1</v>
      </c>
      <c r="G65" s="20">
        <f t="shared" si="19"/>
        <v>134</v>
      </c>
      <c r="H65" s="20">
        <f t="shared" si="20"/>
        <v>40.199999999999996</v>
      </c>
      <c r="I65" s="58"/>
      <c r="J65" s="64">
        <f t="shared" si="3"/>
        <v>0.29999999999999982</v>
      </c>
      <c r="K65" s="21"/>
      <c r="L65" s="21"/>
      <c r="M65" s="21"/>
      <c r="N65" s="21"/>
    </row>
    <row r="66" spans="1:14" s="20" customFormat="1" ht="14.25">
      <c r="A66" s="46">
        <v>64</v>
      </c>
      <c r="B66" s="38">
        <f>攻击!D66</f>
        <v>136</v>
      </c>
      <c r="C66" s="8">
        <f t="shared" si="4"/>
        <v>0.3</v>
      </c>
      <c r="D66" s="38">
        <f t="shared" si="0"/>
        <v>40.799999999999997</v>
      </c>
      <c r="E66" s="58"/>
      <c r="F66" s="8">
        <f t="shared" si="5"/>
        <v>1</v>
      </c>
      <c r="G66" s="20">
        <f t="shared" si="19"/>
        <v>136</v>
      </c>
      <c r="H66" s="20">
        <f t="shared" si="20"/>
        <v>40.799999999999997</v>
      </c>
      <c r="I66" s="58"/>
      <c r="J66" s="64">
        <f t="shared" si="3"/>
        <v>0.30000000000000004</v>
      </c>
      <c r="K66" s="21"/>
      <c r="L66" s="21"/>
      <c r="M66" s="21"/>
      <c r="N66" s="21"/>
    </row>
    <row r="67" spans="1:14" s="20" customFormat="1" ht="14.25">
      <c r="A67" s="46">
        <v>65</v>
      </c>
      <c r="B67" s="38">
        <f>攻击!D67</f>
        <v>138</v>
      </c>
      <c r="C67" s="8">
        <f t="shared" si="4"/>
        <v>0.3</v>
      </c>
      <c r="D67" s="38">
        <f t="shared" ref="D67:D122" si="39">B67*C67</f>
        <v>41.4</v>
      </c>
      <c r="E67" s="58"/>
      <c r="F67" s="8">
        <f t="shared" si="5"/>
        <v>1</v>
      </c>
      <c r="G67" s="20">
        <f t="shared" ref="G67:G98" si="40">B67*F67</f>
        <v>138</v>
      </c>
      <c r="H67" s="20">
        <f t="shared" ref="H67:H98" si="41">G67*C67</f>
        <v>41.4</v>
      </c>
      <c r="I67" s="58"/>
      <c r="J67" s="64">
        <f t="shared" si="3"/>
        <v>0.30000000000000004</v>
      </c>
      <c r="K67" s="21">
        <f t="shared" ref="K67" si="42">(G67+H67)/(B63+D63)-1</f>
        <v>6.1538461538461542E-2</v>
      </c>
      <c r="L67" s="21">
        <f t="shared" ref="L67" si="43">(G67+H67)/B63-1</f>
        <v>0.38000000000000012</v>
      </c>
      <c r="M67" s="21"/>
      <c r="N67" s="21"/>
    </row>
    <row r="68" spans="1:14" s="20" customFormat="1" ht="14.25">
      <c r="A68" s="46">
        <v>66</v>
      </c>
      <c r="B68" s="38">
        <f>攻击!D68</f>
        <v>140</v>
      </c>
      <c r="C68" s="8">
        <f t="shared" si="4"/>
        <v>0.3</v>
      </c>
      <c r="D68" s="38">
        <f t="shared" si="39"/>
        <v>42</v>
      </c>
      <c r="E68" s="58"/>
      <c r="F68" s="8">
        <f t="shared" si="5"/>
        <v>1</v>
      </c>
      <c r="G68" s="20">
        <f t="shared" si="40"/>
        <v>140</v>
      </c>
      <c r="H68" s="20">
        <f t="shared" si="41"/>
        <v>42</v>
      </c>
      <c r="I68" s="58"/>
      <c r="J68" s="64">
        <f t="shared" ref="J68:J122" si="44">(G68+H68)/B68-1</f>
        <v>0.30000000000000004</v>
      </c>
      <c r="K68" s="21"/>
      <c r="L68" s="64"/>
      <c r="M68" s="21"/>
      <c r="N68" s="21"/>
    </row>
    <row r="69" spans="1:14" s="20" customFormat="1" ht="14.25">
      <c r="A69" s="46">
        <v>67</v>
      </c>
      <c r="B69" s="38">
        <f>攻击!D69</f>
        <v>142</v>
      </c>
      <c r="C69" s="8">
        <f t="shared" ref="C69:C122" si="45">C68</f>
        <v>0.3</v>
      </c>
      <c r="D69" s="38">
        <f t="shared" si="39"/>
        <v>42.6</v>
      </c>
      <c r="E69" s="58"/>
      <c r="F69" s="8">
        <f t="shared" ref="F69:F122" si="46">F68</f>
        <v>1</v>
      </c>
      <c r="G69" s="20">
        <f t="shared" si="40"/>
        <v>142</v>
      </c>
      <c r="H69" s="20">
        <f t="shared" si="41"/>
        <v>42.6</v>
      </c>
      <c r="I69" s="58"/>
      <c r="J69" s="64">
        <f t="shared" si="44"/>
        <v>0.30000000000000004</v>
      </c>
      <c r="K69" s="21"/>
      <c r="L69" s="21"/>
      <c r="M69" s="21"/>
      <c r="N69" s="21"/>
    </row>
    <row r="70" spans="1:14" s="20" customFormat="1" ht="14.25">
      <c r="A70" s="46">
        <v>68</v>
      </c>
      <c r="B70" s="38">
        <f>攻击!D70</f>
        <v>144</v>
      </c>
      <c r="C70" s="8">
        <f t="shared" si="45"/>
        <v>0.3</v>
      </c>
      <c r="D70" s="38">
        <f t="shared" si="39"/>
        <v>43.199999999999996</v>
      </c>
      <c r="E70" s="58"/>
      <c r="F70" s="8">
        <f t="shared" si="46"/>
        <v>1</v>
      </c>
      <c r="G70" s="20">
        <f t="shared" si="40"/>
        <v>144</v>
      </c>
      <c r="H70" s="20">
        <f t="shared" si="41"/>
        <v>43.199999999999996</v>
      </c>
      <c r="I70" s="58"/>
      <c r="J70" s="64">
        <f t="shared" si="44"/>
        <v>0.29999999999999982</v>
      </c>
      <c r="K70" s="21"/>
      <c r="L70" s="21"/>
      <c r="M70" s="21"/>
      <c r="N70" s="21"/>
    </row>
    <row r="71" spans="1:14" s="20" customFormat="1" ht="14.25">
      <c r="A71" s="46">
        <v>69</v>
      </c>
      <c r="B71" s="38">
        <f>攻击!D71</f>
        <v>146</v>
      </c>
      <c r="C71" s="8">
        <f t="shared" si="45"/>
        <v>0.3</v>
      </c>
      <c r="D71" s="38">
        <f t="shared" si="39"/>
        <v>43.8</v>
      </c>
      <c r="E71" s="58"/>
      <c r="F71" s="8">
        <f t="shared" si="46"/>
        <v>1</v>
      </c>
      <c r="G71" s="20">
        <f t="shared" si="40"/>
        <v>146</v>
      </c>
      <c r="H71" s="20">
        <f t="shared" si="41"/>
        <v>43.8</v>
      </c>
      <c r="I71" s="58"/>
      <c r="J71" s="64">
        <f t="shared" si="44"/>
        <v>0.30000000000000004</v>
      </c>
      <c r="K71" s="21"/>
      <c r="L71" s="21"/>
      <c r="M71" s="21"/>
      <c r="N71" s="21"/>
    </row>
    <row r="72" spans="1:14" s="20" customFormat="1" ht="14.25">
      <c r="A72" s="46">
        <v>70</v>
      </c>
      <c r="B72" s="38">
        <f>攻击!D72</f>
        <v>148</v>
      </c>
      <c r="C72" s="8">
        <f t="shared" si="45"/>
        <v>0.3</v>
      </c>
      <c r="D72" s="38">
        <f t="shared" si="39"/>
        <v>44.4</v>
      </c>
      <c r="E72" s="58"/>
      <c r="F72" s="8">
        <f t="shared" si="46"/>
        <v>1</v>
      </c>
      <c r="G72" s="20">
        <f t="shared" si="40"/>
        <v>148</v>
      </c>
      <c r="H72" s="20">
        <f t="shared" si="41"/>
        <v>44.4</v>
      </c>
      <c r="I72" s="58"/>
      <c r="J72" s="64">
        <f t="shared" si="44"/>
        <v>0.30000000000000004</v>
      </c>
      <c r="K72" s="21">
        <f t="shared" ref="K72" si="47">(G72+H72)/(B68+D68)-1</f>
        <v>5.7142857142857162E-2</v>
      </c>
      <c r="L72" s="21">
        <f t="shared" ref="L72" si="48">(G72+H72)/B68-1</f>
        <v>0.37428571428571433</v>
      </c>
      <c r="M72" s="21">
        <f t="shared" ref="M72" si="49">(G72+H72)/(B63+D63)-1</f>
        <v>0.13846153846153841</v>
      </c>
      <c r="N72" s="21">
        <f t="shared" ref="N72" si="50">(H72+G72)/B63-1</f>
        <v>0.48</v>
      </c>
    </row>
    <row r="73" spans="1:14" s="20" customFormat="1" ht="14.25">
      <c r="A73" s="46">
        <v>71</v>
      </c>
      <c r="B73" s="38">
        <f>攻击!D73</f>
        <v>150</v>
      </c>
      <c r="C73" s="8">
        <f t="shared" si="45"/>
        <v>0.3</v>
      </c>
      <c r="D73" s="38">
        <f t="shared" si="39"/>
        <v>45</v>
      </c>
      <c r="E73" s="58"/>
      <c r="F73" s="8">
        <f t="shared" si="46"/>
        <v>1</v>
      </c>
      <c r="G73" s="20">
        <f t="shared" si="40"/>
        <v>150</v>
      </c>
      <c r="H73" s="20">
        <f t="shared" si="41"/>
        <v>45</v>
      </c>
      <c r="I73" s="58"/>
      <c r="J73" s="64">
        <f t="shared" si="44"/>
        <v>0.30000000000000004</v>
      </c>
      <c r="K73" s="21"/>
      <c r="L73" s="64"/>
      <c r="M73" s="64"/>
      <c r="N73" s="64"/>
    </row>
    <row r="74" spans="1:14" s="20" customFormat="1" ht="14.25">
      <c r="A74" s="46">
        <v>72</v>
      </c>
      <c r="B74" s="38">
        <f>攻击!D74</f>
        <v>152</v>
      </c>
      <c r="C74" s="8">
        <f t="shared" si="45"/>
        <v>0.3</v>
      </c>
      <c r="D74" s="38">
        <f t="shared" si="39"/>
        <v>45.6</v>
      </c>
      <c r="E74" s="58"/>
      <c r="F74" s="8">
        <f t="shared" si="46"/>
        <v>1</v>
      </c>
      <c r="G74" s="20">
        <f t="shared" si="40"/>
        <v>152</v>
      </c>
      <c r="H74" s="20">
        <f t="shared" si="41"/>
        <v>45.6</v>
      </c>
      <c r="I74" s="58"/>
      <c r="J74" s="64">
        <f t="shared" si="44"/>
        <v>0.30000000000000004</v>
      </c>
      <c r="K74" s="21"/>
      <c r="L74" s="21"/>
      <c r="M74" s="21"/>
      <c r="N74" s="21"/>
    </row>
    <row r="75" spans="1:14" s="20" customFormat="1" ht="14.25">
      <c r="A75" s="46">
        <v>73</v>
      </c>
      <c r="B75" s="38">
        <f>攻击!D75</f>
        <v>154</v>
      </c>
      <c r="C75" s="8">
        <f t="shared" si="45"/>
        <v>0.3</v>
      </c>
      <c r="D75" s="38">
        <f t="shared" si="39"/>
        <v>46.199999999999996</v>
      </c>
      <c r="E75" s="58"/>
      <c r="F75" s="8">
        <f t="shared" si="46"/>
        <v>1</v>
      </c>
      <c r="G75" s="20">
        <f t="shared" si="40"/>
        <v>154</v>
      </c>
      <c r="H75" s="20">
        <f t="shared" si="41"/>
        <v>46.199999999999996</v>
      </c>
      <c r="I75" s="58"/>
      <c r="J75" s="64">
        <f t="shared" si="44"/>
        <v>0.29999999999999982</v>
      </c>
      <c r="K75" s="21"/>
      <c r="L75" s="21"/>
      <c r="M75" s="21"/>
      <c r="N75" s="21"/>
    </row>
    <row r="76" spans="1:14" s="20" customFormat="1" ht="14.25">
      <c r="A76" s="46">
        <v>74</v>
      </c>
      <c r="B76" s="38">
        <f>攻击!D76</f>
        <v>156</v>
      </c>
      <c r="C76" s="8">
        <f t="shared" si="45"/>
        <v>0.3</v>
      </c>
      <c r="D76" s="38">
        <f t="shared" si="39"/>
        <v>46.8</v>
      </c>
      <c r="E76" s="58"/>
      <c r="F76" s="8">
        <f t="shared" si="46"/>
        <v>1</v>
      </c>
      <c r="G76" s="20">
        <f t="shared" si="40"/>
        <v>156</v>
      </c>
      <c r="H76" s="20">
        <f t="shared" si="41"/>
        <v>46.8</v>
      </c>
      <c r="I76" s="58"/>
      <c r="J76" s="64">
        <f t="shared" si="44"/>
        <v>0.30000000000000004</v>
      </c>
      <c r="K76" s="21"/>
      <c r="L76" s="21"/>
      <c r="M76" s="21"/>
      <c r="N76" s="21"/>
    </row>
    <row r="77" spans="1:14" s="20" customFormat="1" ht="14.25">
      <c r="A77" s="46">
        <v>75</v>
      </c>
      <c r="B77" s="38">
        <f>攻击!D77</f>
        <v>158</v>
      </c>
      <c r="C77" s="8">
        <f t="shared" si="45"/>
        <v>0.3</v>
      </c>
      <c r="D77" s="38">
        <f t="shared" si="39"/>
        <v>47.4</v>
      </c>
      <c r="E77" s="58"/>
      <c r="F77" s="8">
        <f t="shared" si="46"/>
        <v>1</v>
      </c>
      <c r="G77" s="20">
        <f t="shared" si="40"/>
        <v>158</v>
      </c>
      <c r="H77" s="20">
        <f t="shared" si="41"/>
        <v>47.4</v>
      </c>
      <c r="I77" s="58"/>
      <c r="J77" s="64">
        <f t="shared" si="44"/>
        <v>0.30000000000000004</v>
      </c>
      <c r="K77" s="21">
        <f t="shared" ref="K77" si="51">(G77+H77)/(B73+D73)-1</f>
        <v>5.3333333333333455E-2</v>
      </c>
      <c r="L77" s="21">
        <f t="shared" ref="L77" si="52">(G77+H77)/B73-1</f>
        <v>0.36933333333333329</v>
      </c>
      <c r="M77" s="21"/>
      <c r="N77" s="21"/>
    </row>
    <row r="78" spans="1:14" s="20" customFormat="1" ht="14.25">
      <c r="A78" s="46">
        <v>76</v>
      </c>
      <c r="B78" s="38">
        <f>攻击!D78</f>
        <v>160</v>
      </c>
      <c r="C78" s="8">
        <f t="shared" si="45"/>
        <v>0.3</v>
      </c>
      <c r="D78" s="38">
        <f t="shared" si="39"/>
        <v>48</v>
      </c>
      <c r="E78" s="58"/>
      <c r="F78" s="8">
        <f t="shared" si="46"/>
        <v>1</v>
      </c>
      <c r="G78" s="20">
        <f t="shared" si="40"/>
        <v>160</v>
      </c>
      <c r="H78" s="20">
        <f t="shared" si="41"/>
        <v>48</v>
      </c>
      <c r="I78" s="58"/>
      <c r="J78" s="64">
        <f t="shared" si="44"/>
        <v>0.30000000000000004</v>
      </c>
      <c r="K78" s="21"/>
      <c r="L78" s="64"/>
      <c r="M78" s="21"/>
      <c r="N78" s="21"/>
    </row>
    <row r="79" spans="1:14" s="20" customFormat="1" ht="14.25">
      <c r="A79" s="46">
        <v>77</v>
      </c>
      <c r="B79" s="38">
        <f>攻击!D79</f>
        <v>162</v>
      </c>
      <c r="C79" s="8">
        <f t="shared" si="45"/>
        <v>0.3</v>
      </c>
      <c r="D79" s="38">
        <f t="shared" si="39"/>
        <v>48.6</v>
      </c>
      <c r="E79" s="58"/>
      <c r="F79" s="8">
        <f t="shared" si="46"/>
        <v>1</v>
      </c>
      <c r="G79" s="20">
        <f t="shared" si="40"/>
        <v>162</v>
      </c>
      <c r="H79" s="20">
        <f t="shared" si="41"/>
        <v>48.6</v>
      </c>
      <c r="I79" s="58"/>
      <c r="J79" s="64">
        <f t="shared" si="44"/>
        <v>0.30000000000000004</v>
      </c>
      <c r="K79" s="21"/>
      <c r="L79" s="21"/>
      <c r="M79" s="21"/>
      <c r="N79" s="21"/>
    </row>
    <row r="80" spans="1:14" s="20" customFormat="1" ht="14.25">
      <c r="A80" s="46">
        <v>78</v>
      </c>
      <c r="B80" s="38">
        <f>攻击!D80</f>
        <v>164</v>
      </c>
      <c r="C80" s="8">
        <f t="shared" si="45"/>
        <v>0.3</v>
      </c>
      <c r="D80" s="38">
        <f t="shared" si="39"/>
        <v>49.199999999999996</v>
      </c>
      <c r="E80" s="58"/>
      <c r="F80" s="8">
        <f t="shared" si="46"/>
        <v>1</v>
      </c>
      <c r="G80" s="20">
        <f t="shared" si="40"/>
        <v>164</v>
      </c>
      <c r="H80" s="20">
        <f t="shared" si="41"/>
        <v>49.199999999999996</v>
      </c>
      <c r="I80" s="58"/>
      <c r="J80" s="64">
        <f t="shared" si="44"/>
        <v>0.29999999999999982</v>
      </c>
      <c r="K80" s="21"/>
      <c r="L80" s="21"/>
      <c r="M80" s="21"/>
      <c r="N80" s="21"/>
    </row>
    <row r="81" spans="1:14" s="20" customFormat="1" ht="14.25">
      <c r="A81" s="46">
        <v>79</v>
      </c>
      <c r="B81" s="38">
        <f>攻击!D81</f>
        <v>166</v>
      </c>
      <c r="C81" s="8">
        <f t="shared" si="45"/>
        <v>0.3</v>
      </c>
      <c r="D81" s="38">
        <f t="shared" si="39"/>
        <v>49.8</v>
      </c>
      <c r="E81" s="58"/>
      <c r="F81" s="8">
        <f t="shared" si="46"/>
        <v>1</v>
      </c>
      <c r="G81" s="20">
        <f t="shared" si="40"/>
        <v>166</v>
      </c>
      <c r="H81" s="20">
        <f t="shared" si="41"/>
        <v>49.8</v>
      </c>
      <c r="I81" s="58"/>
      <c r="J81" s="64">
        <f t="shared" si="44"/>
        <v>0.30000000000000004</v>
      </c>
      <c r="K81" s="21"/>
      <c r="L81" s="21"/>
      <c r="M81" s="21"/>
      <c r="N81" s="21"/>
    </row>
    <row r="82" spans="1:14" s="20" customFormat="1" ht="14.25">
      <c r="A82" s="46">
        <v>80</v>
      </c>
      <c r="B82" s="38">
        <f>攻击!D82</f>
        <v>168</v>
      </c>
      <c r="C82" s="8">
        <f t="shared" si="45"/>
        <v>0.3</v>
      </c>
      <c r="D82" s="38">
        <f t="shared" si="39"/>
        <v>50.4</v>
      </c>
      <c r="E82" s="58"/>
      <c r="F82" s="8">
        <f t="shared" si="46"/>
        <v>1</v>
      </c>
      <c r="G82" s="20">
        <f t="shared" si="40"/>
        <v>168</v>
      </c>
      <c r="H82" s="20">
        <f t="shared" si="41"/>
        <v>50.4</v>
      </c>
      <c r="I82" s="58"/>
      <c r="J82" s="64">
        <f t="shared" si="44"/>
        <v>0.30000000000000004</v>
      </c>
      <c r="K82" s="21">
        <f t="shared" ref="K82" si="53">(G82+H82)/(B78+D78)-1</f>
        <v>5.0000000000000044E-2</v>
      </c>
      <c r="L82" s="21">
        <f t="shared" ref="L82" si="54">(G82+H82)/B78-1</f>
        <v>0.36499999999999999</v>
      </c>
      <c r="M82" s="21">
        <f t="shared" ref="M82" si="55">(G82+H82)/(B73+D73)-1</f>
        <v>0.12000000000000011</v>
      </c>
      <c r="N82" s="21">
        <f t="shared" ref="N82" si="56">(H82+G82)/B73-1</f>
        <v>0.45599999999999996</v>
      </c>
    </row>
    <row r="83" spans="1:14" s="20" customFormat="1" ht="14.25">
      <c r="A83" s="46">
        <v>81</v>
      </c>
      <c r="B83" s="38">
        <f>攻击!D83</f>
        <v>170</v>
      </c>
      <c r="C83" s="8">
        <f t="shared" si="45"/>
        <v>0.3</v>
      </c>
      <c r="D83" s="38">
        <f t="shared" si="39"/>
        <v>51</v>
      </c>
      <c r="E83" s="58"/>
      <c r="F83" s="8">
        <f t="shared" si="46"/>
        <v>1</v>
      </c>
      <c r="G83" s="20">
        <f t="shared" si="40"/>
        <v>170</v>
      </c>
      <c r="H83" s="20">
        <f t="shared" si="41"/>
        <v>51</v>
      </c>
      <c r="I83" s="58"/>
      <c r="J83" s="64">
        <f t="shared" si="44"/>
        <v>0.30000000000000004</v>
      </c>
      <c r="K83" s="21"/>
      <c r="L83" s="64"/>
      <c r="M83" s="64"/>
      <c r="N83" s="64"/>
    </row>
    <row r="84" spans="1:14" s="20" customFormat="1" ht="14.25">
      <c r="A84" s="46">
        <v>82</v>
      </c>
      <c r="B84" s="38">
        <f>攻击!D84</f>
        <v>172</v>
      </c>
      <c r="C84" s="8">
        <f t="shared" si="45"/>
        <v>0.3</v>
      </c>
      <c r="D84" s="38">
        <f t="shared" si="39"/>
        <v>51.6</v>
      </c>
      <c r="E84" s="58"/>
      <c r="F84" s="8">
        <f t="shared" si="46"/>
        <v>1</v>
      </c>
      <c r="G84" s="20">
        <f t="shared" si="40"/>
        <v>172</v>
      </c>
      <c r="H84" s="20">
        <f t="shared" si="41"/>
        <v>51.6</v>
      </c>
      <c r="I84" s="58"/>
      <c r="J84" s="64">
        <f t="shared" si="44"/>
        <v>0.30000000000000004</v>
      </c>
      <c r="K84" s="21"/>
      <c r="L84" s="21"/>
      <c r="M84" s="21"/>
      <c r="N84" s="21"/>
    </row>
    <row r="85" spans="1:14" s="20" customFormat="1" ht="14.25">
      <c r="A85" s="46">
        <v>83</v>
      </c>
      <c r="B85" s="38">
        <f>攻击!D85</f>
        <v>174</v>
      </c>
      <c r="C85" s="8">
        <f t="shared" si="45"/>
        <v>0.3</v>
      </c>
      <c r="D85" s="38">
        <f t="shared" si="39"/>
        <v>52.199999999999996</v>
      </c>
      <c r="E85" s="58"/>
      <c r="F85" s="8">
        <f t="shared" si="46"/>
        <v>1</v>
      </c>
      <c r="G85" s="20">
        <f t="shared" si="40"/>
        <v>174</v>
      </c>
      <c r="H85" s="20">
        <f t="shared" si="41"/>
        <v>52.199999999999996</v>
      </c>
      <c r="I85" s="58"/>
      <c r="J85" s="64">
        <f t="shared" si="44"/>
        <v>0.30000000000000004</v>
      </c>
      <c r="K85" s="21"/>
      <c r="L85" s="21"/>
      <c r="M85" s="21"/>
      <c r="N85" s="21"/>
    </row>
    <row r="86" spans="1:14" s="20" customFormat="1" ht="14.25">
      <c r="A86" s="46">
        <v>84</v>
      </c>
      <c r="B86" s="38">
        <f>攻击!D86</f>
        <v>176</v>
      </c>
      <c r="C86" s="8">
        <f t="shared" si="45"/>
        <v>0.3</v>
      </c>
      <c r="D86" s="38">
        <f t="shared" si="39"/>
        <v>52.8</v>
      </c>
      <c r="E86" s="58"/>
      <c r="F86" s="8">
        <f t="shared" si="46"/>
        <v>1</v>
      </c>
      <c r="G86" s="20">
        <f t="shared" si="40"/>
        <v>176</v>
      </c>
      <c r="H86" s="20">
        <f t="shared" si="41"/>
        <v>52.8</v>
      </c>
      <c r="I86" s="58"/>
      <c r="J86" s="64">
        <f t="shared" si="44"/>
        <v>0.30000000000000004</v>
      </c>
      <c r="K86" s="21"/>
      <c r="L86" s="21"/>
      <c r="M86" s="21"/>
      <c r="N86" s="21"/>
    </row>
    <row r="87" spans="1:14" s="20" customFormat="1" ht="14.25">
      <c r="A87" s="46">
        <v>85</v>
      </c>
      <c r="B87" s="38">
        <f>攻击!D87</f>
        <v>178</v>
      </c>
      <c r="C87" s="8">
        <f t="shared" si="45"/>
        <v>0.3</v>
      </c>
      <c r="D87" s="38">
        <f t="shared" si="39"/>
        <v>53.4</v>
      </c>
      <c r="E87" s="58"/>
      <c r="F87" s="8">
        <f t="shared" si="46"/>
        <v>1</v>
      </c>
      <c r="G87" s="20">
        <f t="shared" si="40"/>
        <v>178</v>
      </c>
      <c r="H87" s="20">
        <f t="shared" si="41"/>
        <v>53.4</v>
      </c>
      <c r="I87" s="58"/>
      <c r="J87" s="64">
        <f t="shared" si="44"/>
        <v>0.30000000000000004</v>
      </c>
      <c r="K87" s="21">
        <f t="shared" ref="K87" si="57">(G87+H87)/(B83+D83)-1</f>
        <v>4.705882352941182E-2</v>
      </c>
      <c r="L87" s="21">
        <f t="shared" ref="L87" si="58">(G87+H87)/B83-1</f>
        <v>0.36117647058823543</v>
      </c>
      <c r="M87" s="21"/>
      <c r="N87" s="21"/>
    </row>
    <row r="88" spans="1:14" s="20" customFormat="1" ht="14.25">
      <c r="A88" s="46">
        <v>86</v>
      </c>
      <c r="B88" s="38">
        <f>攻击!D88</f>
        <v>180</v>
      </c>
      <c r="C88" s="8">
        <f t="shared" si="45"/>
        <v>0.3</v>
      </c>
      <c r="D88" s="38">
        <f t="shared" si="39"/>
        <v>54</v>
      </c>
      <c r="E88" s="58"/>
      <c r="F88" s="8">
        <f t="shared" si="46"/>
        <v>1</v>
      </c>
      <c r="G88" s="20">
        <f t="shared" si="40"/>
        <v>180</v>
      </c>
      <c r="H88" s="20">
        <f t="shared" si="41"/>
        <v>54</v>
      </c>
      <c r="I88" s="58"/>
      <c r="J88" s="64">
        <f t="shared" si="44"/>
        <v>0.30000000000000004</v>
      </c>
      <c r="K88" s="21"/>
      <c r="L88" s="64"/>
      <c r="M88" s="21"/>
      <c r="N88" s="21"/>
    </row>
    <row r="89" spans="1:14" s="20" customFormat="1" ht="14.25">
      <c r="A89" s="46">
        <v>87</v>
      </c>
      <c r="B89" s="38">
        <f>攻击!D89</f>
        <v>182</v>
      </c>
      <c r="C89" s="8">
        <f t="shared" si="45"/>
        <v>0.3</v>
      </c>
      <c r="D89" s="38">
        <f t="shared" si="39"/>
        <v>54.6</v>
      </c>
      <c r="E89" s="58"/>
      <c r="F89" s="8">
        <f t="shared" si="46"/>
        <v>1</v>
      </c>
      <c r="G89" s="20">
        <f t="shared" si="40"/>
        <v>182</v>
      </c>
      <c r="H89" s="20">
        <f t="shared" si="41"/>
        <v>54.6</v>
      </c>
      <c r="I89" s="58"/>
      <c r="J89" s="64">
        <f t="shared" si="44"/>
        <v>0.30000000000000004</v>
      </c>
      <c r="K89" s="21"/>
      <c r="L89" s="21"/>
      <c r="M89" s="21"/>
      <c r="N89" s="21"/>
    </row>
    <row r="90" spans="1:14" s="20" customFormat="1" ht="14.25">
      <c r="A90" s="46">
        <v>88</v>
      </c>
      <c r="B90" s="38">
        <f>攻击!D90</f>
        <v>184</v>
      </c>
      <c r="C90" s="8">
        <f t="shared" si="45"/>
        <v>0.3</v>
      </c>
      <c r="D90" s="38">
        <f t="shared" si="39"/>
        <v>55.199999999999996</v>
      </c>
      <c r="E90" s="58"/>
      <c r="F90" s="8">
        <f t="shared" si="46"/>
        <v>1</v>
      </c>
      <c r="G90" s="20">
        <f t="shared" si="40"/>
        <v>184</v>
      </c>
      <c r="H90" s="20">
        <f t="shared" si="41"/>
        <v>55.199999999999996</v>
      </c>
      <c r="I90" s="58"/>
      <c r="J90" s="64">
        <f t="shared" si="44"/>
        <v>0.30000000000000004</v>
      </c>
      <c r="K90" s="21"/>
      <c r="L90" s="21"/>
      <c r="M90" s="21"/>
      <c r="N90" s="21"/>
    </row>
    <row r="91" spans="1:14" s="20" customFormat="1" ht="14.25">
      <c r="A91" s="46">
        <v>89</v>
      </c>
      <c r="B91" s="38">
        <f>攻击!D91</f>
        <v>186</v>
      </c>
      <c r="C91" s="8">
        <f t="shared" si="45"/>
        <v>0.3</v>
      </c>
      <c r="D91" s="38">
        <f t="shared" si="39"/>
        <v>55.8</v>
      </c>
      <c r="E91" s="58"/>
      <c r="F91" s="8">
        <f t="shared" si="46"/>
        <v>1</v>
      </c>
      <c r="G91" s="20">
        <f t="shared" si="40"/>
        <v>186</v>
      </c>
      <c r="H91" s="20">
        <f t="shared" si="41"/>
        <v>55.8</v>
      </c>
      <c r="I91" s="58"/>
      <c r="J91" s="64">
        <f t="shared" si="44"/>
        <v>0.30000000000000004</v>
      </c>
      <c r="K91" s="21"/>
      <c r="L91" s="21"/>
      <c r="M91" s="21"/>
      <c r="N91" s="21"/>
    </row>
    <row r="92" spans="1:14" s="20" customFormat="1" ht="14.25">
      <c r="A92" s="46">
        <v>90</v>
      </c>
      <c r="B92" s="38">
        <f>攻击!D92</f>
        <v>188</v>
      </c>
      <c r="C92" s="8">
        <f t="shared" si="45"/>
        <v>0.3</v>
      </c>
      <c r="D92" s="38">
        <f t="shared" si="39"/>
        <v>56.4</v>
      </c>
      <c r="E92" s="58"/>
      <c r="F92" s="8">
        <f t="shared" si="46"/>
        <v>1</v>
      </c>
      <c r="G92" s="20">
        <f t="shared" si="40"/>
        <v>188</v>
      </c>
      <c r="H92" s="20">
        <f t="shared" si="41"/>
        <v>56.4</v>
      </c>
      <c r="I92" s="58"/>
      <c r="J92" s="64">
        <f t="shared" si="44"/>
        <v>0.30000000000000004</v>
      </c>
      <c r="K92" s="21">
        <f t="shared" ref="K92" si="59">(G92+H92)/(B88+D88)-1</f>
        <v>4.4444444444444509E-2</v>
      </c>
      <c r="L92" s="21">
        <f t="shared" ref="L92" si="60">(G92+H92)/B88-1</f>
        <v>0.35777777777777775</v>
      </c>
      <c r="M92" s="21">
        <f t="shared" ref="M92" si="61">(G92+H92)/(B83+D83)-1</f>
        <v>0.10588235294117654</v>
      </c>
      <c r="N92" s="21">
        <f t="shared" ref="N92" si="62">(H92+G92)/B83-1</f>
        <v>0.4376470588235295</v>
      </c>
    </row>
    <row r="93" spans="1:14" s="20" customFormat="1" ht="14.25">
      <c r="A93" s="46">
        <v>91</v>
      </c>
      <c r="B93" s="38">
        <f>攻击!D93</f>
        <v>190</v>
      </c>
      <c r="C93" s="8">
        <f t="shared" si="45"/>
        <v>0.3</v>
      </c>
      <c r="D93" s="38">
        <f t="shared" si="39"/>
        <v>57</v>
      </c>
      <c r="E93" s="58"/>
      <c r="F93" s="8">
        <f t="shared" si="46"/>
        <v>1</v>
      </c>
      <c r="G93" s="20">
        <f t="shared" si="40"/>
        <v>190</v>
      </c>
      <c r="H93" s="20">
        <f t="shared" si="41"/>
        <v>57</v>
      </c>
      <c r="I93" s="58"/>
      <c r="J93" s="64">
        <f t="shared" si="44"/>
        <v>0.30000000000000004</v>
      </c>
      <c r="K93" s="21"/>
      <c r="L93" s="64"/>
      <c r="M93" s="64"/>
      <c r="N93" s="64"/>
    </row>
    <row r="94" spans="1:14" s="20" customFormat="1" ht="14.25">
      <c r="A94" s="46">
        <v>92</v>
      </c>
      <c r="B94" s="38">
        <f>攻击!D94</f>
        <v>192</v>
      </c>
      <c r="C94" s="8">
        <f t="shared" si="45"/>
        <v>0.3</v>
      </c>
      <c r="D94" s="38">
        <f t="shared" si="39"/>
        <v>57.599999999999994</v>
      </c>
      <c r="E94" s="58"/>
      <c r="F94" s="8">
        <f t="shared" si="46"/>
        <v>1</v>
      </c>
      <c r="G94" s="20">
        <f t="shared" si="40"/>
        <v>192</v>
      </c>
      <c r="H94" s="20">
        <f t="shared" si="41"/>
        <v>57.599999999999994</v>
      </c>
      <c r="I94" s="58"/>
      <c r="J94" s="64">
        <f t="shared" si="44"/>
        <v>0.30000000000000004</v>
      </c>
      <c r="K94" s="21"/>
      <c r="L94" s="21"/>
      <c r="M94" s="21"/>
      <c r="N94" s="21"/>
    </row>
    <row r="95" spans="1:14" s="20" customFormat="1" ht="14.25">
      <c r="A95" s="46">
        <v>93</v>
      </c>
      <c r="B95" s="38">
        <f>攻击!D95</f>
        <v>194</v>
      </c>
      <c r="C95" s="8">
        <f t="shared" si="45"/>
        <v>0.3</v>
      </c>
      <c r="D95" s="38">
        <f t="shared" si="39"/>
        <v>58.199999999999996</v>
      </c>
      <c r="E95" s="58"/>
      <c r="F95" s="8">
        <f t="shared" si="46"/>
        <v>1</v>
      </c>
      <c r="G95" s="20">
        <f t="shared" si="40"/>
        <v>194</v>
      </c>
      <c r="H95" s="20">
        <f t="shared" si="41"/>
        <v>58.199999999999996</v>
      </c>
      <c r="I95" s="58"/>
      <c r="J95" s="64">
        <f t="shared" si="44"/>
        <v>0.30000000000000004</v>
      </c>
      <c r="K95" s="21"/>
      <c r="L95" s="21"/>
      <c r="M95" s="21"/>
      <c r="N95" s="21"/>
    </row>
    <row r="96" spans="1:14" s="20" customFormat="1" ht="14.25">
      <c r="A96" s="46">
        <v>94</v>
      </c>
      <c r="B96" s="38">
        <f>攻击!D96</f>
        <v>196</v>
      </c>
      <c r="C96" s="8">
        <f t="shared" si="45"/>
        <v>0.3</v>
      </c>
      <c r="D96" s="38">
        <f t="shared" si="39"/>
        <v>58.8</v>
      </c>
      <c r="E96" s="58"/>
      <c r="F96" s="8">
        <f t="shared" si="46"/>
        <v>1</v>
      </c>
      <c r="G96" s="20">
        <f t="shared" si="40"/>
        <v>196</v>
      </c>
      <c r="H96" s="20">
        <f t="shared" si="41"/>
        <v>58.8</v>
      </c>
      <c r="I96" s="58"/>
      <c r="J96" s="64">
        <f t="shared" si="44"/>
        <v>0.30000000000000004</v>
      </c>
      <c r="K96" s="21"/>
      <c r="L96" s="21"/>
      <c r="M96" s="21"/>
      <c r="N96" s="21"/>
    </row>
    <row r="97" spans="1:14" s="20" customFormat="1" ht="14.25">
      <c r="A97" s="46">
        <v>95</v>
      </c>
      <c r="B97" s="38">
        <f>攻击!D97</f>
        <v>198</v>
      </c>
      <c r="C97" s="8">
        <f t="shared" si="45"/>
        <v>0.3</v>
      </c>
      <c r="D97" s="38">
        <f t="shared" si="39"/>
        <v>59.4</v>
      </c>
      <c r="E97" s="58"/>
      <c r="F97" s="8">
        <f t="shared" si="46"/>
        <v>1</v>
      </c>
      <c r="G97" s="20">
        <f t="shared" si="40"/>
        <v>198</v>
      </c>
      <c r="H97" s="20">
        <f t="shared" si="41"/>
        <v>59.4</v>
      </c>
      <c r="I97" s="58"/>
      <c r="J97" s="64">
        <f t="shared" si="44"/>
        <v>0.29999999999999982</v>
      </c>
      <c r="K97" s="21">
        <f t="shared" ref="K97" si="63">(G97+H97)/(B93+D93)-1</f>
        <v>4.2105263157894646E-2</v>
      </c>
      <c r="L97" s="21">
        <f t="shared" ref="L97" si="64">(G97+H97)/B93-1</f>
        <v>0.35473684210526302</v>
      </c>
      <c r="M97" s="21"/>
      <c r="N97" s="21"/>
    </row>
    <row r="98" spans="1:14" s="20" customFormat="1" ht="14.25">
      <c r="A98" s="46">
        <v>96</v>
      </c>
      <c r="B98" s="38">
        <f>攻击!D98</f>
        <v>200</v>
      </c>
      <c r="C98" s="8">
        <f t="shared" si="45"/>
        <v>0.3</v>
      </c>
      <c r="D98" s="38">
        <f t="shared" si="39"/>
        <v>60</v>
      </c>
      <c r="E98" s="58"/>
      <c r="F98" s="8">
        <f t="shared" si="46"/>
        <v>1</v>
      </c>
      <c r="G98" s="20">
        <f t="shared" si="40"/>
        <v>200</v>
      </c>
      <c r="H98" s="20">
        <f t="shared" si="41"/>
        <v>60</v>
      </c>
      <c r="I98" s="58"/>
      <c r="J98" s="64">
        <f t="shared" si="44"/>
        <v>0.30000000000000004</v>
      </c>
      <c r="K98" s="21"/>
      <c r="L98" s="64"/>
      <c r="M98" s="21"/>
      <c r="N98" s="21"/>
    </row>
    <row r="99" spans="1:14" s="20" customFormat="1" ht="14.25">
      <c r="A99" s="46">
        <v>97</v>
      </c>
      <c r="B99" s="38">
        <f>攻击!D99</f>
        <v>202</v>
      </c>
      <c r="C99" s="8">
        <f t="shared" si="45"/>
        <v>0.3</v>
      </c>
      <c r="D99" s="38">
        <f t="shared" si="39"/>
        <v>60.599999999999994</v>
      </c>
      <c r="E99" s="58"/>
      <c r="F99" s="8">
        <f t="shared" si="46"/>
        <v>1</v>
      </c>
      <c r="G99" s="20">
        <f t="shared" ref="G99:G122" si="65">B99*F99</f>
        <v>202</v>
      </c>
      <c r="H99" s="20">
        <f t="shared" ref="H99:H122" si="66">G99*C99</f>
        <v>60.599999999999994</v>
      </c>
      <c r="I99" s="58"/>
      <c r="J99" s="64">
        <f t="shared" si="44"/>
        <v>0.30000000000000004</v>
      </c>
      <c r="K99" s="21"/>
      <c r="L99" s="21"/>
      <c r="M99" s="21"/>
      <c r="N99" s="21"/>
    </row>
    <row r="100" spans="1:14" s="20" customFormat="1" ht="14.25">
      <c r="A100" s="46">
        <v>98</v>
      </c>
      <c r="B100" s="38">
        <f>攻击!D100</f>
        <v>204</v>
      </c>
      <c r="C100" s="8">
        <f t="shared" si="45"/>
        <v>0.3</v>
      </c>
      <c r="D100" s="38">
        <f t="shared" si="39"/>
        <v>61.199999999999996</v>
      </c>
      <c r="E100" s="58"/>
      <c r="F100" s="8">
        <f t="shared" si="46"/>
        <v>1</v>
      </c>
      <c r="G100" s="20">
        <f t="shared" si="65"/>
        <v>204</v>
      </c>
      <c r="H100" s="20">
        <f t="shared" si="66"/>
        <v>61.199999999999996</v>
      </c>
      <c r="I100" s="58"/>
      <c r="J100" s="64">
        <f t="shared" si="44"/>
        <v>0.30000000000000004</v>
      </c>
      <c r="K100" s="21"/>
      <c r="L100" s="21"/>
      <c r="M100" s="21"/>
      <c r="N100" s="21"/>
    </row>
    <row r="101" spans="1:14" s="20" customFormat="1" ht="14.25">
      <c r="A101" s="46">
        <v>99</v>
      </c>
      <c r="B101" s="38">
        <f>攻击!D101</f>
        <v>206</v>
      </c>
      <c r="C101" s="8">
        <f t="shared" si="45"/>
        <v>0.3</v>
      </c>
      <c r="D101" s="38">
        <f t="shared" si="39"/>
        <v>61.8</v>
      </c>
      <c r="E101" s="58"/>
      <c r="F101" s="8">
        <f t="shared" si="46"/>
        <v>1</v>
      </c>
      <c r="G101" s="20">
        <f t="shared" si="65"/>
        <v>206</v>
      </c>
      <c r="H101" s="20">
        <f t="shared" si="66"/>
        <v>61.8</v>
      </c>
      <c r="I101" s="58"/>
      <c r="J101" s="64">
        <f t="shared" si="44"/>
        <v>0.30000000000000004</v>
      </c>
      <c r="K101" s="21"/>
      <c r="L101" s="21"/>
      <c r="M101" s="21"/>
      <c r="N101" s="21"/>
    </row>
    <row r="102" spans="1:14" s="20" customFormat="1" ht="14.25">
      <c r="A102" s="46">
        <v>100</v>
      </c>
      <c r="B102" s="38">
        <f>攻击!D102</f>
        <v>208</v>
      </c>
      <c r="C102" s="8">
        <f t="shared" si="45"/>
        <v>0.3</v>
      </c>
      <c r="D102" s="38">
        <f t="shared" si="39"/>
        <v>62.4</v>
      </c>
      <c r="E102" s="58"/>
      <c r="F102" s="8">
        <f t="shared" si="46"/>
        <v>1</v>
      </c>
      <c r="G102" s="20">
        <f t="shared" si="65"/>
        <v>208</v>
      </c>
      <c r="H102" s="20">
        <f t="shared" si="66"/>
        <v>62.4</v>
      </c>
      <c r="I102" s="58"/>
      <c r="J102" s="64">
        <f t="shared" si="44"/>
        <v>0.29999999999999982</v>
      </c>
      <c r="K102" s="21">
        <f t="shared" ref="K102" si="67">(G102+H102)/(B98+D98)-1</f>
        <v>3.9999999999999813E-2</v>
      </c>
      <c r="L102" s="21">
        <f t="shared" ref="L102" si="68">(G102+H102)/B98-1</f>
        <v>0.35199999999999987</v>
      </c>
      <c r="M102" s="21">
        <f t="shared" ref="M102" si="69">(G102+H102)/(B93+D93)-1</f>
        <v>9.4736842105263008E-2</v>
      </c>
      <c r="N102" s="21">
        <f t="shared" ref="N102" si="70">(H102+G102)/B93-1</f>
        <v>0.42315789473684196</v>
      </c>
    </row>
    <row r="103" spans="1:14" s="20" customFormat="1" ht="14.25">
      <c r="A103" s="46">
        <v>101</v>
      </c>
      <c r="B103" s="38">
        <f>攻击!D103</f>
        <v>210</v>
      </c>
      <c r="C103" s="8">
        <f t="shared" si="45"/>
        <v>0.3</v>
      </c>
      <c r="D103" s="38">
        <f t="shared" si="39"/>
        <v>63</v>
      </c>
      <c r="E103" s="58"/>
      <c r="F103" s="8">
        <f t="shared" si="46"/>
        <v>1</v>
      </c>
      <c r="G103" s="20">
        <f t="shared" si="65"/>
        <v>210</v>
      </c>
      <c r="H103" s="20">
        <f t="shared" si="66"/>
        <v>63</v>
      </c>
      <c r="I103" s="58"/>
      <c r="J103" s="64">
        <f t="shared" si="44"/>
        <v>0.30000000000000004</v>
      </c>
      <c r="K103" s="21"/>
      <c r="L103" s="64"/>
      <c r="M103" s="64"/>
      <c r="N103" s="64"/>
    </row>
    <row r="104" spans="1:14" s="20" customFormat="1" ht="14.25">
      <c r="A104" s="46">
        <v>102</v>
      </c>
      <c r="B104" s="38">
        <f>攻击!D104</f>
        <v>212</v>
      </c>
      <c r="C104" s="8">
        <f t="shared" si="45"/>
        <v>0.3</v>
      </c>
      <c r="D104" s="38">
        <f t="shared" si="39"/>
        <v>63.599999999999994</v>
      </c>
      <c r="E104" s="58"/>
      <c r="F104" s="8">
        <f t="shared" si="46"/>
        <v>1</v>
      </c>
      <c r="G104" s="20">
        <f t="shared" si="65"/>
        <v>212</v>
      </c>
      <c r="H104" s="20">
        <f t="shared" si="66"/>
        <v>63.599999999999994</v>
      </c>
      <c r="I104" s="58"/>
      <c r="J104" s="64">
        <f t="shared" si="44"/>
        <v>0.30000000000000004</v>
      </c>
      <c r="K104" s="21"/>
      <c r="L104" s="21"/>
      <c r="M104" s="21"/>
      <c r="N104" s="21"/>
    </row>
    <row r="105" spans="1:14" s="20" customFormat="1" ht="14.25">
      <c r="A105" s="46">
        <v>103</v>
      </c>
      <c r="B105" s="38">
        <f>攻击!D105</f>
        <v>214</v>
      </c>
      <c r="C105" s="8">
        <f t="shared" si="45"/>
        <v>0.3</v>
      </c>
      <c r="D105" s="38">
        <f t="shared" si="39"/>
        <v>64.2</v>
      </c>
      <c r="E105" s="58"/>
      <c r="F105" s="8">
        <f t="shared" si="46"/>
        <v>1</v>
      </c>
      <c r="G105" s="20">
        <f t="shared" si="65"/>
        <v>214</v>
      </c>
      <c r="H105" s="20">
        <f t="shared" si="66"/>
        <v>64.2</v>
      </c>
      <c r="I105" s="58"/>
      <c r="J105" s="64">
        <f t="shared" si="44"/>
        <v>0.30000000000000004</v>
      </c>
      <c r="K105" s="21"/>
      <c r="L105" s="21"/>
      <c r="M105" s="21"/>
      <c r="N105" s="21"/>
    </row>
    <row r="106" spans="1:14" s="20" customFormat="1" ht="14.25">
      <c r="A106" s="46">
        <v>104</v>
      </c>
      <c r="B106" s="38">
        <f>攻击!D106</f>
        <v>216</v>
      </c>
      <c r="C106" s="8">
        <f t="shared" si="45"/>
        <v>0.3</v>
      </c>
      <c r="D106" s="38">
        <f t="shared" si="39"/>
        <v>64.8</v>
      </c>
      <c r="E106" s="58"/>
      <c r="F106" s="8">
        <f t="shared" si="46"/>
        <v>1</v>
      </c>
      <c r="G106" s="20">
        <f t="shared" si="65"/>
        <v>216</v>
      </c>
      <c r="H106" s="20">
        <f t="shared" si="66"/>
        <v>64.8</v>
      </c>
      <c r="I106" s="58"/>
      <c r="J106" s="64">
        <f t="shared" si="44"/>
        <v>0.30000000000000004</v>
      </c>
      <c r="K106" s="21"/>
      <c r="L106" s="21"/>
      <c r="M106" s="21"/>
      <c r="N106" s="21"/>
    </row>
    <row r="107" spans="1:14" s="20" customFormat="1" ht="14.25">
      <c r="A107" s="46">
        <v>105</v>
      </c>
      <c r="B107" s="38">
        <f>攻击!D107</f>
        <v>218</v>
      </c>
      <c r="C107" s="8">
        <f t="shared" si="45"/>
        <v>0.3</v>
      </c>
      <c r="D107" s="38">
        <f t="shared" si="39"/>
        <v>65.399999999999991</v>
      </c>
      <c r="E107" s="58"/>
      <c r="F107" s="8">
        <f t="shared" si="46"/>
        <v>1</v>
      </c>
      <c r="G107" s="20">
        <f t="shared" si="65"/>
        <v>218</v>
      </c>
      <c r="H107" s="20">
        <f t="shared" si="66"/>
        <v>65.399999999999991</v>
      </c>
      <c r="I107" s="58"/>
      <c r="J107" s="64">
        <f t="shared" si="44"/>
        <v>0.29999999999999982</v>
      </c>
      <c r="K107" s="21">
        <f t="shared" ref="K107" si="71">(G107+H107)/(B103+D103)-1</f>
        <v>3.809523809523796E-2</v>
      </c>
      <c r="L107" s="21">
        <f t="shared" ref="L107" si="72">(G107+H107)/B103-1</f>
        <v>0.34952380952380935</v>
      </c>
      <c r="M107" s="21"/>
      <c r="N107" s="21"/>
    </row>
    <row r="108" spans="1:14" s="20" customFormat="1" ht="14.25">
      <c r="A108" s="46">
        <v>106</v>
      </c>
      <c r="B108" s="38">
        <f>攻击!D108</f>
        <v>220</v>
      </c>
      <c r="C108" s="8">
        <f t="shared" si="45"/>
        <v>0.3</v>
      </c>
      <c r="D108" s="38">
        <f t="shared" si="39"/>
        <v>66</v>
      </c>
      <c r="E108" s="58"/>
      <c r="F108" s="8">
        <f t="shared" si="46"/>
        <v>1</v>
      </c>
      <c r="G108" s="20">
        <f t="shared" si="65"/>
        <v>220</v>
      </c>
      <c r="H108" s="20">
        <f t="shared" si="66"/>
        <v>66</v>
      </c>
      <c r="I108" s="58"/>
      <c r="J108" s="64">
        <f t="shared" si="44"/>
        <v>0.30000000000000004</v>
      </c>
      <c r="K108" s="21"/>
      <c r="L108" s="64"/>
      <c r="M108" s="21"/>
      <c r="N108" s="21"/>
    </row>
    <row r="109" spans="1:14" s="20" customFormat="1" ht="14.25">
      <c r="A109" s="46">
        <v>107</v>
      </c>
      <c r="B109" s="38">
        <f>攻击!D109</f>
        <v>222</v>
      </c>
      <c r="C109" s="8">
        <f t="shared" si="45"/>
        <v>0.3</v>
      </c>
      <c r="D109" s="38">
        <f t="shared" si="39"/>
        <v>66.599999999999994</v>
      </c>
      <c r="E109" s="58"/>
      <c r="F109" s="8">
        <f t="shared" si="46"/>
        <v>1</v>
      </c>
      <c r="G109" s="20">
        <f t="shared" si="65"/>
        <v>222</v>
      </c>
      <c r="H109" s="20">
        <f t="shared" si="66"/>
        <v>66.599999999999994</v>
      </c>
      <c r="I109" s="58"/>
      <c r="J109" s="64">
        <f t="shared" si="44"/>
        <v>0.30000000000000004</v>
      </c>
      <c r="K109" s="21"/>
      <c r="L109" s="21"/>
      <c r="M109" s="21"/>
      <c r="N109" s="21"/>
    </row>
    <row r="110" spans="1:14" s="20" customFormat="1" ht="14.25">
      <c r="A110" s="46">
        <v>108</v>
      </c>
      <c r="B110" s="38">
        <f>攻击!D110</f>
        <v>224</v>
      </c>
      <c r="C110" s="8">
        <f t="shared" si="45"/>
        <v>0.3</v>
      </c>
      <c r="D110" s="38">
        <f t="shared" si="39"/>
        <v>67.2</v>
      </c>
      <c r="E110" s="58"/>
      <c r="F110" s="8">
        <f t="shared" si="46"/>
        <v>1</v>
      </c>
      <c r="G110" s="20">
        <f t="shared" si="65"/>
        <v>224</v>
      </c>
      <c r="H110" s="20">
        <f t="shared" si="66"/>
        <v>67.2</v>
      </c>
      <c r="I110" s="58"/>
      <c r="J110" s="64">
        <f t="shared" si="44"/>
        <v>0.30000000000000004</v>
      </c>
      <c r="K110" s="21"/>
      <c r="L110" s="21"/>
      <c r="M110" s="21"/>
      <c r="N110" s="21"/>
    </row>
    <row r="111" spans="1:14" s="20" customFormat="1" ht="14.25">
      <c r="A111" s="46">
        <v>109</v>
      </c>
      <c r="B111" s="38">
        <f>攻击!D111</f>
        <v>226</v>
      </c>
      <c r="C111" s="8">
        <f t="shared" si="45"/>
        <v>0.3</v>
      </c>
      <c r="D111" s="38">
        <f t="shared" si="39"/>
        <v>67.8</v>
      </c>
      <c r="E111" s="58"/>
      <c r="F111" s="8">
        <f t="shared" si="46"/>
        <v>1</v>
      </c>
      <c r="G111" s="20">
        <f t="shared" si="65"/>
        <v>226</v>
      </c>
      <c r="H111" s="20">
        <f t="shared" si="66"/>
        <v>67.8</v>
      </c>
      <c r="I111" s="58"/>
      <c r="J111" s="64">
        <f t="shared" si="44"/>
        <v>0.30000000000000004</v>
      </c>
      <c r="K111" s="21"/>
      <c r="L111" s="21"/>
      <c r="M111" s="21"/>
      <c r="N111" s="21"/>
    </row>
    <row r="112" spans="1:14" s="20" customFormat="1" ht="14.25">
      <c r="A112" s="46">
        <v>110</v>
      </c>
      <c r="B112" s="38">
        <f>攻击!D112</f>
        <v>228</v>
      </c>
      <c r="C112" s="8">
        <f t="shared" si="45"/>
        <v>0.3</v>
      </c>
      <c r="D112" s="38">
        <f t="shared" si="39"/>
        <v>68.399999999999991</v>
      </c>
      <c r="E112" s="58"/>
      <c r="F112" s="8">
        <f t="shared" si="46"/>
        <v>1</v>
      </c>
      <c r="G112" s="20">
        <f t="shared" si="65"/>
        <v>228</v>
      </c>
      <c r="H112" s="20">
        <f t="shared" si="66"/>
        <v>68.399999999999991</v>
      </c>
      <c r="I112" s="58"/>
      <c r="J112" s="64">
        <f t="shared" si="44"/>
        <v>0.29999999999999982</v>
      </c>
      <c r="K112" s="21">
        <f t="shared" ref="K112" si="73">(G112+H112)/(B108+D108)-1</f>
        <v>3.6363636363636376E-2</v>
      </c>
      <c r="L112" s="21">
        <f t="shared" ref="L112" si="74">(G112+H112)/B108-1</f>
        <v>0.34727272727272718</v>
      </c>
      <c r="M112" s="21">
        <f t="shared" ref="M112" si="75">(G112+H112)/(B103+D103)-1</f>
        <v>8.5714285714285632E-2</v>
      </c>
      <c r="N112" s="21">
        <f t="shared" ref="N112" si="76">(H112+G112)/B103-1</f>
        <v>0.41142857142857125</v>
      </c>
    </row>
    <row r="113" spans="1:14" s="20" customFormat="1" ht="14.25">
      <c r="A113" s="46">
        <v>111</v>
      </c>
      <c r="B113" s="38">
        <f>攻击!D113</f>
        <v>230</v>
      </c>
      <c r="C113" s="8">
        <f t="shared" si="45"/>
        <v>0.3</v>
      </c>
      <c r="D113" s="38">
        <f t="shared" si="39"/>
        <v>69</v>
      </c>
      <c r="E113" s="58"/>
      <c r="F113" s="8">
        <f t="shared" si="46"/>
        <v>1</v>
      </c>
      <c r="G113" s="20">
        <f t="shared" si="65"/>
        <v>230</v>
      </c>
      <c r="H113" s="20">
        <f t="shared" si="66"/>
        <v>69</v>
      </c>
      <c r="I113" s="58"/>
      <c r="J113" s="64">
        <f t="shared" si="44"/>
        <v>0.30000000000000004</v>
      </c>
      <c r="K113" s="21"/>
      <c r="L113" s="64"/>
      <c r="M113" s="64"/>
      <c r="N113" s="64"/>
    </row>
    <row r="114" spans="1:14" s="20" customFormat="1" ht="14.25">
      <c r="A114" s="46">
        <v>112</v>
      </c>
      <c r="B114" s="38">
        <f>攻击!D114</f>
        <v>232</v>
      </c>
      <c r="C114" s="8">
        <f t="shared" si="45"/>
        <v>0.3</v>
      </c>
      <c r="D114" s="38">
        <f t="shared" si="39"/>
        <v>69.599999999999994</v>
      </c>
      <c r="E114" s="58"/>
      <c r="F114" s="8">
        <f t="shared" si="46"/>
        <v>1</v>
      </c>
      <c r="G114" s="20">
        <f t="shared" si="65"/>
        <v>232</v>
      </c>
      <c r="H114" s="20">
        <f t="shared" si="66"/>
        <v>69.599999999999994</v>
      </c>
      <c r="I114" s="58"/>
      <c r="J114" s="64">
        <f t="shared" si="44"/>
        <v>0.30000000000000004</v>
      </c>
      <c r="K114" s="21"/>
      <c r="L114" s="21"/>
      <c r="M114" s="21"/>
      <c r="N114" s="21"/>
    </row>
    <row r="115" spans="1:14" s="20" customFormat="1" ht="14.25">
      <c r="A115" s="46">
        <v>113</v>
      </c>
      <c r="B115" s="38">
        <f>攻击!D115</f>
        <v>234</v>
      </c>
      <c r="C115" s="8">
        <f t="shared" si="45"/>
        <v>0.3</v>
      </c>
      <c r="D115" s="38">
        <f t="shared" si="39"/>
        <v>70.2</v>
      </c>
      <c r="E115" s="58"/>
      <c r="F115" s="8">
        <f t="shared" si="46"/>
        <v>1</v>
      </c>
      <c r="G115" s="20">
        <f t="shared" si="65"/>
        <v>234</v>
      </c>
      <c r="H115" s="20">
        <f t="shared" si="66"/>
        <v>70.2</v>
      </c>
      <c r="I115" s="58"/>
      <c r="J115" s="64">
        <f t="shared" si="44"/>
        <v>0.30000000000000004</v>
      </c>
      <c r="K115" s="21"/>
      <c r="L115" s="21"/>
      <c r="M115" s="21"/>
      <c r="N115" s="21"/>
    </row>
    <row r="116" spans="1:14" s="20" customFormat="1" ht="14.25">
      <c r="A116" s="46">
        <v>114</v>
      </c>
      <c r="B116" s="38">
        <f>攻击!D116</f>
        <v>236</v>
      </c>
      <c r="C116" s="8">
        <f t="shared" si="45"/>
        <v>0.3</v>
      </c>
      <c r="D116" s="38">
        <f t="shared" si="39"/>
        <v>70.8</v>
      </c>
      <c r="E116" s="58"/>
      <c r="F116" s="8">
        <f t="shared" si="46"/>
        <v>1</v>
      </c>
      <c r="G116" s="20">
        <f t="shared" si="65"/>
        <v>236</v>
      </c>
      <c r="H116" s="20">
        <f t="shared" si="66"/>
        <v>70.8</v>
      </c>
      <c r="I116" s="58"/>
      <c r="J116" s="64">
        <f t="shared" si="44"/>
        <v>0.30000000000000004</v>
      </c>
      <c r="K116" s="21"/>
      <c r="L116" s="21"/>
      <c r="M116" s="21"/>
      <c r="N116" s="21"/>
    </row>
    <row r="117" spans="1:14" s="20" customFormat="1" ht="14.25">
      <c r="A117" s="46">
        <v>115</v>
      </c>
      <c r="B117" s="38">
        <f>攻击!D117</f>
        <v>238</v>
      </c>
      <c r="C117" s="8">
        <f t="shared" si="45"/>
        <v>0.3</v>
      </c>
      <c r="D117" s="38">
        <f t="shared" si="39"/>
        <v>71.399999999999991</v>
      </c>
      <c r="E117" s="58"/>
      <c r="F117" s="8">
        <f t="shared" si="46"/>
        <v>1</v>
      </c>
      <c r="G117" s="20">
        <f t="shared" si="65"/>
        <v>238</v>
      </c>
      <c r="H117" s="20">
        <f t="shared" si="66"/>
        <v>71.399999999999991</v>
      </c>
      <c r="I117" s="58"/>
      <c r="J117" s="64">
        <f t="shared" si="44"/>
        <v>0.29999999999999982</v>
      </c>
      <c r="K117" s="21">
        <f t="shared" ref="K117" si="77">(G117+H117)/(B113+D113)-1</f>
        <v>3.4782608695652195E-2</v>
      </c>
      <c r="L117" s="21">
        <f t="shared" ref="L117" si="78">(G117+H117)/B113-1</f>
        <v>0.3452173913043477</v>
      </c>
      <c r="M117" s="21"/>
      <c r="N117" s="21"/>
    </row>
    <row r="118" spans="1:14" s="20" customFormat="1" ht="14.25">
      <c r="A118" s="46">
        <v>116</v>
      </c>
      <c r="B118" s="38">
        <f>攻击!D118</f>
        <v>240</v>
      </c>
      <c r="C118" s="8">
        <f t="shared" si="45"/>
        <v>0.3</v>
      </c>
      <c r="D118" s="38">
        <f t="shared" si="39"/>
        <v>72</v>
      </c>
      <c r="E118" s="58"/>
      <c r="F118" s="8">
        <f t="shared" si="46"/>
        <v>1</v>
      </c>
      <c r="G118" s="20">
        <f t="shared" si="65"/>
        <v>240</v>
      </c>
      <c r="H118" s="20">
        <f t="shared" si="66"/>
        <v>72</v>
      </c>
      <c r="I118" s="58"/>
      <c r="J118" s="64">
        <f t="shared" si="44"/>
        <v>0.30000000000000004</v>
      </c>
      <c r="K118" s="21"/>
      <c r="L118" s="64"/>
      <c r="M118" s="21"/>
      <c r="N118" s="21"/>
    </row>
    <row r="119" spans="1:14" s="20" customFormat="1" ht="14.25">
      <c r="A119" s="46">
        <v>117</v>
      </c>
      <c r="B119" s="38">
        <f>攻击!D119</f>
        <v>242</v>
      </c>
      <c r="C119" s="8">
        <f t="shared" si="45"/>
        <v>0.3</v>
      </c>
      <c r="D119" s="38">
        <f t="shared" si="39"/>
        <v>72.599999999999994</v>
      </c>
      <c r="E119" s="58"/>
      <c r="F119" s="8">
        <f t="shared" si="46"/>
        <v>1</v>
      </c>
      <c r="G119" s="20">
        <f t="shared" si="65"/>
        <v>242</v>
      </c>
      <c r="H119" s="20">
        <f t="shared" si="66"/>
        <v>72.599999999999994</v>
      </c>
      <c r="I119" s="58"/>
      <c r="J119" s="64">
        <f t="shared" si="44"/>
        <v>0.30000000000000004</v>
      </c>
      <c r="K119" s="21"/>
      <c r="L119" s="21"/>
      <c r="M119" s="21"/>
      <c r="N119" s="21"/>
    </row>
    <row r="120" spans="1:14" s="20" customFormat="1" ht="14.25">
      <c r="A120" s="46">
        <v>118</v>
      </c>
      <c r="B120" s="38">
        <f>攻击!D120</f>
        <v>244</v>
      </c>
      <c r="C120" s="8">
        <f t="shared" si="45"/>
        <v>0.3</v>
      </c>
      <c r="D120" s="38">
        <f t="shared" si="39"/>
        <v>73.2</v>
      </c>
      <c r="E120" s="58"/>
      <c r="F120" s="8">
        <f t="shared" si="46"/>
        <v>1</v>
      </c>
      <c r="G120" s="20">
        <f t="shared" si="65"/>
        <v>244</v>
      </c>
      <c r="H120" s="20">
        <f t="shared" si="66"/>
        <v>73.2</v>
      </c>
      <c r="I120" s="58"/>
      <c r="J120" s="64">
        <f t="shared" si="44"/>
        <v>0.30000000000000004</v>
      </c>
      <c r="K120" s="21"/>
      <c r="L120" s="21"/>
      <c r="M120" s="21"/>
      <c r="N120" s="21"/>
    </row>
    <row r="121" spans="1:14" s="20" customFormat="1" ht="14.25">
      <c r="A121" s="46">
        <v>119</v>
      </c>
      <c r="B121" s="38">
        <f>攻击!D121</f>
        <v>246</v>
      </c>
      <c r="C121" s="8">
        <f t="shared" si="45"/>
        <v>0.3</v>
      </c>
      <c r="D121" s="38">
        <f t="shared" si="39"/>
        <v>73.8</v>
      </c>
      <c r="E121" s="58"/>
      <c r="F121" s="8">
        <f t="shared" si="46"/>
        <v>1</v>
      </c>
      <c r="G121" s="20">
        <f t="shared" si="65"/>
        <v>246</v>
      </c>
      <c r="H121" s="20">
        <f t="shared" si="66"/>
        <v>73.8</v>
      </c>
      <c r="I121" s="58"/>
      <c r="J121" s="64">
        <f t="shared" si="44"/>
        <v>0.30000000000000004</v>
      </c>
      <c r="K121" s="21"/>
      <c r="L121" s="21"/>
      <c r="M121" s="21"/>
      <c r="N121" s="21"/>
    </row>
    <row r="122" spans="1:14" s="20" customFormat="1" ht="14.25">
      <c r="A122" s="46">
        <v>120</v>
      </c>
      <c r="B122" s="38">
        <f>攻击!D122</f>
        <v>248</v>
      </c>
      <c r="C122" s="8">
        <f t="shared" si="45"/>
        <v>0.3</v>
      </c>
      <c r="D122" s="38">
        <f t="shared" si="39"/>
        <v>74.399999999999991</v>
      </c>
      <c r="E122" s="58"/>
      <c r="F122" s="8">
        <f t="shared" si="46"/>
        <v>1</v>
      </c>
      <c r="G122" s="20">
        <f t="shared" si="65"/>
        <v>248</v>
      </c>
      <c r="H122" s="20">
        <f t="shared" si="66"/>
        <v>74.399999999999991</v>
      </c>
      <c r="I122" s="58"/>
      <c r="J122" s="64">
        <f t="shared" si="44"/>
        <v>0.29999999999999982</v>
      </c>
      <c r="K122" s="21">
        <f t="shared" ref="K122" si="79">(G122+H122)/(B118+D118)-1</f>
        <v>3.3333333333333215E-2</v>
      </c>
      <c r="L122" s="21">
        <f t="shared" ref="L122" si="80">(G122+H122)/B118-1</f>
        <v>0.34333333333333327</v>
      </c>
      <c r="M122" s="21">
        <f t="shared" ref="M122" si="81">(G122+H122)/(B113+D113)-1</f>
        <v>7.8260869565217384E-2</v>
      </c>
      <c r="N122" s="21">
        <f t="shared" ref="N122" si="82">(H122+G122)/B113-1</f>
        <v>0.4017391304347826</v>
      </c>
    </row>
  </sheetData>
  <mergeCells count="4">
    <mergeCell ref="A1:A2"/>
    <mergeCell ref="B1:D1"/>
    <mergeCell ref="F1:H1"/>
    <mergeCell ref="J1:N1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1"/>
  <sheetViews>
    <sheetView tabSelected="1" zoomScale="130" zoomScaleNormal="130" workbookViewId="0">
      <selection activeCell="M22" sqref="M22"/>
    </sheetView>
  </sheetViews>
  <sheetFormatPr defaultColWidth="6.375" defaultRowHeight="12.75"/>
  <cols>
    <col min="1" max="1" width="4.75" style="23" bestFit="1" customWidth="1"/>
    <col min="2" max="2" width="6.375" style="22"/>
    <col min="3" max="3" width="8" style="22" bestFit="1" customWidth="1"/>
    <col min="4" max="4" width="4.75" style="22" bestFit="1" customWidth="1"/>
    <col min="5" max="5" width="4.25" style="59" customWidth="1"/>
    <col min="6" max="6" width="9.625" style="22" bestFit="1" customWidth="1"/>
    <col min="7" max="7" width="6.375" style="22"/>
    <col min="8" max="8" width="4.75" style="22" bestFit="1" customWidth="1"/>
    <col min="9" max="9" width="4.25" style="59" customWidth="1"/>
    <col min="10" max="11" width="11.375" style="24" customWidth="1"/>
    <col min="12" max="12" width="5.625" style="24" bestFit="1" customWidth="1"/>
    <col min="13" max="13" width="7.25" style="24" customWidth="1"/>
    <col min="14" max="14" width="6.5" style="24" bestFit="1" customWidth="1"/>
    <col min="15" max="15" width="8.125" style="24" bestFit="1" customWidth="1"/>
    <col min="16" max="16384" width="6.375" style="22"/>
  </cols>
  <sheetData>
    <row r="1" spans="1:15" s="60" customFormat="1" ht="15" customHeight="1" thickBot="1">
      <c r="A1" s="114" t="s">
        <v>0</v>
      </c>
      <c r="B1" s="103" t="s">
        <v>84</v>
      </c>
      <c r="C1" s="104"/>
      <c r="D1" s="105"/>
      <c r="E1" s="59"/>
      <c r="F1" s="116" t="s">
        <v>81</v>
      </c>
      <c r="G1" s="117"/>
      <c r="H1" s="118"/>
      <c r="I1" s="59"/>
      <c r="J1" s="119" t="s">
        <v>75</v>
      </c>
      <c r="K1" s="120"/>
      <c r="L1" s="120"/>
      <c r="M1" s="120"/>
      <c r="N1" s="120"/>
      <c r="O1" s="121"/>
    </row>
    <row r="2" spans="1:15" s="43" customFormat="1">
      <c r="A2" s="115"/>
      <c r="B2" s="43" t="s">
        <v>61</v>
      </c>
      <c r="C2" s="43" t="s">
        <v>70</v>
      </c>
      <c r="D2" s="43" t="s">
        <v>69</v>
      </c>
      <c r="E2" s="57"/>
      <c r="F2" s="43" t="s">
        <v>82</v>
      </c>
      <c r="G2" s="43" t="s">
        <v>61</v>
      </c>
      <c r="H2" s="43" t="s">
        <v>69</v>
      </c>
      <c r="I2" s="57"/>
      <c r="J2" s="44" t="s">
        <v>83</v>
      </c>
      <c r="K2" s="44" t="s">
        <v>85</v>
      </c>
      <c r="L2" s="44" t="s">
        <v>89</v>
      </c>
      <c r="M2" s="44" t="s">
        <v>87</v>
      </c>
      <c r="N2" s="44" t="s">
        <v>90</v>
      </c>
      <c r="O2" s="44" t="s">
        <v>88</v>
      </c>
    </row>
    <row r="3" spans="1:15" s="20" customFormat="1" ht="14.25">
      <c r="A3" s="46">
        <v>1</v>
      </c>
      <c r="B3" s="20">
        <f>攻击!D3</f>
        <v>10</v>
      </c>
      <c r="C3" s="9">
        <v>0.3</v>
      </c>
      <c r="D3" s="20">
        <f t="shared" ref="D3:D34" si="0">B3*C3</f>
        <v>3</v>
      </c>
      <c r="E3" s="58"/>
      <c r="F3" s="9">
        <v>0.8</v>
      </c>
      <c r="G3" s="20">
        <f>B3*F3</f>
        <v>8</v>
      </c>
      <c r="H3" s="20">
        <f t="shared" ref="H3:H34" si="1">G3*C3</f>
        <v>2.4</v>
      </c>
      <c r="I3" s="58"/>
      <c r="J3" s="21">
        <f t="shared" ref="J3" si="2">(G3+H3)/B3</f>
        <v>1.04</v>
      </c>
      <c r="K3" s="21">
        <f>G3/(D3+B3)</f>
        <v>0.61538461538461542</v>
      </c>
      <c r="L3" s="21"/>
      <c r="M3" s="21"/>
      <c r="N3" s="21"/>
      <c r="O3" s="21"/>
    </row>
    <row r="4" spans="1:15" s="20" customFormat="1" ht="14.25">
      <c r="A4" s="46">
        <v>2</v>
      </c>
      <c r="B4" s="20">
        <f>攻击!D4</f>
        <v>12</v>
      </c>
      <c r="C4" s="8">
        <f>C3</f>
        <v>0.3</v>
      </c>
      <c r="D4" s="20">
        <f t="shared" si="0"/>
        <v>3.5999999999999996</v>
      </c>
      <c r="E4" s="58"/>
      <c r="F4" s="8">
        <f>F3</f>
        <v>0.8</v>
      </c>
      <c r="G4" s="20">
        <f t="shared" ref="G4:G67" si="3">B4*F4</f>
        <v>9.6000000000000014</v>
      </c>
      <c r="H4" s="20">
        <f t="shared" si="1"/>
        <v>2.8800000000000003</v>
      </c>
      <c r="I4" s="58"/>
      <c r="J4" s="21">
        <f t="shared" ref="J4:J67" si="4">(G4+H4)/B4</f>
        <v>1.0400000000000003</v>
      </c>
      <c r="K4" s="21">
        <f t="shared" ref="K4:K67" si="5">G4/(D4+B4)</f>
        <v>0.61538461538461553</v>
      </c>
      <c r="L4" s="21"/>
      <c r="M4" s="21"/>
      <c r="N4" s="21"/>
      <c r="O4" s="21"/>
    </row>
    <row r="5" spans="1:15" s="20" customFormat="1" ht="14.25">
      <c r="A5" s="46">
        <v>3</v>
      </c>
      <c r="B5" s="20">
        <f>攻击!D5</f>
        <v>14</v>
      </c>
      <c r="C5" s="8">
        <f t="shared" ref="C5:C68" si="6">C4</f>
        <v>0.3</v>
      </c>
      <c r="D5" s="20">
        <f t="shared" si="0"/>
        <v>4.2</v>
      </c>
      <c r="E5" s="58"/>
      <c r="F5" s="8">
        <f t="shared" ref="F5:F68" si="7">F4</f>
        <v>0.8</v>
      </c>
      <c r="G5" s="20">
        <f t="shared" si="3"/>
        <v>11.200000000000001</v>
      </c>
      <c r="H5" s="20">
        <f t="shared" si="1"/>
        <v>3.3600000000000003</v>
      </c>
      <c r="I5" s="58"/>
      <c r="J5" s="21">
        <f t="shared" si="4"/>
        <v>1.0400000000000003</v>
      </c>
      <c r="K5" s="21">
        <f t="shared" si="5"/>
        <v>0.61538461538461542</v>
      </c>
      <c r="L5" s="21"/>
      <c r="M5" s="21"/>
      <c r="N5" s="21"/>
      <c r="O5" s="21"/>
    </row>
    <row r="6" spans="1:15" s="20" customFormat="1" ht="14.25">
      <c r="A6" s="46">
        <v>4</v>
      </c>
      <c r="B6" s="20">
        <f>攻击!D6</f>
        <v>16</v>
      </c>
      <c r="C6" s="8">
        <f t="shared" si="6"/>
        <v>0.3</v>
      </c>
      <c r="D6" s="20">
        <f t="shared" si="0"/>
        <v>4.8</v>
      </c>
      <c r="E6" s="58"/>
      <c r="F6" s="8">
        <f t="shared" si="7"/>
        <v>0.8</v>
      </c>
      <c r="G6" s="20">
        <f t="shared" si="3"/>
        <v>12.8</v>
      </c>
      <c r="H6" s="20">
        <f t="shared" si="1"/>
        <v>3.84</v>
      </c>
      <c r="I6" s="58"/>
      <c r="J6" s="21">
        <f t="shared" si="4"/>
        <v>1.04</v>
      </c>
      <c r="K6" s="21">
        <f t="shared" si="5"/>
        <v>0.61538461538461542</v>
      </c>
      <c r="L6" s="21"/>
      <c r="M6" s="21"/>
      <c r="N6" s="21"/>
      <c r="O6" s="21"/>
    </row>
    <row r="7" spans="1:15" s="20" customFormat="1" ht="14.25">
      <c r="A7" s="46">
        <v>5</v>
      </c>
      <c r="B7" s="20">
        <f>攻击!D7</f>
        <v>18</v>
      </c>
      <c r="C7" s="8">
        <f t="shared" si="6"/>
        <v>0.3</v>
      </c>
      <c r="D7" s="20">
        <f t="shared" si="0"/>
        <v>5.3999999999999995</v>
      </c>
      <c r="E7" s="58"/>
      <c r="F7" s="8">
        <f t="shared" si="7"/>
        <v>0.8</v>
      </c>
      <c r="G7" s="20">
        <f t="shared" si="3"/>
        <v>14.4</v>
      </c>
      <c r="H7" s="20">
        <f t="shared" si="1"/>
        <v>4.32</v>
      </c>
      <c r="I7" s="58"/>
      <c r="J7" s="21">
        <f t="shared" si="4"/>
        <v>1.04</v>
      </c>
      <c r="K7" s="21">
        <f t="shared" si="5"/>
        <v>0.61538461538461542</v>
      </c>
      <c r="L7" s="21">
        <f>(G3+H3)/(B7+D7)</f>
        <v>0.44444444444444448</v>
      </c>
      <c r="M7" s="21">
        <f>G3/(D7+B7)</f>
        <v>0.34188034188034189</v>
      </c>
      <c r="N7" s="21"/>
      <c r="O7" s="21"/>
    </row>
    <row r="8" spans="1:15" s="20" customFormat="1" ht="14.25">
      <c r="A8" s="46">
        <v>6</v>
      </c>
      <c r="B8" s="20">
        <f>攻击!D8</f>
        <v>20</v>
      </c>
      <c r="C8" s="8">
        <f t="shared" si="6"/>
        <v>0.3</v>
      </c>
      <c r="D8" s="20">
        <f t="shared" si="0"/>
        <v>6</v>
      </c>
      <c r="E8" s="58"/>
      <c r="F8" s="8">
        <f t="shared" si="7"/>
        <v>0.8</v>
      </c>
      <c r="G8" s="20">
        <f t="shared" si="3"/>
        <v>16</v>
      </c>
      <c r="H8" s="20">
        <f t="shared" si="1"/>
        <v>4.8</v>
      </c>
      <c r="I8" s="58"/>
      <c r="J8" s="21">
        <f t="shared" si="4"/>
        <v>1.04</v>
      </c>
      <c r="K8" s="21">
        <f t="shared" si="5"/>
        <v>0.61538461538461542</v>
      </c>
      <c r="L8" s="21"/>
      <c r="M8" s="21"/>
      <c r="N8" s="21"/>
      <c r="O8" s="21"/>
    </row>
    <row r="9" spans="1:15" s="20" customFormat="1" ht="14.25">
      <c r="A9" s="46">
        <v>7</v>
      </c>
      <c r="B9" s="20">
        <f>攻击!D9</f>
        <v>22</v>
      </c>
      <c r="C9" s="8">
        <f t="shared" si="6"/>
        <v>0.3</v>
      </c>
      <c r="D9" s="20">
        <f t="shared" si="0"/>
        <v>6.6</v>
      </c>
      <c r="E9" s="58"/>
      <c r="F9" s="8">
        <f t="shared" si="7"/>
        <v>0.8</v>
      </c>
      <c r="G9" s="20">
        <f t="shared" si="3"/>
        <v>17.600000000000001</v>
      </c>
      <c r="H9" s="20">
        <f t="shared" si="1"/>
        <v>5.28</v>
      </c>
      <c r="I9" s="58"/>
      <c r="J9" s="21">
        <f t="shared" si="4"/>
        <v>1.04</v>
      </c>
      <c r="K9" s="21">
        <f t="shared" si="5"/>
        <v>0.61538461538461542</v>
      </c>
      <c r="L9" s="21"/>
      <c r="M9" s="21"/>
      <c r="N9" s="21"/>
      <c r="O9" s="21"/>
    </row>
    <row r="10" spans="1:15" s="20" customFormat="1" ht="14.25">
      <c r="A10" s="46">
        <v>8</v>
      </c>
      <c r="B10" s="20">
        <f>攻击!D10</f>
        <v>24</v>
      </c>
      <c r="C10" s="8">
        <f t="shared" si="6"/>
        <v>0.3</v>
      </c>
      <c r="D10" s="20">
        <f t="shared" si="0"/>
        <v>7.1999999999999993</v>
      </c>
      <c r="E10" s="58"/>
      <c r="F10" s="8">
        <f t="shared" si="7"/>
        <v>0.8</v>
      </c>
      <c r="G10" s="20">
        <f t="shared" si="3"/>
        <v>19.200000000000003</v>
      </c>
      <c r="H10" s="20">
        <f t="shared" si="1"/>
        <v>5.7600000000000007</v>
      </c>
      <c r="I10" s="58"/>
      <c r="J10" s="21">
        <f t="shared" si="4"/>
        <v>1.0400000000000003</v>
      </c>
      <c r="K10" s="21">
        <f t="shared" si="5"/>
        <v>0.61538461538461553</v>
      </c>
      <c r="L10" s="21"/>
      <c r="M10" s="21"/>
      <c r="N10" s="21"/>
      <c r="O10" s="21"/>
    </row>
    <row r="11" spans="1:15" s="20" customFormat="1" ht="14.25">
      <c r="A11" s="46">
        <v>9</v>
      </c>
      <c r="B11" s="20">
        <f>攻击!D11</f>
        <v>26</v>
      </c>
      <c r="C11" s="8">
        <f t="shared" si="6"/>
        <v>0.3</v>
      </c>
      <c r="D11" s="20">
        <f t="shared" si="0"/>
        <v>7.8</v>
      </c>
      <c r="E11" s="58"/>
      <c r="F11" s="8">
        <f t="shared" si="7"/>
        <v>0.8</v>
      </c>
      <c r="G11" s="20">
        <f t="shared" si="3"/>
        <v>20.8</v>
      </c>
      <c r="H11" s="20">
        <f t="shared" si="1"/>
        <v>6.24</v>
      </c>
      <c r="I11" s="58"/>
      <c r="J11" s="21">
        <f t="shared" si="4"/>
        <v>1.04</v>
      </c>
      <c r="K11" s="21">
        <f t="shared" si="5"/>
        <v>0.61538461538461542</v>
      </c>
      <c r="L11" s="21"/>
      <c r="M11" s="21"/>
      <c r="N11" s="21"/>
      <c r="O11" s="21"/>
    </row>
    <row r="12" spans="1:15" s="20" customFormat="1" ht="14.25">
      <c r="A12" s="46">
        <v>10</v>
      </c>
      <c r="B12" s="20">
        <f>攻击!D12</f>
        <v>28</v>
      </c>
      <c r="C12" s="8">
        <f t="shared" si="6"/>
        <v>0.3</v>
      </c>
      <c r="D12" s="20">
        <f t="shared" si="0"/>
        <v>8.4</v>
      </c>
      <c r="E12" s="58"/>
      <c r="F12" s="8">
        <f t="shared" si="7"/>
        <v>0.8</v>
      </c>
      <c r="G12" s="20">
        <f t="shared" si="3"/>
        <v>22.400000000000002</v>
      </c>
      <c r="H12" s="20">
        <f t="shared" si="1"/>
        <v>6.7200000000000006</v>
      </c>
      <c r="I12" s="58"/>
      <c r="J12" s="21">
        <f t="shared" si="4"/>
        <v>1.0400000000000003</v>
      </c>
      <c r="K12" s="21">
        <f t="shared" si="5"/>
        <v>0.61538461538461542</v>
      </c>
      <c r="L12" s="21">
        <f t="shared" ref="L12" si="8">(G8+H8)/(B12+D12)</f>
        <v>0.57142857142857151</v>
      </c>
      <c r="M12" s="21">
        <f t="shared" ref="M12" si="9">G8/(D12+B12)</f>
        <v>0.43956043956043955</v>
      </c>
      <c r="N12" s="21">
        <f>(G3+H3)/(D12+B12)</f>
        <v>0.28571428571428575</v>
      </c>
      <c r="O12" s="21">
        <f>G3/(D12+B12)</f>
        <v>0.21978021978021978</v>
      </c>
    </row>
    <row r="13" spans="1:15" s="20" customFormat="1" ht="14.25">
      <c r="A13" s="46">
        <v>11</v>
      </c>
      <c r="B13" s="20">
        <f>攻击!D13</f>
        <v>30</v>
      </c>
      <c r="C13" s="8">
        <f t="shared" si="6"/>
        <v>0.3</v>
      </c>
      <c r="D13" s="20">
        <f t="shared" si="0"/>
        <v>9</v>
      </c>
      <c r="E13" s="58"/>
      <c r="F13" s="8">
        <f t="shared" si="7"/>
        <v>0.8</v>
      </c>
      <c r="G13" s="20">
        <f t="shared" si="3"/>
        <v>24</v>
      </c>
      <c r="H13" s="20">
        <f t="shared" si="1"/>
        <v>7.1999999999999993</v>
      </c>
      <c r="I13" s="58"/>
      <c r="J13" s="21">
        <f t="shared" si="4"/>
        <v>1.04</v>
      </c>
      <c r="K13" s="21">
        <f t="shared" si="5"/>
        <v>0.61538461538461542</v>
      </c>
      <c r="L13" s="21"/>
      <c r="M13" s="21"/>
      <c r="N13" s="21"/>
      <c r="O13" s="21"/>
    </row>
    <row r="14" spans="1:15" s="20" customFormat="1" ht="14.25">
      <c r="A14" s="46">
        <v>12</v>
      </c>
      <c r="B14" s="20">
        <f>攻击!D14</f>
        <v>32</v>
      </c>
      <c r="C14" s="8">
        <f t="shared" si="6"/>
        <v>0.3</v>
      </c>
      <c r="D14" s="20">
        <f t="shared" si="0"/>
        <v>9.6</v>
      </c>
      <c r="E14" s="58"/>
      <c r="F14" s="8">
        <f t="shared" si="7"/>
        <v>0.8</v>
      </c>
      <c r="G14" s="20">
        <f t="shared" si="3"/>
        <v>25.6</v>
      </c>
      <c r="H14" s="20">
        <f t="shared" si="1"/>
        <v>7.68</v>
      </c>
      <c r="I14" s="58"/>
      <c r="J14" s="21">
        <f t="shared" si="4"/>
        <v>1.04</v>
      </c>
      <c r="K14" s="21">
        <f t="shared" si="5"/>
        <v>0.61538461538461542</v>
      </c>
      <c r="L14" s="21"/>
      <c r="M14" s="21"/>
      <c r="N14" s="21"/>
      <c r="O14" s="21"/>
    </row>
    <row r="15" spans="1:15" s="20" customFormat="1" ht="14.25">
      <c r="A15" s="46">
        <v>13</v>
      </c>
      <c r="B15" s="20">
        <f>攻击!D15</f>
        <v>34</v>
      </c>
      <c r="C15" s="8">
        <f t="shared" si="6"/>
        <v>0.3</v>
      </c>
      <c r="D15" s="20">
        <f t="shared" si="0"/>
        <v>10.199999999999999</v>
      </c>
      <c r="E15" s="58"/>
      <c r="F15" s="8">
        <f t="shared" si="7"/>
        <v>0.8</v>
      </c>
      <c r="G15" s="20">
        <f t="shared" si="3"/>
        <v>27.200000000000003</v>
      </c>
      <c r="H15" s="20">
        <f t="shared" si="1"/>
        <v>8.16</v>
      </c>
      <c r="I15" s="58"/>
      <c r="J15" s="21">
        <f t="shared" si="4"/>
        <v>1.04</v>
      </c>
      <c r="K15" s="21">
        <f t="shared" si="5"/>
        <v>0.61538461538461542</v>
      </c>
      <c r="L15" s="21"/>
      <c r="M15" s="21"/>
      <c r="N15" s="21"/>
      <c r="O15" s="21"/>
    </row>
    <row r="16" spans="1:15" s="20" customFormat="1" ht="14.25">
      <c r="A16" s="46">
        <v>14</v>
      </c>
      <c r="B16" s="20">
        <f>攻击!D16</f>
        <v>36</v>
      </c>
      <c r="C16" s="8">
        <f t="shared" si="6"/>
        <v>0.3</v>
      </c>
      <c r="D16" s="20">
        <f t="shared" si="0"/>
        <v>10.799999999999999</v>
      </c>
      <c r="E16" s="58"/>
      <c r="F16" s="8">
        <f t="shared" si="7"/>
        <v>0.8</v>
      </c>
      <c r="G16" s="20">
        <f t="shared" si="3"/>
        <v>28.8</v>
      </c>
      <c r="H16" s="20">
        <f t="shared" si="1"/>
        <v>8.64</v>
      </c>
      <c r="I16" s="58"/>
      <c r="J16" s="21">
        <f t="shared" si="4"/>
        <v>1.04</v>
      </c>
      <c r="K16" s="21">
        <f t="shared" si="5"/>
        <v>0.61538461538461542</v>
      </c>
      <c r="L16" s="21"/>
      <c r="M16" s="21"/>
      <c r="N16" s="21"/>
      <c r="O16" s="21"/>
    </row>
    <row r="17" spans="1:15" s="20" customFormat="1" ht="14.25">
      <c r="A17" s="46">
        <v>15</v>
      </c>
      <c r="B17" s="20">
        <f>攻击!D17</f>
        <v>38</v>
      </c>
      <c r="C17" s="8">
        <f t="shared" si="6"/>
        <v>0.3</v>
      </c>
      <c r="D17" s="20">
        <f t="shared" si="0"/>
        <v>11.4</v>
      </c>
      <c r="E17" s="58"/>
      <c r="F17" s="8">
        <f t="shared" si="7"/>
        <v>0.8</v>
      </c>
      <c r="G17" s="20">
        <f t="shared" si="3"/>
        <v>30.400000000000002</v>
      </c>
      <c r="H17" s="20">
        <f t="shared" si="1"/>
        <v>9.120000000000001</v>
      </c>
      <c r="I17" s="58"/>
      <c r="J17" s="21">
        <f t="shared" si="4"/>
        <v>1.04</v>
      </c>
      <c r="K17" s="21">
        <f t="shared" si="5"/>
        <v>0.61538461538461542</v>
      </c>
      <c r="L17" s="21">
        <f t="shared" ref="L17" si="10">(G13+H13)/(B17+D17)</f>
        <v>0.63157894736842102</v>
      </c>
      <c r="M17" s="21">
        <f t="shared" ref="M17" si="11">G13/(D17+B17)</f>
        <v>0.48582995951417007</v>
      </c>
      <c r="N17" s="21"/>
      <c r="O17" s="21"/>
    </row>
    <row r="18" spans="1:15" s="20" customFormat="1" ht="14.25">
      <c r="A18" s="46">
        <v>16</v>
      </c>
      <c r="B18" s="20">
        <f>攻击!D18</f>
        <v>40</v>
      </c>
      <c r="C18" s="8">
        <f t="shared" si="6"/>
        <v>0.3</v>
      </c>
      <c r="D18" s="20">
        <f t="shared" si="0"/>
        <v>12</v>
      </c>
      <c r="E18" s="58"/>
      <c r="F18" s="8">
        <f t="shared" si="7"/>
        <v>0.8</v>
      </c>
      <c r="G18" s="20">
        <f t="shared" si="3"/>
        <v>32</v>
      </c>
      <c r="H18" s="20">
        <f t="shared" si="1"/>
        <v>9.6</v>
      </c>
      <c r="I18" s="58"/>
      <c r="J18" s="21">
        <f t="shared" si="4"/>
        <v>1.04</v>
      </c>
      <c r="K18" s="21">
        <f t="shared" si="5"/>
        <v>0.61538461538461542</v>
      </c>
      <c r="L18" s="21"/>
      <c r="M18" s="21"/>
      <c r="N18" s="21"/>
      <c r="O18" s="21"/>
    </row>
    <row r="19" spans="1:15" s="20" customFormat="1" ht="14.25">
      <c r="A19" s="46">
        <v>17</v>
      </c>
      <c r="B19" s="20">
        <f>攻击!D19</f>
        <v>42</v>
      </c>
      <c r="C19" s="8">
        <f t="shared" si="6"/>
        <v>0.3</v>
      </c>
      <c r="D19" s="20">
        <f t="shared" si="0"/>
        <v>12.6</v>
      </c>
      <c r="E19" s="58"/>
      <c r="F19" s="8">
        <f t="shared" si="7"/>
        <v>0.8</v>
      </c>
      <c r="G19" s="20">
        <f t="shared" si="3"/>
        <v>33.6</v>
      </c>
      <c r="H19" s="20">
        <f t="shared" si="1"/>
        <v>10.08</v>
      </c>
      <c r="I19" s="58"/>
      <c r="J19" s="21">
        <f t="shared" si="4"/>
        <v>1.04</v>
      </c>
      <c r="K19" s="21">
        <f t="shared" si="5"/>
        <v>0.61538461538461542</v>
      </c>
      <c r="L19" s="21"/>
      <c r="M19" s="21"/>
      <c r="N19" s="21"/>
      <c r="O19" s="21"/>
    </row>
    <row r="20" spans="1:15" s="20" customFormat="1" ht="14.25">
      <c r="A20" s="46">
        <v>18</v>
      </c>
      <c r="B20" s="20">
        <f>攻击!D20</f>
        <v>44</v>
      </c>
      <c r="C20" s="8">
        <f t="shared" si="6"/>
        <v>0.3</v>
      </c>
      <c r="D20" s="20">
        <f t="shared" si="0"/>
        <v>13.2</v>
      </c>
      <c r="E20" s="58"/>
      <c r="F20" s="8">
        <f t="shared" si="7"/>
        <v>0.8</v>
      </c>
      <c r="G20" s="20">
        <f t="shared" si="3"/>
        <v>35.200000000000003</v>
      </c>
      <c r="H20" s="20">
        <f t="shared" si="1"/>
        <v>10.56</v>
      </c>
      <c r="I20" s="58"/>
      <c r="J20" s="21">
        <f t="shared" si="4"/>
        <v>1.04</v>
      </c>
      <c r="K20" s="21">
        <f t="shared" si="5"/>
        <v>0.61538461538461542</v>
      </c>
      <c r="L20" s="21"/>
      <c r="M20" s="21"/>
      <c r="N20" s="21"/>
      <c r="O20" s="21"/>
    </row>
    <row r="21" spans="1:15" s="20" customFormat="1" ht="14.25">
      <c r="A21" s="46">
        <v>19</v>
      </c>
      <c r="B21" s="20">
        <f>攻击!D21</f>
        <v>46</v>
      </c>
      <c r="C21" s="8">
        <f t="shared" si="6"/>
        <v>0.3</v>
      </c>
      <c r="D21" s="20">
        <f t="shared" si="0"/>
        <v>13.799999999999999</v>
      </c>
      <c r="E21" s="58"/>
      <c r="F21" s="8">
        <f t="shared" si="7"/>
        <v>0.8</v>
      </c>
      <c r="G21" s="20">
        <f t="shared" si="3"/>
        <v>36.800000000000004</v>
      </c>
      <c r="H21" s="20">
        <f t="shared" si="1"/>
        <v>11.040000000000001</v>
      </c>
      <c r="I21" s="58"/>
      <c r="J21" s="21">
        <f t="shared" si="4"/>
        <v>1.04</v>
      </c>
      <c r="K21" s="21">
        <f t="shared" si="5"/>
        <v>0.61538461538461553</v>
      </c>
      <c r="L21" s="21"/>
      <c r="M21" s="21"/>
      <c r="N21" s="21"/>
      <c r="O21" s="21"/>
    </row>
    <row r="22" spans="1:15" s="20" customFormat="1" ht="14.25">
      <c r="A22" s="46">
        <v>20</v>
      </c>
      <c r="B22" s="20">
        <f>攻击!D22</f>
        <v>48</v>
      </c>
      <c r="C22" s="8">
        <f t="shared" si="6"/>
        <v>0.3</v>
      </c>
      <c r="D22" s="20">
        <f t="shared" si="0"/>
        <v>14.399999999999999</v>
      </c>
      <c r="E22" s="58"/>
      <c r="F22" s="8">
        <f t="shared" si="7"/>
        <v>0.8</v>
      </c>
      <c r="G22" s="20">
        <f t="shared" si="3"/>
        <v>38.400000000000006</v>
      </c>
      <c r="H22" s="20">
        <f t="shared" si="1"/>
        <v>11.520000000000001</v>
      </c>
      <c r="I22" s="58"/>
      <c r="J22" s="21">
        <f t="shared" si="4"/>
        <v>1.0400000000000003</v>
      </c>
      <c r="K22" s="21">
        <f t="shared" si="5"/>
        <v>0.61538461538461553</v>
      </c>
      <c r="L22" s="21">
        <f t="shared" ref="L22" si="12">(G18+H18)/(B22+D22)</f>
        <v>0.66666666666666674</v>
      </c>
      <c r="M22" s="21">
        <f t="shared" ref="M22" si="13">G18/(D22+B22)</f>
        <v>0.51282051282051289</v>
      </c>
      <c r="N22" s="21">
        <f>(G13+H13)/(D22+B22)</f>
        <v>0.5</v>
      </c>
      <c r="O22" s="21">
        <f>G13/(D22+B22)</f>
        <v>0.38461538461538464</v>
      </c>
    </row>
    <row r="23" spans="1:15" s="20" customFormat="1" ht="14.25">
      <c r="A23" s="46">
        <v>21</v>
      </c>
      <c r="B23" s="20">
        <f>攻击!D23</f>
        <v>50</v>
      </c>
      <c r="C23" s="8">
        <f t="shared" si="6"/>
        <v>0.3</v>
      </c>
      <c r="D23" s="20">
        <f t="shared" si="0"/>
        <v>15</v>
      </c>
      <c r="E23" s="58"/>
      <c r="F23" s="8">
        <f t="shared" si="7"/>
        <v>0.8</v>
      </c>
      <c r="G23" s="20">
        <f t="shared" si="3"/>
        <v>40</v>
      </c>
      <c r="H23" s="20">
        <f t="shared" si="1"/>
        <v>12</v>
      </c>
      <c r="I23" s="58"/>
      <c r="J23" s="21">
        <f t="shared" si="4"/>
        <v>1.04</v>
      </c>
      <c r="K23" s="21">
        <f t="shared" si="5"/>
        <v>0.61538461538461542</v>
      </c>
      <c r="L23" s="21"/>
      <c r="M23" s="21"/>
      <c r="N23" s="21"/>
      <c r="O23" s="21"/>
    </row>
    <row r="24" spans="1:15" s="20" customFormat="1" ht="14.25">
      <c r="A24" s="46">
        <v>22</v>
      </c>
      <c r="B24" s="20">
        <f>攻击!D24</f>
        <v>52</v>
      </c>
      <c r="C24" s="8">
        <f t="shared" si="6"/>
        <v>0.3</v>
      </c>
      <c r="D24" s="20">
        <f t="shared" si="0"/>
        <v>15.6</v>
      </c>
      <c r="E24" s="58"/>
      <c r="F24" s="8">
        <f t="shared" si="7"/>
        <v>0.8</v>
      </c>
      <c r="G24" s="20">
        <f t="shared" si="3"/>
        <v>41.6</v>
      </c>
      <c r="H24" s="20">
        <f t="shared" si="1"/>
        <v>12.48</v>
      </c>
      <c r="I24" s="58"/>
      <c r="J24" s="21">
        <f t="shared" si="4"/>
        <v>1.04</v>
      </c>
      <c r="K24" s="21">
        <f t="shared" si="5"/>
        <v>0.61538461538461542</v>
      </c>
      <c r="L24" s="21"/>
      <c r="M24" s="21"/>
      <c r="N24" s="21"/>
      <c r="O24" s="21"/>
    </row>
    <row r="25" spans="1:15" s="20" customFormat="1" ht="14.25">
      <c r="A25" s="46">
        <v>23</v>
      </c>
      <c r="B25" s="20">
        <f>攻击!D25</f>
        <v>54</v>
      </c>
      <c r="C25" s="8">
        <f t="shared" si="6"/>
        <v>0.3</v>
      </c>
      <c r="D25" s="20">
        <f t="shared" si="0"/>
        <v>16.2</v>
      </c>
      <c r="E25" s="58"/>
      <c r="F25" s="8">
        <f t="shared" si="7"/>
        <v>0.8</v>
      </c>
      <c r="G25" s="20">
        <f t="shared" si="3"/>
        <v>43.2</v>
      </c>
      <c r="H25" s="20">
        <f t="shared" si="1"/>
        <v>12.96</v>
      </c>
      <c r="I25" s="58"/>
      <c r="J25" s="21">
        <f t="shared" si="4"/>
        <v>1.04</v>
      </c>
      <c r="K25" s="21">
        <f t="shared" si="5"/>
        <v>0.61538461538461542</v>
      </c>
      <c r="L25" s="21"/>
      <c r="M25" s="21"/>
      <c r="N25" s="21"/>
      <c r="O25" s="21"/>
    </row>
    <row r="26" spans="1:15" s="20" customFormat="1" ht="14.25">
      <c r="A26" s="46">
        <v>24</v>
      </c>
      <c r="B26" s="20">
        <f>攻击!D26</f>
        <v>56</v>
      </c>
      <c r="C26" s="8">
        <f t="shared" si="6"/>
        <v>0.3</v>
      </c>
      <c r="D26" s="20">
        <f t="shared" si="0"/>
        <v>16.8</v>
      </c>
      <c r="E26" s="58"/>
      <c r="F26" s="8">
        <f t="shared" si="7"/>
        <v>0.8</v>
      </c>
      <c r="G26" s="20">
        <f t="shared" si="3"/>
        <v>44.800000000000004</v>
      </c>
      <c r="H26" s="20">
        <f t="shared" si="1"/>
        <v>13.440000000000001</v>
      </c>
      <c r="I26" s="58"/>
      <c r="J26" s="21">
        <f t="shared" si="4"/>
        <v>1.0400000000000003</v>
      </c>
      <c r="K26" s="21">
        <f t="shared" si="5"/>
        <v>0.61538461538461542</v>
      </c>
      <c r="L26" s="21"/>
      <c r="M26" s="21"/>
      <c r="N26" s="21"/>
      <c r="O26" s="21"/>
    </row>
    <row r="27" spans="1:15" s="20" customFormat="1" ht="14.25">
      <c r="A27" s="46">
        <v>25</v>
      </c>
      <c r="B27" s="20">
        <f>攻击!D27</f>
        <v>58</v>
      </c>
      <c r="C27" s="8">
        <f t="shared" si="6"/>
        <v>0.3</v>
      </c>
      <c r="D27" s="20">
        <f t="shared" si="0"/>
        <v>17.399999999999999</v>
      </c>
      <c r="E27" s="58"/>
      <c r="F27" s="8">
        <f t="shared" si="7"/>
        <v>0.8</v>
      </c>
      <c r="G27" s="20">
        <f t="shared" si="3"/>
        <v>46.400000000000006</v>
      </c>
      <c r="H27" s="20">
        <f t="shared" si="1"/>
        <v>13.920000000000002</v>
      </c>
      <c r="I27" s="58"/>
      <c r="J27" s="21">
        <f t="shared" si="4"/>
        <v>1.04</v>
      </c>
      <c r="K27" s="21">
        <f t="shared" si="5"/>
        <v>0.61538461538461542</v>
      </c>
      <c r="L27" s="21">
        <f t="shared" ref="L27" si="14">(G23+H23)/(B27+D27)</f>
        <v>0.68965517241379304</v>
      </c>
      <c r="M27" s="21">
        <f t="shared" ref="M27" si="15">G23/(D27+B27)</f>
        <v>0.53050397877984079</v>
      </c>
      <c r="N27" s="21"/>
      <c r="O27" s="21"/>
    </row>
    <row r="28" spans="1:15" s="20" customFormat="1" ht="14.25">
      <c r="A28" s="46">
        <v>26</v>
      </c>
      <c r="B28" s="20">
        <f>攻击!D28</f>
        <v>60</v>
      </c>
      <c r="C28" s="8">
        <f t="shared" si="6"/>
        <v>0.3</v>
      </c>
      <c r="D28" s="20">
        <f t="shared" si="0"/>
        <v>18</v>
      </c>
      <c r="E28" s="58"/>
      <c r="F28" s="8">
        <f t="shared" si="7"/>
        <v>0.8</v>
      </c>
      <c r="G28" s="20">
        <f t="shared" si="3"/>
        <v>48</v>
      </c>
      <c r="H28" s="20">
        <f t="shared" si="1"/>
        <v>14.399999999999999</v>
      </c>
      <c r="I28" s="58"/>
      <c r="J28" s="21">
        <f t="shared" si="4"/>
        <v>1.04</v>
      </c>
      <c r="K28" s="21">
        <f t="shared" si="5"/>
        <v>0.61538461538461542</v>
      </c>
      <c r="L28" s="21"/>
      <c r="M28" s="21"/>
      <c r="N28" s="21"/>
      <c r="O28" s="21"/>
    </row>
    <row r="29" spans="1:15" s="20" customFormat="1" ht="14.25">
      <c r="A29" s="46">
        <v>27</v>
      </c>
      <c r="B29" s="20">
        <f>攻击!D29</f>
        <v>62</v>
      </c>
      <c r="C29" s="8">
        <f t="shared" si="6"/>
        <v>0.3</v>
      </c>
      <c r="D29" s="20">
        <f t="shared" si="0"/>
        <v>18.599999999999998</v>
      </c>
      <c r="E29" s="58"/>
      <c r="F29" s="8">
        <f t="shared" si="7"/>
        <v>0.8</v>
      </c>
      <c r="G29" s="20">
        <f t="shared" si="3"/>
        <v>49.6</v>
      </c>
      <c r="H29" s="20">
        <f t="shared" si="1"/>
        <v>14.879999999999999</v>
      </c>
      <c r="I29" s="58"/>
      <c r="J29" s="21">
        <f t="shared" si="4"/>
        <v>1.04</v>
      </c>
      <c r="K29" s="21">
        <f t="shared" si="5"/>
        <v>0.61538461538461542</v>
      </c>
      <c r="L29" s="21"/>
      <c r="M29" s="21"/>
      <c r="N29" s="21"/>
      <c r="O29" s="21"/>
    </row>
    <row r="30" spans="1:15" s="20" customFormat="1" ht="14.25">
      <c r="A30" s="46">
        <v>28</v>
      </c>
      <c r="B30" s="20">
        <f>攻击!D30</f>
        <v>64</v>
      </c>
      <c r="C30" s="8">
        <f t="shared" si="6"/>
        <v>0.3</v>
      </c>
      <c r="D30" s="20">
        <f t="shared" si="0"/>
        <v>19.2</v>
      </c>
      <c r="E30" s="58"/>
      <c r="F30" s="8">
        <f t="shared" si="7"/>
        <v>0.8</v>
      </c>
      <c r="G30" s="20">
        <f t="shared" si="3"/>
        <v>51.2</v>
      </c>
      <c r="H30" s="20">
        <f t="shared" si="1"/>
        <v>15.36</v>
      </c>
      <c r="I30" s="58"/>
      <c r="J30" s="21">
        <f t="shared" si="4"/>
        <v>1.04</v>
      </c>
      <c r="K30" s="21">
        <f t="shared" si="5"/>
        <v>0.61538461538461542</v>
      </c>
      <c r="L30" s="21"/>
      <c r="M30" s="21"/>
      <c r="N30" s="21"/>
      <c r="O30" s="21"/>
    </row>
    <row r="31" spans="1:15" s="20" customFormat="1" ht="14.25">
      <c r="A31" s="46">
        <v>29</v>
      </c>
      <c r="B31" s="20">
        <f>攻击!D31</f>
        <v>66</v>
      </c>
      <c r="C31" s="8">
        <f t="shared" si="6"/>
        <v>0.3</v>
      </c>
      <c r="D31" s="20">
        <f t="shared" si="0"/>
        <v>19.8</v>
      </c>
      <c r="E31" s="58"/>
      <c r="F31" s="8">
        <f t="shared" si="7"/>
        <v>0.8</v>
      </c>
      <c r="G31" s="20">
        <f t="shared" si="3"/>
        <v>52.800000000000004</v>
      </c>
      <c r="H31" s="20">
        <f t="shared" si="1"/>
        <v>15.84</v>
      </c>
      <c r="I31" s="58"/>
      <c r="J31" s="21">
        <f t="shared" si="4"/>
        <v>1.04</v>
      </c>
      <c r="K31" s="21">
        <f t="shared" si="5"/>
        <v>0.61538461538461542</v>
      </c>
      <c r="L31" s="21"/>
      <c r="M31" s="21"/>
      <c r="N31" s="21"/>
      <c r="O31" s="21"/>
    </row>
    <row r="32" spans="1:15" s="20" customFormat="1" ht="14.25">
      <c r="A32" s="46">
        <v>30</v>
      </c>
      <c r="B32" s="20">
        <f>攻击!D32</f>
        <v>68</v>
      </c>
      <c r="C32" s="8">
        <f t="shared" si="6"/>
        <v>0.3</v>
      </c>
      <c r="D32" s="20">
        <f t="shared" si="0"/>
        <v>20.399999999999999</v>
      </c>
      <c r="E32" s="58"/>
      <c r="F32" s="8">
        <f t="shared" si="7"/>
        <v>0.8</v>
      </c>
      <c r="G32" s="20">
        <f t="shared" si="3"/>
        <v>54.400000000000006</v>
      </c>
      <c r="H32" s="20">
        <f t="shared" si="1"/>
        <v>16.32</v>
      </c>
      <c r="I32" s="58"/>
      <c r="J32" s="21">
        <f t="shared" si="4"/>
        <v>1.04</v>
      </c>
      <c r="K32" s="21">
        <f t="shared" si="5"/>
        <v>0.61538461538461542</v>
      </c>
      <c r="L32" s="21">
        <f t="shared" ref="L32" si="16">(G28+H28)/(B32+D32)</f>
        <v>0.70588235294117641</v>
      </c>
      <c r="M32" s="21">
        <f t="shared" ref="M32" si="17">G28/(D32+B32)</f>
        <v>0.54298642533936647</v>
      </c>
      <c r="N32" s="21">
        <f>(G23+H23)/(D32+B32)</f>
        <v>0.58823529411764697</v>
      </c>
      <c r="O32" s="21">
        <f>G23/(D32+B32)</f>
        <v>0.45248868778280538</v>
      </c>
    </row>
    <row r="33" spans="1:15" s="20" customFormat="1" ht="14.25">
      <c r="A33" s="46">
        <v>31</v>
      </c>
      <c r="B33" s="20">
        <f>攻击!D33</f>
        <v>70</v>
      </c>
      <c r="C33" s="8">
        <f t="shared" si="6"/>
        <v>0.3</v>
      </c>
      <c r="D33" s="20">
        <f t="shared" si="0"/>
        <v>21</v>
      </c>
      <c r="E33" s="58"/>
      <c r="F33" s="8">
        <f t="shared" si="7"/>
        <v>0.8</v>
      </c>
      <c r="G33" s="20">
        <f t="shared" si="3"/>
        <v>56</v>
      </c>
      <c r="H33" s="20">
        <f t="shared" si="1"/>
        <v>16.8</v>
      </c>
      <c r="I33" s="58"/>
      <c r="J33" s="21">
        <f t="shared" si="4"/>
        <v>1.04</v>
      </c>
      <c r="K33" s="21">
        <f t="shared" si="5"/>
        <v>0.61538461538461542</v>
      </c>
      <c r="L33" s="21"/>
      <c r="M33" s="21"/>
      <c r="N33" s="21"/>
      <c r="O33" s="21"/>
    </row>
    <row r="34" spans="1:15" s="20" customFormat="1" ht="14.25">
      <c r="A34" s="46">
        <v>32</v>
      </c>
      <c r="B34" s="20">
        <f>攻击!D34</f>
        <v>72</v>
      </c>
      <c r="C34" s="8">
        <f t="shared" si="6"/>
        <v>0.3</v>
      </c>
      <c r="D34" s="20">
        <f t="shared" si="0"/>
        <v>21.599999999999998</v>
      </c>
      <c r="E34" s="58"/>
      <c r="F34" s="8">
        <f t="shared" si="7"/>
        <v>0.8</v>
      </c>
      <c r="G34" s="20">
        <f t="shared" si="3"/>
        <v>57.6</v>
      </c>
      <c r="H34" s="20">
        <f t="shared" si="1"/>
        <v>17.28</v>
      </c>
      <c r="I34" s="58"/>
      <c r="J34" s="21">
        <f t="shared" si="4"/>
        <v>1.04</v>
      </c>
      <c r="K34" s="21">
        <f t="shared" si="5"/>
        <v>0.61538461538461542</v>
      </c>
      <c r="L34" s="21"/>
      <c r="M34" s="21"/>
      <c r="N34" s="21"/>
      <c r="O34" s="21"/>
    </row>
    <row r="35" spans="1:15" s="20" customFormat="1" ht="14.25">
      <c r="A35" s="46">
        <v>33</v>
      </c>
      <c r="B35" s="20">
        <f>攻击!D35</f>
        <v>74</v>
      </c>
      <c r="C35" s="8">
        <f t="shared" si="6"/>
        <v>0.3</v>
      </c>
      <c r="D35" s="20">
        <f t="shared" ref="D35:D66" si="18">B35*C35</f>
        <v>22.2</v>
      </c>
      <c r="E35" s="58"/>
      <c r="F35" s="8">
        <f t="shared" si="7"/>
        <v>0.8</v>
      </c>
      <c r="G35" s="20">
        <f t="shared" si="3"/>
        <v>59.2</v>
      </c>
      <c r="H35" s="20">
        <f t="shared" ref="H35:H66" si="19">G35*C35</f>
        <v>17.760000000000002</v>
      </c>
      <c r="I35" s="58"/>
      <c r="J35" s="21">
        <f t="shared" si="4"/>
        <v>1.04</v>
      </c>
      <c r="K35" s="21">
        <f t="shared" si="5"/>
        <v>0.61538461538461542</v>
      </c>
      <c r="L35" s="21"/>
      <c r="M35" s="21"/>
      <c r="N35" s="21"/>
      <c r="O35" s="21"/>
    </row>
    <row r="36" spans="1:15" s="20" customFormat="1" ht="14.25">
      <c r="A36" s="46">
        <v>34</v>
      </c>
      <c r="B36" s="20">
        <f>攻击!D36</f>
        <v>76</v>
      </c>
      <c r="C36" s="8">
        <f t="shared" si="6"/>
        <v>0.3</v>
      </c>
      <c r="D36" s="20">
        <f t="shared" si="18"/>
        <v>22.8</v>
      </c>
      <c r="E36" s="58"/>
      <c r="F36" s="8">
        <f t="shared" si="7"/>
        <v>0.8</v>
      </c>
      <c r="G36" s="20">
        <f t="shared" si="3"/>
        <v>60.800000000000004</v>
      </c>
      <c r="H36" s="20">
        <f t="shared" si="19"/>
        <v>18.240000000000002</v>
      </c>
      <c r="I36" s="58"/>
      <c r="J36" s="21">
        <f t="shared" si="4"/>
        <v>1.04</v>
      </c>
      <c r="K36" s="21">
        <f t="shared" si="5"/>
        <v>0.61538461538461542</v>
      </c>
      <c r="L36" s="21"/>
      <c r="M36" s="21"/>
      <c r="N36" s="21"/>
      <c r="O36" s="21"/>
    </row>
    <row r="37" spans="1:15" s="20" customFormat="1" ht="14.25">
      <c r="A37" s="46">
        <v>35</v>
      </c>
      <c r="B37" s="20">
        <f>攻击!D37</f>
        <v>78</v>
      </c>
      <c r="C37" s="8">
        <f t="shared" si="6"/>
        <v>0.3</v>
      </c>
      <c r="D37" s="20">
        <f t="shared" si="18"/>
        <v>23.4</v>
      </c>
      <c r="E37" s="58"/>
      <c r="F37" s="8">
        <f t="shared" si="7"/>
        <v>0.8</v>
      </c>
      <c r="G37" s="20">
        <f t="shared" si="3"/>
        <v>62.400000000000006</v>
      </c>
      <c r="H37" s="20">
        <f t="shared" si="19"/>
        <v>18.720000000000002</v>
      </c>
      <c r="I37" s="58"/>
      <c r="J37" s="21">
        <f t="shared" si="4"/>
        <v>1.04</v>
      </c>
      <c r="K37" s="21">
        <f t="shared" si="5"/>
        <v>0.61538461538461542</v>
      </c>
      <c r="L37" s="21">
        <f t="shared" ref="L37" si="20">(G33+H33)/(B37+D37)</f>
        <v>0.71794871794871784</v>
      </c>
      <c r="M37" s="21">
        <f t="shared" ref="M37" si="21">G33/(D37+B37)</f>
        <v>0.55226824457593682</v>
      </c>
      <c r="N37" s="21"/>
      <c r="O37" s="21"/>
    </row>
    <row r="38" spans="1:15" s="20" customFormat="1" ht="14.25">
      <c r="A38" s="46">
        <v>36</v>
      </c>
      <c r="B38" s="20">
        <f>攻击!D38</f>
        <v>80</v>
      </c>
      <c r="C38" s="8">
        <f t="shared" si="6"/>
        <v>0.3</v>
      </c>
      <c r="D38" s="20">
        <f t="shared" si="18"/>
        <v>24</v>
      </c>
      <c r="E38" s="58"/>
      <c r="F38" s="8">
        <f t="shared" si="7"/>
        <v>0.8</v>
      </c>
      <c r="G38" s="20">
        <f t="shared" si="3"/>
        <v>64</v>
      </c>
      <c r="H38" s="20">
        <f t="shared" si="19"/>
        <v>19.2</v>
      </c>
      <c r="I38" s="58"/>
      <c r="J38" s="21">
        <f t="shared" si="4"/>
        <v>1.04</v>
      </c>
      <c r="K38" s="21">
        <f t="shared" si="5"/>
        <v>0.61538461538461542</v>
      </c>
      <c r="L38" s="21"/>
      <c r="M38" s="21"/>
      <c r="N38" s="21"/>
      <c r="O38" s="21"/>
    </row>
    <row r="39" spans="1:15" s="20" customFormat="1" ht="14.25">
      <c r="A39" s="46">
        <v>37</v>
      </c>
      <c r="B39" s="20">
        <f>攻击!D39</f>
        <v>82</v>
      </c>
      <c r="C39" s="8">
        <f t="shared" si="6"/>
        <v>0.3</v>
      </c>
      <c r="D39" s="20">
        <f t="shared" si="18"/>
        <v>24.599999999999998</v>
      </c>
      <c r="E39" s="58"/>
      <c r="F39" s="8">
        <f t="shared" si="7"/>
        <v>0.8</v>
      </c>
      <c r="G39" s="20">
        <f t="shared" si="3"/>
        <v>65.600000000000009</v>
      </c>
      <c r="H39" s="20">
        <f t="shared" si="19"/>
        <v>19.680000000000003</v>
      </c>
      <c r="I39" s="58"/>
      <c r="J39" s="21">
        <f t="shared" si="4"/>
        <v>1.0400000000000003</v>
      </c>
      <c r="K39" s="21">
        <f t="shared" si="5"/>
        <v>0.61538461538461553</v>
      </c>
      <c r="L39" s="21"/>
      <c r="M39" s="21"/>
      <c r="N39" s="21"/>
      <c r="O39" s="21"/>
    </row>
    <row r="40" spans="1:15" s="20" customFormat="1" ht="14.25">
      <c r="A40" s="46">
        <v>38</v>
      </c>
      <c r="B40" s="20">
        <f>攻击!D40</f>
        <v>84</v>
      </c>
      <c r="C40" s="8">
        <f t="shared" si="6"/>
        <v>0.3</v>
      </c>
      <c r="D40" s="20">
        <f t="shared" si="18"/>
        <v>25.2</v>
      </c>
      <c r="E40" s="58"/>
      <c r="F40" s="8">
        <f t="shared" si="7"/>
        <v>0.8</v>
      </c>
      <c r="G40" s="20">
        <f t="shared" si="3"/>
        <v>67.2</v>
      </c>
      <c r="H40" s="20">
        <f t="shared" si="19"/>
        <v>20.16</v>
      </c>
      <c r="I40" s="58"/>
      <c r="J40" s="21">
        <f t="shared" si="4"/>
        <v>1.04</v>
      </c>
      <c r="K40" s="21">
        <f t="shared" si="5"/>
        <v>0.61538461538461542</v>
      </c>
      <c r="L40" s="21"/>
      <c r="M40" s="21"/>
      <c r="N40" s="21"/>
      <c r="O40" s="21"/>
    </row>
    <row r="41" spans="1:15" s="20" customFormat="1" ht="14.25">
      <c r="A41" s="46">
        <v>39</v>
      </c>
      <c r="B41" s="20">
        <f>攻击!D41</f>
        <v>86</v>
      </c>
      <c r="C41" s="8">
        <f t="shared" si="6"/>
        <v>0.3</v>
      </c>
      <c r="D41" s="20">
        <f t="shared" si="18"/>
        <v>25.8</v>
      </c>
      <c r="E41" s="58"/>
      <c r="F41" s="8">
        <f t="shared" si="7"/>
        <v>0.8</v>
      </c>
      <c r="G41" s="20">
        <f t="shared" si="3"/>
        <v>68.8</v>
      </c>
      <c r="H41" s="20">
        <f t="shared" si="19"/>
        <v>20.639999999999997</v>
      </c>
      <c r="I41" s="58"/>
      <c r="J41" s="21">
        <f t="shared" si="4"/>
        <v>1.04</v>
      </c>
      <c r="K41" s="21">
        <f t="shared" si="5"/>
        <v>0.61538461538461542</v>
      </c>
      <c r="L41" s="21"/>
      <c r="M41" s="21"/>
      <c r="N41" s="21"/>
      <c r="O41" s="21"/>
    </row>
    <row r="42" spans="1:15" s="20" customFormat="1" ht="14.25">
      <c r="A42" s="46">
        <v>40</v>
      </c>
      <c r="B42" s="20">
        <f>攻击!D42</f>
        <v>88</v>
      </c>
      <c r="C42" s="8">
        <f t="shared" si="6"/>
        <v>0.3</v>
      </c>
      <c r="D42" s="20">
        <f t="shared" si="18"/>
        <v>26.4</v>
      </c>
      <c r="E42" s="58"/>
      <c r="F42" s="8">
        <f t="shared" si="7"/>
        <v>0.8</v>
      </c>
      <c r="G42" s="20">
        <f t="shared" si="3"/>
        <v>70.400000000000006</v>
      </c>
      <c r="H42" s="20">
        <f t="shared" si="19"/>
        <v>21.12</v>
      </c>
      <c r="I42" s="58"/>
      <c r="J42" s="21">
        <f t="shared" si="4"/>
        <v>1.04</v>
      </c>
      <c r="K42" s="21">
        <f t="shared" si="5"/>
        <v>0.61538461538461542</v>
      </c>
      <c r="L42" s="21">
        <f t="shared" ref="L42" si="22">(G38+H38)/(B42+D42)</f>
        <v>0.72727272727272729</v>
      </c>
      <c r="M42" s="21">
        <f t="shared" ref="M42" si="23">G38/(D42+B42)</f>
        <v>0.55944055944055937</v>
      </c>
      <c r="N42" s="21">
        <f>(G33+H33)/(D42+B42)</f>
        <v>0.63636363636363635</v>
      </c>
      <c r="O42" s="21">
        <f>G33/(D42+B42)</f>
        <v>0.48951048951048948</v>
      </c>
    </row>
    <row r="43" spans="1:15" s="20" customFormat="1" ht="14.25">
      <c r="A43" s="46">
        <v>41</v>
      </c>
      <c r="B43" s="20">
        <f>攻击!D43</f>
        <v>90</v>
      </c>
      <c r="C43" s="8">
        <f t="shared" si="6"/>
        <v>0.3</v>
      </c>
      <c r="D43" s="20">
        <f t="shared" si="18"/>
        <v>27</v>
      </c>
      <c r="E43" s="58"/>
      <c r="F43" s="8">
        <f t="shared" si="7"/>
        <v>0.8</v>
      </c>
      <c r="G43" s="20">
        <f t="shared" si="3"/>
        <v>72</v>
      </c>
      <c r="H43" s="20">
        <f t="shared" si="19"/>
        <v>21.599999999999998</v>
      </c>
      <c r="I43" s="58"/>
      <c r="J43" s="21">
        <f t="shared" si="4"/>
        <v>1.04</v>
      </c>
      <c r="K43" s="21">
        <f t="shared" si="5"/>
        <v>0.61538461538461542</v>
      </c>
      <c r="L43" s="21"/>
      <c r="M43" s="21"/>
      <c r="N43" s="21"/>
      <c r="O43" s="21"/>
    </row>
    <row r="44" spans="1:15" s="20" customFormat="1" ht="14.25">
      <c r="A44" s="46">
        <v>42</v>
      </c>
      <c r="B44" s="20">
        <f>攻击!D44</f>
        <v>92</v>
      </c>
      <c r="C44" s="8">
        <f t="shared" si="6"/>
        <v>0.3</v>
      </c>
      <c r="D44" s="20">
        <f t="shared" si="18"/>
        <v>27.599999999999998</v>
      </c>
      <c r="E44" s="58"/>
      <c r="F44" s="8">
        <f t="shared" si="7"/>
        <v>0.8</v>
      </c>
      <c r="G44" s="20">
        <f t="shared" si="3"/>
        <v>73.600000000000009</v>
      </c>
      <c r="H44" s="20">
        <f t="shared" si="19"/>
        <v>22.080000000000002</v>
      </c>
      <c r="I44" s="58"/>
      <c r="J44" s="21">
        <f t="shared" si="4"/>
        <v>1.04</v>
      </c>
      <c r="K44" s="21">
        <f t="shared" si="5"/>
        <v>0.61538461538461553</v>
      </c>
      <c r="L44" s="21"/>
      <c r="M44" s="21"/>
      <c r="N44" s="21"/>
      <c r="O44" s="21"/>
    </row>
    <row r="45" spans="1:15" s="20" customFormat="1" ht="14.25">
      <c r="A45" s="46">
        <v>43</v>
      </c>
      <c r="B45" s="20">
        <f>攻击!D45</f>
        <v>94</v>
      </c>
      <c r="C45" s="8">
        <f t="shared" si="6"/>
        <v>0.3</v>
      </c>
      <c r="D45" s="20">
        <f t="shared" si="18"/>
        <v>28.2</v>
      </c>
      <c r="E45" s="58"/>
      <c r="F45" s="8">
        <f t="shared" si="7"/>
        <v>0.8</v>
      </c>
      <c r="G45" s="20">
        <f t="shared" si="3"/>
        <v>75.2</v>
      </c>
      <c r="H45" s="20">
        <f t="shared" si="19"/>
        <v>22.56</v>
      </c>
      <c r="I45" s="58"/>
      <c r="J45" s="21">
        <f t="shared" si="4"/>
        <v>1.04</v>
      </c>
      <c r="K45" s="21">
        <f t="shared" si="5"/>
        <v>0.61538461538461542</v>
      </c>
      <c r="L45" s="21"/>
      <c r="M45" s="21"/>
      <c r="N45" s="21"/>
      <c r="O45" s="21"/>
    </row>
    <row r="46" spans="1:15" s="20" customFormat="1" ht="14.25">
      <c r="A46" s="46">
        <v>44</v>
      </c>
      <c r="B46" s="20">
        <f>攻击!D46</f>
        <v>96</v>
      </c>
      <c r="C46" s="8">
        <f t="shared" si="6"/>
        <v>0.3</v>
      </c>
      <c r="D46" s="20">
        <f t="shared" si="18"/>
        <v>28.799999999999997</v>
      </c>
      <c r="E46" s="58"/>
      <c r="F46" s="8">
        <f t="shared" si="7"/>
        <v>0.8</v>
      </c>
      <c r="G46" s="20">
        <f t="shared" si="3"/>
        <v>76.800000000000011</v>
      </c>
      <c r="H46" s="20">
        <f t="shared" si="19"/>
        <v>23.040000000000003</v>
      </c>
      <c r="I46" s="58"/>
      <c r="J46" s="21">
        <f t="shared" si="4"/>
        <v>1.0400000000000003</v>
      </c>
      <c r="K46" s="21">
        <f t="shared" si="5"/>
        <v>0.61538461538461553</v>
      </c>
      <c r="L46" s="21"/>
      <c r="M46" s="21"/>
      <c r="N46" s="21"/>
      <c r="O46" s="21"/>
    </row>
    <row r="47" spans="1:15" s="20" customFormat="1" ht="14.25">
      <c r="A47" s="46">
        <v>45</v>
      </c>
      <c r="B47" s="20">
        <f>攻击!D47</f>
        <v>98</v>
      </c>
      <c r="C47" s="8">
        <f t="shared" si="6"/>
        <v>0.3</v>
      </c>
      <c r="D47" s="20">
        <f t="shared" si="18"/>
        <v>29.4</v>
      </c>
      <c r="E47" s="58"/>
      <c r="F47" s="8">
        <f t="shared" si="7"/>
        <v>0.8</v>
      </c>
      <c r="G47" s="20">
        <f t="shared" si="3"/>
        <v>78.400000000000006</v>
      </c>
      <c r="H47" s="20">
        <f t="shared" si="19"/>
        <v>23.52</v>
      </c>
      <c r="I47" s="58"/>
      <c r="J47" s="21">
        <f t="shared" si="4"/>
        <v>1.04</v>
      </c>
      <c r="K47" s="21">
        <f t="shared" si="5"/>
        <v>0.61538461538461542</v>
      </c>
      <c r="L47" s="21">
        <f t="shared" ref="L47" si="24">(G43+H43)/(B47+D47)</f>
        <v>0.73469387755102034</v>
      </c>
      <c r="M47" s="21">
        <f t="shared" ref="M47" si="25">G43/(D47+B47)</f>
        <v>0.56514913657770793</v>
      </c>
      <c r="N47" s="21"/>
      <c r="O47" s="21"/>
    </row>
    <row r="48" spans="1:15" s="20" customFormat="1" ht="14.25">
      <c r="A48" s="46">
        <v>46</v>
      </c>
      <c r="B48" s="20">
        <f>攻击!D48</f>
        <v>100</v>
      </c>
      <c r="C48" s="8">
        <f t="shared" si="6"/>
        <v>0.3</v>
      </c>
      <c r="D48" s="20">
        <f t="shared" si="18"/>
        <v>30</v>
      </c>
      <c r="E48" s="58"/>
      <c r="F48" s="8">
        <f t="shared" si="7"/>
        <v>0.8</v>
      </c>
      <c r="G48" s="20">
        <f t="shared" si="3"/>
        <v>80</v>
      </c>
      <c r="H48" s="20">
        <f t="shared" si="19"/>
        <v>24</v>
      </c>
      <c r="I48" s="58"/>
      <c r="J48" s="21">
        <f t="shared" si="4"/>
        <v>1.04</v>
      </c>
      <c r="K48" s="21">
        <f t="shared" si="5"/>
        <v>0.61538461538461542</v>
      </c>
      <c r="L48" s="21"/>
      <c r="M48" s="21"/>
      <c r="N48" s="21"/>
      <c r="O48" s="21"/>
    </row>
    <row r="49" spans="1:15" s="20" customFormat="1" ht="14.25">
      <c r="A49" s="46">
        <v>47</v>
      </c>
      <c r="B49" s="20">
        <f>攻击!D49</f>
        <v>102</v>
      </c>
      <c r="C49" s="8">
        <f t="shared" si="6"/>
        <v>0.3</v>
      </c>
      <c r="D49" s="20">
        <f t="shared" si="18"/>
        <v>30.599999999999998</v>
      </c>
      <c r="E49" s="58"/>
      <c r="F49" s="8">
        <f t="shared" si="7"/>
        <v>0.8</v>
      </c>
      <c r="G49" s="20">
        <f t="shared" si="3"/>
        <v>81.600000000000009</v>
      </c>
      <c r="H49" s="20">
        <f t="shared" si="19"/>
        <v>24.48</v>
      </c>
      <c r="I49" s="58"/>
      <c r="J49" s="21">
        <f t="shared" si="4"/>
        <v>1.04</v>
      </c>
      <c r="K49" s="21">
        <f t="shared" si="5"/>
        <v>0.61538461538461553</v>
      </c>
      <c r="L49" s="21"/>
      <c r="M49" s="21"/>
      <c r="N49" s="21"/>
      <c r="O49" s="21"/>
    </row>
    <row r="50" spans="1:15" s="20" customFormat="1" ht="14.25">
      <c r="A50" s="46">
        <v>48</v>
      </c>
      <c r="B50" s="20">
        <f>攻击!D50</f>
        <v>104</v>
      </c>
      <c r="C50" s="8">
        <f t="shared" si="6"/>
        <v>0.3</v>
      </c>
      <c r="D50" s="20">
        <f t="shared" si="18"/>
        <v>31.2</v>
      </c>
      <c r="E50" s="58"/>
      <c r="F50" s="8">
        <f t="shared" si="7"/>
        <v>0.8</v>
      </c>
      <c r="G50" s="20">
        <f t="shared" si="3"/>
        <v>83.2</v>
      </c>
      <c r="H50" s="20">
        <f t="shared" si="19"/>
        <v>24.96</v>
      </c>
      <c r="I50" s="58"/>
      <c r="J50" s="21">
        <f t="shared" si="4"/>
        <v>1.04</v>
      </c>
      <c r="K50" s="21">
        <f t="shared" si="5"/>
        <v>0.61538461538461542</v>
      </c>
      <c r="L50" s="21"/>
      <c r="M50" s="21"/>
      <c r="N50" s="21"/>
      <c r="O50" s="21"/>
    </row>
    <row r="51" spans="1:15" s="20" customFormat="1" ht="14.25">
      <c r="A51" s="46">
        <v>49</v>
      </c>
      <c r="B51" s="20">
        <f>攻击!D51</f>
        <v>106</v>
      </c>
      <c r="C51" s="8">
        <f t="shared" si="6"/>
        <v>0.3</v>
      </c>
      <c r="D51" s="20">
        <f t="shared" si="18"/>
        <v>31.799999999999997</v>
      </c>
      <c r="E51" s="58"/>
      <c r="F51" s="8">
        <f t="shared" si="7"/>
        <v>0.8</v>
      </c>
      <c r="G51" s="20">
        <f t="shared" si="3"/>
        <v>84.800000000000011</v>
      </c>
      <c r="H51" s="20">
        <f t="shared" si="19"/>
        <v>25.44</v>
      </c>
      <c r="I51" s="58"/>
      <c r="J51" s="21">
        <f t="shared" si="4"/>
        <v>1.04</v>
      </c>
      <c r="K51" s="21">
        <f t="shared" si="5"/>
        <v>0.61538461538461542</v>
      </c>
      <c r="L51" s="21"/>
      <c r="M51" s="21"/>
      <c r="N51" s="21"/>
      <c r="O51" s="21"/>
    </row>
    <row r="52" spans="1:15" s="20" customFormat="1" ht="14.25">
      <c r="A52" s="46">
        <v>50</v>
      </c>
      <c r="B52" s="20">
        <f>攻击!D52</f>
        <v>108</v>
      </c>
      <c r="C52" s="8">
        <f t="shared" si="6"/>
        <v>0.3</v>
      </c>
      <c r="D52" s="20">
        <f t="shared" si="18"/>
        <v>32.4</v>
      </c>
      <c r="E52" s="58"/>
      <c r="F52" s="8">
        <f t="shared" si="7"/>
        <v>0.8</v>
      </c>
      <c r="G52" s="20">
        <f t="shared" si="3"/>
        <v>86.4</v>
      </c>
      <c r="H52" s="20">
        <f t="shared" si="19"/>
        <v>25.92</v>
      </c>
      <c r="I52" s="58"/>
      <c r="J52" s="21">
        <f t="shared" si="4"/>
        <v>1.04</v>
      </c>
      <c r="K52" s="21">
        <f t="shared" si="5"/>
        <v>0.61538461538461542</v>
      </c>
      <c r="L52" s="21">
        <f t="shared" ref="L52" si="26">(G48+H48)/(B52+D52)</f>
        <v>0.7407407407407407</v>
      </c>
      <c r="M52" s="21">
        <f t="shared" ref="M52" si="27">G48/(D52+B52)</f>
        <v>0.56980056980056981</v>
      </c>
      <c r="N52" s="21">
        <f>(G43+H43)/(D52+B52)</f>
        <v>0.66666666666666663</v>
      </c>
      <c r="O52" s="21">
        <f>G43/(D52+B52)</f>
        <v>0.51282051282051277</v>
      </c>
    </row>
    <row r="53" spans="1:15" s="20" customFormat="1" ht="14.25">
      <c r="A53" s="46">
        <v>51</v>
      </c>
      <c r="B53" s="20">
        <f>攻击!D53</f>
        <v>110</v>
      </c>
      <c r="C53" s="8">
        <f t="shared" si="6"/>
        <v>0.3</v>
      </c>
      <c r="D53" s="20">
        <f t="shared" si="18"/>
        <v>33</v>
      </c>
      <c r="E53" s="58"/>
      <c r="F53" s="8">
        <f t="shared" si="7"/>
        <v>0.8</v>
      </c>
      <c r="G53" s="20">
        <f t="shared" si="3"/>
        <v>88</v>
      </c>
      <c r="H53" s="20">
        <f t="shared" si="19"/>
        <v>26.4</v>
      </c>
      <c r="I53" s="58"/>
      <c r="J53" s="21">
        <f t="shared" si="4"/>
        <v>1.04</v>
      </c>
      <c r="K53" s="21">
        <f t="shared" si="5"/>
        <v>0.61538461538461542</v>
      </c>
      <c r="L53" s="21"/>
      <c r="M53" s="21"/>
      <c r="N53" s="21"/>
      <c r="O53" s="21"/>
    </row>
    <row r="54" spans="1:15" s="20" customFormat="1" ht="14.25">
      <c r="A54" s="46">
        <v>52</v>
      </c>
      <c r="B54" s="20">
        <f>攻击!D54</f>
        <v>112</v>
      </c>
      <c r="C54" s="8">
        <f t="shared" si="6"/>
        <v>0.3</v>
      </c>
      <c r="D54" s="20">
        <f t="shared" si="18"/>
        <v>33.6</v>
      </c>
      <c r="E54" s="58"/>
      <c r="F54" s="8">
        <f t="shared" si="7"/>
        <v>0.8</v>
      </c>
      <c r="G54" s="20">
        <f t="shared" si="3"/>
        <v>89.600000000000009</v>
      </c>
      <c r="H54" s="20">
        <f t="shared" si="19"/>
        <v>26.880000000000003</v>
      </c>
      <c r="I54" s="58"/>
      <c r="J54" s="21">
        <f t="shared" si="4"/>
        <v>1.0400000000000003</v>
      </c>
      <c r="K54" s="21">
        <f t="shared" si="5"/>
        <v>0.61538461538461542</v>
      </c>
      <c r="L54" s="21"/>
      <c r="M54" s="21"/>
      <c r="N54" s="21"/>
      <c r="O54" s="21"/>
    </row>
    <row r="55" spans="1:15" s="20" customFormat="1" ht="14.25">
      <c r="A55" s="46">
        <v>53</v>
      </c>
      <c r="B55" s="20">
        <f>攻击!D55</f>
        <v>114</v>
      </c>
      <c r="C55" s="8">
        <f t="shared" si="6"/>
        <v>0.3</v>
      </c>
      <c r="D55" s="20">
        <f t="shared" si="18"/>
        <v>34.199999999999996</v>
      </c>
      <c r="E55" s="58"/>
      <c r="F55" s="8">
        <f t="shared" si="7"/>
        <v>0.8</v>
      </c>
      <c r="G55" s="20">
        <f t="shared" si="3"/>
        <v>91.2</v>
      </c>
      <c r="H55" s="20">
        <f t="shared" si="19"/>
        <v>27.36</v>
      </c>
      <c r="I55" s="58"/>
      <c r="J55" s="21">
        <f t="shared" si="4"/>
        <v>1.04</v>
      </c>
      <c r="K55" s="21">
        <f t="shared" si="5"/>
        <v>0.61538461538461542</v>
      </c>
      <c r="L55" s="21"/>
      <c r="M55" s="21"/>
      <c r="N55" s="21"/>
      <c r="O55" s="21"/>
    </row>
    <row r="56" spans="1:15" s="20" customFormat="1" ht="14.25">
      <c r="A56" s="46">
        <v>54</v>
      </c>
      <c r="B56" s="20">
        <f>攻击!D56</f>
        <v>116</v>
      </c>
      <c r="C56" s="8">
        <f t="shared" si="6"/>
        <v>0.3</v>
      </c>
      <c r="D56" s="20">
        <f t="shared" si="18"/>
        <v>34.799999999999997</v>
      </c>
      <c r="E56" s="58"/>
      <c r="F56" s="8">
        <f t="shared" si="7"/>
        <v>0.8</v>
      </c>
      <c r="G56" s="20">
        <f t="shared" si="3"/>
        <v>92.800000000000011</v>
      </c>
      <c r="H56" s="20">
        <f t="shared" si="19"/>
        <v>27.840000000000003</v>
      </c>
      <c r="I56" s="58"/>
      <c r="J56" s="21">
        <f t="shared" si="4"/>
        <v>1.04</v>
      </c>
      <c r="K56" s="21">
        <f t="shared" si="5"/>
        <v>0.61538461538461542</v>
      </c>
      <c r="L56" s="21"/>
      <c r="M56" s="21"/>
      <c r="N56" s="21"/>
      <c r="O56" s="21"/>
    </row>
    <row r="57" spans="1:15" s="20" customFormat="1" ht="14.25">
      <c r="A57" s="46">
        <v>55</v>
      </c>
      <c r="B57" s="20">
        <f>攻击!D57</f>
        <v>118</v>
      </c>
      <c r="C57" s="8">
        <f t="shared" si="6"/>
        <v>0.3</v>
      </c>
      <c r="D57" s="20">
        <f t="shared" si="18"/>
        <v>35.4</v>
      </c>
      <c r="E57" s="58"/>
      <c r="F57" s="8">
        <f t="shared" si="7"/>
        <v>0.8</v>
      </c>
      <c r="G57" s="20">
        <f t="shared" si="3"/>
        <v>94.4</v>
      </c>
      <c r="H57" s="20">
        <f t="shared" si="19"/>
        <v>28.32</v>
      </c>
      <c r="I57" s="58"/>
      <c r="J57" s="21">
        <f t="shared" si="4"/>
        <v>1.04</v>
      </c>
      <c r="K57" s="21">
        <f t="shared" si="5"/>
        <v>0.61538461538461542</v>
      </c>
      <c r="L57" s="21">
        <f t="shared" ref="L57" si="28">(G53+H53)/(B57+D57)</f>
        <v>0.74576271186440679</v>
      </c>
      <c r="M57" s="21">
        <f t="shared" ref="M57" si="29">G53/(D57+B57)</f>
        <v>0.5736636245110821</v>
      </c>
      <c r="N57" s="21"/>
      <c r="O57" s="21"/>
    </row>
    <row r="58" spans="1:15" s="20" customFormat="1" ht="14.25">
      <c r="A58" s="46">
        <v>56</v>
      </c>
      <c r="B58" s="20">
        <f>攻击!D58</f>
        <v>120</v>
      </c>
      <c r="C58" s="8">
        <f t="shared" si="6"/>
        <v>0.3</v>
      </c>
      <c r="D58" s="20">
        <f t="shared" si="18"/>
        <v>36</v>
      </c>
      <c r="E58" s="58"/>
      <c r="F58" s="8">
        <f t="shared" si="7"/>
        <v>0.8</v>
      </c>
      <c r="G58" s="20">
        <f t="shared" si="3"/>
        <v>96</v>
      </c>
      <c r="H58" s="20">
        <f t="shared" si="19"/>
        <v>28.799999999999997</v>
      </c>
      <c r="I58" s="58"/>
      <c r="J58" s="21">
        <f t="shared" si="4"/>
        <v>1.04</v>
      </c>
      <c r="K58" s="21">
        <f t="shared" si="5"/>
        <v>0.61538461538461542</v>
      </c>
      <c r="L58" s="21"/>
      <c r="M58" s="21"/>
      <c r="N58" s="21"/>
      <c r="O58" s="21"/>
    </row>
    <row r="59" spans="1:15" s="20" customFormat="1" ht="14.25">
      <c r="A59" s="46">
        <v>57</v>
      </c>
      <c r="B59" s="20">
        <f>攻击!D59</f>
        <v>122</v>
      </c>
      <c r="C59" s="8">
        <f t="shared" si="6"/>
        <v>0.3</v>
      </c>
      <c r="D59" s="20">
        <f t="shared" si="18"/>
        <v>36.6</v>
      </c>
      <c r="E59" s="58"/>
      <c r="F59" s="8">
        <f t="shared" si="7"/>
        <v>0.8</v>
      </c>
      <c r="G59" s="20">
        <f t="shared" si="3"/>
        <v>97.600000000000009</v>
      </c>
      <c r="H59" s="20">
        <f t="shared" si="19"/>
        <v>29.28</v>
      </c>
      <c r="I59" s="58"/>
      <c r="J59" s="21">
        <f t="shared" si="4"/>
        <v>1.04</v>
      </c>
      <c r="K59" s="21">
        <f t="shared" si="5"/>
        <v>0.61538461538461542</v>
      </c>
      <c r="L59" s="21"/>
      <c r="M59" s="21"/>
      <c r="N59" s="21"/>
      <c r="O59" s="21"/>
    </row>
    <row r="60" spans="1:15" s="20" customFormat="1" ht="14.25">
      <c r="A60" s="46">
        <v>58</v>
      </c>
      <c r="B60" s="20">
        <f>攻击!D60</f>
        <v>124</v>
      </c>
      <c r="C60" s="8">
        <f t="shared" si="6"/>
        <v>0.3</v>
      </c>
      <c r="D60" s="20">
        <f t="shared" si="18"/>
        <v>37.199999999999996</v>
      </c>
      <c r="E60" s="58"/>
      <c r="F60" s="8">
        <f t="shared" si="7"/>
        <v>0.8</v>
      </c>
      <c r="G60" s="20">
        <f t="shared" si="3"/>
        <v>99.2</v>
      </c>
      <c r="H60" s="20">
        <f t="shared" si="19"/>
        <v>29.759999999999998</v>
      </c>
      <c r="I60" s="58"/>
      <c r="J60" s="21">
        <f t="shared" si="4"/>
        <v>1.04</v>
      </c>
      <c r="K60" s="21">
        <f t="shared" si="5"/>
        <v>0.61538461538461542</v>
      </c>
      <c r="L60" s="21"/>
      <c r="M60" s="21"/>
      <c r="N60" s="21"/>
      <c r="O60" s="21"/>
    </row>
    <row r="61" spans="1:15" s="20" customFormat="1" ht="14.25">
      <c r="A61" s="46">
        <v>59</v>
      </c>
      <c r="B61" s="20">
        <f>攻击!D61</f>
        <v>126</v>
      </c>
      <c r="C61" s="8">
        <f t="shared" si="6"/>
        <v>0.3</v>
      </c>
      <c r="D61" s="20">
        <f t="shared" si="18"/>
        <v>37.799999999999997</v>
      </c>
      <c r="E61" s="58"/>
      <c r="F61" s="8">
        <f t="shared" si="7"/>
        <v>0.8</v>
      </c>
      <c r="G61" s="20">
        <f t="shared" si="3"/>
        <v>100.80000000000001</v>
      </c>
      <c r="H61" s="20">
        <f t="shared" si="19"/>
        <v>30.240000000000002</v>
      </c>
      <c r="I61" s="58"/>
      <c r="J61" s="21">
        <f t="shared" si="4"/>
        <v>1.0400000000000003</v>
      </c>
      <c r="K61" s="21">
        <f t="shared" si="5"/>
        <v>0.61538461538461542</v>
      </c>
      <c r="L61" s="21"/>
      <c r="M61" s="21"/>
      <c r="N61" s="21"/>
      <c r="O61" s="21"/>
    </row>
    <row r="62" spans="1:15" s="20" customFormat="1" ht="14.25">
      <c r="A62" s="46">
        <v>60</v>
      </c>
      <c r="B62" s="20">
        <f>攻击!D62</f>
        <v>128</v>
      </c>
      <c r="C62" s="8">
        <f t="shared" si="6"/>
        <v>0.3</v>
      </c>
      <c r="D62" s="20">
        <f t="shared" si="18"/>
        <v>38.4</v>
      </c>
      <c r="E62" s="58"/>
      <c r="F62" s="8">
        <f t="shared" si="7"/>
        <v>0.8</v>
      </c>
      <c r="G62" s="20">
        <f t="shared" si="3"/>
        <v>102.4</v>
      </c>
      <c r="H62" s="20">
        <f t="shared" si="19"/>
        <v>30.72</v>
      </c>
      <c r="I62" s="58"/>
      <c r="J62" s="21">
        <f t="shared" si="4"/>
        <v>1.04</v>
      </c>
      <c r="K62" s="21">
        <f t="shared" si="5"/>
        <v>0.61538461538461542</v>
      </c>
      <c r="L62" s="21">
        <f t="shared" ref="L62" si="30">(G58+H58)/(B62+D62)</f>
        <v>0.75</v>
      </c>
      <c r="M62" s="21">
        <f t="shared" ref="M62" si="31">G58/(D62+B62)</f>
        <v>0.57692307692307687</v>
      </c>
      <c r="N62" s="21">
        <f>(G53+H53)/(D62+B62)</f>
        <v>0.6875</v>
      </c>
      <c r="O62" s="21">
        <f>G53/(D62+B62)</f>
        <v>0.52884615384615385</v>
      </c>
    </row>
    <row r="63" spans="1:15" s="20" customFormat="1" ht="14.25">
      <c r="A63" s="46">
        <v>61</v>
      </c>
      <c r="B63" s="20">
        <f>攻击!D63</f>
        <v>130</v>
      </c>
      <c r="C63" s="8">
        <f t="shared" si="6"/>
        <v>0.3</v>
      </c>
      <c r="D63" s="20">
        <f t="shared" si="18"/>
        <v>39</v>
      </c>
      <c r="E63" s="58"/>
      <c r="F63" s="8">
        <f t="shared" si="7"/>
        <v>0.8</v>
      </c>
      <c r="G63" s="20">
        <f t="shared" si="3"/>
        <v>104</v>
      </c>
      <c r="H63" s="20">
        <f t="shared" si="19"/>
        <v>31.2</v>
      </c>
      <c r="I63" s="58"/>
      <c r="J63" s="21">
        <f t="shared" si="4"/>
        <v>1.0399999999999998</v>
      </c>
      <c r="K63" s="21">
        <f t="shared" si="5"/>
        <v>0.61538461538461542</v>
      </c>
      <c r="L63" s="21"/>
      <c r="M63" s="21"/>
      <c r="N63" s="21"/>
      <c r="O63" s="21"/>
    </row>
    <row r="64" spans="1:15" s="20" customFormat="1" ht="14.25">
      <c r="A64" s="46">
        <v>62</v>
      </c>
      <c r="B64" s="20">
        <f>攻击!D64</f>
        <v>132</v>
      </c>
      <c r="C64" s="8">
        <f t="shared" si="6"/>
        <v>0.3</v>
      </c>
      <c r="D64" s="20">
        <f t="shared" si="18"/>
        <v>39.6</v>
      </c>
      <c r="E64" s="58"/>
      <c r="F64" s="8">
        <f t="shared" si="7"/>
        <v>0.8</v>
      </c>
      <c r="G64" s="20">
        <f t="shared" si="3"/>
        <v>105.60000000000001</v>
      </c>
      <c r="H64" s="20">
        <f t="shared" si="19"/>
        <v>31.68</v>
      </c>
      <c r="I64" s="58"/>
      <c r="J64" s="21">
        <f t="shared" si="4"/>
        <v>1.04</v>
      </c>
      <c r="K64" s="21">
        <f t="shared" si="5"/>
        <v>0.61538461538461542</v>
      </c>
      <c r="L64" s="21"/>
      <c r="M64" s="21"/>
      <c r="N64" s="21"/>
      <c r="O64" s="21"/>
    </row>
    <row r="65" spans="1:15" s="20" customFormat="1" ht="14.25">
      <c r="A65" s="46">
        <v>63</v>
      </c>
      <c r="B65" s="20">
        <f>攻击!D65</f>
        <v>134</v>
      </c>
      <c r="C65" s="8">
        <f t="shared" si="6"/>
        <v>0.3</v>
      </c>
      <c r="D65" s="20">
        <f t="shared" si="18"/>
        <v>40.199999999999996</v>
      </c>
      <c r="E65" s="58"/>
      <c r="F65" s="8">
        <f t="shared" si="7"/>
        <v>0.8</v>
      </c>
      <c r="G65" s="20">
        <f t="shared" si="3"/>
        <v>107.2</v>
      </c>
      <c r="H65" s="20">
        <f t="shared" si="19"/>
        <v>32.159999999999997</v>
      </c>
      <c r="I65" s="58"/>
      <c r="J65" s="21">
        <f t="shared" si="4"/>
        <v>1.04</v>
      </c>
      <c r="K65" s="21">
        <f t="shared" si="5"/>
        <v>0.61538461538461542</v>
      </c>
      <c r="L65" s="21"/>
      <c r="M65" s="21"/>
      <c r="N65" s="21"/>
      <c r="O65" s="21"/>
    </row>
    <row r="66" spans="1:15" s="20" customFormat="1" ht="14.25">
      <c r="A66" s="46">
        <v>64</v>
      </c>
      <c r="B66" s="20">
        <f>攻击!D66</f>
        <v>136</v>
      </c>
      <c r="C66" s="8">
        <f t="shared" si="6"/>
        <v>0.3</v>
      </c>
      <c r="D66" s="20">
        <f t="shared" si="18"/>
        <v>40.799999999999997</v>
      </c>
      <c r="E66" s="58"/>
      <c r="F66" s="8">
        <f t="shared" si="7"/>
        <v>0.8</v>
      </c>
      <c r="G66" s="20">
        <f t="shared" si="3"/>
        <v>108.80000000000001</v>
      </c>
      <c r="H66" s="20">
        <f t="shared" si="19"/>
        <v>32.64</v>
      </c>
      <c r="I66" s="58"/>
      <c r="J66" s="21">
        <f t="shared" si="4"/>
        <v>1.04</v>
      </c>
      <c r="K66" s="21">
        <f t="shared" si="5"/>
        <v>0.61538461538461542</v>
      </c>
      <c r="L66" s="21"/>
      <c r="M66" s="21"/>
      <c r="N66" s="21"/>
      <c r="O66" s="21"/>
    </row>
    <row r="67" spans="1:15" s="20" customFormat="1" ht="14.25">
      <c r="A67" s="46">
        <v>65</v>
      </c>
      <c r="B67" s="20">
        <f>攻击!D67</f>
        <v>138</v>
      </c>
      <c r="C67" s="8">
        <f t="shared" si="6"/>
        <v>0.3</v>
      </c>
      <c r="D67" s="20">
        <f t="shared" ref="D67:D98" si="32">B67*C67</f>
        <v>41.4</v>
      </c>
      <c r="E67" s="58"/>
      <c r="F67" s="8">
        <f t="shared" si="7"/>
        <v>0.8</v>
      </c>
      <c r="G67" s="20">
        <f t="shared" si="3"/>
        <v>110.4</v>
      </c>
      <c r="H67" s="20">
        <f t="shared" ref="H67:H98" si="33">G67*C67</f>
        <v>33.119999999999997</v>
      </c>
      <c r="I67" s="58"/>
      <c r="J67" s="21">
        <f t="shared" si="4"/>
        <v>1.04</v>
      </c>
      <c r="K67" s="21">
        <f t="shared" si="5"/>
        <v>0.61538461538461542</v>
      </c>
      <c r="L67" s="21">
        <f t="shared" ref="L67" si="34">(G63+H63)/(B67+D67)</f>
        <v>0.75362318840579701</v>
      </c>
      <c r="M67" s="21">
        <f t="shared" ref="M67" si="35">G63/(D67+B67)</f>
        <v>0.57971014492753625</v>
      </c>
      <c r="N67" s="21"/>
      <c r="O67" s="21"/>
    </row>
    <row r="68" spans="1:15" s="20" customFormat="1" ht="14.25">
      <c r="A68" s="46">
        <v>66</v>
      </c>
      <c r="B68" s="20">
        <f>攻击!D68</f>
        <v>140</v>
      </c>
      <c r="C68" s="8">
        <f t="shared" si="6"/>
        <v>0.3</v>
      </c>
      <c r="D68" s="20">
        <f t="shared" si="32"/>
        <v>42</v>
      </c>
      <c r="E68" s="58"/>
      <c r="F68" s="8">
        <f t="shared" si="7"/>
        <v>0.8</v>
      </c>
      <c r="G68" s="20">
        <f t="shared" ref="G68:G122" si="36">B68*F68</f>
        <v>112</v>
      </c>
      <c r="H68" s="20">
        <f t="shared" si="33"/>
        <v>33.6</v>
      </c>
      <c r="I68" s="58"/>
      <c r="J68" s="21">
        <f t="shared" ref="J68:J122" si="37">(G68+H68)/B68</f>
        <v>1.04</v>
      </c>
      <c r="K68" s="21">
        <f t="shared" ref="K68:K122" si="38">G68/(D68+B68)</f>
        <v>0.61538461538461542</v>
      </c>
      <c r="L68" s="21"/>
      <c r="M68" s="21"/>
      <c r="N68" s="21"/>
      <c r="O68" s="21"/>
    </row>
    <row r="69" spans="1:15" s="20" customFormat="1" ht="14.25">
      <c r="A69" s="46">
        <v>67</v>
      </c>
      <c r="B69" s="20">
        <f>攻击!D69</f>
        <v>142</v>
      </c>
      <c r="C69" s="8">
        <f t="shared" ref="C69:C122" si="39">C68</f>
        <v>0.3</v>
      </c>
      <c r="D69" s="20">
        <f t="shared" si="32"/>
        <v>42.6</v>
      </c>
      <c r="E69" s="58"/>
      <c r="F69" s="8">
        <f t="shared" ref="F69:F122" si="40">F68</f>
        <v>0.8</v>
      </c>
      <c r="G69" s="20">
        <f t="shared" si="36"/>
        <v>113.60000000000001</v>
      </c>
      <c r="H69" s="20">
        <f t="shared" si="33"/>
        <v>34.08</v>
      </c>
      <c r="I69" s="58"/>
      <c r="J69" s="21">
        <f t="shared" si="37"/>
        <v>1.04</v>
      </c>
      <c r="K69" s="21">
        <f t="shared" si="38"/>
        <v>0.61538461538461542</v>
      </c>
      <c r="L69" s="21"/>
      <c r="M69" s="21"/>
      <c r="N69" s="21"/>
      <c r="O69" s="21"/>
    </row>
    <row r="70" spans="1:15" s="20" customFormat="1" ht="14.25">
      <c r="A70" s="46">
        <v>68</v>
      </c>
      <c r="B70" s="20">
        <f>攻击!D70</f>
        <v>144</v>
      </c>
      <c r="C70" s="8">
        <f t="shared" si="39"/>
        <v>0.3</v>
      </c>
      <c r="D70" s="20">
        <f t="shared" si="32"/>
        <v>43.199999999999996</v>
      </c>
      <c r="E70" s="58"/>
      <c r="F70" s="8">
        <f t="shared" si="40"/>
        <v>0.8</v>
      </c>
      <c r="G70" s="20">
        <f t="shared" si="36"/>
        <v>115.2</v>
      </c>
      <c r="H70" s="20">
        <f t="shared" si="33"/>
        <v>34.56</v>
      </c>
      <c r="I70" s="58"/>
      <c r="J70" s="21">
        <f t="shared" si="37"/>
        <v>1.04</v>
      </c>
      <c r="K70" s="21">
        <f t="shared" si="38"/>
        <v>0.61538461538461542</v>
      </c>
      <c r="L70" s="21"/>
      <c r="M70" s="21"/>
      <c r="N70" s="21"/>
      <c r="O70" s="21"/>
    </row>
    <row r="71" spans="1:15" s="20" customFormat="1" ht="14.25">
      <c r="A71" s="46">
        <v>69</v>
      </c>
      <c r="B71" s="20">
        <f>攻击!D71</f>
        <v>146</v>
      </c>
      <c r="C71" s="8">
        <f t="shared" si="39"/>
        <v>0.3</v>
      </c>
      <c r="D71" s="20">
        <f t="shared" si="32"/>
        <v>43.8</v>
      </c>
      <c r="E71" s="58"/>
      <c r="F71" s="8">
        <f t="shared" si="40"/>
        <v>0.8</v>
      </c>
      <c r="G71" s="20">
        <f t="shared" si="36"/>
        <v>116.80000000000001</v>
      </c>
      <c r="H71" s="20">
        <f t="shared" si="33"/>
        <v>35.04</v>
      </c>
      <c r="I71" s="58"/>
      <c r="J71" s="21">
        <f t="shared" si="37"/>
        <v>1.04</v>
      </c>
      <c r="K71" s="21">
        <f t="shared" si="38"/>
        <v>0.61538461538461542</v>
      </c>
      <c r="L71" s="21"/>
      <c r="M71" s="21"/>
      <c r="N71" s="21"/>
      <c r="O71" s="21"/>
    </row>
    <row r="72" spans="1:15" s="20" customFormat="1" ht="14.25">
      <c r="A72" s="46">
        <v>70</v>
      </c>
      <c r="B72" s="20">
        <f>攻击!D72</f>
        <v>148</v>
      </c>
      <c r="C72" s="8">
        <f t="shared" si="39"/>
        <v>0.3</v>
      </c>
      <c r="D72" s="20">
        <f t="shared" si="32"/>
        <v>44.4</v>
      </c>
      <c r="E72" s="58"/>
      <c r="F72" s="8">
        <f t="shared" si="40"/>
        <v>0.8</v>
      </c>
      <c r="G72" s="20">
        <f t="shared" si="36"/>
        <v>118.4</v>
      </c>
      <c r="H72" s="20">
        <f t="shared" si="33"/>
        <v>35.520000000000003</v>
      </c>
      <c r="I72" s="58"/>
      <c r="J72" s="21">
        <f t="shared" si="37"/>
        <v>1.04</v>
      </c>
      <c r="K72" s="21">
        <f t="shared" si="38"/>
        <v>0.61538461538461542</v>
      </c>
      <c r="L72" s="21">
        <f t="shared" ref="L72" si="41">(G68+H68)/(B72+D72)</f>
        <v>0.75675675675675669</v>
      </c>
      <c r="M72" s="21">
        <f t="shared" ref="M72" si="42">G68/(D72+B72)</f>
        <v>0.58212058212058215</v>
      </c>
      <c r="N72" s="21">
        <f>(G63+H63)/(D72+B72)</f>
        <v>0.70270270270270263</v>
      </c>
      <c r="O72" s="21">
        <f>G63/(D72+B72)</f>
        <v>0.54054054054054057</v>
      </c>
    </row>
    <row r="73" spans="1:15" s="20" customFormat="1" ht="14.25">
      <c r="A73" s="46">
        <v>71</v>
      </c>
      <c r="B73" s="20">
        <f>攻击!D73</f>
        <v>150</v>
      </c>
      <c r="C73" s="8">
        <f t="shared" si="39"/>
        <v>0.3</v>
      </c>
      <c r="D73" s="20">
        <f t="shared" si="32"/>
        <v>45</v>
      </c>
      <c r="E73" s="58"/>
      <c r="F73" s="8">
        <f t="shared" si="40"/>
        <v>0.8</v>
      </c>
      <c r="G73" s="20">
        <f t="shared" si="36"/>
        <v>120</v>
      </c>
      <c r="H73" s="20">
        <f t="shared" si="33"/>
        <v>36</v>
      </c>
      <c r="I73" s="58"/>
      <c r="J73" s="21">
        <f t="shared" si="37"/>
        <v>1.04</v>
      </c>
      <c r="K73" s="21">
        <f t="shared" si="38"/>
        <v>0.61538461538461542</v>
      </c>
      <c r="L73" s="21"/>
      <c r="M73" s="21"/>
      <c r="N73" s="21"/>
      <c r="O73" s="21"/>
    </row>
    <row r="74" spans="1:15" s="20" customFormat="1" ht="14.25">
      <c r="A74" s="46">
        <v>72</v>
      </c>
      <c r="B74" s="20">
        <f>攻击!D74</f>
        <v>152</v>
      </c>
      <c r="C74" s="8">
        <f t="shared" si="39"/>
        <v>0.3</v>
      </c>
      <c r="D74" s="20">
        <f t="shared" si="32"/>
        <v>45.6</v>
      </c>
      <c r="E74" s="58"/>
      <c r="F74" s="8">
        <f t="shared" si="40"/>
        <v>0.8</v>
      </c>
      <c r="G74" s="20">
        <f t="shared" si="36"/>
        <v>121.60000000000001</v>
      </c>
      <c r="H74" s="20">
        <f t="shared" si="33"/>
        <v>36.480000000000004</v>
      </c>
      <c r="I74" s="58"/>
      <c r="J74" s="21">
        <f t="shared" si="37"/>
        <v>1.04</v>
      </c>
      <c r="K74" s="21">
        <f t="shared" si="38"/>
        <v>0.61538461538461542</v>
      </c>
      <c r="L74" s="21"/>
      <c r="M74" s="21"/>
      <c r="N74" s="21"/>
      <c r="O74" s="21"/>
    </row>
    <row r="75" spans="1:15" s="20" customFormat="1" ht="14.25">
      <c r="A75" s="46">
        <v>73</v>
      </c>
      <c r="B75" s="20">
        <f>攻击!D75</f>
        <v>154</v>
      </c>
      <c r="C75" s="8">
        <f t="shared" si="39"/>
        <v>0.3</v>
      </c>
      <c r="D75" s="20">
        <f t="shared" si="32"/>
        <v>46.199999999999996</v>
      </c>
      <c r="E75" s="58"/>
      <c r="F75" s="8">
        <f t="shared" si="40"/>
        <v>0.8</v>
      </c>
      <c r="G75" s="20">
        <f t="shared" si="36"/>
        <v>123.2</v>
      </c>
      <c r="H75" s="20">
        <f t="shared" si="33"/>
        <v>36.96</v>
      </c>
      <c r="I75" s="58"/>
      <c r="J75" s="21">
        <f t="shared" si="37"/>
        <v>1.04</v>
      </c>
      <c r="K75" s="21">
        <f t="shared" si="38"/>
        <v>0.61538461538461542</v>
      </c>
      <c r="L75" s="21"/>
      <c r="M75" s="21"/>
      <c r="N75" s="21"/>
      <c r="O75" s="21"/>
    </row>
    <row r="76" spans="1:15" s="20" customFormat="1" ht="14.25">
      <c r="A76" s="46">
        <v>74</v>
      </c>
      <c r="B76" s="20">
        <f>攻击!D76</f>
        <v>156</v>
      </c>
      <c r="C76" s="8">
        <f t="shared" si="39"/>
        <v>0.3</v>
      </c>
      <c r="D76" s="20">
        <f t="shared" si="32"/>
        <v>46.8</v>
      </c>
      <c r="E76" s="58"/>
      <c r="F76" s="8">
        <f t="shared" si="40"/>
        <v>0.8</v>
      </c>
      <c r="G76" s="20">
        <f t="shared" si="36"/>
        <v>124.80000000000001</v>
      </c>
      <c r="H76" s="20">
        <f t="shared" si="33"/>
        <v>37.440000000000005</v>
      </c>
      <c r="I76" s="58"/>
      <c r="J76" s="21">
        <f t="shared" si="37"/>
        <v>1.04</v>
      </c>
      <c r="K76" s="21">
        <f t="shared" si="38"/>
        <v>0.61538461538461542</v>
      </c>
      <c r="L76" s="21"/>
      <c r="M76" s="21"/>
      <c r="N76" s="21"/>
      <c r="O76" s="21"/>
    </row>
    <row r="77" spans="1:15" s="20" customFormat="1" ht="14.25">
      <c r="A77" s="46">
        <v>75</v>
      </c>
      <c r="B77" s="20">
        <f>攻击!D77</f>
        <v>158</v>
      </c>
      <c r="C77" s="8">
        <f t="shared" si="39"/>
        <v>0.3</v>
      </c>
      <c r="D77" s="20">
        <f t="shared" si="32"/>
        <v>47.4</v>
      </c>
      <c r="E77" s="58"/>
      <c r="F77" s="8">
        <f t="shared" si="40"/>
        <v>0.8</v>
      </c>
      <c r="G77" s="20">
        <f t="shared" si="36"/>
        <v>126.4</v>
      </c>
      <c r="H77" s="20">
        <f t="shared" si="33"/>
        <v>37.92</v>
      </c>
      <c r="I77" s="58"/>
      <c r="J77" s="21">
        <f t="shared" si="37"/>
        <v>1.04</v>
      </c>
      <c r="K77" s="21">
        <f t="shared" si="38"/>
        <v>0.61538461538461542</v>
      </c>
      <c r="L77" s="21">
        <f t="shared" ref="L77" si="43">(G73+H73)/(B77+D77)</f>
        <v>0.75949367088607589</v>
      </c>
      <c r="M77" s="21">
        <f t="shared" ref="M77" si="44">G73/(D77+B77)</f>
        <v>0.58422590068159685</v>
      </c>
      <c r="N77" s="21"/>
      <c r="O77" s="21"/>
    </row>
    <row r="78" spans="1:15" s="20" customFormat="1" ht="14.25">
      <c r="A78" s="46">
        <v>76</v>
      </c>
      <c r="B78" s="20">
        <f>攻击!D78</f>
        <v>160</v>
      </c>
      <c r="C78" s="8">
        <f t="shared" si="39"/>
        <v>0.3</v>
      </c>
      <c r="D78" s="20">
        <f t="shared" si="32"/>
        <v>48</v>
      </c>
      <c r="E78" s="58"/>
      <c r="F78" s="8">
        <f t="shared" si="40"/>
        <v>0.8</v>
      </c>
      <c r="G78" s="20">
        <f t="shared" si="36"/>
        <v>128</v>
      </c>
      <c r="H78" s="20">
        <f t="shared" si="33"/>
        <v>38.4</v>
      </c>
      <c r="I78" s="58"/>
      <c r="J78" s="21">
        <f t="shared" si="37"/>
        <v>1.04</v>
      </c>
      <c r="K78" s="21">
        <f t="shared" si="38"/>
        <v>0.61538461538461542</v>
      </c>
      <c r="L78" s="21"/>
      <c r="M78" s="21"/>
      <c r="N78" s="21"/>
      <c r="O78" s="21"/>
    </row>
    <row r="79" spans="1:15" s="20" customFormat="1" ht="14.25">
      <c r="A79" s="46">
        <v>77</v>
      </c>
      <c r="B79" s="20">
        <f>攻击!D79</f>
        <v>162</v>
      </c>
      <c r="C79" s="8">
        <f t="shared" si="39"/>
        <v>0.3</v>
      </c>
      <c r="D79" s="20">
        <f t="shared" si="32"/>
        <v>48.6</v>
      </c>
      <c r="E79" s="58"/>
      <c r="F79" s="8">
        <f t="shared" si="40"/>
        <v>0.8</v>
      </c>
      <c r="G79" s="20">
        <f t="shared" si="36"/>
        <v>129.6</v>
      </c>
      <c r="H79" s="20">
        <f t="shared" si="33"/>
        <v>38.879999999999995</v>
      </c>
      <c r="I79" s="58"/>
      <c r="J79" s="21">
        <f t="shared" si="37"/>
        <v>1.04</v>
      </c>
      <c r="K79" s="21">
        <f t="shared" si="38"/>
        <v>0.61538461538461542</v>
      </c>
      <c r="L79" s="21"/>
      <c r="M79" s="21"/>
      <c r="N79" s="21"/>
      <c r="O79" s="21"/>
    </row>
    <row r="80" spans="1:15" s="20" customFormat="1" ht="14.25">
      <c r="A80" s="46">
        <v>78</v>
      </c>
      <c r="B80" s="20">
        <f>攻击!D80</f>
        <v>164</v>
      </c>
      <c r="C80" s="8">
        <f t="shared" si="39"/>
        <v>0.3</v>
      </c>
      <c r="D80" s="20">
        <f t="shared" si="32"/>
        <v>49.199999999999996</v>
      </c>
      <c r="E80" s="58"/>
      <c r="F80" s="8">
        <f t="shared" si="40"/>
        <v>0.8</v>
      </c>
      <c r="G80" s="20">
        <f t="shared" si="36"/>
        <v>131.20000000000002</v>
      </c>
      <c r="H80" s="20">
        <f t="shared" si="33"/>
        <v>39.360000000000007</v>
      </c>
      <c r="I80" s="58"/>
      <c r="J80" s="21">
        <f t="shared" si="37"/>
        <v>1.0400000000000003</v>
      </c>
      <c r="K80" s="21">
        <f t="shared" si="38"/>
        <v>0.61538461538461553</v>
      </c>
      <c r="L80" s="21"/>
      <c r="M80" s="21"/>
      <c r="N80" s="21"/>
      <c r="O80" s="21"/>
    </row>
    <row r="81" spans="1:15" s="20" customFormat="1" ht="14.25">
      <c r="A81" s="46">
        <v>79</v>
      </c>
      <c r="B81" s="20">
        <f>攻击!D81</f>
        <v>166</v>
      </c>
      <c r="C81" s="8">
        <f t="shared" si="39"/>
        <v>0.3</v>
      </c>
      <c r="D81" s="20">
        <f t="shared" si="32"/>
        <v>49.8</v>
      </c>
      <c r="E81" s="58"/>
      <c r="F81" s="8">
        <f t="shared" si="40"/>
        <v>0.8</v>
      </c>
      <c r="G81" s="20">
        <f t="shared" si="36"/>
        <v>132.80000000000001</v>
      </c>
      <c r="H81" s="20">
        <f t="shared" si="33"/>
        <v>39.840000000000003</v>
      </c>
      <c r="I81" s="58"/>
      <c r="J81" s="21">
        <f t="shared" si="37"/>
        <v>1.04</v>
      </c>
      <c r="K81" s="21">
        <f t="shared" si="38"/>
        <v>0.61538461538461542</v>
      </c>
      <c r="L81" s="21"/>
      <c r="M81" s="21"/>
      <c r="N81" s="21"/>
      <c r="O81" s="21"/>
    </row>
    <row r="82" spans="1:15" s="20" customFormat="1" ht="14.25">
      <c r="A82" s="46">
        <v>80</v>
      </c>
      <c r="B82" s="20">
        <f>攻击!D82</f>
        <v>168</v>
      </c>
      <c r="C82" s="8">
        <f t="shared" si="39"/>
        <v>0.3</v>
      </c>
      <c r="D82" s="20">
        <f t="shared" si="32"/>
        <v>50.4</v>
      </c>
      <c r="E82" s="58"/>
      <c r="F82" s="8">
        <f t="shared" si="40"/>
        <v>0.8</v>
      </c>
      <c r="G82" s="20">
        <f t="shared" si="36"/>
        <v>134.4</v>
      </c>
      <c r="H82" s="20">
        <f t="shared" si="33"/>
        <v>40.32</v>
      </c>
      <c r="I82" s="58"/>
      <c r="J82" s="21">
        <f t="shared" si="37"/>
        <v>1.04</v>
      </c>
      <c r="K82" s="21">
        <f t="shared" si="38"/>
        <v>0.61538461538461542</v>
      </c>
      <c r="L82" s="21">
        <f t="shared" ref="L82" si="45">(G78+H78)/(B82+D82)</f>
        <v>0.76190476190476186</v>
      </c>
      <c r="M82" s="21">
        <f t="shared" ref="M82" si="46">G78/(D82+B82)</f>
        <v>0.58608058608058611</v>
      </c>
      <c r="N82" s="21">
        <f>(G73+H73)/(D82+B82)</f>
        <v>0.7142857142857143</v>
      </c>
      <c r="O82" s="21">
        <f>G73/(D82+B82)</f>
        <v>0.54945054945054939</v>
      </c>
    </row>
    <row r="83" spans="1:15" s="20" customFormat="1" ht="14.25">
      <c r="A83" s="46">
        <v>81</v>
      </c>
      <c r="B83" s="20">
        <f>攻击!D83</f>
        <v>170</v>
      </c>
      <c r="C83" s="8">
        <f t="shared" si="39"/>
        <v>0.3</v>
      </c>
      <c r="D83" s="20">
        <f t="shared" si="32"/>
        <v>51</v>
      </c>
      <c r="E83" s="58"/>
      <c r="F83" s="8">
        <f t="shared" si="40"/>
        <v>0.8</v>
      </c>
      <c r="G83" s="20">
        <f t="shared" si="36"/>
        <v>136</v>
      </c>
      <c r="H83" s="20">
        <f t="shared" si="33"/>
        <v>40.799999999999997</v>
      </c>
      <c r="I83" s="58"/>
      <c r="J83" s="21">
        <f t="shared" si="37"/>
        <v>1.04</v>
      </c>
      <c r="K83" s="21">
        <f t="shared" si="38"/>
        <v>0.61538461538461542</v>
      </c>
      <c r="L83" s="21"/>
      <c r="M83" s="21"/>
      <c r="N83" s="21"/>
      <c r="O83" s="21"/>
    </row>
    <row r="84" spans="1:15" s="20" customFormat="1" ht="14.25">
      <c r="A84" s="46">
        <v>82</v>
      </c>
      <c r="B84" s="20">
        <f>攻击!D84</f>
        <v>172</v>
      </c>
      <c r="C84" s="8">
        <f t="shared" si="39"/>
        <v>0.3</v>
      </c>
      <c r="D84" s="20">
        <f t="shared" si="32"/>
        <v>51.6</v>
      </c>
      <c r="E84" s="58"/>
      <c r="F84" s="8">
        <f t="shared" si="40"/>
        <v>0.8</v>
      </c>
      <c r="G84" s="20">
        <f t="shared" si="36"/>
        <v>137.6</v>
      </c>
      <c r="H84" s="20">
        <f t="shared" si="33"/>
        <v>41.279999999999994</v>
      </c>
      <c r="I84" s="58"/>
      <c r="J84" s="21">
        <f t="shared" si="37"/>
        <v>1.04</v>
      </c>
      <c r="K84" s="21">
        <f t="shared" si="38"/>
        <v>0.61538461538461542</v>
      </c>
      <c r="L84" s="21"/>
      <c r="M84" s="21"/>
      <c r="N84" s="21"/>
      <c r="O84" s="21"/>
    </row>
    <row r="85" spans="1:15" s="20" customFormat="1" ht="14.25">
      <c r="A85" s="46">
        <v>83</v>
      </c>
      <c r="B85" s="20">
        <f>攻击!D85</f>
        <v>174</v>
      </c>
      <c r="C85" s="8">
        <f t="shared" si="39"/>
        <v>0.3</v>
      </c>
      <c r="D85" s="20">
        <f t="shared" si="32"/>
        <v>52.199999999999996</v>
      </c>
      <c r="E85" s="58"/>
      <c r="F85" s="8">
        <f t="shared" si="40"/>
        <v>0.8</v>
      </c>
      <c r="G85" s="20">
        <f t="shared" si="36"/>
        <v>139.20000000000002</v>
      </c>
      <c r="H85" s="20">
        <f t="shared" si="33"/>
        <v>41.760000000000005</v>
      </c>
      <c r="I85" s="58"/>
      <c r="J85" s="21">
        <f t="shared" si="37"/>
        <v>1.0400000000000003</v>
      </c>
      <c r="K85" s="21">
        <f t="shared" si="38"/>
        <v>0.61538461538461553</v>
      </c>
      <c r="L85" s="21"/>
      <c r="M85" s="21"/>
      <c r="N85" s="21"/>
      <c r="O85" s="21"/>
    </row>
    <row r="86" spans="1:15" s="20" customFormat="1" ht="14.25">
      <c r="A86" s="46">
        <v>84</v>
      </c>
      <c r="B86" s="20">
        <f>攻击!D86</f>
        <v>176</v>
      </c>
      <c r="C86" s="8">
        <f t="shared" si="39"/>
        <v>0.3</v>
      </c>
      <c r="D86" s="20">
        <f t="shared" si="32"/>
        <v>52.8</v>
      </c>
      <c r="E86" s="58"/>
      <c r="F86" s="8">
        <f t="shared" si="40"/>
        <v>0.8</v>
      </c>
      <c r="G86" s="20">
        <f t="shared" si="36"/>
        <v>140.80000000000001</v>
      </c>
      <c r="H86" s="20">
        <f t="shared" si="33"/>
        <v>42.24</v>
      </c>
      <c r="I86" s="58"/>
      <c r="J86" s="21">
        <f t="shared" si="37"/>
        <v>1.04</v>
      </c>
      <c r="K86" s="21">
        <f t="shared" si="38"/>
        <v>0.61538461538461542</v>
      </c>
      <c r="L86" s="21"/>
      <c r="M86" s="21"/>
      <c r="N86" s="21"/>
      <c r="O86" s="21"/>
    </row>
    <row r="87" spans="1:15" s="20" customFormat="1" ht="14.25">
      <c r="A87" s="46">
        <v>85</v>
      </c>
      <c r="B87" s="20">
        <f>攻击!D87</f>
        <v>178</v>
      </c>
      <c r="C87" s="8">
        <f t="shared" si="39"/>
        <v>0.3</v>
      </c>
      <c r="D87" s="20">
        <f t="shared" si="32"/>
        <v>53.4</v>
      </c>
      <c r="E87" s="58"/>
      <c r="F87" s="8">
        <f t="shared" si="40"/>
        <v>0.8</v>
      </c>
      <c r="G87" s="20">
        <f t="shared" si="36"/>
        <v>142.4</v>
      </c>
      <c r="H87" s="20">
        <f t="shared" si="33"/>
        <v>42.72</v>
      </c>
      <c r="I87" s="58"/>
      <c r="J87" s="21">
        <f t="shared" si="37"/>
        <v>1.04</v>
      </c>
      <c r="K87" s="21">
        <f t="shared" si="38"/>
        <v>0.61538461538461542</v>
      </c>
      <c r="L87" s="21">
        <f t="shared" ref="L87" si="47">(G83+H83)/(B87+D87)</f>
        <v>0.7640449438202247</v>
      </c>
      <c r="M87" s="21">
        <f t="shared" ref="M87" si="48">G83/(D87+B87)</f>
        <v>0.58772687986171135</v>
      </c>
      <c r="N87" s="21"/>
      <c r="O87" s="21"/>
    </row>
    <row r="88" spans="1:15" s="20" customFormat="1" ht="14.25">
      <c r="A88" s="46">
        <v>86</v>
      </c>
      <c r="B88" s="20">
        <f>攻击!D88</f>
        <v>180</v>
      </c>
      <c r="C88" s="8">
        <f t="shared" si="39"/>
        <v>0.3</v>
      </c>
      <c r="D88" s="20">
        <f t="shared" si="32"/>
        <v>54</v>
      </c>
      <c r="E88" s="58"/>
      <c r="F88" s="8">
        <f t="shared" si="40"/>
        <v>0.8</v>
      </c>
      <c r="G88" s="20">
        <f t="shared" si="36"/>
        <v>144</v>
      </c>
      <c r="H88" s="20">
        <f t="shared" si="33"/>
        <v>43.199999999999996</v>
      </c>
      <c r="I88" s="58"/>
      <c r="J88" s="21">
        <f t="shared" si="37"/>
        <v>1.04</v>
      </c>
      <c r="K88" s="21">
        <f t="shared" si="38"/>
        <v>0.61538461538461542</v>
      </c>
      <c r="L88" s="21"/>
      <c r="M88" s="21"/>
      <c r="N88" s="21"/>
      <c r="O88" s="21"/>
    </row>
    <row r="89" spans="1:15" s="20" customFormat="1" ht="14.25">
      <c r="A89" s="46">
        <v>87</v>
      </c>
      <c r="B89" s="20">
        <f>攻击!D89</f>
        <v>182</v>
      </c>
      <c r="C89" s="8">
        <f t="shared" si="39"/>
        <v>0.3</v>
      </c>
      <c r="D89" s="20">
        <f t="shared" si="32"/>
        <v>54.6</v>
      </c>
      <c r="E89" s="58"/>
      <c r="F89" s="8">
        <f t="shared" si="40"/>
        <v>0.8</v>
      </c>
      <c r="G89" s="20">
        <f t="shared" si="36"/>
        <v>145.6</v>
      </c>
      <c r="H89" s="20">
        <f t="shared" si="33"/>
        <v>43.68</v>
      </c>
      <c r="I89" s="58"/>
      <c r="J89" s="21">
        <f t="shared" si="37"/>
        <v>1.04</v>
      </c>
      <c r="K89" s="21">
        <f t="shared" si="38"/>
        <v>0.61538461538461542</v>
      </c>
      <c r="L89" s="21"/>
      <c r="M89" s="21"/>
      <c r="N89" s="21"/>
      <c r="O89" s="21"/>
    </row>
    <row r="90" spans="1:15" s="20" customFormat="1" ht="14.25">
      <c r="A90" s="46">
        <v>88</v>
      </c>
      <c r="B90" s="20">
        <f>攻击!D90</f>
        <v>184</v>
      </c>
      <c r="C90" s="8">
        <f t="shared" si="39"/>
        <v>0.3</v>
      </c>
      <c r="D90" s="20">
        <f t="shared" si="32"/>
        <v>55.199999999999996</v>
      </c>
      <c r="E90" s="58"/>
      <c r="F90" s="8">
        <f t="shared" si="40"/>
        <v>0.8</v>
      </c>
      <c r="G90" s="20">
        <f t="shared" si="36"/>
        <v>147.20000000000002</v>
      </c>
      <c r="H90" s="20">
        <f t="shared" si="33"/>
        <v>44.160000000000004</v>
      </c>
      <c r="I90" s="58"/>
      <c r="J90" s="21">
        <f t="shared" si="37"/>
        <v>1.04</v>
      </c>
      <c r="K90" s="21">
        <f t="shared" si="38"/>
        <v>0.61538461538461553</v>
      </c>
      <c r="L90" s="21"/>
      <c r="M90" s="21"/>
      <c r="N90" s="21"/>
      <c r="O90" s="21"/>
    </row>
    <row r="91" spans="1:15" s="20" customFormat="1" ht="14.25">
      <c r="A91" s="46">
        <v>89</v>
      </c>
      <c r="B91" s="20">
        <f>攻击!D91</f>
        <v>186</v>
      </c>
      <c r="C91" s="8">
        <f t="shared" si="39"/>
        <v>0.3</v>
      </c>
      <c r="D91" s="20">
        <f t="shared" si="32"/>
        <v>55.8</v>
      </c>
      <c r="E91" s="58"/>
      <c r="F91" s="8">
        <f t="shared" si="40"/>
        <v>0.8</v>
      </c>
      <c r="G91" s="20">
        <f t="shared" si="36"/>
        <v>148.80000000000001</v>
      </c>
      <c r="H91" s="20">
        <f t="shared" si="33"/>
        <v>44.64</v>
      </c>
      <c r="I91" s="58"/>
      <c r="J91" s="21">
        <f t="shared" si="37"/>
        <v>1.04</v>
      </c>
      <c r="K91" s="21">
        <f t="shared" si="38"/>
        <v>0.61538461538461542</v>
      </c>
      <c r="L91" s="21"/>
      <c r="M91" s="21"/>
      <c r="N91" s="21"/>
      <c r="O91" s="21"/>
    </row>
    <row r="92" spans="1:15" s="20" customFormat="1" ht="14.25">
      <c r="A92" s="46">
        <v>90</v>
      </c>
      <c r="B92" s="20">
        <f>攻击!D92</f>
        <v>188</v>
      </c>
      <c r="C92" s="8">
        <f t="shared" si="39"/>
        <v>0.3</v>
      </c>
      <c r="D92" s="20">
        <f t="shared" si="32"/>
        <v>56.4</v>
      </c>
      <c r="E92" s="58"/>
      <c r="F92" s="8">
        <f t="shared" si="40"/>
        <v>0.8</v>
      </c>
      <c r="G92" s="20">
        <f t="shared" si="36"/>
        <v>150.4</v>
      </c>
      <c r="H92" s="20">
        <f t="shared" si="33"/>
        <v>45.12</v>
      </c>
      <c r="I92" s="58"/>
      <c r="J92" s="21">
        <f t="shared" si="37"/>
        <v>1.04</v>
      </c>
      <c r="K92" s="21">
        <f t="shared" si="38"/>
        <v>0.61538461538461542</v>
      </c>
      <c r="L92" s="21">
        <f t="shared" ref="L92" si="49">(G88+H88)/(B92+D92)</f>
        <v>0.76595744680851052</v>
      </c>
      <c r="M92" s="21">
        <f t="shared" ref="M92" si="50">G88/(D92+B92)</f>
        <v>0.58919803600654663</v>
      </c>
      <c r="N92" s="21">
        <f>(G83+H83)/(D92+B92)</f>
        <v>0.72340425531914898</v>
      </c>
      <c r="O92" s="21">
        <f>G83/(D92+B92)</f>
        <v>0.55646481178396068</v>
      </c>
    </row>
    <row r="93" spans="1:15" s="20" customFormat="1" ht="14.25">
      <c r="A93" s="46">
        <v>91</v>
      </c>
      <c r="B93" s="20">
        <f>攻击!D93</f>
        <v>190</v>
      </c>
      <c r="C93" s="8">
        <f t="shared" si="39"/>
        <v>0.3</v>
      </c>
      <c r="D93" s="20">
        <f t="shared" si="32"/>
        <v>57</v>
      </c>
      <c r="E93" s="58"/>
      <c r="F93" s="8">
        <f t="shared" si="40"/>
        <v>0.8</v>
      </c>
      <c r="G93" s="20">
        <f t="shared" si="36"/>
        <v>152</v>
      </c>
      <c r="H93" s="20">
        <f t="shared" si="33"/>
        <v>45.6</v>
      </c>
      <c r="I93" s="58"/>
      <c r="J93" s="21">
        <f t="shared" si="37"/>
        <v>1.04</v>
      </c>
      <c r="K93" s="21">
        <f t="shared" si="38"/>
        <v>0.61538461538461542</v>
      </c>
      <c r="L93" s="21"/>
      <c r="M93" s="21"/>
      <c r="N93" s="21"/>
      <c r="O93" s="21"/>
    </row>
    <row r="94" spans="1:15" s="20" customFormat="1" ht="14.25">
      <c r="A94" s="46">
        <v>92</v>
      </c>
      <c r="B94" s="20">
        <f>攻击!D94</f>
        <v>192</v>
      </c>
      <c r="C94" s="8">
        <f t="shared" si="39"/>
        <v>0.3</v>
      </c>
      <c r="D94" s="20">
        <f t="shared" si="32"/>
        <v>57.599999999999994</v>
      </c>
      <c r="E94" s="58"/>
      <c r="F94" s="8">
        <f t="shared" si="40"/>
        <v>0.8</v>
      </c>
      <c r="G94" s="20">
        <f t="shared" si="36"/>
        <v>153.60000000000002</v>
      </c>
      <c r="H94" s="20">
        <f t="shared" si="33"/>
        <v>46.080000000000005</v>
      </c>
      <c r="I94" s="58"/>
      <c r="J94" s="21">
        <f t="shared" si="37"/>
        <v>1.0400000000000003</v>
      </c>
      <c r="K94" s="21">
        <f t="shared" si="38"/>
        <v>0.61538461538461553</v>
      </c>
      <c r="L94" s="21"/>
      <c r="M94" s="21"/>
      <c r="N94" s="21"/>
      <c r="O94" s="21"/>
    </row>
    <row r="95" spans="1:15" s="20" customFormat="1" ht="14.25">
      <c r="A95" s="46">
        <v>93</v>
      </c>
      <c r="B95" s="20">
        <f>攻击!D95</f>
        <v>194</v>
      </c>
      <c r="C95" s="8">
        <f t="shared" si="39"/>
        <v>0.3</v>
      </c>
      <c r="D95" s="20">
        <f t="shared" si="32"/>
        <v>58.199999999999996</v>
      </c>
      <c r="E95" s="58"/>
      <c r="F95" s="8">
        <f t="shared" si="40"/>
        <v>0.8</v>
      </c>
      <c r="G95" s="20">
        <f t="shared" si="36"/>
        <v>155.20000000000002</v>
      </c>
      <c r="H95" s="20">
        <f t="shared" si="33"/>
        <v>46.56</v>
      </c>
      <c r="I95" s="58"/>
      <c r="J95" s="21">
        <f t="shared" si="37"/>
        <v>1.04</v>
      </c>
      <c r="K95" s="21">
        <f t="shared" si="38"/>
        <v>0.61538461538461553</v>
      </c>
      <c r="L95" s="21"/>
      <c r="M95" s="21"/>
      <c r="N95" s="21"/>
      <c r="O95" s="21"/>
    </row>
    <row r="96" spans="1:15" s="20" customFormat="1" ht="14.25">
      <c r="A96" s="46">
        <v>94</v>
      </c>
      <c r="B96" s="20">
        <f>攻击!D96</f>
        <v>196</v>
      </c>
      <c r="C96" s="8">
        <f t="shared" si="39"/>
        <v>0.3</v>
      </c>
      <c r="D96" s="20">
        <f t="shared" si="32"/>
        <v>58.8</v>
      </c>
      <c r="E96" s="58"/>
      <c r="F96" s="8">
        <f t="shared" si="40"/>
        <v>0.8</v>
      </c>
      <c r="G96" s="20">
        <f t="shared" si="36"/>
        <v>156.80000000000001</v>
      </c>
      <c r="H96" s="20">
        <f t="shared" si="33"/>
        <v>47.04</v>
      </c>
      <c r="I96" s="58"/>
      <c r="J96" s="21">
        <f t="shared" si="37"/>
        <v>1.04</v>
      </c>
      <c r="K96" s="21">
        <f t="shared" si="38"/>
        <v>0.61538461538461542</v>
      </c>
      <c r="L96" s="21"/>
      <c r="M96" s="21"/>
      <c r="N96" s="21"/>
      <c r="O96" s="21"/>
    </row>
    <row r="97" spans="1:15" s="20" customFormat="1" ht="14.25">
      <c r="A97" s="46">
        <v>95</v>
      </c>
      <c r="B97" s="20">
        <f>攻击!D97</f>
        <v>198</v>
      </c>
      <c r="C97" s="8">
        <f t="shared" si="39"/>
        <v>0.3</v>
      </c>
      <c r="D97" s="20">
        <f t="shared" si="32"/>
        <v>59.4</v>
      </c>
      <c r="E97" s="58"/>
      <c r="F97" s="8">
        <f t="shared" si="40"/>
        <v>0.8</v>
      </c>
      <c r="G97" s="20">
        <f t="shared" si="36"/>
        <v>158.4</v>
      </c>
      <c r="H97" s="20">
        <f t="shared" si="33"/>
        <v>47.52</v>
      </c>
      <c r="I97" s="58"/>
      <c r="J97" s="21">
        <f t="shared" si="37"/>
        <v>1.04</v>
      </c>
      <c r="K97" s="21">
        <f t="shared" si="38"/>
        <v>0.61538461538461542</v>
      </c>
      <c r="L97" s="21">
        <f t="shared" ref="L97" si="51">(G93+H93)/(B97+D97)</f>
        <v>0.76767676767676774</v>
      </c>
      <c r="M97" s="21">
        <f t="shared" ref="M97" si="52">G93/(D97+B97)</f>
        <v>0.59052059052059058</v>
      </c>
      <c r="N97" s="21"/>
      <c r="O97" s="21"/>
    </row>
    <row r="98" spans="1:15" s="20" customFormat="1" ht="14.25">
      <c r="A98" s="46">
        <v>96</v>
      </c>
      <c r="B98" s="20">
        <f>攻击!D98</f>
        <v>200</v>
      </c>
      <c r="C98" s="8">
        <f t="shared" si="39"/>
        <v>0.3</v>
      </c>
      <c r="D98" s="20">
        <f t="shared" si="32"/>
        <v>60</v>
      </c>
      <c r="E98" s="58"/>
      <c r="F98" s="8">
        <f t="shared" si="40"/>
        <v>0.8</v>
      </c>
      <c r="G98" s="20">
        <f t="shared" si="36"/>
        <v>160</v>
      </c>
      <c r="H98" s="20">
        <f t="shared" si="33"/>
        <v>48</v>
      </c>
      <c r="I98" s="58"/>
      <c r="J98" s="21">
        <f t="shared" si="37"/>
        <v>1.04</v>
      </c>
      <c r="K98" s="21">
        <f t="shared" si="38"/>
        <v>0.61538461538461542</v>
      </c>
      <c r="L98" s="21"/>
      <c r="M98" s="21"/>
      <c r="N98" s="21"/>
      <c r="O98" s="21"/>
    </row>
    <row r="99" spans="1:15" s="20" customFormat="1" ht="14.25">
      <c r="A99" s="46">
        <v>97</v>
      </c>
      <c r="B99" s="20">
        <f>攻击!D99</f>
        <v>202</v>
      </c>
      <c r="C99" s="8">
        <f t="shared" si="39"/>
        <v>0.3</v>
      </c>
      <c r="D99" s="20">
        <f t="shared" ref="D99:D122" si="53">B99*C99</f>
        <v>60.599999999999994</v>
      </c>
      <c r="E99" s="58"/>
      <c r="F99" s="8">
        <f t="shared" si="40"/>
        <v>0.8</v>
      </c>
      <c r="G99" s="20">
        <f t="shared" si="36"/>
        <v>161.60000000000002</v>
      </c>
      <c r="H99" s="20">
        <f t="shared" ref="H99:H122" si="54">G99*C99</f>
        <v>48.480000000000004</v>
      </c>
      <c r="I99" s="58"/>
      <c r="J99" s="21">
        <f t="shared" si="37"/>
        <v>1.0400000000000003</v>
      </c>
      <c r="K99" s="21">
        <f t="shared" si="38"/>
        <v>0.61538461538461542</v>
      </c>
      <c r="L99" s="21"/>
      <c r="M99" s="21"/>
      <c r="N99" s="21"/>
      <c r="O99" s="21"/>
    </row>
    <row r="100" spans="1:15" s="20" customFormat="1" ht="14.25">
      <c r="A100" s="46">
        <v>98</v>
      </c>
      <c r="B100" s="20">
        <f>攻击!D100</f>
        <v>204</v>
      </c>
      <c r="C100" s="8">
        <f t="shared" si="39"/>
        <v>0.3</v>
      </c>
      <c r="D100" s="20">
        <f t="shared" si="53"/>
        <v>61.199999999999996</v>
      </c>
      <c r="E100" s="58"/>
      <c r="F100" s="8">
        <f t="shared" si="40"/>
        <v>0.8</v>
      </c>
      <c r="G100" s="20">
        <f t="shared" si="36"/>
        <v>163.20000000000002</v>
      </c>
      <c r="H100" s="20">
        <f t="shared" si="54"/>
        <v>48.96</v>
      </c>
      <c r="I100" s="58"/>
      <c r="J100" s="21">
        <f t="shared" si="37"/>
        <v>1.04</v>
      </c>
      <c r="K100" s="21">
        <f t="shared" si="38"/>
        <v>0.61538461538461553</v>
      </c>
      <c r="L100" s="21"/>
      <c r="M100" s="21"/>
      <c r="N100" s="21"/>
      <c r="O100" s="21"/>
    </row>
    <row r="101" spans="1:15" s="20" customFormat="1" ht="14.25">
      <c r="A101" s="46">
        <v>99</v>
      </c>
      <c r="B101" s="20">
        <f>攻击!D101</f>
        <v>206</v>
      </c>
      <c r="C101" s="8">
        <f t="shared" si="39"/>
        <v>0.3</v>
      </c>
      <c r="D101" s="20">
        <f t="shared" si="53"/>
        <v>61.8</v>
      </c>
      <c r="E101" s="58"/>
      <c r="F101" s="8">
        <f t="shared" si="40"/>
        <v>0.8</v>
      </c>
      <c r="G101" s="20">
        <f t="shared" si="36"/>
        <v>164.8</v>
      </c>
      <c r="H101" s="20">
        <f t="shared" si="54"/>
        <v>49.440000000000005</v>
      </c>
      <c r="I101" s="58"/>
      <c r="J101" s="21">
        <f t="shared" si="37"/>
        <v>1.04</v>
      </c>
      <c r="K101" s="21">
        <f t="shared" si="38"/>
        <v>0.61538461538461542</v>
      </c>
      <c r="L101" s="21"/>
      <c r="M101" s="21"/>
      <c r="N101" s="21"/>
      <c r="O101" s="21"/>
    </row>
    <row r="102" spans="1:15" s="20" customFormat="1" ht="14.25">
      <c r="A102" s="46">
        <v>100</v>
      </c>
      <c r="B102" s="20">
        <f>攻击!D102</f>
        <v>208</v>
      </c>
      <c r="C102" s="8">
        <f t="shared" si="39"/>
        <v>0.3</v>
      </c>
      <c r="D102" s="20">
        <f t="shared" si="53"/>
        <v>62.4</v>
      </c>
      <c r="E102" s="58"/>
      <c r="F102" s="8">
        <f t="shared" si="40"/>
        <v>0.8</v>
      </c>
      <c r="G102" s="20">
        <f t="shared" si="36"/>
        <v>166.4</v>
      </c>
      <c r="H102" s="20">
        <f t="shared" si="54"/>
        <v>49.92</v>
      </c>
      <c r="I102" s="58"/>
      <c r="J102" s="21">
        <f t="shared" si="37"/>
        <v>1.04</v>
      </c>
      <c r="K102" s="21">
        <f t="shared" si="38"/>
        <v>0.61538461538461542</v>
      </c>
      <c r="L102" s="21">
        <f t="shared" ref="L102" si="55">(G98+H98)/(B102+D102)</f>
        <v>0.76923076923076927</v>
      </c>
      <c r="M102" s="21">
        <f t="shared" ref="M102" si="56">G98/(D102+B102)</f>
        <v>0.59171597633136097</v>
      </c>
      <c r="N102" s="21">
        <f>(G93+H93)/(D102+B102)</f>
        <v>0.73076923076923084</v>
      </c>
      <c r="O102" s="21">
        <f>G93/(D102+B102)</f>
        <v>0.56213017751479299</v>
      </c>
    </row>
    <row r="103" spans="1:15" s="20" customFormat="1" ht="14.25">
      <c r="A103" s="46">
        <v>101</v>
      </c>
      <c r="B103" s="20">
        <f>攻击!D103</f>
        <v>210</v>
      </c>
      <c r="C103" s="8">
        <f t="shared" si="39"/>
        <v>0.3</v>
      </c>
      <c r="D103" s="20">
        <f t="shared" si="53"/>
        <v>63</v>
      </c>
      <c r="E103" s="58"/>
      <c r="F103" s="8">
        <f t="shared" si="40"/>
        <v>0.8</v>
      </c>
      <c r="G103" s="20">
        <f t="shared" si="36"/>
        <v>168</v>
      </c>
      <c r="H103" s="20">
        <f t="shared" si="54"/>
        <v>50.4</v>
      </c>
      <c r="I103" s="58"/>
      <c r="J103" s="21">
        <f t="shared" si="37"/>
        <v>1.04</v>
      </c>
      <c r="K103" s="21">
        <f t="shared" si="38"/>
        <v>0.61538461538461542</v>
      </c>
      <c r="L103" s="21"/>
      <c r="M103" s="21"/>
      <c r="N103" s="21"/>
      <c r="O103" s="21"/>
    </row>
    <row r="104" spans="1:15" s="20" customFormat="1" ht="14.25">
      <c r="A104" s="46">
        <v>102</v>
      </c>
      <c r="B104" s="20">
        <f>攻击!D104</f>
        <v>212</v>
      </c>
      <c r="C104" s="8">
        <f t="shared" si="39"/>
        <v>0.3</v>
      </c>
      <c r="D104" s="20">
        <f t="shared" si="53"/>
        <v>63.599999999999994</v>
      </c>
      <c r="E104" s="58"/>
      <c r="F104" s="8">
        <f t="shared" si="40"/>
        <v>0.8</v>
      </c>
      <c r="G104" s="20">
        <f t="shared" si="36"/>
        <v>169.60000000000002</v>
      </c>
      <c r="H104" s="20">
        <f t="shared" si="54"/>
        <v>50.88</v>
      </c>
      <c r="I104" s="58"/>
      <c r="J104" s="21">
        <f t="shared" si="37"/>
        <v>1.04</v>
      </c>
      <c r="K104" s="21">
        <f t="shared" si="38"/>
        <v>0.61538461538461542</v>
      </c>
      <c r="L104" s="21"/>
      <c r="M104" s="21"/>
      <c r="N104" s="21"/>
      <c r="O104" s="21"/>
    </row>
    <row r="105" spans="1:15" s="20" customFormat="1" ht="14.25">
      <c r="A105" s="46">
        <v>103</v>
      </c>
      <c r="B105" s="20">
        <f>攻击!D105</f>
        <v>214</v>
      </c>
      <c r="C105" s="8">
        <f t="shared" si="39"/>
        <v>0.3</v>
      </c>
      <c r="D105" s="20">
        <f t="shared" si="53"/>
        <v>64.2</v>
      </c>
      <c r="E105" s="58"/>
      <c r="F105" s="8">
        <f t="shared" si="40"/>
        <v>0.8</v>
      </c>
      <c r="G105" s="20">
        <f t="shared" si="36"/>
        <v>171.20000000000002</v>
      </c>
      <c r="H105" s="20">
        <f t="shared" si="54"/>
        <v>51.360000000000007</v>
      </c>
      <c r="I105" s="58"/>
      <c r="J105" s="21">
        <f t="shared" si="37"/>
        <v>1.04</v>
      </c>
      <c r="K105" s="21">
        <f t="shared" si="38"/>
        <v>0.61538461538461542</v>
      </c>
      <c r="L105" s="21"/>
      <c r="M105" s="21"/>
      <c r="N105" s="21"/>
      <c r="O105" s="21"/>
    </row>
    <row r="106" spans="1:15" s="20" customFormat="1" ht="14.25">
      <c r="A106" s="46">
        <v>104</v>
      </c>
      <c r="B106" s="20">
        <f>攻击!D106</f>
        <v>216</v>
      </c>
      <c r="C106" s="8">
        <f t="shared" si="39"/>
        <v>0.3</v>
      </c>
      <c r="D106" s="20">
        <f t="shared" si="53"/>
        <v>64.8</v>
      </c>
      <c r="E106" s="58"/>
      <c r="F106" s="8">
        <f t="shared" si="40"/>
        <v>0.8</v>
      </c>
      <c r="G106" s="20">
        <f t="shared" si="36"/>
        <v>172.8</v>
      </c>
      <c r="H106" s="20">
        <f t="shared" si="54"/>
        <v>51.84</v>
      </c>
      <c r="I106" s="58"/>
      <c r="J106" s="21">
        <f t="shared" si="37"/>
        <v>1.04</v>
      </c>
      <c r="K106" s="21">
        <f t="shared" si="38"/>
        <v>0.61538461538461542</v>
      </c>
      <c r="L106" s="21"/>
      <c r="M106" s="21"/>
      <c r="N106" s="21"/>
      <c r="O106" s="21"/>
    </row>
    <row r="107" spans="1:15" s="20" customFormat="1" ht="14.25">
      <c r="A107" s="46">
        <v>105</v>
      </c>
      <c r="B107" s="20">
        <f>攻击!D107</f>
        <v>218</v>
      </c>
      <c r="C107" s="8">
        <f t="shared" si="39"/>
        <v>0.3</v>
      </c>
      <c r="D107" s="20">
        <f t="shared" si="53"/>
        <v>65.399999999999991</v>
      </c>
      <c r="E107" s="58"/>
      <c r="F107" s="8">
        <f t="shared" si="40"/>
        <v>0.8</v>
      </c>
      <c r="G107" s="20">
        <f t="shared" si="36"/>
        <v>174.4</v>
      </c>
      <c r="H107" s="20">
        <f t="shared" si="54"/>
        <v>52.32</v>
      </c>
      <c r="I107" s="58"/>
      <c r="J107" s="21">
        <f t="shared" si="37"/>
        <v>1.04</v>
      </c>
      <c r="K107" s="21">
        <f t="shared" si="38"/>
        <v>0.61538461538461542</v>
      </c>
      <c r="L107" s="21">
        <f t="shared" ref="L107" si="57">(G103+H103)/(B107+D107)</f>
        <v>0.77064220183486243</v>
      </c>
      <c r="M107" s="21">
        <f t="shared" ref="M107" si="58">G103/(D107+B107)</f>
        <v>0.59280169371912494</v>
      </c>
      <c r="N107" s="21"/>
      <c r="O107" s="21"/>
    </row>
    <row r="108" spans="1:15" s="20" customFormat="1" ht="14.25">
      <c r="A108" s="46">
        <v>106</v>
      </c>
      <c r="B108" s="20">
        <f>攻击!D108</f>
        <v>220</v>
      </c>
      <c r="C108" s="8">
        <f t="shared" si="39"/>
        <v>0.3</v>
      </c>
      <c r="D108" s="20">
        <f t="shared" si="53"/>
        <v>66</v>
      </c>
      <c r="E108" s="58"/>
      <c r="F108" s="8">
        <f t="shared" si="40"/>
        <v>0.8</v>
      </c>
      <c r="G108" s="20">
        <f t="shared" si="36"/>
        <v>176</v>
      </c>
      <c r="H108" s="20">
        <f t="shared" si="54"/>
        <v>52.8</v>
      </c>
      <c r="I108" s="58"/>
      <c r="J108" s="21">
        <f t="shared" si="37"/>
        <v>1.04</v>
      </c>
      <c r="K108" s="21">
        <f t="shared" si="38"/>
        <v>0.61538461538461542</v>
      </c>
      <c r="L108" s="21"/>
      <c r="M108" s="21"/>
      <c r="N108" s="21"/>
      <c r="O108" s="21"/>
    </row>
    <row r="109" spans="1:15" s="20" customFormat="1" ht="14.25">
      <c r="A109" s="46">
        <v>107</v>
      </c>
      <c r="B109" s="20">
        <f>攻击!D109</f>
        <v>222</v>
      </c>
      <c r="C109" s="8">
        <f t="shared" si="39"/>
        <v>0.3</v>
      </c>
      <c r="D109" s="20">
        <f t="shared" si="53"/>
        <v>66.599999999999994</v>
      </c>
      <c r="E109" s="58"/>
      <c r="F109" s="8">
        <f t="shared" si="40"/>
        <v>0.8</v>
      </c>
      <c r="G109" s="20">
        <f t="shared" si="36"/>
        <v>177.60000000000002</v>
      </c>
      <c r="H109" s="20">
        <f t="shared" si="54"/>
        <v>53.280000000000008</v>
      </c>
      <c r="I109" s="58"/>
      <c r="J109" s="21">
        <f t="shared" si="37"/>
        <v>1.04</v>
      </c>
      <c r="K109" s="21">
        <f t="shared" si="38"/>
        <v>0.61538461538461542</v>
      </c>
      <c r="L109" s="21"/>
      <c r="M109" s="21"/>
      <c r="N109" s="21"/>
      <c r="O109" s="21"/>
    </row>
    <row r="110" spans="1:15" s="20" customFormat="1" ht="14.25">
      <c r="A110" s="46">
        <v>108</v>
      </c>
      <c r="B110" s="20">
        <f>攻击!D110</f>
        <v>224</v>
      </c>
      <c r="C110" s="8">
        <f t="shared" si="39"/>
        <v>0.3</v>
      </c>
      <c r="D110" s="20">
        <f t="shared" si="53"/>
        <v>67.2</v>
      </c>
      <c r="E110" s="58"/>
      <c r="F110" s="8">
        <f t="shared" si="40"/>
        <v>0.8</v>
      </c>
      <c r="G110" s="20">
        <f t="shared" si="36"/>
        <v>179.20000000000002</v>
      </c>
      <c r="H110" s="20">
        <f t="shared" si="54"/>
        <v>53.760000000000005</v>
      </c>
      <c r="I110" s="58"/>
      <c r="J110" s="21">
        <f t="shared" si="37"/>
        <v>1.0400000000000003</v>
      </c>
      <c r="K110" s="21">
        <f t="shared" si="38"/>
        <v>0.61538461538461542</v>
      </c>
      <c r="L110" s="21"/>
      <c r="M110" s="21"/>
      <c r="N110" s="21"/>
      <c r="O110" s="21"/>
    </row>
    <row r="111" spans="1:15" s="20" customFormat="1" ht="14.25">
      <c r="A111" s="46">
        <v>109</v>
      </c>
      <c r="B111" s="20">
        <f>攻击!D111</f>
        <v>226</v>
      </c>
      <c r="C111" s="8">
        <f t="shared" si="39"/>
        <v>0.3</v>
      </c>
      <c r="D111" s="20">
        <f t="shared" si="53"/>
        <v>67.8</v>
      </c>
      <c r="E111" s="58"/>
      <c r="F111" s="8">
        <f t="shared" si="40"/>
        <v>0.8</v>
      </c>
      <c r="G111" s="20">
        <f t="shared" si="36"/>
        <v>180.8</v>
      </c>
      <c r="H111" s="20">
        <f t="shared" si="54"/>
        <v>54.24</v>
      </c>
      <c r="I111" s="58"/>
      <c r="J111" s="21">
        <f t="shared" si="37"/>
        <v>1.04</v>
      </c>
      <c r="K111" s="21">
        <f t="shared" si="38"/>
        <v>0.61538461538461542</v>
      </c>
      <c r="L111" s="21"/>
      <c r="M111" s="21"/>
      <c r="N111" s="21"/>
      <c r="O111" s="21"/>
    </row>
    <row r="112" spans="1:15" s="20" customFormat="1" ht="14.25">
      <c r="A112" s="46">
        <v>110</v>
      </c>
      <c r="B112" s="20">
        <f>攻击!D112</f>
        <v>228</v>
      </c>
      <c r="C112" s="8">
        <f t="shared" si="39"/>
        <v>0.3</v>
      </c>
      <c r="D112" s="20">
        <f t="shared" si="53"/>
        <v>68.399999999999991</v>
      </c>
      <c r="E112" s="58"/>
      <c r="F112" s="8">
        <f t="shared" si="40"/>
        <v>0.8</v>
      </c>
      <c r="G112" s="20">
        <f t="shared" si="36"/>
        <v>182.4</v>
      </c>
      <c r="H112" s="20">
        <f t="shared" si="54"/>
        <v>54.72</v>
      </c>
      <c r="I112" s="58"/>
      <c r="J112" s="21">
        <f t="shared" si="37"/>
        <v>1.04</v>
      </c>
      <c r="K112" s="21">
        <f t="shared" si="38"/>
        <v>0.61538461538461542</v>
      </c>
      <c r="L112" s="21">
        <f t="shared" ref="L112" si="59">(G108+H108)/(B112+D112)</f>
        <v>0.77192982456140358</v>
      </c>
      <c r="M112" s="21">
        <f t="shared" ref="M112" si="60">G108/(D112+B112)</f>
        <v>0.59379217273954121</v>
      </c>
      <c r="N112" s="21">
        <f>(G103+H103)/(D112+B112)</f>
        <v>0.73684210526315796</v>
      </c>
      <c r="O112" s="21">
        <f>G103/(D112+B112)</f>
        <v>0.5668016194331984</v>
      </c>
    </row>
    <row r="113" spans="1:15" s="20" customFormat="1" ht="14.25">
      <c r="A113" s="46">
        <v>111</v>
      </c>
      <c r="B113" s="20">
        <f>攻击!D113</f>
        <v>230</v>
      </c>
      <c r="C113" s="8">
        <f t="shared" si="39"/>
        <v>0.3</v>
      </c>
      <c r="D113" s="20">
        <f t="shared" si="53"/>
        <v>69</v>
      </c>
      <c r="E113" s="58"/>
      <c r="F113" s="8">
        <f t="shared" si="40"/>
        <v>0.8</v>
      </c>
      <c r="G113" s="20">
        <f t="shared" si="36"/>
        <v>184</v>
      </c>
      <c r="H113" s="20">
        <f t="shared" si="54"/>
        <v>55.199999999999996</v>
      </c>
      <c r="I113" s="58"/>
      <c r="J113" s="21">
        <f t="shared" si="37"/>
        <v>1.04</v>
      </c>
      <c r="K113" s="21">
        <f t="shared" si="38"/>
        <v>0.61538461538461542</v>
      </c>
      <c r="L113" s="21"/>
      <c r="M113" s="21"/>
      <c r="N113" s="21"/>
      <c r="O113" s="21"/>
    </row>
    <row r="114" spans="1:15" s="20" customFormat="1" ht="14.25">
      <c r="A114" s="46">
        <v>112</v>
      </c>
      <c r="B114" s="20">
        <f>攻击!D114</f>
        <v>232</v>
      </c>
      <c r="C114" s="8">
        <f t="shared" si="39"/>
        <v>0.3</v>
      </c>
      <c r="D114" s="20">
        <f t="shared" si="53"/>
        <v>69.599999999999994</v>
      </c>
      <c r="E114" s="58"/>
      <c r="F114" s="8">
        <f t="shared" si="40"/>
        <v>0.8</v>
      </c>
      <c r="G114" s="20">
        <f t="shared" si="36"/>
        <v>185.60000000000002</v>
      </c>
      <c r="H114" s="20">
        <f t="shared" si="54"/>
        <v>55.680000000000007</v>
      </c>
      <c r="I114" s="58"/>
      <c r="J114" s="21">
        <f t="shared" si="37"/>
        <v>1.04</v>
      </c>
      <c r="K114" s="21">
        <f t="shared" si="38"/>
        <v>0.61538461538461542</v>
      </c>
      <c r="L114" s="21"/>
      <c r="M114" s="21"/>
      <c r="N114" s="21"/>
      <c r="O114" s="21"/>
    </row>
    <row r="115" spans="1:15" s="20" customFormat="1" ht="14.25">
      <c r="A115" s="46">
        <v>113</v>
      </c>
      <c r="B115" s="20">
        <f>攻击!D115</f>
        <v>234</v>
      </c>
      <c r="C115" s="8">
        <f t="shared" si="39"/>
        <v>0.3</v>
      </c>
      <c r="D115" s="20">
        <f t="shared" si="53"/>
        <v>70.2</v>
      </c>
      <c r="E115" s="58"/>
      <c r="F115" s="8">
        <f t="shared" si="40"/>
        <v>0.8</v>
      </c>
      <c r="G115" s="20">
        <f t="shared" si="36"/>
        <v>187.20000000000002</v>
      </c>
      <c r="H115" s="20">
        <f t="shared" si="54"/>
        <v>56.160000000000004</v>
      </c>
      <c r="I115" s="58"/>
      <c r="J115" s="21">
        <f t="shared" si="37"/>
        <v>1.04</v>
      </c>
      <c r="K115" s="21">
        <f t="shared" si="38"/>
        <v>0.61538461538461542</v>
      </c>
      <c r="L115" s="21"/>
      <c r="M115" s="21"/>
      <c r="N115" s="21"/>
      <c r="O115" s="21"/>
    </row>
    <row r="116" spans="1:15" s="20" customFormat="1" ht="14.25">
      <c r="A116" s="46">
        <v>114</v>
      </c>
      <c r="B116" s="20">
        <f>攻击!D116</f>
        <v>236</v>
      </c>
      <c r="C116" s="8">
        <f t="shared" si="39"/>
        <v>0.3</v>
      </c>
      <c r="D116" s="20">
        <f t="shared" si="53"/>
        <v>70.8</v>
      </c>
      <c r="E116" s="58"/>
      <c r="F116" s="8">
        <f t="shared" si="40"/>
        <v>0.8</v>
      </c>
      <c r="G116" s="20">
        <f t="shared" si="36"/>
        <v>188.8</v>
      </c>
      <c r="H116" s="20">
        <f t="shared" si="54"/>
        <v>56.64</v>
      </c>
      <c r="I116" s="58"/>
      <c r="J116" s="21">
        <f t="shared" si="37"/>
        <v>1.04</v>
      </c>
      <c r="K116" s="21">
        <f t="shared" si="38"/>
        <v>0.61538461538461542</v>
      </c>
      <c r="L116" s="21"/>
      <c r="M116" s="21"/>
      <c r="N116" s="21"/>
      <c r="O116" s="21"/>
    </row>
    <row r="117" spans="1:15" s="20" customFormat="1" ht="14.25">
      <c r="A117" s="46">
        <v>115</v>
      </c>
      <c r="B117" s="20">
        <f>攻击!D117</f>
        <v>238</v>
      </c>
      <c r="C117" s="8">
        <f t="shared" si="39"/>
        <v>0.3</v>
      </c>
      <c r="D117" s="20">
        <f t="shared" si="53"/>
        <v>71.399999999999991</v>
      </c>
      <c r="E117" s="58"/>
      <c r="F117" s="8">
        <f t="shared" si="40"/>
        <v>0.8</v>
      </c>
      <c r="G117" s="20">
        <f t="shared" si="36"/>
        <v>190.4</v>
      </c>
      <c r="H117" s="20">
        <f t="shared" si="54"/>
        <v>57.12</v>
      </c>
      <c r="I117" s="58"/>
      <c r="J117" s="21">
        <f t="shared" si="37"/>
        <v>1.04</v>
      </c>
      <c r="K117" s="21">
        <f t="shared" si="38"/>
        <v>0.61538461538461542</v>
      </c>
      <c r="L117" s="21">
        <f t="shared" ref="L117" si="61">(G113+H113)/(B117+D117)</f>
        <v>0.77310924369747902</v>
      </c>
      <c r="M117" s="21">
        <f t="shared" ref="M117" si="62">G113/(D117+B117)</f>
        <v>0.59469941822882999</v>
      </c>
      <c r="N117" s="21"/>
      <c r="O117" s="21"/>
    </row>
    <row r="118" spans="1:15" s="20" customFormat="1" ht="14.25">
      <c r="A118" s="46">
        <v>116</v>
      </c>
      <c r="B118" s="20">
        <f>攻击!D118</f>
        <v>240</v>
      </c>
      <c r="C118" s="8">
        <f t="shared" si="39"/>
        <v>0.3</v>
      </c>
      <c r="D118" s="20">
        <f t="shared" si="53"/>
        <v>72</v>
      </c>
      <c r="E118" s="58"/>
      <c r="F118" s="8">
        <f t="shared" si="40"/>
        <v>0.8</v>
      </c>
      <c r="G118" s="20">
        <f t="shared" si="36"/>
        <v>192</v>
      </c>
      <c r="H118" s="20">
        <f t="shared" si="54"/>
        <v>57.599999999999994</v>
      </c>
      <c r="I118" s="58"/>
      <c r="J118" s="21">
        <f t="shared" si="37"/>
        <v>1.04</v>
      </c>
      <c r="K118" s="21">
        <f t="shared" si="38"/>
        <v>0.61538461538461542</v>
      </c>
      <c r="L118" s="21"/>
      <c r="M118" s="21"/>
      <c r="N118" s="21"/>
      <c r="O118" s="21"/>
    </row>
    <row r="119" spans="1:15" s="20" customFormat="1" ht="14.25">
      <c r="A119" s="46">
        <v>117</v>
      </c>
      <c r="B119" s="20">
        <f>攻击!D119</f>
        <v>242</v>
      </c>
      <c r="C119" s="8">
        <f t="shared" si="39"/>
        <v>0.3</v>
      </c>
      <c r="D119" s="20">
        <f t="shared" si="53"/>
        <v>72.599999999999994</v>
      </c>
      <c r="E119" s="58"/>
      <c r="F119" s="8">
        <f t="shared" si="40"/>
        <v>0.8</v>
      </c>
      <c r="G119" s="20">
        <f t="shared" si="36"/>
        <v>193.60000000000002</v>
      </c>
      <c r="H119" s="20">
        <f t="shared" si="54"/>
        <v>58.080000000000005</v>
      </c>
      <c r="I119" s="58"/>
      <c r="J119" s="21">
        <f t="shared" si="37"/>
        <v>1.04</v>
      </c>
      <c r="K119" s="21">
        <f t="shared" si="38"/>
        <v>0.61538461538461542</v>
      </c>
      <c r="L119" s="21"/>
      <c r="M119" s="21"/>
      <c r="N119" s="21"/>
      <c r="O119" s="21"/>
    </row>
    <row r="120" spans="1:15" s="20" customFormat="1" ht="14.25">
      <c r="A120" s="46">
        <v>118</v>
      </c>
      <c r="B120" s="20">
        <f>攻击!D120</f>
        <v>244</v>
      </c>
      <c r="C120" s="8">
        <f t="shared" si="39"/>
        <v>0.3</v>
      </c>
      <c r="D120" s="20">
        <f t="shared" si="53"/>
        <v>73.2</v>
      </c>
      <c r="E120" s="58"/>
      <c r="F120" s="8">
        <f t="shared" si="40"/>
        <v>0.8</v>
      </c>
      <c r="G120" s="20">
        <f t="shared" si="36"/>
        <v>195.20000000000002</v>
      </c>
      <c r="H120" s="20">
        <f t="shared" si="54"/>
        <v>58.56</v>
      </c>
      <c r="I120" s="58"/>
      <c r="J120" s="21">
        <f t="shared" si="37"/>
        <v>1.04</v>
      </c>
      <c r="K120" s="21">
        <f t="shared" si="38"/>
        <v>0.61538461538461542</v>
      </c>
      <c r="L120" s="21"/>
      <c r="M120" s="21"/>
      <c r="N120" s="21"/>
      <c r="O120" s="21"/>
    </row>
    <row r="121" spans="1:15" s="20" customFormat="1" ht="14.25">
      <c r="A121" s="46">
        <v>119</v>
      </c>
      <c r="B121" s="20">
        <f>攻击!D121</f>
        <v>246</v>
      </c>
      <c r="C121" s="8">
        <f t="shared" si="39"/>
        <v>0.3</v>
      </c>
      <c r="D121" s="20">
        <f t="shared" si="53"/>
        <v>73.8</v>
      </c>
      <c r="E121" s="58"/>
      <c r="F121" s="8">
        <f t="shared" si="40"/>
        <v>0.8</v>
      </c>
      <c r="G121" s="20">
        <f t="shared" si="36"/>
        <v>196.8</v>
      </c>
      <c r="H121" s="20">
        <f t="shared" si="54"/>
        <v>59.04</v>
      </c>
      <c r="I121" s="58"/>
      <c r="J121" s="21">
        <f t="shared" si="37"/>
        <v>1.04</v>
      </c>
      <c r="K121" s="21">
        <f t="shared" si="38"/>
        <v>0.61538461538461542</v>
      </c>
      <c r="L121" s="21"/>
      <c r="M121" s="21"/>
      <c r="N121" s="21"/>
      <c r="O121" s="21"/>
    </row>
    <row r="122" spans="1:15" s="20" customFormat="1" ht="14.25">
      <c r="A122" s="46">
        <v>120</v>
      </c>
      <c r="B122" s="20">
        <f>攻击!D122</f>
        <v>248</v>
      </c>
      <c r="C122" s="8">
        <f t="shared" si="39"/>
        <v>0.3</v>
      </c>
      <c r="D122" s="20">
        <f t="shared" si="53"/>
        <v>74.399999999999991</v>
      </c>
      <c r="E122" s="58"/>
      <c r="F122" s="8">
        <f t="shared" si="40"/>
        <v>0.8</v>
      </c>
      <c r="G122" s="20">
        <f t="shared" si="36"/>
        <v>198.4</v>
      </c>
      <c r="H122" s="20">
        <f t="shared" si="54"/>
        <v>59.519999999999996</v>
      </c>
      <c r="I122" s="58"/>
      <c r="J122" s="21">
        <f t="shared" si="37"/>
        <v>1.04</v>
      </c>
      <c r="K122" s="21">
        <f t="shared" si="38"/>
        <v>0.61538461538461542</v>
      </c>
      <c r="L122" s="21">
        <f t="shared" ref="L122" si="63">(G118+H118)/(B122+D122)</f>
        <v>0.77419354838709686</v>
      </c>
      <c r="M122" s="21">
        <f t="shared" ref="M122" si="64">G118/(D122+B122)</f>
        <v>0.59553349875930528</v>
      </c>
      <c r="N122" s="21">
        <f>(G113+H113)/(D122+B122)</f>
        <v>0.74193548387096775</v>
      </c>
      <c r="O122" s="21">
        <f>G113/(D122+B122)</f>
        <v>0.57071960297766755</v>
      </c>
    </row>
    <row r="123" spans="1:15">
      <c r="L123" s="21"/>
      <c r="M123" s="21"/>
      <c r="N123" s="21"/>
      <c r="O123" s="21"/>
    </row>
    <row r="124" spans="1:15">
      <c r="L124" s="21"/>
      <c r="M124" s="21"/>
      <c r="N124" s="21"/>
      <c r="O124" s="21"/>
    </row>
    <row r="125" spans="1:15">
      <c r="L125" s="21"/>
      <c r="M125" s="21"/>
      <c r="N125" s="21"/>
      <c r="O125" s="21"/>
    </row>
    <row r="126" spans="1:15">
      <c r="L126" s="21"/>
      <c r="M126" s="21"/>
      <c r="N126" s="21"/>
      <c r="O126" s="21"/>
    </row>
    <row r="127" spans="1:15">
      <c r="N127" s="21"/>
    </row>
    <row r="128" spans="1:15">
      <c r="N128" s="21"/>
    </row>
    <row r="129" spans="14:14" s="22" customFormat="1">
      <c r="N129" s="21"/>
    </row>
    <row r="130" spans="14:14" s="22" customFormat="1">
      <c r="N130" s="21"/>
    </row>
    <row r="131" spans="14:14" s="22" customFormat="1">
      <c r="N131" s="21"/>
    </row>
  </sheetData>
  <mergeCells count="4">
    <mergeCell ref="A1:A2"/>
    <mergeCell ref="B1:D1"/>
    <mergeCell ref="F1:H1"/>
    <mergeCell ref="J1:O1"/>
  </mergeCells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1"/>
  <sheetViews>
    <sheetView zoomScale="130" zoomScaleNormal="130" workbookViewId="0">
      <selection activeCell="Q20" sqref="Q20"/>
    </sheetView>
  </sheetViews>
  <sheetFormatPr defaultColWidth="6.375" defaultRowHeight="12.75"/>
  <cols>
    <col min="1" max="1" width="4.75" style="23" bestFit="1" customWidth="1"/>
    <col min="2" max="2" width="8" style="22" bestFit="1" customWidth="1"/>
    <col min="3" max="3" width="8" style="22" customWidth="1"/>
    <col min="4" max="4" width="6.375" style="22"/>
    <col min="5" max="5" width="4.75" style="22" bestFit="1" customWidth="1"/>
    <col min="6" max="6" width="4.25" style="59" customWidth="1"/>
    <col min="7" max="7" width="9.625" style="22" bestFit="1" customWidth="1"/>
    <col min="8" max="8" width="6.375" style="22"/>
    <col min="9" max="9" width="4.75" style="22" bestFit="1" customWidth="1"/>
    <col min="10" max="10" width="4.25" style="59" customWidth="1"/>
    <col min="11" max="11" width="11.375" style="24" bestFit="1" customWidth="1"/>
    <col min="12" max="13" width="11.375" style="24" customWidth="1"/>
    <col min="14" max="16" width="7.25" style="24" customWidth="1"/>
    <col min="17" max="17" width="8.125" style="24" bestFit="1" customWidth="1"/>
    <col min="18" max="16384" width="6.375" style="22"/>
  </cols>
  <sheetData>
    <row r="1" spans="1:17" s="60" customFormat="1" ht="15" customHeight="1" thickBot="1">
      <c r="A1" s="114" t="s">
        <v>0</v>
      </c>
      <c r="B1" s="116" t="s">
        <v>84</v>
      </c>
      <c r="C1" s="117"/>
      <c r="D1" s="117"/>
      <c r="E1" s="118"/>
      <c r="F1" s="59"/>
      <c r="G1" s="116" t="s">
        <v>81</v>
      </c>
      <c r="H1" s="117"/>
      <c r="I1" s="118"/>
      <c r="J1" s="59"/>
      <c r="K1" s="70" t="s">
        <v>75</v>
      </c>
      <c r="L1" s="71"/>
      <c r="M1" s="71"/>
      <c r="N1" s="71"/>
      <c r="O1" s="71"/>
      <c r="P1" s="71"/>
      <c r="Q1" s="72"/>
    </row>
    <row r="2" spans="1:17" s="43" customFormat="1">
      <c r="A2" s="115"/>
      <c r="B2" s="43" t="s">
        <v>70</v>
      </c>
      <c r="C2" s="43" t="s">
        <v>91</v>
      </c>
      <c r="D2" s="43" t="s">
        <v>61</v>
      </c>
      <c r="E2" s="43" t="s">
        <v>69</v>
      </c>
      <c r="F2" s="57"/>
      <c r="G2" s="43" t="s">
        <v>82</v>
      </c>
      <c r="H2" s="43" t="s">
        <v>61</v>
      </c>
      <c r="I2" s="43" t="s">
        <v>69</v>
      </c>
      <c r="J2" s="57"/>
      <c r="K2" s="44" t="s">
        <v>86</v>
      </c>
      <c r="L2" s="44" t="s">
        <v>83</v>
      </c>
      <c r="M2" s="44" t="s">
        <v>85</v>
      </c>
      <c r="N2" s="44" t="s">
        <v>87</v>
      </c>
      <c r="O2" s="44" t="s">
        <v>89</v>
      </c>
      <c r="P2" s="44" t="s">
        <v>88</v>
      </c>
      <c r="Q2" s="44" t="s">
        <v>90</v>
      </c>
    </row>
    <row r="3" spans="1:17" s="20" customFormat="1" ht="14.25">
      <c r="A3" s="46">
        <v>1</v>
      </c>
      <c r="B3" s="9">
        <v>0.1</v>
      </c>
      <c r="C3" s="9">
        <v>100</v>
      </c>
      <c r="D3" s="20">
        <f>C3</f>
        <v>100</v>
      </c>
      <c r="E3" s="20">
        <f>D3*B3</f>
        <v>10</v>
      </c>
      <c r="F3" s="58"/>
      <c r="G3" s="9">
        <v>0.8</v>
      </c>
      <c r="H3" s="20">
        <f>D3*G3</f>
        <v>80</v>
      </c>
      <c r="I3" s="20">
        <f>H3*B3</f>
        <v>8</v>
      </c>
      <c r="J3" s="58"/>
      <c r="K3" s="21">
        <f>(H3+I3)/(E3+D3)</f>
        <v>0.8</v>
      </c>
      <c r="L3" s="21">
        <f t="shared" ref="L3:L66" si="0">(H3+I3)/D3</f>
        <v>0.88</v>
      </c>
      <c r="M3" s="21">
        <f>H3/(E3+D3)</f>
        <v>0.72727272727272729</v>
      </c>
      <c r="N3" s="21"/>
      <c r="O3" s="21"/>
      <c r="P3" s="21"/>
      <c r="Q3" s="21"/>
    </row>
    <row r="4" spans="1:17" s="20" customFormat="1" ht="14.25">
      <c r="A4" s="46">
        <v>2</v>
      </c>
      <c r="B4" s="8">
        <f>B3</f>
        <v>0.1</v>
      </c>
      <c r="C4" s="9">
        <v>5</v>
      </c>
      <c r="D4" s="20">
        <f>C4+D3</f>
        <v>105</v>
      </c>
      <c r="E4" s="20">
        <f t="shared" ref="E4:E67" si="1">D4*B4</f>
        <v>10.5</v>
      </c>
      <c r="F4" s="58"/>
      <c r="G4" s="8">
        <f>G3</f>
        <v>0.8</v>
      </c>
      <c r="H4" s="20">
        <f t="shared" ref="H4:H67" si="2">D4*G4</f>
        <v>84</v>
      </c>
      <c r="I4" s="20">
        <f t="shared" ref="I4:I67" si="3">H4*B4</f>
        <v>8.4</v>
      </c>
      <c r="J4" s="58"/>
      <c r="K4" s="21">
        <f t="shared" ref="K4:K67" si="4">(H4+I4)/(E4+D4)</f>
        <v>0.8</v>
      </c>
      <c r="L4" s="21">
        <f t="shared" si="0"/>
        <v>0.88</v>
      </c>
      <c r="M4" s="21">
        <f t="shared" ref="M4:M67" si="5">H4/(E4+D4)</f>
        <v>0.72727272727272729</v>
      </c>
      <c r="N4" s="21"/>
      <c r="O4" s="21"/>
      <c r="P4" s="21"/>
      <c r="Q4" s="21"/>
    </row>
    <row r="5" spans="1:17" s="20" customFormat="1" ht="14.25">
      <c r="A5" s="46">
        <v>3</v>
      </c>
      <c r="B5" s="8">
        <f t="shared" ref="B5:C68" si="6">B4</f>
        <v>0.1</v>
      </c>
      <c r="C5" s="8">
        <f>C4</f>
        <v>5</v>
      </c>
      <c r="D5" s="20">
        <f t="shared" ref="D5:D68" si="7">C5+D4</f>
        <v>110</v>
      </c>
      <c r="E5" s="20">
        <f t="shared" si="1"/>
        <v>11</v>
      </c>
      <c r="F5" s="58"/>
      <c r="G5" s="8">
        <f t="shared" ref="G5:G68" si="8">G4</f>
        <v>0.8</v>
      </c>
      <c r="H5" s="20">
        <f t="shared" si="2"/>
        <v>88</v>
      </c>
      <c r="I5" s="20">
        <f t="shared" si="3"/>
        <v>8.8000000000000007</v>
      </c>
      <c r="J5" s="58"/>
      <c r="K5" s="21">
        <f t="shared" si="4"/>
        <v>0.79999999999999993</v>
      </c>
      <c r="L5" s="21">
        <f t="shared" si="0"/>
        <v>0.88</v>
      </c>
      <c r="M5" s="21">
        <f t="shared" si="5"/>
        <v>0.72727272727272729</v>
      </c>
      <c r="N5" s="21"/>
      <c r="O5" s="21"/>
      <c r="P5" s="21"/>
      <c r="Q5" s="21"/>
    </row>
    <row r="6" spans="1:17" s="20" customFormat="1" ht="14.25">
      <c r="A6" s="46">
        <v>4</v>
      </c>
      <c r="B6" s="8">
        <f t="shared" si="6"/>
        <v>0.1</v>
      </c>
      <c r="C6" s="8">
        <f t="shared" si="6"/>
        <v>5</v>
      </c>
      <c r="D6" s="20">
        <f t="shared" si="7"/>
        <v>115</v>
      </c>
      <c r="E6" s="20">
        <f t="shared" si="1"/>
        <v>11.5</v>
      </c>
      <c r="F6" s="58"/>
      <c r="G6" s="8">
        <f t="shared" si="8"/>
        <v>0.8</v>
      </c>
      <c r="H6" s="20">
        <f t="shared" si="2"/>
        <v>92</v>
      </c>
      <c r="I6" s="20">
        <f t="shared" si="3"/>
        <v>9.2000000000000011</v>
      </c>
      <c r="J6" s="58"/>
      <c r="K6" s="21">
        <f t="shared" si="4"/>
        <v>0.8</v>
      </c>
      <c r="L6" s="21">
        <f t="shared" si="0"/>
        <v>0.88</v>
      </c>
      <c r="M6" s="21">
        <f t="shared" si="5"/>
        <v>0.72727272727272729</v>
      </c>
      <c r="N6" s="21"/>
      <c r="O6" s="21"/>
      <c r="P6" s="21"/>
      <c r="Q6" s="21"/>
    </row>
    <row r="7" spans="1:17" s="20" customFormat="1" ht="14.25">
      <c r="A7" s="46">
        <v>5</v>
      </c>
      <c r="B7" s="8">
        <f t="shared" si="6"/>
        <v>0.1</v>
      </c>
      <c r="C7" s="8">
        <f t="shared" si="6"/>
        <v>5</v>
      </c>
      <c r="D7" s="20">
        <f t="shared" si="7"/>
        <v>120</v>
      </c>
      <c r="E7" s="20">
        <f t="shared" si="1"/>
        <v>12</v>
      </c>
      <c r="F7" s="58"/>
      <c r="G7" s="8">
        <f t="shared" si="8"/>
        <v>0.8</v>
      </c>
      <c r="H7" s="20">
        <f t="shared" si="2"/>
        <v>96</v>
      </c>
      <c r="I7" s="20">
        <f t="shared" si="3"/>
        <v>9.6000000000000014</v>
      </c>
      <c r="J7" s="58"/>
      <c r="K7" s="21">
        <f t="shared" si="4"/>
        <v>0.79999999999999993</v>
      </c>
      <c r="L7" s="21">
        <f t="shared" si="0"/>
        <v>0.88</v>
      </c>
      <c r="M7" s="21">
        <f t="shared" si="5"/>
        <v>0.72727272727272729</v>
      </c>
      <c r="N7" s="21">
        <f>H3/(E7+D7)</f>
        <v>0.60606060606060608</v>
      </c>
      <c r="O7" s="21">
        <f>(H3+I3)/(D7+E7)</f>
        <v>0.66666666666666663</v>
      </c>
      <c r="P7" s="21"/>
      <c r="Q7" s="21"/>
    </row>
    <row r="8" spans="1:17" s="20" customFormat="1" ht="14.25">
      <c r="A8" s="46">
        <v>6</v>
      </c>
      <c r="B8" s="8">
        <f t="shared" si="6"/>
        <v>0.1</v>
      </c>
      <c r="C8" s="8">
        <f t="shared" si="6"/>
        <v>5</v>
      </c>
      <c r="D8" s="20">
        <f t="shared" si="7"/>
        <v>125</v>
      </c>
      <c r="E8" s="20">
        <f t="shared" si="1"/>
        <v>12.5</v>
      </c>
      <c r="F8" s="58"/>
      <c r="G8" s="8">
        <f t="shared" si="8"/>
        <v>0.8</v>
      </c>
      <c r="H8" s="20">
        <f t="shared" si="2"/>
        <v>100</v>
      </c>
      <c r="I8" s="20">
        <f t="shared" si="3"/>
        <v>10</v>
      </c>
      <c r="J8" s="58"/>
      <c r="K8" s="21">
        <f t="shared" si="4"/>
        <v>0.8</v>
      </c>
      <c r="L8" s="21">
        <f t="shared" si="0"/>
        <v>0.88</v>
      </c>
      <c r="M8" s="21">
        <f t="shared" si="5"/>
        <v>0.72727272727272729</v>
      </c>
      <c r="N8" s="21"/>
      <c r="O8" s="21"/>
      <c r="P8" s="21"/>
      <c r="Q8" s="21"/>
    </row>
    <row r="9" spans="1:17" s="20" customFormat="1" ht="14.25">
      <c r="A9" s="46">
        <v>7</v>
      </c>
      <c r="B9" s="8">
        <f t="shared" si="6"/>
        <v>0.1</v>
      </c>
      <c r="C9" s="8">
        <f t="shared" si="6"/>
        <v>5</v>
      </c>
      <c r="D9" s="20">
        <f t="shared" si="7"/>
        <v>130</v>
      </c>
      <c r="E9" s="20">
        <f t="shared" si="1"/>
        <v>13</v>
      </c>
      <c r="F9" s="58"/>
      <c r="G9" s="8">
        <f t="shared" si="8"/>
        <v>0.8</v>
      </c>
      <c r="H9" s="20">
        <f t="shared" si="2"/>
        <v>104</v>
      </c>
      <c r="I9" s="20">
        <f t="shared" si="3"/>
        <v>10.4</v>
      </c>
      <c r="J9" s="58"/>
      <c r="K9" s="21">
        <f t="shared" si="4"/>
        <v>0.8</v>
      </c>
      <c r="L9" s="21">
        <f t="shared" si="0"/>
        <v>0.88</v>
      </c>
      <c r="M9" s="21">
        <f t="shared" si="5"/>
        <v>0.72727272727272729</v>
      </c>
      <c r="N9" s="21"/>
      <c r="O9" s="21"/>
      <c r="P9" s="21"/>
      <c r="Q9" s="21"/>
    </row>
    <row r="10" spans="1:17" s="20" customFormat="1" ht="14.25">
      <c r="A10" s="46">
        <v>8</v>
      </c>
      <c r="B10" s="8">
        <f t="shared" si="6"/>
        <v>0.1</v>
      </c>
      <c r="C10" s="8">
        <f t="shared" si="6"/>
        <v>5</v>
      </c>
      <c r="D10" s="20">
        <f t="shared" si="7"/>
        <v>135</v>
      </c>
      <c r="E10" s="20">
        <f t="shared" si="1"/>
        <v>13.5</v>
      </c>
      <c r="F10" s="58"/>
      <c r="G10" s="8">
        <f t="shared" si="8"/>
        <v>0.8</v>
      </c>
      <c r="H10" s="20">
        <f t="shared" si="2"/>
        <v>108</v>
      </c>
      <c r="I10" s="20">
        <f t="shared" si="3"/>
        <v>10.8</v>
      </c>
      <c r="J10" s="58"/>
      <c r="K10" s="21">
        <f t="shared" si="4"/>
        <v>0.79999999999999993</v>
      </c>
      <c r="L10" s="21">
        <f t="shared" si="0"/>
        <v>0.88</v>
      </c>
      <c r="M10" s="21">
        <f t="shared" si="5"/>
        <v>0.72727272727272729</v>
      </c>
      <c r="N10" s="21"/>
      <c r="O10" s="21"/>
      <c r="P10" s="21"/>
      <c r="Q10" s="21"/>
    </row>
    <row r="11" spans="1:17" s="20" customFormat="1" ht="14.25">
      <c r="A11" s="46">
        <v>9</v>
      </c>
      <c r="B11" s="8">
        <f t="shared" si="6"/>
        <v>0.1</v>
      </c>
      <c r="C11" s="8">
        <f t="shared" si="6"/>
        <v>5</v>
      </c>
      <c r="D11" s="20">
        <f t="shared" si="7"/>
        <v>140</v>
      </c>
      <c r="E11" s="20">
        <f t="shared" si="1"/>
        <v>14</v>
      </c>
      <c r="F11" s="58"/>
      <c r="G11" s="8">
        <f t="shared" si="8"/>
        <v>0.8</v>
      </c>
      <c r="H11" s="20">
        <f t="shared" si="2"/>
        <v>112</v>
      </c>
      <c r="I11" s="20">
        <f t="shared" si="3"/>
        <v>11.200000000000001</v>
      </c>
      <c r="J11" s="58"/>
      <c r="K11" s="21">
        <f t="shared" si="4"/>
        <v>0.8</v>
      </c>
      <c r="L11" s="21">
        <f t="shared" si="0"/>
        <v>0.88</v>
      </c>
      <c r="M11" s="21">
        <f t="shared" si="5"/>
        <v>0.72727272727272729</v>
      </c>
      <c r="N11" s="21"/>
      <c r="O11" s="21"/>
      <c r="P11" s="21"/>
      <c r="Q11" s="21"/>
    </row>
    <row r="12" spans="1:17" s="20" customFormat="1" ht="14.25">
      <c r="A12" s="46">
        <v>10</v>
      </c>
      <c r="B12" s="8">
        <f t="shared" si="6"/>
        <v>0.1</v>
      </c>
      <c r="C12" s="9">
        <v>10</v>
      </c>
      <c r="D12" s="20">
        <f t="shared" si="7"/>
        <v>150</v>
      </c>
      <c r="E12" s="20">
        <f t="shared" si="1"/>
        <v>15</v>
      </c>
      <c r="F12" s="58"/>
      <c r="G12" s="8">
        <f t="shared" si="8"/>
        <v>0.8</v>
      </c>
      <c r="H12" s="20">
        <f t="shared" si="2"/>
        <v>120</v>
      </c>
      <c r="I12" s="20">
        <f t="shared" si="3"/>
        <v>12</v>
      </c>
      <c r="J12" s="58"/>
      <c r="K12" s="21">
        <f t="shared" si="4"/>
        <v>0.8</v>
      </c>
      <c r="L12" s="21">
        <f t="shared" si="0"/>
        <v>0.88</v>
      </c>
      <c r="M12" s="21">
        <f t="shared" si="5"/>
        <v>0.72727272727272729</v>
      </c>
      <c r="N12" s="21">
        <f>H8/(E12+D12)</f>
        <v>0.60606060606060608</v>
      </c>
      <c r="O12" s="21">
        <f>(H8+I8)/(D12+E12)</f>
        <v>0.66666666666666663</v>
      </c>
      <c r="P12" s="21">
        <f>H3/(E12+D12)</f>
        <v>0.48484848484848486</v>
      </c>
      <c r="Q12" s="21">
        <f>(H3+I3)/(E12+D12)</f>
        <v>0.53333333333333333</v>
      </c>
    </row>
    <row r="13" spans="1:17" s="20" customFormat="1" ht="14.25">
      <c r="A13" s="46">
        <v>11</v>
      </c>
      <c r="B13" s="8">
        <f t="shared" si="6"/>
        <v>0.1</v>
      </c>
      <c r="C13" s="8">
        <f t="shared" si="6"/>
        <v>10</v>
      </c>
      <c r="D13" s="20">
        <f t="shared" si="7"/>
        <v>160</v>
      </c>
      <c r="E13" s="20">
        <f t="shared" si="1"/>
        <v>16</v>
      </c>
      <c r="F13" s="58"/>
      <c r="G13" s="8">
        <f t="shared" si="8"/>
        <v>0.8</v>
      </c>
      <c r="H13" s="20">
        <f t="shared" si="2"/>
        <v>128</v>
      </c>
      <c r="I13" s="20">
        <f t="shared" si="3"/>
        <v>12.8</v>
      </c>
      <c r="J13" s="58"/>
      <c r="K13" s="21">
        <f t="shared" si="4"/>
        <v>0.8</v>
      </c>
      <c r="L13" s="21">
        <f t="shared" si="0"/>
        <v>0.88000000000000012</v>
      </c>
      <c r="M13" s="21">
        <f t="shared" si="5"/>
        <v>0.72727272727272729</v>
      </c>
      <c r="N13" s="21"/>
      <c r="O13" s="21"/>
      <c r="P13" s="21"/>
      <c r="Q13" s="21"/>
    </row>
    <row r="14" spans="1:17" s="20" customFormat="1" ht="14.25">
      <c r="A14" s="46">
        <v>12</v>
      </c>
      <c r="B14" s="8">
        <f t="shared" si="6"/>
        <v>0.1</v>
      </c>
      <c r="C14" s="8">
        <f t="shared" si="6"/>
        <v>10</v>
      </c>
      <c r="D14" s="20">
        <f t="shared" si="7"/>
        <v>170</v>
      </c>
      <c r="E14" s="20">
        <f t="shared" si="1"/>
        <v>17</v>
      </c>
      <c r="F14" s="58"/>
      <c r="G14" s="8">
        <f t="shared" si="8"/>
        <v>0.8</v>
      </c>
      <c r="H14" s="20">
        <f t="shared" si="2"/>
        <v>136</v>
      </c>
      <c r="I14" s="20">
        <f t="shared" si="3"/>
        <v>13.600000000000001</v>
      </c>
      <c r="J14" s="58"/>
      <c r="K14" s="21">
        <f t="shared" si="4"/>
        <v>0.79999999999999993</v>
      </c>
      <c r="L14" s="21">
        <f t="shared" si="0"/>
        <v>0.88</v>
      </c>
      <c r="M14" s="21">
        <f t="shared" si="5"/>
        <v>0.72727272727272729</v>
      </c>
      <c r="N14" s="21"/>
      <c r="O14" s="21"/>
      <c r="P14" s="21"/>
      <c r="Q14" s="21"/>
    </row>
    <row r="15" spans="1:17" s="20" customFormat="1" ht="14.25">
      <c r="A15" s="46">
        <v>13</v>
      </c>
      <c r="B15" s="8">
        <f t="shared" si="6"/>
        <v>0.1</v>
      </c>
      <c r="C15" s="8">
        <f t="shared" si="6"/>
        <v>10</v>
      </c>
      <c r="D15" s="20">
        <f t="shared" si="7"/>
        <v>180</v>
      </c>
      <c r="E15" s="20">
        <f t="shared" si="1"/>
        <v>18</v>
      </c>
      <c r="F15" s="58"/>
      <c r="G15" s="8">
        <f t="shared" si="8"/>
        <v>0.8</v>
      </c>
      <c r="H15" s="20">
        <f t="shared" si="2"/>
        <v>144</v>
      </c>
      <c r="I15" s="20">
        <f t="shared" si="3"/>
        <v>14.4</v>
      </c>
      <c r="J15" s="58"/>
      <c r="K15" s="21">
        <f t="shared" si="4"/>
        <v>0.8</v>
      </c>
      <c r="L15" s="21">
        <f t="shared" si="0"/>
        <v>0.88</v>
      </c>
      <c r="M15" s="21">
        <f t="shared" si="5"/>
        <v>0.72727272727272729</v>
      </c>
      <c r="N15" s="21"/>
      <c r="O15" s="21"/>
      <c r="P15" s="21"/>
      <c r="Q15" s="21"/>
    </row>
    <row r="16" spans="1:17" s="20" customFormat="1" ht="14.25">
      <c r="A16" s="46">
        <v>14</v>
      </c>
      <c r="B16" s="8">
        <f t="shared" si="6"/>
        <v>0.1</v>
      </c>
      <c r="C16" s="8">
        <f t="shared" si="6"/>
        <v>10</v>
      </c>
      <c r="D16" s="20">
        <f t="shared" si="7"/>
        <v>190</v>
      </c>
      <c r="E16" s="20">
        <f t="shared" si="1"/>
        <v>19</v>
      </c>
      <c r="F16" s="58"/>
      <c r="G16" s="8">
        <f t="shared" si="8"/>
        <v>0.8</v>
      </c>
      <c r="H16" s="20">
        <f t="shared" si="2"/>
        <v>152</v>
      </c>
      <c r="I16" s="20">
        <f t="shared" si="3"/>
        <v>15.200000000000001</v>
      </c>
      <c r="J16" s="58"/>
      <c r="K16" s="21">
        <f t="shared" si="4"/>
        <v>0.79999999999999993</v>
      </c>
      <c r="L16" s="21">
        <f t="shared" si="0"/>
        <v>0.87999999999999989</v>
      </c>
      <c r="M16" s="21">
        <f t="shared" si="5"/>
        <v>0.72727272727272729</v>
      </c>
      <c r="N16" s="21"/>
      <c r="O16" s="21"/>
      <c r="P16" s="21"/>
      <c r="Q16" s="21"/>
    </row>
    <row r="17" spans="1:17" s="20" customFormat="1" ht="14.25">
      <c r="A17" s="46">
        <v>15</v>
      </c>
      <c r="B17" s="8">
        <f t="shared" si="6"/>
        <v>0.1</v>
      </c>
      <c r="C17" s="8">
        <f t="shared" si="6"/>
        <v>10</v>
      </c>
      <c r="D17" s="20">
        <f t="shared" si="7"/>
        <v>200</v>
      </c>
      <c r="E17" s="20">
        <f t="shared" si="1"/>
        <v>20</v>
      </c>
      <c r="F17" s="58"/>
      <c r="G17" s="8">
        <f t="shared" si="8"/>
        <v>0.8</v>
      </c>
      <c r="H17" s="20">
        <f t="shared" si="2"/>
        <v>160</v>
      </c>
      <c r="I17" s="20">
        <f t="shared" si="3"/>
        <v>16</v>
      </c>
      <c r="J17" s="58"/>
      <c r="K17" s="21">
        <f t="shared" si="4"/>
        <v>0.8</v>
      </c>
      <c r="L17" s="21">
        <f t="shared" si="0"/>
        <v>0.88</v>
      </c>
      <c r="M17" s="21">
        <f t="shared" si="5"/>
        <v>0.72727272727272729</v>
      </c>
      <c r="N17" s="21">
        <f t="shared" ref="N17" si="9">H13/(E17+D17)</f>
        <v>0.58181818181818179</v>
      </c>
      <c r="O17" s="21">
        <f t="shared" ref="O17" si="10">(H13+I13)/(D17+E17)</f>
        <v>0.64</v>
      </c>
      <c r="P17" s="21"/>
      <c r="Q17" s="21"/>
    </row>
    <row r="18" spans="1:17" s="20" customFormat="1" ht="14.25">
      <c r="A18" s="46">
        <v>16</v>
      </c>
      <c r="B18" s="8">
        <f t="shared" si="6"/>
        <v>0.1</v>
      </c>
      <c r="C18" s="8">
        <f t="shared" si="6"/>
        <v>10</v>
      </c>
      <c r="D18" s="20">
        <f t="shared" si="7"/>
        <v>210</v>
      </c>
      <c r="E18" s="20">
        <f t="shared" si="1"/>
        <v>21</v>
      </c>
      <c r="F18" s="58"/>
      <c r="G18" s="8">
        <f t="shared" si="8"/>
        <v>0.8</v>
      </c>
      <c r="H18" s="20">
        <f t="shared" si="2"/>
        <v>168</v>
      </c>
      <c r="I18" s="20">
        <f t="shared" si="3"/>
        <v>16.8</v>
      </c>
      <c r="J18" s="58"/>
      <c r="K18" s="21">
        <f t="shared" si="4"/>
        <v>0.8</v>
      </c>
      <c r="L18" s="21">
        <f t="shared" si="0"/>
        <v>0.88</v>
      </c>
      <c r="M18" s="21">
        <f t="shared" si="5"/>
        <v>0.72727272727272729</v>
      </c>
      <c r="N18" s="21"/>
      <c r="O18" s="21"/>
      <c r="P18" s="21"/>
      <c r="Q18" s="21"/>
    </row>
    <row r="19" spans="1:17" s="20" customFormat="1" ht="14.25">
      <c r="A19" s="46">
        <v>17</v>
      </c>
      <c r="B19" s="8">
        <f t="shared" si="6"/>
        <v>0.1</v>
      </c>
      <c r="C19" s="8">
        <f t="shared" si="6"/>
        <v>10</v>
      </c>
      <c r="D19" s="20">
        <f t="shared" si="7"/>
        <v>220</v>
      </c>
      <c r="E19" s="20">
        <f t="shared" si="1"/>
        <v>22</v>
      </c>
      <c r="F19" s="58"/>
      <c r="G19" s="8">
        <f t="shared" si="8"/>
        <v>0.8</v>
      </c>
      <c r="H19" s="20">
        <f t="shared" si="2"/>
        <v>176</v>
      </c>
      <c r="I19" s="20">
        <f t="shared" si="3"/>
        <v>17.600000000000001</v>
      </c>
      <c r="J19" s="58"/>
      <c r="K19" s="21">
        <f t="shared" si="4"/>
        <v>0.79999999999999993</v>
      </c>
      <c r="L19" s="21">
        <f t="shared" si="0"/>
        <v>0.88</v>
      </c>
      <c r="M19" s="21">
        <f t="shared" si="5"/>
        <v>0.72727272727272729</v>
      </c>
      <c r="N19" s="21"/>
      <c r="O19" s="21"/>
      <c r="P19" s="21"/>
      <c r="Q19" s="21"/>
    </row>
    <row r="20" spans="1:17" s="20" customFormat="1" ht="14.25">
      <c r="A20" s="46">
        <v>18</v>
      </c>
      <c r="B20" s="8">
        <f t="shared" si="6"/>
        <v>0.1</v>
      </c>
      <c r="C20" s="8">
        <f t="shared" si="6"/>
        <v>10</v>
      </c>
      <c r="D20" s="20">
        <f t="shared" si="7"/>
        <v>230</v>
      </c>
      <c r="E20" s="20">
        <f t="shared" si="1"/>
        <v>23</v>
      </c>
      <c r="F20" s="58"/>
      <c r="G20" s="8">
        <f t="shared" si="8"/>
        <v>0.8</v>
      </c>
      <c r="H20" s="20">
        <f t="shared" si="2"/>
        <v>184</v>
      </c>
      <c r="I20" s="20">
        <f t="shared" si="3"/>
        <v>18.400000000000002</v>
      </c>
      <c r="J20" s="58"/>
      <c r="K20" s="21">
        <f t="shared" si="4"/>
        <v>0.8</v>
      </c>
      <c r="L20" s="21">
        <f t="shared" si="0"/>
        <v>0.88</v>
      </c>
      <c r="M20" s="21">
        <f t="shared" si="5"/>
        <v>0.72727272727272729</v>
      </c>
      <c r="N20" s="21"/>
      <c r="O20" s="21"/>
      <c r="P20" s="21"/>
      <c r="Q20" s="21"/>
    </row>
    <row r="21" spans="1:17" s="20" customFormat="1" ht="14.25">
      <c r="A21" s="46">
        <v>19</v>
      </c>
      <c r="B21" s="8">
        <f t="shared" si="6"/>
        <v>0.1</v>
      </c>
      <c r="C21" s="8">
        <f t="shared" si="6"/>
        <v>10</v>
      </c>
      <c r="D21" s="20">
        <f t="shared" si="7"/>
        <v>240</v>
      </c>
      <c r="E21" s="20">
        <f t="shared" si="1"/>
        <v>24</v>
      </c>
      <c r="F21" s="58"/>
      <c r="G21" s="8">
        <f t="shared" si="8"/>
        <v>0.8</v>
      </c>
      <c r="H21" s="20">
        <f t="shared" si="2"/>
        <v>192</v>
      </c>
      <c r="I21" s="20">
        <f t="shared" si="3"/>
        <v>19.200000000000003</v>
      </c>
      <c r="J21" s="58"/>
      <c r="K21" s="21">
        <f t="shared" si="4"/>
        <v>0.79999999999999993</v>
      </c>
      <c r="L21" s="21">
        <f t="shared" si="0"/>
        <v>0.88</v>
      </c>
      <c r="M21" s="21">
        <f t="shared" si="5"/>
        <v>0.72727272727272729</v>
      </c>
      <c r="N21" s="21"/>
      <c r="O21" s="21"/>
      <c r="P21" s="21"/>
      <c r="Q21" s="21"/>
    </row>
    <row r="22" spans="1:17" s="20" customFormat="1" ht="14.25">
      <c r="A22" s="46">
        <v>20</v>
      </c>
      <c r="B22" s="8">
        <f t="shared" si="6"/>
        <v>0.1</v>
      </c>
      <c r="C22" s="9">
        <v>15</v>
      </c>
      <c r="D22" s="20">
        <f t="shared" si="7"/>
        <v>255</v>
      </c>
      <c r="E22" s="20">
        <f t="shared" si="1"/>
        <v>25.5</v>
      </c>
      <c r="F22" s="58"/>
      <c r="G22" s="8">
        <f t="shared" si="8"/>
        <v>0.8</v>
      </c>
      <c r="H22" s="20">
        <f t="shared" si="2"/>
        <v>204</v>
      </c>
      <c r="I22" s="20">
        <f t="shared" si="3"/>
        <v>20.400000000000002</v>
      </c>
      <c r="J22" s="58"/>
      <c r="K22" s="21">
        <f t="shared" si="4"/>
        <v>0.8</v>
      </c>
      <c r="L22" s="21">
        <f t="shared" si="0"/>
        <v>0.88</v>
      </c>
      <c r="M22" s="21">
        <f t="shared" si="5"/>
        <v>0.72727272727272729</v>
      </c>
      <c r="N22" s="21">
        <f t="shared" ref="N22" si="11">H18/(E22+D22)</f>
        <v>0.59893048128342241</v>
      </c>
      <c r="O22" s="21">
        <f t="shared" ref="O22" si="12">(H18+I18)/(D22+E22)</f>
        <v>0.6588235294117647</v>
      </c>
      <c r="P22" s="21">
        <f>H13/(E22+D22)</f>
        <v>0.45632798573975042</v>
      </c>
      <c r="Q22" s="21">
        <f t="shared" ref="Q22" si="13">(H13+I13)/(E22+D22)</f>
        <v>0.50196078431372548</v>
      </c>
    </row>
    <row r="23" spans="1:17" s="20" customFormat="1" ht="14.25">
      <c r="A23" s="46">
        <v>21</v>
      </c>
      <c r="B23" s="8">
        <f t="shared" si="6"/>
        <v>0.1</v>
      </c>
      <c r="C23" s="8">
        <f t="shared" si="6"/>
        <v>15</v>
      </c>
      <c r="D23" s="20">
        <f t="shared" si="7"/>
        <v>270</v>
      </c>
      <c r="E23" s="20">
        <f t="shared" si="1"/>
        <v>27</v>
      </c>
      <c r="F23" s="58"/>
      <c r="G23" s="8">
        <f t="shared" si="8"/>
        <v>0.8</v>
      </c>
      <c r="H23" s="20">
        <f t="shared" si="2"/>
        <v>216</v>
      </c>
      <c r="I23" s="20">
        <f t="shared" si="3"/>
        <v>21.6</v>
      </c>
      <c r="J23" s="58"/>
      <c r="K23" s="21">
        <f t="shared" si="4"/>
        <v>0.79999999999999993</v>
      </c>
      <c r="L23" s="21">
        <f t="shared" si="0"/>
        <v>0.88</v>
      </c>
      <c r="M23" s="21">
        <f t="shared" si="5"/>
        <v>0.72727272727272729</v>
      </c>
      <c r="N23" s="21"/>
      <c r="O23" s="21"/>
      <c r="P23" s="21"/>
      <c r="Q23" s="21"/>
    </row>
    <row r="24" spans="1:17" s="20" customFormat="1" ht="14.25">
      <c r="A24" s="46">
        <v>22</v>
      </c>
      <c r="B24" s="8">
        <f t="shared" si="6"/>
        <v>0.1</v>
      </c>
      <c r="C24" s="8">
        <f t="shared" si="6"/>
        <v>15</v>
      </c>
      <c r="D24" s="20">
        <f t="shared" si="7"/>
        <v>285</v>
      </c>
      <c r="E24" s="20">
        <f t="shared" si="1"/>
        <v>28.5</v>
      </c>
      <c r="F24" s="58"/>
      <c r="G24" s="8">
        <f t="shared" si="8"/>
        <v>0.8</v>
      </c>
      <c r="H24" s="20">
        <f t="shared" si="2"/>
        <v>228</v>
      </c>
      <c r="I24" s="20">
        <f t="shared" si="3"/>
        <v>22.8</v>
      </c>
      <c r="J24" s="58"/>
      <c r="K24" s="21">
        <f t="shared" si="4"/>
        <v>0.8</v>
      </c>
      <c r="L24" s="21">
        <f t="shared" si="0"/>
        <v>0.88</v>
      </c>
      <c r="M24" s="21">
        <f t="shared" si="5"/>
        <v>0.72727272727272729</v>
      </c>
      <c r="N24" s="21"/>
      <c r="O24" s="21"/>
      <c r="P24" s="21"/>
      <c r="Q24" s="21"/>
    </row>
    <row r="25" spans="1:17" s="20" customFormat="1" ht="14.25">
      <c r="A25" s="46">
        <v>23</v>
      </c>
      <c r="B25" s="8">
        <f t="shared" si="6"/>
        <v>0.1</v>
      </c>
      <c r="C25" s="8">
        <f t="shared" si="6"/>
        <v>15</v>
      </c>
      <c r="D25" s="20">
        <f t="shared" si="7"/>
        <v>300</v>
      </c>
      <c r="E25" s="20">
        <f t="shared" si="1"/>
        <v>30</v>
      </c>
      <c r="F25" s="58"/>
      <c r="G25" s="8">
        <f t="shared" si="8"/>
        <v>0.8</v>
      </c>
      <c r="H25" s="20">
        <f t="shared" si="2"/>
        <v>240</v>
      </c>
      <c r="I25" s="20">
        <f t="shared" si="3"/>
        <v>24</v>
      </c>
      <c r="J25" s="58"/>
      <c r="K25" s="21">
        <f t="shared" si="4"/>
        <v>0.8</v>
      </c>
      <c r="L25" s="21">
        <f t="shared" si="0"/>
        <v>0.88</v>
      </c>
      <c r="M25" s="21">
        <f t="shared" si="5"/>
        <v>0.72727272727272729</v>
      </c>
      <c r="N25" s="21"/>
      <c r="O25" s="21"/>
      <c r="P25" s="21"/>
      <c r="Q25" s="21"/>
    </row>
    <row r="26" spans="1:17" s="20" customFormat="1" ht="14.25">
      <c r="A26" s="46">
        <v>24</v>
      </c>
      <c r="B26" s="8">
        <f t="shared" si="6"/>
        <v>0.1</v>
      </c>
      <c r="C26" s="8">
        <f t="shared" si="6"/>
        <v>15</v>
      </c>
      <c r="D26" s="20">
        <f t="shared" si="7"/>
        <v>315</v>
      </c>
      <c r="E26" s="20">
        <f t="shared" si="1"/>
        <v>31.5</v>
      </c>
      <c r="F26" s="58"/>
      <c r="G26" s="8">
        <f t="shared" si="8"/>
        <v>0.8</v>
      </c>
      <c r="H26" s="20">
        <f t="shared" si="2"/>
        <v>252</v>
      </c>
      <c r="I26" s="20">
        <f t="shared" si="3"/>
        <v>25.200000000000003</v>
      </c>
      <c r="J26" s="58"/>
      <c r="K26" s="21">
        <f t="shared" si="4"/>
        <v>0.79999999999999993</v>
      </c>
      <c r="L26" s="21">
        <f t="shared" si="0"/>
        <v>0.88</v>
      </c>
      <c r="M26" s="21">
        <f t="shared" si="5"/>
        <v>0.72727272727272729</v>
      </c>
      <c r="N26" s="21"/>
      <c r="O26" s="21"/>
      <c r="P26" s="21"/>
      <c r="Q26" s="21"/>
    </row>
    <row r="27" spans="1:17" s="20" customFormat="1" ht="14.25">
      <c r="A27" s="46">
        <v>25</v>
      </c>
      <c r="B27" s="8">
        <f t="shared" si="6"/>
        <v>0.1</v>
      </c>
      <c r="C27" s="8">
        <f t="shared" si="6"/>
        <v>15</v>
      </c>
      <c r="D27" s="20">
        <f t="shared" si="7"/>
        <v>330</v>
      </c>
      <c r="E27" s="20">
        <f t="shared" si="1"/>
        <v>33</v>
      </c>
      <c r="F27" s="58"/>
      <c r="G27" s="8">
        <f t="shared" si="8"/>
        <v>0.8</v>
      </c>
      <c r="H27" s="20">
        <f t="shared" si="2"/>
        <v>264</v>
      </c>
      <c r="I27" s="20">
        <f t="shared" si="3"/>
        <v>26.400000000000002</v>
      </c>
      <c r="J27" s="58"/>
      <c r="K27" s="21">
        <f t="shared" si="4"/>
        <v>0.79999999999999993</v>
      </c>
      <c r="L27" s="21">
        <f t="shared" si="0"/>
        <v>0.87999999999999989</v>
      </c>
      <c r="M27" s="21">
        <f t="shared" si="5"/>
        <v>0.72727272727272729</v>
      </c>
      <c r="N27" s="21">
        <f t="shared" ref="N27" si="14">H23/(E27+D27)</f>
        <v>0.5950413223140496</v>
      </c>
      <c r="O27" s="21">
        <f t="shared" ref="O27" si="15">(H23+I23)/(D27+E27)</f>
        <v>0.65454545454545454</v>
      </c>
      <c r="P27" s="21"/>
      <c r="Q27" s="21"/>
    </row>
    <row r="28" spans="1:17" s="20" customFormat="1" ht="14.25">
      <c r="A28" s="46">
        <v>26</v>
      </c>
      <c r="B28" s="8">
        <f t="shared" si="6"/>
        <v>0.1</v>
      </c>
      <c r="C28" s="8">
        <f t="shared" si="6"/>
        <v>15</v>
      </c>
      <c r="D28" s="20">
        <f t="shared" si="7"/>
        <v>345</v>
      </c>
      <c r="E28" s="20">
        <f t="shared" si="1"/>
        <v>34.5</v>
      </c>
      <c r="F28" s="58"/>
      <c r="G28" s="8">
        <f t="shared" si="8"/>
        <v>0.8</v>
      </c>
      <c r="H28" s="20">
        <f t="shared" si="2"/>
        <v>276</v>
      </c>
      <c r="I28" s="20">
        <f t="shared" si="3"/>
        <v>27.6</v>
      </c>
      <c r="J28" s="58"/>
      <c r="K28" s="21">
        <f t="shared" si="4"/>
        <v>0.8</v>
      </c>
      <c r="L28" s="21">
        <f t="shared" si="0"/>
        <v>0.88000000000000012</v>
      </c>
      <c r="M28" s="21">
        <f t="shared" si="5"/>
        <v>0.72727272727272729</v>
      </c>
      <c r="N28" s="21"/>
      <c r="O28" s="21"/>
      <c r="P28" s="21"/>
      <c r="Q28" s="21"/>
    </row>
    <row r="29" spans="1:17" s="20" customFormat="1" ht="14.25">
      <c r="A29" s="46">
        <v>27</v>
      </c>
      <c r="B29" s="8">
        <f t="shared" si="6"/>
        <v>0.1</v>
      </c>
      <c r="C29" s="8">
        <f t="shared" si="6"/>
        <v>15</v>
      </c>
      <c r="D29" s="20">
        <f t="shared" si="7"/>
        <v>360</v>
      </c>
      <c r="E29" s="20">
        <f t="shared" si="1"/>
        <v>36</v>
      </c>
      <c r="F29" s="58"/>
      <c r="G29" s="8">
        <f t="shared" si="8"/>
        <v>0.8</v>
      </c>
      <c r="H29" s="20">
        <f t="shared" si="2"/>
        <v>288</v>
      </c>
      <c r="I29" s="20">
        <f t="shared" si="3"/>
        <v>28.8</v>
      </c>
      <c r="J29" s="58"/>
      <c r="K29" s="21">
        <f t="shared" si="4"/>
        <v>0.8</v>
      </c>
      <c r="L29" s="21">
        <f t="shared" si="0"/>
        <v>0.88</v>
      </c>
      <c r="M29" s="21">
        <f t="shared" si="5"/>
        <v>0.72727272727272729</v>
      </c>
      <c r="N29" s="21"/>
      <c r="O29" s="21"/>
      <c r="P29" s="21"/>
      <c r="Q29" s="21"/>
    </row>
    <row r="30" spans="1:17" s="20" customFormat="1" ht="14.25">
      <c r="A30" s="46">
        <v>28</v>
      </c>
      <c r="B30" s="8">
        <f t="shared" si="6"/>
        <v>0.1</v>
      </c>
      <c r="C30" s="8">
        <f t="shared" si="6"/>
        <v>15</v>
      </c>
      <c r="D30" s="20">
        <f t="shared" si="7"/>
        <v>375</v>
      </c>
      <c r="E30" s="20">
        <f t="shared" si="1"/>
        <v>37.5</v>
      </c>
      <c r="F30" s="58"/>
      <c r="G30" s="8">
        <f t="shared" si="8"/>
        <v>0.8</v>
      </c>
      <c r="H30" s="20">
        <f t="shared" si="2"/>
        <v>300</v>
      </c>
      <c r="I30" s="20">
        <f t="shared" si="3"/>
        <v>30</v>
      </c>
      <c r="J30" s="58"/>
      <c r="K30" s="21">
        <f t="shared" si="4"/>
        <v>0.8</v>
      </c>
      <c r="L30" s="21">
        <f t="shared" si="0"/>
        <v>0.88</v>
      </c>
      <c r="M30" s="21">
        <f t="shared" si="5"/>
        <v>0.72727272727272729</v>
      </c>
      <c r="N30" s="21"/>
      <c r="O30" s="21"/>
      <c r="P30" s="21"/>
      <c r="Q30" s="21"/>
    </row>
    <row r="31" spans="1:17" s="20" customFormat="1" ht="14.25">
      <c r="A31" s="46">
        <v>29</v>
      </c>
      <c r="B31" s="8">
        <f t="shared" si="6"/>
        <v>0.1</v>
      </c>
      <c r="C31" s="8">
        <f t="shared" si="6"/>
        <v>15</v>
      </c>
      <c r="D31" s="20">
        <f t="shared" si="7"/>
        <v>390</v>
      </c>
      <c r="E31" s="20">
        <f t="shared" si="1"/>
        <v>39</v>
      </c>
      <c r="F31" s="58"/>
      <c r="G31" s="8">
        <f t="shared" si="8"/>
        <v>0.8</v>
      </c>
      <c r="H31" s="20">
        <f t="shared" si="2"/>
        <v>312</v>
      </c>
      <c r="I31" s="20">
        <f t="shared" si="3"/>
        <v>31.200000000000003</v>
      </c>
      <c r="J31" s="58"/>
      <c r="K31" s="21">
        <f t="shared" si="4"/>
        <v>0.79999999999999993</v>
      </c>
      <c r="L31" s="21">
        <f t="shared" si="0"/>
        <v>0.88</v>
      </c>
      <c r="M31" s="21">
        <f t="shared" si="5"/>
        <v>0.72727272727272729</v>
      </c>
      <c r="N31" s="21"/>
      <c r="O31" s="21"/>
      <c r="P31" s="21"/>
      <c r="Q31" s="21"/>
    </row>
    <row r="32" spans="1:17" s="20" customFormat="1" ht="14.25">
      <c r="A32" s="46">
        <v>30</v>
      </c>
      <c r="B32" s="8">
        <f t="shared" si="6"/>
        <v>0.1</v>
      </c>
      <c r="C32" s="8">
        <f t="shared" si="6"/>
        <v>15</v>
      </c>
      <c r="D32" s="20">
        <f t="shared" si="7"/>
        <v>405</v>
      </c>
      <c r="E32" s="20">
        <f t="shared" si="1"/>
        <v>40.5</v>
      </c>
      <c r="F32" s="58"/>
      <c r="G32" s="8">
        <f t="shared" si="8"/>
        <v>0.8</v>
      </c>
      <c r="H32" s="20">
        <f t="shared" si="2"/>
        <v>324</v>
      </c>
      <c r="I32" s="20">
        <f t="shared" si="3"/>
        <v>32.4</v>
      </c>
      <c r="J32" s="58"/>
      <c r="K32" s="21">
        <f t="shared" si="4"/>
        <v>0.79999999999999993</v>
      </c>
      <c r="L32" s="21">
        <f t="shared" si="0"/>
        <v>0.87999999999999989</v>
      </c>
      <c r="M32" s="21">
        <f t="shared" si="5"/>
        <v>0.72727272727272729</v>
      </c>
      <c r="N32" s="21">
        <f t="shared" ref="N32" si="16">H28/(E32+D32)</f>
        <v>0.61952861952861948</v>
      </c>
      <c r="O32" s="21">
        <f t="shared" ref="O32" si="17">(H28+I28)/(D32+E32)</f>
        <v>0.68148148148148158</v>
      </c>
      <c r="P32" s="21">
        <f>H23/(E32+D32)</f>
        <v>0.48484848484848486</v>
      </c>
      <c r="Q32" s="21">
        <f t="shared" ref="Q32" si="18">(H23+I23)/(E32+D32)</f>
        <v>0.53333333333333333</v>
      </c>
    </row>
    <row r="33" spans="1:17" s="20" customFormat="1" ht="14.25">
      <c r="A33" s="46">
        <v>31</v>
      </c>
      <c r="B33" s="8">
        <f t="shared" si="6"/>
        <v>0.1</v>
      </c>
      <c r="C33" s="8">
        <f t="shared" si="6"/>
        <v>15</v>
      </c>
      <c r="D33" s="20">
        <f t="shared" si="7"/>
        <v>420</v>
      </c>
      <c r="E33" s="20">
        <f t="shared" si="1"/>
        <v>42</v>
      </c>
      <c r="F33" s="58"/>
      <c r="G33" s="8">
        <f t="shared" si="8"/>
        <v>0.8</v>
      </c>
      <c r="H33" s="20">
        <f t="shared" si="2"/>
        <v>336</v>
      </c>
      <c r="I33" s="20">
        <f t="shared" si="3"/>
        <v>33.6</v>
      </c>
      <c r="J33" s="58"/>
      <c r="K33" s="21">
        <f t="shared" si="4"/>
        <v>0.8</v>
      </c>
      <c r="L33" s="21">
        <f t="shared" si="0"/>
        <v>0.88</v>
      </c>
      <c r="M33" s="21">
        <f t="shared" si="5"/>
        <v>0.72727272727272729</v>
      </c>
      <c r="N33" s="21"/>
      <c r="O33" s="21"/>
      <c r="P33" s="21"/>
      <c r="Q33" s="21"/>
    </row>
    <row r="34" spans="1:17" s="20" customFormat="1" ht="14.25">
      <c r="A34" s="46">
        <v>32</v>
      </c>
      <c r="B34" s="8">
        <f t="shared" si="6"/>
        <v>0.1</v>
      </c>
      <c r="C34" s="8">
        <f t="shared" si="6"/>
        <v>15</v>
      </c>
      <c r="D34" s="20">
        <f t="shared" si="7"/>
        <v>435</v>
      </c>
      <c r="E34" s="20">
        <f t="shared" si="1"/>
        <v>43.5</v>
      </c>
      <c r="F34" s="58"/>
      <c r="G34" s="8">
        <f t="shared" si="8"/>
        <v>0.8</v>
      </c>
      <c r="H34" s="20">
        <f t="shared" si="2"/>
        <v>348</v>
      </c>
      <c r="I34" s="20">
        <f t="shared" si="3"/>
        <v>34.800000000000004</v>
      </c>
      <c r="J34" s="58"/>
      <c r="K34" s="21">
        <f t="shared" si="4"/>
        <v>0.8</v>
      </c>
      <c r="L34" s="21">
        <f t="shared" si="0"/>
        <v>0.88</v>
      </c>
      <c r="M34" s="21">
        <f t="shared" si="5"/>
        <v>0.72727272727272729</v>
      </c>
      <c r="N34" s="21"/>
      <c r="O34" s="21"/>
      <c r="P34" s="21"/>
      <c r="Q34" s="21"/>
    </row>
    <row r="35" spans="1:17" s="20" customFormat="1" ht="14.25">
      <c r="A35" s="46">
        <v>33</v>
      </c>
      <c r="B35" s="8">
        <f t="shared" si="6"/>
        <v>0.1</v>
      </c>
      <c r="C35" s="8">
        <f t="shared" si="6"/>
        <v>15</v>
      </c>
      <c r="D35" s="20">
        <f t="shared" si="7"/>
        <v>450</v>
      </c>
      <c r="E35" s="20">
        <f t="shared" si="1"/>
        <v>45</v>
      </c>
      <c r="F35" s="58"/>
      <c r="G35" s="8">
        <f t="shared" si="8"/>
        <v>0.8</v>
      </c>
      <c r="H35" s="20">
        <f t="shared" si="2"/>
        <v>360</v>
      </c>
      <c r="I35" s="20">
        <f t="shared" si="3"/>
        <v>36</v>
      </c>
      <c r="J35" s="58"/>
      <c r="K35" s="21">
        <f t="shared" si="4"/>
        <v>0.8</v>
      </c>
      <c r="L35" s="21">
        <f t="shared" si="0"/>
        <v>0.88</v>
      </c>
      <c r="M35" s="21">
        <f t="shared" si="5"/>
        <v>0.72727272727272729</v>
      </c>
      <c r="N35" s="21"/>
      <c r="O35" s="21"/>
      <c r="P35" s="21"/>
      <c r="Q35" s="21"/>
    </row>
    <row r="36" spans="1:17" s="20" customFormat="1" ht="14.25">
      <c r="A36" s="46">
        <v>34</v>
      </c>
      <c r="B36" s="8">
        <f t="shared" si="6"/>
        <v>0.1</v>
      </c>
      <c r="C36" s="8">
        <f t="shared" si="6"/>
        <v>15</v>
      </c>
      <c r="D36" s="20">
        <f t="shared" si="7"/>
        <v>465</v>
      </c>
      <c r="E36" s="20">
        <f t="shared" si="1"/>
        <v>46.5</v>
      </c>
      <c r="F36" s="58"/>
      <c r="G36" s="8">
        <f t="shared" si="8"/>
        <v>0.8</v>
      </c>
      <c r="H36" s="20">
        <f t="shared" si="2"/>
        <v>372</v>
      </c>
      <c r="I36" s="20">
        <f t="shared" si="3"/>
        <v>37.200000000000003</v>
      </c>
      <c r="J36" s="58"/>
      <c r="K36" s="21">
        <f t="shared" si="4"/>
        <v>0.79999999999999993</v>
      </c>
      <c r="L36" s="21">
        <f t="shared" si="0"/>
        <v>0.88</v>
      </c>
      <c r="M36" s="21">
        <f t="shared" si="5"/>
        <v>0.72727272727272729</v>
      </c>
      <c r="N36" s="21"/>
      <c r="O36" s="21"/>
      <c r="P36" s="21"/>
      <c r="Q36" s="21"/>
    </row>
    <row r="37" spans="1:17" s="20" customFormat="1" ht="14.25">
      <c r="A37" s="46">
        <v>35</v>
      </c>
      <c r="B37" s="8">
        <f t="shared" si="6"/>
        <v>0.1</v>
      </c>
      <c r="C37" s="8">
        <f t="shared" si="6"/>
        <v>15</v>
      </c>
      <c r="D37" s="20">
        <f t="shared" si="7"/>
        <v>480</v>
      </c>
      <c r="E37" s="20">
        <f t="shared" si="1"/>
        <v>48</v>
      </c>
      <c r="F37" s="58"/>
      <c r="G37" s="8">
        <f t="shared" si="8"/>
        <v>0.8</v>
      </c>
      <c r="H37" s="20">
        <f t="shared" si="2"/>
        <v>384</v>
      </c>
      <c r="I37" s="20">
        <f t="shared" si="3"/>
        <v>38.400000000000006</v>
      </c>
      <c r="J37" s="58"/>
      <c r="K37" s="21">
        <f t="shared" si="4"/>
        <v>0.79999999999999993</v>
      </c>
      <c r="L37" s="21">
        <f t="shared" si="0"/>
        <v>0.88</v>
      </c>
      <c r="M37" s="21">
        <f t="shared" si="5"/>
        <v>0.72727272727272729</v>
      </c>
      <c r="N37" s="21">
        <f t="shared" ref="N37" si="19">H33/(E37+D37)</f>
        <v>0.63636363636363635</v>
      </c>
      <c r="O37" s="21">
        <f t="shared" ref="O37" si="20">(H33+I33)/(D37+E37)</f>
        <v>0.70000000000000007</v>
      </c>
      <c r="P37" s="21"/>
      <c r="Q37" s="21"/>
    </row>
    <row r="38" spans="1:17" s="20" customFormat="1" ht="14.25">
      <c r="A38" s="46">
        <v>36</v>
      </c>
      <c r="B38" s="8">
        <f t="shared" si="6"/>
        <v>0.1</v>
      </c>
      <c r="C38" s="8">
        <f t="shared" si="6"/>
        <v>15</v>
      </c>
      <c r="D38" s="20">
        <f t="shared" si="7"/>
        <v>495</v>
      </c>
      <c r="E38" s="20">
        <f t="shared" si="1"/>
        <v>49.5</v>
      </c>
      <c r="F38" s="58"/>
      <c r="G38" s="8">
        <f t="shared" si="8"/>
        <v>0.8</v>
      </c>
      <c r="H38" s="20">
        <f t="shared" si="2"/>
        <v>396</v>
      </c>
      <c r="I38" s="20">
        <f t="shared" si="3"/>
        <v>39.6</v>
      </c>
      <c r="J38" s="58"/>
      <c r="K38" s="21">
        <f t="shared" si="4"/>
        <v>0.8</v>
      </c>
      <c r="L38" s="21">
        <f t="shared" si="0"/>
        <v>0.88</v>
      </c>
      <c r="M38" s="21">
        <f t="shared" si="5"/>
        <v>0.72727272727272729</v>
      </c>
      <c r="N38" s="21"/>
      <c r="O38" s="21"/>
      <c r="P38" s="21"/>
      <c r="Q38" s="21"/>
    </row>
    <row r="39" spans="1:17" s="20" customFormat="1" ht="14.25">
      <c r="A39" s="46">
        <v>37</v>
      </c>
      <c r="B39" s="8">
        <f t="shared" si="6"/>
        <v>0.1</v>
      </c>
      <c r="C39" s="8">
        <f t="shared" si="6"/>
        <v>15</v>
      </c>
      <c r="D39" s="20">
        <f t="shared" si="7"/>
        <v>510</v>
      </c>
      <c r="E39" s="20">
        <f t="shared" si="1"/>
        <v>51</v>
      </c>
      <c r="F39" s="58"/>
      <c r="G39" s="8">
        <f t="shared" si="8"/>
        <v>0.8</v>
      </c>
      <c r="H39" s="20">
        <f t="shared" si="2"/>
        <v>408</v>
      </c>
      <c r="I39" s="20">
        <f t="shared" si="3"/>
        <v>40.800000000000004</v>
      </c>
      <c r="J39" s="58"/>
      <c r="K39" s="21">
        <f t="shared" si="4"/>
        <v>0.8</v>
      </c>
      <c r="L39" s="21">
        <f t="shared" si="0"/>
        <v>0.88</v>
      </c>
      <c r="M39" s="21">
        <f t="shared" si="5"/>
        <v>0.72727272727272729</v>
      </c>
      <c r="N39" s="21"/>
      <c r="O39" s="21"/>
      <c r="P39" s="21"/>
      <c r="Q39" s="21"/>
    </row>
    <row r="40" spans="1:17" s="20" customFormat="1" ht="14.25">
      <c r="A40" s="46">
        <v>38</v>
      </c>
      <c r="B40" s="8">
        <f t="shared" si="6"/>
        <v>0.1</v>
      </c>
      <c r="C40" s="8">
        <f t="shared" si="6"/>
        <v>15</v>
      </c>
      <c r="D40" s="20">
        <f t="shared" si="7"/>
        <v>525</v>
      </c>
      <c r="E40" s="20">
        <f t="shared" si="1"/>
        <v>52.5</v>
      </c>
      <c r="F40" s="58"/>
      <c r="G40" s="8">
        <f t="shared" si="8"/>
        <v>0.8</v>
      </c>
      <c r="H40" s="20">
        <f t="shared" si="2"/>
        <v>420</v>
      </c>
      <c r="I40" s="20">
        <f t="shared" si="3"/>
        <v>42</v>
      </c>
      <c r="J40" s="58"/>
      <c r="K40" s="21">
        <f t="shared" si="4"/>
        <v>0.8</v>
      </c>
      <c r="L40" s="21">
        <f t="shared" si="0"/>
        <v>0.88</v>
      </c>
      <c r="M40" s="21">
        <f t="shared" si="5"/>
        <v>0.72727272727272729</v>
      </c>
      <c r="N40" s="21"/>
      <c r="O40" s="21"/>
      <c r="P40" s="21"/>
      <c r="Q40" s="21"/>
    </row>
    <row r="41" spans="1:17" s="20" customFormat="1" ht="14.25">
      <c r="A41" s="46">
        <v>39</v>
      </c>
      <c r="B41" s="8">
        <f t="shared" si="6"/>
        <v>0.1</v>
      </c>
      <c r="C41" s="8">
        <f t="shared" si="6"/>
        <v>15</v>
      </c>
      <c r="D41" s="20">
        <f t="shared" si="7"/>
        <v>540</v>
      </c>
      <c r="E41" s="20">
        <f t="shared" si="1"/>
        <v>54</v>
      </c>
      <c r="F41" s="58"/>
      <c r="G41" s="8">
        <f t="shared" si="8"/>
        <v>0.8</v>
      </c>
      <c r="H41" s="20">
        <f t="shared" si="2"/>
        <v>432</v>
      </c>
      <c r="I41" s="20">
        <f t="shared" si="3"/>
        <v>43.2</v>
      </c>
      <c r="J41" s="58"/>
      <c r="K41" s="21">
        <f t="shared" si="4"/>
        <v>0.79999999999999993</v>
      </c>
      <c r="L41" s="21">
        <f t="shared" si="0"/>
        <v>0.88</v>
      </c>
      <c r="M41" s="21">
        <f t="shared" si="5"/>
        <v>0.72727272727272729</v>
      </c>
      <c r="N41" s="21"/>
      <c r="O41" s="21"/>
      <c r="P41" s="21"/>
      <c r="Q41" s="21"/>
    </row>
    <row r="42" spans="1:17" s="20" customFormat="1" ht="14.25">
      <c r="A42" s="46">
        <v>40</v>
      </c>
      <c r="B42" s="8">
        <f t="shared" si="6"/>
        <v>0.1</v>
      </c>
      <c r="C42" s="8">
        <f t="shared" si="6"/>
        <v>15</v>
      </c>
      <c r="D42" s="20">
        <f t="shared" si="7"/>
        <v>555</v>
      </c>
      <c r="E42" s="20">
        <f t="shared" si="1"/>
        <v>55.5</v>
      </c>
      <c r="F42" s="58"/>
      <c r="G42" s="8">
        <f t="shared" si="8"/>
        <v>0.8</v>
      </c>
      <c r="H42" s="20">
        <f t="shared" si="2"/>
        <v>444</v>
      </c>
      <c r="I42" s="20">
        <f t="shared" si="3"/>
        <v>44.400000000000006</v>
      </c>
      <c r="J42" s="58"/>
      <c r="K42" s="21">
        <f t="shared" si="4"/>
        <v>0.79999999999999993</v>
      </c>
      <c r="L42" s="21">
        <f t="shared" si="0"/>
        <v>0.88</v>
      </c>
      <c r="M42" s="21">
        <f t="shared" si="5"/>
        <v>0.72727272727272729</v>
      </c>
      <c r="N42" s="21">
        <f t="shared" ref="N42" si="21">H38/(E42+D42)</f>
        <v>0.64864864864864868</v>
      </c>
      <c r="O42" s="21">
        <f t="shared" ref="O42" si="22">(H38+I38)/(D42+E42)</f>
        <v>0.71351351351351355</v>
      </c>
      <c r="P42" s="21">
        <f>H33/(E42+D42)</f>
        <v>0.55036855036855037</v>
      </c>
      <c r="Q42" s="21">
        <f t="shared" ref="Q42" si="23">(H33+I33)/(E42+D42)</f>
        <v>0.60540540540540544</v>
      </c>
    </row>
    <row r="43" spans="1:17" s="20" customFormat="1" ht="14.25">
      <c r="A43" s="46">
        <v>41</v>
      </c>
      <c r="B43" s="8">
        <f t="shared" si="6"/>
        <v>0.1</v>
      </c>
      <c r="C43" s="8">
        <f t="shared" si="6"/>
        <v>15</v>
      </c>
      <c r="D43" s="20">
        <f t="shared" si="7"/>
        <v>570</v>
      </c>
      <c r="E43" s="20">
        <f t="shared" si="1"/>
        <v>57</v>
      </c>
      <c r="F43" s="58"/>
      <c r="G43" s="8">
        <f t="shared" si="8"/>
        <v>0.8</v>
      </c>
      <c r="H43" s="20">
        <f t="shared" si="2"/>
        <v>456</v>
      </c>
      <c r="I43" s="20">
        <f t="shared" si="3"/>
        <v>45.6</v>
      </c>
      <c r="J43" s="58"/>
      <c r="K43" s="21">
        <f t="shared" si="4"/>
        <v>0.8</v>
      </c>
      <c r="L43" s="21">
        <f t="shared" si="0"/>
        <v>0.88</v>
      </c>
      <c r="M43" s="21">
        <f t="shared" si="5"/>
        <v>0.72727272727272729</v>
      </c>
      <c r="N43" s="21"/>
      <c r="O43" s="21"/>
      <c r="P43" s="21"/>
      <c r="Q43" s="21"/>
    </row>
    <row r="44" spans="1:17" s="20" customFormat="1" ht="14.25">
      <c r="A44" s="46">
        <v>42</v>
      </c>
      <c r="B44" s="8">
        <f t="shared" si="6"/>
        <v>0.1</v>
      </c>
      <c r="C44" s="8">
        <f t="shared" si="6"/>
        <v>15</v>
      </c>
      <c r="D44" s="20">
        <f t="shared" si="7"/>
        <v>585</v>
      </c>
      <c r="E44" s="20">
        <f t="shared" si="1"/>
        <v>58.5</v>
      </c>
      <c r="F44" s="58"/>
      <c r="G44" s="8">
        <f t="shared" si="8"/>
        <v>0.8</v>
      </c>
      <c r="H44" s="20">
        <f t="shared" si="2"/>
        <v>468</v>
      </c>
      <c r="I44" s="20">
        <f t="shared" si="3"/>
        <v>46.800000000000004</v>
      </c>
      <c r="J44" s="58"/>
      <c r="K44" s="21">
        <f t="shared" si="4"/>
        <v>0.79999999999999993</v>
      </c>
      <c r="L44" s="21">
        <f t="shared" si="0"/>
        <v>0.87999999999999989</v>
      </c>
      <c r="M44" s="21">
        <f t="shared" si="5"/>
        <v>0.72727272727272729</v>
      </c>
      <c r="N44" s="21"/>
      <c r="O44" s="21"/>
      <c r="P44" s="21"/>
      <c r="Q44" s="21"/>
    </row>
    <row r="45" spans="1:17" s="20" customFormat="1" ht="14.25">
      <c r="A45" s="46">
        <v>43</v>
      </c>
      <c r="B45" s="8">
        <f t="shared" si="6"/>
        <v>0.1</v>
      </c>
      <c r="C45" s="8">
        <f t="shared" si="6"/>
        <v>15</v>
      </c>
      <c r="D45" s="20">
        <f t="shared" si="7"/>
        <v>600</v>
      </c>
      <c r="E45" s="20">
        <f t="shared" si="1"/>
        <v>60</v>
      </c>
      <c r="F45" s="58"/>
      <c r="G45" s="8">
        <f t="shared" si="8"/>
        <v>0.8</v>
      </c>
      <c r="H45" s="20">
        <f t="shared" si="2"/>
        <v>480</v>
      </c>
      <c r="I45" s="20">
        <f t="shared" si="3"/>
        <v>48</v>
      </c>
      <c r="J45" s="58"/>
      <c r="K45" s="21">
        <f t="shared" si="4"/>
        <v>0.8</v>
      </c>
      <c r="L45" s="21">
        <f t="shared" si="0"/>
        <v>0.88</v>
      </c>
      <c r="M45" s="21">
        <f t="shared" si="5"/>
        <v>0.72727272727272729</v>
      </c>
      <c r="N45" s="21"/>
      <c r="O45" s="21"/>
      <c r="P45" s="21"/>
      <c r="Q45" s="21"/>
    </row>
    <row r="46" spans="1:17" s="20" customFormat="1" ht="14.25">
      <c r="A46" s="46">
        <v>44</v>
      </c>
      <c r="B46" s="8">
        <f t="shared" si="6"/>
        <v>0.1</v>
      </c>
      <c r="C46" s="8">
        <f t="shared" si="6"/>
        <v>15</v>
      </c>
      <c r="D46" s="20">
        <f t="shared" si="7"/>
        <v>615</v>
      </c>
      <c r="E46" s="20">
        <f t="shared" si="1"/>
        <v>61.5</v>
      </c>
      <c r="F46" s="58"/>
      <c r="G46" s="8">
        <f t="shared" si="8"/>
        <v>0.8</v>
      </c>
      <c r="H46" s="20">
        <f t="shared" si="2"/>
        <v>492</v>
      </c>
      <c r="I46" s="20">
        <f t="shared" si="3"/>
        <v>49.2</v>
      </c>
      <c r="J46" s="58"/>
      <c r="K46" s="21">
        <f t="shared" si="4"/>
        <v>0.8</v>
      </c>
      <c r="L46" s="21">
        <f t="shared" si="0"/>
        <v>0.88000000000000012</v>
      </c>
      <c r="M46" s="21">
        <f t="shared" si="5"/>
        <v>0.72727272727272729</v>
      </c>
      <c r="N46" s="21"/>
      <c r="O46" s="21"/>
      <c r="P46" s="21"/>
      <c r="Q46" s="21"/>
    </row>
    <row r="47" spans="1:17" s="20" customFormat="1" ht="14.25">
      <c r="A47" s="46">
        <v>45</v>
      </c>
      <c r="B47" s="8">
        <f t="shared" si="6"/>
        <v>0.1</v>
      </c>
      <c r="C47" s="8">
        <f t="shared" si="6"/>
        <v>15</v>
      </c>
      <c r="D47" s="20">
        <f t="shared" si="7"/>
        <v>630</v>
      </c>
      <c r="E47" s="20">
        <f t="shared" si="1"/>
        <v>63</v>
      </c>
      <c r="F47" s="58"/>
      <c r="G47" s="8">
        <f t="shared" si="8"/>
        <v>0.8</v>
      </c>
      <c r="H47" s="20">
        <f t="shared" si="2"/>
        <v>504</v>
      </c>
      <c r="I47" s="20">
        <f t="shared" si="3"/>
        <v>50.400000000000006</v>
      </c>
      <c r="J47" s="58"/>
      <c r="K47" s="21">
        <f t="shared" si="4"/>
        <v>0.79999999999999993</v>
      </c>
      <c r="L47" s="21">
        <f t="shared" si="0"/>
        <v>0.88</v>
      </c>
      <c r="M47" s="21">
        <f t="shared" si="5"/>
        <v>0.72727272727272729</v>
      </c>
      <c r="N47" s="21">
        <f t="shared" ref="N47" si="24">H43/(E47+D47)</f>
        <v>0.65800865800865804</v>
      </c>
      <c r="O47" s="21">
        <f t="shared" ref="O47" si="25">(H43+I43)/(D47+E47)</f>
        <v>0.72380952380952379</v>
      </c>
      <c r="P47" s="21"/>
      <c r="Q47" s="21"/>
    </row>
    <row r="48" spans="1:17" s="20" customFormat="1" ht="14.25">
      <c r="A48" s="46">
        <v>46</v>
      </c>
      <c r="B48" s="8">
        <f t="shared" si="6"/>
        <v>0.1</v>
      </c>
      <c r="C48" s="8">
        <f t="shared" si="6"/>
        <v>15</v>
      </c>
      <c r="D48" s="20">
        <f t="shared" si="7"/>
        <v>645</v>
      </c>
      <c r="E48" s="20">
        <f t="shared" si="1"/>
        <v>64.5</v>
      </c>
      <c r="F48" s="58"/>
      <c r="G48" s="8">
        <f t="shared" si="8"/>
        <v>0.8</v>
      </c>
      <c r="H48" s="20">
        <f t="shared" si="2"/>
        <v>516</v>
      </c>
      <c r="I48" s="20">
        <f t="shared" si="3"/>
        <v>51.6</v>
      </c>
      <c r="J48" s="58"/>
      <c r="K48" s="21">
        <f t="shared" si="4"/>
        <v>0.8</v>
      </c>
      <c r="L48" s="21">
        <f t="shared" si="0"/>
        <v>0.88</v>
      </c>
      <c r="M48" s="21">
        <f t="shared" si="5"/>
        <v>0.72727272727272729</v>
      </c>
      <c r="N48" s="21"/>
      <c r="O48" s="21"/>
      <c r="P48" s="21"/>
      <c r="Q48" s="21"/>
    </row>
    <row r="49" spans="1:17" s="20" customFormat="1" ht="14.25">
      <c r="A49" s="46">
        <v>47</v>
      </c>
      <c r="B49" s="8">
        <f t="shared" si="6"/>
        <v>0.1</v>
      </c>
      <c r="C49" s="8">
        <f t="shared" si="6"/>
        <v>15</v>
      </c>
      <c r="D49" s="20">
        <f t="shared" si="7"/>
        <v>660</v>
      </c>
      <c r="E49" s="20">
        <f t="shared" si="1"/>
        <v>66</v>
      </c>
      <c r="F49" s="58"/>
      <c r="G49" s="8">
        <f t="shared" si="8"/>
        <v>0.8</v>
      </c>
      <c r="H49" s="20">
        <f t="shared" si="2"/>
        <v>528</v>
      </c>
      <c r="I49" s="20">
        <f t="shared" si="3"/>
        <v>52.800000000000004</v>
      </c>
      <c r="J49" s="58"/>
      <c r="K49" s="21">
        <f t="shared" si="4"/>
        <v>0.79999999999999993</v>
      </c>
      <c r="L49" s="21">
        <f t="shared" si="0"/>
        <v>0.87999999999999989</v>
      </c>
      <c r="M49" s="21">
        <f t="shared" si="5"/>
        <v>0.72727272727272729</v>
      </c>
      <c r="N49" s="21"/>
      <c r="O49" s="21"/>
      <c r="P49" s="21"/>
      <c r="Q49" s="21"/>
    </row>
    <row r="50" spans="1:17" s="20" customFormat="1" ht="14.25">
      <c r="A50" s="46">
        <v>48</v>
      </c>
      <c r="B50" s="8">
        <f t="shared" si="6"/>
        <v>0.1</v>
      </c>
      <c r="C50" s="8">
        <f t="shared" si="6"/>
        <v>15</v>
      </c>
      <c r="D50" s="20">
        <f t="shared" si="7"/>
        <v>675</v>
      </c>
      <c r="E50" s="20">
        <f t="shared" si="1"/>
        <v>67.5</v>
      </c>
      <c r="F50" s="58"/>
      <c r="G50" s="8">
        <f t="shared" si="8"/>
        <v>0.8</v>
      </c>
      <c r="H50" s="20">
        <f t="shared" si="2"/>
        <v>540</v>
      </c>
      <c r="I50" s="20">
        <f t="shared" si="3"/>
        <v>54</v>
      </c>
      <c r="J50" s="58"/>
      <c r="K50" s="21">
        <f t="shared" si="4"/>
        <v>0.8</v>
      </c>
      <c r="L50" s="21">
        <f t="shared" si="0"/>
        <v>0.88</v>
      </c>
      <c r="M50" s="21">
        <f t="shared" si="5"/>
        <v>0.72727272727272729</v>
      </c>
      <c r="N50" s="21"/>
      <c r="O50" s="21"/>
      <c r="P50" s="21"/>
      <c r="Q50" s="21"/>
    </row>
    <row r="51" spans="1:17" s="20" customFormat="1" ht="14.25">
      <c r="A51" s="46">
        <v>49</v>
      </c>
      <c r="B51" s="8">
        <f t="shared" si="6"/>
        <v>0.1</v>
      </c>
      <c r="C51" s="8">
        <f t="shared" si="6"/>
        <v>15</v>
      </c>
      <c r="D51" s="20">
        <f t="shared" si="7"/>
        <v>690</v>
      </c>
      <c r="E51" s="20">
        <f t="shared" si="1"/>
        <v>69</v>
      </c>
      <c r="F51" s="58"/>
      <c r="G51" s="8">
        <f t="shared" si="8"/>
        <v>0.8</v>
      </c>
      <c r="H51" s="20">
        <f t="shared" si="2"/>
        <v>552</v>
      </c>
      <c r="I51" s="20">
        <f t="shared" si="3"/>
        <v>55.2</v>
      </c>
      <c r="J51" s="58"/>
      <c r="K51" s="21">
        <f t="shared" si="4"/>
        <v>0.8</v>
      </c>
      <c r="L51" s="21">
        <f t="shared" si="0"/>
        <v>0.88000000000000012</v>
      </c>
      <c r="M51" s="21">
        <f t="shared" si="5"/>
        <v>0.72727272727272729</v>
      </c>
      <c r="N51" s="21"/>
      <c r="O51" s="21"/>
      <c r="P51" s="21"/>
      <c r="Q51" s="21"/>
    </row>
    <row r="52" spans="1:17" s="20" customFormat="1" ht="14.25">
      <c r="A52" s="46">
        <v>50</v>
      </c>
      <c r="B52" s="8">
        <f t="shared" si="6"/>
        <v>0.1</v>
      </c>
      <c r="C52" s="8">
        <f t="shared" si="6"/>
        <v>15</v>
      </c>
      <c r="D52" s="20">
        <f t="shared" si="7"/>
        <v>705</v>
      </c>
      <c r="E52" s="20">
        <f t="shared" si="1"/>
        <v>70.5</v>
      </c>
      <c r="F52" s="58"/>
      <c r="G52" s="8">
        <f t="shared" si="8"/>
        <v>0.8</v>
      </c>
      <c r="H52" s="20">
        <f t="shared" si="2"/>
        <v>564</v>
      </c>
      <c r="I52" s="20">
        <f t="shared" si="3"/>
        <v>56.400000000000006</v>
      </c>
      <c r="J52" s="58"/>
      <c r="K52" s="21">
        <f t="shared" si="4"/>
        <v>0.79999999999999993</v>
      </c>
      <c r="L52" s="21">
        <f t="shared" si="0"/>
        <v>0.88</v>
      </c>
      <c r="M52" s="21">
        <f t="shared" si="5"/>
        <v>0.72727272727272729</v>
      </c>
      <c r="N52" s="21">
        <f t="shared" ref="N52" si="26">H48/(E52+D52)</f>
        <v>0.66537717601547386</v>
      </c>
      <c r="O52" s="21">
        <f t="shared" ref="O52" si="27">(H48+I48)/(D52+E52)</f>
        <v>0.73191489361702133</v>
      </c>
      <c r="P52" s="21">
        <f>H43/(E52+D52)</f>
        <v>0.58800773694390718</v>
      </c>
      <c r="Q52" s="21">
        <f t="shared" ref="Q52" si="28">(H43+I43)/(E52+D52)</f>
        <v>0.64680851063829792</v>
      </c>
    </row>
    <row r="53" spans="1:17" s="20" customFormat="1" ht="14.25">
      <c r="A53" s="46">
        <v>51</v>
      </c>
      <c r="B53" s="8">
        <f t="shared" si="6"/>
        <v>0.1</v>
      </c>
      <c r="C53" s="8">
        <f t="shared" si="6"/>
        <v>15</v>
      </c>
      <c r="D53" s="20">
        <f t="shared" si="7"/>
        <v>720</v>
      </c>
      <c r="E53" s="20">
        <f t="shared" si="1"/>
        <v>72</v>
      </c>
      <c r="F53" s="58"/>
      <c r="G53" s="8">
        <f t="shared" si="8"/>
        <v>0.8</v>
      </c>
      <c r="H53" s="20">
        <f t="shared" si="2"/>
        <v>576</v>
      </c>
      <c r="I53" s="20">
        <f t="shared" si="3"/>
        <v>57.6</v>
      </c>
      <c r="J53" s="58"/>
      <c r="K53" s="21">
        <f t="shared" si="4"/>
        <v>0.8</v>
      </c>
      <c r="L53" s="21">
        <f t="shared" si="0"/>
        <v>0.88</v>
      </c>
      <c r="M53" s="21">
        <f t="shared" si="5"/>
        <v>0.72727272727272729</v>
      </c>
      <c r="N53" s="21"/>
      <c r="O53" s="21"/>
      <c r="P53" s="21"/>
      <c r="Q53" s="21"/>
    </row>
    <row r="54" spans="1:17" s="20" customFormat="1" ht="14.25">
      <c r="A54" s="46">
        <v>52</v>
      </c>
      <c r="B54" s="8">
        <f t="shared" si="6"/>
        <v>0.1</v>
      </c>
      <c r="C54" s="8">
        <f t="shared" si="6"/>
        <v>15</v>
      </c>
      <c r="D54" s="20">
        <f t="shared" si="7"/>
        <v>735</v>
      </c>
      <c r="E54" s="20">
        <f t="shared" si="1"/>
        <v>73.5</v>
      </c>
      <c r="F54" s="58"/>
      <c r="G54" s="8">
        <f t="shared" si="8"/>
        <v>0.8</v>
      </c>
      <c r="H54" s="20">
        <f t="shared" si="2"/>
        <v>588</v>
      </c>
      <c r="I54" s="20">
        <f t="shared" si="3"/>
        <v>58.800000000000004</v>
      </c>
      <c r="J54" s="58"/>
      <c r="K54" s="21">
        <f t="shared" si="4"/>
        <v>0.79999999999999993</v>
      </c>
      <c r="L54" s="21">
        <f t="shared" si="0"/>
        <v>0.87999999999999989</v>
      </c>
      <c r="M54" s="21">
        <f t="shared" si="5"/>
        <v>0.72727272727272729</v>
      </c>
      <c r="N54" s="21"/>
      <c r="O54" s="21"/>
      <c r="P54" s="21"/>
      <c r="Q54" s="21"/>
    </row>
    <row r="55" spans="1:17" s="20" customFormat="1" ht="14.25">
      <c r="A55" s="46">
        <v>53</v>
      </c>
      <c r="B55" s="8">
        <f t="shared" si="6"/>
        <v>0.1</v>
      </c>
      <c r="C55" s="8">
        <f t="shared" si="6"/>
        <v>15</v>
      </c>
      <c r="D55" s="20">
        <f t="shared" si="7"/>
        <v>750</v>
      </c>
      <c r="E55" s="20">
        <f t="shared" si="1"/>
        <v>75</v>
      </c>
      <c r="F55" s="58"/>
      <c r="G55" s="8">
        <f t="shared" si="8"/>
        <v>0.8</v>
      </c>
      <c r="H55" s="20">
        <f t="shared" si="2"/>
        <v>600</v>
      </c>
      <c r="I55" s="20">
        <f t="shared" si="3"/>
        <v>60</v>
      </c>
      <c r="J55" s="58"/>
      <c r="K55" s="21">
        <f t="shared" si="4"/>
        <v>0.8</v>
      </c>
      <c r="L55" s="21">
        <f t="shared" si="0"/>
        <v>0.88</v>
      </c>
      <c r="M55" s="21">
        <f t="shared" si="5"/>
        <v>0.72727272727272729</v>
      </c>
      <c r="N55" s="21"/>
      <c r="O55" s="21"/>
      <c r="P55" s="21"/>
      <c r="Q55" s="21"/>
    </row>
    <row r="56" spans="1:17" s="20" customFormat="1" ht="14.25">
      <c r="A56" s="46">
        <v>54</v>
      </c>
      <c r="B56" s="8">
        <f t="shared" si="6"/>
        <v>0.1</v>
      </c>
      <c r="C56" s="8">
        <f t="shared" si="6"/>
        <v>15</v>
      </c>
      <c r="D56" s="20">
        <f t="shared" si="7"/>
        <v>765</v>
      </c>
      <c r="E56" s="20">
        <f t="shared" si="1"/>
        <v>76.5</v>
      </c>
      <c r="F56" s="58"/>
      <c r="G56" s="8">
        <f t="shared" si="8"/>
        <v>0.8</v>
      </c>
      <c r="H56" s="20">
        <f t="shared" si="2"/>
        <v>612</v>
      </c>
      <c r="I56" s="20">
        <f t="shared" si="3"/>
        <v>61.2</v>
      </c>
      <c r="J56" s="58"/>
      <c r="K56" s="21">
        <f t="shared" si="4"/>
        <v>0.8</v>
      </c>
      <c r="L56" s="21">
        <f t="shared" si="0"/>
        <v>0.88</v>
      </c>
      <c r="M56" s="21">
        <f t="shared" si="5"/>
        <v>0.72727272727272729</v>
      </c>
      <c r="N56" s="21"/>
      <c r="O56" s="21"/>
      <c r="P56" s="21"/>
      <c r="Q56" s="21"/>
    </row>
    <row r="57" spans="1:17" s="20" customFormat="1" ht="14.25">
      <c r="A57" s="46">
        <v>55</v>
      </c>
      <c r="B57" s="8">
        <f t="shared" si="6"/>
        <v>0.1</v>
      </c>
      <c r="C57" s="8">
        <f t="shared" si="6"/>
        <v>15</v>
      </c>
      <c r="D57" s="20">
        <f t="shared" si="7"/>
        <v>780</v>
      </c>
      <c r="E57" s="20">
        <f t="shared" si="1"/>
        <v>78</v>
      </c>
      <c r="F57" s="58"/>
      <c r="G57" s="8">
        <f t="shared" si="8"/>
        <v>0.8</v>
      </c>
      <c r="H57" s="20">
        <f t="shared" si="2"/>
        <v>624</v>
      </c>
      <c r="I57" s="20">
        <f t="shared" si="3"/>
        <v>62.400000000000006</v>
      </c>
      <c r="J57" s="58"/>
      <c r="K57" s="21">
        <f t="shared" si="4"/>
        <v>0.79999999999999993</v>
      </c>
      <c r="L57" s="21">
        <f t="shared" si="0"/>
        <v>0.88</v>
      </c>
      <c r="M57" s="21">
        <f t="shared" si="5"/>
        <v>0.72727272727272729</v>
      </c>
      <c r="N57" s="21">
        <f t="shared" ref="N57" si="29">H53/(E57+D57)</f>
        <v>0.67132867132867136</v>
      </c>
      <c r="O57" s="21">
        <f t="shared" ref="O57" si="30">(H53+I53)/(D57+E57)</f>
        <v>0.7384615384615385</v>
      </c>
      <c r="P57" s="21"/>
      <c r="Q57" s="21"/>
    </row>
    <row r="58" spans="1:17" s="20" customFormat="1" ht="14.25">
      <c r="A58" s="46">
        <v>56</v>
      </c>
      <c r="B58" s="8">
        <f t="shared" si="6"/>
        <v>0.1</v>
      </c>
      <c r="C58" s="8">
        <f t="shared" si="6"/>
        <v>15</v>
      </c>
      <c r="D58" s="20">
        <f t="shared" si="7"/>
        <v>795</v>
      </c>
      <c r="E58" s="20">
        <f t="shared" si="1"/>
        <v>79.5</v>
      </c>
      <c r="F58" s="58"/>
      <c r="G58" s="8">
        <f t="shared" si="8"/>
        <v>0.8</v>
      </c>
      <c r="H58" s="20">
        <f t="shared" si="2"/>
        <v>636</v>
      </c>
      <c r="I58" s="20">
        <f t="shared" si="3"/>
        <v>63.6</v>
      </c>
      <c r="J58" s="58"/>
      <c r="K58" s="21">
        <f t="shared" si="4"/>
        <v>0.8</v>
      </c>
      <c r="L58" s="21">
        <f t="shared" si="0"/>
        <v>0.88</v>
      </c>
      <c r="M58" s="21">
        <f t="shared" si="5"/>
        <v>0.72727272727272729</v>
      </c>
      <c r="N58" s="21"/>
      <c r="O58" s="21"/>
      <c r="P58" s="21"/>
      <c r="Q58" s="21"/>
    </row>
    <row r="59" spans="1:17" s="20" customFormat="1" ht="14.25">
      <c r="A59" s="46">
        <v>57</v>
      </c>
      <c r="B59" s="8">
        <f t="shared" si="6"/>
        <v>0.1</v>
      </c>
      <c r="C59" s="8">
        <f t="shared" si="6"/>
        <v>15</v>
      </c>
      <c r="D59" s="20">
        <f t="shared" si="7"/>
        <v>810</v>
      </c>
      <c r="E59" s="20">
        <f t="shared" si="1"/>
        <v>81</v>
      </c>
      <c r="F59" s="58"/>
      <c r="G59" s="8">
        <f t="shared" si="8"/>
        <v>0.8</v>
      </c>
      <c r="H59" s="20">
        <f t="shared" si="2"/>
        <v>648</v>
      </c>
      <c r="I59" s="20">
        <f t="shared" si="3"/>
        <v>64.8</v>
      </c>
      <c r="J59" s="58"/>
      <c r="K59" s="21">
        <f t="shared" si="4"/>
        <v>0.79999999999999993</v>
      </c>
      <c r="L59" s="21">
        <f t="shared" si="0"/>
        <v>0.87999999999999989</v>
      </c>
      <c r="M59" s="21">
        <f t="shared" si="5"/>
        <v>0.72727272727272729</v>
      </c>
      <c r="N59" s="21"/>
      <c r="O59" s="21"/>
      <c r="P59" s="21"/>
      <c r="Q59" s="21"/>
    </row>
    <row r="60" spans="1:17" s="20" customFormat="1" ht="14.25">
      <c r="A60" s="46">
        <v>58</v>
      </c>
      <c r="B60" s="8">
        <f t="shared" si="6"/>
        <v>0.1</v>
      </c>
      <c r="C60" s="8">
        <f t="shared" si="6"/>
        <v>15</v>
      </c>
      <c r="D60" s="20">
        <f t="shared" si="7"/>
        <v>825</v>
      </c>
      <c r="E60" s="20">
        <f t="shared" si="1"/>
        <v>82.5</v>
      </c>
      <c r="F60" s="58"/>
      <c r="G60" s="8">
        <f t="shared" si="8"/>
        <v>0.8</v>
      </c>
      <c r="H60" s="20">
        <f t="shared" si="2"/>
        <v>660</v>
      </c>
      <c r="I60" s="20">
        <f t="shared" si="3"/>
        <v>66</v>
      </c>
      <c r="J60" s="58"/>
      <c r="K60" s="21">
        <f t="shared" si="4"/>
        <v>0.8</v>
      </c>
      <c r="L60" s="21">
        <f t="shared" si="0"/>
        <v>0.88</v>
      </c>
      <c r="M60" s="21">
        <f t="shared" si="5"/>
        <v>0.72727272727272729</v>
      </c>
      <c r="N60" s="21"/>
      <c r="O60" s="21"/>
      <c r="P60" s="21"/>
      <c r="Q60" s="21"/>
    </row>
    <row r="61" spans="1:17" s="20" customFormat="1" ht="14.25">
      <c r="A61" s="46">
        <v>59</v>
      </c>
      <c r="B61" s="8">
        <f t="shared" si="6"/>
        <v>0.1</v>
      </c>
      <c r="C61" s="8">
        <f t="shared" si="6"/>
        <v>15</v>
      </c>
      <c r="D61" s="20">
        <f t="shared" si="7"/>
        <v>840</v>
      </c>
      <c r="E61" s="20">
        <f t="shared" si="1"/>
        <v>84</v>
      </c>
      <c r="F61" s="58"/>
      <c r="G61" s="8">
        <f t="shared" si="8"/>
        <v>0.8</v>
      </c>
      <c r="H61" s="20">
        <f t="shared" si="2"/>
        <v>672</v>
      </c>
      <c r="I61" s="20">
        <f t="shared" si="3"/>
        <v>67.2</v>
      </c>
      <c r="J61" s="58"/>
      <c r="K61" s="21">
        <f t="shared" si="4"/>
        <v>0.8</v>
      </c>
      <c r="L61" s="21">
        <f t="shared" si="0"/>
        <v>0.88</v>
      </c>
      <c r="M61" s="21">
        <f t="shared" si="5"/>
        <v>0.72727272727272729</v>
      </c>
      <c r="N61" s="21"/>
      <c r="O61" s="21"/>
      <c r="P61" s="21"/>
      <c r="Q61" s="21"/>
    </row>
    <row r="62" spans="1:17" s="20" customFormat="1" ht="14.25">
      <c r="A62" s="46">
        <v>60</v>
      </c>
      <c r="B62" s="8">
        <f t="shared" si="6"/>
        <v>0.1</v>
      </c>
      <c r="C62" s="8">
        <f t="shared" si="6"/>
        <v>15</v>
      </c>
      <c r="D62" s="20">
        <f t="shared" si="7"/>
        <v>855</v>
      </c>
      <c r="E62" s="20">
        <f t="shared" si="1"/>
        <v>85.5</v>
      </c>
      <c r="F62" s="58"/>
      <c r="G62" s="8">
        <f t="shared" si="8"/>
        <v>0.8</v>
      </c>
      <c r="H62" s="20">
        <f t="shared" si="2"/>
        <v>684</v>
      </c>
      <c r="I62" s="20">
        <f t="shared" si="3"/>
        <v>68.400000000000006</v>
      </c>
      <c r="J62" s="58"/>
      <c r="K62" s="21">
        <f t="shared" si="4"/>
        <v>0.79999999999999993</v>
      </c>
      <c r="L62" s="21">
        <f t="shared" si="0"/>
        <v>0.88</v>
      </c>
      <c r="M62" s="21">
        <f t="shared" si="5"/>
        <v>0.72727272727272729</v>
      </c>
      <c r="N62" s="21">
        <f t="shared" ref="N62" si="31">H58/(E62+D62)</f>
        <v>0.6762360446570973</v>
      </c>
      <c r="O62" s="21">
        <f t="shared" ref="O62" si="32">(H58+I58)/(D62+E62)</f>
        <v>0.743859649122807</v>
      </c>
      <c r="P62" s="21">
        <f>H53/(E62+D62)</f>
        <v>0.61244019138755978</v>
      </c>
      <c r="Q62" s="21">
        <f t="shared" ref="Q62" si="33">(H53+I53)/(E62+D62)</f>
        <v>0.67368421052631577</v>
      </c>
    </row>
    <row r="63" spans="1:17" s="20" customFormat="1" ht="14.25">
      <c r="A63" s="46">
        <v>61</v>
      </c>
      <c r="B63" s="8">
        <f t="shared" si="6"/>
        <v>0.1</v>
      </c>
      <c r="C63" s="8">
        <f t="shared" si="6"/>
        <v>15</v>
      </c>
      <c r="D63" s="20">
        <f t="shared" si="7"/>
        <v>870</v>
      </c>
      <c r="E63" s="20">
        <f t="shared" si="1"/>
        <v>87</v>
      </c>
      <c r="F63" s="58"/>
      <c r="G63" s="8">
        <f t="shared" si="8"/>
        <v>0.8</v>
      </c>
      <c r="H63" s="20">
        <f t="shared" si="2"/>
        <v>696</v>
      </c>
      <c r="I63" s="20">
        <f t="shared" si="3"/>
        <v>69.600000000000009</v>
      </c>
      <c r="J63" s="58"/>
      <c r="K63" s="21">
        <f t="shared" si="4"/>
        <v>0.8</v>
      </c>
      <c r="L63" s="21">
        <f t="shared" si="0"/>
        <v>0.88</v>
      </c>
      <c r="M63" s="21">
        <f t="shared" si="5"/>
        <v>0.72727272727272729</v>
      </c>
      <c r="N63" s="21"/>
      <c r="O63" s="21"/>
      <c r="P63" s="21"/>
      <c r="Q63" s="21"/>
    </row>
    <row r="64" spans="1:17" s="20" customFormat="1" ht="14.25">
      <c r="A64" s="46">
        <v>62</v>
      </c>
      <c r="B64" s="8">
        <f t="shared" si="6"/>
        <v>0.1</v>
      </c>
      <c r="C64" s="8">
        <f t="shared" si="6"/>
        <v>15</v>
      </c>
      <c r="D64" s="20">
        <f t="shared" si="7"/>
        <v>885</v>
      </c>
      <c r="E64" s="20">
        <f t="shared" si="1"/>
        <v>88.5</v>
      </c>
      <c r="F64" s="58"/>
      <c r="G64" s="8">
        <f t="shared" si="8"/>
        <v>0.8</v>
      </c>
      <c r="H64" s="20">
        <f t="shared" si="2"/>
        <v>708</v>
      </c>
      <c r="I64" s="20">
        <f t="shared" si="3"/>
        <v>70.8</v>
      </c>
      <c r="J64" s="58"/>
      <c r="K64" s="21">
        <f t="shared" si="4"/>
        <v>0.79999999999999993</v>
      </c>
      <c r="L64" s="21">
        <f t="shared" si="0"/>
        <v>0.87999999999999989</v>
      </c>
      <c r="M64" s="21">
        <f t="shared" si="5"/>
        <v>0.72727272727272729</v>
      </c>
      <c r="N64" s="21"/>
      <c r="O64" s="21"/>
      <c r="P64" s="21"/>
      <c r="Q64" s="21"/>
    </row>
    <row r="65" spans="1:17" s="20" customFormat="1" ht="14.25">
      <c r="A65" s="46">
        <v>63</v>
      </c>
      <c r="B65" s="8">
        <f t="shared" si="6"/>
        <v>0.1</v>
      </c>
      <c r="C65" s="8">
        <f t="shared" si="6"/>
        <v>15</v>
      </c>
      <c r="D65" s="20">
        <f t="shared" si="7"/>
        <v>900</v>
      </c>
      <c r="E65" s="20">
        <f t="shared" si="1"/>
        <v>90</v>
      </c>
      <c r="F65" s="58"/>
      <c r="G65" s="8">
        <f t="shared" si="8"/>
        <v>0.8</v>
      </c>
      <c r="H65" s="20">
        <f t="shared" si="2"/>
        <v>720</v>
      </c>
      <c r="I65" s="20">
        <f t="shared" si="3"/>
        <v>72</v>
      </c>
      <c r="J65" s="58"/>
      <c r="K65" s="21">
        <f t="shared" si="4"/>
        <v>0.8</v>
      </c>
      <c r="L65" s="21">
        <f t="shared" si="0"/>
        <v>0.88</v>
      </c>
      <c r="M65" s="21">
        <f t="shared" si="5"/>
        <v>0.72727272727272729</v>
      </c>
      <c r="N65" s="21"/>
      <c r="O65" s="21"/>
      <c r="P65" s="21"/>
      <c r="Q65" s="21"/>
    </row>
    <row r="66" spans="1:17" s="20" customFormat="1" ht="14.25">
      <c r="A66" s="46">
        <v>64</v>
      </c>
      <c r="B66" s="8">
        <f t="shared" si="6"/>
        <v>0.1</v>
      </c>
      <c r="C66" s="8">
        <f t="shared" si="6"/>
        <v>15</v>
      </c>
      <c r="D66" s="20">
        <f t="shared" si="7"/>
        <v>915</v>
      </c>
      <c r="E66" s="20">
        <f t="shared" si="1"/>
        <v>91.5</v>
      </c>
      <c r="F66" s="58"/>
      <c r="G66" s="8">
        <f t="shared" si="8"/>
        <v>0.8</v>
      </c>
      <c r="H66" s="20">
        <f t="shared" si="2"/>
        <v>732</v>
      </c>
      <c r="I66" s="20">
        <f t="shared" si="3"/>
        <v>73.2</v>
      </c>
      <c r="J66" s="58"/>
      <c r="K66" s="21">
        <f t="shared" si="4"/>
        <v>0.8</v>
      </c>
      <c r="L66" s="21">
        <f t="shared" si="0"/>
        <v>0.88</v>
      </c>
      <c r="M66" s="21">
        <f t="shared" si="5"/>
        <v>0.72727272727272729</v>
      </c>
      <c r="N66" s="21"/>
      <c r="O66" s="21"/>
      <c r="P66" s="21"/>
      <c r="Q66" s="21"/>
    </row>
    <row r="67" spans="1:17" s="20" customFormat="1" ht="14.25">
      <c r="A67" s="46">
        <v>65</v>
      </c>
      <c r="B67" s="8">
        <f t="shared" si="6"/>
        <v>0.1</v>
      </c>
      <c r="C67" s="8">
        <f t="shared" si="6"/>
        <v>15</v>
      </c>
      <c r="D67" s="20">
        <f t="shared" si="7"/>
        <v>930</v>
      </c>
      <c r="E67" s="20">
        <f t="shared" si="1"/>
        <v>93</v>
      </c>
      <c r="F67" s="58"/>
      <c r="G67" s="8">
        <f t="shared" si="8"/>
        <v>0.8</v>
      </c>
      <c r="H67" s="20">
        <f t="shared" si="2"/>
        <v>744</v>
      </c>
      <c r="I67" s="20">
        <f t="shared" si="3"/>
        <v>74.400000000000006</v>
      </c>
      <c r="J67" s="58"/>
      <c r="K67" s="21">
        <f t="shared" si="4"/>
        <v>0.79999999999999993</v>
      </c>
      <c r="L67" s="21">
        <f t="shared" ref="L67:L122" si="34">(H67+I67)/D67</f>
        <v>0.88</v>
      </c>
      <c r="M67" s="21">
        <f t="shared" si="5"/>
        <v>0.72727272727272729</v>
      </c>
      <c r="N67" s="21">
        <f t="shared" ref="N67" si="35">H63/(E67+D67)</f>
        <v>0.68035190615835772</v>
      </c>
      <c r="O67" s="21">
        <f t="shared" ref="O67" si="36">(H63+I63)/(D67+E67)</f>
        <v>0.74838709677419357</v>
      </c>
      <c r="P67" s="21"/>
      <c r="Q67" s="21"/>
    </row>
    <row r="68" spans="1:17" s="20" customFormat="1" ht="14.25">
      <c r="A68" s="46">
        <v>66</v>
      </c>
      <c r="B68" s="8">
        <f t="shared" si="6"/>
        <v>0.1</v>
      </c>
      <c r="C68" s="8">
        <f t="shared" si="6"/>
        <v>15</v>
      </c>
      <c r="D68" s="20">
        <f t="shared" si="7"/>
        <v>945</v>
      </c>
      <c r="E68" s="20">
        <f t="shared" ref="E68:E122" si="37">D68*B68</f>
        <v>94.5</v>
      </c>
      <c r="F68" s="58"/>
      <c r="G68" s="8">
        <f t="shared" si="8"/>
        <v>0.8</v>
      </c>
      <c r="H68" s="20">
        <f t="shared" ref="H68:H122" si="38">D68*G68</f>
        <v>756</v>
      </c>
      <c r="I68" s="20">
        <f t="shared" ref="I68:I122" si="39">H68*B68</f>
        <v>75.600000000000009</v>
      </c>
      <c r="J68" s="58"/>
      <c r="K68" s="21">
        <f t="shared" ref="K68:K122" si="40">(H68+I68)/(E68+D68)</f>
        <v>0.8</v>
      </c>
      <c r="L68" s="21">
        <f t="shared" si="34"/>
        <v>0.88</v>
      </c>
      <c r="M68" s="21">
        <f t="shared" ref="M68:M122" si="41">H68/(E68+D68)</f>
        <v>0.72727272727272729</v>
      </c>
      <c r="N68" s="21"/>
      <c r="O68" s="21"/>
      <c r="P68" s="21"/>
      <c r="Q68" s="21"/>
    </row>
    <row r="69" spans="1:17" s="20" customFormat="1" ht="14.25">
      <c r="A69" s="46">
        <v>67</v>
      </c>
      <c r="B69" s="8">
        <f t="shared" ref="B69:C122" si="42">B68</f>
        <v>0.1</v>
      </c>
      <c r="C69" s="8">
        <f t="shared" si="42"/>
        <v>15</v>
      </c>
      <c r="D69" s="20">
        <f t="shared" ref="D69:D122" si="43">C69+D68</f>
        <v>960</v>
      </c>
      <c r="E69" s="20">
        <f t="shared" si="37"/>
        <v>96</v>
      </c>
      <c r="F69" s="58"/>
      <c r="G69" s="8">
        <f t="shared" ref="G69:G122" si="44">G68</f>
        <v>0.8</v>
      </c>
      <c r="H69" s="20">
        <f t="shared" si="38"/>
        <v>768</v>
      </c>
      <c r="I69" s="20">
        <f t="shared" si="39"/>
        <v>76.800000000000011</v>
      </c>
      <c r="J69" s="58"/>
      <c r="K69" s="21">
        <f t="shared" si="40"/>
        <v>0.79999999999999993</v>
      </c>
      <c r="L69" s="21">
        <f t="shared" si="34"/>
        <v>0.88</v>
      </c>
      <c r="M69" s="21">
        <f t="shared" si="41"/>
        <v>0.72727272727272729</v>
      </c>
      <c r="N69" s="21"/>
      <c r="O69" s="21"/>
      <c r="P69" s="21"/>
      <c r="Q69" s="21"/>
    </row>
    <row r="70" spans="1:17" s="20" customFormat="1" ht="14.25">
      <c r="A70" s="46">
        <v>68</v>
      </c>
      <c r="B70" s="8">
        <f t="shared" si="42"/>
        <v>0.1</v>
      </c>
      <c r="C70" s="8">
        <f t="shared" si="42"/>
        <v>15</v>
      </c>
      <c r="D70" s="20">
        <f t="shared" si="43"/>
        <v>975</v>
      </c>
      <c r="E70" s="20">
        <f t="shared" si="37"/>
        <v>97.5</v>
      </c>
      <c r="F70" s="58"/>
      <c r="G70" s="8">
        <f t="shared" si="44"/>
        <v>0.8</v>
      </c>
      <c r="H70" s="20">
        <f t="shared" si="38"/>
        <v>780</v>
      </c>
      <c r="I70" s="20">
        <f t="shared" si="39"/>
        <v>78</v>
      </c>
      <c r="J70" s="58"/>
      <c r="K70" s="21">
        <f t="shared" si="40"/>
        <v>0.8</v>
      </c>
      <c r="L70" s="21">
        <f t="shared" si="34"/>
        <v>0.88</v>
      </c>
      <c r="M70" s="21">
        <f t="shared" si="41"/>
        <v>0.72727272727272729</v>
      </c>
      <c r="N70" s="21"/>
      <c r="O70" s="21"/>
      <c r="P70" s="21"/>
      <c r="Q70" s="21"/>
    </row>
    <row r="71" spans="1:17" s="20" customFormat="1" ht="14.25">
      <c r="A71" s="46">
        <v>69</v>
      </c>
      <c r="B71" s="8">
        <f t="shared" si="42"/>
        <v>0.1</v>
      </c>
      <c r="C71" s="8">
        <f t="shared" si="42"/>
        <v>15</v>
      </c>
      <c r="D71" s="20">
        <f t="shared" si="43"/>
        <v>990</v>
      </c>
      <c r="E71" s="20">
        <f t="shared" si="37"/>
        <v>99</v>
      </c>
      <c r="F71" s="58"/>
      <c r="G71" s="8">
        <f t="shared" si="44"/>
        <v>0.8</v>
      </c>
      <c r="H71" s="20">
        <f t="shared" si="38"/>
        <v>792</v>
      </c>
      <c r="I71" s="20">
        <f t="shared" si="39"/>
        <v>79.2</v>
      </c>
      <c r="J71" s="58"/>
      <c r="K71" s="21">
        <f t="shared" si="40"/>
        <v>0.8</v>
      </c>
      <c r="L71" s="21">
        <f t="shared" si="34"/>
        <v>0.88</v>
      </c>
      <c r="M71" s="21">
        <f t="shared" si="41"/>
        <v>0.72727272727272729</v>
      </c>
      <c r="N71" s="21"/>
      <c r="O71" s="21"/>
      <c r="P71" s="21"/>
      <c r="Q71" s="21"/>
    </row>
    <row r="72" spans="1:17" s="20" customFormat="1" ht="14.25">
      <c r="A72" s="46">
        <v>70</v>
      </c>
      <c r="B72" s="8">
        <f t="shared" si="42"/>
        <v>0.1</v>
      </c>
      <c r="C72" s="8">
        <f t="shared" si="42"/>
        <v>15</v>
      </c>
      <c r="D72" s="20">
        <f t="shared" si="43"/>
        <v>1005</v>
      </c>
      <c r="E72" s="20">
        <f t="shared" si="37"/>
        <v>100.5</v>
      </c>
      <c r="F72" s="58"/>
      <c r="G72" s="8">
        <f t="shared" si="44"/>
        <v>0.8</v>
      </c>
      <c r="H72" s="20">
        <f t="shared" si="38"/>
        <v>804</v>
      </c>
      <c r="I72" s="20">
        <f t="shared" si="39"/>
        <v>80.400000000000006</v>
      </c>
      <c r="J72" s="58"/>
      <c r="K72" s="21">
        <f t="shared" si="40"/>
        <v>0.79999999999999993</v>
      </c>
      <c r="L72" s="21">
        <f t="shared" si="34"/>
        <v>0.88</v>
      </c>
      <c r="M72" s="21">
        <f t="shared" si="41"/>
        <v>0.72727272727272729</v>
      </c>
      <c r="N72" s="21">
        <f t="shared" ref="N72" si="45">H68/(E72+D72)</f>
        <v>0.68385345997286295</v>
      </c>
      <c r="O72" s="21">
        <f t="shared" ref="O72" si="46">(H68+I68)/(D72+E72)</f>
        <v>0.75223880597014925</v>
      </c>
      <c r="P72" s="21">
        <f>H63/(E72+D72)</f>
        <v>0.62957937584803259</v>
      </c>
      <c r="Q72" s="21">
        <f t="shared" ref="Q72" si="47">(H63+I63)/(E72+D72)</f>
        <v>0.69253731343283587</v>
      </c>
    </row>
    <row r="73" spans="1:17" s="20" customFormat="1" ht="14.25">
      <c r="A73" s="46">
        <v>71</v>
      </c>
      <c r="B73" s="8">
        <f t="shared" si="42"/>
        <v>0.1</v>
      </c>
      <c r="C73" s="8">
        <f t="shared" si="42"/>
        <v>15</v>
      </c>
      <c r="D73" s="20">
        <f t="shared" si="43"/>
        <v>1020</v>
      </c>
      <c r="E73" s="20">
        <f t="shared" si="37"/>
        <v>102</v>
      </c>
      <c r="F73" s="58"/>
      <c r="G73" s="8">
        <f t="shared" si="44"/>
        <v>0.8</v>
      </c>
      <c r="H73" s="20">
        <f t="shared" si="38"/>
        <v>816</v>
      </c>
      <c r="I73" s="20">
        <f t="shared" si="39"/>
        <v>81.600000000000009</v>
      </c>
      <c r="J73" s="58"/>
      <c r="K73" s="21">
        <f t="shared" si="40"/>
        <v>0.8</v>
      </c>
      <c r="L73" s="21">
        <f t="shared" si="34"/>
        <v>0.88</v>
      </c>
      <c r="M73" s="21">
        <f t="shared" si="41"/>
        <v>0.72727272727272729</v>
      </c>
      <c r="N73" s="21"/>
      <c r="O73" s="21"/>
      <c r="P73" s="21"/>
      <c r="Q73" s="21"/>
    </row>
    <row r="74" spans="1:17" s="20" customFormat="1" ht="14.25">
      <c r="A74" s="46">
        <v>72</v>
      </c>
      <c r="B74" s="8">
        <f t="shared" si="42"/>
        <v>0.1</v>
      </c>
      <c r="C74" s="8">
        <f t="shared" si="42"/>
        <v>15</v>
      </c>
      <c r="D74" s="20">
        <f t="shared" si="43"/>
        <v>1035</v>
      </c>
      <c r="E74" s="20">
        <f t="shared" si="37"/>
        <v>103.5</v>
      </c>
      <c r="F74" s="58"/>
      <c r="G74" s="8">
        <f t="shared" si="44"/>
        <v>0.8</v>
      </c>
      <c r="H74" s="20">
        <f t="shared" si="38"/>
        <v>828</v>
      </c>
      <c r="I74" s="20">
        <f t="shared" si="39"/>
        <v>82.800000000000011</v>
      </c>
      <c r="J74" s="58"/>
      <c r="K74" s="21">
        <f t="shared" si="40"/>
        <v>0.79999999999999993</v>
      </c>
      <c r="L74" s="21">
        <f t="shared" si="34"/>
        <v>0.88</v>
      </c>
      <c r="M74" s="21">
        <f t="shared" si="41"/>
        <v>0.72727272727272729</v>
      </c>
      <c r="N74" s="21"/>
      <c r="O74" s="21"/>
      <c r="P74" s="21"/>
      <c r="Q74" s="21"/>
    </row>
    <row r="75" spans="1:17" s="20" customFormat="1" ht="14.25">
      <c r="A75" s="46">
        <v>73</v>
      </c>
      <c r="B75" s="8">
        <f t="shared" si="42"/>
        <v>0.1</v>
      </c>
      <c r="C75" s="8">
        <f t="shared" si="42"/>
        <v>15</v>
      </c>
      <c r="D75" s="20">
        <f t="shared" si="43"/>
        <v>1050</v>
      </c>
      <c r="E75" s="20">
        <f t="shared" si="37"/>
        <v>105</v>
      </c>
      <c r="F75" s="58"/>
      <c r="G75" s="8">
        <f t="shared" si="44"/>
        <v>0.8</v>
      </c>
      <c r="H75" s="20">
        <f t="shared" si="38"/>
        <v>840</v>
      </c>
      <c r="I75" s="20">
        <f t="shared" si="39"/>
        <v>84</v>
      </c>
      <c r="J75" s="58"/>
      <c r="K75" s="21">
        <f t="shared" si="40"/>
        <v>0.8</v>
      </c>
      <c r="L75" s="21">
        <f t="shared" si="34"/>
        <v>0.88</v>
      </c>
      <c r="M75" s="21">
        <f t="shared" si="41"/>
        <v>0.72727272727272729</v>
      </c>
      <c r="N75" s="21"/>
      <c r="O75" s="21"/>
      <c r="P75" s="21"/>
      <c r="Q75" s="21"/>
    </row>
    <row r="76" spans="1:17" s="20" customFormat="1" ht="14.25">
      <c r="A76" s="46">
        <v>74</v>
      </c>
      <c r="B76" s="8">
        <f t="shared" si="42"/>
        <v>0.1</v>
      </c>
      <c r="C76" s="8">
        <f t="shared" si="42"/>
        <v>15</v>
      </c>
      <c r="D76" s="20">
        <f t="shared" si="43"/>
        <v>1065</v>
      </c>
      <c r="E76" s="20">
        <f t="shared" si="37"/>
        <v>106.5</v>
      </c>
      <c r="F76" s="58"/>
      <c r="G76" s="8">
        <f t="shared" si="44"/>
        <v>0.8</v>
      </c>
      <c r="H76" s="20">
        <f t="shared" si="38"/>
        <v>852</v>
      </c>
      <c r="I76" s="20">
        <f t="shared" si="39"/>
        <v>85.2</v>
      </c>
      <c r="J76" s="58"/>
      <c r="K76" s="21">
        <f t="shared" si="40"/>
        <v>0.8</v>
      </c>
      <c r="L76" s="21">
        <f t="shared" si="34"/>
        <v>0.88</v>
      </c>
      <c r="M76" s="21">
        <f t="shared" si="41"/>
        <v>0.72727272727272729</v>
      </c>
      <c r="N76" s="21"/>
      <c r="O76" s="21"/>
      <c r="P76" s="21"/>
      <c r="Q76" s="21"/>
    </row>
    <row r="77" spans="1:17" s="20" customFormat="1" ht="14.25">
      <c r="A77" s="46">
        <v>75</v>
      </c>
      <c r="B77" s="8">
        <f t="shared" si="42"/>
        <v>0.1</v>
      </c>
      <c r="C77" s="8">
        <f t="shared" si="42"/>
        <v>15</v>
      </c>
      <c r="D77" s="20">
        <f t="shared" si="43"/>
        <v>1080</v>
      </c>
      <c r="E77" s="20">
        <f t="shared" si="37"/>
        <v>108</v>
      </c>
      <c r="F77" s="58"/>
      <c r="G77" s="8">
        <f t="shared" si="44"/>
        <v>0.8</v>
      </c>
      <c r="H77" s="20">
        <f t="shared" si="38"/>
        <v>864</v>
      </c>
      <c r="I77" s="20">
        <f t="shared" si="39"/>
        <v>86.4</v>
      </c>
      <c r="J77" s="58"/>
      <c r="K77" s="21">
        <f t="shared" si="40"/>
        <v>0.79999999999999993</v>
      </c>
      <c r="L77" s="21">
        <f t="shared" si="34"/>
        <v>0.88</v>
      </c>
      <c r="M77" s="21">
        <f t="shared" si="41"/>
        <v>0.72727272727272729</v>
      </c>
      <c r="N77" s="21">
        <f t="shared" ref="N77" si="48">H73/(E77+D77)</f>
        <v>0.68686868686868685</v>
      </c>
      <c r="O77" s="21">
        <f t="shared" ref="O77" si="49">(H73+I73)/(D77+E77)</f>
        <v>0.75555555555555554</v>
      </c>
      <c r="P77" s="21"/>
      <c r="Q77" s="21"/>
    </row>
    <row r="78" spans="1:17" s="20" customFormat="1" ht="14.25">
      <c r="A78" s="46">
        <v>76</v>
      </c>
      <c r="B78" s="8">
        <f t="shared" si="42"/>
        <v>0.1</v>
      </c>
      <c r="C78" s="8">
        <f t="shared" si="42"/>
        <v>15</v>
      </c>
      <c r="D78" s="20">
        <f t="shared" si="43"/>
        <v>1095</v>
      </c>
      <c r="E78" s="20">
        <f t="shared" si="37"/>
        <v>109.5</v>
      </c>
      <c r="F78" s="58"/>
      <c r="G78" s="8">
        <f t="shared" si="44"/>
        <v>0.8</v>
      </c>
      <c r="H78" s="20">
        <f t="shared" si="38"/>
        <v>876</v>
      </c>
      <c r="I78" s="20">
        <f t="shared" si="39"/>
        <v>87.600000000000009</v>
      </c>
      <c r="J78" s="58"/>
      <c r="K78" s="21">
        <f t="shared" si="40"/>
        <v>0.8</v>
      </c>
      <c r="L78" s="21">
        <f t="shared" si="34"/>
        <v>0.88</v>
      </c>
      <c r="M78" s="21">
        <f t="shared" si="41"/>
        <v>0.72727272727272729</v>
      </c>
      <c r="N78" s="21"/>
      <c r="O78" s="21"/>
      <c r="P78" s="21"/>
      <c r="Q78" s="21"/>
    </row>
    <row r="79" spans="1:17" s="20" customFormat="1" ht="14.25">
      <c r="A79" s="46">
        <v>77</v>
      </c>
      <c r="B79" s="8">
        <f t="shared" si="42"/>
        <v>0.1</v>
      </c>
      <c r="C79" s="8">
        <f t="shared" si="42"/>
        <v>15</v>
      </c>
      <c r="D79" s="20">
        <f t="shared" si="43"/>
        <v>1110</v>
      </c>
      <c r="E79" s="20">
        <f t="shared" si="37"/>
        <v>111</v>
      </c>
      <c r="F79" s="58"/>
      <c r="G79" s="8">
        <f t="shared" si="44"/>
        <v>0.8</v>
      </c>
      <c r="H79" s="20">
        <f t="shared" si="38"/>
        <v>888</v>
      </c>
      <c r="I79" s="20">
        <f t="shared" si="39"/>
        <v>88.800000000000011</v>
      </c>
      <c r="J79" s="58"/>
      <c r="K79" s="21">
        <f t="shared" si="40"/>
        <v>0.79999999999999993</v>
      </c>
      <c r="L79" s="21">
        <f t="shared" si="34"/>
        <v>0.88</v>
      </c>
      <c r="M79" s="21">
        <f t="shared" si="41"/>
        <v>0.72727272727272729</v>
      </c>
      <c r="N79" s="21"/>
      <c r="O79" s="21"/>
      <c r="P79" s="21"/>
      <c r="Q79" s="21"/>
    </row>
    <row r="80" spans="1:17" s="20" customFormat="1" ht="14.25">
      <c r="A80" s="46">
        <v>78</v>
      </c>
      <c r="B80" s="8">
        <f t="shared" si="42"/>
        <v>0.1</v>
      </c>
      <c r="C80" s="8">
        <f t="shared" si="42"/>
        <v>15</v>
      </c>
      <c r="D80" s="20">
        <f t="shared" si="43"/>
        <v>1125</v>
      </c>
      <c r="E80" s="20">
        <f t="shared" si="37"/>
        <v>112.5</v>
      </c>
      <c r="F80" s="58"/>
      <c r="G80" s="8">
        <f t="shared" si="44"/>
        <v>0.8</v>
      </c>
      <c r="H80" s="20">
        <f t="shared" si="38"/>
        <v>900</v>
      </c>
      <c r="I80" s="20">
        <f t="shared" si="39"/>
        <v>90</v>
      </c>
      <c r="J80" s="58"/>
      <c r="K80" s="21">
        <f t="shared" si="40"/>
        <v>0.8</v>
      </c>
      <c r="L80" s="21">
        <f t="shared" si="34"/>
        <v>0.88</v>
      </c>
      <c r="M80" s="21">
        <f t="shared" si="41"/>
        <v>0.72727272727272729</v>
      </c>
      <c r="N80" s="21"/>
      <c r="O80" s="21"/>
      <c r="P80" s="21"/>
      <c r="Q80" s="21"/>
    </row>
    <row r="81" spans="1:17" s="20" customFormat="1" ht="14.25">
      <c r="A81" s="46">
        <v>79</v>
      </c>
      <c r="B81" s="8">
        <f t="shared" si="42"/>
        <v>0.1</v>
      </c>
      <c r="C81" s="8">
        <f t="shared" si="42"/>
        <v>15</v>
      </c>
      <c r="D81" s="20">
        <f t="shared" si="43"/>
        <v>1140</v>
      </c>
      <c r="E81" s="20">
        <f t="shared" si="37"/>
        <v>114</v>
      </c>
      <c r="F81" s="58"/>
      <c r="G81" s="8">
        <f t="shared" si="44"/>
        <v>0.8</v>
      </c>
      <c r="H81" s="20">
        <f t="shared" si="38"/>
        <v>912</v>
      </c>
      <c r="I81" s="20">
        <f t="shared" si="39"/>
        <v>91.2</v>
      </c>
      <c r="J81" s="58"/>
      <c r="K81" s="21">
        <f t="shared" si="40"/>
        <v>0.8</v>
      </c>
      <c r="L81" s="21">
        <f t="shared" si="34"/>
        <v>0.88</v>
      </c>
      <c r="M81" s="21">
        <f t="shared" si="41"/>
        <v>0.72727272727272729</v>
      </c>
      <c r="N81" s="21"/>
      <c r="O81" s="21"/>
      <c r="P81" s="21"/>
      <c r="Q81" s="21"/>
    </row>
    <row r="82" spans="1:17" s="20" customFormat="1" ht="14.25">
      <c r="A82" s="46">
        <v>80</v>
      </c>
      <c r="B82" s="8">
        <f t="shared" si="42"/>
        <v>0.1</v>
      </c>
      <c r="C82" s="8">
        <f t="shared" si="42"/>
        <v>15</v>
      </c>
      <c r="D82" s="20">
        <f t="shared" si="43"/>
        <v>1155</v>
      </c>
      <c r="E82" s="20">
        <f t="shared" si="37"/>
        <v>115.5</v>
      </c>
      <c r="F82" s="58"/>
      <c r="G82" s="8">
        <f t="shared" si="44"/>
        <v>0.8</v>
      </c>
      <c r="H82" s="20">
        <f t="shared" si="38"/>
        <v>924</v>
      </c>
      <c r="I82" s="20">
        <f t="shared" si="39"/>
        <v>92.4</v>
      </c>
      <c r="J82" s="58"/>
      <c r="K82" s="21">
        <f t="shared" si="40"/>
        <v>0.79999999999999993</v>
      </c>
      <c r="L82" s="21">
        <f t="shared" si="34"/>
        <v>0.88</v>
      </c>
      <c r="M82" s="21">
        <f t="shared" si="41"/>
        <v>0.72727272727272729</v>
      </c>
      <c r="N82" s="21">
        <f t="shared" ref="N82" si="50">H78/(E82+D82)</f>
        <v>0.68949232585596221</v>
      </c>
      <c r="O82" s="21">
        <f t="shared" ref="O82" si="51">(H78+I78)/(D82+E82)</f>
        <v>0.75844155844155847</v>
      </c>
      <c r="P82" s="21">
        <f>H73/(E82+D82)</f>
        <v>0.64226682408500591</v>
      </c>
      <c r="Q82" s="21">
        <f t="shared" ref="Q82" si="52">(H73+I73)/(E82+D82)</f>
        <v>0.70649350649350651</v>
      </c>
    </row>
    <row r="83" spans="1:17" s="20" customFormat="1" ht="14.25">
      <c r="A83" s="46">
        <v>81</v>
      </c>
      <c r="B83" s="8">
        <f t="shared" si="42"/>
        <v>0.1</v>
      </c>
      <c r="C83" s="8">
        <f t="shared" si="42"/>
        <v>15</v>
      </c>
      <c r="D83" s="20">
        <f t="shared" si="43"/>
        <v>1170</v>
      </c>
      <c r="E83" s="20">
        <f t="shared" si="37"/>
        <v>117</v>
      </c>
      <c r="F83" s="58"/>
      <c r="G83" s="8">
        <f t="shared" si="44"/>
        <v>0.8</v>
      </c>
      <c r="H83" s="20">
        <f t="shared" si="38"/>
        <v>936</v>
      </c>
      <c r="I83" s="20">
        <f t="shared" si="39"/>
        <v>93.600000000000009</v>
      </c>
      <c r="J83" s="58"/>
      <c r="K83" s="21">
        <f t="shared" si="40"/>
        <v>0.79999999999999993</v>
      </c>
      <c r="L83" s="21">
        <f t="shared" si="34"/>
        <v>0.87999999999999989</v>
      </c>
      <c r="M83" s="21">
        <f t="shared" si="41"/>
        <v>0.72727272727272729</v>
      </c>
      <c r="N83" s="21"/>
      <c r="O83" s="21"/>
      <c r="P83" s="21"/>
      <c r="Q83" s="21"/>
    </row>
    <row r="84" spans="1:17" s="20" customFormat="1" ht="14.25">
      <c r="A84" s="46">
        <v>82</v>
      </c>
      <c r="B84" s="8">
        <f t="shared" si="42"/>
        <v>0.1</v>
      </c>
      <c r="C84" s="8">
        <f t="shared" si="42"/>
        <v>15</v>
      </c>
      <c r="D84" s="20">
        <f t="shared" si="43"/>
        <v>1185</v>
      </c>
      <c r="E84" s="20">
        <f t="shared" si="37"/>
        <v>118.5</v>
      </c>
      <c r="F84" s="58"/>
      <c r="G84" s="8">
        <f t="shared" si="44"/>
        <v>0.8</v>
      </c>
      <c r="H84" s="20">
        <f t="shared" si="38"/>
        <v>948</v>
      </c>
      <c r="I84" s="20">
        <f t="shared" si="39"/>
        <v>94.800000000000011</v>
      </c>
      <c r="J84" s="58"/>
      <c r="K84" s="21">
        <f t="shared" si="40"/>
        <v>0.79999999999999993</v>
      </c>
      <c r="L84" s="21">
        <f t="shared" si="34"/>
        <v>0.88</v>
      </c>
      <c r="M84" s="21">
        <f t="shared" si="41"/>
        <v>0.72727272727272729</v>
      </c>
      <c r="N84" s="21"/>
      <c r="O84" s="21"/>
      <c r="P84" s="21"/>
      <c r="Q84" s="21"/>
    </row>
    <row r="85" spans="1:17" s="20" customFormat="1" ht="14.25">
      <c r="A85" s="46">
        <v>83</v>
      </c>
      <c r="B85" s="8">
        <f t="shared" si="42"/>
        <v>0.1</v>
      </c>
      <c r="C85" s="8">
        <f t="shared" si="42"/>
        <v>15</v>
      </c>
      <c r="D85" s="20">
        <f t="shared" si="43"/>
        <v>1200</v>
      </c>
      <c r="E85" s="20">
        <f t="shared" si="37"/>
        <v>120</v>
      </c>
      <c r="F85" s="58"/>
      <c r="G85" s="8">
        <f t="shared" si="44"/>
        <v>0.8</v>
      </c>
      <c r="H85" s="20">
        <f t="shared" si="38"/>
        <v>960</v>
      </c>
      <c r="I85" s="20">
        <f t="shared" si="39"/>
        <v>96</v>
      </c>
      <c r="J85" s="58"/>
      <c r="K85" s="21">
        <f t="shared" si="40"/>
        <v>0.8</v>
      </c>
      <c r="L85" s="21">
        <f t="shared" si="34"/>
        <v>0.88</v>
      </c>
      <c r="M85" s="21">
        <f t="shared" si="41"/>
        <v>0.72727272727272729</v>
      </c>
      <c r="N85" s="21"/>
      <c r="O85" s="21"/>
      <c r="P85" s="21"/>
      <c r="Q85" s="21"/>
    </row>
    <row r="86" spans="1:17" s="20" customFormat="1" ht="14.25">
      <c r="A86" s="46">
        <v>84</v>
      </c>
      <c r="B86" s="8">
        <f t="shared" si="42"/>
        <v>0.1</v>
      </c>
      <c r="C86" s="8">
        <f t="shared" si="42"/>
        <v>15</v>
      </c>
      <c r="D86" s="20">
        <f t="shared" si="43"/>
        <v>1215</v>
      </c>
      <c r="E86" s="20">
        <f t="shared" si="37"/>
        <v>121.5</v>
      </c>
      <c r="F86" s="58"/>
      <c r="G86" s="8">
        <f t="shared" si="44"/>
        <v>0.8</v>
      </c>
      <c r="H86" s="20">
        <f t="shared" si="38"/>
        <v>972</v>
      </c>
      <c r="I86" s="20">
        <f t="shared" si="39"/>
        <v>97.2</v>
      </c>
      <c r="J86" s="58"/>
      <c r="K86" s="21">
        <f t="shared" si="40"/>
        <v>0.8</v>
      </c>
      <c r="L86" s="21">
        <f t="shared" si="34"/>
        <v>0.88</v>
      </c>
      <c r="M86" s="21">
        <f t="shared" si="41"/>
        <v>0.72727272727272729</v>
      </c>
      <c r="N86" s="21"/>
      <c r="O86" s="21"/>
      <c r="P86" s="21"/>
      <c r="Q86" s="21"/>
    </row>
    <row r="87" spans="1:17" s="20" customFormat="1" ht="14.25">
      <c r="A87" s="46">
        <v>85</v>
      </c>
      <c r="B87" s="8">
        <f t="shared" si="42"/>
        <v>0.1</v>
      </c>
      <c r="C87" s="8">
        <f t="shared" si="42"/>
        <v>15</v>
      </c>
      <c r="D87" s="20">
        <f t="shared" si="43"/>
        <v>1230</v>
      </c>
      <c r="E87" s="20">
        <f t="shared" si="37"/>
        <v>123</v>
      </c>
      <c r="F87" s="58"/>
      <c r="G87" s="8">
        <f t="shared" si="44"/>
        <v>0.8</v>
      </c>
      <c r="H87" s="20">
        <f t="shared" si="38"/>
        <v>984</v>
      </c>
      <c r="I87" s="20">
        <f t="shared" si="39"/>
        <v>98.4</v>
      </c>
      <c r="J87" s="58"/>
      <c r="K87" s="21">
        <f t="shared" si="40"/>
        <v>0.8</v>
      </c>
      <c r="L87" s="21">
        <f t="shared" si="34"/>
        <v>0.88000000000000012</v>
      </c>
      <c r="M87" s="21">
        <f t="shared" si="41"/>
        <v>0.72727272727272729</v>
      </c>
      <c r="N87" s="21">
        <f t="shared" ref="N87" si="53">H83/(E87+D87)</f>
        <v>0.69179600886917958</v>
      </c>
      <c r="O87" s="21">
        <f t="shared" ref="O87" si="54">(H83+I83)/(D87+E87)</f>
        <v>0.76097560975609746</v>
      </c>
      <c r="P87" s="21"/>
      <c r="Q87" s="21"/>
    </row>
    <row r="88" spans="1:17" s="20" customFormat="1" ht="14.25">
      <c r="A88" s="46">
        <v>86</v>
      </c>
      <c r="B88" s="8">
        <f t="shared" si="42"/>
        <v>0.1</v>
      </c>
      <c r="C88" s="8">
        <f t="shared" si="42"/>
        <v>15</v>
      </c>
      <c r="D88" s="20">
        <f t="shared" si="43"/>
        <v>1245</v>
      </c>
      <c r="E88" s="20">
        <f t="shared" si="37"/>
        <v>124.5</v>
      </c>
      <c r="F88" s="58"/>
      <c r="G88" s="8">
        <f t="shared" si="44"/>
        <v>0.8</v>
      </c>
      <c r="H88" s="20">
        <f t="shared" si="38"/>
        <v>996</v>
      </c>
      <c r="I88" s="20">
        <f t="shared" si="39"/>
        <v>99.600000000000009</v>
      </c>
      <c r="J88" s="58"/>
      <c r="K88" s="21">
        <f t="shared" si="40"/>
        <v>0.79999999999999993</v>
      </c>
      <c r="L88" s="21">
        <f t="shared" si="34"/>
        <v>0.87999999999999989</v>
      </c>
      <c r="M88" s="21">
        <f t="shared" si="41"/>
        <v>0.72727272727272729</v>
      </c>
      <c r="N88" s="21"/>
      <c r="O88" s="21"/>
      <c r="P88" s="21"/>
      <c r="Q88" s="21"/>
    </row>
    <row r="89" spans="1:17" s="20" customFormat="1" ht="14.25">
      <c r="A89" s="46">
        <v>87</v>
      </c>
      <c r="B89" s="8">
        <f t="shared" si="42"/>
        <v>0.1</v>
      </c>
      <c r="C89" s="8">
        <f t="shared" si="42"/>
        <v>15</v>
      </c>
      <c r="D89" s="20">
        <f t="shared" si="43"/>
        <v>1260</v>
      </c>
      <c r="E89" s="20">
        <f t="shared" si="37"/>
        <v>126</v>
      </c>
      <c r="F89" s="58"/>
      <c r="G89" s="8">
        <f t="shared" si="44"/>
        <v>0.8</v>
      </c>
      <c r="H89" s="20">
        <f t="shared" si="38"/>
        <v>1008</v>
      </c>
      <c r="I89" s="20">
        <f t="shared" si="39"/>
        <v>100.80000000000001</v>
      </c>
      <c r="J89" s="58"/>
      <c r="K89" s="21">
        <f t="shared" si="40"/>
        <v>0.79999999999999993</v>
      </c>
      <c r="L89" s="21">
        <f t="shared" si="34"/>
        <v>0.88</v>
      </c>
      <c r="M89" s="21">
        <f t="shared" si="41"/>
        <v>0.72727272727272729</v>
      </c>
      <c r="N89" s="21"/>
      <c r="O89" s="21"/>
      <c r="P89" s="21"/>
      <c r="Q89" s="21"/>
    </row>
    <row r="90" spans="1:17" s="20" customFormat="1" ht="14.25">
      <c r="A90" s="46">
        <v>88</v>
      </c>
      <c r="B90" s="8">
        <f t="shared" si="42"/>
        <v>0.1</v>
      </c>
      <c r="C90" s="8">
        <f t="shared" si="42"/>
        <v>15</v>
      </c>
      <c r="D90" s="20">
        <f t="shared" si="43"/>
        <v>1275</v>
      </c>
      <c r="E90" s="20">
        <f t="shared" si="37"/>
        <v>127.5</v>
      </c>
      <c r="F90" s="58"/>
      <c r="G90" s="8">
        <f t="shared" si="44"/>
        <v>0.8</v>
      </c>
      <c r="H90" s="20">
        <f t="shared" si="38"/>
        <v>1020</v>
      </c>
      <c r="I90" s="20">
        <f t="shared" si="39"/>
        <v>102</v>
      </c>
      <c r="J90" s="58"/>
      <c r="K90" s="21">
        <f t="shared" si="40"/>
        <v>0.8</v>
      </c>
      <c r="L90" s="21">
        <f t="shared" si="34"/>
        <v>0.88</v>
      </c>
      <c r="M90" s="21">
        <f t="shared" si="41"/>
        <v>0.72727272727272729</v>
      </c>
      <c r="N90" s="21"/>
      <c r="O90" s="21"/>
      <c r="P90" s="21"/>
      <c r="Q90" s="21"/>
    </row>
    <row r="91" spans="1:17" s="20" customFormat="1" ht="14.25">
      <c r="A91" s="46">
        <v>89</v>
      </c>
      <c r="B91" s="8">
        <f t="shared" si="42"/>
        <v>0.1</v>
      </c>
      <c r="C91" s="8">
        <f t="shared" si="42"/>
        <v>15</v>
      </c>
      <c r="D91" s="20">
        <f t="shared" si="43"/>
        <v>1290</v>
      </c>
      <c r="E91" s="20">
        <f t="shared" si="37"/>
        <v>129</v>
      </c>
      <c r="F91" s="58"/>
      <c r="G91" s="8">
        <f t="shared" si="44"/>
        <v>0.8</v>
      </c>
      <c r="H91" s="20">
        <f t="shared" si="38"/>
        <v>1032</v>
      </c>
      <c r="I91" s="20">
        <f t="shared" si="39"/>
        <v>103.2</v>
      </c>
      <c r="J91" s="58"/>
      <c r="K91" s="21">
        <f t="shared" si="40"/>
        <v>0.8</v>
      </c>
      <c r="L91" s="21">
        <f t="shared" si="34"/>
        <v>0.88</v>
      </c>
      <c r="M91" s="21">
        <f t="shared" si="41"/>
        <v>0.72727272727272729</v>
      </c>
      <c r="N91" s="21"/>
      <c r="O91" s="21"/>
      <c r="P91" s="21"/>
      <c r="Q91" s="21"/>
    </row>
    <row r="92" spans="1:17" s="20" customFormat="1" ht="14.25">
      <c r="A92" s="46">
        <v>90</v>
      </c>
      <c r="B92" s="8">
        <f t="shared" si="42"/>
        <v>0.1</v>
      </c>
      <c r="C92" s="8">
        <f t="shared" si="42"/>
        <v>15</v>
      </c>
      <c r="D92" s="20">
        <f t="shared" si="43"/>
        <v>1305</v>
      </c>
      <c r="E92" s="20">
        <f t="shared" si="37"/>
        <v>130.5</v>
      </c>
      <c r="F92" s="58"/>
      <c r="G92" s="8">
        <f t="shared" si="44"/>
        <v>0.8</v>
      </c>
      <c r="H92" s="20">
        <f t="shared" si="38"/>
        <v>1044</v>
      </c>
      <c r="I92" s="20">
        <f t="shared" si="39"/>
        <v>104.4</v>
      </c>
      <c r="J92" s="58"/>
      <c r="K92" s="21">
        <f t="shared" si="40"/>
        <v>0.8</v>
      </c>
      <c r="L92" s="21">
        <f t="shared" si="34"/>
        <v>0.88000000000000012</v>
      </c>
      <c r="M92" s="21">
        <f t="shared" si="41"/>
        <v>0.72727272727272729</v>
      </c>
      <c r="N92" s="21">
        <f t="shared" ref="N92" si="55">H88/(E92+D92)</f>
        <v>0.69383490073145249</v>
      </c>
      <c r="O92" s="21">
        <f t="shared" ref="O92" si="56">(H88+I88)/(D92+E92)</f>
        <v>0.76321839080459764</v>
      </c>
      <c r="P92" s="21">
        <f>H83/(E92+D92)</f>
        <v>0.65203761755485889</v>
      </c>
      <c r="Q92" s="21">
        <f t="shared" ref="Q92" si="57">(H83+I83)/(E92+D92)</f>
        <v>0.71724137931034482</v>
      </c>
    </row>
    <row r="93" spans="1:17" s="20" customFormat="1" ht="14.25">
      <c r="A93" s="46">
        <v>91</v>
      </c>
      <c r="B93" s="8">
        <f t="shared" si="42"/>
        <v>0.1</v>
      </c>
      <c r="C93" s="8">
        <f t="shared" si="42"/>
        <v>15</v>
      </c>
      <c r="D93" s="20">
        <f t="shared" si="43"/>
        <v>1320</v>
      </c>
      <c r="E93" s="20">
        <f t="shared" si="37"/>
        <v>132</v>
      </c>
      <c r="F93" s="58"/>
      <c r="G93" s="8">
        <f t="shared" si="44"/>
        <v>0.8</v>
      </c>
      <c r="H93" s="20">
        <f t="shared" si="38"/>
        <v>1056</v>
      </c>
      <c r="I93" s="20">
        <f t="shared" si="39"/>
        <v>105.60000000000001</v>
      </c>
      <c r="J93" s="58"/>
      <c r="K93" s="21">
        <f t="shared" si="40"/>
        <v>0.79999999999999993</v>
      </c>
      <c r="L93" s="21">
        <f t="shared" si="34"/>
        <v>0.87999999999999989</v>
      </c>
      <c r="M93" s="21">
        <f t="shared" si="41"/>
        <v>0.72727272727272729</v>
      </c>
      <c r="N93" s="21"/>
      <c r="O93" s="21"/>
      <c r="P93" s="21"/>
      <c r="Q93" s="21"/>
    </row>
    <row r="94" spans="1:17" s="20" customFormat="1" ht="14.25">
      <c r="A94" s="46">
        <v>92</v>
      </c>
      <c r="B94" s="8">
        <f t="shared" si="42"/>
        <v>0.1</v>
      </c>
      <c r="C94" s="8">
        <f t="shared" si="42"/>
        <v>15</v>
      </c>
      <c r="D94" s="20">
        <f t="shared" si="43"/>
        <v>1335</v>
      </c>
      <c r="E94" s="20">
        <f t="shared" si="37"/>
        <v>133.5</v>
      </c>
      <c r="F94" s="58"/>
      <c r="G94" s="8">
        <f t="shared" si="44"/>
        <v>0.8</v>
      </c>
      <c r="H94" s="20">
        <f t="shared" si="38"/>
        <v>1068</v>
      </c>
      <c r="I94" s="20">
        <f t="shared" si="39"/>
        <v>106.80000000000001</v>
      </c>
      <c r="J94" s="58"/>
      <c r="K94" s="21">
        <f t="shared" si="40"/>
        <v>0.79999999999999993</v>
      </c>
      <c r="L94" s="21">
        <f t="shared" si="34"/>
        <v>0.88</v>
      </c>
      <c r="M94" s="21">
        <f t="shared" si="41"/>
        <v>0.72727272727272729</v>
      </c>
      <c r="N94" s="21"/>
      <c r="O94" s="21"/>
      <c r="P94" s="21"/>
      <c r="Q94" s="21"/>
    </row>
    <row r="95" spans="1:17" s="20" customFormat="1" ht="14.25">
      <c r="A95" s="46">
        <v>93</v>
      </c>
      <c r="B95" s="8">
        <f t="shared" si="42"/>
        <v>0.1</v>
      </c>
      <c r="C95" s="8">
        <f t="shared" si="42"/>
        <v>15</v>
      </c>
      <c r="D95" s="20">
        <f t="shared" si="43"/>
        <v>1350</v>
      </c>
      <c r="E95" s="20">
        <f t="shared" si="37"/>
        <v>135</v>
      </c>
      <c r="F95" s="58"/>
      <c r="G95" s="8">
        <f t="shared" si="44"/>
        <v>0.8</v>
      </c>
      <c r="H95" s="20">
        <f t="shared" si="38"/>
        <v>1080</v>
      </c>
      <c r="I95" s="20">
        <f t="shared" si="39"/>
        <v>108</v>
      </c>
      <c r="J95" s="58"/>
      <c r="K95" s="21">
        <f t="shared" si="40"/>
        <v>0.8</v>
      </c>
      <c r="L95" s="21">
        <f t="shared" si="34"/>
        <v>0.88</v>
      </c>
      <c r="M95" s="21">
        <f t="shared" si="41"/>
        <v>0.72727272727272729</v>
      </c>
      <c r="N95" s="21"/>
      <c r="O95" s="21"/>
      <c r="P95" s="21"/>
      <c r="Q95" s="21"/>
    </row>
    <row r="96" spans="1:17" s="20" customFormat="1" ht="14.25">
      <c r="A96" s="46">
        <v>94</v>
      </c>
      <c r="B96" s="8">
        <f t="shared" si="42"/>
        <v>0.1</v>
      </c>
      <c r="C96" s="8">
        <f t="shared" si="42"/>
        <v>15</v>
      </c>
      <c r="D96" s="20">
        <f t="shared" si="43"/>
        <v>1365</v>
      </c>
      <c r="E96" s="20">
        <f t="shared" si="37"/>
        <v>136.5</v>
      </c>
      <c r="F96" s="58"/>
      <c r="G96" s="8">
        <f t="shared" si="44"/>
        <v>0.8</v>
      </c>
      <c r="H96" s="20">
        <f t="shared" si="38"/>
        <v>1092</v>
      </c>
      <c r="I96" s="20">
        <f t="shared" si="39"/>
        <v>109.2</v>
      </c>
      <c r="J96" s="58"/>
      <c r="K96" s="21">
        <f t="shared" si="40"/>
        <v>0.8</v>
      </c>
      <c r="L96" s="21">
        <f t="shared" si="34"/>
        <v>0.88</v>
      </c>
      <c r="M96" s="21">
        <f t="shared" si="41"/>
        <v>0.72727272727272729</v>
      </c>
      <c r="N96" s="21"/>
      <c r="O96" s="21"/>
      <c r="P96" s="21"/>
      <c r="Q96" s="21"/>
    </row>
    <row r="97" spans="1:17" s="20" customFormat="1" ht="14.25">
      <c r="A97" s="46">
        <v>95</v>
      </c>
      <c r="B97" s="8">
        <f t="shared" si="42"/>
        <v>0.1</v>
      </c>
      <c r="C97" s="8">
        <f t="shared" si="42"/>
        <v>15</v>
      </c>
      <c r="D97" s="20">
        <f t="shared" si="43"/>
        <v>1380</v>
      </c>
      <c r="E97" s="20">
        <f t="shared" si="37"/>
        <v>138</v>
      </c>
      <c r="F97" s="58"/>
      <c r="G97" s="8">
        <f t="shared" si="44"/>
        <v>0.8</v>
      </c>
      <c r="H97" s="20">
        <f t="shared" si="38"/>
        <v>1104</v>
      </c>
      <c r="I97" s="20">
        <f t="shared" si="39"/>
        <v>110.4</v>
      </c>
      <c r="J97" s="58"/>
      <c r="K97" s="21">
        <f t="shared" si="40"/>
        <v>0.8</v>
      </c>
      <c r="L97" s="21">
        <f t="shared" si="34"/>
        <v>0.88000000000000012</v>
      </c>
      <c r="M97" s="21">
        <f t="shared" si="41"/>
        <v>0.72727272727272729</v>
      </c>
      <c r="N97" s="21">
        <f t="shared" ref="N97" si="58">H93/(E97+D97)</f>
        <v>0.69565217391304346</v>
      </c>
      <c r="O97" s="21">
        <f t="shared" ref="O97" si="59">(H93+I93)/(D97+E97)</f>
        <v>0.76521739130434774</v>
      </c>
      <c r="P97" s="21"/>
      <c r="Q97" s="21"/>
    </row>
    <row r="98" spans="1:17" s="20" customFormat="1" ht="14.25">
      <c r="A98" s="46">
        <v>96</v>
      </c>
      <c r="B98" s="8">
        <f t="shared" si="42"/>
        <v>0.1</v>
      </c>
      <c r="C98" s="8">
        <f t="shared" si="42"/>
        <v>15</v>
      </c>
      <c r="D98" s="20">
        <f t="shared" si="43"/>
        <v>1395</v>
      </c>
      <c r="E98" s="20">
        <f t="shared" si="37"/>
        <v>139.5</v>
      </c>
      <c r="F98" s="58"/>
      <c r="G98" s="8">
        <f t="shared" si="44"/>
        <v>0.8</v>
      </c>
      <c r="H98" s="20">
        <f t="shared" si="38"/>
        <v>1116</v>
      </c>
      <c r="I98" s="20">
        <f t="shared" si="39"/>
        <v>111.60000000000001</v>
      </c>
      <c r="J98" s="58"/>
      <c r="K98" s="21">
        <f t="shared" si="40"/>
        <v>0.79999999999999993</v>
      </c>
      <c r="L98" s="21">
        <f t="shared" si="34"/>
        <v>0.87999999999999989</v>
      </c>
      <c r="M98" s="21">
        <f t="shared" si="41"/>
        <v>0.72727272727272729</v>
      </c>
      <c r="N98" s="21"/>
      <c r="O98" s="21"/>
      <c r="P98" s="21"/>
      <c r="Q98" s="21"/>
    </row>
    <row r="99" spans="1:17" s="20" customFormat="1" ht="14.25">
      <c r="A99" s="46">
        <v>97</v>
      </c>
      <c r="B99" s="8">
        <f t="shared" si="42"/>
        <v>0.1</v>
      </c>
      <c r="C99" s="8">
        <f t="shared" si="42"/>
        <v>15</v>
      </c>
      <c r="D99" s="20">
        <f t="shared" si="43"/>
        <v>1410</v>
      </c>
      <c r="E99" s="20">
        <f t="shared" si="37"/>
        <v>141</v>
      </c>
      <c r="F99" s="58"/>
      <c r="G99" s="8">
        <f t="shared" si="44"/>
        <v>0.8</v>
      </c>
      <c r="H99" s="20">
        <f t="shared" si="38"/>
        <v>1128</v>
      </c>
      <c r="I99" s="20">
        <f t="shared" si="39"/>
        <v>112.80000000000001</v>
      </c>
      <c r="J99" s="58"/>
      <c r="K99" s="21">
        <f t="shared" si="40"/>
        <v>0.79999999999999993</v>
      </c>
      <c r="L99" s="21">
        <f t="shared" si="34"/>
        <v>0.88</v>
      </c>
      <c r="M99" s="21">
        <f t="shared" si="41"/>
        <v>0.72727272727272729</v>
      </c>
      <c r="N99" s="21"/>
      <c r="O99" s="21"/>
      <c r="P99" s="21"/>
      <c r="Q99" s="21"/>
    </row>
    <row r="100" spans="1:17" s="20" customFormat="1" ht="14.25">
      <c r="A100" s="46">
        <v>98</v>
      </c>
      <c r="B100" s="8">
        <f t="shared" si="42"/>
        <v>0.1</v>
      </c>
      <c r="C100" s="8">
        <f t="shared" si="42"/>
        <v>15</v>
      </c>
      <c r="D100" s="20">
        <f t="shared" si="43"/>
        <v>1425</v>
      </c>
      <c r="E100" s="20">
        <f t="shared" si="37"/>
        <v>142.5</v>
      </c>
      <c r="F100" s="58"/>
      <c r="G100" s="8">
        <f t="shared" si="44"/>
        <v>0.8</v>
      </c>
      <c r="H100" s="20">
        <f t="shared" si="38"/>
        <v>1140</v>
      </c>
      <c r="I100" s="20">
        <f t="shared" si="39"/>
        <v>114</v>
      </c>
      <c r="J100" s="58"/>
      <c r="K100" s="21">
        <f t="shared" si="40"/>
        <v>0.8</v>
      </c>
      <c r="L100" s="21">
        <f t="shared" si="34"/>
        <v>0.88</v>
      </c>
      <c r="M100" s="21">
        <f t="shared" si="41"/>
        <v>0.72727272727272729</v>
      </c>
      <c r="N100" s="21"/>
      <c r="O100" s="21"/>
      <c r="P100" s="21"/>
      <c r="Q100" s="21"/>
    </row>
    <row r="101" spans="1:17" s="20" customFormat="1" ht="14.25">
      <c r="A101" s="46">
        <v>99</v>
      </c>
      <c r="B101" s="8">
        <f t="shared" si="42"/>
        <v>0.1</v>
      </c>
      <c r="C101" s="8">
        <f t="shared" si="42"/>
        <v>15</v>
      </c>
      <c r="D101" s="20">
        <f t="shared" si="43"/>
        <v>1440</v>
      </c>
      <c r="E101" s="20">
        <f t="shared" si="37"/>
        <v>144</v>
      </c>
      <c r="F101" s="58"/>
      <c r="G101" s="8">
        <f t="shared" si="44"/>
        <v>0.8</v>
      </c>
      <c r="H101" s="20">
        <f t="shared" si="38"/>
        <v>1152</v>
      </c>
      <c r="I101" s="20">
        <f t="shared" si="39"/>
        <v>115.2</v>
      </c>
      <c r="J101" s="58"/>
      <c r="K101" s="21">
        <f t="shared" si="40"/>
        <v>0.8</v>
      </c>
      <c r="L101" s="21">
        <f t="shared" si="34"/>
        <v>0.88</v>
      </c>
      <c r="M101" s="21">
        <f t="shared" si="41"/>
        <v>0.72727272727272729</v>
      </c>
      <c r="N101" s="21"/>
      <c r="O101" s="21"/>
      <c r="P101" s="21"/>
      <c r="Q101" s="21"/>
    </row>
    <row r="102" spans="1:17" s="20" customFormat="1" ht="14.25">
      <c r="A102" s="46">
        <v>100</v>
      </c>
      <c r="B102" s="8">
        <f t="shared" si="42"/>
        <v>0.1</v>
      </c>
      <c r="C102" s="8">
        <f t="shared" si="42"/>
        <v>15</v>
      </c>
      <c r="D102" s="20">
        <f t="shared" si="43"/>
        <v>1455</v>
      </c>
      <c r="E102" s="20">
        <f t="shared" si="37"/>
        <v>145.5</v>
      </c>
      <c r="F102" s="58"/>
      <c r="G102" s="8">
        <f t="shared" si="44"/>
        <v>0.8</v>
      </c>
      <c r="H102" s="20">
        <f t="shared" si="38"/>
        <v>1164</v>
      </c>
      <c r="I102" s="20">
        <f t="shared" si="39"/>
        <v>116.4</v>
      </c>
      <c r="J102" s="58"/>
      <c r="K102" s="21">
        <f t="shared" si="40"/>
        <v>0.8</v>
      </c>
      <c r="L102" s="21">
        <f t="shared" si="34"/>
        <v>0.88000000000000012</v>
      </c>
      <c r="M102" s="21">
        <f t="shared" si="41"/>
        <v>0.72727272727272729</v>
      </c>
      <c r="N102" s="21">
        <f t="shared" ref="N102" si="60">H98/(E102+D102)</f>
        <v>0.69728209934395502</v>
      </c>
      <c r="O102" s="21">
        <f t="shared" ref="O102" si="61">(H98+I98)/(D102+E102)</f>
        <v>0.76701030927835046</v>
      </c>
      <c r="P102" s="21">
        <f>H93/(E102+D102)</f>
        <v>0.65979381443298968</v>
      </c>
      <c r="Q102" s="21">
        <f t="shared" ref="Q102" si="62">(H93+I93)/(E102+D102)</f>
        <v>0.72577319587628863</v>
      </c>
    </row>
    <row r="103" spans="1:17" s="20" customFormat="1" ht="14.25">
      <c r="A103" s="46">
        <v>101</v>
      </c>
      <c r="B103" s="8">
        <f t="shared" si="42"/>
        <v>0.1</v>
      </c>
      <c r="C103" s="8">
        <f t="shared" si="42"/>
        <v>15</v>
      </c>
      <c r="D103" s="20">
        <f t="shared" si="43"/>
        <v>1470</v>
      </c>
      <c r="E103" s="20">
        <f t="shared" si="37"/>
        <v>147</v>
      </c>
      <c r="F103" s="58"/>
      <c r="G103" s="8">
        <f t="shared" si="44"/>
        <v>0.8</v>
      </c>
      <c r="H103" s="20">
        <f t="shared" si="38"/>
        <v>1176</v>
      </c>
      <c r="I103" s="20">
        <f t="shared" si="39"/>
        <v>117.60000000000001</v>
      </c>
      <c r="J103" s="58"/>
      <c r="K103" s="21">
        <f t="shared" si="40"/>
        <v>0.79999999999999993</v>
      </c>
      <c r="L103" s="21">
        <f t="shared" si="34"/>
        <v>0.87999999999999989</v>
      </c>
      <c r="M103" s="21">
        <f t="shared" si="41"/>
        <v>0.72727272727272729</v>
      </c>
      <c r="N103" s="21"/>
      <c r="O103" s="21"/>
      <c r="P103" s="21"/>
      <c r="Q103" s="21"/>
    </row>
    <row r="104" spans="1:17" s="20" customFormat="1" ht="14.25">
      <c r="A104" s="46">
        <v>102</v>
      </c>
      <c r="B104" s="8">
        <f t="shared" si="42"/>
        <v>0.1</v>
      </c>
      <c r="C104" s="8">
        <f t="shared" si="42"/>
        <v>15</v>
      </c>
      <c r="D104" s="20">
        <f t="shared" si="43"/>
        <v>1485</v>
      </c>
      <c r="E104" s="20">
        <f t="shared" si="37"/>
        <v>148.5</v>
      </c>
      <c r="F104" s="58"/>
      <c r="G104" s="8">
        <f t="shared" si="44"/>
        <v>0.8</v>
      </c>
      <c r="H104" s="20">
        <f t="shared" si="38"/>
        <v>1188</v>
      </c>
      <c r="I104" s="20">
        <f t="shared" si="39"/>
        <v>118.80000000000001</v>
      </c>
      <c r="J104" s="58"/>
      <c r="K104" s="21">
        <f t="shared" si="40"/>
        <v>0.79999999999999993</v>
      </c>
      <c r="L104" s="21">
        <f t="shared" si="34"/>
        <v>0.88</v>
      </c>
      <c r="M104" s="21">
        <f t="shared" si="41"/>
        <v>0.72727272727272729</v>
      </c>
      <c r="N104" s="21"/>
      <c r="O104" s="21"/>
      <c r="P104" s="21"/>
      <c r="Q104" s="21"/>
    </row>
    <row r="105" spans="1:17" s="20" customFormat="1" ht="14.25">
      <c r="A105" s="46">
        <v>103</v>
      </c>
      <c r="B105" s="8">
        <f t="shared" si="42"/>
        <v>0.1</v>
      </c>
      <c r="C105" s="8">
        <f t="shared" si="42"/>
        <v>15</v>
      </c>
      <c r="D105" s="20">
        <f t="shared" si="43"/>
        <v>1500</v>
      </c>
      <c r="E105" s="20">
        <f t="shared" si="37"/>
        <v>150</v>
      </c>
      <c r="F105" s="58"/>
      <c r="G105" s="8">
        <f t="shared" si="44"/>
        <v>0.8</v>
      </c>
      <c r="H105" s="20">
        <f t="shared" si="38"/>
        <v>1200</v>
      </c>
      <c r="I105" s="20">
        <f t="shared" si="39"/>
        <v>120</v>
      </c>
      <c r="J105" s="58"/>
      <c r="K105" s="21">
        <f t="shared" si="40"/>
        <v>0.8</v>
      </c>
      <c r="L105" s="21">
        <f t="shared" si="34"/>
        <v>0.88</v>
      </c>
      <c r="M105" s="21">
        <f t="shared" si="41"/>
        <v>0.72727272727272729</v>
      </c>
      <c r="N105" s="21"/>
      <c r="O105" s="21"/>
      <c r="P105" s="21"/>
      <c r="Q105" s="21"/>
    </row>
    <row r="106" spans="1:17" s="20" customFormat="1" ht="14.25">
      <c r="A106" s="46">
        <v>104</v>
      </c>
      <c r="B106" s="8">
        <f t="shared" si="42"/>
        <v>0.1</v>
      </c>
      <c r="C106" s="8">
        <f t="shared" si="42"/>
        <v>15</v>
      </c>
      <c r="D106" s="20">
        <f t="shared" si="43"/>
        <v>1515</v>
      </c>
      <c r="E106" s="20">
        <f t="shared" si="37"/>
        <v>151.5</v>
      </c>
      <c r="F106" s="58"/>
      <c r="G106" s="8">
        <f t="shared" si="44"/>
        <v>0.8</v>
      </c>
      <c r="H106" s="20">
        <f t="shared" si="38"/>
        <v>1212</v>
      </c>
      <c r="I106" s="20">
        <f t="shared" si="39"/>
        <v>121.2</v>
      </c>
      <c r="J106" s="58"/>
      <c r="K106" s="21">
        <f t="shared" si="40"/>
        <v>0.8</v>
      </c>
      <c r="L106" s="21">
        <f t="shared" si="34"/>
        <v>0.88</v>
      </c>
      <c r="M106" s="21">
        <f t="shared" si="41"/>
        <v>0.72727272727272729</v>
      </c>
      <c r="N106" s="21"/>
      <c r="O106" s="21"/>
      <c r="P106" s="21"/>
      <c r="Q106" s="21"/>
    </row>
    <row r="107" spans="1:17" s="20" customFormat="1" ht="14.25">
      <c r="A107" s="46">
        <v>105</v>
      </c>
      <c r="B107" s="8">
        <f t="shared" si="42"/>
        <v>0.1</v>
      </c>
      <c r="C107" s="8">
        <f t="shared" si="42"/>
        <v>15</v>
      </c>
      <c r="D107" s="20">
        <f t="shared" si="43"/>
        <v>1530</v>
      </c>
      <c r="E107" s="20">
        <f t="shared" si="37"/>
        <v>153</v>
      </c>
      <c r="F107" s="58"/>
      <c r="G107" s="8">
        <f t="shared" si="44"/>
        <v>0.8</v>
      </c>
      <c r="H107" s="20">
        <f t="shared" si="38"/>
        <v>1224</v>
      </c>
      <c r="I107" s="20">
        <f t="shared" si="39"/>
        <v>122.4</v>
      </c>
      <c r="J107" s="58"/>
      <c r="K107" s="21">
        <f t="shared" si="40"/>
        <v>0.8</v>
      </c>
      <c r="L107" s="21">
        <f t="shared" si="34"/>
        <v>0.88</v>
      </c>
      <c r="M107" s="21">
        <f t="shared" si="41"/>
        <v>0.72727272727272729</v>
      </c>
      <c r="N107" s="21">
        <f t="shared" ref="N107" si="63">H103/(E107+D107)</f>
        <v>0.69875222816399285</v>
      </c>
      <c r="O107" s="21">
        <f t="shared" ref="O107" si="64">(H103+I103)/(D107+E107)</f>
        <v>0.76862745098039209</v>
      </c>
      <c r="P107" s="21"/>
      <c r="Q107" s="21"/>
    </row>
    <row r="108" spans="1:17" s="20" customFormat="1" ht="14.25">
      <c r="A108" s="46">
        <v>106</v>
      </c>
      <c r="B108" s="8">
        <f t="shared" si="42"/>
        <v>0.1</v>
      </c>
      <c r="C108" s="8">
        <f t="shared" si="42"/>
        <v>15</v>
      </c>
      <c r="D108" s="20">
        <f t="shared" si="43"/>
        <v>1545</v>
      </c>
      <c r="E108" s="20">
        <f t="shared" si="37"/>
        <v>154.5</v>
      </c>
      <c r="F108" s="58"/>
      <c r="G108" s="8">
        <f t="shared" si="44"/>
        <v>0.8</v>
      </c>
      <c r="H108" s="20">
        <f t="shared" si="38"/>
        <v>1236</v>
      </c>
      <c r="I108" s="20">
        <f t="shared" si="39"/>
        <v>123.60000000000001</v>
      </c>
      <c r="J108" s="58"/>
      <c r="K108" s="21">
        <f t="shared" si="40"/>
        <v>0.79999999999999993</v>
      </c>
      <c r="L108" s="21">
        <f t="shared" si="34"/>
        <v>0.87999999999999989</v>
      </c>
      <c r="M108" s="21">
        <f t="shared" si="41"/>
        <v>0.72727272727272729</v>
      </c>
      <c r="N108" s="21"/>
      <c r="O108" s="21"/>
      <c r="P108" s="21"/>
      <c r="Q108" s="21"/>
    </row>
    <row r="109" spans="1:17" s="20" customFormat="1" ht="14.25">
      <c r="A109" s="46">
        <v>107</v>
      </c>
      <c r="B109" s="8">
        <f t="shared" si="42"/>
        <v>0.1</v>
      </c>
      <c r="C109" s="8">
        <f t="shared" si="42"/>
        <v>15</v>
      </c>
      <c r="D109" s="20">
        <f t="shared" si="43"/>
        <v>1560</v>
      </c>
      <c r="E109" s="20">
        <f t="shared" si="37"/>
        <v>156</v>
      </c>
      <c r="F109" s="58"/>
      <c r="G109" s="8">
        <f t="shared" si="44"/>
        <v>0.8</v>
      </c>
      <c r="H109" s="20">
        <f t="shared" si="38"/>
        <v>1248</v>
      </c>
      <c r="I109" s="20">
        <f t="shared" si="39"/>
        <v>124.80000000000001</v>
      </c>
      <c r="J109" s="58"/>
      <c r="K109" s="21">
        <f t="shared" si="40"/>
        <v>0.79999999999999993</v>
      </c>
      <c r="L109" s="21">
        <f t="shared" si="34"/>
        <v>0.88</v>
      </c>
      <c r="M109" s="21">
        <f t="shared" si="41"/>
        <v>0.72727272727272729</v>
      </c>
      <c r="N109" s="21"/>
      <c r="O109" s="21"/>
      <c r="P109" s="21"/>
      <c r="Q109" s="21"/>
    </row>
    <row r="110" spans="1:17" s="20" customFormat="1" ht="14.25">
      <c r="A110" s="46">
        <v>108</v>
      </c>
      <c r="B110" s="8">
        <f t="shared" si="42"/>
        <v>0.1</v>
      </c>
      <c r="C110" s="8">
        <f t="shared" si="42"/>
        <v>15</v>
      </c>
      <c r="D110" s="20">
        <f t="shared" si="43"/>
        <v>1575</v>
      </c>
      <c r="E110" s="20">
        <f t="shared" si="37"/>
        <v>157.5</v>
      </c>
      <c r="F110" s="58"/>
      <c r="G110" s="8">
        <f t="shared" si="44"/>
        <v>0.8</v>
      </c>
      <c r="H110" s="20">
        <f t="shared" si="38"/>
        <v>1260</v>
      </c>
      <c r="I110" s="20">
        <f t="shared" si="39"/>
        <v>126</v>
      </c>
      <c r="J110" s="58"/>
      <c r="K110" s="21">
        <f t="shared" si="40"/>
        <v>0.8</v>
      </c>
      <c r="L110" s="21">
        <f t="shared" si="34"/>
        <v>0.88</v>
      </c>
      <c r="M110" s="21">
        <f t="shared" si="41"/>
        <v>0.72727272727272729</v>
      </c>
      <c r="N110" s="21"/>
      <c r="O110" s="21"/>
      <c r="P110" s="21"/>
      <c r="Q110" s="21"/>
    </row>
    <row r="111" spans="1:17" s="20" customFormat="1" ht="14.25">
      <c r="A111" s="46">
        <v>109</v>
      </c>
      <c r="B111" s="8">
        <f t="shared" si="42"/>
        <v>0.1</v>
      </c>
      <c r="C111" s="8">
        <f t="shared" si="42"/>
        <v>15</v>
      </c>
      <c r="D111" s="20">
        <f t="shared" si="43"/>
        <v>1590</v>
      </c>
      <c r="E111" s="20">
        <f t="shared" si="37"/>
        <v>159</v>
      </c>
      <c r="F111" s="58"/>
      <c r="G111" s="8">
        <f t="shared" si="44"/>
        <v>0.8</v>
      </c>
      <c r="H111" s="20">
        <f t="shared" si="38"/>
        <v>1272</v>
      </c>
      <c r="I111" s="20">
        <f t="shared" si="39"/>
        <v>127.2</v>
      </c>
      <c r="J111" s="58"/>
      <c r="K111" s="21">
        <f t="shared" si="40"/>
        <v>0.8</v>
      </c>
      <c r="L111" s="21">
        <f t="shared" si="34"/>
        <v>0.88</v>
      </c>
      <c r="M111" s="21">
        <f t="shared" si="41"/>
        <v>0.72727272727272729</v>
      </c>
      <c r="N111" s="21"/>
      <c r="O111" s="21"/>
      <c r="P111" s="21"/>
      <c r="Q111" s="21"/>
    </row>
    <row r="112" spans="1:17" s="20" customFormat="1" ht="14.25">
      <c r="A112" s="46">
        <v>110</v>
      </c>
      <c r="B112" s="8">
        <f t="shared" si="42"/>
        <v>0.1</v>
      </c>
      <c r="C112" s="8">
        <f t="shared" si="42"/>
        <v>15</v>
      </c>
      <c r="D112" s="20">
        <f t="shared" si="43"/>
        <v>1605</v>
      </c>
      <c r="E112" s="20">
        <f t="shared" si="37"/>
        <v>160.5</v>
      </c>
      <c r="F112" s="58"/>
      <c r="G112" s="8">
        <f t="shared" si="44"/>
        <v>0.8</v>
      </c>
      <c r="H112" s="20">
        <f t="shared" si="38"/>
        <v>1284</v>
      </c>
      <c r="I112" s="20">
        <f t="shared" si="39"/>
        <v>128.4</v>
      </c>
      <c r="J112" s="58"/>
      <c r="K112" s="21">
        <f t="shared" si="40"/>
        <v>0.8</v>
      </c>
      <c r="L112" s="21">
        <f t="shared" si="34"/>
        <v>0.88</v>
      </c>
      <c r="M112" s="21">
        <f t="shared" si="41"/>
        <v>0.72727272727272729</v>
      </c>
      <c r="N112" s="21">
        <f t="shared" ref="N112" si="65">H108/(E112+D112)</f>
        <v>0.70008496176720481</v>
      </c>
      <c r="O112" s="21">
        <f t="shared" ref="O112" si="66">(H108+I108)/(D112+E112)</f>
        <v>0.77009345794392514</v>
      </c>
      <c r="P112" s="21">
        <f>H103/(E112+D112)</f>
        <v>0.66610025488530167</v>
      </c>
      <c r="Q112" s="21">
        <f t="shared" ref="Q112" si="67">(H103+I103)/(E112+D112)</f>
        <v>0.73271028037383168</v>
      </c>
    </row>
    <row r="113" spans="1:17" s="20" customFormat="1" ht="14.25">
      <c r="A113" s="46">
        <v>111</v>
      </c>
      <c r="B113" s="8">
        <f t="shared" si="42"/>
        <v>0.1</v>
      </c>
      <c r="C113" s="8">
        <f t="shared" si="42"/>
        <v>15</v>
      </c>
      <c r="D113" s="20">
        <f t="shared" si="43"/>
        <v>1620</v>
      </c>
      <c r="E113" s="20">
        <f t="shared" si="37"/>
        <v>162</v>
      </c>
      <c r="F113" s="58"/>
      <c r="G113" s="8">
        <f t="shared" si="44"/>
        <v>0.8</v>
      </c>
      <c r="H113" s="20">
        <f t="shared" si="38"/>
        <v>1296</v>
      </c>
      <c r="I113" s="20">
        <f t="shared" si="39"/>
        <v>129.6</v>
      </c>
      <c r="J113" s="58"/>
      <c r="K113" s="21">
        <f t="shared" si="40"/>
        <v>0.79999999999999993</v>
      </c>
      <c r="L113" s="21">
        <f t="shared" si="34"/>
        <v>0.87999999999999989</v>
      </c>
      <c r="M113" s="21">
        <f t="shared" si="41"/>
        <v>0.72727272727272729</v>
      </c>
      <c r="N113" s="21"/>
      <c r="O113" s="21"/>
      <c r="P113" s="21"/>
      <c r="Q113" s="21"/>
    </row>
    <row r="114" spans="1:17" s="20" customFormat="1" ht="14.25">
      <c r="A114" s="46">
        <v>112</v>
      </c>
      <c r="B114" s="8">
        <f t="shared" si="42"/>
        <v>0.1</v>
      </c>
      <c r="C114" s="8">
        <f t="shared" si="42"/>
        <v>15</v>
      </c>
      <c r="D114" s="20">
        <f t="shared" si="43"/>
        <v>1635</v>
      </c>
      <c r="E114" s="20">
        <f t="shared" si="37"/>
        <v>163.5</v>
      </c>
      <c r="F114" s="58"/>
      <c r="G114" s="8">
        <f t="shared" si="44"/>
        <v>0.8</v>
      </c>
      <c r="H114" s="20">
        <f t="shared" si="38"/>
        <v>1308</v>
      </c>
      <c r="I114" s="20">
        <f t="shared" si="39"/>
        <v>130.80000000000001</v>
      </c>
      <c r="J114" s="58"/>
      <c r="K114" s="21">
        <f t="shared" si="40"/>
        <v>0.79999999999999993</v>
      </c>
      <c r="L114" s="21">
        <f t="shared" si="34"/>
        <v>0.88</v>
      </c>
      <c r="M114" s="21">
        <f t="shared" si="41"/>
        <v>0.72727272727272729</v>
      </c>
      <c r="N114" s="21"/>
      <c r="O114" s="21"/>
      <c r="P114" s="21"/>
      <c r="Q114" s="21"/>
    </row>
    <row r="115" spans="1:17" s="20" customFormat="1" ht="14.25">
      <c r="A115" s="46">
        <v>113</v>
      </c>
      <c r="B115" s="8">
        <f t="shared" si="42"/>
        <v>0.1</v>
      </c>
      <c r="C115" s="8">
        <f t="shared" si="42"/>
        <v>15</v>
      </c>
      <c r="D115" s="20">
        <f t="shared" si="43"/>
        <v>1650</v>
      </c>
      <c r="E115" s="20">
        <f t="shared" si="37"/>
        <v>165</v>
      </c>
      <c r="F115" s="58"/>
      <c r="G115" s="8">
        <f t="shared" si="44"/>
        <v>0.8</v>
      </c>
      <c r="H115" s="20">
        <f t="shared" si="38"/>
        <v>1320</v>
      </c>
      <c r="I115" s="20">
        <f t="shared" si="39"/>
        <v>132</v>
      </c>
      <c r="J115" s="58"/>
      <c r="K115" s="21">
        <f t="shared" si="40"/>
        <v>0.8</v>
      </c>
      <c r="L115" s="21">
        <f t="shared" si="34"/>
        <v>0.88</v>
      </c>
      <c r="M115" s="21">
        <f t="shared" si="41"/>
        <v>0.72727272727272729</v>
      </c>
      <c r="N115" s="21"/>
      <c r="O115" s="21"/>
      <c r="P115" s="21"/>
      <c r="Q115" s="21"/>
    </row>
    <row r="116" spans="1:17" s="20" customFormat="1" ht="14.25">
      <c r="A116" s="46">
        <v>114</v>
      </c>
      <c r="B116" s="8">
        <f t="shared" si="42"/>
        <v>0.1</v>
      </c>
      <c r="C116" s="8">
        <f t="shared" si="42"/>
        <v>15</v>
      </c>
      <c r="D116" s="20">
        <f t="shared" si="43"/>
        <v>1665</v>
      </c>
      <c r="E116" s="20">
        <f t="shared" si="37"/>
        <v>166.5</v>
      </c>
      <c r="F116" s="58"/>
      <c r="G116" s="8">
        <f t="shared" si="44"/>
        <v>0.8</v>
      </c>
      <c r="H116" s="20">
        <f t="shared" si="38"/>
        <v>1332</v>
      </c>
      <c r="I116" s="20">
        <f t="shared" si="39"/>
        <v>133.20000000000002</v>
      </c>
      <c r="J116" s="58"/>
      <c r="K116" s="21">
        <f t="shared" si="40"/>
        <v>0.8</v>
      </c>
      <c r="L116" s="21">
        <f t="shared" si="34"/>
        <v>0.88</v>
      </c>
      <c r="M116" s="21">
        <f t="shared" si="41"/>
        <v>0.72727272727272729</v>
      </c>
      <c r="N116" s="21"/>
      <c r="O116" s="21"/>
      <c r="P116" s="21"/>
      <c r="Q116" s="21"/>
    </row>
    <row r="117" spans="1:17" s="20" customFormat="1" ht="14.25">
      <c r="A117" s="46">
        <v>115</v>
      </c>
      <c r="B117" s="8">
        <f t="shared" si="42"/>
        <v>0.1</v>
      </c>
      <c r="C117" s="8">
        <f t="shared" si="42"/>
        <v>15</v>
      </c>
      <c r="D117" s="20">
        <f t="shared" si="43"/>
        <v>1680</v>
      </c>
      <c r="E117" s="20">
        <f t="shared" si="37"/>
        <v>168</v>
      </c>
      <c r="F117" s="58"/>
      <c r="G117" s="8">
        <f t="shared" si="44"/>
        <v>0.8</v>
      </c>
      <c r="H117" s="20">
        <f t="shared" si="38"/>
        <v>1344</v>
      </c>
      <c r="I117" s="20">
        <f t="shared" si="39"/>
        <v>134.4</v>
      </c>
      <c r="J117" s="58"/>
      <c r="K117" s="21">
        <f t="shared" si="40"/>
        <v>0.8</v>
      </c>
      <c r="L117" s="21">
        <f t="shared" si="34"/>
        <v>0.88</v>
      </c>
      <c r="M117" s="21">
        <f t="shared" si="41"/>
        <v>0.72727272727272729</v>
      </c>
      <c r="N117" s="21">
        <f t="shared" ref="N117" si="68">H113/(E117+D117)</f>
        <v>0.70129870129870131</v>
      </c>
      <c r="O117" s="21">
        <f t="shared" ref="O117" si="69">(H113+I113)/(D117+E117)</f>
        <v>0.77142857142857135</v>
      </c>
      <c r="P117" s="21"/>
      <c r="Q117" s="21"/>
    </row>
    <row r="118" spans="1:17" s="20" customFormat="1" ht="14.25">
      <c r="A118" s="46">
        <v>116</v>
      </c>
      <c r="B118" s="8">
        <f t="shared" si="42"/>
        <v>0.1</v>
      </c>
      <c r="C118" s="8">
        <f t="shared" si="42"/>
        <v>15</v>
      </c>
      <c r="D118" s="20">
        <f t="shared" si="43"/>
        <v>1695</v>
      </c>
      <c r="E118" s="20">
        <f t="shared" si="37"/>
        <v>169.5</v>
      </c>
      <c r="F118" s="58"/>
      <c r="G118" s="8">
        <f t="shared" si="44"/>
        <v>0.8</v>
      </c>
      <c r="H118" s="20">
        <f t="shared" si="38"/>
        <v>1356</v>
      </c>
      <c r="I118" s="20">
        <f t="shared" si="39"/>
        <v>135.6</v>
      </c>
      <c r="J118" s="58"/>
      <c r="K118" s="21">
        <f t="shared" si="40"/>
        <v>0.79999999999999993</v>
      </c>
      <c r="L118" s="21">
        <f t="shared" si="34"/>
        <v>0.87999999999999989</v>
      </c>
      <c r="M118" s="21">
        <f t="shared" si="41"/>
        <v>0.72727272727272729</v>
      </c>
      <c r="N118" s="21"/>
      <c r="O118" s="21"/>
      <c r="P118" s="21"/>
      <c r="Q118" s="21"/>
    </row>
    <row r="119" spans="1:17" s="20" customFormat="1" ht="14.25">
      <c r="A119" s="46">
        <v>117</v>
      </c>
      <c r="B119" s="8">
        <f t="shared" si="42"/>
        <v>0.1</v>
      </c>
      <c r="C119" s="8">
        <f t="shared" si="42"/>
        <v>15</v>
      </c>
      <c r="D119" s="20">
        <f t="shared" si="43"/>
        <v>1710</v>
      </c>
      <c r="E119" s="20">
        <f t="shared" si="37"/>
        <v>171</v>
      </c>
      <c r="F119" s="58"/>
      <c r="G119" s="8">
        <f t="shared" si="44"/>
        <v>0.8</v>
      </c>
      <c r="H119" s="20">
        <f t="shared" si="38"/>
        <v>1368</v>
      </c>
      <c r="I119" s="20">
        <f t="shared" si="39"/>
        <v>136.80000000000001</v>
      </c>
      <c r="J119" s="58"/>
      <c r="K119" s="21">
        <f t="shared" si="40"/>
        <v>0.79999999999999993</v>
      </c>
      <c r="L119" s="21">
        <f t="shared" si="34"/>
        <v>0.88</v>
      </c>
      <c r="M119" s="21">
        <f t="shared" si="41"/>
        <v>0.72727272727272729</v>
      </c>
      <c r="N119" s="21"/>
      <c r="O119" s="21"/>
      <c r="P119" s="21"/>
      <c r="Q119" s="21"/>
    </row>
    <row r="120" spans="1:17" s="20" customFormat="1" ht="14.25">
      <c r="A120" s="46">
        <v>118</v>
      </c>
      <c r="B120" s="8">
        <f t="shared" si="42"/>
        <v>0.1</v>
      </c>
      <c r="C120" s="8">
        <f t="shared" si="42"/>
        <v>15</v>
      </c>
      <c r="D120" s="20">
        <f t="shared" si="43"/>
        <v>1725</v>
      </c>
      <c r="E120" s="20">
        <f t="shared" si="37"/>
        <v>172.5</v>
      </c>
      <c r="F120" s="58"/>
      <c r="G120" s="8">
        <f t="shared" si="44"/>
        <v>0.8</v>
      </c>
      <c r="H120" s="20">
        <f t="shared" si="38"/>
        <v>1380</v>
      </c>
      <c r="I120" s="20">
        <f t="shared" si="39"/>
        <v>138</v>
      </c>
      <c r="J120" s="58"/>
      <c r="K120" s="21">
        <f t="shared" si="40"/>
        <v>0.8</v>
      </c>
      <c r="L120" s="21">
        <f t="shared" si="34"/>
        <v>0.88</v>
      </c>
      <c r="M120" s="21">
        <f t="shared" si="41"/>
        <v>0.72727272727272729</v>
      </c>
      <c r="N120" s="21"/>
      <c r="O120" s="21"/>
      <c r="P120" s="21"/>
      <c r="Q120" s="21"/>
    </row>
    <row r="121" spans="1:17" s="20" customFormat="1" ht="14.25">
      <c r="A121" s="46">
        <v>119</v>
      </c>
      <c r="B121" s="8">
        <f t="shared" si="42"/>
        <v>0.1</v>
      </c>
      <c r="C121" s="8">
        <f t="shared" si="42"/>
        <v>15</v>
      </c>
      <c r="D121" s="20">
        <f t="shared" si="43"/>
        <v>1740</v>
      </c>
      <c r="E121" s="20">
        <f t="shared" si="37"/>
        <v>174</v>
      </c>
      <c r="F121" s="58"/>
      <c r="G121" s="8">
        <f t="shared" si="44"/>
        <v>0.8</v>
      </c>
      <c r="H121" s="20">
        <f t="shared" si="38"/>
        <v>1392</v>
      </c>
      <c r="I121" s="20">
        <f t="shared" si="39"/>
        <v>139.20000000000002</v>
      </c>
      <c r="J121" s="58"/>
      <c r="K121" s="21">
        <f t="shared" si="40"/>
        <v>0.8</v>
      </c>
      <c r="L121" s="21">
        <f t="shared" si="34"/>
        <v>0.88</v>
      </c>
      <c r="M121" s="21">
        <f t="shared" si="41"/>
        <v>0.72727272727272729</v>
      </c>
      <c r="N121" s="21"/>
      <c r="O121" s="21"/>
      <c r="P121" s="21"/>
      <c r="Q121" s="21"/>
    </row>
    <row r="122" spans="1:17" s="20" customFormat="1" ht="14.25">
      <c r="A122" s="46">
        <v>120</v>
      </c>
      <c r="B122" s="8">
        <f t="shared" si="42"/>
        <v>0.1</v>
      </c>
      <c r="C122" s="8">
        <f t="shared" si="42"/>
        <v>15</v>
      </c>
      <c r="D122" s="20">
        <f t="shared" si="43"/>
        <v>1755</v>
      </c>
      <c r="E122" s="20">
        <f t="shared" si="37"/>
        <v>175.5</v>
      </c>
      <c r="F122" s="58"/>
      <c r="G122" s="8">
        <f t="shared" si="44"/>
        <v>0.8</v>
      </c>
      <c r="H122" s="20">
        <f t="shared" si="38"/>
        <v>1404</v>
      </c>
      <c r="I122" s="20">
        <f t="shared" si="39"/>
        <v>140.4</v>
      </c>
      <c r="J122" s="58"/>
      <c r="K122" s="21">
        <f t="shared" si="40"/>
        <v>0.8</v>
      </c>
      <c r="L122" s="21">
        <f t="shared" si="34"/>
        <v>0.88</v>
      </c>
      <c r="M122" s="21">
        <f t="shared" si="41"/>
        <v>0.72727272727272729</v>
      </c>
      <c r="N122" s="21">
        <f t="shared" ref="N122" si="70">H118/(E122+D122)</f>
        <v>0.70240870240870246</v>
      </c>
      <c r="O122" s="21">
        <f t="shared" ref="O122" si="71">(H118+I118)/(D122+E122)</f>
        <v>0.77264957264957257</v>
      </c>
      <c r="P122" s="21">
        <f>H113/(E122+D122)</f>
        <v>0.67132867132867136</v>
      </c>
      <c r="Q122" s="21">
        <f t="shared" ref="Q122" si="72">(H113+I113)/(E122+D122)</f>
        <v>0.73846153846153839</v>
      </c>
    </row>
    <row r="123" spans="1:17">
      <c r="N123" s="21"/>
      <c r="O123" s="21"/>
      <c r="P123" s="21"/>
      <c r="Q123" s="21"/>
    </row>
    <row r="124" spans="1:17">
      <c r="N124" s="21"/>
      <c r="O124" s="21"/>
      <c r="P124" s="21"/>
      <c r="Q124" s="21"/>
    </row>
    <row r="125" spans="1:17">
      <c r="N125" s="21"/>
      <c r="O125" s="21"/>
      <c r="P125" s="21"/>
      <c r="Q125" s="21"/>
    </row>
    <row r="126" spans="1:17">
      <c r="N126" s="21"/>
      <c r="O126" s="21"/>
      <c r="P126" s="21"/>
      <c r="Q126" s="21"/>
    </row>
    <row r="127" spans="1:17">
      <c r="Q127" s="21"/>
    </row>
    <row r="128" spans="1:17">
      <c r="Q128" s="21"/>
    </row>
    <row r="129" spans="17:17" s="22" customFormat="1">
      <c r="Q129" s="21"/>
    </row>
    <row r="130" spans="17:17" s="22" customFormat="1">
      <c r="Q130" s="21"/>
    </row>
    <row r="131" spans="17:17" s="22" customFormat="1">
      <c r="Q131" s="21"/>
    </row>
  </sheetData>
  <mergeCells count="3">
    <mergeCell ref="A1:A2"/>
    <mergeCell ref="B1:E1"/>
    <mergeCell ref="G1:I1"/>
  </mergeCells>
  <phoneticPr fontId="2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1"/>
  <sheetViews>
    <sheetView zoomScale="115" zoomScaleNormal="115" workbookViewId="0">
      <selection activeCell="E19" sqref="E19"/>
    </sheetView>
  </sheetViews>
  <sheetFormatPr defaultColWidth="6.375" defaultRowHeight="12.75"/>
  <cols>
    <col min="1" max="1" width="4.75" style="23" bestFit="1" customWidth="1"/>
    <col min="2" max="2" width="11.375" style="22" bestFit="1" customWidth="1"/>
    <col min="3" max="3" width="4.75" style="75" bestFit="1" customWidth="1"/>
    <col min="4" max="4" width="4.75" style="22" bestFit="1" customWidth="1"/>
    <col min="5" max="5" width="10.25" style="22" bestFit="1" customWidth="1"/>
    <col min="6" max="6" width="4.75" style="22" bestFit="1" customWidth="1"/>
    <col min="7" max="7" width="5.5" style="22" bestFit="1" customWidth="1"/>
    <col min="8" max="8" width="10.25" style="22" bestFit="1" customWidth="1"/>
    <col min="9" max="9" width="4.75" style="22" bestFit="1" customWidth="1"/>
    <col min="10" max="10" width="5.5" style="22" bestFit="1" customWidth="1"/>
    <col min="11" max="11" width="11.375" style="22" bestFit="1" customWidth="1"/>
    <col min="12" max="13" width="4.75" style="22" bestFit="1" customWidth="1"/>
    <col min="14" max="14" width="11.375" style="22" bestFit="1" customWidth="1"/>
    <col min="15" max="16" width="4.75" style="22" bestFit="1" customWidth="1"/>
    <col min="17" max="17" width="8" style="22" bestFit="1" customWidth="1"/>
    <col min="18" max="19" width="4.75" style="22" bestFit="1" customWidth="1"/>
    <col min="20" max="20" width="8" style="22" bestFit="1" customWidth="1"/>
    <col min="21" max="22" width="4.75" style="22" bestFit="1" customWidth="1"/>
    <col min="23" max="23" width="8" style="22" bestFit="1" customWidth="1"/>
    <col min="24" max="25" width="4.75" style="22" bestFit="1" customWidth="1"/>
    <col min="26" max="26" width="8" style="22" bestFit="1" customWidth="1"/>
    <col min="27" max="28" width="4.75" style="22" bestFit="1" customWidth="1"/>
    <col min="29" max="16384" width="6.375" style="22"/>
  </cols>
  <sheetData>
    <row r="1" spans="1:28" s="60" customFormat="1" ht="15" customHeight="1" thickBot="1">
      <c r="A1" s="114" t="s">
        <v>0</v>
      </c>
      <c r="B1" s="103" t="s">
        <v>92</v>
      </c>
      <c r="C1" s="104"/>
      <c r="D1" s="105"/>
      <c r="E1" s="103" t="s">
        <v>98</v>
      </c>
      <c r="F1" s="104"/>
      <c r="G1" s="105"/>
      <c r="H1" s="103" t="s">
        <v>98</v>
      </c>
      <c r="I1" s="104"/>
      <c r="J1" s="105"/>
      <c r="K1" s="103" t="s">
        <v>100</v>
      </c>
      <c r="L1" s="104"/>
      <c r="M1" s="105"/>
      <c r="N1" s="103" t="s">
        <v>102</v>
      </c>
      <c r="O1" s="104"/>
      <c r="P1" s="105"/>
      <c r="Q1" s="103" t="s">
        <v>81</v>
      </c>
      <c r="R1" s="104"/>
      <c r="S1" s="105"/>
      <c r="T1" s="103" t="s">
        <v>104</v>
      </c>
      <c r="U1" s="104"/>
      <c r="V1" s="105"/>
      <c r="W1" s="103" t="s">
        <v>105</v>
      </c>
      <c r="X1" s="104"/>
      <c r="Y1" s="105"/>
      <c r="Z1" s="103" t="s">
        <v>106</v>
      </c>
      <c r="AA1" s="104"/>
      <c r="AB1" s="105"/>
    </row>
    <row r="2" spans="1:28" s="43" customFormat="1">
      <c r="A2" s="115"/>
      <c r="B2" s="43" t="s">
        <v>97</v>
      </c>
      <c r="C2" s="74" t="s">
        <v>93</v>
      </c>
      <c r="D2" s="43" t="s">
        <v>92</v>
      </c>
      <c r="E2" s="43" t="s">
        <v>99</v>
      </c>
      <c r="F2" s="43" t="s">
        <v>93</v>
      </c>
      <c r="G2" s="43" t="s">
        <v>98</v>
      </c>
      <c r="H2" s="43" t="s">
        <v>117</v>
      </c>
      <c r="I2" s="43" t="s">
        <v>67</v>
      </c>
      <c r="J2" s="43" t="s">
        <v>98</v>
      </c>
      <c r="K2" s="43" t="s">
        <v>101</v>
      </c>
      <c r="L2" s="43" t="s">
        <v>93</v>
      </c>
      <c r="M2" s="43" t="s">
        <v>100</v>
      </c>
      <c r="N2" s="43" t="s">
        <v>103</v>
      </c>
      <c r="O2" s="43" t="s">
        <v>93</v>
      </c>
      <c r="P2" s="43" t="s">
        <v>102</v>
      </c>
      <c r="Q2" s="43" t="s">
        <v>107</v>
      </c>
      <c r="R2" s="43" t="s">
        <v>93</v>
      </c>
      <c r="S2" s="43" t="s">
        <v>81</v>
      </c>
      <c r="T2" s="43" t="s">
        <v>108</v>
      </c>
      <c r="U2" s="43" t="s">
        <v>93</v>
      </c>
      <c r="V2" s="43" t="s">
        <v>104</v>
      </c>
      <c r="W2" s="43" t="s">
        <v>109</v>
      </c>
      <c r="X2" s="43" t="s">
        <v>93</v>
      </c>
      <c r="Y2" s="43" t="s">
        <v>105</v>
      </c>
      <c r="Z2" s="43" t="s">
        <v>110</v>
      </c>
      <c r="AA2" s="43" t="s">
        <v>93</v>
      </c>
      <c r="AB2" s="43" t="s">
        <v>106</v>
      </c>
    </row>
    <row r="3" spans="1:28" s="47" customFormat="1">
      <c r="A3" s="95">
        <v>1</v>
      </c>
      <c r="B3" s="47">
        <f>攻击!AS3</f>
        <v>27</v>
      </c>
      <c r="C3" s="76">
        <v>0.3</v>
      </c>
      <c r="D3" s="47">
        <f>C3*B3</f>
        <v>8.1</v>
      </c>
      <c r="E3" s="47">
        <f>HP!AR3</f>
        <v>270</v>
      </c>
      <c r="F3" s="76">
        <v>0.5</v>
      </c>
      <c r="G3" s="47">
        <f>F3*E3</f>
        <v>135</v>
      </c>
      <c r="H3" s="47">
        <f>攻击!AS3</f>
        <v>27</v>
      </c>
      <c r="I3" s="76">
        <v>5</v>
      </c>
      <c r="J3" s="47">
        <f>I3*H3</f>
        <v>135</v>
      </c>
      <c r="K3" s="47">
        <f>霸气!AH3</f>
        <v>27</v>
      </c>
      <c r="L3" s="76">
        <v>1</v>
      </c>
      <c r="M3" s="47">
        <f>L3*K3</f>
        <v>27</v>
      </c>
      <c r="N3" s="47">
        <f>防御!AH3</f>
        <v>27</v>
      </c>
      <c r="O3" s="76">
        <v>1</v>
      </c>
      <c r="P3" s="47">
        <f>O3*N3</f>
        <v>27</v>
      </c>
      <c r="Q3" s="47">
        <f>命中、闪避!G3</f>
        <v>8</v>
      </c>
      <c r="R3" s="76">
        <v>1</v>
      </c>
      <c r="S3" s="47">
        <f>R3*Q3</f>
        <v>8</v>
      </c>
      <c r="T3" s="47">
        <f>命中、闪避!B3</f>
        <v>10</v>
      </c>
      <c r="U3" s="76">
        <v>1</v>
      </c>
      <c r="V3" s="47">
        <f>U3*T3</f>
        <v>10</v>
      </c>
      <c r="W3" s="47">
        <f>暴击、抗暴!G3</f>
        <v>10</v>
      </c>
      <c r="X3" s="76">
        <v>1</v>
      </c>
      <c r="Y3" s="47">
        <f>X3*W3</f>
        <v>10</v>
      </c>
      <c r="Z3" s="47">
        <f>暴击、抗暴!B3</f>
        <v>10</v>
      </c>
      <c r="AA3" s="76">
        <v>1</v>
      </c>
      <c r="AB3" s="47">
        <f>AA3*Z3</f>
        <v>10</v>
      </c>
    </row>
    <row r="4" spans="1:28" s="20" customFormat="1">
      <c r="A4" s="46">
        <v>2</v>
      </c>
      <c r="B4" s="47">
        <f>攻击!AS4</f>
        <v>32.4</v>
      </c>
      <c r="C4" s="73">
        <f>C3</f>
        <v>0.3</v>
      </c>
      <c r="D4" s="47">
        <f t="shared" ref="D4:D67" si="0">C4*B4</f>
        <v>9.7199999999999989</v>
      </c>
      <c r="E4" s="47">
        <f>HP!AR4</f>
        <v>324</v>
      </c>
      <c r="F4" s="73">
        <f>F3</f>
        <v>0.5</v>
      </c>
      <c r="G4" s="47">
        <f t="shared" ref="G4:G67" si="1">F4*E4</f>
        <v>162</v>
      </c>
      <c r="H4" s="47">
        <f>攻击!AS4</f>
        <v>32.4</v>
      </c>
      <c r="I4" s="73">
        <f>I3</f>
        <v>5</v>
      </c>
      <c r="J4" s="47">
        <f t="shared" ref="J4:J67" si="2">I4*H4</f>
        <v>162</v>
      </c>
      <c r="K4" s="47">
        <f>霸气!AH4</f>
        <v>32.4</v>
      </c>
      <c r="L4" s="73">
        <f>L3</f>
        <v>1</v>
      </c>
      <c r="M4" s="47">
        <f t="shared" ref="M4:M67" si="3">L4*K4</f>
        <v>32.4</v>
      </c>
      <c r="N4" s="47">
        <f>防御!AH4</f>
        <v>32.4</v>
      </c>
      <c r="O4" s="73">
        <f>O3</f>
        <v>1</v>
      </c>
      <c r="P4" s="47">
        <f t="shared" ref="P4:P67" si="4">O4*N4</f>
        <v>32.4</v>
      </c>
      <c r="Q4" s="47">
        <f>命中、闪避!G4</f>
        <v>9.6000000000000014</v>
      </c>
      <c r="R4" s="73">
        <f>R3</f>
        <v>1</v>
      </c>
      <c r="S4" s="47">
        <f t="shared" ref="S4:S67" si="5">R4*Q4</f>
        <v>9.6000000000000014</v>
      </c>
      <c r="T4" s="47">
        <f>命中、闪避!B4</f>
        <v>12</v>
      </c>
      <c r="U4" s="73">
        <f>U3</f>
        <v>1</v>
      </c>
      <c r="V4" s="47">
        <f t="shared" ref="V4:V67" si="6">U4*T4</f>
        <v>12</v>
      </c>
      <c r="W4" s="47">
        <f>暴击、抗暴!G4</f>
        <v>12</v>
      </c>
      <c r="X4" s="73">
        <f>X3</f>
        <v>1</v>
      </c>
      <c r="Y4" s="47">
        <f t="shared" ref="Y4:Y67" si="7">X4*W4</f>
        <v>12</v>
      </c>
      <c r="Z4" s="47">
        <f>暴击、抗暴!B4</f>
        <v>12</v>
      </c>
      <c r="AA4" s="73">
        <f>AA3</f>
        <v>1</v>
      </c>
      <c r="AB4" s="47">
        <f t="shared" ref="AB4:AB67" si="8">AA4*Z4</f>
        <v>12</v>
      </c>
    </row>
    <row r="5" spans="1:28" s="20" customFormat="1">
      <c r="A5" s="46">
        <v>3</v>
      </c>
      <c r="B5" s="47">
        <f>攻击!AS5</f>
        <v>37.799999999999997</v>
      </c>
      <c r="C5" s="73">
        <f t="shared" ref="C5:C68" si="9">C4</f>
        <v>0.3</v>
      </c>
      <c r="D5" s="47">
        <f t="shared" si="0"/>
        <v>11.339999999999998</v>
      </c>
      <c r="E5" s="47">
        <f>HP!AR5</f>
        <v>378</v>
      </c>
      <c r="F5" s="73">
        <f t="shared" ref="F5:F68" si="10">F4</f>
        <v>0.5</v>
      </c>
      <c r="G5" s="47">
        <f t="shared" si="1"/>
        <v>189</v>
      </c>
      <c r="H5" s="47">
        <f>攻击!AS5</f>
        <v>37.799999999999997</v>
      </c>
      <c r="I5" s="73">
        <f t="shared" ref="I5:I68" si="11">I4</f>
        <v>5</v>
      </c>
      <c r="J5" s="47">
        <f t="shared" si="2"/>
        <v>189</v>
      </c>
      <c r="K5" s="47">
        <f>霸气!AH5</f>
        <v>37.799999999999997</v>
      </c>
      <c r="L5" s="73">
        <f t="shared" ref="L5:L68" si="12">L4</f>
        <v>1</v>
      </c>
      <c r="M5" s="47">
        <f t="shared" si="3"/>
        <v>37.799999999999997</v>
      </c>
      <c r="N5" s="47">
        <f>防御!AH5</f>
        <v>37.799999999999997</v>
      </c>
      <c r="O5" s="73">
        <f t="shared" ref="O5:O68" si="13">O4</f>
        <v>1</v>
      </c>
      <c r="P5" s="47">
        <f t="shared" si="4"/>
        <v>37.799999999999997</v>
      </c>
      <c r="Q5" s="47">
        <f>命中、闪避!G5</f>
        <v>11.200000000000001</v>
      </c>
      <c r="R5" s="73">
        <f t="shared" ref="R5:R68" si="14">R4</f>
        <v>1</v>
      </c>
      <c r="S5" s="47">
        <f t="shared" si="5"/>
        <v>11.200000000000001</v>
      </c>
      <c r="T5" s="47">
        <f>命中、闪避!B5</f>
        <v>14</v>
      </c>
      <c r="U5" s="73">
        <f t="shared" ref="U5:U68" si="15">U4</f>
        <v>1</v>
      </c>
      <c r="V5" s="47">
        <f t="shared" si="6"/>
        <v>14</v>
      </c>
      <c r="W5" s="47">
        <f>暴击、抗暴!G5</f>
        <v>14</v>
      </c>
      <c r="X5" s="73">
        <f t="shared" ref="X5:X68" si="16">X4</f>
        <v>1</v>
      </c>
      <c r="Y5" s="47">
        <f t="shared" si="7"/>
        <v>14</v>
      </c>
      <c r="Z5" s="47">
        <f>暴击、抗暴!B5</f>
        <v>14</v>
      </c>
      <c r="AA5" s="73">
        <f t="shared" ref="AA5:AA68" si="17">AA4</f>
        <v>1</v>
      </c>
      <c r="AB5" s="47">
        <f t="shared" si="8"/>
        <v>14</v>
      </c>
    </row>
    <row r="6" spans="1:28" s="20" customFormat="1">
      <c r="A6" s="46">
        <v>4</v>
      </c>
      <c r="B6" s="47">
        <f>攻击!AS6</f>
        <v>43.2</v>
      </c>
      <c r="C6" s="73">
        <f t="shared" si="9"/>
        <v>0.3</v>
      </c>
      <c r="D6" s="47">
        <f t="shared" si="0"/>
        <v>12.96</v>
      </c>
      <c r="E6" s="47">
        <f>HP!AR6</f>
        <v>432</v>
      </c>
      <c r="F6" s="73">
        <f t="shared" si="10"/>
        <v>0.5</v>
      </c>
      <c r="G6" s="47">
        <f t="shared" si="1"/>
        <v>216</v>
      </c>
      <c r="H6" s="47">
        <f>攻击!AS6</f>
        <v>43.2</v>
      </c>
      <c r="I6" s="73">
        <f t="shared" si="11"/>
        <v>5</v>
      </c>
      <c r="J6" s="47">
        <f t="shared" si="2"/>
        <v>216</v>
      </c>
      <c r="K6" s="47">
        <f>霸气!AH6</f>
        <v>43.2</v>
      </c>
      <c r="L6" s="73">
        <f t="shared" si="12"/>
        <v>1</v>
      </c>
      <c r="M6" s="47">
        <f t="shared" si="3"/>
        <v>43.2</v>
      </c>
      <c r="N6" s="47">
        <f>防御!AH6</f>
        <v>43.2</v>
      </c>
      <c r="O6" s="73">
        <f t="shared" si="13"/>
        <v>1</v>
      </c>
      <c r="P6" s="47">
        <f t="shared" si="4"/>
        <v>43.2</v>
      </c>
      <c r="Q6" s="47">
        <f>命中、闪避!G6</f>
        <v>12.8</v>
      </c>
      <c r="R6" s="73">
        <f t="shared" si="14"/>
        <v>1</v>
      </c>
      <c r="S6" s="47">
        <f t="shared" si="5"/>
        <v>12.8</v>
      </c>
      <c r="T6" s="47">
        <f>命中、闪避!B6</f>
        <v>16</v>
      </c>
      <c r="U6" s="73">
        <f t="shared" si="15"/>
        <v>1</v>
      </c>
      <c r="V6" s="47">
        <f t="shared" si="6"/>
        <v>16</v>
      </c>
      <c r="W6" s="47">
        <f>暴击、抗暴!G6</f>
        <v>16</v>
      </c>
      <c r="X6" s="73">
        <f t="shared" si="16"/>
        <v>1</v>
      </c>
      <c r="Y6" s="47">
        <f t="shared" si="7"/>
        <v>16</v>
      </c>
      <c r="Z6" s="47">
        <f>暴击、抗暴!B6</f>
        <v>16</v>
      </c>
      <c r="AA6" s="73">
        <f t="shared" si="17"/>
        <v>1</v>
      </c>
      <c r="AB6" s="47">
        <f t="shared" si="8"/>
        <v>16</v>
      </c>
    </row>
    <row r="7" spans="1:28" s="20" customFormat="1">
      <c r="A7" s="46">
        <v>5</v>
      </c>
      <c r="B7" s="47">
        <f>攻击!AS7</f>
        <v>48.6</v>
      </c>
      <c r="C7" s="73">
        <f t="shared" si="9"/>
        <v>0.3</v>
      </c>
      <c r="D7" s="47">
        <f t="shared" si="0"/>
        <v>14.58</v>
      </c>
      <c r="E7" s="47">
        <f>HP!AR7</f>
        <v>486</v>
      </c>
      <c r="F7" s="73">
        <f t="shared" si="10"/>
        <v>0.5</v>
      </c>
      <c r="G7" s="47">
        <f t="shared" si="1"/>
        <v>243</v>
      </c>
      <c r="H7" s="47">
        <f>攻击!AS7</f>
        <v>48.6</v>
      </c>
      <c r="I7" s="73">
        <f t="shared" si="11"/>
        <v>5</v>
      </c>
      <c r="J7" s="47">
        <f t="shared" si="2"/>
        <v>243</v>
      </c>
      <c r="K7" s="47">
        <f>霸气!AH7</f>
        <v>48.6</v>
      </c>
      <c r="L7" s="73">
        <f t="shared" si="12"/>
        <v>1</v>
      </c>
      <c r="M7" s="47">
        <f t="shared" si="3"/>
        <v>48.6</v>
      </c>
      <c r="N7" s="47">
        <f>防御!AH7</f>
        <v>48.6</v>
      </c>
      <c r="O7" s="73">
        <f t="shared" si="13"/>
        <v>1</v>
      </c>
      <c r="P7" s="47">
        <f t="shared" si="4"/>
        <v>48.6</v>
      </c>
      <c r="Q7" s="47">
        <f>命中、闪避!G7</f>
        <v>14.4</v>
      </c>
      <c r="R7" s="73">
        <f t="shared" si="14"/>
        <v>1</v>
      </c>
      <c r="S7" s="47">
        <f t="shared" si="5"/>
        <v>14.4</v>
      </c>
      <c r="T7" s="47">
        <f>命中、闪避!B7</f>
        <v>18</v>
      </c>
      <c r="U7" s="73">
        <f t="shared" si="15"/>
        <v>1</v>
      </c>
      <c r="V7" s="47">
        <f t="shared" si="6"/>
        <v>18</v>
      </c>
      <c r="W7" s="47">
        <f>暴击、抗暴!G7</f>
        <v>18</v>
      </c>
      <c r="X7" s="73">
        <f t="shared" si="16"/>
        <v>1</v>
      </c>
      <c r="Y7" s="47">
        <f t="shared" si="7"/>
        <v>18</v>
      </c>
      <c r="Z7" s="47">
        <f>暴击、抗暴!B7</f>
        <v>18</v>
      </c>
      <c r="AA7" s="73">
        <f t="shared" si="17"/>
        <v>1</v>
      </c>
      <c r="AB7" s="47">
        <f t="shared" si="8"/>
        <v>18</v>
      </c>
    </row>
    <row r="8" spans="1:28" s="20" customFormat="1">
      <c r="A8" s="46">
        <v>6</v>
      </c>
      <c r="B8" s="47">
        <f>攻击!AS8</f>
        <v>54</v>
      </c>
      <c r="C8" s="73">
        <f t="shared" si="9"/>
        <v>0.3</v>
      </c>
      <c r="D8" s="47">
        <f t="shared" si="0"/>
        <v>16.2</v>
      </c>
      <c r="E8" s="47">
        <f>HP!AR8</f>
        <v>540</v>
      </c>
      <c r="F8" s="73">
        <f t="shared" si="10"/>
        <v>0.5</v>
      </c>
      <c r="G8" s="47">
        <f t="shared" si="1"/>
        <v>270</v>
      </c>
      <c r="H8" s="47">
        <f>攻击!AS8</f>
        <v>54</v>
      </c>
      <c r="I8" s="73">
        <f t="shared" si="11"/>
        <v>5</v>
      </c>
      <c r="J8" s="47">
        <f t="shared" si="2"/>
        <v>270</v>
      </c>
      <c r="K8" s="47">
        <f>霸气!AH8</f>
        <v>54</v>
      </c>
      <c r="L8" s="73">
        <f t="shared" si="12"/>
        <v>1</v>
      </c>
      <c r="M8" s="47">
        <f t="shared" si="3"/>
        <v>54</v>
      </c>
      <c r="N8" s="47">
        <f>防御!AH8</f>
        <v>54</v>
      </c>
      <c r="O8" s="73">
        <f t="shared" si="13"/>
        <v>1</v>
      </c>
      <c r="P8" s="47">
        <f t="shared" si="4"/>
        <v>54</v>
      </c>
      <c r="Q8" s="47">
        <f>命中、闪避!G8</f>
        <v>16</v>
      </c>
      <c r="R8" s="73">
        <f t="shared" si="14"/>
        <v>1</v>
      </c>
      <c r="S8" s="47">
        <f t="shared" si="5"/>
        <v>16</v>
      </c>
      <c r="T8" s="47">
        <f>命中、闪避!B8</f>
        <v>20</v>
      </c>
      <c r="U8" s="73">
        <f t="shared" si="15"/>
        <v>1</v>
      </c>
      <c r="V8" s="47">
        <f t="shared" si="6"/>
        <v>20</v>
      </c>
      <c r="W8" s="47">
        <f>暴击、抗暴!G8</f>
        <v>20</v>
      </c>
      <c r="X8" s="73">
        <f t="shared" si="16"/>
        <v>1</v>
      </c>
      <c r="Y8" s="47">
        <f t="shared" si="7"/>
        <v>20</v>
      </c>
      <c r="Z8" s="47">
        <f>暴击、抗暴!B8</f>
        <v>20</v>
      </c>
      <c r="AA8" s="73">
        <f t="shared" si="17"/>
        <v>1</v>
      </c>
      <c r="AB8" s="47">
        <f t="shared" si="8"/>
        <v>20</v>
      </c>
    </row>
    <row r="9" spans="1:28" s="20" customFormat="1">
      <c r="A9" s="46">
        <v>7</v>
      </c>
      <c r="B9" s="47">
        <f>攻击!AS9</f>
        <v>59.4</v>
      </c>
      <c r="C9" s="73">
        <f t="shared" si="9"/>
        <v>0.3</v>
      </c>
      <c r="D9" s="47">
        <f t="shared" si="0"/>
        <v>17.82</v>
      </c>
      <c r="E9" s="47">
        <f>HP!AR9</f>
        <v>594</v>
      </c>
      <c r="F9" s="73">
        <f t="shared" si="10"/>
        <v>0.5</v>
      </c>
      <c r="G9" s="47">
        <f t="shared" si="1"/>
        <v>297</v>
      </c>
      <c r="H9" s="47">
        <f>攻击!AS9</f>
        <v>59.4</v>
      </c>
      <c r="I9" s="73">
        <f t="shared" si="11"/>
        <v>5</v>
      </c>
      <c r="J9" s="47">
        <f t="shared" si="2"/>
        <v>297</v>
      </c>
      <c r="K9" s="47">
        <f>霸气!AH9</f>
        <v>59.4</v>
      </c>
      <c r="L9" s="73">
        <f t="shared" si="12"/>
        <v>1</v>
      </c>
      <c r="M9" s="47">
        <f t="shared" si="3"/>
        <v>59.4</v>
      </c>
      <c r="N9" s="47">
        <f>防御!AH9</f>
        <v>59.4</v>
      </c>
      <c r="O9" s="73">
        <f t="shared" si="13"/>
        <v>1</v>
      </c>
      <c r="P9" s="47">
        <f t="shared" si="4"/>
        <v>59.4</v>
      </c>
      <c r="Q9" s="47">
        <f>命中、闪避!G9</f>
        <v>17.600000000000001</v>
      </c>
      <c r="R9" s="73">
        <f t="shared" si="14"/>
        <v>1</v>
      </c>
      <c r="S9" s="47">
        <f t="shared" si="5"/>
        <v>17.600000000000001</v>
      </c>
      <c r="T9" s="47">
        <f>命中、闪避!B9</f>
        <v>22</v>
      </c>
      <c r="U9" s="73">
        <f t="shared" si="15"/>
        <v>1</v>
      </c>
      <c r="V9" s="47">
        <f t="shared" si="6"/>
        <v>22</v>
      </c>
      <c r="W9" s="47">
        <f>暴击、抗暴!G9</f>
        <v>22</v>
      </c>
      <c r="X9" s="73">
        <f t="shared" si="16"/>
        <v>1</v>
      </c>
      <c r="Y9" s="47">
        <f t="shared" si="7"/>
        <v>22</v>
      </c>
      <c r="Z9" s="47">
        <f>暴击、抗暴!B9</f>
        <v>22</v>
      </c>
      <c r="AA9" s="73">
        <f t="shared" si="17"/>
        <v>1</v>
      </c>
      <c r="AB9" s="47">
        <f t="shared" si="8"/>
        <v>22</v>
      </c>
    </row>
    <row r="10" spans="1:28" s="20" customFormat="1">
      <c r="A10" s="46">
        <v>8</v>
      </c>
      <c r="B10" s="47">
        <f>攻击!AS10</f>
        <v>64.8</v>
      </c>
      <c r="C10" s="73">
        <f t="shared" si="9"/>
        <v>0.3</v>
      </c>
      <c r="D10" s="47">
        <f t="shared" si="0"/>
        <v>19.439999999999998</v>
      </c>
      <c r="E10" s="47">
        <f>HP!AR10</f>
        <v>648</v>
      </c>
      <c r="F10" s="73">
        <f t="shared" si="10"/>
        <v>0.5</v>
      </c>
      <c r="G10" s="47">
        <f t="shared" si="1"/>
        <v>324</v>
      </c>
      <c r="H10" s="47">
        <f>攻击!AS10</f>
        <v>64.8</v>
      </c>
      <c r="I10" s="73">
        <f t="shared" si="11"/>
        <v>5</v>
      </c>
      <c r="J10" s="47">
        <f t="shared" si="2"/>
        <v>324</v>
      </c>
      <c r="K10" s="47">
        <f>霸气!AH10</f>
        <v>64.8</v>
      </c>
      <c r="L10" s="73">
        <f t="shared" si="12"/>
        <v>1</v>
      </c>
      <c r="M10" s="47">
        <f t="shared" si="3"/>
        <v>64.8</v>
      </c>
      <c r="N10" s="47">
        <f>防御!AH10</f>
        <v>64.8</v>
      </c>
      <c r="O10" s="73">
        <f t="shared" si="13"/>
        <v>1</v>
      </c>
      <c r="P10" s="47">
        <f t="shared" si="4"/>
        <v>64.8</v>
      </c>
      <c r="Q10" s="47">
        <f>命中、闪避!G10</f>
        <v>19.200000000000003</v>
      </c>
      <c r="R10" s="73">
        <f t="shared" si="14"/>
        <v>1</v>
      </c>
      <c r="S10" s="47">
        <f t="shared" si="5"/>
        <v>19.200000000000003</v>
      </c>
      <c r="T10" s="47">
        <f>命中、闪避!B10</f>
        <v>24</v>
      </c>
      <c r="U10" s="73">
        <f t="shared" si="15"/>
        <v>1</v>
      </c>
      <c r="V10" s="47">
        <f t="shared" si="6"/>
        <v>24</v>
      </c>
      <c r="W10" s="47">
        <f>暴击、抗暴!G10</f>
        <v>24</v>
      </c>
      <c r="X10" s="73">
        <f t="shared" si="16"/>
        <v>1</v>
      </c>
      <c r="Y10" s="47">
        <f t="shared" si="7"/>
        <v>24</v>
      </c>
      <c r="Z10" s="47">
        <f>暴击、抗暴!B10</f>
        <v>24</v>
      </c>
      <c r="AA10" s="73">
        <f t="shared" si="17"/>
        <v>1</v>
      </c>
      <c r="AB10" s="47">
        <f t="shared" si="8"/>
        <v>24</v>
      </c>
    </row>
    <row r="11" spans="1:28" s="20" customFormat="1">
      <c r="A11" s="46">
        <v>9</v>
      </c>
      <c r="B11" s="47">
        <f>攻击!AS11</f>
        <v>70.2</v>
      </c>
      <c r="C11" s="73">
        <f t="shared" si="9"/>
        <v>0.3</v>
      </c>
      <c r="D11" s="47">
        <f t="shared" si="0"/>
        <v>21.06</v>
      </c>
      <c r="E11" s="47">
        <f>HP!AR11</f>
        <v>702</v>
      </c>
      <c r="F11" s="73">
        <f t="shared" si="10"/>
        <v>0.5</v>
      </c>
      <c r="G11" s="47">
        <f t="shared" si="1"/>
        <v>351</v>
      </c>
      <c r="H11" s="47">
        <f>攻击!AS11</f>
        <v>70.2</v>
      </c>
      <c r="I11" s="73">
        <f t="shared" si="11"/>
        <v>5</v>
      </c>
      <c r="J11" s="47">
        <f t="shared" si="2"/>
        <v>351</v>
      </c>
      <c r="K11" s="47">
        <f>霸气!AH11</f>
        <v>70.2</v>
      </c>
      <c r="L11" s="73">
        <f t="shared" si="12"/>
        <v>1</v>
      </c>
      <c r="M11" s="47">
        <f t="shared" si="3"/>
        <v>70.2</v>
      </c>
      <c r="N11" s="47">
        <f>防御!AH11</f>
        <v>70.2</v>
      </c>
      <c r="O11" s="73">
        <f t="shared" si="13"/>
        <v>1</v>
      </c>
      <c r="P11" s="47">
        <f t="shared" si="4"/>
        <v>70.2</v>
      </c>
      <c r="Q11" s="47">
        <f>命中、闪避!G11</f>
        <v>20.8</v>
      </c>
      <c r="R11" s="73">
        <f t="shared" si="14"/>
        <v>1</v>
      </c>
      <c r="S11" s="47">
        <f t="shared" si="5"/>
        <v>20.8</v>
      </c>
      <c r="T11" s="47">
        <f>命中、闪避!B11</f>
        <v>26</v>
      </c>
      <c r="U11" s="73">
        <f t="shared" si="15"/>
        <v>1</v>
      </c>
      <c r="V11" s="47">
        <f t="shared" si="6"/>
        <v>26</v>
      </c>
      <c r="W11" s="47">
        <f>暴击、抗暴!G11</f>
        <v>26</v>
      </c>
      <c r="X11" s="73">
        <f t="shared" si="16"/>
        <v>1</v>
      </c>
      <c r="Y11" s="47">
        <f t="shared" si="7"/>
        <v>26</v>
      </c>
      <c r="Z11" s="47">
        <f>暴击、抗暴!B11</f>
        <v>26</v>
      </c>
      <c r="AA11" s="73">
        <f t="shared" si="17"/>
        <v>1</v>
      </c>
      <c r="AB11" s="47">
        <f t="shared" si="8"/>
        <v>26</v>
      </c>
    </row>
    <row r="12" spans="1:28" s="20" customFormat="1">
      <c r="A12" s="46">
        <v>10</v>
      </c>
      <c r="B12" s="47">
        <f>攻击!AS12</f>
        <v>75.599999999999994</v>
      </c>
      <c r="C12" s="73">
        <f t="shared" si="9"/>
        <v>0.3</v>
      </c>
      <c r="D12" s="47">
        <f t="shared" si="0"/>
        <v>22.679999999999996</v>
      </c>
      <c r="E12" s="47">
        <f>HP!AR12</f>
        <v>756</v>
      </c>
      <c r="F12" s="73">
        <f t="shared" si="10"/>
        <v>0.5</v>
      </c>
      <c r="G12" s="47">
        <f t="shared" si="1"/>
        <v>378</v>
      </c>
      <c r="H12" s="47">
        <f>攻击!AS12</f>
        <v>75.599999999999994</v>
      </c>
      <c r="I12" s="73">
        <f t="shared" si="11"/>
        <v>5</v>
      </c>
      <c r="J12" s="47">
        <f t="shared" si="2"/>
        <v>378</v>
      </c>
      <c r="K12" s="47">
        <f>霸气!AH12</f>
        <v>75.599999999999994</v>
      </c>
      <c r="L12" s="73">
        <f t="shared" si="12"/>
        <v>1</v>
      </c>
      <c r="M12" s="47">
        <f t="shared" si="3"/>
        <v>75.599999999999994</v>
      </c>
      <c r="N12" s="47">
        <f>防御!AH12</f>
        <v>75.599999999999994</v>
      </c>
      <c r="O12" s="73">
        <f t="shared" si="13"/>
        <v>1</v>
      </c>
      <c r="P12" s="47">
        <f t="shared" si="4"/>
        <v>75.599999999999994</v>
      </c>
      <c r="Q12" s="47">
        <f>命中、闪避!G12</f>
        <v>22.400000000000002</v>
      </c>
      <c r="R12" s="73">
        <f t="shared" si="14"/>
        <v>1</v>
      </c>
      <c r="S12" s="47">
        <f t="shared" si="5"/>
        <v>22.400000000000002</v>
      </c>
      <c r="T12" s="47">
        <f>命中、闪避!B12</f>
        <v>28</v>
      </c>
      <c r="U12" s="73">
        <f t="shared" si="15"/>
        <v>1</v>
      </c>
      <c r="V12" s="47">
        <f t="shared" si="6"/>
        <v>28</v>
      </c>
      <c r="W12" s="47">
        <f>暴击、抗暴!G12</f>
        <v>28</v>
      </c>
      <c r="X12" s="73">
        <f t="shared" si="16"/>
        <v>1</v>
      </c>
      <c r="Y12" s="47">
        <f t="shared" si="7"/>
        <v>28</v>
      </c>
      <c r="Z12" s="47">
        <f>暴击、抗暴!B12</f>
        <v>28</v>
      </c>
      <c r="AA12" s="73">
        <f t="shared" si="17"/>
        <v>1</v>
      </c>
      <c r="AB12" s="47">
        <f t="shared" si="8"/>
        <v>28</v>
      </c>
    </row>
    <row r="13" spans="1:28" s="20" customFormat="1">
      <c r="A13" s="46">
        <v>11</v>
      </c>
      <c r="B13" s="47">
        <f>攻击!AS13</f>
        <v>81</v>
      </c>
      <c r="C13" s="73">
        <f t="shared" si="9"/>
        <v>0.3</v>
      </c>
      <c r="D13" s="47">
        <f t="shared" si="0"/>
        <v>24.3</v>
      </c>
      <c r="E13" s="47">
        <f>HP!AR13</f>
        <v>810</v>
      </c>
      <c r="F13" s="73">
        <f t="shared" si="10"/>
        <v>0.5</v>
      </c>
      <c r="G13" s="47">
        <f t="shared" si="1"/>
        <v>405</v>
      </c>
      <c r="H13" s="47">
        <f>攻击!AS13</f>
        <v>81</v>
      </c>
      <c r="I13" s="73">
        <f t="shared" si="11"/>
        <v>5</v>
      </c>
      <c r="J13" s="47">
        <f t="shared" si="2"/>
        <v>405</v>
      </c>
      <c r="K13" s="47">
        <f>霸气!AH13</f>
        <v>81</v>
      </c>
      <c r="L13" s="73">
        <f t="shared" si="12"/>
        <v>1</v>
      </c>
      <c r="M13" s="47">
        <f t="shared" si="3"/>
        <v>81</v>
      </c>
      <c r="N13" s="47">
        <f>防御!AH13</f>
        <v>81</v>
      </c>
      <c r="O13" s="73">
        <f t="shared" si="13"/>
        <v>1</v>
      </c>
      <c r="P13" s="47">
        <f t="shared" si="4"/>
        <v>81</v>
      </c>
      <c r="Q13" s="47">
        <f>命中、闪避!G13</f>
        <v>24</v>
      </c>
      <c r="R13" s="73">
        <f t="shared" si="14"/>
        <v>1</v>
      </c>
      <c r="S13" s="47">
        <f t="shared" si="5"/>
        <v>24</v>
      </c>
      <c r="T13" s="47">
        <f>命中、闪避!B13</f>
        <v>30</v>
      </c>
      <c r="U13" s="73">
        <f t="shared" si="15"/>
        <v>1</v>
      </c>
      <c r="V13" s="47">
        <f t="shared" si="6"/>
        <v>30</v>
      </c>
      <c r="W13" s="47">
        <f>暴击、抗暴!G13</f>
        <v>30</v>
      </c>
      <c r="X13" s="73">
        <f t="shared" si="16"/>
        <v>1</v>
      </c>
      <c r="Y13" s="47">
        <f t="shared" si="7"/>
        <v>30</v>
      </c>
      <c r="Z13" s="47">
        <f>暴击、抗暴!B13</f>
        <v>30</v>
      </c>
      <c r="AA13" s="73">
        <f t="shared" si="17"/>
        <v>1</v>
      </c>
      <c r="AB13" s="47">
        <f t="shared" si="8"/>
        <v>30</v>
      </c>
    </row>
    <row r="14" spans="1:28" s="20" customFormat="1">
      <c r="A14" s="46">
        <v>12</v>
      </c>
      <c r="B14" s="47">
        <f>攻击!AS14</f>
        <v>86.4</v>
      </c>
      <c r="C14" s="73">
        <f t="shared" si="9"/>
        <v>0.3</v>
      </c>
      <c r="D14" s="47">
        <f t="shared" si="0"/>
        <v>25.92</v>
      </c>
      <c r="E14" s="47">
        <f>HP!AR14</f>
        <v>864</v>
      </c>
      <c r="F14" s="73">
        <f t="shared" si="10"/>
        <v>0.5</v>
      </c>
      <c r="G14" s="47">
        <f t="shared" si="1"/>
        <v>432</v>
      </c>
      <c r="H14" s="47">
        <f>攻击!AS14</f>
        <v>86.4</v>
      </c>
      <c r="I14" s="73">
        <f t="shared" si="11"/>
        <v>5</v>
      </c>
      <c r="J14" s="47">
        <f t="shared" si="2"/>
        <v>432</v>
      </c>
      <c r="K14" s="47">
        <f>霸气!AH14</f>
        <v>86.4</v>
      </c>
      <c r="L14" s="73">
        <f t="shared" si="12"/>
        <v>1</v>
      </c>
      <c r="M14" s="47">
        <f t="shared" si="3"/>
        <v>86.4</v>
      </c>
      <c r="N14" s="47">
        <f>防御!AH14</f>
        <v>86.4</v>
      </c>
      <c r="O14" s="73">
        <f t="shared" si="13"/>
        <v>1</v>
      </c>
      <c r="P14" s="47">
        <f t="shared" si="4"/>
        <v>86.4</v>
      </c>
      <c r="Q14" s="47">
        <f>命中、闪避!G14</f>
        <v>25.6</v>
      </c>
      <c r="R14" s="73">
        <f t="shared" si="14"/>
        <v>1</v>
      </c>
      <c r="S14" s="47">
        <f t="shared" si="5"/>
        <v>25.6</v>
      </c>
      <c r="T14" s="47">
        <f>命中、闪避!B14</f>
        <v>32</v>
      </c>
      <c r="U14" s="73">
        <f t="shared" si="15"/>
        <v>1</v>
      </c>
      <c r="V14" s="47">
        <f t="shared" si="6"/>
        <v>32</v>
      </c>
      <c r="W14" s="47">
        <f>暴击、抗暴!G14</f>
        <v>32</v>
      </c>
      <c r="X14" s="73">
        <f t="shared" si="16"/>
        <v>1</v>
      </c>
      <c r="Y14" s="47">
        <f t="shared" si="7"/>
        <v>32</v>
      </c>
      <c r="Z14" s="47">
        <f>暴击、抗暴!B14</f>
        <v>32</v>
      </c>
      <c r="AA14" s="73">
        <f t="shared" si="17"/>
        <v>1</v>
      </c>
      <c r="AB14" s="47">
        <f t="shared" si="8"/>
        <v>32</v>
      </c>
    </row>
    <row r="15" spans="1:28" s="20" customFormat="1">
      <c r="A15" s="46">
        <v>13</v>
      </c>
      <c r="B15" s="47">
        <f>攻击!AS15</f>
        <v>91.8</v>
      </c>
      <c r="C15" s="73">
        <f t="shared" si="9"/>
        <v>0.3</v>
      </c>
      <c r="D15" s="47">
        <f t="shared" si="0"/>
        <v>27.54</v>
      </c>
      <c r="E15" s="47">
        <f>HP!AR15</f>
        <v>918</v>
      </c>
      <c r="F15" s="73">
        <f t="shared" si="10"/>
        <v>0.5</v>
      </c>
      <c r="G15" s="47">
        <f t="shared" si="1"/>
        <v>459</v>
      </c>
      <c r="H15" s="47">
        <f>攻击!AS15</f>
        <v>91.8</v>
      </c>
      <c r="I15" s="73">
        <f t="shared" si="11"/>
        <v>5</v>
      </c>
      <c r="J15" s="47">
        <f t="shared" si="2"/>
        <v>459</v>
      </c>
      <c r="K15" s="47">
        <f>霸气!AH15</f>
        <v>91.8</v>
      </c>
      <c r="L15" s="73">
        <f t="shared" si="12"/>
        <v>1</v>
      </c>
      <c r="M15" s="47">
        <f t="shared" si="3"/>
        <v>91.8</v>
      </c>
      <c r="N15" s="47">
        <f>防御!AH15</f>
        <v>91.8</v>
      </c>
      <c r="O15" s="73">
        <f t="shared" si="13"/>
        <v>1</v>
      </c>
      <c r="P15" s="47">
        <f t="shared" si="4"/>
        <v>91.8</v>
      </c>
      <c r="Q15" s="47">
        <f>命中、闪避!G15</f>
        <v>27.200000000000003</v>
      </c>
      <c r="R15" s="73">
        <f t="shared" si="14"/>
        <v>1</v>
      </c>
      <c r="S15" s="47">
        <f t="shared" si="5"/>
        <v>27.200000000000003</v>
      </c>
      <c r="T15" s="47">
        <f>命中、闪避!B15</f>
        <v>34</v>
      </c>
      <c r="U15" s="73">
        <f t="shared" si="15"/>
        <v>1</v>
      </c>
      <c r="V15" s="47">
        <f t="shared" si="6"/>
        <v>34</v>
      </c>
      <c r="W15" s="47">
        <f>暴击、抗暴!G15</f>
        <v>34</v>
      </c>
      <c r="X15" s="73">
        <f t="shared" si="16"/>
        <v>1</v>
      </c>
      <c r="Y15" s="47">
        <f t="shared" si="7"/>
        <v>34</v>
      </c>
      <c r="Z15" s="47">
        <f>暴击、抗暴!B15</f>
        <v>34</v>
      </c>
      <c r="AA15" s="73">
        <f t="shared" si="17"/>
        <v>1</v>
      </c>
      <c r="AB15" s="47">
        <f t="shared" si="8"/>
        <v>34</v>
      </c>
    </row>
    <row r="16" spans="1:28" s="20" customFormat="1">
      <c r="A16" s="46">
        <v>14</v>
      </c>
      <c r="B16" s="47">
        <f>攻击!AS16</f>
        <v>97.2</v>
      </c>
      <c r="C16" s="73">
        <f t="shared" si="9"/>
        <v>0.3</v>
      </c>
      <c r="D16" s="47">
        <f t="shared" si="0"/>
        <v>29.16</v>
      </c>
      <c r="E16" s="47">
        <f>HP!AR16</f>
        <v>972</v>
      </c>
      <c r="F16" s="73">
        <f t="shared" si="10"/>
        <v>0.5</v>
      </c>
      <c r="G16" s="47">
        <f t="shared" si="1"/>
        <v>486</v>
      </c>
      <c r="H16" s="47">
        <f>攻击!AS16</f>
        <v>97.2</v>
      </c>
      <c r="I16" s="73">
        <f t="shared" si="11"/>
        <v>5</v>
      </c>
      <c r="J16" s="47">
        <f t="shared" si="2"/>
        <v>486</v>
      </c>
      <c r="K16" s="47">
        <f>霸气!AH16</f>
        <v>97.2</v>
      </c>
      <c r="L16" s="73">
        <f t="shared" si="12"/>
        <v>1</v>
      </c>
      <c r="M16" s="47">
        <f t="shared" si="3"/>
        <v>97.2</v>
      </c>
      <c r="N16" s="47">
        <f>防御!AH16</f>
        <v>97.2</v>
      </c>
      <c r="O16" s="73">
        <f t="shared" si="13"/>
        <v>1</v>
      </c>
      <c r="P16" s="47">
        <f t="shared" si="4"/>
        <v>97.2</v>
      </c>
      <c r="Q16" s="47">
        <f>命中、闪避!G16</f>
        <v>28.8</v>
      </c>
      <c r="R16" s="73">
        <f t="shared" si="14"/>
        <v>1</v>
      </c>
      <c r="S16" s="47">
        <f t="shared" si="5"/>
        <v>28.8</v>
      </c>
      <c r="T16" s="47">
        <f>命中、闪避!B16</f>
        <v>36</v>
      </c>
      <c r="U16" s="73">
        <f t="shared" si="15"/>
        <v>1</v>
      </c>
      <c r="V16" s="47">
        <f t="shared" si="6"/>
        <v>36</v>
      </c>
      <c r="W16" s="47">
        <f>暴击、抗暴!G16</f>
        <v>36</v>
      </c>
      <c r="X16" s="73">
        <f t="shared" si="16"/>
        <v>1</v>
      </c>
      <c r="Y16" s="47">
        <f t="shared" si="7"/>
        <v>36</v>
      </c>
      <c r="Z16" s="47">
        <f>暴击、抗暴!B16</f>
        <v>36</v>
      </c>
      <c r="AA16" s="73">
        <f t="shared" si="17"/>
        <v>1</v>
      </c>
      <c r="AB16" s="47">
        <f t="shared" si="8"/>
        <v>36</v>
      </c>
    </row>
    <row r="17" spans="1:28" s="20" customFormat="1">
      <c r="A17" s="46">
        <v>15</v>
      </c>
      <c r="B17" s="47">
        <f>攻击!AS17</f>
        <v>140.6</v>
      </c>
      <c r="C17" s="73">
        <f t="shared" si="9"/>
        <v>0.3</v>
      </c>
      <c r="D17" s="47">
        <f t="shared" si="0"/>
        <v>42.18</v>
      </c>
      <c r="E17" s="47">
        <f>HP!AR17</f>
        <v>1406</v>
      </c>
      <c r="F17" s="73">
        <f t="shared" si="10"/>
        <v>0.5</v>
      </c>
      <c r="G17" s="47">
        <f t="shared" si="1"/>
        <v>703</v>
      </c>
      <c r="H17" s="47">
        <f>攻击!AS17</f>
        <v>140.6</v>
      </c>
      <c r="I17" s="73">
        <f t="shared" si="11"/>
        <v>5</v>
      </c>
      <c r="J17" s="47">
        <f t="shared" si="2"/>
        <v>703</v>
      </c>
      <c r="K17" s="47">
        <f>霸气!AH17</f>
        <v>102.6</v>
      </c>
      <c r="L17" s="73">
        <f t="shared" si="12"/>
        <v>1</v>
      </c>
      <c r="M17" s="47">
        <f t="shared" si="3"/>
        <v>102.6</v>
      </c>
      <c r="N17" s="47">
        <f>防御!AH17</f>
        <v>102.6</v>
      </c>
      <c r="O17" s="73">
        <f t="shared" si="13"/>
        <v>1</v>
      </c>
      <c r="P17" s="47">
        <f t="shared" si="4"/>
        <v>102.6</v>
      </c>
      <c r="Q17" s="47">
        <f>命中、闪避!G17</f>
        <v>30.400000000000002</v>
      </c>
      <c r="R17" s="73">
        <f t="shared" si="14"/>
        <v>1</v>
      </c>
      <c r="S17" s="47">
        <f t="shared" si="5"/>
        <v>30.400000000000002</v>
      </c>
      <c r="T17" s="47">
        <f>命中、闪避!B17</f>
        <v>38</v>
      </c>
      <c r="U17" s="73">
        <f t="shared" si="15"/>
        <v>1</v>
      </c>
      <c r="V17" s="47">
        <f t="shared" si="6"/>
        <v>38</v>
      </c>
      <c r="W17" s="47">
        <f>暴击、抗暴!G17</f>
        <v>38</v>
      </c>
      <c r="X17" s="73">
        <f t="shared" si="16"/>
        <v>1</v>
      </c>
      <c r="Y17" s="47">
        <f t="shared" si="7"/>
        <v>38</v>
      </c>
      <c r="Z17" s="47">
        <f>暴击、抗暴!B17</f>
        <v>38</v>
      </c>
      <c r="AA17" s="73">
        <f t="shared" si="17"/>
        <v>1</v>
      </c>
      <c r="AB17" s="47">
        <f t="shared" si="8"/>
        <v>38</v>
      </c>
    </row>
    <row r="18" spans="1:28" s="20" customFormat="1">
      <c r="A18" s="46">
        <v>16</v>
      </c>
      <c r="B18" s="47">
        <f>攻击!AS18</f>
        <v>148</v>
      </c>
      <c r="C18" s="73">
        <f t="shared" si="9"/>
        <v>0.3</v>
      </c>
      <c r="D18" s="47">
        <f t="shared" si="0"/>
        <v>44.4</v>
      </c>
      <c r="E18" s="47">
        <f>HP!AR18</f>
        <v>1480</v>
      </c>
      <c r="F18" s="73">
        <f t="shared" si="10"/>
        <v>0.5</v>
      </c>
      <c r="G18" s="47">
        <f t="shared" si="1"/>
        <v>740</v>
      </c>
      <c r="H18" s="47">
        <f>攻击!AS18</f>
        <v>148</v>
      </c>
      <c r="I18" s="73">
        <f t="shared" si="11"/>
        <v>5</v>
      </c>
      <c r="J18" s="47">
        <f t="shared" si="2"/>
        <v>740</v>
      </c>
      <c r="K18" s="47">
        <f>霸气!AH18</f>
        <v>108</v>
      </c>
      <c r="L18" s="73">
        <f t="shared" si="12"/>
        <v>1</v>
      </c>
      <c r="M18" s="47">
        <f t="shared" si="3"/>
        <v>108</v>
      </c>
      <c r="N18" s="47">
        <f>防御!AH18</f>
        <v>108</v>
      </c>
      <c r="O18" s="73">
        <f t="shared" si="13"/>
        <v>1</v>
      </c>
      <c r="P18" s="47">
        <f t="shared" si="4"/>
        <v>108</v>
      </c>
      <c r="Q18" s="47">
        <f>命中、闪避!G18</f>
        <v>32</v>
      </c>
      <c r="R18" s="73">
        <f t="shared" si="14"/>
        <v>1</v>
      </c>
      <c r="S18" s="47">
        <f t="shared" si="5"/>
        <v>32</v>
      </c>
      <c r="T18" s="47">
        <f>命中、闪避!B18</f>
        <v>40</v>
      </c>
      <c r="U18" s="73">
        <f t="shared" si="15"/>
        <v>1</v>
      </c>
      <c r="V18" s="47">
        <f t="shared" si="6"/>
        <v>40</v>
      </c>
      <c r="W18" s="47">
        <f>暴击、抗暴!G18</f>
        <v>40</v>
      </c>
      <c r="X18" s="73">
        <f t="shared" si="16"/>
        <v>1</v>
      </c>
      <c r="Y18" s="47">
        <f t="shared" si="7"/>
        <v>40</v>
      </c>
      <c r="Z18" s="47">
        <f>暴击、抗暴!B18</f>
        <v>40</v>
      </c>
      <c r="AA18" s="73">
        <f t="shared" si="17"/>
        <v>1</v>
      </c>
      <c r="AB18" s="47">
        <f t="shared" si="8"/>
        <v>40</v>
      </c>
    </row>
    <row r="19" spans="1:28" s="20" customFormat="1">
      <c r="A19" s="46">
        <v>17</v>
      </c>
      <c r="B19" s="47">
        <f>攻击!AS19</f>
        <v>155.4</v>
      </c>
      <c r="C19" s="73">
        <f t="shared" si="9"/>
        <v>0.3</v>
      </c>
      <c r="D19" s="47">
        <f t="shared" si="0"/>
        <v>46.62</v>
      </c>
      <c r="E19" s="47">
        <f>HP!AR19</f>
        <v>1554</v>
      </c>
      <c r="F19" s="73">
        <f t="shared" si="10"/>
        <v>0.5</v>
      </c>
      <c r="G19" s="47">
        <f t="shared" si="1"/>
        <v>777</v>
      </c>
      <c r="H19" s="47">
        <f>攻击!AS19</f>
        <v>155.4</v>
      </c>
      <c r="I19" s="73">
        <f t="shared" si="11"/>
        <v>5</v>
      </c>
      <c r="J19" s="47">
        <f t="shared" si="2"/>
        <v>777</v>
      </c>
      <c r="K19" s="47">
        <f>霸气!AH19</f>
        <v>113.4</v>
      </c>
      <c r="L19" s="73">
        <f t="shared" si="12"/>
        <v>1</v>
      </c>
      <c r="M19" s="47">
        <f t="shared" si="3"/>
        <v>113.4</v>
      </c>
      <c r="N19" s="47">
        <f>防御!AH19</f>
        <v>113.4</v>
      </c>
      <c r="O19" s="73">
        <f t="shared" si="13"/>
        <v>1</v>
      </c>
      <c r="P19" s="47">
        <f t="shared" si="4"/>
        <v>113.4</v>
      </c>
      <c r="Q19" s="47">
        <f>命中、闪避!G19</f>
        <v>33.6</v>
      </c>
      <c r="R19" s="73">
        <f t="shared" si="14"/>
        <v>1</v>
      </c>
      <c r="S19" s="47">
        <f t="shared" si="5"/>
        <v>33.6</v>
      </c>
      <c r="T19" s="47">
        <f>命中、闪避!B19</f>
        <v>42</v>
      </c>
      <c r="U19" s="73">
        <f t="shared" si="15"/>
        <v>1</v>
      </c>
      <c r="V19" s="47">
        <f t="shared" si="6"/>
        <v>42</v>
      </c>
      <c r="W19" s="47">
        <f>暴击、抗暴!G19</f>
        <v>42</v>
      </c>
      <c r="X19" s="73">
        <f t="shared" si="16"/>
        <v>1</v>
      </c>
      <c r="Y19" s="47">
        <f t="shared" si="7"/>
        <v>42</v>
      </c>
      <c r="Z19" s="47">
        <f>暴击、抗暴!B19</f>
        <v>42</v>
      </c>
      <c r="AA19" s="73">
        <f t="shared" si="17"/>
        <v>1</v>
      </c>
      <c r="AB19" s="47">
        <f t="shared" si="8"/>
        <v>42</v>
      </c>
    </row>
    <row r="20" spans="1:28" s="20" customFormat="1">
      <c r="A20" s="46">
        <v>18</v>
      </c>
      <c r="B20" s="47">
        <f>攻击!AS20</f>
        <v>162.80000000000001</v>
      </c>
      <c r="C20" s="73">
        <f t="shared" si="9"/>
        <v>0.3</v>
      </c>
      <c r="D20" s="47">
        <f t="shared" si="0"/>
        <v>48.84</v>
      </c>
      <c r="E20" s="47">
        <f>HP!AR20</f>
        <v>1628</v>
      </c>
      <c r="F20" s="73">
        <f t="shared" si="10"/>
        <v>0.5</v>
      </c>
      <c r="G20" s="47">
        <f t="shared" si="1"/>
        <v>814</v>
      </c>
      <c r="H20" s="47">
        <f>攻击!AS20</f>
        <v>162.80000000000001</v>
      </c>
      <c r="I20" s="73">
        <f t="shared" si="11"/>
        <v>5</v>
      </c>
      <c r="J20" s="47">
        <f t="shared" si="2"/>
        <v>814</v>
      </c>
      <c r="K20" s="47">
        <f>霸气!AH20</f>
        <v>118.8</v>
      </c>
      <c r="L20" s="73">
        <f t="shared" si="12"/>
        <v>1</v>
      </c>
      <c r="M20" s="47">
        <f t="shared" si="3"/>
        <v>118.8</v>
      </c>
      <c r="N20" s="47">
        <f>防御!AH20</f>
        <v>118.8</v>
      </c>
      <c r="O20" s="73">
        <f t="shared" si="13"/>
        <v>1</v>
      </c>
      <c r="P20" s="47">
        <f t="shared" si="4"/>
        <v>118.8</v>
      </c>
      <c r="Q20" s="47">
        <f>命中、闪避!G20</f>
        <v>35.200000000000003</v>
      </c>
      <c r="R20" s="73">
        <f t="shared" si="14"/>
        <v>1</v>
      </c>
      <c r="S20" s="47">
        <f t="shared" si="5"/>
        <v>35.200000000000003</v>
      </c>
      <c r="T20" s="47">
        <f>命中、闪避!B20</f>
        <v>44</v>
      </c>
      <c r="U20" s="73">
        <f t="shared" si="15"/>
        <v>1</v>
      </c>
      <c r="V20" s="47">
        <f t="shared" si="6"/>
        <v>44</v>
      </c>
      <c r="W20" s="47">
        <f>暴击、抗暴!G20</f>
        <v>44</v>
      </c>
      <c r="X20" s="73">
        <f t="shared" si="16"/>
        <v>1</v>
      </c>
      <c r="Y20" s="47">
        <f t="shared" si="7"/>
        <v>44</v>
      </c>
      <c r="Z20" s="47">
        <f>暴击、抗暴!B20</f>
        <v>44</v>
      </c>
      <c r="AA20" s="73">
        <f t="shared" si="17"/>
        <v>1</v>
      </c>
      <c r="AB20" s="47">
        <f t="shared" si="8"/>
        <v>44</v>
      </c>
    </row>
    <row r="21" spans="1:28" s="20" customFormat="1">
      <c r="A21" s="46">
        <v>19</v>
      </c>
      <c r="B21" s="47">
        <f>攻击!AS21</f>
        <v>170.2</v>
      </c>
      <c r="C21" s="73">
        <f t="shared" si="9"/>
        <v>0.3</v>
      </c>
      <c r="D21" s="47">
        <f t="shared" si="0"/>
        <v>51.059999999999995</v>
      </c>
      <c r="E21" s="47">
        <f>HP!AR21</f>
        <v>1702</v>
      </c>
      <c r="F21" s="73">
        <f t="shared" si="10"/>
        <v>0.5</v>
      </c>
      <c r="G21" s="47">
        <f t="shared" si="1"/>
        <v>851</v>
      </c>
      <c r="H21" s="47">
        <f>攻击!AS21</f>
        <v>170.2</v>
      </c>
      <c r="I21" s="73">
        <f t="shared" si="11"/>
        <v>5</v>
      </c>
      <c r="J21" s="47">
        <f t="shared" si="2"/>
        <v>851</v>
      </c>
      <c r="K21" s="47">
        <f>霸气!AH21</f>
        <v>124.2</v>
      </c>
      <c r="L21" s="73">
        <f t="shared" si="12"/>
        <v>1</v>
      </c>
      <c r="M21" s="47">
        <f t="shared" si="3"/>
        <v>124.2</v>
      </c>
      <c r="N21" s="47">
        <f>防御!AH21</f>
        <v>124.2</v>
      </c>
      <c r="O21" s="73">
        <f t="shared" si="13"/>
        <v>1</v>
      </c>
      <c r="P21" s="47">
        <f t="shared" si="4"/>
        <v>124.2</v>
      </c>
      <c r="Q21" s="47">
        <f>命中、闪避!G21</f>
        <v>36.800000000000004</v>
      </c>
      <c r="R21" s="73">
        <f t="shared" si="14"/>
        <v>1</v>
      </c>
      <c r="S21" s="47">
        <f t="shared" si="5"/>
        <v>36.800000000000004</v>
      </c>
      <c r="T21" s="47">
        <f>命中、闪避!B21</f>
        <v>46</v>
      </c>
      <c r="U21" s="73">
        <f t="shared" si="15"/>
        <v>1</v>
      </c>
      <c r="V21" s="47">
        <f t="shared" si="6"/>
        <v>46</v>
      </c>
      <c r="W21" s="47">
        <f>暴击、抗暴!G21</f>
        <v>46</v>
      </c>
      <c r="X21" s="73">
        <f t="shared" si="16"/>
        <v>1</v>
      </c>
      <c r="Y21" s="47">
        <f t="shared" si="7"/>
        <v>46</v>
      </c>
      <c r="Z21" s="47">
        <f>暴击、抗暴!B21</f>
        <v>46</v>
      </c>
      <c r="AA21" s="73">
        <f t="shared" si="17"/>
        <v>1</v>
      </c>
      <c r="AB21" s="47">
        <f t="shared" si="8"/>
        <v>46</v>
      </c>
    </row>
    <row r="22" spans="1:28" s="20" customFormat="1">
      <c r="A22" s="46">
        <v>20</v>
      </c>
      <c r="B22" s="47">
        <f>攻击!AS22</f>
        <v>177.6</v>
      </c>
      <c r="C22" s="73">
        <f t="shared" si="9"/>
        <v>0.3</v>
      </c>
      <c r="D22" s="47">
        <f t="shared" si="0"/>
        <v>53.279999999999994</v>
      </c>
      <c r="E22" s="47">
        <f>HP!AR22</f>
        <v>1776</v>
      </c>
      <c r="F22" s="73">
        <f t="shared" si="10"/>
        <v>0.5</v>
      </c>
      <c r="G22" s="47">
        <f t="shared" si="1"/>
        <v>888</v>
      </c>
      <c r="H22" s="47">
        <f>攻击!AS22</f>
        <v>177.6</v>
      </c>
      <c r="I22" s="73">
        <f t="shared" si="11"/>
        <v>5</v>
      </c>
      <c r="J22" s="47">
        <f t="shared" si="2"/>
        <v>888</v>
      </c>
      <c r="K22" s="47">
        <f>霸气!AH22</f>
        <v>129.6</v>
      </c>
      <c r="L22" s="73">
        <f t="shared" si="12"/>
        <v>1</v>
      </c>
      <c r="M22" s="47">
        <f t="shared" si="3"/>
        <v>129.6</v>
      </c>
      <c r="N22" s="47">
        <f>防御!AH22</f>
        <v>129.6</v>
      </c>
      <c r="O22" s="73">
        <f t="shared" si="13"/>
        <v>1</v>
      </c>
      <c r="P22" s="47">
        <f t="shared" si="4"/>
        <v>129.6</v>
      </c>
      <c r="Q22" s="47">
        <f>命中、闪避!G22</f>
        <v>38.400000000000006</v>
      </c>
      <c r="R22" s="73">
        <f t="shared" si="14"/>
        <v>1</v>
      </c>
      <c r="S22" s="47">
        <f t="shared" si="5"/>
        <v>38.400000000000006</v>
      </c>
      <c r="T22" s="47">
        <f>命中、闪避!B22</f>
        <v>48</v>
      </c>
      <c r="U22" s="73">
        <f t="shared" si="15"/>
        <v>1</v>
      </c>
      <c r="V22" s="47">
        <f t="shared" si="6"/>
        <v>48</v>
      </c>
      <c r="W22" s="47">
        <f>暴击、抗暴!G22</f>
        <v>48</v>
      </c>
      <c r="X22" s="73">
        <f t="shared" si="16"/>
        <v>1</v>
      </c>
      <c r="Y22" s="47">
        <f t="shared" si="7"/>
        <v>48</v>
      </c>
      <c r="Z22" s="47">
        <f>暴击、抗暴!B22</f>
        <v>48</v>
      </c>
      <c r="AA22" s="73">
        <f t="shared" si="17"/>
        <v>1</v>
      </c>
      <c r="AB22" s="47">
        <f t="shared" si="8"/>
        <v>48</v>
      </c>
    </row>
    <row r="23" spans="1:28" s="20" customFormat="1">
      <c r="A23" s="46">
        <v>21</v>
      </c>
      <c r="B23" s="47">
        <f>攻击!AS23</f>
        <v>185</v>
      </c>
      <c r="C23" s="73">
        <f t="shared" si="9"/>
        <v>0.3</v>
      </c>
      <c r="D23" s="47">
        <f t="shared" si="0"/>
        <v>55.5</v>
      </c>
      <c r="E23" s="47">
        <f>HP!AR23</f>
        <v>1850</v>
      </c>
      <c r="F23" s="73">
        <f t="shared" si="10"/>
        <v>0.5</v>
      </c>
      <c r="G23" s="47">
        <f t="shared" si="1"/>
        <v>925</v>
      </c>
      <c r="H23" s="47">
        <f>攻击!AS23</f>
        <v>185</v>
      </c>
      <c r="I23" s="73">
        <f t="shared" si="11"/>
        <v>5</v>
      </c>
      <c r="J23" s="47">
        <f t="shared" si="2"/>
        <v>925</v>
      </c>
      <c r="K23" s="47">
        <f>霸气!AH23</f>
        <v>135</v>
      </c>
      <c r="L23" s="73">
        <f t="shared" si="12"/>
        <v>1</v>
      </c>
      <c r="M23" s="47">
        <f t="shared" si="3"/>
        <v>135</v>
      </c>
      <c r="N23" s="47">
        <f>防御!AH23</f>
        <v>135</v>
      </c>
      <c r="O23" s="73">
        <f t="shared" si="13"/>
        <v>1</v>
      </c>
      <c r="P23" s="47">
        <f t="shared" si="4"/>
        <v>135</v>
      </c>
      <c r="Q23" s="47">
        <f>命中、闪避!G23</f>
        <v>40</v>
      </c>
      <c r="R23" s="73">
        <f t="shared" si="14"/>
        <v>1</v>
      </c>
      <c r="S23" s="47">
        <f t="shared" si="5"/>
        <v>40</v>
      </c>
      <c r="T23" s="47">
        <f>命中、闪避!B23</f>
        <v>50</v>
      </c>
      <c r="U23" s="73">
        <f t="shared" si="15"/>
        <v>1</v>
      </c>
      <c r="V23" s="47">
        <f t="shared" si="6"/>
        <v>50</v>
      </c>
      <c r="W23" s="47">
        <f>暴击、抗暴!G23</f>
        <v>50</v>
      </c>
      <c r="X23" s="73">
        <f t="shared" si="16"/>
        <v>1</v>
      </c>
      <c r="Y23" s="47">
        <f t="shared" si="7"/>
        <v>50</v>
      </c>
      <c r="Z23" s="47">
        <f>暴击、抗暴!B23</f>
        <v>50</v>
      </c>
      <c r="AA23" s="73">
        <f t="shared" si="17"/>
        <v>1</v>
      </c>
      <c r="AB23" s="47">
        <f t="shared" si="8"/>
        <v>50</v>
      </c>
    </row>
    <row r="24" spans="1:28" s="20" customFormat="1">
      <c r="A24" s="46">
        <v>22</v>
      </c>
      <c r="B24" s="47">
        <f>攻击!AS24</f>
        <v>192.4</v>
      </c>
      <c r="C24" s="73">
        <f t="shared" si="9"/>
        <v>0.3</v>
      </c>
      <c r="D24" s="47">
        <f t="shared" si="0"/>
        <v>57.72</v>
      </c>
      <c r="E24" s="47">
        <f>HP!AR24</f>
        <v>1924</v>
      </c>
      <c r="F24" s="73">
        <f t="shared" si="10"/>
        <v>0.5</v>
      </c>
      <c r="G24" s="47">
        <f t="shared" si="1"/>
        <v>962</v>
      </c>
      <c r="H24" s="47">
        <f>攻击!AS24</f>
        <v>192.4</v>
      </c>
      <c r="I24" s="73">
        <f t="shared" si="11"/>
        <v>5</v>
      </c>
      <c r="J24" s="47">
        <f t="shared" si="2"/>
        <v>962</v>
      </c>
      <c r="K24" s="47">
        <f>霸气!AH24</f>
        <v>140.4</v>
      </c>
      <c r="L24" s="73">
        <f t="shared" si="12"/>
        <v>1</v>
      </c>
      <c r="M24" s="47">
        <f t="shared" si="3"/>
        <v>140.4</v>
      </c>
      <c r="N24" s="47">
        <f>防御!AH24</f>
        <v>140.4</v>
      </c>
      <c r="O24" s="73">
        <f t="shared" si="13"/>
        <v>1</v>
      </c>
      <c r="P24" s="47">
        <f t="shared" si="4"/>
        <v>140.4</v>
      </c>
      <c r="Q24" s="47">
        <f>命中、闪避!G24</f>
        <v>41.6</v>
      </c>
      <c r="R24" s="73">
        <f t="shared" si="14"/>
        <v>1</v>
      </c>
      <c r="S24" s="47">
        <f t="shared" si="5"/>
        <v>41.6</v>
      </c>
      <c r="T24" s="47">
        <f>命中、闪避!B24</f>
        <v>52</v>
      </c>
      <c r="U24" s="73">
        <f t="shared" si="15"/>
        <v>1</v>
      </c>
      <c r="V24" s="47">
        <f t="shared" si="6"/>
        <v>52</v>
      </c>
      <c r="W24" s="47">
        <f>暴击、抗暴!G24</f>
        <v>52</v>
      </c>
      <c r="X24" s="73">
        <f t="shared" si="16"/>
        <v>1</v>
      </c>
      <c r="Y24" s="47">
        <f t="shared" si="7"/>
        <v>52</v>
      </c>
      <c r="Z24" s="47">
        <f>暴击、抗暴!B24</f>
        <v>52</v>
      </c>
      <c r="AA24" s="73">
        <f t="shared" si="17"/>
        <v>1</v>
      </c>
      <c r="AB24" s="47">
        <f t="shared" si="8"/>
        <v>52</v>
      </c>
    </row>
    <row r="25" spans="1:28" s="20" customFormat="1">
      <c r="A25" s="46">
        <v>23</v>
      </c>
      <c r="B25" s="47">
        <f>攻击!AS25</f>
        <v>199.8</v>
      </c>
      <c r="C25" s="73">
        <f t="shared" si="9"/>
        <v>0.3</v>
      </c>
      <c r="D25" s="47">
        <f t="shared" si="0"/>
        <v>59.94</v>
      </c>
      <c r="E25" s="47">
        <f>HP!AR25</f>
        <v>1998</v>
      </c>
      <c r="F25" s="73">
        <f t="shared" si="10"/>
        <v>0.5</v>
      </c>
      <c r="G25" s="47">
        <f t="shared" si="1"/>
        <v>999</v>
      </c>
      <c r="H25" s="47">
        <f>攻击!AS25</f>
        <v>199.8</v>
      </c>
      <c r="I25" s="73">
        <f t="shared" si="11"/>
        <v>5</v>
      </c>
      <c r="J25" s="47">
        <f t="shared" si="2"/>
        <v>999</v>
      </c>
      <c r="K25" s="47">
        <f>霸气!AH25</f>
        <v>145.80000000000001</v>
      </c>
      <c r="L25" s="73">
        <f t="shared" si="12"/>
        <v>1</v>
      </c>
      <c r="M25" s="47">
        <f t="shared" si="3"/>
        <v>145.80000000000001</v>
      </c>
      <c r="N25" s="47">
        <f>防御!AH25</f>
        <v>145.80000000000001</v>
      </c>
      <c r="O25" s="73">
        <f t="shared" si="13"/>
        <v>1</v>
      </c>
      <c r="P25" s="47">
        <f t="shared" si="4"/>
        <v>145.80000000000001</v>
      </c>
      <c r="Q25" s="47">
        <f>命中、闪避!G25</f>
        <v>43.2</v>
      </c>
      <c r="R25" s="73">
        <f t="shared" si="14"/>
        <v>1</v>
      </c>
      <c r="S25" s="47">
        <f t="shared" si="5"/>
        <v>43.2</v>
      </c>
      <c r="T25" s="47">
        <f>命中、闪避!B25</f>
        <v>54</v>
      </c>
      <c r="U25" s="73">
        <f t="shared" si="15"/>
        <v>1</v>
      </c>
      <c r="V25" s="47">
        <f t="shared" si="6"/>
        <v>54</v>
      </c>
      <c r="W25" s="47">
        <f>暴击、抗暴!G25</f>
        <v>54</v>
      </c>
      <c r="X25" s="73">
        <f t="shared" si="16"/>
        <v>1</v>
      </c>
      <c r="Y25" s="47">
        <f t="shared" si="7"/>
        <v>54</v>
      </c>
      <c r="Z25" s="47">
        <f>暴击、抗暴!B25</f>
        <v>54</v>
      </c>
      <c r="AA25" s="73">
        <f t="shared" si="17"/>
        <v>1</v>
      </c>
      <c r="AB25" s="47">
        <f t="shared" si="8"/>
        <v>54</v>
      </c>
    </row>
    <row r="26" spans="1:28" s="20" customFormat="1">
      <c r="A26" s="46">
        <v>24</v>
      </c>
      <c r="B26" s="47">
        <f>攻击!AS26</f>
        <v>207.2</v>
      </c>
      <c r="C26" s="73">
        <f t="shared" si="9"/>
        <v>0.3</v>
      </c>
      <c r="D26" s="47">
        <f t="shared" si="0"/>
        <v>62.16</v>
      </c>
      <c r="E26" s="47">
        <f>HP!AR26</f>
        <v>2072</v>
      </c>
      <c r="F26" s="73">
        <f t="shared" si="10"/>
        <v>0.5</v>
      </c>
      <c r="G26" s="47">
        <f t="shared" si="1"/>
        <v>1036</v>
      </c>
      <c r="H26" s="47">
        <f>攻击!AS26</f>
        <v>207.2</v>
      </c>
      <c r="I26" s="73">
        <f t="shared" si="11"/>
        <v>5</v>
      </c>
      <c r="J26" s="47">
        <f t="shared" si="2"/>
        <v>1036</v>
      </c>
      <c r="K26" s="47">
        <f>霸气!AH26</f>
        <v>151.19999999999999</v>
      </c>
      <c r="L26" s="73">
        <f t="shared" si="12"/>
        <v>1</v>
      </c>
      <c r="M26" s="47">
        <f t="shared" si="3"/>
        <v>151.19999999999999</v>
      </c>
      <c r="N26" s="47">
        <f>防御!AH26</f>
        <v>151.19999999999999</v>
      </c>
      <c r="O26" s="73">
        <f t="shared" si="13"/>
        <v>1</v>
      </c>
      <c r="P26" s="47">
        <f t="shared" si="4"/>
        <v>151.19999999999999</v>
      </c>
      <c r="Q26" s="47">
        <f>命中、闪避!G26</f>
        <v>44.800000000000004</v>
      </c>
      <c r="R26" s="73">
        <f t="shared" si="14"/>
        <v>1</v>
      </c>
      <c r="S26" s="47">
        <f t="shared" si="5"/>
        <v>44.800000000000004</v>
      </c>
      <c r="T26" s="47">
        <f>命中、闪避!B26</f>
        <v>56</v>
      </c>
      <c r="U26" s="73">
        <f t="shared" si="15"/>
        <v>1</v>
      </c>
      <c r="V26" s="47">
        <f t="shared" si="6"/>
        <v>56</v>
      </c>
      <c r="W26" s="47">
        <f>暴击、抗暴!G26</f>
        <v>56</v>
      </c>
      <c r="X26" s="73">
        <f t="shared" si="16"/>
        <v>1</v>
      </c>
      <c r="Y26" s="47">
        <f t="shared" si="7"/>
        <v>56</v>
      </c>
      <c r="Z26" s="47">
        <f>暴击、抗暴!B26</f>
        <v>56</v>
      </c>
      <c r="AA26" s="73">
        <f t="shared" si="17"/>
        <v>1</v>
      </c>
      <c r="AB26" s="47">
        <f t="shared" si="8"/>
        <v>56</v>
      </c>
    </row>
    <row r="27" spans="1:28" s="20" customFormat="1">
      <c r="A27" s="46">
        <v>25</v>
      </c>
      <c r="B27" s="47">
        <f>攻击!AS27</f>
        <v>214.6</v>
      </c>
      <c r="C27" s="73">
        <f t="shared" si="9"/>
        <v>0.3</v>
      </c>
      <c r="D27" s="47">
        <f t="shared" si="0"/>
        <v>64.38</v>
      </c>
      <c r="E27" s="47">
        <f>HP!AR27</f>
        <v>2146</v>
      </c>
      <c r="F27" s="73">
        <f t="shared" si="10"/>
        <v>0.5</v>
      </c>
      <c r="G27" s="47">
        <f t="shared" si="1"/>
        <v>1073</v>
      </c>
      <c r="H27" s="47">
        <f>攻击!AS27</f>
        <v>214.6</v>
      </c>
      <c r="I27" s="73">
        <f t="shared" si="11"/>
        <v>5</v>
      </c>
      <c r="J27" s="47">
        <f t="shared" si="2"/>
        <v>1073</v>
      </c>
      <c r="K27" s="47">
        <f>霸气!AH27</f>
        <v>156.6</v>
      </c>
      <c r="L27" s="73">
        <f t="shared" si="12"/>
        <v>1</v>
      </c>
      <c r="M27" s="47">
        <f t="shared" si="3"/>
        <v>156.6</v>
      </c>
      <c r="N27" s="47">
        <f>防御!AH27</f>
        <v>156.6</v>
      </c>
      <c r="O27" s="73">
        <f t="shared" si="13"/>
        <v>1</v>
      </c>
      <c r="P27" s="47">
        <f t="shared" si="4"/>
        <v>156.6</v>
      </c>
      <c r="Q27" s="47">
        <f>命中、闪避!G27</f>
        <v>46.400000000000006</v>
      </c>
      <c r="R27" s="73">
        <f t="shared" si="14"/>
        <v>1</v>
      </c>
      <c r="S27" s="47">
        <f t="shared" si="5"/>
        <v>46.400000000000006</v>
      </c>
      <c r="T27" s="47">
        <f>命中、闪避!B27</f>
        <v>58</v>
      </c>
      <c r="U27" s="73">
        <f t="shared" si="15"/>
        <v>1</v>
      </c>
      <c r="V27" s="47">
        <f t="shared" si="6"/>
        <v>58</v>
      </c>
      <c r="W27" s="47">
        <f>暴击、抗暴!G27</f>
        <v>58</v>
      </c>
      <c r="X27" s="73">
        <f t="shared" si="16"/>
        <v>1</v>
      </c>
      <c r="Y27" s="47">
        <f t="shared" si="7"/>
        <v>58</v>
      </c>
      <c r="Z27" s="47">
        <f>暴击、抗暴!B27</f>
        <v>58</v>
      </c>
      <c r="AA27" s="73">
        <f t="shared" si="17"/>
        <v>1</v>
      </c>
      <c r="AB27" s="47">
        <f t="shared" si="8"/>
        <v>58</v>
      </c>
    </row>
    <row r="28" spans="1:28" s="20" customFormat="1">
      <c r="A28" s="46">
        <v>26</v>
      </c>
      <c r="B28" s="47">
        <f>攻击!AS28</f>
        <v>222</v>
      </c>
      <c r="C28" s="73">
        <f t="shared" si="9"/>
        <v>0.3</v>
      </c>
      <c r="D28" s="47">
        <f t="shared" si="0"/>
        <v>66.599999999999994</v>
      </c>
      <c r="E28" s="47">
        <f>HP!AR28</f>
        <v>2220</v>
      </c>
      <c r="F28" s="73">
        <f t="shared" si="10"/>
        <v>0.5</v>
      </c>
      <c r="G28" s="47">
        <f t="shared" si="1"/>
        <v>1110</v>
      </c>
      <c r="H28" s="47">
        <f>攻击!AS28</f>
        <v>222</v>
      </c>
      <c r="I28" s="73">
        <f t="shared" si="11"/>
        <v>5</v>
      </c>
      <c r="J28" s="47">
        <f t="shared" si="2"/>
        <v>1110</v>
      </c>
      <c r="K28" s="47">
        <f>霸气!AH28</f>
        <v>162</v>
      </c>
      <c r="L28" s="73">
        <f t="shared" si="12"/>
        <v>1</v>
      </c>
      <c r="M28" s="47">
        <f t="shared" si="3"/>
        <v>162</v>
      </c>
      <c r="N28" s="47">
        <f>防御!AH28</f>
        <v>162</v>
      </c>
      <c r="O28" s="73">
        <f t="shared" si="13"/>
        <v>1</v>
      </c>
      <c r="P28" s="47">
        <f t="shared" si="4"/>
        <v>162</v>
      </c>
      <c r="Q28" s="47">
        <f>命中、闪避!G28</f>
        <v>48</v>
      </c>
      <c r="R28" s="73">
        <f t="shared" si="14"/>
        <v>1</v>
      </c>
      <c r="S28" s="47">
        <f t="shared" si="5"/>
        <v>48</v>
      </c>
      <c r="T28" s="47">
        <f>命中、闪避!B28</f>
        <v>60</v>
      </c>
      <c r="U28" s="73">
        <f t="shared" si="15"/>
        <v>1</v>
      </c>
      <c r="V28" s="47">
        <f t="shared" si="6"/>
        <v>60</v>
      </c>
      <c r="W28" s="47">
        <f>暴击、抗暴!G28</f>
        <v>60</v>
      </c>
      <c r="X28" s="73">
        <f t="shared" si="16"/>
        <v>1</v>
      </c>
      <c r="Y28" s="47">
        <f t="shared" si="7"/>
        <v>60</v>
      </c>
      <c r="Z28" s="47">
        <f>暴击、抗暴!B28</f>
        <v>60</v>
      </c>
      <c r="AA28" s="73">
        <f t="shared" si="17"/>
        <v>1</v>
      </c>
      <c r="AB28" s="47">
        <f t="shared" si="8"/>
        <v>60</v>
      </c>
    </row>
    <row r="29" spans="1:28" s="20" customFormat="1">
      <c r="A29" s="46">
        <v>27</v>
      </c>
      <c r="B29" s="47">
        <f>攻击!AS29</f>
        <v>229.4</v>
      </c>
      <c r="C29" s="73">
        <f t="shared" si="9"/>
        <v>0.3</v>
      </c>
      <c r="D29" s="47">
        <f t="shared" si="0"/>
        <v>68.819999999999993</v>
      </c>
      <c r="E29" s="47">
        <f>HP!AR29</f>
        <v>2294</v>
      </c>
      <c r="F29" s="73">
        <f t="shared" si="10"/>
        <v>0.5</v>
      </c>
      <c r="G29" s="47">
        <f t="shared" si="1"/>
        <v>1147</v>
      </c>
      <c r="H29" s="47">
        <f>攻击!AS29</f>
        <v>229.4</v>
      </c>
      <c r="I29" s="73">
        <f t="shared" si="11"/>
        <v>5</v>
      </c>
      <c r="J29" s="47">
        <f t="shared" si="2"/>
        <v>1147</v>
      </c>
      <c r="K29" s="47">
        <f>霸气!AH29</f>
        <v>167.4</v>
      </c>
      <c r="L29" s="73">
        <f t="shared" si="12"/>
        <v>1</v>
      </c>
      <c r="M29" s="47">
        <f t="shared" si="3"/>
        <v>167.4</v>
      </c>
      <c r="N29" s="47">
        <f>防御!AH29</f>
        <v>167.4</v>
      </c>
      <c r="O29" s="73">
        <f t="shared" si="13"/>
        <v>1</v>
      </c>
      <c r="P29" s="47">
        <f t="shared" si="4"/>
        <v>167.4</v>
      </c>
      <c r="Q29" s="47">
        <f>命中、闪避!G29</f>
        <v>49.6</v>
      </c>
      <c r="R29" s="73">
        <f t="shared" si="14"/>
        <v>1</v>
      </c>
      <c r="S29" s="47">
        <f t="shared" si="5"/>
        <v>49.6</v>
      </c>
      <c r="T29" s="47">
        <f>命中、闪避!B29</f>
        <v>62</v>
      </c>
      <c r="U29" s="73">
        <f t="shared" si="15"/>
        <v>1</v>
      </c>
      <c r="V29" s="47">
        <f t="shared" si="6"/>
        <v>62</v>
      </c>
      <c r="W29" s="47">
        <f>暴击、抗暴!G29</f>
        <v>62</v>
      </c>
      <c r="X29" s="73">
        <f t="shared" si="16"/>
        <v>1</v>
      </c>
      <c r="Y29" s="47">
        <f t="shared" si="7"/>
        <v>62</v>
      </c>
      <c r="Z29" s="47">
        <f>暴击、抗暴!B29</f>
        <v>62</v>
      </c>
      <c r="AA29" s="73">
        <f t="shared" si="17"/>
        <v>1</v>
      </c>
      <c r="AB29" s="47">
        <f t="shared" si="8"/>
        <v>62</v>
      </c>
    </row>
    <row r="30" spans="1:28" s="20" customFormat="1">
      <c r="A30" s="46">
        <v>28</v>
      </c>
      <c r="B30" s="47">
        <f>攻击!AS30</f>
        <v>236.8</v>
      </c>
      <c r="C30" s="73">
        <f t="shared" si="9"/>
        <v>0.3</v>
      </c>
      <c r="D30" s="47">
        <f t="shared" si="0"/>
        <v>71.040000000000006</v>
      </c>
      <c r="E30" s="47">
        <f>HP!AR30</f>
        <v>2368</v>
      </c>
      <c r="F30" s="73">
        <f t="shared" si="10"/>
        <v>0.5</v>
      </c>
      <c r="G30" s="47">
        <f t="shared" si="1"/>
        <v>1184</v>
      </c>
      <c r="H30" s="47">
        <f>攻击!AS30</f>
        <v>236.8</v>
      </c>
      <c r="I30" s="73">
        <f t="shared" si="11"/>
        <v>5</v>
      </c>
      <c r="J30" s="47">
        <f t="shared" si="2"/>
        <v>1184</v>
      </c>
      <c r="K30" s="47">
        <f>霸气!AH30</f>
        <v>172.8</v>
      </c>
      <c r="L30" s="73">
        <f t="shared" si="12"/>
        <v>1</v>
      </c>
      <c r="M30" s="47">
        <f t="shared" si="3"/>
        <v>172.8</v>
      </c>
      <c r="N30" s="47">
        <f>防御!AH30</f>
        <v>172.8</v>
      </c>
      <c r="O30" s="73">
        <f t="shared" si="13"/>
        <v>1</v>
      </c>
      <c r="P30" s="47">
        <f t="shared" si="4"/>
        <v>172.8</v>
      </c>
      <c r="Q30" s="47">
        <f>命中、闪避!G30</f>
        <v>51.2</v>
      </c>
      <c r="R30" s="73">
        <f t="shared" si="14"/>
        <v>1</v>
      </c>
      <c r="S30" s="47">
        <f t="shared" si="5"/>
        <v>51.2</v>
      </c>
      <c r="T30" s="47">
        <f>命中、闪避!B30</f>
        <v>64</v>
      </c>
      <c r="U30" s="73">
        <f t="shared" si="15"/>
        <v>1</v>
      </c>
      <c r="V30" s="47">
        <f t="shared" si="6"/>
        <v>64</v>
      </c>
      <c r="W30" s="47">
        <f>暴击、抗暴!G30</f>
        <v>64</v>
      </c>
      <c r="X30" s="73">
        <f t="shared" si="16"/>
        <v>1</v>
      </c>
      <c r="Y30" s="47">
        <f t="shared" si="7"/>
        <v>64</v>
      </c>
      <c r="Z30" s="47">
        <f>暴击、抗暴!B30</f>
        <v>64</v>
      </c>
      <c r="AA30" s="73">
        <f t="shared" si="17"/>
        <v>1</v>
      </c>
      <c r="AB30" s="47">
        <f t="shared" si="8"/>
        <v>64</v>
      </c>
    </row>
    <row r="31" spans="1:28" s="20" customFormat="1">
      <c r="A31" s="46">
        <v>29</v>
      </c>
      <c r="B31" s="47">
        <f>攻击!AS31</f>
        <v>244.2</v>
      </c>
      <c r="C31" s="73">
        <f t="shared" si="9"/>
        <v>0.3</v>
      </c>
      <c r="D31" s="47">
        <f t="shared" si="0"/>
        <v>73.259999999999991</v>
      </c>
      <c r="E31" s="47">
        <f>HP!AR31</f>
        <v>2442</v>
      </c>
      <c r="F31" s="73">
        <f t="shared" si="10"/>
        <v>0.5</v>
      </c>
      <c r="G31" s="47">
        <f t="shared" si="1"/>
        <v>1221</v>
      </c>
      <c r="H31" s="47">
        <f>攻击!AS31</f>
        <v>244.2</v>
      </c>
      <c r="I31" s="73">
        <f t="shared" si="11"/>
        <v>5</v>
      </c>
      <c r="J31" s="47">
        <f t="shared" si="2"/>
        <v>1221</v>
      </c>
      <c r="K31" s="47">
        <f>霸气!AH31</f>
        <v>178.2</v>
      </c>
      <c r="L31" s="73">
        <f t="shared" si="12"/>
        <v>1</v>
      </c>
      <c r="M31" s="47">
        <f t="shared" si="3"/>
        <v>178.2</v>
      </c>
      <c r="N31" s="47">
        <f>防御!AH31</f>
        <v>178.2</v>
      </c>
      <c r="O31" s="73">
        <f t="shared" si="13"/>
        <v>1</v>
      </c>
      <c r="P31" s="47">
        <f t="shared" si="4"/>
        <v>178.2</v>
      </c>
      <c r="Q31" s="47">
        <f>命中、闪避!G31</f>
        <v>52.800000000000004</v>
      </c>
      <c r="R31" s="73">
        <f t="shared" si="14"/>
        <v>1</v>
      </c>
      <c r="S31" s="47">
        <f t="shared" si="5"/>
        <v>52.800000000000004</v>
      </c>
      <c r="T31" s="47">
        <f>命中、闪避!B31</f>
        <v>66</v>
      </c>
      <c r="U31" s="73">
        <f t="shared" si="15"/>
        <v>1</v>
      </c>
      <c r="V31" s="47">
        <f t="shared" si="6"/>
        <v>66</v>
      </c>
      <c r="W31" s="47">
        <f>暴击、抗暴!G31</f>
        <v>66</v>
      </c>
      <c r="X31" s="73">
        <f t="shared" si="16"/>
        <v>1</v>
      </c>
      <c r="Y31" s="47">
        <f t="shared" si="7"/>
        <v>66</v>
      </c>
      <c r="Z31" s="47">
        <f>暴击、抗暴!B31</f>
        <v>66</v>
      </c>
      <c r="AA31" s="73">
        <f t="shared" si="17"/>
        <v>1</v>
      </c>
      <c r="AB31" s="47">
        <f t="shared" si="8"/>
        <v>66</v>
      </c>
    </row>
    <row r="32" spans="1:28" s="20" customFormat="1">
      <c r="A32" s="46">
        <v>30</v>
      </c>
      <c r="B32" s="47">
        <f>攻击!AS32</f>
        <v>251.6</v>
      </c>
      <c r="C32" s="73">
        <f t="shared" si="9"/>
        <v>0.3</v>
      </c>
      <c r="D32" s="47">
        <f t="shared" si="0"/>
        <v>75.47999999999999</v>
      </c>
      <c r="E32" s="47">
        <f>HP!AR32</f>
        <v>2516</v>
      </c>
      <c r="F32" s="73">
        <f t="shared" si="10"/>
        <v>0.5</v>
      </c>
      <c r="G32" s="47">
        <f t="shared" si="1"/>
        <v>1258</v>
      </c>
      <c r="H32" s="47">
        <f>攻击!AS32</f>
        <v>251.6</v>
      </c>
      <c r="I32" s="73">
        <f t="shared" si="11"/>
        <v>5</v>
      </c>
      <c r="J32" s="47">
        <f t="shared" si="2"/>
        <v>1258</v>
      </c>
      <c r="K32" s="47">
        <f>霸气!AH32</f>
        <v>183.6</v>
      </c>
      <c r="L32" s="73">
        <f t="shared" si="12"/>
        <v>1</v>
      </c>
      <c r="M32" s="47">
        <f t="shared" si="3"/>
        <v>183.6</v>
      </c>
      <c r="N32" s="47">
        <f>防御!AH32</f>
        <v>183.6</v>
      </c>
      <c r="O32" s="73">
        <f t="shared" si="13"/>
        <v>1</v>
      </c>
      <c r="P32" s="47">
        <f t="shared" si="4"/>
        <v>183.6</v>
      </c>
      <c r="Q32" s="47">
        <f>命中、闪避!G32</f>
        <v>54.400000000000006</v>
      </c>
      <c r="R32" s="73">
        <f t="shared" si="14"/>
        <v>1</v>
      </c>
      <c r="S32" s="47">
        <f t="shared" si="5"/>
        <v>54.400000000000006</v>
      </c>
      <c r="T32" s="47">
        <f>命中、闪避!B32</f>
        <v>68</v>
      </c>
      <c r="U32" s="73">
        <f t="shared" si="15"/>
        <v>1</v>
      </c>
      <c r="V32" s="47">
        <f t="shared" si="6"/>
        <v>68</v>
      </c>
      <c r="W32" s="47">
        <f>暴击、抗暴!G32</f>
        <v>68</v>
      </c>
      <c r="X32" s="73">
        <f t="shared" si="16"/>
        <v>1</v>
      </c>
      <c r="Y32" s="47">
        <f t="shared" si="7"/>
        <v>68</v>
      </c>
      <c r="Z32" s="47">
        <f>暴击、抗暴!B32</f>
        <v>68</v>
      </c>
      <c r="AA32" s="73">
        <f t="shared" si="17"/>
        <v>1</v>
      </c>
      <c r="AB32" s="47">
        <f t="shared" si="8"/>
        <v>68</v>
      </c>
    </row>
    <row r="33" spans="1:28" s="20" customFormat="1">
      <c r="A33" s="46">
        <v>31</v>
      </c>
      <c r="B33" s="47">
        <f>攻击!AS33</f>
        <v>259</v>
      </c>
      <c r="C33" s="73">
        <f t="shared" si="9"/>
        <v>0.3</v>
      </c>
      <c r="D33" s="47">
        <f t="shared" si="0"/>
        <v>77.7</v>
      </c>
      <c r="E33" s="47">
        <f>HP!AR33</f>
        <v>2590</v>
      </c>
      <c r="F33" s="73">
        <f t="shared" si="10"/>
        <v>0.5</v>
      </c>
      <c r="G33" s="47">
        <f t="shared" si="1"/>
        <v>1295</v>
      </c>
      <c r="H33" s="47">
        <f>攻击!AS33</f>
        <v>259</v>
      </c>
      <c r="I33" s="73">
        <f t="shared" si="11"/>
        <v>5</v>
      </c>
      <c r="J33" s="47">
        <f t="shared" si="2"/>
        <v>1295</v>
      </c>
      <c r="K33" s="47">
        <f>霸气!AH33</f>
        <v>189</v>
      </c>
      <c r="L33" s="73">
        <f t="shared" si="12"/>
        <v>1</v>
      </c>
      <c r="M33" s="47">
        <f t="shared" si="3"/>
        <v>189</v>
      </c>
      <c r="N33" s="47">
        <f>防御!AH33</f>
        <v>189</v>
      </c>
      <c r="O33" s="73">
        <f t="shared" si="13"/>
        <v>1</v>
      </c>
      <c r="P33" s="47">
        <f t="shared" si="4"/>
        <v>189</v>
      </c>
      <c r="Q33" s="47">
        <f>命中、闪避!G33</f>
        <v>56</v>
      </c>
      <c r="R33" s="73">
        <f t="shared" si="14"/>
        <v>1</v>
      </c>
      <c r="S33" s="47">
        <f t="shared" si="5"/>
        <v>56</v>
      </c>
      <c r="T33" s="47">
        <f>命中、闪避!B33</f>
        <v>70</v>
      </c>
      <c r="U33" s="73">
        <f t="shared" si="15"/>
        <v>1</v>
      </c>
      <c r="V33" s="47">
        <f t="shared" si="6"/>
        <v>70</v>
      </c>
      <c r="W33" s="47">
        <f>暴击、抗暴!G33</f>
        <v>70</v>
      </c>
      <c r="X33" s="73">
        <f t="shared" si="16"/>
        <v>1</v>
      </c>
      <c r="Y33" s="47">
        <f t="shared" si="7"/>
        <v>70</v>
      </c>
      <c r="Z33" s="47">
        <f>暴击、抗暴!B33</f>
        <v>70</v>
      </c>
      <c r="AA33" s="73">
        <f t="shared" si="17"/>
        <v>1</v>
      </c>
      <c r="AB33" s="47">
        <f t="shared" si="8"/>
        <v>70</v>
      </c>
    </row>
    <row r="34" spans="1:28" s="20" customFormat="1">
      <c r="A34" s="46">
        <v>32</v>
      </c>
      <c r="B34" s="47">
        <f>攻击!AS34</f>
        <v>266.39999999999998</v>
      </c>
      <c r="C34" s="73">
        <f t="shared" si="9"/>
        <v>0.3</v>
      </c>
      <c r="D34" s="47">
        <f t="shared" si="0"/>
        <v>79.919999999999987</v>
      </c>
      <c r="E34" s="47">
        <f>HP!AR34</f>
        <v>2664</v>
      </c>
      <c r="F34" s="73">
        <f t="shared" si="10"/>
        <v>0.5</v>
      </c>
      <c r="G34" s="47">
        <f t="shared" si="1"/>
        <v>1332</v>
      </c>
      <c r="H34" s="47">
        <f>攻击!AS34</f>
        <v>266.39999999999998</v>
      </c>
      <c r="I34" s="73">
        <f t="shared" si="11"/>
        <v>5</v>
      </c>
      <c r="J34" s="47">
        <f t="shared" si="2"/>
        <v>1332</v>
      </c>
      <c r="K34" s="47">
        <f>霸气!AH34</f>
        <v>194.4</v>
      </c>
      <c r="L34" s="73">
        <f t="shared" si="12"/>
        <v>1</v>
      </c>
      <c r="M34" s="47">
        <f t="shared" si="3"/>
        <v>194.4</v>
      </c>
      <c r="N34" s="47">
        <f>防御!AH34</f>
        <v>194.4</v>
      </c>
      <c r="O34" s="73">
        <f t="shared" si="13"/>
        <v>1</v>
      </c>
      <c r="P34" s="47">
        <f t="shared" si="4"/>
        <v>194.4</v>
      </c>
      <c r="Q34" s="47">
        <f>命中、闪避!G34</f>
        <v>57.6</v>
      </c>
      <c r="R34" s="73">
        <f t="shared" si="14"/>
        <v>1</v>
      </c>
      <c r="S34" s="47">
        <f t="shared" si="5"/>
        <v>57.6</v>
      </c>
      <c r="T34" s="47">
        <f>命中、闪避!B34</f>
        <v>72</v>
      </c>
      <c r="U34" s="73">
        <f t="shared" si="15"/>
        <v>1</v>
      </c>
      <c r="V34" s="47">
        <f t="shared" si="6"/>
        <v>72</v>
      </c>
      <c r="W34" s="47">
        <f>暴击、抗暴!G34</f>
        <v>72</v>
      </c>
      <c r="X34" s="73">
        <f t="shared" si="16"/>
        <v>1</v>
      </c>
      <c r="Y34" s="47">
        <f t="shared" si="7"/>
        <v>72</v>
      </c>
      <c r="Z34" s="47">
        <f>暴击、抗暴!B34</f>
        <v>72</v>
      </c>
      <c r="AA34" s="73">
        <f t="shared" si="17"/>
        <v>1</v>
      </c>
      <c r="AB34" s="47">
        <f t="shared" si="8"/>
        <v>72</v>
      </c>
    </row>
    <row r="35" spans="1:28" s="20" customFormat="1">
      <c r="A35" s="46">
        <v>33</v>
      </c>
      <c r="B35" s="47">
        <f>攻击!AS35</f>
        <v>273.8</v>
      </c>
      <c r="C35" s="73">
        <f t="shared" si="9"/>
        <v>0.3</v>
      </c>
      <c r="D35" s="47">
        <f t="shared" si="0"/>
        <v>82.14</v>
      </c>
      <c r="E35" s="47">
        <f>HP!AR35</f>
        <v>2738</v>
      </c>
      <c r="F35" s="73">
        <f t="shared" si="10"/>
        <v>0.5</v>
      </c>
      <c r="G35" s="47">
        <f t="shared" si="1"/>
        <v>1369</v>
      </c>
      <c r="H35" s="47">
        <f>攻击!AS35</f>
        <v>273.8</v>
      </c>
      <c r="I35" s="73">
        <f t="shared" si="11"/>
        <v>5</v>
      </c>
      <c r="J35" s="47">
        <f t="shared" si="2"/>
        <v>1369</v>
      </c>
      <c r="K35" s="47">
        <f>霸气!AH35</f>
        <v>199.8</v>
      </c>
      <c r="L35" s="73">
        <f t="shared" si="12"/>
        <v>1</v>
      </c>
      <c r="M35" s="47">
        <f t="shared" si="3"/>
        <v>199.8</v>
      </c>
      <c r="N35" s="47">
        <f>防御!AH35</f>
        <v>199.8</v>
      </c>
      <c r="O35" s="73">
        <f t="shared" si="13"/>
        <v>1</v>
      </c>
      <c r="P35" s="47">
        <f t="shared" si="4"/>
        <v>199.8</v>
      </c>
      <c r="Q35" s="47">
        <f>命中、闪避!G35</f>
        <v>59.2</v>
      </c>
      <c r="R35" s="73">
        <f t="shared" si="14"/>
        <v>1</v>
      </c>
      <c r="S35" s="47">
        <f t="shared" si="5"/>
        <v>59.2</v>
      </c>
      <c r="T35" s="47">
        <f>命中、闪避!B35</f>
        <v>74</v>
      </c>
      <c r="U35" s="73">
        <f t="shared" si="15"/>
        <v>1</v>
      </c>
      <c r="V35" s="47">
        <f t="shared" si="6"/>
        <v>74</v>
      </c>
      <c r="W35" s="47">
        <f>暴击、抗暴!G35</f>
        <v>74</v>
      </c>
      <c r="X35" s="73">
        <f t="shared" si="16"/>
        <v>1</v>
      </c>
      <c r="Y35" s="47">
        <f t="shared" si="7"/>
        <v>74</v>
      </c>
      <c r="Z35" s="47">
        <f>暴击、抗暴!B35</f>
        <v>74</v>
      </c>
      <c r="AA35" s="73">
        <f t="shared" si="17"/>
        <v>1</v>
      </c>
      <c r="AB35" s="47">
        <f t="shared" si="8"/>
        <v>74</v>
      </c>
    </row>
    <row r="36" spans="1:28" s="20" customFormat="1">
      <c r="A36" s="46">
        <v>34</v>
      </c>
      <c r="B36" s="47">
        <f>攻击!AS36</f>
        <v>281.2</v>
      </c>
      <c r="C36" s="73">
        <f t="shared" si="9"/>
        <v>0.3</v>
      </c>
      <c r="D36" s="47">
        <f t="shared" si="0"/>
        <v>84.36</v>
      </c>
      <c r="E36" s="47">
        <f>HP!AR36</f>
        <v>2812</v>
      </c>
      <c r="F36" s="73">
        <f t="shared" si="10"/>
        <v>0.5</v>
      </c>
      <c r="G36" s="47">
        <f t="shared" si="1"/>
        <v>1406</v>
      </c>
      <c r="H36" s="47">
        <f>攻击!AS36</f>
        <v>281.2</v>
      </c>
      <c r="I36" s="73">
        <f t="shared" si="11"/>
        <v>5</v>
      </c>
      <c r="J36" s="47">
        <f t="shared" si="2"/>
        <v>1406</v>
      </c>
      <c r="K36" s="47">
        <f>霸气!AH36</f>
        <v>205.2</v>
      </c>
      <c r="L36" s="73">
        <f t="shared" si="12"/>
        <v>1</v>
      </c>
      <c r="M36" s="47">
        <f t="shared" si="3"/>
        <v>205.2</v>
      </c>
      <c r="N36" s="47">
        <f>防御!AH36</f>
        <v>205.2</v>
      </c>
      <c r="O36" s="73">
        <f t="shared" si="13"/>
        <v>1</v>
      </c>
      <c r="P36" s="47">
        <f t="shared" si="4"/>
        <v>205.2</v>
      </c>
      <c r="Q36" s="47">
        <f>命中、闪避!G36</f>
        <v>60.800000000000004</v>
      </c>
      <c r="R36" s="73">
        <f t="shared" si="14"/>
        <v>1</v>
      </c>
      <c r="S36" s="47">
        <f t="shared" si="5"/>
        <v>60.800000000000004</v>
      </c>
      <c r="T36" s="47">
        <f>命中、闪避!B36</f>
        <v>76</v>
      </c>
      <c r="U36" s="73">
        <f t="shared" si="15"/>
        <v>1</v>
      </c>
      <c r="V36" s="47">
        <f t="shared" si="6"/>
        <v>76</v>
      </c>
      <c r="W36" s="47">
        <f>暴击、抗暴!G36</f>
        <v>76</v>
      </c>
      <c r="X36" s="73">
        <f t="shared" si="16"/>
        <v>1</v>
      </c>
      <c r="Y36" s="47">
        <f t="shared" si="7"/>
        <v>76</v>
      </c>
      <c r="Z36" s="47">
        <f>暴击、抗暴!B36</f>
        <v>76</v>
      </c>
      <c r="AA36" s="73">
        <f t="shared" si="17"/>
        <v>1</v>
      </c>
      <c r="AB36" s="47">
        <f t="shared" si="8"/>
        <v>76</v>
      </c>
    </row>
    <row r="37" spans="1:28" s="20" customFormat="1">
      <c r="A37" s="46">
        <v>35</v>
      </c>
      <c r="B37" s="47">
        <f>攻击!AS37</f>
        <v>288.60000000000002</v>
      </c>
      <c r="C37" s="73">
        <f t="shared" si="9"/>
        <v>0.3</v>
      </c>
      <c r="D37" s="47">
        <f t="shared" si="0"/>
        <v>86.58</v>
      </c>
      <c r="E37" s="47">
        <f>HP!AR37</f>
        <v>2886</v>
      </c>
      <c r="F37" s="73">
        <f t="shared" si="10"/>
        <v>0.5</v>
      </c>
      <c r="G37" s="47">
        <f t="shared" si="1"/>
        <v>1443</v>
      </c>
      <c r="H37" s="47">
        <f>攻击!AS37</f>
        <v>288.60000000000002</v>
      </c>
      <c r="I37" s="73">
        <f t="shared" si="11"/>
        <v>5</v>
      </c>
      <c r="J37" s="47">
        <f t="shared" si="2"/>
        <v>1443</v>
      </c>
      <c r="K37" s="47">
        <f>霸气!AH37</f>
        <v>210.6</v>
      </c>
      <c r="L37" s="73">
        <f t="shared" si="12"/>
        <v>1</v>
      </c>
      <c r="M37" s="47">
        <f t="shared" si="3"/>
        <v>210.6</v>
      </c>
      <c r="N37" s="47">
        <f>防御!AH37</f>
        <v>210.6</v>
      </c>
      <c r="O37" s="73">
        <f t="shared" si="13"/>
        <v>1</v>
      </c>
      <c r="P37" s="47">
        <f t="shared" si="4"/>
        <v>210.6</v>
      </c>
      <c r="Q37" s="47">
        <f>命中、闪避!G37</f>
        <v>62.400000000000006</v>
      </c>
      <c r="R37" s="73">
        <f t="shared" si="14"/>
        <v>1</v>
      </c>
      <c r="S37" s="47">
        <f t="shared" si="5"/>
        <v>62.400000000000006</v>
      </c>
      <c r="T37" s="47">
        <f>命中、闪避!B37</f>
        <v>78</v>
      </c>
      <c r="U37" s="73">
        <f t="shared" si="15"/>
        <v>1</v>
      </c>
      <c r="V37" s="47">
        <f t="shared" si="6"/>
        <v>78</v>
      </c>
      <c r="W37" s="47">
        <f>暴击、抗暴!G37</f>
        <v>78</v>
      </c>
      <c r="X37" s="73">
        <f t="shared" si="16"/>
        <v>1</v>
      </c>
      <c r="Y37" s="47">
        <f t="shared" si="7"/>
        <v>78</v>
      </c>
      <c r="Z37" s="47">
        <f>暴击、抗暴!B37</f>
        <v>78</v>
      </c>
      <c r="AA37" s="73">
        <f t="shared" si="17"/>
        <v>1</v>
      </c>
      <c r="AB37" s="47">
        <f t="shared" si="8"/>
        <v>78</v>
      </c>
    </row>
    <row r="38" spans="1:28" s="20" customFormat="1">
      <c r="A38" s="46">
        <v>36</v>
      </c>
      <c r="B38" s="47">
        <f>攻击!AS38</f>
        <v>296</v>
      </c>
      <c r="C38" s="73">
        <f t="shared" si="9"/>
        <v>0.3</v>
      </c>
      <c r="D38" s="47">
        <f t="shared" si="0"/>
        <v>88.8</v>
      </c>
      <c r="E38" s="47">
        <f>HP!AR38</f>
        <v>2960</v>
      </c>
      <c r="F38" s="73">
        <f t="shared" si="10"/>
        <v>0.5</v>
      </c>
      <c r="G38" s="47">
        <f t="shared" si="1"/>
        <v>1480</v>
      </c>
      <c r="H38" s="47">
        <f>攻击!AS38</f>
        <v>296</v>
      </c>
      <c r="I38" s="73">
        <f t="shared" si="11"/>
        <v>5</v>
      </c>
      <c r="J38" s="47">
        <f t="shared" si="2"/>
        <v>1480</v>
      </c>
      <c r="K38" s="47">
        <f>霸气!AH38</f>
        <v>216</v>
      </c>
      <c r="L38" s="73">
        <f t="shared" si="12"/>
        <v>1</v>
      </c>
      <c r="M38" s="47">
        <f t="shared" si="3"/>
        <v>216</v>
      </c>
      <c r="N38" s="47">
        <f>防御!AH38</f>
        <v>216</v>
      </c>
      <c r="O38" s="73">
        <f t="shared" si="13"/>
        <v>1</v>
      </c>
      <c r="P38" s="47">
        <f t="shared" si="4"/>
        <v>216</v>
      </c>
      <c r="Q38" s="47">
        <f>命中、闪避!G38</f>
        <v>64</v>
      </c>
      <c r="R38" s="73">
        <f t="shared" si="14"/>
        <v>1</v>
      </c>
      <c r="S38" s="47">
        <f t="shared" si="5"/>
        <v>64</v>
      </c>
      <c r="T38" s="47">
        <f>命中、闪避!B38</f>
        <v>80</v>
      </c>
      <c r="U38" s="73">
        <f t="shared" si="15"/>
        <v>1</v>
      </c>
      <c r="V38" s="47">
        <f t="shared" si="6"/>
        <v>80</v>
      </c>
      <c r="W38" s="47">
        <f>暴击、抗暴!G38</f>
        <v>80</v>
      </c>
      <c r="X38" s="73">
        <f t="shared" si="16"/>
        <v>1</v>
      </c>
      <c r="Y38" s="47">
        <f t="shared" si="7"/>
        <v>80</v>
      </c>
      <c r="Z38" s="47">
        <f>暴击、抗暴!B38</f>
        <v>80</v>
      </c>
      <c r="AA38" s="73">
        <f t="shared" si="17"/>
        <v>1</v>
      </c>
      <c r="AB38" s="47">
        <f t="shared" si="8"/>
        <v>80</v>
      </c>
    </row>
    <row r="39" spans="1:28" s="20" customFormat="1">
      <c r="A39" s="46">
        <v>37</v>
      </c>
      <c r="B39" s="47">
        <f>攻击!AS39</f>
        <v>303.39999999999998</v>
      </c>
      <c r="C39" s="73">
        <f t="shared" si="9"/>
        <v>0.3</v>
      </c>
      <c r="D39" s="47">
        <f t="shared" si="0"/>
        <v>91.02</v>
      </c>
      <c r="E39" s="47">
        <f>HP!AR39</f>
        <v>3034</v>
      </c>
      <c r="F39" s="73">
        <f t="shared" si="10"/>
        <v>0.5</v>
      </c>
      <c r="G39" s="47">
        <f t="shared" si="1"/>
        <v>1517</v>
      </c>
      <c r="H39" s="47">
        <f>攻击!AS39</f>
        <v>303.39999999999998</v>
      </c>
      <c r="I39" s="73">
        <f t="shared" si="11"/>
        <v>5</v>
      </c>
      <c r="J39" s="47">
        <f t="shared" si="2"/>
        <v>1517</v>
      </c>
      <c r="K39" s="47">
        <f>霸气!AH39</f>
        <v>221.4</v>
      </c>
      <c r="L39" s="73">
        <f t="shared" si="12"/>
        <v>1</v>
      </c>
      <c r="M39" s="47">
        <f t="shared" si="3"/>
        <v>221.4</v>
      </c>
      <c r="N39" s="47">
        <f>防御!AH39</f>
        <v>221.4</v>
      </c>
      <c r="O39" s="73">
        <f t="shared" si="13"/>
        <v>1</v>
      </c>
      <c r="P39" s="47">
        <f t="shared" si="4"/>
        <v>221.4</v>
      </c>
      <c r="Q39" s="47">
        <f>命中、闪避!G39</f>
        <v>65.600000000000009</v>
      </c>
      <c r="R39" s="73">
        <f t="shared" si="14"/>
        <v>1</v>
      </c>
      <c r="S39" s="47">
        <f t="shared" si="5"/>
        <v>65.600000000000009</v>
      </c>
      <c r="T39" s="47">
        <f>命中、闪避!B39</f>
        <v>82</v>
      </c>
      <c r="U39" s="73">
        <f t="shared" si="15"/>
        <v>1</v>
      </c>
      <c r="V39" s="47">
        <f t="shared" si="6"/>
        <v>82</v>
      </c>
      <c r="W39" s="47">
        <f>暴击、抗暴!G39</f>
        <v>82</v>
      </c>
      <c r="X39" s="73">
        <f t="shared" si="16"/>
        <v>1</v>
      </c>
      <c r="Y39" s="47">
        <f t="shared" si="7"/>
        <v>82</v>
      </c>
      <c r="Z39" s="47">
        <f>暴击、抗暴!B39</f>
        <v>82</v>
      </c>
      <c r="AA39" s="73">
        <f t="shared" si="17"/>
        <v>1</v>
      </c>
      <c r="AB39" s="47">
        <f t="shared" si="8"/>
        <v>82</v>
      </c>
    </row>
    <row r="40" spans="1:28" s="20" customFormat="1">
      <c r="A40" s="46">
        <v>38</v>
      </c>
      <c r="B40" s="47">
        <f>攻击!AS40</f>
        <v>310.8</v>
      </c>
      <c r="C40" s="73">
        <f t="shared" si="9"/>
        <v>0.3</v>
      </c>
      <c r="D40" s="47">
        <f t="shared" si="0"/>
        <v>93.24</v>
      </c>
      <c r="E40" s="47">
        <f>HP!AR40</f>
        <v>3108</v>
      </c>
      <c r="F40" s="73">
        <f t="shared" si="10"/>
        <v>0.5</v>
      </c>
      <c r="G40" s="47">
        <f t="shared" si="1"/>
        <v>1554</v>
      </c>
      <c r="H40" s="47">
        <f>攻击!AS40</f>
        <v>310.8</v>
      </c>
      <c r="I40" s="73">
        <f t="shared" si="11"/>
        <v>5</v>
      </c>
      <c r="J40" s="47">
        <f t="shared" si="2"/>
        <v>1554</v>
      </c>
      <c r="K40" s="47">
        <f>霸气!AH40</f>
        <v>226.8</v>
      </c>
      <c r="L40" s="73">
        <f t="shared" si="12"/>
        <v>1</v>
      </c>
      <c r="M40" s="47">
        <f t="shared" si="3"/>
        <v>226.8</v>
      </c>
      <c r="N40" s="47">
        <f>防御!AH40</f>
        <v>226.8</v>
      </c>
      <c r="O40" s="73">
        <f t="shared" si="13"/>
        <v>1</v>
      </c>
      <c r="P40" s="47">
        <f t="shared" si="4"/>
        <v>226.8</v>
      </c>
      <c r="Q40" s="47">
        <f>命中、闪避!G40</f>
        <v>67.2</v>
      </c>
      <c r="R40" s="73">
        <f t="shared" si="14"/>
        <v>1</v>
      </c>
      <c r="S40" s="47">
        <f t="shared" si="5"/>
        <v>67.2</v>
      </c>
      <c r="T40" s="47">
        <f>命中、闪避!B40</f>
        <v>84</v>
      </c>
      <c r="U40" s="73">
        <f t="shared" si="15"/>
        <v>1</v>
      </c>
      <c r="V40" s="47">
        <f t="shared" si="6"/>
        <v>84</v>
      </c>
      <c r="W40" s="47">
        <f>暴击、抗暴!G40</f>
        <v>84</v>
      </c>
      <c r="X40" s="73">
        <f t="shared" si="16"/>
        <v>1</v>
      </c>
      <c r="Y40" s="47">
        <f t="shared" si="7"/>
        <v>84</v>
      </c>
      <c r="Z40" s="47">
        <f>暴击、抗暴!B40</f>
        <v>84</v>
      </c>
      <c r="AA40" s="73">
        <f t="shared" si="17"/>
        <v>1</v>
      </c>
      <c r="AB40" s="47">
        <f t="shared" si="8"/>
        <v>84</v>
      </c>
    </row>
    <row r="41" spans="1:28" s="20" customFormat="1">
      <c r="A41" s="46">
        <v>39</v>
      </c>
      <c r="B41" s="47">
        <f>攻击!AS41</f>
        <v>318.2</v>
      </c>
      <c r="C41" s="73">
        <f t="shared" si="9"/>
        <v>0.3</v>
      </c>
      <c r="D41" s="47">
        <f t="shared" si="0"/>
        <v>95.46</v>
      </c>
      <c r="E41" s="47">
        <f>HP!AR41</f>
        <v>3182</v>
      </c>
      <c r="F41" s="73">
        <f t="shared" si="10"/>
        <v>0.5</v>
      </c>
      <c r="G41" s="47">
        <f t="shared" si="1"/>
        <v>1591</v>
      </c>
      <c r="H41" s="47">
        <f>攻击!AS41</f>
        <v>318.2</v>
      </c>
      <c r="I41" s="73">
        <f t="shared" si="11"/>
        <v>5</v>
      </c>
      <c r="J41" s="47">
        <f t="shared" si="2"/>
        <v>1591</v>
      </c>
      <c r="K41" s="47">
        <f>霸气!AH41</f>
        <v>232.2</v>
      </c>
      <c r="L41" s="73">
        <f t="shared" si="12"/>
        <v>1</v>
      </c>
      <c r="M41" s="47">
        <f t="shared" si="3"/>
        <v>232.2</v>
      </c>
      <c r="N41" s="47">
        <f>防御!AH41</f>
        <v>232.2</v>
      </c>
      <c r="O41" s="73">
        <f t="shared" si="13"/>
        <v>1</v>
      </c>
      <c r="P41" s="47">
        <f t="shared" si="4"/>
        <v>232.2</v>
      </c>
      <c r="Q41" s="47">
        <f>命中、闪避!G41</f>
        <v>68.8</v>
      </c>
      <c r="R41" s="73">
        <f t="shared" si="14"/>
        <v>1</v>
      </c>
      <c r="S41" s="47">
        <f t="shared" si="5"/>
        <v>68.8</v>
      </c>
      <c r="T41" s="47">
        <f>命中、闪避!B41</f>
        <v>86</v>
      </c>
      <c r="U41" s="73">
        <f t="shared" si="15"/>
        <v>1</v>
      </c>
      <c r="V41" s="47">
        <f t="shared" si="6"/>
        <v>86</v>
      </c>
      <c r="W41" s="47">
        <f>暴击、抗暴!G41</f>
        <v>86</v>
      </c>
      <c r="X41" s="73">
        <f t="shared" si="16"/>
        <v>1</v>
      </c>
      <c r="Y41" s="47">
        <f t="shared" si="7"/>
        <v>86</v>
      </c>
      <c r="Z41" s="47">
        <f>暴击、抗暴!B41</f>
        <v>86</v>
      </c>
      <c r="AA41" s="73">
        <f t="shared" si="17"/>
        <v>1</v>
      </c>
      <c r="AB41" s="47">
        <f t="shared" si="8"/>
        <v>86</v>
      </c>
    </row>
    <row r="42" spans="1:28" s="20" customFormat="1">
      <c r="A42" s="46">
        <v>40</v>
      </c>
      <c r="B42" s="47">
        <f>攻击!AS42</f>
        <v>325.60000000000002</v>
      </c>
      <c r="C42" s="73">
        <f t="shared" si="9"/>
        <v>0.3</v>
      </c>
      <c r="D42" s="47">
        <f t="shared" si="0"/>
        <v>97.68</v>
      </c>
      <c r="E42" s="47">
        <f>HP!AR42</f>
        <v>3256</v>
      </c>
      <c r="F42" s="73">
        <f t="shared" si="10"/>
        <v>0.5</v>
      </c>
      <c r="G42" s="47">
        <f t="shared" si="1"/>
        <v>1628</v>
      </c>
      <c r="H42" s="47">
        <f>攻击!AS42</f>
        <v>325.60000000000002</v>
      </c>
      <c r="I42" s="73">
        <f t="shared" si="11"/>
        <v>5</v>
      </c>
      <c r="J42" s="47">
        <f t="shared" si="2"/>
        <v>1628</v>
      </c>
      <c r="K42" s="47">
        <f>霸气!AH42</f>
        <v>237.6</v>
      </c>
      <c r="L42" s="73">
        <f t="shared" si="12"/>
        <v>1</v>
      </c>
      <c r="M42" s="47">
        <f t="shared" si="3"/>
        <v>237.6</v>
      </c>
      <c r="N42" s="47">
        <f>防御!AH42</f>
        <v>237.6</v>
      </c>
      <c r="O42" s="73">
        <f t="shared" si="13"/>
        <v>1</v>
      </c>
      <c r="P42" s="47">
        <f t="shared" si="4"/>
        <v>237.6</v>
      </c>
      <c r="Q42" s="47">
        <f>命中、闪避!G42</f>
        <v>70.400000000000006</v>
      </c>
      <c r="R42" s="73">
        <f t="shared" si="14"/>
        <v>1</v>
      </c>
      <c r="S42" s="47">
        <f t="shared" si="5"/>
        <v>70.400000000000006</v>
      </c>
      <c r="T42" s="47">
        <f>命中、闪避!B42</f>
        <v>88</v>
      </c>
      <c r="U42" s="73">
        <f t="shared" si="15"/>
        <v>1</v>
      </c>
      <c r="V42" s="47">
        <f t="shared" si="6"/>
        <v>88</v>
      </c>
      <c r="W42" s="47">
        <f>暴击、抗暴!G42</f>
        <v>88</v>
      </c>
      <c r="X42" s="73">
        <f t="shared" si="16"/>
        <v>1</v>
      </c>
      <c r="Y42" s="47">
        <f t="shared" si="7"/>
        <v>88</v>
      </c>
      <c r="Z42" s="47">
        <f>暴击、抗暴!B42</f>
        <v>88</v>
      </c>
      <c r="AA42" s="73">
        <f t="shared" si="17"/>
        <v>1</v>
      </c>
      <c r="AB42" s="47">
        <f t="shared" si="8"/>
        <v>88</v>
      </c>
    </row>
    <row r="43" spans="1:28" s="20" customFormat="1">
      <c r="A43" s="46">
        <v>41</v>
      </c>
      <c r="B43" s="47">
        <f>攻击!AS43</f>
        <v>333</v>
      </c>
      <c r="C43" s="73">
        <f t="shared" si="9"/>
        <v>0.3</v>
      </c>
      <c r="D43" s="47">
        <f t="shared" si="0"/>
        <v>99.899999999999991</v>
      </c>
      <c r="E43" s="47">
        <f>HP!AR43</f>
        <v>3330</v>
      </c>
      <c r="F43" s="73">
        <f t="shared" si="10"/>
        <v>0.5</v>
      </c>
      <c r="G43" s="47">
        <f t="shared" si="1"/>
        <v>1665</v>
      </c>
      <c r="H43" s="47">
        <f>攻击!AS43</f>
        <v>333</v>
      </c>
      <c r="I43" s="73">
        <f t="shared" si="11"/>
        <v>5</v>
      </c>
      <c r="J43" s="47">
        <f t="shared" si="2"/>
        <v>1665</v>
      </c>
      <c r="K43" s="47">
        <f>霸气!AH43</f>
        <v>243</v>
      </c>
      <c r="L43" s="73">
        <f t="shared" si="12"/>
        <v>1</v>
      </c>
      <c r="M43" s="47">
        <f t="shared" si="3"/>
        <v>243</v>
      </c>
      <c r="N43" s="47">
        <f>防御!AH43</f>
        <v>243</v>
      </c>
      <c r="O43" s="73">
        <f t="shared" si="13"/>
        <v>1</v>
      </c>
      <c r="P43" s="47">
        <f t="shared" si="4"/>
        <v>243</v>
      </c>
      <c r="Q43" s="47">
        <f>命中、闪避!G43</f>
        <v>72</v>
      </c>
      <c r="R43" s="73">
        <f t="shared" si="14"/>
        <v>1</v>
      </c>
      <c r="S43" s="47">
        <f t="shared" si="5"/>
        <v>72</v>
      </c>
      <c r="T43" s="47">
        <f>命中、闪避!B43</f>
        <v>90</v>
      </c>
      <c r="U43" s="73">
        <f t="shared" si="15"/>
        <v>1</v>
      </c>
      <c r="V43" s="47">
        <f t="shared" si="6"/>
        <v>90</v>
      </c>
      <c r="W43" s="47">
        <f>暴击、抗暴!G43</f>
        <v>90</v>
      </c>
      <c r="X43" s="73">
        <f t="shared" si="16"/>
        <v>1</v>
      </c>
      <c r="Y43" s="47">
        <f t="shared" si="7"/>
        <v>90</v>
      </c>
      <c r="Z43" s="47">
        <f>暴击、抗暴!B43</f>
        <v>90</v>
      </c>
      <c r="AA43" s="73">
        <f t="shared" si="17"/>
        <v>1</v>
      </c>
      <c r="AB43" s="47">
        <f t="shared" si="8"/>
        <v>90</v>
      </c>
    </row>
    <row r="44" spans="1:28" s="20" customFormat="1">
      <c r="A44" s="46">
        <v>42</v>
      </c>
      <c r="B44" s="47">
        <f>攻击!AS44</f>
        <v>340.4</v>
      </c>
      <c r="C44" s="73">
        <f t="shared" si="9"/>
        <v>0.3</v>
      </c>
      <c r="D44" s="47">
        <f t="shared" si="0"/>
        <v>102.11999999999999</v>
      </c>
      <c r="E44" s="47">
        <f>HP!AR44</f>
        <v>3404</v>
      </c>
      <c r="F44" s="73">
        <f t="shared" si="10"/>
        <v>0.5</v>
      </c>
      <c r="G44" s="47">
        <f t="shared" si="1"/>
        <v>1702</v>
      </c>
      <c r="H44" s="47">
        <f>攻击!AS44</f>
        <v>340.4</v>
      </c>
      <c r="I44" s="73">
        <f t="shared" si="11"/>
        <v>5</v>
      </c>
      <c r="J44" s="47">
        <f t="shared" si="2"/>
        <v>1702</v>
      </c>
      <c r="K44" s="47">
        <f>霸气!AH44</f>
        <v>248.4</v>
      </c>
      <c r="L44" s="73">
        <f t="shared" si="12"/>
        <v>1</v>
      </c>
      <c r="M44" s="47">
        <f t="shared" si="3"/>
        <v>248.4</v>
      </c>
      <c r="N44" s="47">
        <f>防御!AH44</f>
        <v>248.4</v>
      </c>
      <c r="O44" s="73">
        <f t="shared" si="13"/>
        <v>1</v>
      </c>
      <c r="P44" s="47">
        <f t="shared" si="4"/>
        <v>248.4</v>
      </c>
      <c r="Q44" s="47">
        <f>命中、闪避!G44</f>
        <v>73.600000000000009</v>
      </c>
      <c r="R44" s="73">
        <f t="shared" si="14"/>
        <v>1</v>
      </c>
      <c r="S44" s="47">
        <f t="shared" si="5"/>
        <v>73.600000000000009</v>
      </c>
      <c r="T44" s="47">
        <f>命中、闪避!B44</f>
        <v>92</v>
      </c>
      <c r="U44" s="73">
        <f t="shared" si="15"/>
        <v>1</v>
      </c>
      <c r="V44" s="47">
        <f t="shared" si="6"/>
        <v>92</v>
      </c>
      <c r="W44" s="47">
        <f>暴击、抗暴!G44</f>
        <v>92</v>
      </c>
      <c r="X44" s="73">
        <f t="shared" si="16"/>
        <v>1</v>
      </c>
      <c r="Y44" s="47">
        <f t="shared" si="7"/>
        <v>92</v>
      </c>
      <c r="Z44" s="47">
        <f>暴击、抗暴!B44</f>
        <v>92</v>
      </c>
      <c r="AA44" s="73">
        <f t="shared" si="17"/>
        <v>1</v>
      </c>
      <c r="AB44" s="47">
        <f t="shared" si="8"/>
        <v>92</v>
      </c>
    </row>
    <row r="45" spans="1:28" s="20" customFormat="1">
      <c r="A45" s="46">
        <v>43</v>
      </c>
      <c r="B45" s="47">
        <f>攻击!AS45</f>
        <v>347.8</v>
      </c>
      <c r="C45" s="73">
        <f t="shared" si="9"/>
        <v>0.3</v>
      </c>
      <c r="D45" s="47">
        <f t="shared" si="0"/>
        <v>104.34</v>
      </c>
      <c r="E45" s="47">
        <f>HP!AR45</f>
        <v>3478</v>
      </c>
      <c r="F45" s="73">
        <f t="shared" si="10"/>
        <v>0.5</v>
      </c>
      <c r="G45" s="47">
        <f t="shared" si="1"/>
        <v>1739</v>
      </c>
      <c r="H45" s="47">
        <f>攻击!AS45</f>
        <v>347.8</v>
      </c>
      <c r="I45" s="73">
        <f t="shared" si="11"/>
        <v>5</v>
      </c>
      <c r="J45" s="47">
        <f t="shared" si="2"/>
        <v>1739</v>
      </c>
      <c r="K45" s="47">
        <f>霸气!AH45</f>
        <v>253.8</v>
      </c>
      <c r="L45" s="73">
        <f t="shared" si="12"/>
        <v>1</v>
      </c>
      <c r="M45" s="47">
        <f t="shared" si="3"/>
        <v>253.8</v>
      </c>
      <c r="N45" s="47">
        <f>防御!AH45</f>
        <v>253.8</v>
      </c>
      <c r="O45" s="73">
        <f t="shared" si="13"/>
        <v>1</v>
      </c>
      <c r="P45" s="47">
        <f t="shared" si="4"/>
        <v>253.8</v>
      </c>
      <c r="Q45" s="47">
        <f>命中、闪避!G45</f>
        <v>75.2</v>
      </c>
      <c r="R45" s="73">
        <f t="shared" si="14"/>
        <v>1</v>
      </c>
      <c r="S45" s="47">
        <f t="shared" si="5"/>
        <v>75.2</v>
      </c>
      <c r="T45" s="47">
        <f>命中、闪避!B45</f>
        <v>94</v>
      </c>
      <c r="U45" s="73">
        <f t="shared" si="15"/>
        <v>1</v>
      </c>
      <c r="V45" s="47">
        <f t="shared" si="6"/>
        <v>94</v>
      </c>
      <c r="W45" s="47">
        <f>暴击、抗暴!G45</f>
        <v>94</v>
      </c>
      <c r="X45" s="73">
        <f t="shared" si="16"/>
        <v>1</v>
      </c>
      <c r="Y45" s="47">
        <f t="shared" si="7"/>
        <v>94</v>
      </c>
      <c r="Z45" s="47">
        <f>暴击、抗暴!B45</f>
        <v>94</v>
      </c>
      <c r="AA45" s="73">
        <f t="shared" si="17"/>
        <v>1</v>
      </c>
      <c r="AB45" s="47">
        <f t="shared" si="8"/>
        <v>94</v>
      </c>
    </row>
    <row r="46" spans="1:28" s="20" customFormat="1">
      <c r="A46" s="46">
        <v>44</v>
      </c>
      <c r="B46" s="47">
        <f>攻击!AS46</f>
        <v>355.2</v>
      </c>
      <c r="C46" s="73">
        <f t="shared" si="9"/>
        <v>0.3</v>
      </c>
      <c r="D46" s="47">
        <f t="shared" si="0"/>
        <v>106.55999999999999</v>
      </c>
      <c r="E46" s="47">
        <f>HP!AR46</f>
        <v>3552</v>
      </c>
      <c r="F46" s="73">
        <f t="shared" si="10"/>
        <v>0.5</v>
      </c>
      <c r="G46" s="47">
        <f t="shared" si="1"/>
        <v>1776</v>
      </c>
      <c r="H46" s="47">
        <f>攻击!AS46</f>
        <v>355.2</v>
      </c>
      <c r="I46" s="73">
        <f t="shared" si="11"/>
        <v>5</v>
      </c>
      <c r="J46" s="47">
        <f t="shared" si="2"/>
        <v>1776</v>
      </c>
      <c r="K46" s="47">
        <f>霸气!AH46</f>
        <v>259.2</v>
      </c>
      <c r="L46" s="73">
        <f t="shared" si="12"/>
        <v>1</v>
      </c>
      <c r="M46" s="47">
        <f t="shared" si="3"/>
        <v>259.2</v>
      </c>
      <c r="N46" s="47">
        <f>防御!AH46</f>
        <v>259.2</v>
      </c>
      <c r="O46" s="73">
        <f t="shared" si="13"/>
        <v>1</v>
      </c>
      <c r="P46" s="47">
        <f t="shared" si="4"/>
        <v>259.2</v>
      </c>
      <c r="Q46" s="47">
        <f>命中、闪避!G46</f>
        <v>76.800000000000011</v>
      </c>
      <c r="R46" s="73">
        <f t="shared" si="14"/>
        <v>1</v>
      </c>
      <c r="S46" s="47">
        <f t="shared" si="5"/>
        <v>76.800000000000011</v>
      </c>
      <c r="T46" s="47">
        <f>命中、闪避!B46</f>
        <v>96</v>
      </c>
      <c r="U46" s="73">
        <f t="shared" si="15"/>
        <v>1</v>
      </c>
      <c r="V46" s="47">
        <f t="shared" si="6"/>
        <v>96</v>
      </c>
      <c r="W46" s="47">
        <f>暴击、抗暴!G46</f>
        <v>96</v>
      </c>
      <c r="X46" s="73">
        <f t="shared" si="16"/>
        <v>1</v>
      </c>
      <c r="Y46" s="47">
        <f t="shared" si="7"/>
        <v>96</v>
      </c>
      <c r="Z46" s="47">
        <f>暴击、抗暴!B46</f>
        <v>96</v>
      </c>
      <c r="AA46" s="73">
        <f t="shared" si="17"/>
        <v>1</v>
      </c>
      <c r="AB46" s="47">
        <f t="shared" si="8"/>
        <v>96</v>
      </c>
    </row>
    <row r="47" spans="1:28" s="20" customFormat="1">
      <c r="A47" s="46">
        <v>45</v>
      </c>
      <c r="B47" s="47">
        <f>攻击!AS47</f>
        <v>362.6</v>
      </c>
      <c r="C47" s="73">
        <f t="shared" si="9"/>
        <v>0.3</v>
      </c>
      <c r="D47" s="47">
        <f t="shared" si="0"/>
        <v>108.78</v>
      </c>
      <c r="E47" s="47">
        <f>HP!AR47</f>
        <v>3626</v>
      </c>
      <c r="F47" s="73">
        <f t="shared" si="10"/>
        <v>0.5</v>
      </c>
      <c r="G47" s="47">
        <f t="shared" si="1"/>
        <v>1813</v>
      </c>
      <c r="H47" s="47">
        <f>攻击!AS47</f>
        <v>362.6</v>
      </c>
      <c r="I47" s="73">
        <f t="shared" si="11"/>
        <v>5</v>
      </c>
      <c r="J47" s="47">
        <f t="shared" si="2"/>
        <v>1813</v>
      </c>
      <c r="K47" s="47">
        <f>霸气!AH47</f>
        <v>264.60000000000002</v>
      </c>
      <c r="L47" s="73">
        <f t="shared" si="12"/>
        <v>1</v>
      </c>
      <c r="M47" s="47">
        <f t="shared" si="3"/>
        <v>264.60000000000002</v>
      </c>
      <c r="N47" s="47">
        <f>防御!AH47</f>
        <v>264.60000000000002</v>
      </c>
      <c r="O47" s="73">
        <f t="shared" si="13"/>
        <v>1</v>
      </c>
      <c r="P47" s="47">
        <f t="shared" si="4"/>
        <v>264.60000000000002</v>
      </c>
      <c r="Q47" s="47">
        <f>命中、闪避!G47</f>
        <v>78.400000000000006</v>
      </c>
      <c r="R47" s="73">
        <f t="shared" si="14"/>
        <v>1</v>
      </c>
      <c r="S47" s="47">
        <f t="shared" si="5"/>
        <v>78.400000000000006</v>
      </c>
      <c r="T47" s="47">
        <f>命中、闪避!B47</f>
        <v>98</v>
      </c>
      <c r="U47" s="73">
        <f t="shared" si="15"/>
        <v>1</v>
      </c>
      <c r="V47" s="47">
        <f t="shared" si="6"/>
        <v>98</v>
      </c>
      <c r="W47" s="47">
        <f>暴击、抗暴!G47</f>
        <v>98</v>
      </c>
      <c r="X47" s="73">
        <f t="shared" si="16"/>
        <v>1</v>
      </c>
      <c r="Y47" s="47">
        <f t="shared" si="7"/>
        <v>98</v>
      </c>
      <c r="Z47" s="47">
        <f>暴击、抗暴!B47</f>
        <v>98</v>
      </c>
      <c r="AA47" s="73">
        <f t="shared" si="17"/>
        <v>1</v>
      </c>
      <c r="AB47" s="47">
        <f t="shared" si="8"/>
        <v>98</v>
      </c>
    </row>
    <row r="48" spans="1:28" s="20" customFormat="1">
      <c r="A48" s="46">
        <v>46</v>
      </c>
      <c r="B48" s="47">
        <f>攻击!AS48</f>
        <v>370</v>
      </c>
      <c r="C48" s="73">
        <f t="shared" si="9"/>
        <v>0.3</v>
      </c>
      <c r="D48" s="47">
        <f t="shared" si="0"/>
        <v>111</v>
      </c>
      <c r="E48" s="47">
        <f>HP!AR48</f>
        <v>3700</v>
      </c>
      <c r="F48" s="73">
        <f t="shared" si="10"/>
        <v>0.5</v>
      </c>
      <c r="G48" s="47">
        <f t="shared" si="1"/>
        <v>1850</v>
      </c>
      <c r="H48" s="47">
        <f>攻击!AS48</f>
        <v>370</v>
      </c>
      <c r="I48" s="73">
        <f t="shared" si="11"/>
        <v>5</v>
      </c>
      <c r="J48" s="47">
        <f t="shared" si="2"/>
        <v>1850</v>
      </c>
      <c r="K48" s="47">
        <f>霸气!AH48</f>
        <v>270</v>
      </c>
      <c r="L48" s="73">
        <f t="shared" si="12"/>
        <v>1</v>
      </c>
      <c r="M48" s="47">
        <f t="shared" si="3"/>
        <v>270</v>
      </c>
      <c r="N48" s="47">
        <f>防御!AH48</f>
        <v>270</v>
      </c>
      <c r="O48" s="73">
        <f t="shared" si="13"/>
        <v>1</v>
      </c>
      <c r="P48" s="47">
        <f t="shared" si="4"/>
        <v>270</v>
      </c>
      <c r="Q48" s="47">
        <f>命中、闪避!G48</f>
        <v>80</v>
      </c>
      <c r="R48" s="73">
        <f t="shared" si="14"/>
        <v>1</v>
      </c>
      <c r="S48" s="47">
        <f t="shared" si="5"/>
        <v>80</v>
      </c>
      <c r="T48" s="47">
        <f>命中、闪避!B48</f>
        <v>100</v>
      </c>
      <c r="U48" s="73">
        <f t="shared" si="15"/>
        <v>1</v>
      </c>
      <c r="V48" s="47">
        <f t="shared" si="6"/>
        <v>100</v>
      </c>
      <c r="W48" s="47">
        <f>暴击、抗暴!G48</f>
        <v>100</v>
      </c>
      <c r="X48" s="73">
        <f t="shared" si="16"/>
        <v>1</v>
      </c>
      <c r="Y48" s="47">
        <f t="shared" si="7"/>
        <v>100</v>
      </c>
      <c r="Z48" s="47">
        <f>暴击、抗暴!B48</f>
        <v>100</v>
      </c>
      <c r="AA48" s="73">
        <f t="shared" si="17"/>
        <v>1</v>
      </c>
      <c r="AB48" s="47">
        <f t="shared" si="8"/>
        <v>100</v>
      </c>
    </row>
    <row r="49" spans="1:28" s="20" customFormat="1">
      <c r="A49" s="46">
        <v>47</v>
      </c>
      <c r="B49" s="47">
        <f>攻击!AS49</f>
        <v>377.4</v>
      </c>
      <c r="C49" s="73">
        <f t="shared" si="9"/>
        <v>0.3</v>
      </c>
      <c r="D49" s="47">
        <f t="shared" si="0"/>
        <v>113.21999999999998</v>
      </c>
      <c r="E49" s="47">
        <f>HP!AR49</f>
        <v>3774</v>
      </c>
      <c r="F49" s="73">
        <f t="shared" si="10"/>
        <v>0.5</v>
      </c>
      <c r="G49" s="47">
        <f t="shared" si="1"/>
        <v>1887</v>
      </c>
      <c r="H49" s="47">
        <f>攻击!AS49</f>
        <v>377.4</v>
      </c>
      <c r="I49" s="73">
        <f t="shared" si="11"/>
        <v>5</v>
      </c>
      <c r="J49" s="47">
        <f t="shared" si="2"/>
        <v>1887</v>
      </c>
      <c r="K49" s="47">
        <f>霸气!AH49</f>
        <v>275.39999999999998</v>
      </c>
      <c r="L49" s="73">
        <f t="shared" si="12"/>
        <v>1</v>
      </c>
      <c r="M49" s="47">
        <f t="shared" si="3"/>
        <v>275.39999999999998</v>
      </c>
      <c r="N49" s="47">
        <f>防御!AH49</f>
        <v>275.39999999999998</v>
      </c>
      <c r="O49" s="73">
        <f t="shared" si="13"/>
        <v>1</v>
      </c>
      <c r="P49" s="47">
        <f t="shared" si="4"/>
        <v>275.39999999999998</v>
      </c>
      <c r="Q49" s="47">
        <f>命中、闪避!G49</f>
        <v>81.600000000000009</v>
      </c>
      <c r="R49" s="73">
        <f t="shared" si="14"/>
        <v>1</v>
      </c>
      <c r="S49" s="47">
        <f t="shared" si="5"/>
        <v>81.600000000000009</v>
      </c>
      <c r="T49" s="47">
        <f>命中、闪避!B49</f>
        <v>102</v>
      </c>
      <c r="U49" s="73">
        <f t="shared" si="15"/>
        <v>1</v>
      </c>
      <c r="V49" s="47">
        <f t="shared" si="6"/>
        <v>102</v>
      </c>
      <c r="W49" s="47">
        <f>暴击、抗暴!G49</f>
        <v>102</v>
      </c>
      <c r="X49" s="73">
        <f t="shared" si="16"/>
        <v>1</v>
      </c>
      <c r="Y49" s="47">
        <f t="shared" si="7"/>
        <v>102</v>
      </c>
      <c r="Z49" s="47">
        <f>暴击、抗暴!B49</f>
        <v>102</v>
      </c>
      <c r="AA49" s="73">
        <f t="shared" si="17"/>
        <v>1</v>
      </c>
      <c r="AB49" s="47">
        <f t="shared" si="8"/>
        <v>102</v>
      </c>
    </row>
    <row r="50" spans="1:28" s="20" customFormat="1">
      <c r="A50" s="46">
        <v>48</v>
      </c>
      <c r="B50" s="47">
        <f>攻击!AS50</f>
        <v>384.8</v>
      </c>
      <c r="C50" s="73">
        <f t="shared" si="9"/>
        <v>0.3</v>
      </c>
      <c r="D50" s="47">
        <f t="shared" si="0"/>
        <v>115.44</v>
      </c>
      <c r="E50" s="47">
        <f>HP!AR50</f>
        <v>3848</v>
      </c>
      <c r="F50" s="73">
        <f t="shared" si="10"/>
        <v>0.5</v>
      </c>
      <c r="G50" s="47">
        <f t="shared" si="1"/>
        <v>1924</v>
      </c>
      <c r="H50" s="47">
        <f>攻击!AS50</f>
        <v>384.8</v>
      </c>
      <c r="I50" s="73">
        <f t="shared" si="11"/>
        <v>5</v>
      </c>
      <c r="J50" s="47">
        <f t="shared" si="2"/>
        <v>1924</v>
      </c>
      <c r="K50" s="47">
        <f>霸气!AH50</f>
        <v>280.8</v>
      </c>
      <c r="L50" s="73">
        <f t="shared" si="12"/>
        <v>1</v>
      </c>
      <c r="M50" s="47">
        <f t="shared" si="3"/>
        <v>280.8</v>
      </c>
      <c r="N50" s="47">
        <f>防御!AH50</f>
        <v>280.8</v>
      </c>
      <c r="O50" s="73">
        <f t="shared" si="13"/>
        <v>1</v>
      </c>
      <c r="P50" s="47">
        <f t="shared" si="4"/>
        <v>280.8</v>
      </c>
      <c r="Q50" s="47">
        <f>命中、闪避!G50</f>
        <v>83.2</v>
      </c>
      <c r="R50" s="73">
        <f t="shared" si="14"/>
        <v>1</v>
      </c>
      <c r="S50" s="47">
        <f t="shared" si="5"/>
        <v>83.2</v>
      </c>
      <c r="T50" s="47">
        <f>命中、闪避!B50</f>
        <v>104</v>
      </c>
      <c r="U50" s="73">
        <f t="shared" si="15"/>
        <v>1</v>
      </c>
      <c r="V50" s="47">
        <f t="shared" si="6"/>
        <v>104</v>
      </c>
      <c r="W50" s="47">
        <f>暴击、抗暴!G50</f>
        <v>104</v>
      </c>
      <c r="X50" s="73">
        <f t="shared" si="16"/>
        <v>1</v>
      </c>
      <c r="Y50" s="47">
        <f t="shared" si="7"/>
        <v>104</v>
      </c>
      <c r="Z50" s="47">
        <f>暴击、抗暴!B50</f>
        <v>104</v>
      </c>
      <c r="AA50" s="73">
        <f t="shared" si="17"/>
        <v>1</v>
      </c>
      <c r="AB50" s="47">
        <f t="shared" si="8"/>
        <v>104</v>
      </c>
    </row>
    <row r="51" spans="1:28" s="20" customFormat="1">
      <c r="A51" s="46">
        <v>49</v>
      </c>
      <c r="B51" s="47">
        <f>攻击!AS51</f>
        <v>392.2</v>
      </c>
      <c r="C51" s="73">
        <f t="shared" si="9"/>
        <v>0.3</v>
      </c>
      <c r="D51" s="47">
        <f t="shared" si="0"/>
        <v>117.66</v>
      </c>
      <c r="E51" s="47">
        <f>HP!AR51</f>
        <v>3922</v>
      </c>
      <c r="F51" s="73">
        <f t="shared" si="10"/>
        <v>0.5</v>
      </c>
      <c r="G51" s="47">
        <f t="shared" si="1"/>
        <v>1961</v>
      </c>
      <c r="H51" s="47">
        <f>攻击!AS51</f>
        <v>392.2</v>
      </c>
      <c r="I51" s="73">
        <f t="shared" si="11"/>
        <v>5</v>
      </c>
      <c r="J51" s="47">
        <f t="shared" si="2"/>
        <v>1961</v>
      </c>
      <c r="K51" s="47">
        <f>霸气!AH51</f>
        <v>286.2</v>
      </c>
      <c r="L51" s="73">
        <f t="shared" si="12"/>
        <v>1</v>
      </c>
      <c r="M51" s="47">
        <f t="shared" si="3"/>
        <v>286.2</v>
      </c>
      <c r="N51" s="47">
        <f>防御!AH51</f>
        <v>286.2</v>
      </c>
      <c r="O51" s="73">
        <f t="shared" si="13"/>
        <v>1</v>
      </c>
      <c r="P51" s="47">
        <f t="shared" si="4"/>
        <v>286.2</v>
      </c>
      <c r="Q51" s="47">
        <f>命中、闪避!G51</f>
        <v>84.800000000000011</v>
      </c>
      <c r="R51" s="73">
        <f t="shared" si="14"/>
        <v>1</v>
      </c>
      <c r="S51" s="47">
        <f t="shared" si="5"/>
        <v>84.800000000000011</v>
      </c>
      <c r="T51" s="47">
        <f>命中、闪避!B51</f>
        <v>106</v>
      </c>
      <c r="U51" s="73">
        <f t="shared" si="15"/>
        <v>1</v>
      </c>
      <c r="V51" s="47">
        <f t="shared" si="6"/>
        <v>106</v>
      </c>
      <c r="W51" s="47">
        <f>暴击、抗暴!G51</f>
        <v>106</v>
      </c>
      <c r="X51" s="73">
        <f t="shared" si="16"/>
        <v>1</v>
      </c>
      <c r="Y51" s="47">
        <f t="shared" si="7"/>
        <v>106</v>
      </c>
      <c r="Z51" s="47">
        <f>暴击、抗暴!B51</f>
        <v>106</v>
      </c>
      <c r="AA51" s="73">
        <f t="shared" si="17"/>
        <v>1</v>
      </c>
      <c r="AB51" s="47">
        <f t="shared" si="8"/>
        <v>106</v>
      </c>
    </row>
    <row r="52" spans="1:28" s="20" customFormat="1">
      <c r="A52" s="46">
        <v>50</v>
      </c>
      <c r="B52" s="47">
        <f>攻击!AS52</f>
        <v>399.6</v>
      </c>
      <c r="C52" s="73">
        <f t="shared" si="9"/>
        <v>0.3</v>
      </c>
      <c r="D52" s="47">
        <f t="shared" si="0"/>
        <v>119.88</v>
      </c>
      <c r="E52" s="47">
        <f>HP!AR52</f>
        <v>3996</v>
      </c>
      <c r="F52" s="73">
        <f t="shared" si="10"/>
        <v>0.5</v>
      </c>
      <c r="G52" s="47">
        <f t="shared" si="1"/>
        <v>1998</v>
      </c>
      <c r="H52" s="47">
        <f>攻击!AS52</f>
        <v>399.6</v>
      </c>
      <c r="I52" s="73">
        <f t="shared" si="11"/>
        <v>5</v>
      </c>
      <c r="J52" s="47">
        <f t="shared" si="2"/>
        <v>1998</v>
      </c>
      <c r="K52" s="47">
        <f>霸气!AH52</f>
        <v>291.60000000000002</v>
      </c>
      <c r="L52" s="73">
        <f t="shared" si="12"/>
        <v>1</v>
      </c>
      <c r="M52" s="47">
        <f t="shared" si="3"/>
        <v>291.60000000000002</v>
      </c>
      <c r="N52" s="47">
        <f>防御!AH52</f>
        <v>291.60000000000002</v>
      </c>
      <c r="O52" s="73">
        <f t="shared" si="13"/>
        <v>1</v>
      </c>
      <c r="P52" s="47">
        <f t="shared" si="4"/>
        <v>291.60000000000002</v>
      </c>
      <c r="Q52" s="47">
        <f>命中、闪避!G52</f>
        <v>86.4</v>
      </c>
      <c r="R52" s="73">
        <f t="shared" si="14"/>
        <v>1</v>
      </c>
      <c r="S52" s="47">
        <f t="shared" si="5"/>
        <v>86.4</v>
      </c>
      <c r="T52" s="47">
        <f>命中、闪避!B52</f>
        <v>108</v>
      </c>
      <c r="U52" s="73">
        <f t="shared" si="15"/>
        <v>1</v>
      </c>
      <c r="V52" s="47">
        <f t="shared" si="6"/>
        <v>108</v>
      </c>
      <c r="W52" s="47">
        <f>暴击、抗暴!G52</f>
        <v>108</v>
      </c>
      <c r="X52" s="73">
        <f t="shared" si="16"/>
        <v>1</v>
      </c>
      <c r="Y52" s="47">
        <f t="shared" si="7"/>
        <v>108</v>
      </c>
      <c r="Z52" s="47">
        <f>暴击、抗暴!B52</f>
        <v>108</v>
      </c>
      <c r="AA52" s="73">
        <f t="shared" si="17"/>
        <v>1</v>
      </c>
      <c r="AB52" s="47">
        <f t="shared" si="8"/>
        <v>108</v>
      </c>
    </row>
    <row r="53" spans="1:28" s="20" customFormat="1">
      <c r="A53" s="46">
        <v>51</v>
      </c>
      <c r="B53" s="47">
        <f>攻击!AS53</f>
        <v>407</v>
      </c>
      <c r="C53" s="73">
        <f t="shared" si="9"/>
        <v>0.3</v>
      </c>
      <c r="D53" s="47">
        <f t="shared" si="0"/>
        <v>122.1</v>
      </c>
      <c r="E53" s="47">
        <f>HP!AR53</f>
        <v>4070</v>
      </c>
      <c r="F53" s="73">
        <f t="shared" si="10"/>
        <v>0.5</v>
      </c>
      <c r="G53" s="47">
        <f t="shared" si="1"/>
        <v>2035</v>
      </c>
      <c r="H53" s="47">
        <f>攻击!AS53</f>
        <v>407</v>
      </c>
      <c r="I53" s="73">
        <f t="shared" si="11"/>
        <v>5</v>
      </c>
      <c r="J53" s="47">
        <f t="shared" si="2"/>
        <v>2035</v>
      </c>
      <c r="K53" s="47">
        <f>霸气!AH53</f>
        <v>297</v>
      </c>
      <c r="L53" s="73">
        <f t="shared" si="12"/>
        <v>1</v>
      </c>
      <c r="M53" s="47">
        <f t="shared" si="3"/>
        <v>297</v>
      </c>
      <c r="N53" s="47">
        <f>防御!AH53</f>
        <v>297</v>
      </c>
      <c r="O53" s="73">
        <f t="shared" si="13"/>
        <v>1</v>
      </c>
      <c r="P53" s="47">
        <f t="shared" si="4"/>
        <v>297</v>
      </c>
      <c r="Q53" s="47">
        <f>命中、闪避!G53</f>
        <v>88</v>
      </c>
      <c r="R53" s="73">
        <f t="shared" si="14"/>
        <v>1</v>
      </c>
      <c r="S53" s="47">
        <f t="shared" si="5"/>
        <v>88</v>
      </c>
      <c r="T53" s="47">
        <f>命中、闪避!B53</f>
        <v>110</v>
      </c>
      <c r="U53" s="73">
        <f t="shared" si="15"/>
        <v>1</v>
      </c>
      <c r="V53" s="47">
        <f t="shared" si="6"/>
        <v>110</v>
      </c>
      <c r="W53" s="47">
        <f>暴击、抗暴!G53</f>
        <v>110</v>
      </c>
      <c r="X53" s="73">
        <f t="shared" si="16"/>
        <v>1</v>
      </c>
      <c r="Y53" s="47">
        <f t="shared" si="7"/>
        <v>110</v>
      </c>
      <c r="Z53" s="47">
        <f>暴击、抗暴!B53</f>
        <v>110</v>
      </c>
      <c r="AA53" s="73">
        <f t="shared" si="17"/>
        <v>1</v>
      </c>
      <c r="AB53" s="47">
        <f t="shared" si="8"/>
        <v>110</v>
      </c>
    </row>
    <row r="54" spans="1:28" s="20" customFormat="1">
      <c r="A54" s="46">
        <v>52</v>
      </c>
      <c r="B54" s="47">
        <f>攻击!AS54</f>
        <v>414.4</v>
      </c>
      <c r="C54" s="73">
        <f t="shared" si="9"/>
        <v>0.3</v>
      </c>
      <c r="D54" s="47">
        <f t="shared" si="0"/>
        <v>124.32</v>
      </c>
      <c r="E54" s="47">
        <f>HP!AR54</f>
        <v>4144</v>
      </c>
      <c r="F54" s="73">
        <f t="shared" si="10"/>
        <v>0.5</v>
      </c>
      <c r="G54" s="47">
        <f t="shared" si="1"/>
        <v>2072</v>
      </c>
      <c r="H54" s="47">
        <f>攻击!AS54</f>
        <v>414.4</v>
      </c>
      <c r="I54" s="73">
        <f t="shared" si="11"/>
        <v>5</v>
      </c>
      <c r="J54" s="47">
        <f t="shared" si="2"/>
        <v>2072</v>
      </c>
      <c r="K54" s="47">
        <f>霸气!AH54</f>
        <v>302.39999999999998</v>
      </c>
      <c r="L54" s="73">
        <f t="shared" si="12"/>
        <v>1</v>
      </c>
      <c r="M54" s="47">
        <f t="shared" si="3"/>
        <v>302.39999999999998</v>
      </c>
      <c r="N54" s="47">
        <f>防御!AH54</f>
        <v>302.39999999999998</v>
      </c>
      <c r="O54" s="73">
        <f t="shared" si="13"/>
        <v>1</v>
      </c>
      <c r="P54" s="47">
        <f t="shared" si="4"/>
        <v>302.39999999999998</v>
      </c>
      <c r="Q54" s="47">
        <f>命中、闪避!G54</f>
        <v>89.600000000000009</v>
      </c>
      <c r="R54" s="73">
        <f t="shared" si="14"/>
        <v>1</v>
      </c>
      <c r="S54" s="47">
        <f t="shared" si="5"/>
        <v>89.600000000000009</v>
      </c>
      <c r="T54" s="47">
        <f>命中、闪避!B54</f>
        <v>112</v>
      </c>
      <c r="U54" s="73">
        <f t="shared" si="15"/>
        <v>1</v>
      </c>
      <c r="V54" s="47">
        <f t="shared" si="6"/>
        <v>112</v>
      </c>
      <c r="W54" s="47">
        <f>暴击、抗暴!G54</f>
        <v>112</v>
      </c>
      <c r="X54" s="73">
        <f t="shared" si="16"/>
        <v>1</v>
      </c>
      <c r="Y54" s="47">
        <f t="shared" si="7"/>
        <v>112</v>
      </c>
      <c r="Z54" s="47">
        <f>暴击、抗暴!B54</f>
        <v>112</v>
      </c>
      <c r="AA54" s="73">
        <f t="shared" si="17"/>
        <v>1</v>
      </c>
      <c r="AB54" s="47">
        <f t="shared" si="8"/>
        <v>112</v>
      </c>
    </row>
    <row r="55" spans="1:28" s="20" customFormat="1">
      <c r="A55" s="46">
        <v>53</v>
      </c>
      <c r="B55" s="47">
        <f>攻击!AS55</f>
        <v>421.8</v>
      </c>
      <c r="C55" s="73">
        <f t="shared" si="9"/>
        <v>0.3</v>
      </c>
      <c r="D55" s="47">
        <f t="shared" si="0"/>
        <v>126.53999999999999</v>
      </c>
      <c r="E55" s="47">
        <f>HP!AR55</f>
        <v>4218</v>
      </c>
      <c r="F55" s="73">
        <f t="shared" si="10"/>
        <v>0.5</v>
      </c>
      <c r="G55" s="47">
        <f t="shared" si="1"/>
        <v>2109</v>
      </c>
      <c r="H55" s="47">
        <f>攻击!AS55</f>
        <v>421.8</v>
      </c>
      <c r="I55" s="73">
        <f t="shared" si="11"/>
        <v>5</v>
      </c>
      <c r="J55" s="47">
        <f t="shared" si="2"/>
        <v>2109</v>
      </c>
      <c r="K55" s="47">
        <f>霸气!AH55</f>
        <v>307.8</v>
      </c>
      <c r="L55" s="73">
        <f t="shared" si="12"/>
        <v>1</v>
      </c>
      <c r="M55" s="47">
        <f t="shared" si="3"/>
        <v>307.8</v>
      </c>
      <c r="N55" s="47">
        <f>防御!AH55</f>
        <v>307.8</v>
      </c>
      <c r="O55" s="73">
        <f t="shared" si="13"/>
        <v>1</v>
      </c>
      <c r="P55" s="47">
        <f t="shared" si="4"/>
        <v>307.8</v>
      </c>
      <c r="Q55" s="47">
        <f>命中、闪避!G55</f>
        <v>91.2</v>
      </c>
      <c r="R55" s="73">
        <f t="shared" si="14"/>
        <v>1</v>
      </c>
      <c r="S55" s="47">
        <f t="shared" si="5"/>
        <v>91.2</v>
      </c>
      <c r="T55" s="47">
        <f>命中、闪避!B55</f>
        <v>114</v>
      </c>
      <c r="U55" s="73">
        <f t="shared" si="15"/>
        <v>1</v>
      </c>
      <c r="V55" s="47">
        <f t="shared" si="6"/>
        <v>114</v>
      </c>
      <c r="W55" s="47">
        <f>暴击、抗暴!G55</f>
        <v>114</v>
      </c>
      <c r="X55" s="73">
        <f t="shared" si="16"/>
        <v>1</v>
      </c>
      <c r="Y55" s="47">
        <f t="shared" si="7"/>
        <v>114</v>
      </c>
      <c r="Z55" s="47">
        <f>暴击、抗暴!B55</f>
        <v>114</v>
      </c>
      <c r="AA55" s="73">
        <f t="shared" si="17"/>
        <v>1</v>
      </c>
      <c r="AB55" s="47">
        <f t="shared" si="8"/>
        <v>114</v>
      </c>
    </row>
    <row r="56" spans="1:28" s="20" customFormat="1">
      <c r="A56" s="46">
        <v>54</v>
      </c>
      <c r="B56" s="47">
        <f>攻击!AS56</f>
        <v>429.2</v>
      </c>
      <c r="C56" s="73">
        <f t="shared" si="9"/>
        <v>0.3</v>
      </c>
      <c r="D56" s="47">
        <f t="shared" si="0"/>
        <v>128.76</v>
      </c>
      <c r="E56" s="47">
        <f>HP!AR56</f>
        <v>4292</v>
      </c>
      <c r="F56" s="73">
        <f t="shared" si="10"/>
        <v>0.5</v>
      </c>
      <c r="G56" s="47">
        <f t="shared" si="1"/>
        <v>2146</v>
      </c>
      <c r="H56" s="47">
        <f>攻击!AS56</f>
        <v>429.2</v>
      </c>
      <c r="I56" s="73">
        <f t="shared" si="11"/>
        <v>5</v>
      </c>
      <c r="J56" s="47">
        <f t="shared" si="2"/>
        <v>2146</v>
      </c>
      <c r="K56" s="47">
        <f>霸气!AH56</f>
        <v>313.2</v>
      </c>
      <c r="L56" s="73">
        <f t="shared" si="12"/>
        <v>1</v>
      </c>
      <c r="M56" s="47">
        <f t="shared" si="3"/>
        <v>313.2</v>
      </c>
      <c r="N56" s="47">
        <f>防御!AH56</f>
        <v>313.2</v>
      </c>
      <c r="O56" s="73">
        <f t="shared" si="13"/>
        <v>1</v>
      </c>
      <c r="P56" s="47">
        <f t="shared" si="4"/>
        <v>313.2</v>
      </c>
      <c r="Q56" s="47">
        <f>命中、闪避!G56</f>
        <v>92.800000000000011</v>
      </c>
      <c r="R56" s="73">
        <f t="shared" si="14"/>
        <v>1</v>
      </c>
      <c r="S56" s="47">
        <f t="shared" si="5"/>
        <v>92.800000000000011</v>
      </c>
      <c r="T56" s="47">
        <f>命中、闪避!B56</f>
        <v>116</v>
      </c>
      <c r="U56" s="73">
        <f t="shared" si="15"/>
        <v>1</v>
      </c>
      <c r="V56" s="47">
        <f t="shared" si="6"/>
        <v>116</v>
      </c>
      <c r="W56" s="47">
        <f>暴击、抗暴!G56</f>
        <v>116</v>
      </c>
      <c r="X56" s="73">
        <f t="shared" si="16"/>
        <v>1</v>
      </c>
      <c r="Y56" s="47">
        <f t="shared" si="7"/>
        <v>116</v>
      </c>
      <c r="Z56" s="47">
        <f>暴击、抗暴!B56</f>
        <v>116</v>
      </c>
      <c r="AA56" s="73">
        <f t="shared" si="17"/>
        <v>1</v>
      </c>
      <c r="AB56" s="47">
        <f t="shared" si="8"/>
        <v>116</v>
      </c>
    </row>
    <row r="57" spans="1:28" s="20" customFormat="1">
      <c r="A57" s="46">
        <v>55</v>
      </c>
      <c r="B57" s="47">
        <f>攻击!AS57</f>
        <v>436.6</v>
      </c>
      <c r="C57" s="73">
        <f t="shared" si="9"/>
        <v>0.3</v>
      </c>
      <c r="D57" s="47">
        <f t="shared" si="0"/>
        <v>130.97999999999999</v>
      </c>
      <c r="E57" s="47">
        <f>HP!AR57</f>
        <v>4366</v>
      </c>
      <c r="F57" s="73">
        <f t="shared" si="10"/>
        <v>0.5</v>
      </c>
      <c r="G57" s="47">
        <f t="shared" si="1"/>
        <v>2183</v>
      </c>
      <c r="H57" s="47">
        <f>攻击!AS57</f>
        <v>436.6</v>
      </c>
      <c r="I57" s="73">
        <f t="shared" si="11"/>
        <v>5</v>
      </c>
      <c r="J57" s="47">
        <f t="shared" si="2"/>
        <v>2183</v>
      </c>
      <c r="K57" s="47">
        <f>霸气!AH57</f>
        <v>318.60000000000002</v>
      </c>
      <c r="L57" s="73">
        <f t="shared" si="12"/>
        <v>1</v>
      </c>
      <c r="M57" s="47">
        <f t="shared" si="3"/>
        <v>318.60000000000002</v>
      </c>
      <c r="N57" s="47">
        <f>防御!AH57</f>
        <v>318.60000000000002</v>
      </c>
      <c r="O57" s="73">
        <f t="shared" si="13"/>
        <v>1</v>
      </c>
      <c r="P57" s="47">
        <f t="shared" si="4"/>
        <v>318.60000000000002</v>
      </c>
      <c r="Q57" s="47">
        <f>命中、闪避!G57</f>
        <v>94.4</v>
      </c>
      <c r="R57" s="73">
        <f t="shared" si="14"/>
        <v>1</v>
      </c>
      <c r="S57" s="47">
        <f t="shared" si="5"/>
        <v>94.4</v>
      </c>
      <c r="T57" s="47">
        <f>命中、闪避!B57</f>
        <v>118</v>
      </c>
      <c r="U57" s="73">
        <f t="shared" si="15"/>
        <v>1</v>
      </c>
      <c r="V57" s="47">
        <f t="shared" si="6"/>
        <v>118</v>
      </c>
      <c r="W57" s="47">
        <f>暴击、抗暴!G57</f>
        <v>118</v>
      </c>
      <c r="X57" s="73">
        <f t="shared" si="16"/>
        <v>1</v>
      </c>
      <c r="Y57" s="47">
        <f t="shared" si="7"/>
        <v>118</v>
      </c>
      <c r="Z57" s="47">
        <f>暴击、抗暴!B57</f>
        <v>118</v>
      </c>
      <c r="AA57" s="73">
        <f t="shared" si="17"/>
        <v>1</v>
      </c>
      <c r="AB57" s="47">
        <f t="shared" si="8"/>
        <v>118</v>
      </c>
    </row>
    <row r="58" spans="1:28" s="20" customFormat="1">
      <c r="A58" s="46">
        <v>56</v>
      </c>
      <c r="B58" s="47">
        <f>攻击!AS58</f>
        <v>444</v>
      </c>
      <c r="C58" s="73">
        <f t="shared" si="9"/>
        <v>0.3</v>
      </c>
      <c r="D58" s="47">
        <f t="shared" si="0"/>
        <v>133.19999999999999</v>
      </c>
      <c r="E58" s="47">
        <f>HP!AR58</f>
        <v>4440</v>
      </c>
      <c r="F58" s="73">
        <f t="shared" si="10"/>
        <v>0.5</v>
      </c>
      <c r="G58" s="47">
        <f t="shared" si="1"/>
        <v>2220</v>
      </c>
      <c r="H58" s="47">
        <f>攻击!AS58</f>
        <v>444</v>
      </c>
      <c r="I58" s="73">
        <f t="shared" si="11"/>
        <v>5</v>
      </c>
      <c r="J58" s="47">
        <f t="shared" si="2"/>
        <v>2220</v>
      </c>
      <c r="K58" s="47">
        <f>霸气!AH58</f>
        <v>324</v>
      </c>
      <c r="L58" s="73">
        <f t="shared" si="12"/>
        <v>1</v>
      </c>
      <c r="M58" s="47">
        <f t="shared" si="3"/>
        <v>324</v>
      </c>
      <c r="N58" s="47">
        <f>防御!AH58</f>
        <v>324</v>
      </c>
      <c r="O58" s="73">
        <f t="shared" si="13"/>
        <v>1</v>
      </c>
      <c r="P58" s="47">
        <f t="shared" si="4"/>
        <v>324</v>
      </c>
      <c r="Q58" s="47">
        <f>命中、闪避!G58</f>
        <v>96</v>
      </c>
      <c r="R58" s="73">
        <f t="shared" si="14"/>
        <v>1</v>
      </c>
      <c r="S58" s="47">
        <f t="shared" si="5"/>
        <v>96</v>
      </c>
      <c r="T58" s="47">
        <f>命中、闪避!B58</f>
        <v>120</v>
      </c>
      <c r="U58" s="73">
        <f t="shared" si="15"/>
        <v>1</v>
      </c>
      <c r="V58" s="47">
        <f t="shared" si="6"/>
        <v>120</v>
      </c>
      <c r="W58" s="47">
        <f>暴击、抗暴!G58</f>
        <v>120</v>
      </c>
      <c r="X58" s="73">
        <f t="shared" si="16"/>
        <v>1</v>
      </c>
      <c r="Y58" s="47">
        <f t="shared" si="7"/>
        <v>120</v>
      </c>
      <c r="Z58" s="47">
        <f>暴击、抗暴!B58</f>
        <v>120</v>
      </c>
      <c r="AA58" s="73">
        <f t="shared" si="17"/>
        <v>1</v>
      </c>
      <c r="AB58" s="47">
        <f t="shared" si="8"/>
        <v>120</v>
      </c>
    </row>
    <row r="59" spans="1:28" s="20" customFormat="1">
      <c r="A59" s="46">
        <v>57</v>
      </c>
      <c r="B59" s="47">
        <f>攻击!AS59</f>
        <v>451.4</v>
      </c>
      <c r="C59" s="73">
        <f t="shared" si="9"/>
        <v>0.3</v>
      </c>
      <c r="D59" s="47">
        <f t="shared" si="0"/>
        <v>135.41999999999999</v>
      </c>
      <c r="E59" s="47">
        <f>HP!AR59</f>
        <v>4514</v>
      </c>
      <c r="F59" s="73">
        <f t="shared" si="10"/>
        <v>0.5</v>
      </c>
      <c r="G59" s="47">
        <f t="shared" si="1"/>
        <v>2257</v>
      </c>
      <c r="H59" s="47">
        <f>攻击!AS59</f>
        <v>451.4</v>
      </c>
      <c r="I59" s="73">
        <f t="shared" si="11"/>
        <v>5</v>
      </c>
      <c r="J59" s="47">
        <f t="shared" si="2"/>
        <v>2257</v>
      </c>
      <c r="K59" s="47">
        <f>霸气!AH59</f>
        <v>329.4</v>
      </c>
      <c r="L59" s="73">
        <f t="shared" si="12"/>
        <v>1</v>
      </c>
      <c r="M59" s="47">
        <f t="shared" si="3"/>
        <v>329.4</v>
      </c>
      <c r="N59" s="47">
        <f>防御!AH59</f>
        <v>329.4</v>
      </c>
      <c r="O59" s="73">
        <f t="shared" si="13"/>
        <v>1</v>
      </c>
      <c r="P59" s="47">
        <f t="shared" si="4"/>
        <v>329.4</v>
      </c>
      <c r="Q59" s="47">
        <f>命中、闪避!G59</f>
        <v>97.600000000000009</v>
      </c>
      <c r="R59" s="73">
        <f t="shared" si="14"/>
        <v>1</v>
      </c>
      <c r="S59" s="47">
        <f t="shared" si="5"/>
        <v>97.600000000000009</v>
      </c>
      <c r="T59" s="47">
        <f>命中、闪避!B59</f>
        <v>122</v>
      </c>
      <c r="U59" s="73">
        <f t="shared" si="15"/>
        <v>1</v>
      </c>
      <c r="V59" s="47">
        <f t="shared" si="6"/>
        <v>122</v>
      </c>
      <c r="W59" s="47">
        <f>暴击、抗暴!G59</f>
        <v>122</v>
      </c>
      <c r="X59" s="73">
        <f t="shared" si="16"/>
        <v>1</v>
      </c>
      <c r="Y59" s="47">
        <f t="shared" si="7"/>
        <v>122</v>
      </c>
      <c r="Z59" s="47">
        <f>暴击、抗暴!B59</f>
        <v>122</v>
      </c>
      <c r="AA59" s="73">
        <f t="shared" si="17"/>
        <v>1</v>
      </c>
      <c r="AB59" s="47">
        <f t="shared" si="8"/>
        <v>122</v>
      </c>
    </row>
    <row r="60" spans="1:28" s="20" customFormat="1">
      <c r="A60" s="46">
        <v>58</v>
      </c>
      <c r="B60" s="47">
        <f>攻击!AS60</f>
        <v>458.8</v>
      </c>
      <c r="C60" s="73">
        <f t="shared" si="9"/>
        <v>0.3</v>
      </c>
      <c r="D60" s="47">
        <f t="shared" si="0"/>
        <v>137.63999999999999</v>
      </c>
      <c r="E60" s="47">
        <f>HP!AR60</f>
        <v>4588</v>
      </c>
      <c r="F60" s="73">
        <f t="shared" si="10"/>
        <v>0.5</v>
      </c>
      <c r="G60" s="47">
        <f t="shared" si="1"/>
        <v>2294</v>
      </c>
      <c r="H60" s="47">
        <f>攻击!AS60</f>
        <v>458.8</v>
      </c>
      <c r="I60" s="73">
        <f t="shared" si="11"/>
        <v>5</v>
      </c>
      <c r="J60" s="47">
        <f t="shared" si="2"/>
        <v>2294</v>
      </c>
      <c r="K60" s="47">
        <f>霸气!AH60</f>
        <v>334.8</v>
      </c>
      <c r="L60" s="73">
        <f t="shared" si="12"/>
        <v>1</v>
      </c>
      <c r="M60" s="47">
        <f t="shared" si="3"/>
        <v>334.8</v>
      </c>
      <c r="N60" s="47">
        <f>防御!AH60</f>
        <v>334.8</v>
      </c>
      <c r="O60" s="73">
        <f t="shared" si="13"/>
        <v>1</v>
      </c>
      <c r="P60" s="47">
        <f t="shared" si="4"/>
        <v>334.8</v>
      </c>
      <c r="Q60" s="47">
        <f>命中、闪避!G60</f>
        <v>99.2</v>
      </c>
      <c r="R60" s="73">
        <f t="shared" si="14"/>
        <v>1</v>
      </c>
      <c r="S60" s="47">
        <f t="shared" si="5"/>
        <v>99.2</v>
      </c>
      <c r="T60" s="47">
        <f>命中、闪避!B60</f>
        <v>124</v>
      </c>
      <c r="U60" s="73">
        <f t="shared" si="15"/>
        <v>1</v>
      </c>
      <c r="V60" s="47">
        <f t="shared" si="6"/>
        <v>124</v>
      </c>
      <c r="W60" s="47">
        <f>暴击、抗暴!G60</f>
        <v>124</v>
      </c>
      <c r="X60" s="73">
        <f t="shared" si="16"/>
        <v>1</v>
      </c>
      <c r="Y60" s="47">
        <f t="shared" si="7"/>
        <v>124</v>
      </c>
      <c r="Z60" s="47">
        <f>暴击、抗暴!B60</f>
        <v>124</v>
      </c>
      <c r="AA60" s="73">
        <f t="shared" si="17"/>
        <v>1</v>
      </c>
      <c r="AB60" s="47">
        <f t="shared" si="8"/>
        <v>124</v>
      </c>
    </row>
    <row r="61" spans="1:28" s="20" customFormat="1">
      <c r="A61" s="46">
        <v>59</v>
      </c>
      <c r="B61" s="47">
        <f>攻击!AS61</f>
        <v>466.2</v>
      </c>
      <c r="C61" s="73">
        <f t="shared" si="9"/>
        <v>0.3</v>
      </c>
      <c r="D61" s="47">
        <f t="shared" si="0"/>
        <v>139.85999999999999</v>
      </c>
      <c r="E61" s="47">
        <f>HP!AR61</f>
        <v>4662</v>
      </c>
      <c r="F61" s="73">
        <f t="shared" si="10"/>
        <v>0.5</v>
      </c>
      <c r="G61" s="47">
        <f t="shared" si="1"/>
        <v>2331</v>
      </c>
      <c r="H61" s="47">
        <f>攻击!AS61</f>
        <v>466.2</v>
      </c>
      <c r="I61" s="73">
        <f t="shared" si="11"/>
        <v>5</v>
      </c>
      <c r="J61" s="47">
        <f t="shared" si="2"/>
        <v>2331</v>
      </c>
      <c r="K61" s="47">
        <f>霸气!AH61</f>
        <v>340.2</v>
      </c>
      <c r="L61" s="73">
        <f t="shared" si="12"/>
        <v>1</v>
      </c>
      <c r="M61" s="47">
        <f t="shared" si="3"/>
        <v>340.2</v>
      </c>
      <c r="N61" s="47">
        <f>防御!AH61</f>
        <v>340.2</v>
      </c>
      <c r="O61" s="73">
        <f t="shared" si="13"/>
        <v>1</v>
      </c>
      <c r="P61" s="47">
        <f t="shared" si="4"/>
        <v>340.2</v>
      </c>
      <c r="Q61" s="47">
        <f>命中、闪避!G61</f>
        <v>100.80000000000001</v>
      </c>
      <c r="R61" s="73">
        <f t="shared" si="14"/>
        <v>1</v>
      </c>
      <c r="S61" s="47">
        <f t="shared" si="5"/>
        <v>100.80000000000001</v>
      </c>
      <c r="T61" s="47">
        <f>命中、闪避!B61</f>
        <v>126</v>
      </c>
      <c r="U61" s="73">
        <f t="shared" si="15"/>
        <v>1</v>
      </c>
      <c r="V61" s="47">
        <f t="shared" si="6"/>
        <v>126</v>
      </c>
      <c r="W61" s="47">
        <f>暴击、抗暴!G61</f>
        <v>126</v>
      </c>
      <c r="X61" s="73">
        <f t="shared" si="16"/>
        <v>1</v>
      </c>
      <c r="Y61" s="47">
        <f t="shared" si="7"/>
        <v>126</v>
      </c>
      <c r="Z61" s="47">
        <f>暴击、抗暴!B61</f>
        <v>126</v>
      </c>
      <c r="AA61" s="73">
        <f t="shared" si="17"/>
        <v>1</v>
      </c>
      <c r="AB61" s="47">
        <f t="shared" si="8"/>
        <v>126</v>
      </c>
    </row>
    <row r="62" spans="1:28" s="20" customFormat="1">
      <c r="A62" s="46">
        <v>60</v>
      </c>
      <c r="B62" s="47">
        <f>攻击!AS62</f>
        <v>473.6</v>
      </c>
      <c r="C62" s="73">
        <f t="shared" si="9"/>
        <v>0.3</v>
      </c>
      <c r="D62" s="47">
        <f t="shared" si="0"/>
        <v>142.08000000000001</v>
      </c>
      <c r="E62" s="47">
        <f>HP!AR62</f>
        <v>4736</v>
      </c>
      <c r="F62" s="73">
        <f t="shared" si="10"/>
        <v>0.5</v>
      </c>
      <c r="G62" s="47">
        <f t="shared" si="1"/>
        <v>2368</v>
      </c>
      <c r="H62" s="47">
        <f>攻击!AS62</f>
        <v>473.6</v>
      </c>
      <c r="I62" s="73">
        <f t="shared" si="11"/>
        <v>5</v>
      </c>
      <c r="J62" s="47">
        <f t="shared" si="2"/>
        <v>2368</v>
      </c>
      <c r="K62" s="47">
        <f>霸气!AH62</f>
        <v>345.6</v>
      </c>
      <c r="L62" s="73">
        <f t="shared" si="12"/>
        <v>1</v>
      </c>
      <c r="M62" s="47">
        <f t="shared" si="3"/>
        <v>345.6</v>
      </c>
      <c r="N62" s="47">
        <f>防御!AH62</f>
        <v>345.6</v>
      </c>
      <c r="O62" s="73">
        <f t="shared" si="13"/>
        <v>1</v>
      </c>
      <c r="P62" s="47">
        <f t="shared" si="4"/>
        <v>345.6</v>
      </c>
      <c r="Q62" s="47">
        <f>命中、闪避!G62</f>
        <v>102.4</v>
      </c>
      <c r="R62" s="73">
        <f t="shared" si="14"/>
        <v>1</v>
      </c>
      <c r="S62" s="47">
        <f t="shared" si="5"/>
        <v>102.4</v>
      </c>
      <c r="T62" s="47">
        <f>命中、闪避!B62</f>
        <v>128</v>
      </c>
      <c r="U62" s="73">
        <f t="shared" si="15"/>
        <v>1</v>
      </c>
      <c r="V62" s="47">
        <f t="shared" si="6"/>
        <v>128</v>
      </c>
      <c r="W62" s="47">
        <f>暴击、抗暴!G62</f>
        <v>128</v>
      </c>
      <c r="X62" s="73">
        <f t="shared" si="16"/>
        <v>1</v>
      </c>
      <c r="Y62" s="47">
        <f t="shared" si="7"/>
        <v>128</v>
      </c>
      <c r="Z62" s="47">
        <f>暴击、抗暴!B62</f>
        <v>128</v>
      </c>
      <c r="AA62" s="73">
        <f t="shared" si="17"/>
        <v>1</v>
      </c>
      <c r="AB62" s="47">
        <f t="shared" si="8"/>
        <v>128</v>
      </c>
    </row>
    <row r="63" spans="1:28" s="20" customFormat="1">
      <c r="A63" s="46">
        <v>61</v>
      </c>
      <c r="B63" s="47">
        <f>攻击!AS63</f>
        <v>481</v>
      </c>
      <c r="C63" s="73">
        <f t="shared" si="9"/>
        <v>0.3</v>
      </c>
      <c r="D63" s="47">
        <f t="shared" si="0"/>
        <v>144.29999999999998</v>
      </c>
      <c r="E63" s="47">
        <f>HP!AR63</f>
        <v>4810</v>
      </c>
      <c r="F63" s="73">
        <f t="shared" si="10"/>
        <v>0.5</v>
      </c>
      <c r="G63" s="47">
        <f t="shared" si="1"/>
        <v>2405</v>
      </c>
      <c r="H63" s="47">
        <f>攻击!AS63</f>
        <v>481</v>
      </c>
      <c r="I63" s="73">
        <f t="shared" si="11"/>
        <v>5</v>
      </c>
      <c r="J63" s="47">
        <f t="shared" si="2"/>
        <v>2405</v>
      </c>
      <c r="K63" s="47">
        <f>霸气!AH63</f>
        <v>351</v>
      </c>
      <c r="L63" s="73">
        <f t="shared" si="12"/>
        <v>1</v>
      </c>
      <c r="M63" s="47">
        <f t="shared" si="3"/>
        <v>351</v>
      </c>
      <c r="N63" s="47">
        <f>防御!AH63</f>
        <v>351</v>
      </c>
      <c r="O63" s="73">
        <f t="shared" si="13"/>
        <v>1</v>
      </c>
      <c r="P63" s="47">
        <f t="shared" si="4"/>
        <v>351</v>
      </c>
      <c r="Q63" s="47">
        <f>命中、闪避!G63</f>
        <v>104</v>
      </c>
      <c r="R63" s="73">
        <f t="shared" si="14"/>
        <v>1</v>
      </c>
      <c r="S63" s="47">
        <f t="shared" si="5"/>
        <v>104</v>
      </c>
      <c r="T63" s="47">
        <f>命中、闪避!B63</f>
        <v>130</v>
      </c>
      <c r="U63" s="73">
        <f t="shared" si="15"/>
        <v>1</v>
      </c>
      <c r="V63" s="47">
        <f t="shared" si="6"/>
        <v>130</v>
      </c>
      <c r="W63" s="47">
        <f>暴击、抗暴!G63</f>
        <v>130</v>
      </c>
      <c r="X63" s="73">
        <f t="shared" si="16"/>
        <v>1</v>
      </c>
      <c r="Y63" s="47">
        <f t="shared" si="7"/>
        <v>130</v>
      </c>
      <c r="Z63" s="47">
        <f>暴击、抗暴!B63</f>
        <v>130</v>
      </c>
      <c r="AA63" s="73">
        <f t="shared" si="17"/>
        <v>1</v>
      </c>
      <c r="AB63" s="47">
        <f t="shared" si="8"/>
        <v>130</v>
      </c>
    </row>
    <row r="64" spans="1:28" s="20" customFormat="1">
      <c r="A64" s="46">
        <v>62</v>
      </c>
      <c r="B64" s="47">
        <f>攻击!AS64</f>
        <v>488.4</v>
      </c>
      <c r="C64" s="73">
        <f t="shared" si="9"/>
        <v>0.3</v>
      </c>
      <c r="D64" s="47">
        <f t="shared" si="0"/>
        <v>146.51999999999998</v>
      </c>
      <c r="E64" s="47">
        <f>HP!AR64</f>
        <v>4884</v>
      </c>
      <c r="F64" s="73">
        <f t="shared" si="10"/>
        <v>0.5</v>
      </c>
      <c r="G64" s="47">
        <f t="shared" si="1"/>
        <v>2442</v>
      </c>
      <c r="H64" s="47">
        <f>攻击!AS64</f>
        <v>488.4</v>
      </c>
      <c r="I64" s="73">
        <f t="shared" si="11"/>
        <v>5</v>
      </c>
      <c r="J64" s="47">
        <f t="shared" si="2"/>
        <v>2442</v>
      </c>
      <c r="K64" s="47">
        <f>霸气!AH64</f>
        <v>356.4</v>
      </c>
      <c r="L64" s="73">
        <f t="shared" si="12"/>
        <v>1</v>
      </c>
      <c r="M64" s="47">
        <f t="shared" si="3"/>
        <v>356.4</v>
      </c>
      <c r="N64" s="47">
        <f>防御!AH64</f>
        <v>356.4</v>
      </c>
      <c r="O64" s="73">
        <f t="shared" si="13"/>
        <v>1</v>
      </c>
      <c r="P64" s="47">
        <f t="shared" si="4"/>
        <v>356.4</v>
      </c>
      <c r="Q64" s="47">
        <f>命中、闪避!G64</f>
        <v>105.60000000000001</v>
      </c>
      <c r="R64" s="73">
        <f t="shared" si="14"/>
        <v>1</v>
      </c>
      <c r="S64" s="47">
        <f t="shared" si="5"/>
        <v>105.60000000000001</v>
      </c>
      <c r="T64" s="47">
        <f>命中、闪避!B64</f>
        <v>132</v>
      </c>
      <c r="U64" s="73">
        <f t="shared" si="15"/>
        <v>1</v>
      </c>
      <c r="V64" s="47">
        <f t="shared" si="6"/>
        <v>132</v>
      </c>
      <c r="W64" s="47">
        <f>暴击、抗暴!G64</f>
        <v>132</v>
      </c>
      <c r="X64" s="73">
        <f t="shared" si="16"/>
        <v>1</v>
      </c>
      <c r="Y64" s="47">
        <f t="shared" si="7"/>
        <v>132</v>
      </c>
      <c r="Z64" s="47">
        <f>暴击、抗暴!B64</f>
        <v>132</v>
      </c>
      <c r="AA64" s="73">
        <f t="shared" si="17"/>
        <v>1</v>
      </c>
      <c r="AB64" s="47">
        <f t="shared" si="8"/>
        <v>132</v>
      </c>
    </row>
    <row r="65" spans="1:28" s="20" customFormat="1">
      <c r="A65" s="46">
        <v>63</v>
      </c>
      <c r="B65" s="47">
        <f>攻击!AS65</f>
        <v>495.8</v>
      </c>
      <c r="C65" s="73">
        <f t="shared" si="9"/>
        <v>0.3</v>
      </c>
      <c r="D65" s="47">
        <f t="shared" si="0"/>
        <v>148.74</v>
      </c>
      <c r="E65" s="47">
        <f>HP!AR65</f>
        <v>4958</v>
      </c>
      <c r="F65" s="73">
        <f t="shared" si="10"/>
        <v>0.5</v>
      </c>
      <c r="G65" s="47">
        <f t="shared" si="1"/>
        <v>2479</v>
      </c>
      <c r="H65" s="47">
        <f>攻击!AS65</f>
        <v>495.8</v>
      </c>
      <c r="I65" s="73">
        <f t="shared" si="11"/>
        <v>5</v>
      </c>
      <c r="J65" s="47">
        <f t="shared" si="2"/>
        <v>2479</v>
      </c>
      <c r="K65" s="47">
        <f>霸气!AH65</f>
        <v>361.8</v>
      </c>
      <c r="L65" s="73">
        <f t="shared" si="12"/>
        <v>1</v>
      </c>
      <c r="M65" s="47">
        <f t="shared" si="3"/>
        <v>361.8</v>
      </c>
      <c r="N65" s="47">
        <f>防御!AH65</f>
        <v>361.8</v>
      </c>
      <c r="O65" s="73">
        <f t="shared" si="13"/>
        <v>1</v>
      </c>
      <c r="P65" s="47">
        <f t="shared" si="4"/>
        <v>361.8</v>
      </c>
      <c r="Q65" s="47">
        <f>命中、闪避!G65</f>
        <v>107.2</v>
      </c>
      <c r="R65" s="73">
        <f t="shared" si="14"/>
        <v>1</v>
      </c>
      <c r="S65" s="47">
        <f t="shared" si="5"/>
        <v>107.2</v>
      </c>
      <c r="T65" s="47">
        <f>命中、闪避!B65</f>
        <v>134</v>
      </c>
      <c r="U65" s="73">
        <f t="shared" si="15"/>
        <v>1</v>
      </c>
      <c r="V65" s="47">
        <f t="shared" si="6"/>
        <v>134</v>
      </c>
      <c r="W65" s="47">
        <f>暴击、抗暴!G65</f>
        <v>134</v>
      </c>
      <c r="X65" s="73">
        <f t="shared" si="16"/>
        <v>1</v>
      </c>
      <c r="Y65" s="47">
        <f t="shared" si="7"/>
        <v>134</v>
      </c>
      <c r="Z65" s="47">
        <f>暴击、抗暴!B65</f>
        <v>134</v>
      </c>
      <c r="AA65" s="73">
        <f t="shared" si="17"/>
        <v>1</v>
      </c>
      <c r="AB65" s="47">
        <f t="shared" si="8"/>
        <v>134</v>
      </c>
    </row>
    <row r="66" spans="1:28" s="20" customFormat="1">
      <c r="A66" s="46">
        <v>64</v>
      </c>
      <c r="B66" s="47">
        <f>攻击!AS66</f>
        <v>503.2</v>
      </c>
      <c r="C66" s="73">
        <f t="shared" si="9"/>
        <v>0.3</v>
      </c>
      <c r="D66" s="47">
        <f t="shared" si="0"/>
        <v>150.95999999999998</v>
      </c>
      <c r="E66" s="47">
        <f>HP!AR66</f>
        <v>5032</v>
      </c>
      <c r="F66" s="73">
        <f t="shared" si="10"/>
        <v>0.5</v>
      </c>
      <c r="G66" s="47">
        <f t="shared" si="1"/>
        <v>2516</v>
      </c>
      <c r="H66" s="47">
        <f>攻击!AS66</f>
        <v>503.2</v>
      </c>
      <c r="I66" s="73">
        <f t="shared" si="11"/>
        <v>5</v>
      </c>
      <c r="J66" s="47">
        <f t="shared" si="2"/>
        <v>2516</v>
      </c>
      <c r="K66" s="47">
        <f>霸气!AH66</f>
        <v>367.2</v>
      </c>
      <c r="L66" s="73">
        <f t="shared" si="12"/>
        <v>1</v>
      </c>
      <c r="M66" s="47">
        <f t="shared" si="3"/>
        <v>367.2</v>
      </c>
      <c r="N66" s="47">
        <f>防御!AH66</f>
        <v>367.2</v>
      </c>
      <c r="O66" s="73">
        <f t="shared" si="13"/>
        <v>1</v>
      </c>
      <c r="P66" s="47">
        <f t="shared" si="4"/>
        <v>367.2</v>
      </c>
      <c r="Q66" s="47">
        <f>命中、闪避!G66</f>
        <v>108.80000000000001</v>
      </c>
      <c r="R66" s="73">
        <f t="shared" si="14"/>
        <v>1</v>
      </c>
      <c r="S66" s="47">
        <f t="shared" si="5"/>
        <v>108.80000000000001</v>
      </c>
      <c r="T66" s="47">
        <f>命中、闪避!B66</f>
        <v>136</v>
      </c>
      <c r="U66" s="73">
        <f t="shared" si="15"/>
        <v>1</v>
      </c>
      <c r="V66" s="47">
        <f t="shared" si="6"/>
        <v>136</v>
      </c>
      <c r="W66" s="47">
        <f>暴击、抗暴!G66</f>
        <v>136</v>
      </c>
      <c r="X66" s="73">
        <f t="shared" si="16"/>
        <v>1</v>
      </c>
      <c r="Y66" s="47">
        <f t="shared" si="7"/>
        <v>136</v>
      </c>
      <c r="Z66" s="47">
        <f>暴击、抗暴!B66</f>
        <v>136</v>
      </c>
      <c r="AA66" s="73">
        <f t="shared" si="17"/>
        <v>1</v>
      </c>
      <c r="AB66" s="47">
        <f t="shared" si="8"/>
        <v>136</v>
      </c>
    </row>
    <row r="67" spans="1:28" s="20" customFormat="1">
      <c r="A67" s="46">
        <v>65</v>
      </c>
      <c r="B67" s="47">
        <f>攻击!AS67</f>
        <v>510.6</v>
      </c>
      <c r="C67" s="73">
        <f t="shared" si="9"/>
        <v>0.3</v>
      </c>
      <c r="D67" s="47">
        <f t="shared" si="0"/>
        <v>153.18</v>
      </c>
      <c r="E67" s="47">
        <f>HP!AR67</f>
        <v>5106</v>
      </c>
      <c r="F67" s="73">
        <f t="shared" si="10"/>
        <v>0.5</v>
      </c>
      <c r="G67" s="47">
        <f t="shared" si="1"/>
        <v>2553</v>
      </c>
      <c r="H67" s="47">
        <f>攻击!AS67</f>
        <v>510.6</v>
      </c>
      <c r="I67" s="73">
        <f t="shared" si="11"/>
        <v>5</v>
      </c>
      <c r="J67" s="47">
        <f t="shared" si="2"/>
        <v>2553</v>
      </c>
      <c r="K67" s="47">
        <f>霸气!AH67</f>
        <v>372.6</v>
      </c>
      <c r="L67" s="73">
        <f t="shared" si="12"/>
        <v>1</v>
      </c>
      <c r="M67" s="47">
        <f t="shared" si="3"/>
        <v>372.6</v>
      </c>
      <c r="N67" s="47">
        <f>防御!AH67</f>
        <v>372.6</v>
      </c>
      <c r="O67" s="73">
        <f t="shared" si="13"/>
        <v>1</v>
      </c>
      <c r="P67" s="47">
        <f t="shared" si="4"/>
        <v>372.6</v>
      </c>
      <c r="Q67" s="47">
        <f>命中、闪避!G67</f>
        <v>110.4</v>
      </c>
      <c r="R67" s="73">
        <f t="shared" si="14"/>
        <v>1</v>
      </c>
      <c r="S67" s="47">
        <f t="shared" si="5"/>
        <v>110.4</v>
      </c>
      <c r="T67" s="47">
        <f>命中、闪避!B67</f>
        <v>138</v>
      </c>
      <c r="U67" s="73">
        <f t="shared" si="15"/>
        <v>1</v>
      </c>
      <c r="V67" s="47">
        <f t="shared" si="6"/>
        <v>138</v>
      </c>
      <c r="W67" s="47">
        <f>暴击、抗暴!G67</f>
        <v>138</v>
      </c>
      <c r="X67" s="73">
        <f t="shared" si="16"/>
        <v>1</v>
      </c>
      <c r="Y67" s="47">
        <f t="shared" si="7"/>
        <v>138</v>
      </c>
      <c r="Z67" s="47">
        <f>暴击、抗暴!B67</f>
        <v>138</v>
      </c>
      <c r="AA67" s="73">
        <f t="shared" si="17"/>
        <v>1</v>
      </c>
      <c r="AB67" s="47">
        <f t="shared" si="8"/>
        <v>138</v>
      </c>
    </row>
    <row r="68" spans="1:28" s="20" customFormat="1">
      <c r="A68" s="46">
        <v>66</v>
      </c>
      <c r="B68" s="47">
        <f>攻击!AS68</f>
        <v>518</v>
      </c>
      <c r="C68" s="73">
        <f t="shared" si="9"/>
        <v>0.3</v>
      </c>
      <c r="D68" s="47">
        <f t="shared" ref="D68:D122" si="18">C68*B68</f>
        <v>155.4</v>
      </c>
      <c r="E68" s="47">
        <f>HP!AR68</f>
        <v>5180</v>
      </c>
      <c r="F68" s="73">
        <f t="shared" si="10"/>
        <v>0.5</v>
      </c>
      <c r="G68" s="47">
        <f t="shared" ref="G68:G122" si="19">F68*E68</f>
        <v>2590</v>
      </c>
      <c r="H68" s="47">
        <f>攻击!AS68</f>
        <v>518</v>
      </c>
      <c r="I68" s="73">
        <f t="shared" si="11"/>
        <v>5</v>
      </c>
      <c r="J68" s="47">
        <f t="shared" ref="J68:J122" si="20">I68*H68</f>
        <v>2590</v>
      </c>
      <c r="K68" s="47">
        <f>霸气!AH68</f>
        <v>378</v>
      </c>
      <c r="L68" s="73">
        <f t="shared" si="12"/>
        <v>1</v>
      </c>
      <c r="M68" s="47">
        <f t="shared" ref="M68:M122" si="21">L68*K68</f>
        <v>378</v>
      </c>
      <c r="N68" s="47">
        <f>防御!AH68</f>
        <v>378</v>
      </c>
      <c r="O68" s="73">
        <f t="shared" si="13"/>
        <v>1</v>
      </c>
      <c r="P68" s="47">
        <f t="shared" ref="P68:P122" si="22">O68*N68</f>
        <v>378</v>
      </c>
      <c r="Q68" s="47">
        <f>命中、闪避!G68</f>
        <v>112</v>
      </c>
      <c r="R68" s="73">
        <f t="shared" si="14"/>
        <v>1</v>
      </c>
      <c r="S68" s="47">
        <f t="shared" ref="S68:S122" si="23">R68*Q68</f>
        <v>112</v>
      </c>
      <c r="T68" s="47">
        <f>命中、闪避!B68</f>
        <v>140</v>
      </c>
      <c r="U68" s="73">
        <f t="shared" si="15"/>
        <v>1</v>
      </c>
      <c r="V68" s="47">
        <f t="shared" ref="V68:V122" si="24">U68*T68</f>
        <v>140</v>
      </c>
      <c r="W68" s="47">
        <f>暴击、抗暴!G68</f>
        <v>140</v>
      </c>
      <c r="X68" s="73">
        <f t="shared" si="16"/>
        <v>1</v>
      </c>
      <c r="Y68" s="47">
        <f t="shared" ref="Y68:Y122" si="25">X68*W68</f>
        <v>140</v>
      </c>
      <c r="Z68" s="47">
        <f>暴击、抗暴!B68</f>
        <v>140</v>
      </c>
      <c r="AA68" s="73">
        <f t="shared" si="17"/>
        <v>1</v>
      </c>
      <c r="AB68" s="47">
        <f t="shared" ref="AB68:AB122" si="26">AA68*Z68</f>
        <v>140</v>
      </c>
    </row>
    <row r="69" spans="1:28" s="20" customFormat="1">
      <c r="A69" s="46">
        <v>67</v>
      </c>
      <c r="B69" s="47">
        <f>攻击!AS69</f>
        <v>525.4</v>
      </c>
      <c r="C69" s="73">
        <f t="shared" ref="C69:C122" si="27">C68</f>
        <v>0.3</v>
      </c>
      <c r="D69" s="47">
        <f t="shared" si="18"/>
        <v>157.61999999999998</v>
      </c>
      <c r="E69" s="47">
        <f>HP!AR69</f>
        <v>5254</v>
      </c>
      <c r="F69" s="73">
        <f t="shared" ref="F69:F122" si="28">F68</f>
        <v>0.5</v>
      </c>
      <c r="G69" s="47">
        <f t="shared" si="19"/>
        <v>2627</v>
      </c>
      <c r="H69" s="47">
        <f>攻击!AS69</f>
        <v>525.4</v>
      </c>
      <c r="I69" s="73">
        <f t="shared" ref="I69:I122" si="29">I68</f>
        <v>5</v>
      </c>
      <c r="J69" s="47">
        <f t="shared" si="20"/>
        <v>2627</v>
      </c>
      <c r="K69" s="47">
        <f>霸气!AH69</f>
        <v>383.4</v>
      </c>
      <c r="L69" s="73">
        <f t="shared" ref="L69:L122" si="30">L68</f>
        <v>1</v>
      </c>
      <c r="M69" s="47">
        <f t="shared" si="21"/>
        <v>383.4</v>
      </c>
      <c r="N69" s="47">
        <f>防御!AH69</f>
        <v>383.4</v>
      </c>
      <c r="O69" s="73">
        <f t="shared" ref="O69:O122" si="31">O68</f>
        <v>1</v>
      </c>
      <c r="P69" s="47">
        <f t="shared" si="22"/>
        <v>383.4</v>
      </c>
      <c r="Q69" s="47">
        <f>命中、闪避!G69</f>
        <v>113.60000000000001</v>
      </c>
      <c r="R69" s="73">
        <f t="shared" ref="R69:R122" si="32">R68</f>
        <v>1</v>
      </c>
      <c r="S69" s="47">
        <f t="shared" si="23"/>
        <v>113.60000000000001</v>
      </c>
      <c r="T69" s="47">
        <f>命中、闪避!B69</f>
        <v>142</v>
      </c>
      <c r="U69" s="73">
        <f t="shared" ref="U69:U122" si="33">U68</f>
        <v>1</v>
      </c>
      <c r="V69" s="47">
        <f t="shared" si="24"/>
        <v>142</v>
      </c>
      <c r="W69" s="47">
        <f>暴击、抗暴!G69</f>
        <v>142</v>
      </c>
      <c r="X69" s="73">
        <f t="shared" ref="X69:X122" si="34">X68</f>
        <v>1</v>
      </c>
      <c r="Y69" s="47">
        <f t="shared" si="25"/>
        <v>142</v>
      </c>
      <c r="Z69" s="47">
        <f>暴击、抗暴!B69</f>
        <v>142</v>
      </c>
      <c r="AA69" s="73">
        <f t="shared" ref="AA69:AA122" si="35">AA68</f>
        <v>1</v>
      </c>
      <c r="AB69" s="47">
        <f t="shared" si="26"/>
        <v>142</v>
      </c>
    </row>
    <row r="70" spans="1:28" s="20" customFormat="1">
      <c r="A70" s="46">
        <v>68</v>
      </c>
      <c r="B70" s="47">
        <f>攻击!AS70</f>
        <v>532.79999999999995</v>
      </c>
      <c r="C70" s="73">
        <f t="shared" si="27"/>
        <v>0.3</v>
      </c>
      <c r="D70" s="47">
        <f t="shared" si="18"/>
        <v>159.83999999999997</v>
      </c>
      <c r="E70" s="47">
        <f>HP!AR70</f>
        <v>5328</v>
      </c>
      <c r="F70" s="73">
        <f t="shared" si="28"/>
        <v>0.5</v>
      </c>
      <c r="G70" s="47">
        <f t="shared" si="19"/>
        <v>2664</v>
      </c>
      <c r="H70" s="47">
        <f>攻击!AS70</f>
        <v>532.79999999999995</v>
      </c>
      <c r="I70" s="73">
        <f t="shared" si="29"/>
        <v>5</v>
      </c>
      <c r="J70" s="47">
        <f t="shared" si="20"/>
        <v>2664</v>
      </c>
      <c r="K70" s="47">
        <f>霸气!AH70</f>
        <v>388.8</v>
      </c>
      <c r="L70" s="73">
        <f t="shared" si="30"/>
        <v>1</v>
      </c>
      <c r="M70" s="47">
        <f t="shared" si="21"/>
        <v>388.8</v>
      </c>
      <c r="N70" s="47">
        <f>防御!AH70</f>
        <v>388.8</v>
      </c>
      <c r="O70" s="73">
        <f t="shared" si="31"/>
        <v>1</v>
      </c>
      <c r="P70" s="47">
        <f t="shared" si="22"/>
        <v>388.8</v>
      </c>
      <c r="Q70" s="47">
        <f>命中、闪避!G70</f>
        <v>115.2</v>
      </c>
      <c r="R70" s="73">
        <f t="shared" si="32"/>
        <v>1</v>
      </c>
      <c r="S70" s="47">
        <f t="shared" si="23"/>
        <v>115.2</v>
      </c>
      <c r="T70" s="47">
        <f>命中、闪避!B70</f>
        <v>144</v>
      </c>
      <c r="U70" s="73">
        <f t="shared" si="33"/>
        <v>1</v>
      </c>
      <c r="V70" s="47">
        <f t="shared" si="24"/>
        <v>144</v>
      </c>
      <c r="W70" s="47">
        <f>暴击、抗暴!G70</f>
        <v>144</v>
      </c>
      <c r="X70" s="73">
        <f t="shared" si="34"/>
        <v>1</v>
      </c>
      <c r="Y70" s="47">
        <f t="shared" si="25"/>
        <v>144</v>
      </c>
      <c r="Z70" s="47">
        <f>暴击、抗暴!B70</f>
        <v>144</v>
      </c>
      <c r="AA70" s="73">
        <f t="shared" si="35"/>
        <v>1</v>
      </c>
      <c r="AB70" s="47">
        <f t="shared" si="26"/>
        <v>144</v>
      </c>
    </row>
    <row r="71" spans="1:28" s="20" customFormat="1">
      <c r="A71" s="46">
        <v>69</v>
      </c>
      <c r="B71" s="47">
        <f>攻击!AS71</f>
        <v>540.20000000000005</v>
      </c>
      <c r="C71" s="73">
        <f t="shared" si="27"/>
        <v>0.3</v>
      </c>
      <c r="D71" s="47">
        <f t="shared" si="18"/>
        <v>162.06</v>
      </c>
      <c r="E71" s="47">
        <f>HP!AR71</f>
        <v>5402</v>
      </c>
      <c r="F71" s="73">
        <f t="shared" si="28"/>
        <v>0.5</v>
      </c>
      <c r="G71" s="47">
        <f t="shared" si="19"/>
        <v>2701</v>
      </c>
      <c r="H71" s="47">
        <f>攻击!AS71</f>
        <v>540.20000000000005</v>
      </c>
      <c r="I71" s="73">
        <f t="shared" si="29"/>
        <v>5</v>
      </c>
      <c r="J71" s="47">
        <f t="shared" si="20"/>
        <v>2701</v>
      </c>
      <c r="K71" s="47">
        <f>霸气!AH71</f>
        <v>394.2</v>
      </c>
      <c r="L71" s="73">
        <f t="shared" si="30"/>
        <v>1</v>
      </c>
      <c r="M71" s="47">
        <f t="shared" si="21"/>
        <v>394.2</v>
      </c>
      <c r="N71" s="47">
        <f>防御!AH71</f>
        <v>394.2</v>
      </c>
      <c r="O71" s="73">
        <f t="shared" si="31"/>
        <v>1</v>
      </c>
      <c r="P71" s="47">
        <f t="shared" si="22"/>
        <v>394.2</v>
      </c>
      <c r="Q71" s="47">
        <f>命中、闪避!G71</f>
        <v>116.80000000000001</v>
      </c>
      <c r="R71" s="73">
        <f t="shared" si="32"/>
        <v>1</v>
      </c>
      <c r="S71" s="47">
        <f t="shared" si="23"/>
        <v>116.80000000000001</v>
      </c>
      <c r="T71" s="47">
        <f>命中、闪避!B71</f>
        <v>146</v>
      </c>
      <c r="U71" s="73">
        <f t="shared" si="33"/>
        <v>1</v>
      </c>
      <c r="V71" s="47">
        <f t="shared" si="24"/>
        <v>146</v>
      </c>
      <c r="W71" s="47">
        <f>暴击、抗暴!G71</f>
        <v>146</v>
      </c>
      <c r="X71" s="73">
        <f t="shared" si="34"/>
        <v>1</v>
      </c>
      <c r="Y71" s="47">
        <f t="shared" si="25"/>
        <v>146</v>
      </c>
      <c r="Z71" s="47">
        <f>暴击、抗暴!B71</f>
        <v>146</v>
      </c>
      <c r="AA71" s="73">
        <f t="shared" si="35"/>
        <v>1</v>
      </c>
      <c r="AB71" s="47">
        <f t="shared" si="26"/>
        <v>146</v>
      </c>
    </row>
    <row r="72" spans="1:28" s="20" customFormat="1">
      <c r="A72" s="46">
        <v>70</v>
      </c>
      <c r="B72" s="47">
        <f>攻击!AS72</f>
        <v>725.2</v>
      </c>
      <c r="C72" s="73">
        <f t="shared" si="27"/>
        <v>0.3</v>
      </c>
      <c r="D72" s="47">
        <f t="shared" si="18"/>
        <v>217.56</v>
      </c>
      <c r="E72" s="47">
        <f>HP!AR72</f>
        <v>7252</v>
      </c>
      <c r="F72" s="73">
        <f t="shared" si="28"/>
        <v>0.5</v>
      </c>
      <c r="G72" s="47">
        <f t="shared" si="19"/>
        <v>3626</v>
      </c>
      <c r="H72" s="47">
        <f>攻击!AS72</f>
        <v>725.2</v>
      </c>
      <c r="I72" s="73">
        <f t="shared" si="29"/>
        <v>5</v>
      </c>
      <c r="J72" s="47">
        <f t="shared" si="20"/>
        <v>3626</v>
      </c>
      <c r="K72" s="47">
        <f>霸气!AH72</f>
        <v>577.20000000000005</v>
      </c>
      <c r="L72" s="73">
        <f t="shared" si="30"/>
        <v>1</v>
      </c>
      <c r="M72" s="47">
        <f t="shared" si="21"/>
        <v>577.20000000000005</v>
      </c>
      <c r="N72" s="47">
        <f>防御!AH72</f>
        <v>577.20000000000005</v>
      </c>
      <c r="O72" s="73">
        <f t="shared" si="31"/>
        <v>1</v>
      </c>
      <c r="P72" s="47">
        <f t="shared" si="22"/>
        <v>577.20000000000005</v>
      </c>
      <c r="Q72" s="47">
        <f>命中、闪避!G72</f>
        <v>118.4</v>
      </c>
      <c r="R72" s="73">
        <f t="shared" si="32"/>
        <v>1</v>
      </c>
      <c r="S72" s="47">
        <f t="shared" si="23"/>
        <v>118.4</v>
      </c>
      <c r="T72" s="47">
        <f>命中、闪避!B72</f>
        <v>148</v>
      </c>
      <c r="U72" s="73">
        <f t="shared" si="33"/>
        <v>1</v>
      </c>
      <c r="V72" s="47">
        <f t="shared" si="24"/>
        <v>148</v>
      </c>
      <c r="W72" s="47">
        <f>暴击、抗暴!G72</f>
        <v>148</v>
      </c>
      <c r="X72" s="73">
        <f t="shared" si="34"/>
        <v>1</v>
      </c>
      <c r="Y72" s="47">
        <f t="shared" si="25"/>
        <v>148</v>
      </c>
      <c r="Z72" s="47">
        <f>暴击、抗暴!B72</f>
        <v>148</v>
      </c>
      <c r="AA72" s="73">
        <f t="shared" si="35"/>
        <v>1</v>
      </c>
      <c r="AB72" s="47">
        <f t="shared" si="26"/>
        <v>148</v>
      </c>
    </row>
    <row r="73" spans="1:28" s="20" customFormat="1">
      <c r="A73" s="46">
        <v>71</v>
      </c>
      <c r="B73" s="47">
        <f>攻击!AS73</f>
        <v>735</v>
      </c>
      <c r="C73" s="73">
        <f t="shared" si="27"/>
        <v>0.3</v>
      </c>
      <c r="D73" s="47">
        <f t="shared" si="18"/>
        <v>220.5</v>
      </c>
      <c r="E73" s="47">
        <f>HP!AR73</f>
        <v>7350</v>
      </c>
      <c r="F73" s="73">
        <f t="shared" si="28"/>
        <v>0.5</v>
      </c>
      <c r="G73" s="47">
        <f t="shared" si="19"/>
        <v>3675</v>
      </c>
      <c r="H73" s="47">
        <f>攻击!AS73</f>
        <v>735</v>
      </c>
      <c r="I73" s="73">
        <f t="shared" si="29"/>
        <v>5</v>
      </c>
      <c r="J73" s="47">
        <f t="shared" si="20"/>
        <v>3675</v>
      </c>
      <c r="K73" s="47">
        <f>霸气!AH73</f>
        <v>585</v>
      </c>
      <c r="L73" s="73">
        <f t="shared" si="30"/>
        <v>1</v>
      </c>
      <c r="M73" s="47">
        <f t="shared" si="21"/>
        <v>585</v>
      </c>
      <c r="N73" s="47">
        <f>防御!AH73</f>
        <v>585</v>
      </c>
      <c r="O73" s="73">
        <f t="shared" si="31"/>
        <v>1</v>
      </c>
      <c r="P73" s="47">
        <f t="shared" si="22"/>
        <v>585</v>
      </c>
      <c r="Q73" s="47">
        <f>命中、闪避!G73</f>
        <v>120</v>
      </c>
      <c r="R73" s="73">
        <f t="shared" si="32"/>
        <v>1</v>
      </c>
      <c r="S73" s="47">
        <f t="shared" si="23"/>
        <v>120</v>
      </c>
      <c r="T73" s="47">
        <f>命中、闪避!B73</f>
        <v>150</v>
      </c>
      <c r="U73" s="73">
        <f t="shared" si="33"/>
        <v>1</v>
      </c>
      <c r="V73" s="47">
        <f t="shared" si="24"/>
        <v>150</v>
      </c>
      <c r="W73" s="47">
        <f>暴击、抗暴!G73</f>
        <v>150</v>
      </c>
      <c r="X73" s="73">
        <f t="shared" si="34"/>
        <v>1</v>
      </c>
      <c r="Y73" s="47">
        <f t="shared" si="25"/>
        <v>150</v>
      </c>
      <c r="Z73" s="47">
        <f>暴击、抗暴!B73</f>
        <v>150</v>
      </c>
      <c r="AA73" s="73">
        <f t="shared" si="35"/>
        <v>1</v>
      </c>
      <c r="AB73" s="47">
        <f t="shared" si="26"/>
        <v>150</v>
      </c>
    </row>
    <row r="74" spans="1:28" s="20" customFormat="1">
      <c r="A74" s="46">
        <v>72</v>
      </c>
      <c r="B74" s="47">
        <f>攻击!AS74</f>
        <v>744.8</v>
      </c>
      <c r="C74" s="73">
        <f t="shared" si="27"/>
        <v>0.3</v>
      </c>
      <c r="D74" s="47">
        <f t="shared" si="18"/>
        <v>223.43999999999997</v>
      </c>
      <c r="E74" s="47">
        <f>HP!AR74</f>
        <v>7448</v>
      </c>
      <c r="F74" s="73">
        <f t="shared" si="28"/>
        <v>0.5</v>
      </c>
      <c r="G74" s="47">
        <f t="shared" si="19"/>
        <v>3724</v>
      </c>
      <c r="H74" s="47">
        <f>攻击!AS74</f>
        <v>744.8</v>
      </c>
      <c r="I74" s="73">
        <f t="shared" si="29"/>
        <v>5</v>
      </c>
      <c r="J74" s="47">
        <f t="shared" si="20"/>
        <v>3724</v>
      </c>
      <c r="K74" s="47">
        <f>霸气!AH74</f>
        <v>592.79999999999995</v>
      </c>
      <c r="L74" s="73">
        <f t="shared" si="30"/>
        <v>1</v>
      </c>
      <c r="M74" s="47">
        <f t="shared" si="21"/>
        <v>592.79999999999995</v>
      </c>
      <c r="N74" s="47">
        <f>防御!AH74</f>
        <v>592.79999999999995</v>
      </c>
      <c r="O74" s="73">
        <f t="shared" si="31"/>
        <v>1</v>
      </c>
      <c r="P74" s="47">
        <f t="shared" si="22"/>
        <v>592.79999999999995</v>
      </c>
      <c r="Q74" s="47">
        <f>命中、闪避!G74</f>
        <v>121.60000000000001</v>
      </c>
      <c r="R74" s="73">
        <f t="shared" si="32"/>
        <v>1</v>
      </c>
      <c r="S74" s="47">
        <f t="shared" si="23"/>
        <v>121.60000000000001</v>
      </c>
      <c r="T74" s="47">
        <f>命中、闪避!B74</f>
        <v>152</v>
      </c>
      <c r="U74" s="73">
        <f t="shared" si="33"/>
        <v>1</v>
      </c>
      <c r="V74" s="47">
        <f t="shared" si="24"/>
        <v>152</v>
      </c>
      <c r="W74" s="47">
        <f>暴击、抗暴!G74</f>
        <v>152</v>
      </c>
      <c r="X74" s="73">
        <f t="shared" si="34"/>
        <v>1</v>
      </c>
      <c r="Y74" s="47">
        <f t="shared" si="25"/>
        <v>152</v>
      </c>
      <c r="Z74" s="47">
        <f>暴击、抗暴!B74</f>
        <v>152</v>
      </c>
      <c r="AA74" s="73">
        <f t="shared" si="35"/>
        <v>1</v>
      </c>
      <c r="AB74" s="47">
        <f t="shared" si="26"/>
        <v>152</v>
      </c>
    </row>
    <row r="75" spans="1:28" s="20" customFormat="1">
      <c r="A75" s="46">
        <v>73</v>
      </c>
      <c r="B75" s="47">
        <f>攻击!AS75</f>
        <v>754.6</v>
      </c>
      <c r="C75" s="73">
        <f t="shared" si="27"/>
        <v>0.3</v>
      </c>
      <c r="D75" s="47">
        <f t="shared" si="18"/>
        <v>226.38</v>
      </c>
      <c r="E75" s="47">
        <f>HP!AR75</f>
        <v>7546</v>
      </c>
      <c r="F75" s="73">
        <f t="shared" si="28"/>
        <v>0.5</v>
      </c>
      <c r="G75" s="47">
        <f t="shared" si="19"/>
        <v>3773</v>
      </c>
      <c r="H75" s="47">
        <f>攻击!AS75</f>
        <v>754.6</v>
      </c>
      <c r="I75" s="73">
        <f t="shared" si="29"/>
        <v>5</v>
      </c>
      <c r="J75" s="47">
        <f t="shared" si="20"/>
        <v>3773</v>
      </c>
      <c r="K75" s="47">
        <f>霸气!AH75</f>
        <v>600.59999999999991</v>
      </c>
      <c r="L75" s="73">
        <f t="shared" si="30"/>
        <v>1</v>
      </c>
      <c r="M75" s="47">
        <f t="shared" si="21"/>
        <v>600.59999999999991</v>
      </c>
      <c r="N75" s="47">
        <f>防御!AH75</f>
        <v>600.59999999999991</v>
      </c>
      <c r="O75" s="73">
        <f t="shared" si="31"/>
        <v>1</v>
      </c>
      <c r="P75" s="47">
        <f t="shared" si="22"/>
        <v>600.59999999999991</v>
      </c>
      <c r="Q75" s="47">
        <f>命中、闪避!G75</f>
        <v>123.2</v>
      </c>
      <c r="R75" s="73">
        <f t="shared" si="32"/>
        <v>1</v>
      </c>
      <c r="S75" s="47">
        <f t="shared" si="23"/>
        <v>123.2</v>
      </c>
      <c r="T75" s="47">
        <f>命中、闪避!B75</f>
        <v>154</v>
      </c>
      <c r="U75" s="73">
        <f t="shared" si="33"/>
        <v>1</v>
      </c>
      <c r="V75" s="47">
        <f t="shared" si="24"/>
        <v>154</v>
      </c>
      <c r="W75" s="47">
        <f>暴击、抗暴!G75</f>
        <v>154</v>
      </c>
      <c r="X75" s="73">
        <f t="shared" si="34"/>
        <v>1</v>
      </c>
      <c r="Y75" s="47">
        <f t="shared" si="25"/>
        <v>154</v>
      </c>
      <c r="Z75" s="47">
        <f>暴击、抗暴!B75</f>
        <v>154</v>
      </c>
      <c r="AA75" s="73">
        <f t="shared" si="35"/>
        <v>1</v>
      </c>
      <c r="AB75" s="47">
        <f t="shared" si="26"/>
        <v>154</v>
      </c>
    </row>
    <row r="76" spans="1:28" s="20" customFormat="1">
      <c r="A76" s="46">
        <v>74</v>
      </c>
      <c r="B76" s="47">
        <f>攻击!AS76</f>
        <v>764.4</v>
      </c>
      <c r="C76" s="73">
        <f t="shared" si="27"/>
        <v>0.3</v>
      </c>
      <c r="D76" s="47">
        <f t="shared" si="18"/>
        <v>229.32</v>
      </c>
      <c r="E76" s="47">
        <f>HP!AR76</f>
        <v>7644</v>
      </c>
      <c r="F76" s="73">
        <f t="shared" si="28"/>
        <v>0.5</v>
      </c>
      <c r="G76" s="47">
        <f t="shared" si="19"/>
        <v>3822</v>
      </c>
      <c r="H76" s="47">
        <f>攻击!AS76</f>
        <v>764.4</v>
      </c>
      <c r="I76" s="73">
        <f t="shared" si="29"/>
        <v>5</v>
      </c>
      <c r="J76" s="47">
        <f t="shared" si="20"/>
        <v>3822</v>
      </c>
      <c r="K76" s="47">
        <f>霸气!AH76</f>
        <v>608.40000000000009</v>
      </c>
      <c r="L76" s="73">
        <f t="shared" si="30"/>
        <v>1</v>
      </c>
      <c r="M76" s="47">
        <f t="shared" si="21"/>
        <v>608.40000000000009</v>
      </c>
      <c r="N76" s="47">
        <f>防御!AH76</f>
        <v>608.40000000000009</v>
      </c>
      <c r="O76" s="73">
        <f t="shared" si="31"/>
        <v>1</v>
      </c>
      <c r="P76" s="47">
        <f t="shared" si="22"/>
        <v>608.40000000000009</v>
      </c>
      <c r="Q76" s="47">
        <f>命中、闪避!G76</f>
        <v>124.80000000000001</v>
      </c>
      <c r="R76" s="73">
        <f t="shared" si="32"/>
        <v>1</v>
      </c>
      <c r="S76" s="47">
        <f t="shared" si="23"/>
        <v>124.80000000000001</v>
      </c>
      <c r="T76" s="47">
        <f>命中、闪避!B76</f>
        <v>156</v>
      </c>
      <c r="U76" s="73">
        <f t="shared" si="33"/>
        <v>1</v>
      </c>
      <c r="V76" s="47">
        <f t="shared" si="24"/>
        <v>156</v>
      </c>
      <c r="W76" s="47">
        <f>暴击、抗暴!G76</f>
        <v>156</v>
      </c>
      <c r="X76" s="73">
        <f t="shared" si="34"/>
        <v>1</v>
      </c>
      <c r="Y76" s="47">
        <f t="shared" si="25"/>
        <v>156</v>
      </c>
      <c r="Z76" s="47">
        <f>暴击、抗暴!B76</f>
        <v>156</v>
      </c>
      <c r="AA76" s="73">
        <f t="shared" si="35"/>
        <v>1</v>
      </c>
      <c r="AB76" s="47">
        <f t="shared" si="26"/>
        <v>156</v>
      </c>
    </row>
    <row r="77" spans="1:28" s="20" customFormat="1">
      <c r="A77" s="46">
        <v>75</v>
      </c>
      <c r="B77" s="47">
        <f>攻击!AS77</f>
        <v>774.2</v>
      </c>
      <c r="C77" s="73">
        <f t="shared" si="27"/>
        <v>0.3</v>
      </c>
      <c r="D77" s="47">
        <f t="shared" si="18"/>
        <v>232.26</v>
      </c>
      <c r="E77" s="47">
        <f>HP!AR77</f>
        <v>7742</v>
      </c>
      <c r="F77" s="73">
        <f t="shared" si="28"/>
        <v>0.5</v>
      </c>
      <c r="G77" s="47">
        <f t="shared" si="19"/>
        <v>3871</v>
      </c>
      <c r="H77" s="47">
        <f>攻击!AS77</f>
        <v>774.2</v>
      </c>
      <c r="I77" s="73">
        <f t="shared" si="29"/>
        <v>5</v>
      </c>
      <c r="J77" s="47">
        <f t="shared" si="20"/>
        <v>3871</v>
      </c>
      <c r="K77" s="47">
        <f>霸气!AH77</f>
        <v>616.20000000000005</v>
      </c>
      <c r="L77" s="73">
        <f t="shared" si="30"/>
        <v>1</v>
      </c>
      <c r="M77" s="47">
        <f t="shared" si="21"/>
        <v>616.20000000000005</v>
      </c>
      <c r="N77" s="47">
        <f>防御!AH77</f>
        <v>616.20000000000005</v>
      </c>
      <c r="O77" s="73">
        <f t="shared" si="31"/>
        <v>1</v>
      </c>
      <c r="P77" s="47">
        <f t="shared" si="22"/>
        <v>616.20000000000005</v>
      </c>
      <c r="Q77" s="47">
        <f>命中、闪避!G77</f>
        <v>126.4</v>
      </c>
      <c r="R77" s="73">
        <f t="shared" si="32"/>
        <v>1</v>
      </c>
      <c r="S77" s="47">
        <f t="shared" si="23"/>
        <v>126.4</v>
      </c>
      <c r="T77" s="47">
        <f>命中、闪避!B77</f>
        <v>158</v>
      </c>
      <c r="U77" s="73">
        <f t="shared" si="33"/>
        <v>1</v>
      </c>
      <c r="V77" s="47">
        <f t="shared" si="24"/>
        <v>158</v>
      </c>
      <c r="W77" s="47">
        <f>暴击、抗暴!G77</f>
        <v>158</v>
      </c>
      <c r="X77" s="73">
        <f t="shared" si="34"/>
        <v>1</v>
      </c>
      <c r="Y77" s="47">
        <f t="shared" si="25"/>
        <v>158</v>
      </c>
      <c r="Z77" s="47">
        <f>暴击、抗暴!B77</f>
        <v>158</v>
      </c>
      <c r="AA77" s="73">
        <f t="shared" si="35"/>
        <v>1</v>
      </c>
      <c r="AB77" s="47">
        <f t="shared" si="26"/>
        <v>158</v>
      </c>
    </row>
    <row r="78" spans="1:28" s="20" customFormat="1">
      <c r="A78" s="46">
        <v>76</v>
      </c>
      <c r="B78" s="47">
        <f>攻击!AS78</f>
        <v>784</v>
      </c>
      <c r="C78" s="73">
        <f t="shared" si="27"/>
        <v>0.3</v>
      </c>
      <c r="D78" s="47">
        <f t="shared" si="18"/>
        <v>235.2</v>
      </c>
      <c r="E78" s="47">
        <f>HP!AR78</f>
        <v>7840</v>
      </c>
      <c r="F78" s="73">
        <f t="shared" si="28"/>
        <v>0.5</v>
      </c>
      <c r="G78" s="47">
        <f t="shared" si="19"/>
        <v>3920</v>
      </c>
      <c r="H78" s="47">
        <f>攻击!AS78</f>
        <v>784</v>
      </c>
      <c r="I78" s="73">
        <f t="shared" si="29"/>
        <v>5</v>
      </c>
      <c r="J78" s="47">
        <f t="shared" si="20"/>
        <v>3920</v>
      </c>
      <c r="K78" s="47">
        <f>霸气!AH78</f>
        <v>624</v>
      </c>
      <c r="L78" s="73">
        <f t="shared" si="30"/>
        <v>1</v>
      </c>
      <c r="M78" s="47">
        <f t="shared" si="21"/>
        <v>624</v>
      </c>
      <c r="N78" s="47">
        <f>防御!AH78</f>
        <v>624</v>
      </c>
      <c r="O78" s="73">
        <f t="shared" si="31"/>
        <v>1</v>
      </c>
      <c r="P78" s="47">
        <f t="shared" si="22"/>
        <v>624</v>
      </c>
      <c r="Q78" s="47">
        <f>命中、闪避!G78</f>
        <v>128</v>
      </c>
      <c r="R78" s="73">
        <f t="shared" si="32"/>
        <v>1</v>
      </c>
      <c r="S78" s="47">
        <f t="shared" si="23"/>
        <v>128</v>
      </c>
      <c r="T78" s="47">
        <f>命中、闪避!B78</f>
        <v>160</v>
      </c>
      <c r="U78" s="73">
        <f t="shared" si="33"/>
        <v>1</v>
      </c>
      <c r="V78" s="47">
        <f t="shared" si="24"/>
        <v>160</v>
      </c>
      <c r="W78" s="47">
        <f>暴击、抗暴!G78</f>
        <v>160</v>
      </c>
      <c r="X78" s="73">
        <f t="shared" si="34"/>
        <v>1</v>
      </c>
      <c r="Y78" s="47">
        <f t="shared" si="25"/>
        <v>160</v>
      </c>
      <c r="Z78" s="47">
        <f>暴击、抗暴!B78</f>
        <v>160</v>
      </c>
      <c r="AA78" s="73">
        <f t="shared" si="35"/>
        <v>1</v>
      </c>
      <c r="AB78" s="47">
        <f t="shared" si="26"/>
        <v>160</v>
      </c>
    </row>
    <row r="79" spans="1:28" s="20" customFormat="1">
      <c r="A79" s="46">
        <v>77</v>
      </c>
      <c r="B79" s="47">
        <f>攻击!AS79</f>
        <v>793.8</v>
      </c>
      <c r="C79" s="73">
        <f t="shared" si="27"/>
        <v>0.3</v>
      </c>
      <c r="D79" s="47">
        <f t="shared" si="18"/>
        <v>238.14</v>
      </c>
      <c r="E79" s="47">
        <f>HP!AR79</f>
        <v>7938</v>
      </c>
      <c r="F79" s="73">
        <f t="shared" si="28"/>
        <v>0.5</v>
      </c>
      <c r="G79" s="47">
        <f t="shared" si="19"/>
        <v>3969</v>
      </c>
      <c r="H79" s="47">
        <f>攻击!AS79</f>
        <v>793.8</v>
      </c>
      <c r="I79" s="73">
        <f t="shared" si="29"/>
        <v>5</v>
      </c>
      <c r="J79" s="47">
        <f t="shared" si="20"/>
        <v>3969</v>
      </c>
      <c r="K79" s="47">
        <f>霸气!AH79</f>
        <v>631.79999999999995</v>
      </c>
      <c r="L79" s="73">
        <f t="shared" si="30"/>
        <v>1</v>
      </c>
      <c r="M79" s="47">
        <f t="shared" si="21"/>
        <v>631.79999999999995</v>
      </c>
      <c r="N79" s="47">
        <f>防御!AH79</f>
        <v>631.79999999999995</v>
      </c>
      <c r="O79" s="73">
        <f t="shared" si="31"/>
        <v>1</v>
      </c>
      <c r="P79" s="47">
        <f t="shared" si="22"/>
        <v>631.79999999999995</v>
      </c>
      <c r="Q79" s="47">
        <f>命中、闪避!G79</f>
        <v>129.6</v>
      </c>
      <c r="R79" s="73">
        <f t="shared" si="32"/>
        <v>1</v>
      </c>
      <c r="S79" s="47">
        <f t="shared" si="23"/>
        <v>129.6</v>
      </c>
      <c r="T79" s="47">
        <f>命中、闪避!B79</f>
        <v>162</v>
      </c>
      <c r="U79" s="73">
        <f t="shared" si="33"/>
        <v>1</v>
      </c>
      <c r="V79" s="47">
        <f t="shared" si="24"/>
        <v>162</v>
      </c>
      <c r="W79" s="47">
        <f>暴击、抗暴!G79</f>
        <v>162</v>
      </c>
      <c r="X79" s="73">
        <f t="shared" si="34"/>
        <v>1</v>
      </c>
      <c r="Y79" s="47">
        <f t="shared" si="25"/>
        <v>162</v>
      </c>
      <c r="Z79" s="47">
        <f>暴击、抗暴!B79</f>
        <v>162</v>
      </c>
      <c r="AA79" s="73">
        <f t="shared" si="35"/>
        <v>1</v>
      </c>
      <c r="AB79" s="47">
        <f t="shared" si="26"/>
        <v>162</v>
      </c>
    </row>
    <row r="80" spans="1:28" s="20" customFormat="1">
      <c r="A80" s="46">
        <v>78</v>
      </c>
      <c r="B80" s="47">
        <f>攻击!AS80</f>
        <v>803.6</v>
      </c>
      <c r="C80" s="73">
        <f t="shared" si="27"/>
        <v>0.3</v>
      </c>
      <c r="D80" s="47">
        <f t="shared" si="18"/>
        <v>241.07999999999998</v>
      </c>
      <c r="E80" s="47">
        <f>HP!AR80</f>
        <v>8036</v>
      </c>
      <c r="F80" s="73">
        <f t="shared" si="28"/>
        <v>0.5</v>
      </c>
      <c r="G80" s="47">
        <f t="shared" si="19"/>
        <v>4018</v>
      </c>
      <c r="H80" s="47">
        <f>攻击!AS80</f>
        <v>803.6</v>
      </c>
      <c r="I80" s="73">
        <f t="shared" si="29"/>
        <v>5</v>
      </c>
      <c r="J80" s="47">
        <f t="shared" si="20"/>
        <v>4018</v>
      </c>
      <c r="K80" s="47">
        <f>霸气!AH80</f>
        <v>639.59999999999991</v>
      </c>
      <c r="L80" s="73">
        <f t="shared" si="30"/>
        <v>1</v>
      </c>
      <c r="M80" s="47">
        <f t="shared" si="21"/>
        <v>639.59999999999991</v>
      </c>
      <c r="N80" s="47">
        <f>防御!AH80</f>
        <v>639.59999999999991</v>
      </c>
      <c r="O80" s="73">
        <f t="shared" si="31"/>
        <v>1</v>
      </c>
      <c r="P80" s="47">
        <f t="shared" si="22"/>
        <v>639.59999999999991</v>
      </c>
      <c r="Q80" s="47">
        <f>命中、闪避!G80</f>
        <v>131.20000000000002</v>
      </c>
      <c r="R80" s="73">
        <f t="shared" si="32"/>
        <v>1</v>
      </c>
      <c r="S80" s="47">
        <f t="shared" si="23"/>
        <v>131.20000000000002</v>
      </c>
      <c r="T80" s="47">
        <f>命中、闪避!B80</f>
        <v>164</v>
      </c>
      <c r="U80" s="73">
        <f t="shared" si="33"/>
        <v>1</v>
      </c>
      <c r="V80" s="47">
        <f t="shared" si="24"/>
        <v>164</v>
      </c>
      <c r="W80" s="47">
        <f>暴击、抗暴!G80</f>
        <v>164</v>
      </c>
      <c r="X80" s="73">
        <f t="shared" si="34"/>
        <v>1</v>
      </c>
      <c r="Y80" s="47">
        <f t="shared" si="25"/>
        <v>164</v>
      </c>
      <c r="Z80" s="47">
        <f>暴击、抗暴!B80</f>
        <v>164</v>
      </c>
      <c r="AA80" s="73">
        <f t="shared" si="35"/>
        <v>1</v>
      </c>
      <c r="AB80" s="47">
        <f t="shared" si="26"/>
        <v>164</v>
      </c>
    </row>
    <row r="81" spans="1:28" s="20" customFormat="1">
      <c r="A81" s="46">
        <v>79</v>
      </c>
      <c r="B81" s="47">
        <f>攻击!AS81</f>
        <v>813.4</v>
      </c>
      <c r="C81" s="73">
        <f t="shared" si="27"/>
        <v>0.3</v>
      </c>
      <c r="D81" s="47">
        <f t="shared" si="18"/>
        <v>244.01999999999998</v>
      </c>
      <c r="E81" s="47">
        <f>HP!AR81</f>
        <v>8134</v>
      </c>
      <c r="F81" s="73">
        <f t="shared" si="28"/>
        <v>0.5</v>
      </c>
      <c r="G81" s="47">
        <f t="shared" si="19"/>
        <v>4067</v>
      </c>
      <c r="H81" s="47">
        <f>攻击!AS81</f>
        <v>813.4</v>
      </c>
      <c r="I81" s="73">
        <f t="shared" si="29"/>
        <v>5</v>
      </c>
      <c r="J81" s="47">
        <f t="shared" si="20"/>
        <v>4067</v>
      </c>
      <c r="K81" s="47">
        <f>霸气!AH81</f>
        <v>647.40000000000009</v>
      </c>
      <c r="L81" s="73">
        <f t="shared" si="30"/>
        <v>1</v>
      </c>
      <c r="M81" s="47">
        <f t="shared" si="21"/>
        <v>647.40000000000009</v>
      </c>
      <c r="N81" s="47">
        <f>防御!AH81</f>
        <v>647.40000000000009</v>
      </c>
      <c r="O81" s="73">
        <f t="shared" si="31"/>
        <v>1</v>
      </c>
      <c r="P81" s="47">
        <f t="shared" si="22"/>
        <v>647.40000000000009</v>
      </c>
      <c r="Q81" s="47">
        <f>命中、闪避!G81</f>
        <v>132.80000000000001</v>
      </c>
      <c r="R81" s="73">
        <f t="shared" si="32"/>
        <v>1</v>
      </c>
      <c r="S81" s="47">
        <f t="shared" si="23"/>
        <v>132.80000000000001</v>
      </c>
      <c r="T81" s="47">
        <f>命中、闪避!B81</f>
        <v>166</v>
      </c>
      <c r="U81" s="73">
        <f t="shared" si="33"/>
        <v>1</v>
      </c>
      <c r="V81" s="47">
        <f t="shared" si="24"/>
        <v>166</v>
      </c>
      <c r="W81" s="47">
        <f>暴击、抗暴!G81</f>
        <v>166</v>
      </c>
      <c r="X81" s="73">
        <f t="shared" si="34"/>
        <v>1</v>
      </c>
      <c r="Y81" s="47">
        <f t="shared" si="25"/>
        <v>166</v>
      </c>
      <c r="Z81" s="47">
        <f>暴击、抗暴!B81</f>
        <v>166</v>
      </c>
      <c r="AA81" s="73">
        <f t="shared" si="35"/>
        <v>1</v>
      </c>
      <c r="AB81" s="47">
        <f t="shared" si="26"/>
        <v>166</v>
      </c>
    </row>
    <row r="82" spans="1:28" s="20" customFormat="1">
      <c r="A82" s="46">
        <v>80</v>
      </c>
      <c r="B82" s="47">
        <f>攻击!AS82</f>
        <v>823.2</v>
      </c>
      <c r="C82" s="73">
        <f t="shared" si="27"/>
        <v>0.3</v>
      </c>
      <c r="D82" s="47">
        <f t="shared" si="18"/>
        <v>246.96</v>
      </c>
      <c r="E82" s="47">
        <f>HP!AR82</f>
        <v>8232</v>
      </c>
      <c r="F82" s="73">
        <f t="shared" si="28"/>
        <v>0.5</v>
      </c>
      <c r="G82" s="47">
        <f t="shared" si="19"/>
        <v>4116</v>
      </c>
      <c r="H82" s="47">
        <f>攻击!AS82</f>
        <v>823.2</v>
      </c>
      <c r="I82" s="73">
        <f t="shared" si="29"/>
        <v>5</v>
      </c>
      <c r="J82" s="47">
        <f t="shared" si="20"/>
        <v>4116</v>
      </c>
      <c r="K82" s="47">
        <f>霸气!AH82</f>
        <v>655.20000000000005</v>
      </c>
      <c r="L82" s="73">
        <f t="shared" si="30"/>
        <v>1</v>
      </c>
      <c r="M82" s="47">
        <f t="shared" si="21"/>
        <v>655.20000000000005</v>
      </c>
      <c r="N82" s="47">
        <f>防御!AH82</f>
        <v>655.20000000000005</v>
      </c>
      <c r="O82" s="73">
        <f t="shared" si="31"/>
        <v>1</v>
      </c>
      <c r="P82" s="47">
        <f t="shared" si="22"/>
        <v>655.20000000000005</v>
      </c>
      <c r="Q82" s="47">
        <f>命中、闪避!G82</f>
        <v>134.4</v>
      </c>
      <c r="R82" s="73">
        <f t="shared" si="32"/>
        <v>1</v>
      </c>
      <c r="S82" s="47">
        <f t="shared" si="23"/>
        <v>134.4</v>
      </c>
      <c r="T82" s="47">
        <f>命中、闪避!B82</f>
        <v>168</v>
      </c>
      <c r="U82" s="73">
        <f t="shared" si="33"/>
        <v>1</v>
      </c>
      <c r="V82" s="47">
        <f t="shared" si="24"/>
        <v>168</v>
      </c>
      <c r="W82" s="47">
        <f>暴击、抗暴!G82</f>
        <v>168</v>
      </c>
      <c r="X82" s="73">
        <f t="shared" si="34"/>
        <v>1</v>
      </c>
      <c r="Y82" s="47">
        <f t="shared" si="25"/>
        <v>168</v>
      </c>
      <c r="Z82" s="47">
        <f>暴击、抗暴!B82</f>
        <v>168</v>
      </c>
      <c r="AA82" s="73">
        <f t="shared" si="35"/>
        <v>1</v>
      </c>
      <c r="AB82" s="47">
        <f t="shared" si="26"/>
        <v>168</v>
      </c>
    </row>
    <row r="83" spans="1:28" s="20" customFormat="1">
      <c r="A83" s="46">
        <v>81</v>
      </c>
      <c r="B83" s="47">
        <f>攻击!AS83</f>
        <v>833</v>
      </c>
      <c r="C83" s="73">
        <f t="shared" si="27"/>
        <v>0.3</v>
      </c>
      <c r="D83" s="47">
        <f t="shared" si="18"/>
        <v>249.89999999999998</v>
      </c>
      <c r="E83" s="47">
        <f>HP!AR83</f>
        <v>8330</v>
      </c>
      <c r="F83" s="73">
        <f t="shared" si="28"/>
        <v>0.5</v>
      </c>
      <c r="G83" s="47">
        <f t="shared" si="19"/>
        <v>4165</v>
      </c>
      <c r="H83" s="47">
        <f>攻击!AS83</f>
        <v>833</v>
      </c>
      <c r="I83" s="73">
        <f t="shared" si="29"/>
        <v>5</v>
      </c>
      <c r="J83" s="47">
        <f t="shared" si="20"/>
        <v>4165</v>
      </c>
      <c r="K83" s="47">
        <f>霸气!AH83</f>
        <v>663</v>
      </c>
      <c r="L83" s="73">
        <f t="shared" si="30"/>
        <v>1</v>
      </c>
      <c r="M83" s="47">
        <f t="shared" si="21"/>
        <v>663</v>
      </c>
      <c r="N83" s="47">
        <f>防御!AH83</f>
        <v>663</v>
      </c>
      <c r="O83" s="73">
        <f t="shared" si="31"/>
        <v>1</v>
      </c>
      <c r="P83" s="47">
        <f t="shared" si="22"/>
        <v>663</v>
      </c>
      <c r="Q83" s="47">
        <f>命中、闪避!G83</f>
        <v>136</v>
      </c>
      <c r="R83" s="73">
        <f t="shared" si="32"/>
        <v>1</v>
      </c>
      <c r="S83" s="47">
        <f t="shared" si="23"/>
        <v>136</v>
      </c>
      <c r="T83" s="47">
        <f>命中、闪避!B83</f>
        <v>170</v>
      </c>
      <c r="U83" s="73">
        <f t="shared" si="33"/>
        <v>1</v>
      </c>
      <c r="V83" s="47">
        <f t="shared" si="24"/>
        <v>170</v>
      </c>
      <c r="W83" s="47">
        <f>暴击、抗暴!G83</f>
        <v>170</v>
      </c>
      <c r="X83" s="73">
        <f t="shared" si="34"/>
        <v>1</v>
      </c>
      <c r="Y83" s="47">
        <f t="shared" si="25"/>
        <v>170</v>
      </c>
      <c r="Z83" s="47">
        <f>暴击、抗暴!B83</f>
        <v>170</v>
      </c>
      <c r="AA83" s="73">
        <f t="shared" si="35"/>
        <v>1</v>
      </c>
      <c r="AB83" s="47">
        <f t="shared" si="26"/>
        <v>170</v>
      </c>
    </row>
    <row r="84" spans="1:28" s="20" customFormat="1">
      <c r="A84" s="46">
        <v>82</v>
      </c>
      <c r="B84" s="47">
        <f>攻击!AS84</f>
        <v>842.8</v>
      </c>
      <c r="C84" s="73">
        <f t="shared" si="27"/>
        <v>0.3</v>
      </c>
      <c r="D84" s="47">
        <f t="shared" si="18"/>
        <v>252.83999999999997</v>
      </c>
      <c r="E84" s="47">
        <f>HP!AR84</f>
        <v>8428</v>
      </c>
      <c r="F84" s="73">
        <f t="shared" si="28"/>
        <v>0.5</v>
      </c>
      <c r="G84" s="47">
        <f t="shared" si="19"/>
        <v>4214</v>
      </c>
      <c r="H84" s="47">
        <f>攻击!AS84</f>
        <v>842.8</v>
      </c>
      <c r="I84" s="73">
        <f t="shared" si="29"/>
        <v>5</v>
      </c>
      <c r="J84" s="47">
        <f t="shared" si="20"/>
        <v>4214</v>
      </c>
      <c r="K84" s="47">
        <f>霸气!AH84</f>
        <v>670.8</v>
      </c>
      <c r="L84" s="73">
        <f t="shared" si="30"/>
        <v>1</v>
      </c>
      <c r="M84" s="47">
        <f t="shared" si="21"/>
        <v>670.8</v>
      </c>
      <c r="N84" s="47">
        <f>防御!AH84</f>
        <v>670.8</v>
      </c>
      <c r="O84" s="73">
        <f t="shared" si="31"/>
        <v>1</v>
      </c>
      <c r="P84" s="47">
        <f t="shared" si="22"/>
        <v>670.8</v>
      </c>
      <c r="Q84" s="47">
        <f>命中、闪避!G84</f>
        <v>137.6</v>
      </c>
      <c r="R84" s="73">
        <f t="shared" si="32"/>
        <v>1</v>
      </c>
      <c r="S84" s="47">
        <f t="shared" si="23"/>
        <v>137.6</v>
      </c>
      <c r="T84" s="47">
        <f>命中、闪避!B84</f>
        <v>172</v>
      </c>
      <c r="U84" s="73">
        <f t="shared" si="33"/>
        <v>1</v>
      </c>
      <c r="V84" s="47">
        <f t="shared" si="24"/>
        <v>172</v>
      </c>
      <c r="W84" s="47">
        <f>暴击、抗暴!G84</f>
        <v>172</v>
      </c>
      <c r="X84" s="73">
        <f t="shared" si="34"/>
        <v>1</v>
      </c>
      <c r="Y84" s="47">
        <f t="shared" si="25"/>
        <v>172</v>
      </c>
      <c r="Z84" s="47">
        <f>暴击、抗暴!B84</f>
        <v>172</v>
      </c>
      <c r="AA84" s="73">
        <f t="shared" si="35"/>
        <v>1</v>
      </c>
      <c r="AB84" s="47">
        <f t="shared" si="26"/>
        <v>172</v>
      </c>
    </row>
    <row r="85" spans="1:28" s="20" customFormat="1">
      <c r="A85" s="46">
        <v>83</v>
      </c>
      <c r="B85" s="47">
        <f>攻击!AS85</f>
        <v>852.6</v>
      </c>
      <c r="C85" s="73">
        <f t="shared" si="27"/>
        <v>0.3</v>
      </c>
      <c r="D85" s="47">
        <f t="shared" si="18"/>
        <v>255.78</v>
      </c>
      <c r="E85" s="47">
        <f>HP!AR85</f>
        <v>8526</v>
      </c>
      <c r="F85" s="73">
        <f t="shared" si="28"/>
        <v>0.5</v>
      </c>
      <c r="G85" s="47">
        <f t="shared" si="19"/>
        <v>4263</v>
      </c>
      <c r="H85" s="47">
        <f>攻击!AS85</f>
        <v>852.6</v>
      </c>
      <c r="I85" s="73">
        <f t="shared" si="29"/>
        <v>5</v>
      </c>
      <c r="J85" s="47">
        <f t="shared" si="20"/>
        <v>4263</v>
      </c>
      <c r="K85" s="47">
        <f>霸气!AH85</f>
        <v>678.59999999999991</v>
      </c>
      <c r="L85" s="73">
        <f t="shared" si="30"/>
        <v>1</v>
      </c>
      <c r="M85" s="47">
        <f t="shared" si="21"/>
        <v>678.59999999999991</v>
      </c>
      <c r="N85" s="47">
        <f>防御!AH85</f>
        <v>678.59999999999991</v>
      </c>
      <c r="O85" s="73">
        <f t="shared" si="31"/>
        <v>1</v>
      </c>
      <c r="P85" s="47">
        <f t="shared" si="22"/>
        <v>678.59999999999991</v>
      </c>
      <c r="Q85" s="47">
        <f>命中、闪避!G85</f>
        <v>139.20000000000002</v>
      </c>
      <c r="R85" s="73">
        <f t="shared" si="32"/>
        <v>1</v>
      </c>
      <c r="S85" s="47">
        <f t="shared" si="23"/>
        <v>139.20000000000002</v>
      </c>
      <c r="T85" s="47">
        <f>命中、闪避!B85</f>
        <v>174</v>
      </c>
      <c r="U85" s="73">
        <f t="shared" si="33"/>
        <v>1</v>
      </c>
      <c r="V85" s="47">
        <f t="shared" si="24"/>
        <v>174</v>
      </c>
      <c r="W85" s="47">
        <f>暴击、抗暴!G85</f>
        <v>174</v>
      </c>
      <c r="X85" s="73">
        <f t="shared" si="34"/>
        <v>1</v>
      </c>
      <c r="Y85" s="47">
        <f t="shared" si="25"/>
        <v>174</v>
      </c>
      <c r="Z85" s="47">
        <f>暴击、抗暴!B85</f>
        <v>174</v>
      </c>
      <c r="AA85" s="73">
        <f t="shared" si="35"/>
        <v>1</v>
      </c>
      <c r="AB85" s="47">
        <f t="shared" si="26"/>
        <v>174</v>
      </c>
    </row>
    <row r="86" spans="1:28" s="20" customFormat="1">
      <c r="A86" s="46">
        <v>84</v>
      </c>
      <c r="B86" s="47">
        <f>攻击!AS86</f>
        <v>862.4</v>
      </c>
      <c r="C86" s="73">
        <f t="shared" si="27"/>
        <v>0.3</v>
      </c>
      <c r="D86" s="47">
        <f t="shared" si="18"/>
        <v>258.71999999999997</v>
      </c>
      <c r="E86" s="47">
        <f>HP!AR86</f>
        <v>8624</v>
      </c>
      <c r="F86" s="73">
        <f t="shared" si="28"/>
        <v>0.5</v>
      </c>
      <c r="G86" s="47">
        <f t="shared" si="19"/>
        <v>4312</v>
      </c>
      <c r="H86" s="47">
        <f>攻击!AS86</f>
        <v>862.4</v>
      </c>
      <c r="I86" s="73">
        <f t="shared" si="29"/>
        <v>5</v>
      </c>
      <c r="J86" s="47">
        <f t="shared" si="20"/>
        <v>4312</v>
      </c>
      <c r="K86" s="47">
        <f>霸气!AH86</f>
        <v>686.40000000000009</v>
      </c>
      <c r="L86" s="73">
        <f t="shared" si="30"/>
        <v>1</v>
      </c>
      <c r="M86" s="47">
        <f t="shared" si="21"/>
        <v>686.40000000000009</v>
      </c>
      <c r="N86" s="47">
        <f>防御!AH86</f>
        <v>686.40000000000009</v>
      </c>
      <c r="O86" s="73">
        <f t="shared" si="31"/>
        <v>1</v>
      </c>
      <c r="P86" s="47">
        <f t="shared" si="22"/>
        <v>686.40000000000009</v>
      </c>
      <c r="Q86" s="47">
        <f>命中、闪避!G86</f>
        <v>140.80000000000001</v>
      </c>
      <c r="R86" s="73">
        <f t="shared" si="32"/>
        <v>1</v>
      </c>
      <c r="S86" s="47">
        <f t="shared" si="23"/>
        <v>140.80000000000001</v>
      </c>
      <c r="T86" s="47">
        <f>命中、闪避!B86</f>
        <v>176</v>
      </c>
      <c r="U86" s="73">
        <f t="shared" si="33"/>
        <v>1</v>
      </c>
      <c r="V86" s="47">
        <f t="shared" si="24"/>
        <v>176</v>
      </c>
      <c r="W86" s="47">
        <f>暴击、抗暴!G86</f>
        <v>176</v>
      </c>
      <c r="X86" s="73">
        <f t="shared" si="34"/>
        <v>1</v>
      </c>
      <c r="Y86" s="47">
        <f t="shared" si="25"/>
        <v>176</v>
      </c>
      <c r="Z86" s="47">
        <f>暴击、抗暴!B86</f>
        <v>176</v>
      </c>
      <c r="AA86" s="73">
        <f t="shared" si="35"/>
        <v>1</v>
      </c>
      <c r="AB86" s="47">
        <f t="shared" si="26"/>
        <v>176</v>
      </c>
    </row>
    <row r="87" spans="1:28" s="20" customFormat="1">
      <c r="A87" s="46">
        <v>85</v>
      </c>
      <c r="B87" s="47">
        <f>攻击!AS87</f>
        <v>872.2</v>
      </c>
      <c r="C87" s="73">
        <f t="shared" si="27"/>
        <v>0.3</v>
      </c>
      <c r="D87" s="47">
        <f t="shared" si="18"/>
        <v>261.66000000000003</v>
      </c>
      <c r="E87" s="47">
        <f>HP!AR87</f>
        <v>8722</v>
      </c>
      <c r="F87" s="73">
        <f t="shared" si="28"/>
        <v>0.5</v>
      </c>
      <c r="G87" s="47">
        <f t="shared" si="19"/>
        <v>4361</v>
      </c>
      <c r="H87" s="47">
        <f>攻击!AS87</f>
        <v>872.2</v>
      </c>
      <c r="I87" s="73">
        <f t="shared" si="29"/>
        <v>5</v>
      </c>
      <c r="J87" s="47">
        <f t="shared" si="20"/>
        <v>4361</v>
      </c>
      <c r="K87" s="47">
        <f>霸气!AH87</f>
        <v>694.2</v>
      </c>
      <c r="L87" s="73">
        <f t="shared" si="30"/>
        <v>1</v>
      </c>
      <c r="M87" s="47">
        <f t="shared" si="21"/>
        <v>694.2</v>
      </c>
      <c r="N87" s="47">
        <f>防御!AH87</f>
        <v>694.2</v>
      </c>
      <c r="O87" s="73">
        <f t="shared" si="31"/>
        <v>1</v>
      </c>
      <c r="P87" s="47">
        <f t="shared" si="22"/>
        <v>694.2</v>
      </c>
      <c r="Q87" s="47">
        <f>命中、闪避!G87</f>
        <v>142.4</v>
      </c>
      <c r="R87" s="73">
        <f t="shared" si="32"/>
        <v>1</v>
      </c>
      <c r="S87" s="47">
        <f t="shared" si="23"/>
        <v>142.4</v>
      </c>
      <c r="T87" s="47">
        <f>命中、闪避!B87</f>
        <v>178</v>
      </c>
      <c r="U87" s="73">
        <f t="shared" si="33"/>
        <v>1</v>
      </c>
      <c r="V87" s="47">
        <f t="shared" si="24"/>
        <v>178</v>
      </c>
      <c r="W87" s="47">
        <f>暴击、抗暴!G87</f>
        <v>178</v>
      </c>
      <c r="X87" s="73">
        <f t="shared" si="34"/>
        <v>1</v>
      </c>
      <c r="Y87" s="47">
        <f t="shared" si="25"/>
        <v>178</v>
      </c>
      <c r="Z87" s="47">
        <f>暴击、抗暴!B87</f>
        <v>178</v>
      </c>
      <c r="AA87" s="73">
        <f t="shared" si="35"/>
        <v>1</v>
      </c>
      <c r="AB87" s="47">
        <f t="shared" si="26"/>
        <v>178</v>
      </c>
    </row>
    <row r="88" spans="1:28" s="20" customFormat="1">
      <c r="A88" s="46">
        <v>86</v>
      </c>
      <c r="B88" s="47">
        <f>攻击!AS88</f>
        <v>882</v>
      </c>
      <c r="C88" s="73">
        <f t="shared" si="27"/>
        <v>0.3</v>
      </c>
      <c r="D88" s="47">
        <f t="shared" si="18"/>
        <v>264.59999999999997</v>
      </c>
      <c r="E88" s="47">
        <f>HP!AR88</f>
        <v>8820</v>
      </c>
      <c r="F88" s="73">
        <f t="shared" si="28"/>
        <v>0.5</v>
      </c>
      <c r="G88" s="47">
        <f t="shared" si="19"/>
        <v>4410</v>
      </c>
      <c r="H88" s="47">
        <f>攻击!AS88</f>
        <v>882</v>
      </c>
      <c r="I88" s="73">
        <f t="shared" si="29"/>
        <v>5</v>
      </c>
      <c r="J88" s="47">
        <f t="shared" si="20"/>
        <v>4410</v>
      </c>
      <c r="K88" s="47">
        <f>霸气!AH88</f>
        <v>702</v>
      </c>
      <c r="L88" s="73">
        <f t="shared" si="30"/>
        <v>1</v>
      </c>
      <c r="M88" s="47">
        <f t="shared" si="21"/>
        <v>702</v>
      </c>
      <c r="N88" s="47">
        <f>防御!AH88</f>
        <v>702</v>
      </c>
      <c r="O88" s="73">
        <f t="shared" si="31"/>
        <v>1</v>
      </c>
      <c r="P88" s="47">
        <f t="shared" si="22"/>
        <v>702</v>
      </c>
      <c r="Q88" s="47">
        <f>命中、闪避!G88</f>
        <v>144</v>
      </c>
      <c r="R88" s="73">
        <f t="shared" si="32"/>
        <v>1</v>
      </c>
      <c r="S88" s="47">
        <f t="shared" si="23"/>
        <v>144</v>
      </c>
      <c r="T88" s="47">
        <f>命中、闪避!B88</f>
        <v>180</v>
      </c>
      <c r="U88" s="73">
        <f t="shared" si="33"/>
        <v>1</v>
      </c>
      <c r="V88" s="47">
        <f t="shared" si="24"/>
        <v>180</v>
      </c>
      <c r="W88" s="47">
        <f>暴击、抗暴!G88</f>
        <v>180</v>
      </c>
      <c r="X88" s="73">
        <f t="shared" si="34"/>
        <v>1</v>
      </c>
      <c r="Y88" s="47">
        <f t="shared" si="25"/>
        <v>180</v>
      </c>
      <c r="Z88" s="47">
        <f>暴击、抗暴!B88</f>
        <v>180</v>
      </c>
      <c r="AA88" s="73">
        <f t="shared" si="35"/>
        <v>1</v>
      </c>
      <c r="AB88" s="47">
        <f t="shared" si="26"/>
        <v>180</v>
      </c>
    </row>
    <row r="89" spans="1:28" s="20" customFormat="1">
      <c r="A89" s="46">
        <v>87</v>
      </c>
      <c r="B89" s="47">
        <f>攻击!AS89</f>
        <v>891.8</v>
      </c>
      <c r="C89" s="73">
        <f t="shared" si="27"/>
        <v>0.3</v>
      </c>
      <c r="D89" s="47">
        <f t="shared" si="18"/>
        <v>267.53999999999996</v>
      </c>
      <c r="E89" s="47">
        <f>HP!AR89</f>
        <v>8918</v>
      </c>
      <c r="F89" s="73">
        <f t="shared" si="28"/>
        <v>0.5</v>
      </c>
      <c r="G89" s="47">
        <f t="shared" si="19"/>
        <v>4459</v>
      </c>
      <c r="H89" s="47">
        <f>攻击!AS89</f>
        <v>891.8</v>
      </c>
      <c r="I89" s="73">
        <f t="shared" si="29"/>
        <v>5</v>
      </c>
      <c r="J89" s="47">
        <f t="shared" si="20"/>
        <v>4459</v>
      </c>
      <c r="K89" s="47">
        <f>霸气!AH89</f>
        <v>709.8</v>
      </c>
      <c r="L89" s="73">
        <f t="shared" si="30"/>
        <v>1</v>
      </c>
      <c r="M89" s="47">
        <f t="shared" si="21"/>
        <v>709.8</v>
      </c>
      <c r="N89" s="47">
        <f>防御!AH89</f>
        <v>709.8</v>
      </c>
      <c r="O89" s="73">
        <f t="shared" si="31"/>
        <v>1</v>
      </c>
      <c r="P89" s="47">
        <f t="shared" si="22"/>
        <v>709.8</v>
      </c>
      <c r="Q89" s="47">
        <f>命中、闪避!G89</f>
        <v>145.6</v>
      </c>
      <c r="R89" s="73">
        <f t="shared" si="32"/>
        <v>1</v>
      </c>
      <c r="S89" s="47">
        <f t="shared" si="23"/>
        <v>145.6</v>
      </c>
      <c r="T89" s="47">
        <f>命中、闪避!B89</f>
        <v>182</v>
      </c>
      <c r="U89" s="73">
        <f t="shared" si="33"/>
        <v>1</v>
      </c>
      <c r="V89" s="47">
        <f t="shared" si="24"/>
        <v>182</v>
      </c>
      <c r="W89" s="47">
        <f>暴击、抗暴!G89</f>
        <v>182</v>
      </c>
      <c r="X89" s="73">
        <f t="shared" si="34"/>
        <v>1</v>
      </c>
      <c r="Y89" s="47">
        <f t="shared" si="25"/>
        <v>182</v>
      </c>
      <c r="Z89" s="47">
        <f>暴击、抗暴!B89</f>
        <v>182</v>
      </c>
      <c r="AA89" s="73">
        <f t="shared" si="35"/>
        <v>1</v>
      </c>
      <c r="AB89" s="47">
        <f t="shared" si="26"/>
        <v>182</v>
      </c>
    </row>
    <row r="90" spans="1:28" s="20" customFormat="1">
      <c r="A90" s="46">
        <v>88</v>
      </c>
      <c r="B90" s="47">
        <f>攻击!AS90</f>
        <v>901.6</v>
      </c>
      <c r="C90" s="73">
        <f t="shared" si="27"/>
        <v>0.3</v>
      </c>
      <c r="D90" s="47">
        <f t="shared" si="18"/>
        <v>270.48</v>
      </c>
      <c r="E90" s="47">
        <f>HP!AR90</f>
        <v>9016</v>
      </c>
      <c r="F90" s="73">
        <f t="shared" si="28"/>
        <v>0.5</v>
      </c>
      <c r="G90" s="47">
        <f t="shared" si="19"/>
        <v>4508</v>
      </c>
      <c r="H90" s="47">
        <f>攻击!AS90</f>
        <v>901.6</v>
      </c>
      <c r="I90" s="73">
        <f t="shared" si="29"/>
        <v>5</v>
      </c>
      <c r="J90" s="47">
        <f t="shared" si="20"/>
        <v>4508</v>
      </c>
      <c r="K90" s="47">
        <f>霸气!AH90</f>
        <v>717.59999999999991</v>
      </c>
      <c r="L90" s="73">
        <f t="shared" si="30"/>
        <v>1</v>
      </c>
      <c r="M90" s="47">
        <f t="shared" si="21"/>
        <v>717.59999999999991</v>
      </c>
      <c r="N90" s="47">
        <f>防御!AH90</f>
        <v>717.59999999999991</v>
      </c>
      <c r="O90" s="73">
        <f t="shared" si="31"/>
        <v>1</v>
      </c>
      <c r="P90" s="47">
        <f t="shared" si="22"/>
        <v>717.59999999999991</v>
      </c>
      <c r="Q90" s="47">
        <f>命中、闪避!G90</f>
        <v>147.20000000000002</v>
      </c>
      <c r="R90" s="73">
        <f t="shared" si="32"/>
        <v>1</v>
      </c>
      <c r="S90" s="47">
        <f t="shared" si="23"/>
        <v>147.20000000000002</v>
      </c>
      <c r="T90" s="47">
        <f>命中、闪避!B90</f>
        <v>184</v>
      </c>
      <c r="U90" s="73">
        <f t="shared" si="33"/>
        <v>1</v>
      </c>
      <c r="V90" s="47">
        <f t="shared" si="24"/>
        <v>184</v>
      </c>
      <c r="W90" s="47">
        <f>暴击、抗暴!G90</f>
        <v>184</v>
      </c>
      <c r="X90" s="73">
        <f t="shared" si="34"/>
        <v>1</v>
      </c>
      <c r="Y90" s="47">
        <f t="shared" si="25"/>
        <v>184</v>
      </c>
      <c r="Z90" s="47">
        <f>暴击、抗暴!B90</f>
        <v>184</v>
      </c>
      <c r="AA90" s="73">
        <f t="shared" si="35"/>
        <v>1</v>
      </c>
      <c r="AB90" s="47">
        <f t="shared" si="26"/>
        <v>184</v>
      </c>
    </row>
    <row r="91" spans="1:28" s="20" customFormat="1">
      <c r="A91" s="46">
        <v>89</v>
      </c>
      <c r="B91" s="47">
        <f>攻击!AS91</f>
        <v>911.4</v>
      </c>
      <c r="C91" s="73">
        <f t="shared" si="27"/>
        <v>0.3</v>
      </c>
      <c r="D91" s="47">
        <f t="shared" si="18"/>
        <v>273.41999999999996</v>
      </c>
      <c r="E91" s="47">
        <f>HP!AR91</f>
        <v>9114</v>
      </c>
      <c r="F91" s="73">
        <f t="shared" si="28"/>
        <v>0.5</v>
      </c>
      <c r="G91" s="47">
        <f t="shared" si="19"/>
        <v>4557</v>
      </c>
      <c r="H91" s="47">
        <f>攻击!AS91</f>
        <v>911.4</v>
      </c>
      <c r="I91" s="73">
        <f t="shared" si="29"/>
        <v>5</v>
      </c>
      <c r="J91" s="47">
        <f t="shared" si="20"/>
        <v>4557</v>
      </c>
      <c r="K91" s="47">
        <f>霸气!AH91</f>
        <v>725.40000000000009</v>
      </c>
      <c r="L91" s="73">
        <f t="shared" si="30"/>
        <v>1</v>
      </c>
      <c r="M91" s="47">
        <f t="shared" si="21"/>
        <v>725.40000000000009</v>
      </c>
      <c r="N91" s="47">
        <f>防御!AH91</f>
        <v>725.40000000000009</v>
      </c>
      <c r="O91" s="73">
        <f t="shared" si="31"/>
        <v>1</v>
      </c>
      <c r="P91" s="47">
        <f t="shared" si="22"/>
        <v>725.40000000000009</v>
      </c>
      <c r="Q91" s="47">
        <f>命中、闪避!G91</f>
        <v>148.80000000000001</v>
      </c>
      <c r="R91" s="73">
        <f t="shared" si="32"/>
        <v>1</v>
      </c>
      <c r="S91" s="47">
        <f t="shared" si="23"/>
        <v>148.80000000000001</v>
      </c>
      <c r="T91" s="47">
        <f>命中、闪避!B91</f>
        <v>186</v>
      </c>
      <c r="U91" s="73">
        <f t="shared" si="33"/>
        <v>1</v>
      </c>
      <c r="V91" s="47">
        <f t="shared" si="24"/>
        <v>186</v>
      </c>
      <c r="W91" s="47">
        <f>暴击、抗暴!G91</f>
        <v>186</v>
      </c>
      <c r="X91" s="73">
        <f t="shared" si="34"/>
        <v>1</v>
      </c>
      <c r="Y91" s="47">
        <f t="shared" si="25"/>
        <v>186</v>
      </c>
      <c r="Z91" s="47">
        <f>暴击、抗暴!B91</f>
        <v>186</v>
      </c>
      <c r="AA91" s="73">
        <f t="shared" si="35"/>
        <v>1</v>
      </c>
      <c r="AB91" s="47">
        <f t="shared" si="26"/>
        <v>186</v>
      </c>
    </row>
    <row r="92" spans="1:28" s="20" customFormat="1">
      <c r="A92" s="46">
        <v>90</v>
      </c>
      <c r="B92" s="47">
        <f>攻击!AS92</f>
        <v>921.2</v>
      </c>
      <c r="C92" s="73">
        <f t="shared" si="27"/>
        <v>0.3</v>
      </c>
      <c r="D92" s="47">
        <f t="shared" si="18"/>
        <v>276.36</v>
      </c>
      <c r="E92" s="47">
        <f>HP!AR92</f>
        <v>9212</v>
      </c>
      <c r="F92" s="73">
        <f t="shared" si="28"/>
        <v>0.5</v>
      </c>
      <c r="G92" s="47">
        <f t="shared" si="19"/>
        <v>4606</v>
      </c>
      <c r="H92" s="47">
        <f>攻击!AS92</f>
        <v>921.2</v>
      </c>
      <c r="I92" s="73">
        <f t="shared" si="29"/>
        <v>5</v>
      </c>
      <c r="J92" s="47">
        <f t="shared" si="20"/>
        <v>4606</v>
      </c>
      <c r="K92" s="47">
        <f>霸气!AH92</f>
        <v>733.2</v>
      </c>
      <c r="L92" s="73">
        <f t="shared" si="30"/>
        <v>1</v>
      </c>
      <c r="M92" s="47">
        <f t="shared" si="21"/>
        <v>733.2</v>
      </c>
      <c r="N92" s="47">
        <f>防御!AH92</f>
        <v>733.2</v>
      </c>
      <c r="O92" s="73">
        <f t="shared" si="31"/>
        <v>1</v>
      </c>
      <c r="P92" s="47">
        <f t="shared" si="22"/>
        <v>733.2</v>
      </c>
      <c r="Q92" s="47">
        <f>命中、闪避!G92</f>
        <v>150.4</v>
      </c>
      <c r="R92" s="73">
        <f t="shared" si="32"/>
        <v>1</v>
      </c>
      <c r="S92" s="47">
        <f t="shared" si="23"/>
        <v>150.4</v>
      </c>
      <c r="T92" s="47">
        <f>命中、闪避!B92</f>
        <v>188</v>
      </c>
      <c r="U92" s="73">
        <f t="shared" si="33"/>
        <v>1</v>
      </c>
      <c r="V92" s="47">
        <f t="shared" si="24"/>
        <v>188</v>
      </c>
      <c r="W92" s="47">
        <f>暴击、抗暴!G92</f>
        <v>188</v>
      </c>
      <c r="X92" s="73">
        <f t="shared" si="34"/>
        <v>1</v>
      </c>
      <c r="Y92" s="47">
        <f t="shared" si="25"/>
        <v>188</v>
      </c>
      <c r="Z92" s="47">
        <f>暴击、抗暴!B92</f>
        <v>188</v>
      </c>
      <c r="AA92" s="73">
        <f t="shared" si="35"/>
        <v>1</v>
      </c>
      <c r="AB92" s="47">
        <f t="shared" si="26"/>
        <v>188</v>
      </c>
    </row>
    <row r="93" spans="1:28" s="20" customFormat="1">
      <c r="A93" s="46">
        <v>91</v>
      </c>
      <c r="B93" s="47">
        <f>攻击!AS93</f>
        <v>931</v>
      </c>
      <c r="C93" s="73">
        <f t="shared" si="27"/>
        <v>0.3</v>
      </c>
      <c r="D93" s="47">
        <f t="shared" si="18"/>
        <v>279.3</v>
      </c>
      <c r="E93" s="47">
        <f>HP!AR93</f>
        <v>9310</v>
      </c>
      <c r="F93" s="73">
        <f t="shared" si="28"/>
        <v>0.5</v>
      </c>
      <c r="G93" s="47">
        <f t="shared" si="19"/>
        <v>4655</v>
      </c>
      <c r="H93" s="47">
        <f>攻击!AS93</f>
        <v>931</v>
      </c>
      <c r="I93" s="73">
        <f t="shared" si="29"/>
        <v>5</v>
      </c>
      <c r="J93" s="47">
        <f t="shared" si="20"/>
        <v>4655</v>
      </c>
      <c r="K93" s="47">
        <f>霸气!AH93</f>
        <v>741</v>
      </c>
      <c r="L93" s="73">
        <f t="shared" si="30"/>
        <v>1</v>
      </c>
      <c r="M93" s="47">
        <f t="shared" si="21"/>
        <v>741</v>
      </c>
      <c r="N93" s="47">
        <f>防御!AH93</f>
        <v>741</v>
      </c>
      <c r="O93" s="73">
        <f t="shared" si="31"/>
        <v>1</v>
      </c>
      <c r="P93" s="47">
        <f t="shared" si="22"/>
        <v>741</v>
      </c>
      <c r="Q93" s="47">
        <f>命中、闪避!G93</f>
        <v>152</v>
      </c>
      <c r="R93" s="73">
        <f t="shared" si="32"/>
        <v>1</v>
      </c>
      <c r="S93" s="47">
        <f t="shared" si="23"/>
        <v>152</v>
      </c>
      <c r="T93" s="47">
        <f>命中、闪避!B93</f>
        <v>190</v>
      </c>
      <c r="U93" s="73">
        <f t="shared" si="33"/>
        <v>1</v>
      </c>
      <c r="V93" s="47">
        <f t="shared" si="24"/>
        <v>190</v>
      </c>
      <c r="W93" s="47">
        <f>暴击、抗暴!G93</f>
        <v>190</v>
      </c>
      <c r="X93" s="73">
        <f t="shared" si="34"/>
        <v>1</v>
      </c>
      <c r="Y93" s="47">
        <f t="shared" si="25"/>
        <v>190</v>
      </c>
      <c r="Z93" s="47">
        <f>暴击、抗暴!B93</f>
        <v>190</v>
      </c>
      <c r="AA93" s="73">
        <f t="shared" si="35"/>
        <v>1</v>
      </c>
      <c r="AB93" s="47">
        <f t="shared" si="26"/>
        <v>190</v>
      </c>
    </row>
    <row r="94" spans="1:28" s="20" customFormat="1">
      <c r="A94" s="46">
        <v>92</v>
      </c>
      <c r="B94" s="47">
        <f>攻击!AS94</f>
        <v>940.8</v>
      </c>
      <c r="C94" s="73">
        <f t="shared" si="27"/>
        <v>0.3</v>
      </c>
      <c r="D94" s="47">
        <f t="shared" si="18"/>
        <v>282.23999999999995</v>
      </c>
      <c r="E94" s="47">
        <f>HP!AR94</f>
        <v>9408</v>
      </c>
      <c r="F94" s="73">
        <f t="shared" si="28"/>
        <v>0.5</v>
      </c>
      <c r="G94" s="47">
        <f t="shared" si="19"/>
        <v>4704</v>
      </c>
      <c r="H94" s="47">
        <f>攻击!AS94</f>
        <v>940.8</v>
      </c>
      <c r="I94" s="73">
        <f t="shared" si="29"/>
        <v>5</v>
      </c>
      <c r="J94" s="47">
        <f t="shared" si="20"/>
        <v>4704</v>
      </c>
      <c r="K94" s="47">
        <f>霸气!AH94</f>
        <v>748.8</v>
      </c>
      <c r="L94" s="73">
        <f t="shared" si="30"/>
        <v>1</v>
      </c>
      <c r="M94" s="47">
        <f t="shared" si="21"/>
        <v>748.8</v>
      </c>
      <c r="N94" s="47">
        <f>防御!AH94</f>
        <v>748.8</v>
      </c>
      <c r="O94" s="73">
        <f t="shared" si="31"/>
        <v>1</v>
      </c>
      <c r="P94" s="47">
        <f t="shared" si="22"/>
        <v>748.8</v>
      </c>
      <c r="Q94" s="47">
        <f>命中、闪避!G94</f>
        <v>153.60000000000002</v>
      </c>
      <c r="R94" s="73">
        <f t="shared" si="32"/>
        <v>1</v>
      </c>
      <c r="S94" s="47">
        <f t="shared" si="23"/>
        <v>153.60000000000002</v>
      </c>
      <c r="T94" s="47">
        <f>命中、闪避!B94</f>
        <v>192</v>
      </c>
      <c r="U94" s="73">
        <f t="shared" si="33"/>
        <v>1</v>
      </c>
      <c r="V94" s="47">
        <f t="shared" si="24"/>
        <v>192</v>
      </c>
      <c r="W94" s="47">
        <f>暴击、抗暴!G94</f>
        <v>192</v>
      </c>
      <c r="X94" s="73">
        <f t="shared" si="34"/>
        <v>1</v>
      </c>
      <c r="Y94" s="47">
        <f t="shared" si="25"/>
        <v>192</v>
      </c>
      <c r="Z94" s="47">
        <f>暴击、抗暴!B94</f>
        <v>192</v>
      </c>
      <c r="AA94" s="73">
        <f t="shared" si="35"/>
        <v>1</v>
      </c>
      <c r="AB94" s="47">
        <f t="shared" si="26"/>
        <v>192</v>
      </c>
    </row>
    <row r="95" spans="1:28" s="20" customFormat="1">
      <c r="A95" s="46">
        <v>93</v>
      </c>
      <c r="B95" s="47">
        <f>攻击!AS95</f>
        <v>950.59999999999991</v>
      </c>
      <c r="C95" s="73">
        <f t="shared" si="27"/>
        <v>0.3</v>
      </c>
      <c r="D95" s="47">
        <f t="shared" si="18"/>
        <v>285.17999999999995</v>
      </c>
      <c r="E95" s="47">
        <f>HP!AR95</f>
        <v>9506</v>
      </c>
      <c r="F95" s="73">
        <f t="shared" si="28"/>
        <v>0.5</v>
      </c>
      <c r="G95" s="47">
        <f t="shared" si="19"/>
        <v>4753</v>
      </c>
      <c r="H95" s="47">
        <f>攻击!AS95</f>
        <v>950.59999999999991</v>
      </c>
      <c r="I95" s="73">
        <f t="shared" si="29"/>
        <v>5</v>
      </c>
      <c r="J95" s="47">
        <f t="shared" si="20"/>
        <v>4753</v>
      </c>
      <c r="K95" s="47">
        <f>霸气!AH95</f>
        <v>756.59999999999991</v>
      </c>
      <c r="L95" s="73">
        <f t="shared" si="30"/>
        <v>1</v>
      </c>
      <c r="M95" s="47">
        <f t="shared" si="21"/>
        <v>756.59999999999991</v>
      </c>
      <c r="N95" s="47">
        <f>防御!AH95</f>
        <v>756.59999999999991</v>
      </c>
      <c r="O95" s="73">
        <f t="shared" si="31"/>
        <v>1</v>
      </c>
      <c r="P95" s="47">
        <f t="shared" si="22"/>
        <v>756.59999999999991</v>
      </c>
      <c r="Q95" s="47">
        <f>命中、闪避!G95</f>
        <v>155.20000000000002</v>
      </c>
      <c r="R95" s="73">
        <f t="shared" si="32"/>
        <v>1</v>
      </c>
      <c r="S95" s="47">
        <f t="shared" si="23"/>
        <v>155.20000000000002</v>
      </c>
      <c r="T95" s="47">
        <f>命中、闪避!B95</f>
        <v>194</v>
      </c>
      <c r="U95" s="73">
        <f t="shared" si="33"/>
        <v>1</v>
      </c>
      <c r="V95" s="47">
        <f t="shared" si="24"/>
        <v>194</v>
      </c>
      <c r="W95" s="47">
        <f>暴击、抗暴!G95</f>
        <v>194</v>
      </c>
      <c r="X95" s="73">
        <f t="shared" si="34"/>
        <v>1</v>
      </c>
      <c r="Y95" s="47">
        <f t="shared" si="25"/>
        <v>194</v>
      </c>
      <c r="Z95" s="47">
        <f>暴击、抗暴!B95</f>
        <v>194</v>
      </c>
      <c r="AA95" s="73">
        <f t="shared" si="35"/>
        <v>1</v>
      </c>
      <c r="AB95" s="47">
        <f t="shared" si="26"/>
        <v>194</v>
      </c>
    </row>
    <row r="96" spans="1:28" s="20" customFormat="1">
      <c r="A96" s="46">
        <v>94</v>
      </c>
      <c r="B96" s="47">
        <f>攻击!AS96</f>
        <v>960.40000000000009</v>
      </c>
      <c r="C96" s="73">
        <f t="shared" si="27"/>
        <v>0.3</v>
      </c>
      <c r="D96" s="47">
        <f t="shared" si="18"/>
        <v>288.12</v>
      </c>
      <c r="E96" s="47">
        <f>HP!AR96</f>
        <v>9604</v>
      </c>
      <c r="F96" s="73">
        <f t="shared" si="28"/>
        <v>0.5</v>
      </c>
      <c r="G96" s="47">
        <f t="shared" si="19"/>
        <v>4802</v>
      </c>
      <c r="H96" s="47">
        <f>攻击!AS96</f>
        <v>960.40000000000009</v>
      </c>
      <c r="I96" s="73">
        <f t="shared" si="29"/>
        <v>5</v>
      </c>
      <c r="J96" s="47">
        <f t="shared" si="20"/>
        <v>4802</v>
      </c>
      <c r="K96" s="47">
        <f>霸气!AH96</f>
        <v>764.40000000000009</v>
      </c>
      <c r="L96" s="73">
        <f t="shared" si="30"/>
        <v>1</v>
      </c>
      <c r="M96" s="47">
        <f t="shared" si="21"/>
        <v>764.40000000000009</v>
      </c>
      <c r="N96" s="47">
        <f>防御!AH96</f>
        <v>764.40000000000009</v>
      </c>
      <c r="O96" s="73">
        <f t="shared" si="31"/>
        <v>1</v>
      </c>
      <c r="P96" s="47">
        <f t="shared" si="22"/>
        <v>764.40000000000009</v>
      </c>
      <c r="Q96" s="47">
        <f>命中、闪避!G96</f>
        <v>156.80000000000001</v>
      </c>
      <c r="R96" s="73">
        <f t="shared" si="32"/>
        <v>1</v>
      </c>
      <c r="S96" s="47">
        <f t="shared" si="23"/>
        <v>156.80000000000001</v>
      </c>
      <c r="T96" s="47">
        <f>命中、闪避!B96</f>
        <v>196</v>
      </c>
      <c r="U96" s="73">
        <f t="shared" si="33"/>
        <v>1</v>
      </c>
      <c r="V96" s="47">
        <f t="shared" si="24"/>
        <v>196</v>
      </c>
      <c r="W96" s="47">
        <f>暴击、抗暴!G96</f>
        <v>196</v>
      </c>
      <c r="X96" s="73">
        <f t="shared" si="34"/>
        <v>1</v>
      </c>
      <c r="Y96" s="47">
        <f t="shared" si="25"/>
        <v>196</v>
      </c>
      <c r="Z96" s="47">
        <f>暴击、抗暴!B96</f>
        <v>196</v>
      </c>
      <c r="AA96" s="73">
        <f t="shared" si="35"/>
        <v>1</v>
      </c>
      <c r="AB96" s="47">
        <f t="shared" si="26"/>
        <v>196</v>
      </c>
    </row>
    <row r="97" spans="1:28" s="20" customFormat="1">
      <c r="A97" s="46">
        <v>95</v>
      </c>
      <c r="B97" s="47">
        <f>攻击!AS97</f>
        <v>970.2</v>
      </c>
      <c r="C97" s="73">
        <f t="shared" si="27"/>
        <v>0.3</v>
      </c>
      <c r="D97" s="47">
        <f t="shared" si="18"/>
        <v>291.06</v>
      </c>
      <c r="E97" s="47">
        <f>HP!AR97</f>
        <v>9702</v>
      </c>
      <c r="F97" s="73">
        <f t="shared" si="28"/>
        <v>0.5</v>
      </c>
      <c r="G97" s="47">
        <f t="shared" si="19"/>
        <v>4851</v>
      </c>
      <c r="H97" s="47">
        <f>攻击!AS97</f>
        <v>970.2</v>
      </c>
      <c r="I97" s="73">
        <f t="shared" si="29"/>
        <v>5</v>
      </c>
      <c r="J97" s="47">
        <f t="shared" si="20"/>
        <v>4851</v>
      </c>
      <c r="K97" s="47">
        <f>霸气!AH97</f>
        <v>772.2</v>
      </c>
      <c r="L97" s="73">
        <f t="shared" si="30"/>
        <v>1</v>
      </c>
      <c r="M97" s="47">
        <f t="shared" si="21"/>
        <v>772.2</v>
      </c>
      <c r="N97" s="47">
        <f>防御!AH97</f>
        <v>772.2</v>
      </c>
      <c r="O97" s="73">
        <f t="shared" si="31"/>
        <v>1</v>
      </c>
      <c r="P97" s="47">
        <f t="shared" si="22"/>
        <v>772.2</v>
      </c>
      <c r="Q97" s="47">
        <f>命中、闪避!G97</f>
        <v>158.4</v>
      </c>
      <c r="R97" s="73">
        <f t="shared" si="32"/>
        <v>1</v>
      </c>
      <c r="S97" s="47">
        <f t="shared" si="23"/>
        <v>158.4</v>
      </c>
      <c r="T97" s="47">
        <f>命中、闪避!B97</f>
        <v>198</v>
      </c>
      <c r="U97" s="73">
        <f t="shared" si="33"/>
        <v>1</v>
      </c>
      <c r="V97" s="47">
        <f t="shared" si="24"/>
        <v>198</v>
      </c>
      <c r="W97" s="47">
        <f>暴击、抗暴!G97</f>
        <v>198</v>
      </c>
      <c r="X97" s="73">
        <f t="shared" si="34"/>
        <v>1</v>
      </c>
      <c r="Y97" s="47">
        <f t="shared" si="25"/>
        <v>198</v>
      </c>
      <c r="Z97" s="47">
        <f>暴击、抗暴!B97</f>
        <v>198</v>
      </c>
      <c r="AA97" s="73">
        <f t="shared" si="35"/>
        <v>1</v>
      </c>
      <c r="AB97" s="47">
        <f t="shared" si="26"/>
        <v>198</v>
      </c>
    </row>
    <row r="98" spans="1:28" s="20" customFormat="1">
      <c r="A98" s="46">
        <v>96</v>
      </c>
      <c r="B98" s="47">
        <f>攻击!AS98</f>
        <v>980</v>
      </c>
      <c r="C98" s="73">
        <f t="shared" si="27"/>
        <v>0.3</v>
      </c>
      <c r="D98" s="47">
        <f t="shared" si="18"/>
        <v>294</v>
      </c>
      <c r="E98" s="47">
        <f>HP!AR98</f>
        <v>9800</v>
      </c>
      <c r="F98" s="73">
        <f t="shared" si="28"/>
        <v>0.5</v>
      </c>
      <c r="G98" s="47">
        <f t="shared" si="19"/>
        <v>4900</v>
      </c>
      <c r="H98" s="47">
        <f>攻击!AS98</f>
        <v>980</v>
      </c>
      <c r="I98" s="73">
        <f t="shared" si="29"/>
        <v>5</v>
      </c>
      <c r="J98" s="47">
        <f t="shared" si="20"/>
        <v>4900</v>
      </c>
      <c r="K98" s="47">
        <f>霸气!AH98</f>
        <v>780</v>
      </c>
      <c r="L98" s="73">
        <f t="shared" si="30"/>
        <v>1</v>
      </c>
      <c r="M98" s="47">
        <f t="shared" si="21"/>
        <v>780</v>
      </c>
      <c r="N98" s="47">
        <f>防御!AH98</f>
        <v>780</v>
      </c>
      <c r="O98" s="73">
        <f t="shared" si="31"/>
        <v>1</v>
      </c>
      <c r="P98" s="47">
        <f t="shared" si="22"/>
        <v>780</v>
      </c>
      <c r="Q98" s="47">
        <f>命中、闪避!G98</f>
        <v>160</v>
      </c>
      <c r="R98" s="73">
        <f t="shared" si="32"/>
        <v>1</v>
      </c>
      <c r="S98" s="47">
        <f t="shared" si="23"/>
        <v>160</v>
      </c>
      <c r="T98" s="47">
        <f>命中、闪避!B98</f>
        <v>200</v>
      </c>
      <c r="U98" s="73">
        <f t="shared" si="33"/>
        <v>1</v>
      </c>
      <c r="V98" s="47">
        <f t="shared" si="24"/>
        <v>200</v>
      </c>
      <c r="W98" s="47">
        <f>暴击、抗暴!G98</f>
        <v>200</v>
      </c>
      <c r="X98" s="73">
        <f t="shared" si="34"/>
        <v>1</v>
      </c>
      <c r="Y98" s="47">
        <f t="shared" si="25"/>
        <v>200</v>
      </c>
      <c r="Z98" s="47">
        <f>暴击、抗暴!B98</f>
        <v>200</v>
      </c>
      <c r="AA98" s="73">
        <f t="shared" si="35"/>
        <v>1</v>
      </c>
      <c r="AB98" s="47">
        <f t="shared" si="26"/>
        <v>200</v>
      </c>
    </row>
    <row r="99" spans="1:28" s="20" customFormat="1">
      <c r="A99" s="46">
        <v>97</v>
      </c>
      <c r="B99" s="47">
        <f>攻击!AS99</f>
        <v>989.8</v>
      </c>
      <c r="C99" s="73">
        <f t="shared" si="27"/>
        <v>0.3</v>
      </c>
      <c r="D99" s="47">
        <f t="shared" si="18"/>
        <v>296.94</v>
      </c>
      <c r="E99" s="47">
        <f>HP!AR99</f>
        <v>9898</v>
      </c>
      <c r="F99" s="73">
        <f t="shared" si="28"/>
        <v>0.5</v>
      </c>
      <c r="G99" s="47">
        <f t="shared" si="19"/>
        <v>4949</v>
      </c>
      <c r="H99" s="47">
        <f>攻击!AS99</f>
        <v>989.8</v>
      </c>
      <c r="I99" s="73">
        <f t="shared" si="29"/>
        <v>5</v>
      </c>
      <c r="J99" s="47">
        <f t="shared" si="20"/>
        <v>4949</v>
      </c>
      <c r="K99" s="47">
        <f>霸气!AH99</f>
        <v>787.8</v>
      </c>
      <c r="L99" s="73">
        <f t="shared" si="30"/>
        <v>1</v>
      </c>
      <c r="M99" s="47">
        <f t="shared" si="21"/>
        <v>787.8</v>
      </c>
      <c r="N99" s="47">
        <f>防御!AH99</f>
        <v>787.8</v>
      </c>
      <c r="O99" s="73">
        <f t="shared" si="31"/>
        <v>1</v>
      </c>
      <c r="P99" s="47">
        <f t="shared" si="22"/>
        <v>787.8</v>
      </c>
      <c r="Q99" s="47">
        <f>命中、闪避!G99</f>
        <v>161.60000000000002</v>
      </c>
      <c r="R99" s="73">
        <f t="shared" si="32"/>
        <v>1</v>
      </c>
      <c r="S99" s="47">
        <f t="shared" si="23"/>
        <v>161.60000000000002</v>
      </c>
      <c r="T99" s="47">
        <f>命中、闪避!B99</f>
        <v>202</v>
      </c>
      <c r="U99" s="73">
        <f t="shared" si="33"/>
        <v>1</v>
      </c>
      <c r="V99" s="47">
        <f t="shared" si="24"/>
        <v>202</v>
      </c>
      <c r="W99" s="47">
        <f>暴击、抗暴!G99</f>
        <v>202</v>
      </c>
      <c r="X99" s="73">
        <f t="shared" si="34"/>
        <v>1</v>
      </c>
      <c r="Y99" s="47">
        <f t="shared" si="25"/>
        <v>202</v>
      </c>
      <c r="Z99" s="47">
        <f>暴击、抗暴!B99</f>
        <v>202</v>
      </c>
      <c r="AA99" s="73">
        <f t="shared" si="35"/>
        <v>1</v>
      </c>
      <c r="AB99" s="47">
        <f t="shared" si="26"/>
        <v>202</v>
      </c>
    </row>
    <row r="100" spans="1:28" s="20" customFormat="1">
      <c r="A100" s="46">
        <v>98</v>
      </c>
      <c r="B100" s="47">
        <f>攻击!AS100</f>
        <v>999.59999999999991</v>
      </c>
      <c r="C100" s="73">
        <f t="shared" si="27"/>
        <v>0.3</v>
      </c>
      <c r="D100" s="47">
        <f t="shared" si="18"/>
        <v>299.87999999999994</v>
      </c>
      <c r="E100" s="47">
        <f>HP!AR100</f>
        <v>9996</v>
      </c>
      <c r="F100" s="73">
        <f t="shared" si="28"/>
        <v>0.5</v>
      </c>
      <c r="G100" s="47">
        <f t="shared" si="19"/>
        <v>4998</v>
      </c>
      <c r="H100" s="47">
        <f>攻击!AS100</f>
        <v>999.59999999999991</v>
      </c>
      <c r="I100" s="73">
        <f t="shared" si="29"/>
        <v>5</v>
      </c>
      <c r="J100" s="47">
        <f t="shared" si="20"/>
        <v>4998</v>
      </c>
      <c r="K100" s="47">
        <f>霸气!AH100</f>
        <v>795.59999999999991</v>
      </c>
      <c r="L100" s="73">
        <f t="shared" si="30"/>
        <v>1</v>
      </c>
      <c r="M100" s="47">
        <f t="shared" si="21"/>
        <v>795.59999999999991</v>
      </c>
      <c r="N100" s="47">
        <f>防御!AH100</f>
        <v>795.59999999999991</v>
      </c>
      <c r="O100" s="73">
        <f t="shared" si="31"/>
        <v>1</v>
      </c>
      <c r="P100" s="47">
        <f t="shared" si="22"/>
        <v>795.59999999999991</v>
      </c>
      <c r="Q100" s="47">
        <f>命中、闪避!G100</f>
        <v>163.20000000000002</v>
      </c>
      <c r="R100" s="73">
        <f t="shared" si="32"/>
        <v>1</v>
      </c>
      <c r="S100" s="47">
        <f t="shared" si="23"/>
        <v>163.20000000000002</v>
      </c>
      <c r="T100" s="47">
        <f>命中、闪避!B100</f>
        <v>204</v>
      </c>
      <c r="U100" s="73">
        <f t="shared" si="33"/>
        <v>1</v>
      </c>
      <c r="V100" s="47">
        <f t="shared" si="24"/>
        <v>204</v>
      </c>
      <c r="W100" s="47">
        <f>暴击、抗暴!G100</f>
        <v>204</v>
      </c>
      <c r="X100" s="73">
        <f t="shared" si="34"/>
        <v>1</v>
      </c>
      <c r="Y100" s="47">
        <f t="shared" si="25"/>
        <v>204</v>
      </c>
      <c r="Z100" s="47">
        <f>暴击、抗暴!B100</f>
        <v>204</v>
      </c>
      <c r="AA100" s="73">
        <f t="shared" si="35"/>
        <v>1</v>
      </c>
      <c r="AB100" s="47">
        <f t="shared" si="26"/>
        <v>204</v>
      </c>
    </row>
    <row r="101" spans="1:28" s="20" customFormat="1">
      <c r="A101" s="46">
        <v>99</v>
      </c>
      <c r="B101" s="47">
        <f>攻击!AS101</f>
        <v>1009.4000000000001</v>
      </c>
      <c r="C101" s="73">
        <f t="shared" si="27"/>
        <v>0.3</v>
      </c>
      <c r="D101" s="47">
        <f t="shared" si="18"/>
        <v>302.82</v>
      </c>
      <c r="E101" s="47">
        <f>HP!AR101</f>
        <v>10094</v>
      </c>
      <c r="F101" s="73">
        <f t="shared" si="28"/>
        <v>0.5</v>
      </c>
      <c r="G101" s="47">
        <f t="shared" si="19"/>
        <v>5047</v>
      </c>
      <c r="H101" s="47">
        <f>攻击!AS101</f>
        <v>1009.4000000000001</v>
      </c>
      <c r="I101" s="73">
        <f t="shared" si="29"/>
        <v>5</v>
      </c>
      <c r="J101" s="47">
        <f t="shared" si="20"/>
        <v>5047</v>
      </c>
      <c r="K101" s="47">
        <f>霸气!AH101</f>
        <v>803.40000000000009</v>
      </c>
      <c r="L101" s="73">
        <f t="shared" si="30"/>
        <v>1</v>
      </c>
      <c r="M101" s="47">
        <f t="shared" si="21"/>
        <v>803.40000000000009</v>
      </c>
      <c r="N101" s="47">
        <f>防御!AH101</f>
        <v>803.40000000000009</v>
      </c>
      <c r="O101" s="73">
        <f t="shared" si="31"/>
        <v>1</v>
      </c>
      <c r="P101" s="47">
        <f t="shared" si="22"/>
        <v>803.40000000000009</v>
      </c>
      <c r="Q101" s="47">
        <f>命中、闪避!G101</f>
        <v>164.8</v>
      </c>
      <c r="R101" s="73">
        <f t="shared" si="32"/>
        <v>1</v>
      </c>
      <c r="S101" s="47">
        <f t="shared" si="23"/>
        <v>164.8</v>
      </c>
      <c r="T101" s="47">
        <f>命中、闪避!B101</f>
        <v>206</v>
      </c>
      <c r="U101" s="73">
        <f t="shared" si="33"/>
        <v>1</v>
      </c>
      <c r="V101" s="47">
        <f t="shared" si="24"/>
        <v>206</v>
      </c>
      <c r="W101" s="47">
        <f>暴击、抗暴!G101</f>
        <v>206</v>
      </c>
      <c r="X101" s="73">
        <f t="shared" si="34"/>
        <v>1</v>
      </c>
      <c r="Y101" s="47">
        <f t="shared" si="25"/>
        <v>206</v>
      </c>
      <c r="Z101" s="47">
        <f>暴击、抗暴!B101</f>
        <v>206</v>
      </c>
      <c r="AA101" s="73">
        <f t="shared" si="35"/>
        <v>1</v>
      </c>
      <c r="AB101" s="47">
        <f t="shared" si="26"/>
        <v>206</v>
      </c>
    </row>
    <row r="102" spans="1:28" s="20" customFormat="1">
      <c r="A102" s="46">
        <v>100</v>
      </c>
      <c r="B102" s="47">
        <f>攻击!AS102</f>
        <v>1019.2</v>
      </c>
      <c r="C102" s="73">
        <f t="shared" si="27"/>
        <v>0.3</v>
      </c>
      <c r="D102" s="47">
        <f t="shared" si="18"/>
        <v>305.76</v>
      </c>
      <c r="E102" s="47">
        <f>HP!AR102</f>
        <v>10192</v>
      </c>
      <c r="F102" s="73">
        <f t="shared" si="28"/>
        <v>0.5</v>
      </c>
      <c r="G102" s="47">
        <f t="shared" si="19"/>
        <v>5096</v>
      </c>
      <c r="H102" s="47">
        <f>攻击!AS102</f>
        <v>1019.2</v>
      </c>
      <c r="I102" s="73">
        <f t="shared" si="29"/>
        <v>5</v>
      </c>
      <c r="J102" s="47">
        <f t="shared" si="20"/>
        <v>5096</v>
      </c>
      <c r="K102" s="47">
        <f>霸气!AH102</f>
        <v>811.2</v>
      </c>
      <c r="L102" s="73">
        <f t="shared" si="30"/>
        <v>1</v>
      </c>
      <c r="M102" s="47">
        <f t="shared" si="21"/>
        <v>811.2</v>
      </c>
      <c r="N102" s="47">
        <f>防御!AH102</f>
        <v>811.2</v>
      </c>
      <c r="O102" s="73">
        <f t="shared" si="31"/>
        <v>1</v>
      </c>
      <c r="P102" s="47">
        <f t="shared" si="22"/>
        <v>811.2</v>
      </c>
      <c r="Q102" s="47">
        <f>命中、闪避!G102</f>
        <v>166.4</v>
      </c>
      <c r="R102" s="73">
        <f t="shared" si="32"/>
        <v>1</v>
      </c>
      <c r="S102" s="47">
        <f t="shared" si="23"/>
        <v>166.4</v>
      </c>
      <c r="T102" s="47">
        <f>命中、闪避!B102</f>
        <v>208</v>
      </c>
      <c r="U102" s="73">
        <f t="shared" si="33"/>
        <v>1</v>
      </c>
      <c r="V102" s="47">
        <f t="shared" si="24"/>
        <v>208</v>
      </c>
      <c r="W102" s="47">
        <f>暴击、抗暴!G102</f>
        <v>208</v>
      </c>
      <c r="X102" s="73">
        <f t="shared" si="34"/>
        <v>1</v>
      </c>
      <c r="Y102" s="47">
        <f t="shared" si="25"/>
        <v>208</v>
      </c>
      <c r="Z102" s="47">
        <f>暴击、抗暴!B102</f>
        <v>208</v>
      </c>
      <c r="AA102" s="73">
        <f t="shared" si="35"/>
        <v>1</v>
      </c>
      <c r="AB102" s="47">
        <f t="shared" si="26"/>
        <v>208</v>
      </c>
    </row>
    <row r="103" spans="1:28" s="20" customFormat="1">
      <c r="A103" s="46">
        <v>101</v>
      </c>
      <c r="B103" s="47">
        <f>攻击!AS103</f>
        <v>1029</v>
      </c>
      <c r="C103" s="73">
        <f t="shared" si="27"/>
        <v>0.3</v>
      </c>
      <c r="D103" s="47">
        <f t="shared" si="18"/>
        <v>308.7</v>
      </c>
      <c r="E103" s="47">
        <f>HP!AR103</f>
        <v>10290</v>
      </c>
      <c r="F103" s="73">
        <f t="shared" si="28"/>
        <v>0.5</v>
      </c>
      <c r="G103" s="47">
        <f t="shared" si="19"/>
        <v>5145</v>
      </c>
      <c r="H103" s="47">
        <f>攻击!AS103</f>
        <v>1029</v>
      </c>
      <c r="I103" s="73">
        <f t="shared" si="29"/>
        <v>5</v>
      </c>
      <c r="J103" s="47">
        <f t="shared" si="20"/>
        <v>5145</v>
      </c>
      <c r="K103" s="47">
        <f>霸气!AH103</f>
        <v>819</v>
      </c>
      <c r="L103" s="73">
        <f t="shared" si="30"/>
        <v>1</v>
      </c>
      <c r="M103" s="47">
        <f t="shared" si="21"/>
        <v>819</v>
      </c>
      <c r="N103" s="47">
        <f>防御!AH103</f>
        <v>819</v>
      </c>
      <c r="O103" s="73">
        <f t="shared" si="31"/>
        <v>1</v>
      </c>
      <c r="P103" s="47">
        <f t="shared" si="22"/>
        <v>819</v>
      </c>
      <c r="Q103" s="47">
        <f>命中、闪避!G103</f>
        <v>168</v>
      </c>
      <c r="R103" s="73">
        <f t="shared" si="32"/>
        <v>1</v>
      </c>
      <c r="S103" s="47">
        <f t="shared" si="23"/>
        <v>168</v>
      </c>
      <c r="T103" s="47">
        <f>命中、闪避!B103</f>
        <v>210</v>
      </c>
      <c r="U103" s="73">
        <f t="shared" si="33"/>
        <v>1</v>
      </c>
      <c r="V103" s="47">
        <f t="shared" si="24"/>
        <v>210</v>
      </c>
      <c r="W103" s="47">
        <f>暴击、抗暴!G103</f>
        <v>210</v>
      </c>
      <c r="X103" s="73">
        <f t="shared" si="34"/>
        <v>1</v>
      </c>
      <c r="Y103" s="47">
        <f t="shared" si="25"/>
        <v>210</v>
      </c>
      <c r="Z103" s="47">
        <f>暴击、抗暴!B103</f>
        <v>210</v>
      </c>
      <c r="AA103" s="73">
        <f t="shared" si="35"/>
        <v>1</v>
      </c>
      <c r="AB103" s="47">
        <f t="shared" si="26"/>
        <v>210</v>
      </c>
    </row>
    <row r="104" spans="1:28" s="20" customFormat="1">
      <c r="A104" s="46">
        <v>102</v>
      </c>
      <c r="B104" s="47">
        <f>攻击!AS104</f>
        <v>1038.8</v>
      </c>
      <c r="C104" s="73">
        <f t="shared" si="27"/>
        <v>0.3</v>
      </c>
      <c r="D104" s="47">
        <f t="shared" si="18"/>
        <v>311.64</v>
      </c>
      <c r="E104" s="47">
        <f>HP!AR104</f>
        <v>10388</v>
      </c>
      <c r="F104" s="73">
        <f t="shared" si="28"/>
        <v>0.5</v>
      </c>
      <c r="G104" s="47">
        <f t="shared" si="19"/>
        <v>5194</v>
      </c>
      <c r="H104" s="47">
        <f>攻击!AS104</f>
        <v>1038.8</v>
      </c>
      <c r="I104" s="73">
        <f t="shared" si="29"/>
        <v>5</v>
      </c>
      <c r="J104" s="47">
        <f t="shared" si="20"/>
        <v>5194</v>
      </c>
      <c r="K104" s="47">
        <f>霸气!AH104</f>
        <v>826.8</v>
      </c>
      <c r="L104" s="73">
        <f t="shared" si="30"/>
        <v>1</v>
      </c>
      <c r="M104" s="47">
        <f t="shared" si="21"/>
        <v>826.8</v>
      </c>
      <c r="N104" s="47">
        <f>防御!AH104</f>
        <v>826.8</v>
      </c>
      <c r="O104" s="73">
        <f t="shared" si="31"/>
        <v>1</v>
      </c>
      <c r="P104" s="47">
        <f t="shared" si="22"/>
        <v>826.8</v>
      </c>
      <c r="Q104" s="47">
        <f>命中、闪避!G104</f>
        <v>169.60000000000002</v>
      </c>
      <c r="R104" s="73">
        <f t="shared" si="32"/>
        <v>1</v>
      </c>
      <c r="S104" s="47">
        <f t="shared" si="23"/>
        <v>169.60000000000002</v>
      </c>
      <c r="T104" s="47">
        <f>命中、闪避!B104</f>
        <v>212</v>
      </c>
      <c r="U104" s="73">
        <f t="shared" si="33"/>
        <v>1</v>
      </c>
      <c r="V104" s="47">
        <f t="shared" si="24"/>
        <v>212</v>
      </c>
      <c r="W104" s="47">
        <f>暴击、抗暴!G104</f>
        <v>212</v>
      </c>
      <c r="X104" s="73">
        <f t="shared" si="34"/>
        <v>1</v>
      </c>
      <c r="Y104" s="47">
        <f t="shared" si="25"/>
        <v>212</v>
      </c>
      <c r="Z104" s="47">
        <f>暴击、抗暴!B104</f>
        <v>212</v>
      </c>
      <c r="AA104" s="73">
        <f t="shared" si="35"/>
        <v>1</v>
      </c>
      <c r="AB104" s="47">
        <f t="shared" si="26"/>
        <v>212</v>
      </c>
    </row>
    <row r="105" spans="1:28" s="20" customFormat="1">
      <c r="A105" s="46">
        <v>103</v>
      </c>
      <c r="B105" s="47">
        <f>攻击!AS105</f>
        <v>1048.5999999999999</v>
      </c>
      <c r="C105" s="73">
        <f t="shared" si="27"/>
        <v>0.3</v>
      </c>
      <c r="D105" s="47">
        <f t="shared" si="18"/>
        <v>314.58</v>
      </c>
      <c r="E105" s="47">
        <f>HP!AR105</f>
        <v>10486</v>
      </c>
      <c r="F105" s="73">
        <f t="shared" si="28"/>
        <v>0.5</v>
      </c>
      <c r="G105" s="47">
        <f t="shared" si="19"/>
        <v>5243</v>
      </c>
      <c r="H105" s="47">
        <f>攻击!AS105</f>
        <v>1048.5999999999999</v>
      </c>
      <c r="I105" s="73">
        <f t="shared" si="29"/>
        <v>5</v>
      </c>
      <c r="J105" s="47">
        <f t="shared" si="20"/>
        <v>5243</v>
      </c>
      <c r="K105" s="47">
        <f>霸气!AH105</f>
        <v>834.59999999999991</v>
      </c>
      <c r="L105" s="73">
        <f t="shared" si="30"/>
        <v>1</v>
      </c>
      <c r="M105" s="47">
        <f t="shared" si="21"/>
        <v>834.59999999999991</v>
      </c>
      <c r="N105" s="47">
        <f>防御!AH105</f>
        <v>834.59999999999991</v>
      </c>
      <c r="O105" s="73">
        <f t="shared" si="31"/>
        <v>1</v>
      </c>
      <c r="P105" s="47">
        <f t="shared" si="22"/>
        <v>834.59999999999991</v>
      </c>
      <c r="Q105" s="47">
        <f>命中、闪避!G105</f>
        <v>171.20000000000002</v>
      </c>
      <c r="R105" s="73">
        <f t="shared" si="32"/>
        <v>1</v>
      </c>
      <c r="S105" s="47">
        <f t="shared" si="23"/>
        <v>171.20000000000002</v>
      </c>
      <c r="T105" s="47">
        <f>命中、闪避!B105</f>
        <v>214</v>
      </c>
      <c r="U105" s="73">
        <f t="shared" si="33"/>
        <v>1</v>
      </c>
      <c r="V105" s="47">
        <f t="shared" si="24"/>
        <v>214</v>
      </c>
      <c r="W105" s="47">
        <f>暴击、抗暴!G105</f>
        <v>214</v>
      </c>
      <c r="X105" s="73">
        <f t="shared" si="34"/>
        <v>1</v>
      </c>
      <c r="Y105" s="47">
        <f t="shared" si="25"/>
        <v>214</v>
      </c>
      <c r="Z105" s="47">
        <f>暴击、抗暴!B105</f>
        <v>214</v>
      </c>
      <c r="AA105" s="73">
        <f t="shared" si="35"/>
        <v>1</v>
      </c>
      <c r="AB105" s="47">
        <f t="shared" si="26"/>
        <v>214</v>
      </c>
    </row>
    <row r="106" spans="1:28" s="20" customFormat="1">
      <c r="A106" s="46">
        <v>104</v>
      </c>
      <c r="B106" s="47">
        <f>攻击!AS106</f>
        <v>1058.4000000000001</v>
      </c>
      <c r="C106" s="73">
        <f t="shared" si="27"/>
        <v>0.3</v>
      </c>
      <c r="D106" s="47">
        <f t="shared" si="18"/>
        <v>317.52000000000004</v>
      </c>
      <c r="E106" s="47">
        <f>HP!AR106</f>
        <v>10584</v>
      </c>
      <c r="F106" s="73">
        <f t="shared" si="28"/>
        <v>0.5</v>
      </c>
      <c r="G106" s="47">
        <f t="shared" si="19"/>
        <v>5292</v>
      </c>
      <c r="H106" s="47">
        <f>攻击!AS106</f>
        <v>1058.4000000000001</v>
      </c>
      <c r="I106" s="73">
        <f t="shared" si="29"/>
        <v>5</v>
      </c>
      <c r="J106" s="47">
        <f t="shared" si="20"/>
        <v>5292</v>
      </c>
      <c r="K106" s="47">
        <f>霸气!AH106</f>
        <v>842.40000000000009</v>
      </c>
      <c r="L106" s="73">
        <f t="shared" si="30"/>
        <v>1</v>
      </c>
      <c r="M106" s="47">
        <f t="shared" si="21"/>
        <v>842.40000000000009</v>
      </c>
      <c r="N106" s="47">
        <f>防御!AH106</f>
        <v>842.40000000000009</v>
      </c>
      <c r="O106" s="73">
        <f t="shared" si="31"/>
        <v>1</v>
      </c>
      <c r="P106" s="47">
        <f t="shared" si="22"/>
        <v>842.40000000000009</v>
      </c>
      <c r="Q106" s="47">
        <f>命中、闪避!G106</f>
        <v>172.8</v>
      </c>
      <c r="R106" s="73">
        <f t="shared" si="32"/>
        <v>1</v>
      </c>
      <c r="S106" s="47">
        <f t="shared" si="23"/>
        <v>172.8</v>
      </c>
      <c r="T106" s="47">
        <f>命中、闪避!B106</f>
        <v>216</v>
      </c>
      <c r="U106" s="73">
        <f t="shared" si="33"/>
        <v>1</v>
      </c>
      <c r="V106" s="47">
        <f t="shared" si="24"/>
        <v>216</v>
      </c>
      <c r="W106" s="47">
        <f>暴击、抗暴!G106</f>
        <v>216</v>
      </c>
      <c r="X106" s="73">
        <f t="shared" si="34"/>
        <v>1</v>
      </c>
      <c r="Y106" s="47">
        <f t="shared" si="25"/>
        <v>216</v>
      </c>
      <c r="Z106" s="47">
        <f>暴击、抗暴!B106</f>
        <v>216</v>
      </c>
      <c r="AA106" s="73">
        <f t="shared" si="35"/>
        <v>1</v>
      </c>
      <c r="AB106" s="47">
        <f t="shared" si="26"/>
        <v>216</v>
      </c>
    </row>
    <row r="107" spans="1:28" s="20" customFormat="1">
      <c r="A107" s="46">
        <v>105</v>
      </c>
      <c r="B107" s="47">
        <f>攻击!AS107</f>
        <v>1068.2</v>
      </c>
      <c r="C107" s="73">
        <f t="shared" si="27"/>
        <v>0.3</v>
      </c>
      <c r="D107" s="47">
        <f t="shared" si="18"/>
        <v>320.45999999999998</v>
      </c>
      <c r="E107" s="47">
        <f>HP!AR107</f>
        <v>10682</v>
      </c>
      <c r="F107" s="73">
        <f t="shared" si="28"/>
        <v>0.5</v>
      </c>
      <c r="G107" s="47">
        <f t="shared" si="19"/>
        <v>5341</v>
      </c>
      <c r="H107" s="47">
        <f>攻击!AS107</f>
        <v>1068.2</v>
      </c>
      <c r="I107" s="73">
        <f t="shared" si="29"/>
        <v>5</v>
      </c>
      <c r="J107" s="47">
        <f t="shared" si="20"/>
        <v>5341</v>
      </c>
      <c r="K107" s="47">
        <f>霸气!AH107</f>
        <v>850.19999999999993</v>
      </c>
      <c r="L107" s="73">
        <f t="shared" si="30"/>
        <v>1</v>
      </c>
      <c r="M107" s="47">
        <f t="shared" si="21"/>
        <v>850.19999999999993</v>
      </c>
      <c r="N107" s="47">
        <f>防御!AH107</f>
        <v>850.19999999999993</v>
      </c>
      <c r="O107" s="73">
        <f t="shared" si="31"/>
        <v>1</v>
      </c>
      <c r="P107" s="47">
        <f t="shared" si="22"/>
        <v>850.19999999999993</v>
      </c>
      <c r="Q107" s="47">
        <f>命中、闪避!G107</f>
        <v>174.4</v>
      </c>
      <c r="R107" s="73">
        <f t="shared" si="32"/>
        <v>1</v>
      </c>
      <c r="S107" s="47">
        <f t="shared" si="23"/>
        <v>174.4</v>
      </c>
      <c r="T107" s="47">
        <f>命中、闪避!B107</f>
        <v>218</v>
      </c>
      <c r="U107" s="73">
        <f t="shared" si="33"/>
        <v>1</v>
      </c>
      <c r="V107" s="47">
        <f t="shared" si="24"/>
        <v>218</v>
      </c>
      <c r="W107" s="47">
        <f>暴击、抗暴!G107</f>
        <v>218</v>
      </c>
      <c r="X107" s="73">
        <f t="shared" si="34"/>
        <v>1</v>
      </c>
      <c r="Y107" s="47">
        <f t="shared" si="25"/>
        <v>218</v>
      </c>
      <c r="Z107" s="47">
        <f>暴击、抗暴!B107</f>
        <v>218</v>
      </c>
      <c r="AA107" s="73">
        <f t="shared" si="35"/>
        <v>1</v>
      </c>
      <c r="AB107" s="47">
        <f t="shared" si="26"/>
        <v>218</v>
      </c>
    </row>
    <row r="108" spans="1:28" s="20" customFormat="1">
      <c r="A108" s="46">
        <v>106</v>
      </c>
      <c r="B108" s="47">
        <f>攻击!AS108</f>
        <v>1078</v>
      </c>
      <c r="C108" s="73">
        <f t="shared" si="27"/>
        <v>0.3</v>
      </c>
      <c r="D108" s="47">
        <f t="shared" si="18"/>
        <v>323.39999999999998</v>
      </c>
      <c r="E108" s="47">
        <f>HP!AR108</f>
        <v>10780</v>
      </c>
      <c r="F108" s="73">
        <f t="shared" si="28"/>
        <v>0.5</v>
      </c>
      <c r="G108" s="47">
        <f t="shared" si="19"/>
        <v>5390</v>
      </c>
      <c r="H108" s="47">
        <f>攻击!AS108</f>
        <v>1078</v>
      </c>
      <c r="I108" s="73">
        <f t="shared" si="29"/>
        <v>5</v>
      </c>
      <c r="J108" s="47">
        <f t="shared" si="20"/>
        <v>5390</v>
      </c>
      <c r="K108" s="47">
        <f>霸气!AH108</f>
        <v>858</v>
      </c>
      <c r="L108" s="73">
        <f t="shared" si="30"/>
        <v>1</v>
      </c>
      <c r="M108" s="47">
        <f t="shared" si="21"/>
        <v>858</v>
      </c>
      <c r="N108" s="47">
        <f>防御!AH108</f>
        <v>858</v>
      </c>
      <c r="O108" s="73">
        <f t="shared" si="31"/>
        <v>1</v>
      </c>
      <c r="P108" s="47">
        <f t="shared" si="22"/>
        <v>858</v>
      </c>
      <c r="Q108" s="47">
        <f>命中、闪避!G108</f>
        <v>176</v>
      </c>
      <c r="R108" s="73">
        <f t="shared" si="32"/>
        <v>1</v>
      </c>
      <c r="S108" s="47">
        <f t="shared" si="23"/>
        <v>176</v>
      </c>
      <c r="T108" s="47">
        <f>命中、闪避!B108</f>
        <v>220</v>
      </c>
      <c r="U108" s="73">
        <f t="shared" si="33"/>
        <v>1</v>
      </c>
      <c r="V108" s="47">
        <f t="shared" si="24"/>
        <v>220</v>
      </c>
      <c r="W108" s="47">
        <f>暴击、抗暴!G108</f>
        <v>220</v>
      </c>
      <c r="X108" s="73">
        <f t="shared" si="34"/>
        <v>1</v>
      </c>
      <c r="Y108" s="47">
        <f t="shared" si="25"/>
        <v>220</v>
      </c>
      <c r="Z108" s="47">
        <f>暴击、抗暴!B108</f>
        <v>220</v>
      </c>
      <c r="AA108" s="73">
        <f t="shared" si="35"/>
        <v>1</v>
      </c>
      <c r="AB108" s="47">
        <f t="shared" si="26"/>
        <v>220</v>
      </c>
    </row>
    <row r="109" spans="1:28" s="20" customFormat="1">
      <c r="A109" s="46">
        <v>107</v>
      </c>
      <c r="B109" s="47">
        <f>攻击!AS109</f>
        <v>1087.8</v>
      </c>
      <c r="C109" s="73">
        <f t="shared" si="27"/>
        <v>0.3</v>
      </c>
      <c r="D109" s="47">
        <f t="shared" si="18"/>
        <v>326.33999999999997</v>
      </c>
      <c r="E109" s="47">
        <f>HP!AR109</f>
        <v>10878</v>
      </c>
      <c r="F109" s="73">
        <f t="shared" si="28"/>
        <v>0.5</v>
      </c>
      <c r="G109" s="47">
        <f t="shared" si="19"/>
        <v>5439</v>
      </c>
      <c r="H109" s="47">
        <f>攻击!AS109</f>
        <v>1087.8</v>
      </c>
      <c r="I109" s="73">
        <f t="shared" si="29"/>
        <v>5</v>
      </c>
      <c r="J109" s="47">
        <f t="shared" si="20"/>
        <v>5439</v>
      </c>
      <c r="K109" s="47">
        <f>霸气!AH109</f>
        <v>865.8</v>
      </c>
      <c r="L109" s="73">
        <f t="shared" si="30"/>
        <v>1</v>
      </c>
      <c r="M109" s="47">
        <f t="shared" si="21"/>
        <v>865.8</v>
      </c>
      <c r="N109" s="47">
        <f>防御!AH109</f>
        <v>865.8</v>
      </c>
      <c r="O109" s="73">
        <f t="shared" si="31"/>
        <v>1</v>
      </c>
      <c r="P109" s="47">
        <f t="shared" si="22"/>
        <v>865.8</v>
      </c>
      <c r="Q109" s="47">
        <f>命中、闪避!G109</f>
        <v>177.60000000000002</v>
      </c>
      <c r="R109" s="73">
        <f t="shared" si="32"/>
        <v>1</v>
      </c>
      <c r="S109" s="47">
        <f t="shared" si="23"/>
        <v>177.60000000000002</v>
      </c>
      <c r="T109" s="47">
        <f>命中、闪避!B109</f>
        <v>222</v>
      </c>
      <c r="U109" s="73">
        <f t="shared" si="33"/>
        <v>1</v>
      </c>
      <c r="V109" s="47">
        <f t="shared" si="24"/>
        <v>222</v>
      </c>
      <c r="W109" s="47">
        <f>暴击、抗暴!G109</f>
        <v>222</v>
      </c>
      <c r="X109" s="73">
        <f t="shared" si="34"/>
        <v>1</v>
      </c>
      <c r="Y109" s="47">
        <f t="shared" si="25"/>
        <v>222</v>
      </c>
      <c r="Z109" s="47">
        <f>暴击、抗暴!B109</f>
        <v>222</v>
      </c>
      <c r="AA109" s="73">
        <f t="shared" si="35"/>
        <v>1</v>
      </c>
      <c r="AB109" s="47">
        <f t="shared" si="26"/>
        <v>222</v>
      </c>
    </row>
    <row r="110" spans="1:28" s="20" customFormat="1">
      <c r="A110" s="46">
        <v>108</v>
      </c>
      <c r="B110" s="47">
        <f>攻击!AS110</f>
        <v>1097.5999999999999</v>
      </c>
      <c r="C110" s="73">
        <f t="shared" si="27"/>
        <v>0.3</v>
      </c>
      <c r="D110" s="47">
        <f t="shared" si="18"/>
        <v>329.28</v>
      </c>
      <c r="E110" s="47">
        <f>HP!AR110</f>
        <v>10976</v>
      </c>
      <c r="F110" s="73">
        <f t="shared" si="28"/>
        <v>0.5</v>
      </c>
      <c r="G110" s="47">
        <f t="shared" si="19"/>
        <v>5488</v>
      </c>
      <c r="H110" s="47">
        <f>攻击!AS110</f>
        <v>1097.5999999999999</v>
      </c>
      <c r="I110" s="73">
        <f t="shared" si="29"/>
        <v>5</v>
      </c>
      <c r="J110" s="47">
        <f t="shared" si="20"/>
        <v>5488</v>
      </c>
      <c r="K110" s="47">
        <f>霸气!AH110</f>
        <v>873.59999999999991</v>
      </c>
      <c r="L110" s="73">
        <f t="shared" si="30"/>
        <v>1</v>
      </c>
      <c r="M110" s="47">
        <f t="shared" si="21"/>
        <v>873.59999999999991</v>
      </c>
      <c r="N110" s="47">
        <f>防御!AH110</f>
        <v>873.59999999999991</v>
      </c>
      <c r="O110" s="73">
        <f t="shared" si="31"/>
        <v>1</v>
      </c>
      <c r="P110" s="47">
        <f t="shared" si="22"/>
        <v>873.59999999999991</v>
      </c>
      <c r="Q110" s="47">
        <f>命中、闪避!G110</f>
        <v>179.20000000000002</v>
      </c>
      <c r="R110" s="73">
        <f t="shared" si="32"/>
        <v>1</v>
      </c>
      <c r="S110" s="47">
        <f t="shared" si="23"/>
        <v>179.20000000000002</v>
      </c>
      <c r="T110" s="47">
        <f>命中、闪避!B110</f>
        <v>224</v>
      </c>
      <c r="U110" s="73">
        <f t="shared" si="33"/>
        <v>1</v>
      </c>
      <c r="V110" s="47">
        <f t="shared" si="24"/>
        <v>224</v>
      </c>
      <c r="W110" s="47">
        <f>暴击、抗暴!G110</f>
        <v>224</v>
      </c>
      <c r="X110" s="73">
        <f t="shared" si="34"/>
        <v>1</v>
      </c>
      <c r="Y110" s="47">
        <f t="shared" si="25"/>
        <v>224</v>
      </c>
      <c r="Z110" s="47">
        <f>暴击、抗暴!B110</f>
        <v>224</v>
      </c>
      <c r="AA110" s="73">
        <f t="shared" si="35"/>
        <v>1</v>
      </c>
      <c r="AB110" s="47">
        <f t="shared" si="26"/>
        <v>224</v>
      </c>
    </row>
    <row r="111" spans="1:28" s="20" customFormat="1">
      <c r="A111" s="46">
        <v>109</v>
      </c>
      <c r="B111" s="47">
        <f>攻击!AS111</f>
        <v>1107.4000000000001</v>
      </c>
      <c r="C111" s="73">
        <f t="shared" si="27"/>
        <v>0.3</v>
      </c>
      <c r="D111" s="47">
        <f t="shared" si="18"/>
        <v>332.22</v>
      </c>
      <c r="E111" s="47">
        <f>HP!AR111</f>
        <v>11074</v>
      </c>
      <c r="F111" s="73">
        <f t="shared" si="28"/>
        <v>0.5</v>
      </c>
      <c r="G111" s="47">
        <f t="shared" si="19"/>
        <v>5537</v>
      </c>
      <c r="H111" s="47">
        <f>攻击!AS111</f>
        <v>1107.4000000000001</v>
      </c>
      <c r="I111" s="73">
        <f t="shared" si="29"/>
        <v>5</v>
      </c>
      <c r="J111" s="47">
        <f t="shared" si="20"/>
        <v>5537</v>
      </c>
      <c r="K111" s="47">
        <f>霸气!AH111</f>
        <v>881.40000000000009</v>
      </c>
      <c r="L111" s="73">
        <f t="shared" si="30"/>
        <v>1</v>
      </c>
      <c r="M111" s="47">
        <f t="shared" si="21"/>
        <v>881.40000000000009</v>
      </c>
      <c r="N111" s="47">
        <f>防御!AH111</f>
        <v>881.40000000000009</v>
      </c>
      <c r="O111" s="73">
        <f t="shared" si="31"/>
        <v>1</v>
      </c>
      <c r="P111" s="47">
        <f t="shared" si="22"/>
        <v>881.40000000000009</v>
      </c>
      <c r="Q111" s="47">
        <f>命中、闪避!G111</f>
        <v>180.8</v>
      </c>
      <c r="R111" s="73">
        <f t="shared" si="32"/>
        <v>1</v>
      </c>
      <c r="S111" s="47">
        <f t="shared" si="23"/>
        <v>180.8</v>
      </c>
      <c r="T111" s="47">
        <f>命中、闪避!B111</f>
        <v>226</v>
      </c>
      <c r="U111" s="73">
        <f t="shared" si="33"/>
        <v>1</v>
      </c>
      <c r="V111" s="47">
        <f t="shared" si="24"/>
        <v>226</v>
      </c>
      <c r="W111" s="47">
        <f>暴击、抗暴!G111</f>
        <v>226</v>
      </c>
      <c r="X111" s="73">
        <f t="shared" si="34"/>
        <v>1</v>
      </c>
      <c r="Y111" s="47">
        <f t="shared" si="25"/>
        <v>226</v>
      </c>
      <c r="Z111" s="47">
        <f>暴击、抗暴!B111</f>
        <v>226</v>
      </c>
      <c r="AA111" s="73">
        <f t="shared" si="35"/>
        <v>1</v>
      </c>
      <c r="AB111" s="47">
        <f t="shared" si="26"/>
        <v>226</v>
      </c>
    </row>
    <row r="112" spans="1:28" s="20" customFormat="1">
      <c r="A112" s="46">
        <v>110</v>
      </c>
      <c r="B112" s="47">
        <f>攻击!AS112</f>
        <v>1117.2</v>
      </c>
      <c r="C112" s="73">
        <f t="shared" si="27"/>
        <v>0.3</v>
      </c>
      <c r="D112" s="47">
        <f t="shared" si="18"/>
        <v>335.16</v>
      </c>
      <c r="E112" s="47">
        <f>HP!AR112</f>
        <v>11172</v>
      </c>
      <c r="F112" s="73">
        <f t="shared" si="28"/>
        <v>0.5</v>
      </c>
      <c r="G112" s="47">
        <f t="shared" si="19"/>
        <v>5586</v>
      </c>
      <c r="H112" s="47">
        <f>攻击!AS112</f>
        <v>1117.2</v>
      </c>
      <c r="I112" s="73">
        <f t="shared" si="29"/>
        <v>5</v>
      </c>
      <c r="J112" s="47">
        <f t="shared" si="20"/>
        <v>5586</v>
      </c>
      <c r="K112" s="47">
        <f>霸气!AH112</f>
        <v>889.19999999999993</v>
      </c>
      <c r="L112" s="73">
        <f t="shared" si="30"/>
        <v>1</v>
      </c>
      <c r="M112" s="47">
        <f t="shared" si="21"/>
        <v>889.19999999999993</v>
      </c>
      <c r="N112" s="47">
        <f>防御!AH112</f>
        <v>889.19999999999993</v>
      </c>
      <c r="O112" s="73">
        <f t="shared" si="31"/>
        <v>1</v>
      </c>
      <c r="P112" s="47">
        <f t="shared" si="22"/>
        <v>889.19999999999993</v>
      </c>
      <c r="Q112" s="47">
        <f>命中、闪避!G112</f>
        <v>182.4</v>
      </c>
      <c r="R112" s="73">
        <f t="shared" si="32"/>
        <v>1</v>
      </c>
      <c r="S112" s="47">
        <f t="shared" si="23"/>
        <v>182.4</v>
      </c>
      <c r="T112" s="47">
        <f>命中、闪避!B112</f>
        <v>228</v>
      </c>
      <c r="U112" s="73">
        <f t="shared" si="33"/>
        <v>1</v>
      </c>
      <c r="V112" s="47">
        <f t="shared" si="24"/>
        <v>228</v>
      </c>
      <c r="W112" s="47">
        <f>暴击、抗暴!G112</f>
        <v>228</v>
      </c>
      <c r="X112" s="73">
        <f t="shared" si="34"/>
        <v>1</v>
      </c>
      <c r="Y112" s="47">
        <f t="shared" si="25"/>
        <v>228</v>
      </c>
      <c r="Z112" s="47">
        <f>暴击、抗暴!B112</f>
        <v>228</v>
      </c>
      <c r="AA112" s="73">
        <f t="shared" si="35"/>
        <v>1</v>
      </c>
      <c r="AB112" s="47">
        <f t="shared" si="26"/>
        <v>228</v>
      </c>
    </row>
    <row r="113" spans="1:28" s="20" customFormat="1">
      <c r="A113" s="46">
        <v>111</v>
      </c>
      <c r="B113" s="47">
        <f>攻击!AS113</f>
        <v>1127</v>
      </c>
      <c r="C113" s="73">
        <f t="shared" si="27"/>
        <v>0.3</v>
      </c>
      <c r="D113" s="47">
        <f t="shared" si="18"/>
        <v>338.09999999999997</v>
      </c>
      <c r="E113" s="47">
        <f>HP!AR113</f>
        <v>11270</v>
      </c>
      <c r="F113" s="73">
        <f t="shared" si="28"/>
        <v>0.5</v>
      </c>
      <c r="G113" s="47">
        <f t="shared" si="19"/>
        <v>5635</v>
      </c>
      <c r="H113" s="47">
        <f>攻击!AS113</f>
        <v>1127</v>
      </c>
      <c r="I113" s="73">
        <f t="shared" si="29"/>
        <v>5</v>
      </c>
      <c r="J113" s="47">
        <f t="shared" si="20"/>
        <v>5635</v>
      </c>
      <c r="K113" s="47">
        <f>霸气!AH113</f>
        <v>897</v>
      </c>
      <c r="L113" s="73">
        <f t="shared" si="30"/>
        <v>1</v>
      </c>
      <c r="M113" s="47">
        <f t="shared" si="21"/>
        <v>897</v>
      </c>
      <c r="N113" s="47">
        <f>防御!AH113</f>
        <v>897</v>
      </c>
      <c r="O113" s="73">
        <f t="shared" si="31"/>
        <v>1</v>
      </c>
      <c r="P113" s="47">
        <f t="shared" si="22"/>
        <v>897</v>
      </c>
      <c r="Q113" s="47">
        <f>命中、闪避!G113</f>
        <v>184</v>
      </c>
      <c r="R113" s="73">
        <f t="shared" si="32"/>
        <v>1</v>
      </c>
      <c r="S113" s="47">
        <f t="shared" si="23"/>
        <v>184</v>
      </c>
      <c r="T113" s="47">
        <f>命中、闪避!B113</f>
        <v>230</v>
      </c>
      <c r="U113" s="73">
        <f t="shared" si="33"/>
        <v>1</v>
      </c>
      <c r="V113" s="47">
        <f t="shared" si="24"/>
        <v>230</v>
      </c>
      <c r="W113" s="47">
        <f>暴击、抗暴!G113</f>
        <v>230</v>
      </c>
      <c r="X113" s="73">
        <f t="shared" si="34"/>
        <v>1</v>
      </c>
      <c r="Y113" s="47">
        <f t="shared" si="25"/>
        <v>230</v>
      </c>
      <c r="Z113" s="47">
        <f>暴击、抗暴!B113</f>
        <v>230</v>
      </c>
      <c r="AA113" s="73">
        <f t="shared" si="35"/>
        <v>1</v>
      </c>
      <c r="AB113" s="47">
        <f t="shared" si="26"/>
        <v>230</v>
      </c>
    </row>
    <row r="114" spans="1:28" s="20" customFormat="1">
      <c r="A114" s="46">
        <v>112</v>
      </c>
      <c r="B114" s="47">
        <f>攻击!AS114</f>
        <v>1136.8</v>
      </c>
      <c r="C114" s="73">
        <f t="shared" si="27"/>
        <v>0.3</v>
      </c>
      <c r="D114" s="47">
        <f t="shared" si="18"/>
        <v>341.03999999999996</v>
      </c>
      <c r="E114" s="47">
        <f>HP!AR114</f>
        <v>11368</v>
      </c>
      <c r="F114" s="73">
        <f t="shared" si="28"/>
        <v>0.5</v>
      </c>
      <c r="G114" s="47">
        <f t="shared" si="19"/>
        <v>5684</v>
      </c>
      <c r="H114" s="47">
        <f>攻击!AS114</f>
        <v>1136.8</v>
      </c>
      <c r="I114" s="73">
        <f t="shared" si="29"/>
        <v>5</v>
      </c>
      <c r="J114" s="47">
        <f t="shared" si="20"/>
        <v>5684</v>
      </c>
      <c r="K114" s="47">
        <f>霸气!AH114</f>
        <v>904.8</v>
      </c>
      <c r="L114" s="73">
        <f t="shared" si="30"/>
        <v>1</v>
      </c>
      <c r="M114" s="47">
        <f t="shared" si="21"/>
        <v>904.8</v>
      </c>
      <c r="N114" s="47">
        <f>防御!AH114</f>
        <v>904.8</v>
      </c>
      <c r="O114" s="73">
        <f t="shared" si="31"/>
        <v>1</v>
      </c>
      <c r="P114" s="47">
        <f t="shared" si="22"/>
        <v>904.8</v>
      </c>
      <c r="Q114" s="47">
        <f>命中、闪避!G114</f>
        <v>185.60000000000002</v>
      </c>
      <c r="R114" s="73">
        <f t="shared" si="32"/>
        <v>1</v>
      </c>
      <c r="S114" s="47">
        <f t="shared" si="23"/>
        <v>185.60000000000002</v>
      </c>
      <c r="T114" s="47">
        <f>命中、闪避!B114</f>
        <v>232</v>
      </c>
      <c r="U114" s="73">
        <f t="shared" si="33"/>
        <v>1</v>
      </c>
      <c r="V114" s="47">
        <f t="shared" si="24"/>
        <v>232</v>
      </c>
      <c r="W114" s="47">
        <f>暴击、抗暴!G114</f>
        <v>232</v>
      </c>
      <c r="X114" s="73">
        <f t="shared" si="34"/>
        <v>1</v>
      </c>
      <c r="Y114" s="47">
        <f t="shared" si="25"/>
        <v>232</v>
      </c>
      <c r="Z114" s="47">
        <f>暴击、抗暴!B114</f>
        <v>232</v>
      </c>
      <c r="AA114" s="73">
        <f t="shared" si="35"/>
        <v>1</v>
      </c>
      <c r="AB114" s="47">
        <f t="shared" si="26"/>
        <v>232</v>
      </c>
    </row>
    <row r="115" spans="1:28" s="20" customFormat="1">
      <c r="A115" s="46">
        <v>113</v>
      </c>
      <c r="B115" s="47">
        <f>攻击!AS115</f>
        <v>1146.5999999999999</v>
      </c>
      <c r="C115" s="73">
        <f t="shared" si="27"/>
        <v>0.3</v>
      </c>
      <c r="D115" s="47">
        <f t="shared" si="18"/>
        <v>343.97999999999996</v>
      </c>
      <c r="E115" s="47">
        <f>HP!AR115</f>
        <v>11466</v>
      </c>
      <c r="F115" s="73">
        <f t="shared" si="28"/>
        <v>0.5</v>
      </c>
      <c r="G115" s="47">
        <f t="shared" si="19"/>
        <v>5733</v>
      </c>
      <c r="H115" s="47">
        <f>攻击!AS115</f>
        <v>1146.5999999999999</v>
      </c>
      <c r="I115" s="73">
        <f t="shared" si="29"/>
        <v>5</v>
      </c>
      <c r="J115" s="47">
        <f t="shared" si="20"/>
        <v>5733</v>
      </c>
      <c r="K115" s="47">
        <f>霸气!AH115</f>
        <v>912.59999999999991</v>
      </c>
      <c r="L115" s="73">
        <f t="shared" si="30"/>
        <v>1</v>
      </c>
      <c r="M115" s="47">
        <f t="shared" si="21"/>
        <v>912.59999999999991</v>
      </c>
      <c r="N115" s="47">
        <f>防御!AH115</f>
        <v>912.59999999999991</v>
      </c>
      <c r="O115" s="73">
        <f t="shared" si="31"/>
        <v>1</v>
      </c>
      <c r="P115" s="47">
        <f t="shared" si="22"/>
        <v>912.59999999999991</v>
      </c>
      <c r="Q115" s="47">
        <f>命中、闪避!G115</f>
        <v>187.20000000000002</v>
      </c>
      <c r="R115" s="73">
        <f t="shared" si="32"/>
        <v>1</v>
      </c>
      <c r="S115" s="47">
        <f t="shared" si="23"/>
        <v>187.20000000000002</v>
      </c>
      <c r="T115" s="47">
        <f>命中、闪避!B115</f>
        <v>234</v>
      </c>
      <c r="U115" s="73">
        <f t="shared" si="33"/>
        <v>1</v>
      </c>
      <c r="V115" s="47">
        <f t="shared" si="24"/>
        <v>234</v>
      </c>
      <c r="W115" s="47">
        <f>暴击、抗暴!G115</f>
        <v>234</v>
      </c>
      <c r="X115" s="73">
        <f t="shared" si="34"/>
        <v>1</v>
      </c>
      <c r="Y115" s="47">
        <f t="shared" si="25"/>
        <v>234</v>
      </c>
      <c r="Z115" s="47">
        <f>暴击、抗暴!B115</f>
        <v>234</v>
      </c>
      <c r="AA115" s="73">
        <f t="shared" si="35"/>
        <v>1</v>
      </c>
      <c r="AB115" s="47">
        <f t="shared" si="26"/>
        <v>234</v>
      </c>
    </row>
    <row r="116" spans="1:28" s="20" customFormat="1">
      <c r="A116" s="46">
        <v>114</v>
      </c>
      <c r="B116" s="47">
        <f>攻击!AS116</f>
        <v>1156.4000000000001</v>
      </c>
      <c r="C116" s="73">
        <f t="shared" si="27"/>
        <v>0.3</v>
      </c>
      <c r="D116" s="47">
        <f t="shared" si="18"/>
        <v>346.92</v>
      </c>
      <c r="E116" s="47">
        <f>HP!AR116</f>
        <v>11564</v>
      </c>
      <c r="F116" s="73">
        <f t="shared" si="28"/>
        <v>0.5</v>
      </c>
      <c r="G116" s="47">
        <f t="shared" si="19"/>
        <v>5782</v>
      </c>
      <c r="H116" s="47">
        <f>攻击!AS116</f>
        <v>1156.4000000000001</v>
      </c>
      <c r="I116" s="73">
        <f t="shared" si="29"/>
        <v>5</v>
      </c>
      <c r="J116" s="47">
        <f t="shared" si="20"/>
        <v>5782</v>
      </c>
      <c r="K116" s="47">
        <f>霸气!AH116</f>
        <v>920.40000000000009</v>
      </c>
      <c r="L116" s="73">
        <f t="shared" si="30"/>
        <v>1</v>
      </c>
      <c r="M116" s="47">
        <f t="shared" si="21"/>
        <v>920.40000000000009</v>
      </c>
      <c r="N116" s="47">
        <f>防御!AH116</f>
        <v>920.40000000000009</v>
      </c>
      <c r="O116" s="73">
        <f t="shared" si="31"/>
        <v>1</v>
      </c>
      <c r="P116" s="47">
        <f t="shared" si="22"/>
        <v>920.40000000000009</v>
      </c>
      <c r="Q116" s="47">
        <f>命中、闪避!G116</f>
        <v>188.8</v>
      </c>
      <c r="R116" s="73">
        <f t="shared" si="32"/>
        <v>1</v>
      </c>
      <c r="S116" s="47">
        <f t="shared" si="23"/>
        <v>188.8</v>
      </c>
      <c r="T116" s="47">
        <f>命中、闪避!B116</f>
        <v>236</v>
      </c>
      <c r="U116" s="73">
        <f t="shared" si="33"/>
        <v>1</v>
      </c>
      <c r="V116" s="47">
        <f t="shared" si="24"/>
        <v>236</v>
      </c>
      <c r="W116" s="47">
        <f>暴击、抗暴!G116</f>
        <v>236</v>
      </c>
      <c r="X116" s="73">
        <f t="shared" si="34"/>
        <v>1</v>
      </c>
      <c r="Y116" s="47">
        <f t="shared" si="25"/>
        <v>236</v>
      </c>
      <c r="Z116" s="47">
        <f>暴击、抗暴!B116</f>
        <v>236</v>
      </c>
      <c r="AA116" s="73">
        <f t="shared" si="35"/>
        <v>1</v>
      </c>
      <c r="AB116" s="47">
        <f t="shared" si="26"/>
        <v>236</v>
      </c>
    </row>
    <row r="117" spans="1:28" s="20" customFormat="1">
      <c r="A117" s="46">
        <v>115</v>
      </c>
      <c r="B117" s="47">
        <f>攻击!AS117</f>
        <v>1166.2</v>
      </c>
      <c r="C117" s="73">
        <f t="shared" si="27"/>
        <v>0.3</v>
      </c>
      <c r="D117" s="47">
        <f t="shared" si="18"/>
        <v>349.86</v>
      </c>
      <c r="E117" s="47">
        <f>HP!AR117</f>
        <v>11662</v>
      </c>
      <c r="F117" s="73">
        <f t="shared" si="28"/>
        <v>0.5</v>
      </c>
      <c r="G117" s="47">
        <f t="shared" si="19"/>
        <v>5831</v>
      </c>
      <c r="H117" s="47">
        <f>攻击!AS117</f>
        <v>1166.2</v>
      </c>
      <c r="I117" s="73">
        <f t="shared" si="29"/>
        <v>5</v>
      </c>
      <c r="J117" s="47">
        <f t="shared" si="20"/>
        <v>5831</v>
      </c>
      <c r="K117" s="47">
        <f>霸气!AH117</f>
        <v>928.19999999999993</v>
      </c>
      <c r="L117" s="73">
        <f t="shared" si="30"/>
        <v>1</v>
      </c>
      <c r="M117" s="47">
        <f t="shared" si="21"/>
        <v>928.19999999999993</v>
      </c>
      <c r="N117" s="47">
        <f>防御!AH117</f>
        <v>928.19999999999993</v>
      </c>
      <c r="O117" s="73">
        <f t="shared" si="31"/>
        <v>1</v>
      </c>
      <c r="P117" s="47">
        <f t="shared" si="22"/>
        <v>928.19999999999993</v>
      </c>
      <c r="Q117" s="47">
        <f>命中、闪避!G117</f>
        <v>190.4</v>
      </c>
      <c r="R117" s="73">
        <f t="shared" si="32"/>
        <v>1</v>
      </c>
      <c r="S117" s="47">
        <f t="shared" si="23"/>
        <v>190.4</v>
      </c>
      <c r="T117" s="47">
        <f>命中、闪避!B117</f>
        <v>238</v>
      </c>
      <c r="U117" s="73">
        <f t="shared" si="33"/>
        <v>1</v>
      </c>
      <c r="V117" s="47">
        <f t="shared" si="24"/>
        <v>238</v>
      </c>
      <c r="W117" s="47">
        <f>暴击、抗暴!G117</f>
        <v>238</v>
      </c>
      <c r="X117" s="73">
        <f t="shared" si="34"/>
        <v>1</v>
      </c>
      <c r="Y117" s="47">
        <f t="shared" si="25"/>
        <v>238</v>
      </c>
      <c r="Z117" s="47">
        <f>暴击、抗暴!B117</f>
        <v>238</v>
      </c>
      <c r="AA117" s="73">
        <f t="shared" si="35"/>
        <v>1</v>
      </c>
      <c r="AB117" s="47">
        <f t="shared" si="26"/>
        <v>238</v>
      </c>
    </row>
    <row r="118" spans="1:28" s="20" customFormat="1">
      <c r="A118" s="46">
        <v>116</v>
      </c>
      <c r="B118" s="47">
        <f>攻击!AS118</f>
        <v>1176</v>
      </c>
      <c r="C118" s="73">
        <f t="shared" si="27"/>
        <v>0.3</v>
      </c>
      <c r="D118" s="47">
        <f t="shared" si="18"/>
        <v>352.8</v>
      </c>
      <c r="E118" s="47">
        <f>HP!AR118</f>
        <v>11760</v>
      </c>
      <c r="F118" s="73">
        <f t="shared" si="28"/>
        <v>0.5</v>
      </c>
      <c r="G118" s="47">
        <f t="shared" si="19"/>
        <v>5880</v>
      </c>
      <c r="H118" s="47">
        <f>攻击!AS118</f>
        <v>1176</v>
      </c>
      <c r="I118" s="73">
        <f t="shared" si="29"/>
        <v>5</v>
      </c>
      <c r="J118" s="47">
        <f t="shared" si="20"/>
        <v>5880</v>
      </c>
      <c r="K118" s="47">
        <f>霸气!AH118</f>
        <v>936</v>
      </c>
      <c r="L118" s="73">
        <f t="shared" si="30"/>
        <v>1</v>
      </c>
      <c r="M118" s="47">
        <f t="shared" si="21"/>
        <v>936</v>
      </c>
      <c r="N118" s="47">
        <f>防御!AH118</f>
        <v>936</v>
      </c>
      <c r="O118" s="73">
        <f t="shared" si="31"/>
        <v>1</v>
      </c>
      <c r="P118" s="47">
        <f t="shared" si="22"/>
        <v>936</v>
      </c>
      <c r="Q118" s="47">
        <f>命中、闪避!G118</f>
        <v>192</v>
      </c>
      <c r="R118" s="73">
        <f t="shared" si="32"/>
        <v>1</v>
      </c>
      <c r="S118" s="47">
        <f t="shared" si="23"/>
        <v>192</v>
      </c>
      <c r="T118" s="47">
        <f>命中、闪避!B118</f>
        <v>240</v>
      </c>
      <c r="U118" s="73">
        <f t="shared" si="33"/>
        <v>1</v>
      </c>
      <c r="V118" s="47">
        <f t="shared" si="24"/>
        <v>240</v>
      </c>
      <c r="W118" s="47">
        <f>暴击、抗暴!G118</f>
        <v>240</v>
      </c>
      <c r="X118" s="73">
        <f t="shared" si="34"/>
        <v>1</v>
      </c>
      <c r="Y118" s="47">
        <f t="shared" si="25"/>
        <v>240</v>
      </c>
      <c r="Z118" s="47">
        <f>暴击、抗暴!B118</f>
        <v>240</v>
      </c>
      <c r="AA118" s="73">
        <f t="shared" si="35"/>
        <v>1</v>
      </c>
      <c r="AB118" s="47">
        <f t="shared" si="26"/>
        <v>240</v>
      </c>
    </row>
    <row r="119" spans="1:28" s="20" customFormat="1">
      <c r="A119" s="46">
        <v>117</v>
      </c>
      <c r="B119" s="47">
        <f>攻击!AS119</f>
        <v>1185.8</v>
      </c>
      <c r="C119" s="73">
        <f t="shared" si="27"/>
        <v>0.3</v>
      </c>
      <c r="D119" s="47">
        <f t="shared" si="18"/>
        <v>355.73999999999995</v>
      </c>
      <c r="E119" s="47">
        <f>HP!AR119</f>
        <v>11858</v>
      </c>
      <c r="F119" s="73">
        <f t="shared" si="28"/>
        <v>0.5</v>
      </c>
      <c r="G119" s="47">
        <f t="shared" si="19"/>
        <v>5929</v>
      </c>
      <c r="H119" s="47">
        <f>攻击!AS119</f>
        <v>1185.8</v>
      </c>
      <c r="I119" s="73">
        <f t="shared" si="29"/>
        <v>5</v>
      </c>
      <c r="J119" s="47">
        <f t="shared" si="20"/>
        <v>5929</v>
      </c>
      <c r="K119" s="47">
        <f>霸气!AH119</f>
        <v>943.8</v>
      </c>
      <c r="L119" s="73">
        <f t="shared" si="30"/>
        <v>1</v>
      </c>
      <c r="M119" s="47">
        <f t="shared" si="21"/>
        <v>943.8</v>
      </c>
      <c r="N119" s="47">
        <f>防御!AH119</f>
        <v>943.8</v>
      </c>
      <c r="O119" s="73">
        <f t="shared" si="31"/>
        <v>1</v>
      </c>
      <c r="P119" s="47">
        <f t="shared" si="22"/>
        <v>943.8</v>
      </c>
      <c r="Q119" s="47">
        <f>命中、闪避!G119</f>
        <v>193.60000000000002</v>
      </c>
      <c r="R119" s="73">
        <f t="shared" si="32"/>
        <v>1</v>
      </c>
      <c r="S119" s="47">
        <f t="shared" si="23"/>
        <v>193.60000000000002</v>
      </c>
      <c r="T119" s="47">
        <f>命中、闪避!B119</f>
        <v>242</v>
      </c>
      <c r="U119" s="73">
        <f t="shared" si="33"/>
        <v>1</v>
      </c>
      <c r="V119" s="47">
        <f t="shared" si="24"/>
        <v>242</v>
      </c>
      <c r="W119" s="47">
        <f>暴击、抗暴!G119</f>
        <v>242</v>
      </c>
      <c r="X119" s="73">
        <f t="shared" si="34"/>
        <v>1</v>
      </c>
      <c r="Y119" s="47">
        <f t="shared" si="25"/>
        <v>242</v>
      </c>
      <c r="Z119" s="47">
        <f>暴击、抗暴!B119</f>
        <v>242</v>
      </c>
      <c r="AA119" s="73">
        <f t="shared" si="35"/>
        <v>1</v>
      </c>
      <c r="AB119" s="47">
        <f t="shared" si="26"/>
        <v>242</v>
      </c>
    </row>
    <row r="120" spans="1:28" s="20" customFormat="1">
      <c r="A120" s="46">
        <v>118</v>
      </c>
      <c r="B120" s="47">
        <f>攻击!AS120</f>
        <v>1195.5999999999999</v>
      </c>
      <c r="C120" s="73">
        <f t="shared" si="27"/>
        <v>0.3</v>
      </c>
      <c r="D120" s="47">
        <f t="shared" si="18"/>
        <v>358.67999999999995</v>
      </c>
      <c r="E120" s="47">
        <f>HP!AR120</f>
        <v>11956</v>
      </c>
      <c r="F120" s="73">
        <f t="shared" si="28"/>
        <v>0.5</v>
      </c>
      <c r="G120" s="47">
        <f t="shared" si="19"/>
        <v>5978</v>
      </c>
      <c r="H120" s="47">
        <f>攻击!AS120</f>
        <v>1195.5999999999999</v>
      </c>
      <c r="I120" s="73">
        <f t="shared" si="29"/>
        <v>5</v>
      </c>
      <c r="J120" s="47">
        <f t="shared" si="20"/>
        <v>5978</v>
      </c>
      <c r="K120" s="47">
        <f>霸气!AH120</f>
        <v>951.59999999999991</v>
      </c>
      <c r="L120" s="73">
        <f t="shared" si="30"/>
        <v>1</v>
      </c>
      <c r="M120" s="47">
        <f t="shared" si="21"/>
        <v>951.59999999999991</v>
      </c>
      <c r="N120" s="47">
        <f>防御!AH120</f>
        <v>951.59999999999991</v>
      </c>
      <c r="O120" s="73">
        <f t="shared" si="31"/>
        <v>1</v>
      </c>
      <c r="P120" s="47">
        <f t="shared" si="22"/>
        <v>951.59999999999991</v>
      </c>
      <c r="Q120" s="47">
        <f>命中、闪避!G120</f>
        <v>195.20000000000002</v>
      </c>
      <c r="R120" s="73">
        <f t="shared" si="32"/>
        <v>1</v>
      </c>
      <c r="S120" s="47">
        <f t="shared" si="23"/>
        <v>195.20000000000002</v>
      </c>
      <c r="T120" s="47">
        <f>命中、闪避!B120</f>
        <v>244</v>
      </c>
      <c r="U120" s="73">
        <f t="shared" si="33"/>
        <v>1</v>
      </c>
      <c r="V120" s="47">
        <f t="shared" si="24"/>
        <v>244</v>
      </c>
      <c r="W120" s="47">
        <f>暴击、抗暴!G120</f>
        <v>244</v>
      </c>
      <c r="X120" s="73">
        <f t="shared" si="34"/>
        <v>1</v>
      </c>
      <c r="Y120" s="47">
        <f t="shared" si="25"/>
        <v>244</v>
      </c>
      <c r="Z120" s="47">
        <f>暴击、抗暴!B120</f>
        <v>244</v>
      </c>
      <c r="AA120" s="73">
        <f t="shared" si="35"/>
        <v>1</v>
      </c>
      <c r="AB120" s="47">
        <f t="shared" si="26"/>
        <v>244</v>
      </c>
    </row>
    <row r="121" spans="1:28" s="20" customFormat="1">
      <c r="A121" s="46">
        <v>119</v>
      </c>
      <c r="B121" s="47">
        <f>攻击!AS121</f>
        <v>1205.4000000000001</v>
      </c>
      <c r="C121" s="73">
        <f t="shared" si="27"/>
        <v>0.3</v>
      </c>
      <c r="D121" s="47">
        <f t="shared" si="18"/>
        <v>361.62</v>
      </c>
      <c r="E121" s="47">
        <f>HP!AR121</f>
        <v>12054</v>
      </c>
      <c r="F121" s="73">
        <f t="shared" si="28"/>
        <v>0.5</v>
      </c>
      <c r="G121" s="47">
        <f t="shared" si="19"/>
        <v>6027</v>
      </c>
      <c r="H121" s="47">
        <f>攻击!AS121</f>
        <v>1205.4000000000001</v>
      </c>
      <c r="I121" s="73">
        <f t="shared" si="29"/>
        <v>5</v>
      </c>
      <c r="J121" s="47">
        <f t="shared" si="20"/>
        <v>6027</v>
      </c>
      <c r="K121" s="47">
        <f>霸气!AH121</f>
        <v>959.40000000000009</v>
      </c>
      <c r="L121" s="73">
        <f t="shared" si="30"/>
        <v>1</v>
      </c>
      <c r="M121" s="47">
        <f t="shared" si="21"/>
        <v>959.40000000000009</v>
      </c>
      <c r="N121" s="47">
        <f>防御!AH121</f>
        <v>959.40000000000009</v>
      </c>
      <c r="O121" s="73">
        <f t="shared" si="31"/>
        <v>1</v>
      </c>
      <c r="P121" s="47">
        <f t="shared" si="22"/>
        <v>959.40000000000009</v>
      </c>
      <c r="Q121" s="47">
        <f>命中、闪避!G121</f>
        <v>196.8</v>
      </c>
      <c r="R121" s="73">
        <f t="shared" si="32"/>
        <v>1</v>
      </c>
      <c r="S121" s="47">
        <f t="shared" si="23"/>
        <v>196.8</v>
      </c>
      <c r="T121" s="47">
        <f>命中、闪避!B121</f>
        <v>246</v>
      </c>
      <c r="U121" s="73">
        <f t="shared" si="33"/>
        <v>1</v>
      </c>
      <c r="V121" s="47">
        <f t="shared" si="24"/>
        <v>246</v>
      </c>
      <c r="W121" s="47">
        <f>暴击、抗暴!G121</f>
        <v>246</v>
      </c>
      <c r="X121" s="73">
        <f t="shared" si="34"/>
        <v>1</v>
      </c>
      <c r="Y121" s="47">
        <f t="shared" si="25"/>
        <v>246</v>
      </c>
      <c r="Z121" s="47">
        <f>暴击、抗暴!B121</f>
        <v>246</v>
      </c>
      <c r="AA121" s="73">
        <f t="shared" si="35"/>
        <v>1</v>
      </c>
      <c r="AB121" s="47">
        <f t="shared" si="26"/>
        <v>246</v>
      </c>
    </row>
    <row r="122" spans="1:28" s="20" customFormat="1">
      <c r="A122" s="46">
        <v>120</v>
      </c>
      <c r="B122" s="47">
        <f>攻击!AS122</f>
        <v>1215.2</v>
      </c>
      <c r="C122" s="73">
        <f t="shared" si="27"/>
        <v>0.3</v>
      </c>
      <c r="D122" s="47">
        <f t="shared" si="18"/>
        <v>364.56</v>
      </c>
      <c r="E122" s="47">
        <f>HP!AR122</f>
        <v>12152</v>
      </c>
      <c r="F122" s="73">
        <f t="shared" si="28"/>
        <v>0.5</v>
      </c>
      <c r="G122" s="47">
        <f t="shared" si="19"/>
        <v>6076</v>
      </c>
      <c r="H122" s="47">
        <f>攻击!AS122</f>
        <v>1215.2</v>
      </c>
      <c r="I122" s="73">
        <f t="shared" si="29"/>
        <v>5</v>
      </c>
      <c r="J122" s="47">
        <f t="shared" si="20"/>
        <v>6076</v>
      </c>
      <c r="K122" s="47">
        <f>霸气!AH122</f>
        <v>967.19999999999993</v>
      </c>
      <c r="L122" s="73">
        <f t="shared" si="30"/>
        <v>1</v>
      </c>
      <c r="M122" s="47">
        <f t="shared" si="21"/>
        <v>967.19999999999993</v>
      </c>
      <c r="N122" s="47">
        <f>防御!AH122</f>
        <v>967.19999999999993</v>
      </c>
      <c r="O122" s="73">
        <f t="shared" si="31"/>
        <v>1</v>
      </c>
      <c r="P122" s="47">
        <f t="shared" si="22"/>
        <v>967.19999999999993</v>
      </c>
      <c r="Q122" s="47">
        <f>命中、闪避!G122</f>
        <v>198.4</v>
      </c>
      <c r="R122" s="73">
        <f t="shared" si="32"/>
        <v>1</v>
      </c>
      <c r="S122" s="47">
        <f t="shared" si="23"/>
        <v>198.4</v>
      </c>
      <c r="T122" s="47">
        <f>命中、闪避!B122</f>
        <v>248</v>
      </c>
      <c r="U122" s="73">
        <f t="shared" si="33"/>
        <v>1</v>
      </c>
      <c r="V122" s="47">
        <f t="shared" si="24"/>
        <v>248</v>
      </c>
      <c r="W122" s="47">
        <f>暴击、抗暴!G122</f>
        <v>248</v>
      </c>
      <c r="X122" s="73">
        <f t="shared" si="34"/>
        <v>1</v>
      </c>
      <c r="Y122" s="47">
        <f t="shared" si="25"/>
        <v>248</v>
      </c>
      <c r="Z122" s="47">
        <f>暴击、抗暴!B122</f>
        <v>248</v>
      </c>
      <c r="AA122" s="73">
        <f t="shared" si="35"/>
        <v>1</v>
      </c>
      <c r="AB122" s="47">
        <f t="shared" si="26"/>
        <v>248</v>
      </c>
    </row>
    <row r="129" spans="3:3" s="22" customFormat="1">
      <c r="C129" s="75"/>
    </row>
    <row r="130" spans="3:3" s="22" customFormat="1">
      <c r="C130" s="75"/>
    </row>
    <row r="131" spans="3:3" s="22" customFormat="1">
      <c r="C131" s="75"/>
    </row>
  </sheetData>
  <mergeCells count="10">
    <mergeCell ref="A1:A2"/>
    <mergeCell ref="B1:D1"/>
    <mergeCell ref="E1:G1"/>
    <mergeCell ref="K1:M1"/>
    <mergeCell ref="N1:P1"/>
    <mergeCell ref="Q1:S1"/>
    <mergeCell ref="T1:V1"/>
    <mergeCell ref="W1:Y1"/>
    <mergeCell ref="Z1:AB1"/>
    <mergeCell ref="H1:J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等级经验</vt:lpstr>
      <vt:lpstr>等级经验-新</vt:lpstr>
      <vt:lpstr>攻击分赃比</vt:lpstr>
      <vt:lpstr>攻击</vt:lpstr>
      <vt:lpstr>开放指数</vt:lpstr>
      <vt:lpstr>HP1</vt:lpstr>
      <vt:lpstr>HP</vt:lpstr>
      <vt:lpstr>霸气1</vt:lpstr>
      <vt:lpstr>霸气</vt:lpstr>
      <vt:lpstr>防御1</vt:lpstr>
      <vt:lpstr>防御</vt:lpstr>
      <vt:lpstr>暴击、抗暴</vt:lpstr>
      <vt:lpstr>命中、闪避</vt:lpstr>
      <vt:lpstr>特殊命中</vt:lpstr>
      <vt:lpstr>怪物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cp:lastPrinted>2020-08-17T16:09:34Z</cp:lastPrinted>
  <dcterms:created xsi:type="dcterms:W3CDTF">2020-07-21T08:27:58Z</dcterms:created>
  <dcterms:modified xsi:type="dcterms:W3CDTF">2020-11-16T08:51:56Z</dcterms:modified>
</cp:coreProperties>
</file>